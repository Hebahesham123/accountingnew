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6C48049-E134-4386-A784-A2606A5380E7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شجرة حسابات" sheetId="1" r:id="rId1"/>
    <sheet name="Sheet1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230" i="2" l="1"/>
  <c r="M3230" i="2"/>
  <c r="I3230" i="2"/>
  <c r="H3230" i="2"/>
  <c r="J3230" i="2" s="1"/>
  <c r="L3230" i="2" s="1"/>
  <c r="D3230" i="2"/>
  <c r="N3229" i="2"/>
  <c r="M3229" i="2"/>
  <c r="I3229" i="2"/>
  <c r="H3229" i="2"/>
  <c r="J3229" i="2" s="1"/>
  <c r="L3229" i="2" s="1"/>
  <c r="D3229" i="2"/>
  <c r="N3228" i="2"/>
  <c r="M3228" i="2"/>
  <c r="J3228" i="2"/>
  <c r="L3228" i="2" s="1"/>
  <c r="I3228" i="2"/>
  <c r="H3228" i="2"/>
  <c r="D3228" i="2"/>
  <c r="N3227" i="2"/>
  <c r="M3227" i="2"/>
  <c r="I3227" i="2"/>
  <c r="J3227" i="2" s="1"/>
  <c r="L3227" i="2" s="1"/>
  <c r="H3227" i="2"/>
  <c r="D3227" i="2"/>
  <c r="N3226" i="2"/>
  <c r="M3226" i="2"/>
  <c r="I3226" i="2"/>
  <c r="H3226" i="2"/>
  <c r="J3226" i="2" s="1"/>
  <c r="L3226" i="2" s="1"/>
  <c r="D3226" i="2"/>
  <c r="N3225" i="2"/>
  <c r="M3225" i="2"/>
  <c r="I3225" i="2"/>
  <c r="H3225" i="2"/>
  <c r="J3225" i="2" s="1"/>
  <c r="L3225" i="2" s="1"/>
  <c r="D3225" i="2"/>
  <c r="N3224" i="2"/>
  <c r="M3224" i="2"/>
  <c r="J3224" i="2"/>
  <c r="L3224" i="2" s="1"/>
  <c r="I3224" i="2"/>
  <c r="H3224" i="2"/>
  <c r="D3224" i="2"/>
  <c r="N3223" i="2"/>
  <c r="M3223" i="2"/>
  <c r="I3223" i="2"/>
  <c r="J3223" i="2" s="1"/>
  <c r="L3223" i="2" s="1"/>
  <c r="H3223" i="2"/>
  <c r="D3223" i="2"/>
  <c r="N3222" i="2"/>
  <c r="M3222" i="2"/>
  <c r="I3222" i="2"/>
  <c r="H3222" i="2"/>
  <c r="J3222" i="2" s="1"/>
  <c r="L3222" i="2" s="1"/>
  <c r="D3222" i="2"/>
  <c r="N3221" i="2"/>
  <c r="M3221" i="2"/>
  <c r="I3221" i="2"/>
  <c r="H3221" i="2"/>
  <c r="J3221" i="2" s="1"/>
  <c r="L3221" i="2" s="1"/>
  <c r="D3221" i="2"/>
  <c r="N3220" i="2"/>
  <c r="M3220" i="2"/>
  <c r="J3220" i="2"/>
  <c r="L3220" i="2" s="1"/>
  <c r="I3220" i="2"/>
  <c r="H3220" i="2"/>
  <c r="D3220" i="2"/>
  <c r="N3219" i="2"/>
  <c r="M3219" i="2"/>
  <c r="I3219" i="2"/>
  <c r="H3219" i="2"/>
  <c r="D3219" i="2"/>
  <c r="N3218" i="2"/>
  <c r="M3218" i="2"/>
  <c r="I3218" i="2"/>
  <c r="H3218" i="2"/>
  <c r="J3218" i="2" s="1"/>
  <c r="L3218" i="2" s="1"/>
  <c r="D3218" i="2"/>
  <c r="N3217" i="2"/>
  <c r="M3217" i="2"/>
  <c r="L3217" i="2"/>
  <c r="J3217" i="2"/>
  <c r="I3217" i="2"/>
  <c r="H3217" i="2"/>
  <c r="D3217" i="2"/>
  <c r="N3216" i="2"/>
  <c r="M3216" i="2"/>
  <c r="J3216" i="2"/>
  <c r="L3216" i="2" s="1"/>
  <c r="I3216" i="2"/>
  <c r="H3216" i="2"/>
  <c r="D3216" i="2"/>
  <c r="N3215" i="2"/>
  <c r="M3215" i="2"/>
  <c r="I3215" i="2"/>
  <c r="H3215" i="2"/>
  <c r="J3215" i="2" s="1"/>
  <c r="L3215" i="2" s="1"/>
  <c r="D3215" i="2"/>
  <c r="N3214" i="2"/>
  <c r="M3214" i="2"/>
  <c r="I3214" i="2"/>
  <c r="H3214" i="2"/>
  <c r="J3214" i="2" s="1"/>
  <c r="L3214" i="2" s="1"/>
  <c r="D3214" i="2"/>
  <c r="N3213" i="2"/>
  <c r="M3213" i="2"/>
  <c r="L3213" i="2"/>
  <c r="J3213" i="2"/>
  <c r="I3213" i="2"/>
  <c r="H3213" i="2"/>
  <c r="D3213" i="2"/>
  <c r="N3212" i="2"/>
  <c r="M3212" i="2"/>
  <c r="J3212" i="2"/>
  <c r="L3212" i="2" s="1"/>
  <c r="I3212" i="2"/>
  <c r="H3212" i="2"/>
  <c r="D3212" i="2"/>
  <c r="N3211" i="2"/>
  <c r="M3211" i="2"/>
  <c r="I3211" i="2"/>
  <c r="H3211" i="2"/>
  <c r="D3211" i="2"/>
  <c r="N3210" i="2"/>
  <c r="M3210" i="2"/>
  <c r="I3210" i="2"/>
  <c r="H3210" i="2"/>
  <c r="J3210" i="2" s="1"/>
  <c r="L3210" i="2" s="1"/>
  <c r="D3210" i="2"/>
  <c r="N3209" i="2"/>
  <c r="M3209" i="2"/>
  <c r="L3209" i="2"/>
  <c r="J3209" i="2"/>
  <c r="I3209" i="2"/>
  <c r="H3209" i="2"/>
  <c r="D3209" i="2"/>
  <c r="N3208" i="2"/>
  <c r="M3208" i="2"/>
  <c r="J3208" i="2"/>
  <c r="L3208" i="2" s="1"/>
  <c r="I3208" i="2"/>
  <c r="H3208" i="2"/>
  <c r="D3208" i="2"/>
  <c r="N3207" i="2"/>
  <c r="M3207" i="2"/>
  <c r="I3207" i="2"/>
  <c r="H3207" i="2"/>
  <c r="J3207" i="2" s="1"/>
  <c r="L3207" i="2" s="1"/>
  <c r="D3207" i="2"/>
  <c r="N3206" i="2"/>
  <c r="M3206" i="2"/>
  <c r="I3206" i="2"/>
  <c r="H3206" i="2"/>
  <c r="J3206" i="2" s="1"/>
  <c r="L3206" i="2" s="1"/>
  <c r="D3206" i="2"/>
  <c r="N3205" i="2"/>
  <c r="M3205" i="2"/>
  <c r="L3205" i="2"/>
  <c r="J3205" i="2"/>
  <c r="I3205" i="2"/>
  <c r="H3205" i="2"/>
  <c r="D3205" i="2"/>
  <c r="N3204" i="2"/>
  <c r="M3204" i="2"/>
  <c r="J3204" i="2"/>
  <c r="L3204" i="2" s="1"/>
  <c r="I3204" i="2"/>
  <c r="H3204" i="2"/>
  <c r="D3204" i="2"/>
  <c r="N3203" i="2"/>
  <c r="M3203" i="2"/>
  <c r="I3203" i="2"/>
  <c r="H3203" i="2"/>
  <c r="D3203" i="2"/>
  <c r="N3202" i="2"/>
  <c r="M3202" i="2"/>
  <c r="I3202" i="2"/>
  <c r="H3202" i="2"/>
  <c r="J3202" i="2" s="1"/>
  <c r="L3202" i="2" s="1"/>
  <c r="D3202" i="2"/>
  <c r="N3201" i="2"/>
  <c r="M3201" i="2"/>
  <c r="L3201" i="2"/>
  <c r="J3201" i="2"/>
  <c r="I3201" i="2"/>
  <c r="H3201" i="2"/>
  <c r="D3201" i="2"/>
  <c r="N3200" i="2"/>
  <c r="M3200" i="2"/>
  <c r="J3200" i="2"/>
  <c r="L3200" i="2" s="1"/>
  <c r="I3200" i="2"/>
  <c r="H3200" i="2"/>
  <c r="D3200" i="2"/>
  <c r="N3199" i="2"/>
  <c r="M3199" i="2"/>
  <c r="I3199" i="2"/>
  <c r="H3199" i="2"/>
  <c r="J3199" i="2" s="1"/>
  <c r="L3199" i="2" s="1"/>
  <c r="D3199" i="2"/>
  <c r="N3198" i="2"/>
  <c r="M3198" i="2"/>
  <c r="I3198" i="2"/>
  <c r="H3198" i="2"/>
  <c r="J3198" i="2" s="1"/>
  <c r="L3198" i="2" s="1"/>
  <c r="D3198" i="2"/>
  <c r="N3197" i="2"/>
  <c r="M3197" i="2"/>
  <c r="L3197" i="2"/>
  <c r="J3197" i="2"/>
  <c r="I3197" i="2"/>
  <c r="H3197" i="2"/>
  <c r="D3197" i="2"/>
  <c r="N3196" i="2"/>
  <c r="M3196" i="2"/>
  <c r="J3196" i="2"/>
  <c r="L3196" i="2" s="1"/>
  <c r="I3196" i="2"/>
  <c r="H3196" i="2"/>
  <c r="D3196" i="2"/>
  <c r="N3195" i="2"/>
  <c r="M3195" i="2"/>
  <c r="I3195" i="2"/>
  <c r="H3195" i="2"/>
  <c r="D3195" i="2"/>
  <c r="N3194" i="2"/>
  <c r="M3194" i="2"/>
  <c r="I3194" i="2"/>
  <c r="H3194" i="2"/>
  <c r="J3194" i="2" s="1"/>
  <c r="L3194" i="2" s="1"/>
  <c r="D3194" i="2"/>
  <c r="N3193" i="2"/>
  <c r="M3193" i="2"/>
  <c r="L3193" i="2"/>
  <c r="J3193" i="2"/>
  <c r="I3193" i="2"/>
  <c r="H3193" i="2"/>
  <c r="D3193" i="2"/>
  <c r="N3192" i="2"/>
  <c r="M3192" i="2"/>
  <c r="J3192" i="2"/>
  <c r="L3192" i="2" s="1"/>
  <c r="I3192" i="2"/>
  <c r="H3192" i="2"/>
  <c r="D3192" i="2"/>
  <c r="N3191" i="2"/>
  <c r="M3191" i="2"/>
  <c r="I3191" i="2"/>
  <c r="H3191" i="2"/>
  <c r="J3191" i="2" s="1"/>
  <c r="L3191" i="2" s="1"/>
  <c r="D3191" i="2"/>
  <c r="N3190" i="2"/>
  <c r="M3190" i="2"/>
  <c r="I3190" i="2"/>
  <c r="H3190" i="2"/>
  <c r="J3190" i="2" s="1"/>
  <c r="L3190" i="2" s="1"/>
  <c r="D3190" i="2"/>
  <c r="N3189" i="2"/>
  <c r="M3189" i="2"/>
  <c r="L3189" i="2"/>
  <c r="J3189" i="2"/>
  <c r="I3189" i="2"/>
  <c r="H3189" i="2"/>
  <c r="D3189" i="2"/>
  <c r="N3188" i="2"/>
  <c r="M3188" i="2"/>
  <c r="J3188" i="2"/>
  <c r="L3188" i="2" s="1"/>
  <c r="I3188" i="2"/>
  <c r="H3188" i="2"/>
  <c r="D3188" i="2"/>
  <c r="N3187" i="2"/>
  <c r="M3187" i="2"/>
  <c r="I3187" i="2"/>
  <c r="H3187" i="2"/>
  <c r="D3187" i="2"/>
  <c r="N3186" i="2"/>
  <c r="M3186" i="2"/>
  <c r="I3186" i="2"/>
  <c r="H3186" i="2"/>
  <c r="J3186" i="2" s="1"/>
  <c r="L3186" i="2" s="1"/>
  <c r="D3186" i="2"/>
  <c r="N3185" i="2"/>
  <c r="M3185" i="2"/>
  <c r="L3185" i="2"/>
  <c r="J3185" i="2"/>
  <c r="I3185" i="2"/>
  <c r="H3185" i="2"/>
  <c r="D3185" i="2"/>
  <c r="N3184" i="2"/>
  <c r="M3184" i="2"/>
  <c r="J3184" i="2"/>
  <c r="L3184" i="2" s="1"/>
  <c r="I3184" i="2"/>
  <c r="H3184" i="2"/>
  <c r="D3184" i="2"/>
  <c r="N3183" i="2"/>
  <c r="M3183" i="2"/>
  <c r="I3183" i="2"/>
  <c r="H3183" i="2"/>
  <c r="J3183" i="2" s="1"/>
  <c r="L3183" i="2" s="1"/>
  <c r="D3183" i="2"/>
  <c r="N3182" i="2"/>
  <c r="M3182" i="2"/>
  <c r="I3182" i="2"/>
  <c r="H3182" i="2"/>
  <c r="J3182" i="2" s="1"/>
  <c r="L3182" i="2" s="1"/>
  <c r="D3182" i="2"/>
  <c r="N3181" i="2"/>
  <c r="M3181" i="2"/>
  <c r="L3181" i="2"/>
  <c r="J3181" i="2"/>
  <c r="I3181" i="2"/>
  <c r="H3181" i="2"/>
  <c r="D3181" i="2"/>
  <c r="N3180" i="2"/>
  <c r="M3180" i="2"/>
  <c r="J3180" i="2"/>
  <c r="L3180" i="2" s="1"/>
  <c r="I3180" i="2"/>
  <c r="H3180" i="2"/>
  <c r="D3180" i="2"/>
  <c r="N3179" i="2"/>
  <c r="M3179" i="2"/>
  <c r="I3179" i="2"/>
  <c r="H3179" i="2"/>
  <c r="D3179" i="2"/>
  <c r="N3178" i="2"/>
  <c r="M3178" i="2"/>
  <c r="I3178" i="2"/>
  <c r="H3178" i="2"/>
  <c r="J3178" i="2" s="1"/>
  <c r="L3178" i="2" s="1"/>
  <c r="D3178" i="2"/>
  <c r="N3177" i="2"/>
  <c r="M3177" i="2"/>
  <c r="L3177" i="2"/>
  <c r="J3177" i="2"/>
  <c r="I3177" i="2"/>
  <c r="H3177" i="2"/>
  <c r="D3177" i="2"/>
  <c r="N3176" i="2"/>
  <c r="M3176" i="2"/>
  <c r="J3176" i="2"/>
  <c r="L3176" i="2" s="1"/>
  <c r="I3176" i="2"/>
  <c r="H3176" i="2"/>
  <c r="D3176" i="2"/>
  <c r="N3175" i="2"/>
  <c r="M3175" i="2"/>
  <c r="I3175" i="2"/>
  <c r="H3175" i="2"/>
  <c r="J3175" i="2" s="1"/>
  <c r="L3175" i="2" s="1"/>
  <c r="D3175" i="2"/>
  <c r="N3174" i="2"/>
  <c r="M3174" i="2"/>
  <c r="I3174" i="2"/>
  <c r="H3174" i="2"/>
  <c r="J3174" i="2" s="1"/>
  <c r="L3174" i="2" s="1"/>
  <c r="D3174" i="2"/>
  <c r="N3173" i="2"/>
  <c r="M3173" i="2"/>
  <c r="L3173" i="2"/>
  <c r="J3173" i="2"/>
  <c r="I3173" i="2"/>
  <c r="H3173" i="2"/>
  <c r="D3173" i="2"/>
  <c r="N3172" i="2"/>
  <c r="M3172" i="2"/>
  <c r="J3172" i="2"/>
  <c r="L3172" i="2" s="1"/>
  <c r="I3172" i="2"/>
  <c r="H3172" i="2"/>
  <c r="D3172" i="2"/>
  <c r="N3171" i="2"/>
  <c r="M3171" i="2"/>
  <c r="I3171" i="2"/>
  <c r="H3171" i="2"/>
  <c r="D3171" i="2"/>
  <c r="N3170" i="2"/>
  <c r="M3170" i="2"/>
  <c r="I3170" i="2"/>
  <c r="H3170" i="2"/>
  <c r="J3170" i="2" s="1"/>
  <c r="L3170" i="2" s="1"/>
  <c r="D3170" i="2"/>
  <c r="N3169" i="2"/>
  <c r="M3169" i="2"/>
  <c r="L3169" i="2"/>
  <c r="J3169" i="2"/>
  <c r="I3169" i="2"/>
  <c r="H3169" i="2"/>
  <c r="D3169" i="2"/>
  <c r="N3168" i="2"/>
  <c r="M3168" i="2"/>
  <c r="J3168" i="2"/>
  <c r="L3168" i="2" s="1"/>
  <c r="I3168" i="2"/>
  <c r="H3168" i="2"/>
  <c r="D3168" i="2"/>
  <c r="N3167" i="2"/>
  <c r="M3167" i="2"/>
  <c r="I3167" i="2"/>
  <c r="H3167" i="2"/>
  <c r="D3167" i="2"/>
  <c r="N3166" i="2"/>
  <c r="M3166" i="2"/>
  <c r="I3166" i="2"/>
  <c r="H3166" i="2"/>
  <c r="J3166" i="2" s="1"/>
  <c r="L3166" i="2" s="1"/>
  <c r="D3166" i="2"/>
  <c r="N3165" i="2"/>
  <c r="M3165" i="2"/>
  <c r="L3165" i="2"/>
  <c r="J3165" i="2"/>
  <c r="I3165" i="2"/>
  <c r="H3165" i="2"/>
  <c r="D3165" i="2"/>
  <c r="N3164" i="2"/>
  <c r="M3164" i="2"/>
  <c r="J3164" i="2"/>
  <c r="L3164" i="2" s="1"/>
  <c r="I3164" i="2"/>
  <c r="H3164" i="2"/>
  <c r="D3164" i="2"/>
  <c r="N3163" i="2"/>
  <c r="M3163" i="2"/>
  <c r="I3163" i="2"/>
  <c r="H3163" i="2"/>
  <c r="D3163" i="2"/>
  <c r="N3162" i="2"/>
  <c r="M3162" i="2"/>
  <c r="I3162" i="2"/>
  <c r="H3162" i="2"/>
  <c r="J3162" i="2" s="1"/>
  <c r="L3162" i="2" s="1"/>
  <c r="D3162" i="2"/>
  <c r="N3161" i="2"/>
  <c r="M3161" i="2"/>
  <c r="L3161" i="2"/>
  <c r="J3161" i="2"/>
  <c r="I3161" i="2"/>
  <c r="H3161" i="2"/>
  <c r="D3161" i="2"/>
  <c r="N3160" i="2"/>
  <c r="M3160" i="2"/>
  <c r="J3160" i="2"/>
  <c r="L3160" i="2" s="1"/>
  <c r="I3160" i="2"/>
  <c r="H3160" i="2"/>
  <c r="D3160" i="2"/>
  <c r="N3159" i="2"/>
  <c r="M3159" i="2"/>
  <c r="I3159" i="2"/>
  <c r="H3159" i="2"/>
  <c r="J3159" i="2" s="1"/>
  <c r="L3159" i="2" s="1"/>
  <c r="D3159" i="2"/>
  <c r="N3158" i="2"/>
  <c r="M3158" i="2"/>
  <c r="I3158" i="2"/>
  <c r="H3158" i="2"/>
  <c r="J3158" i="2" s="1"/>
  <c r="L3158" i="2" s="1"/>
  <c r="D3158" i="2"/>
  <c r="N3157" i="2"/>
  <c r="M3157" i="2"/>
  <c r="L3157" i="2"/>
  <c r="J3157" i="2"/>
  <c r="I3157" i="2"/>
  <c r="H3157" i="2"/>
  <c r="D3157" i="2"/>
  <c r="N3156" i="2"/>
  <c r="M3156" i="2"/>
  <c r="J3156" i="2"/>
  <c r="L3156" i="2" s="1"/>
  <c r="I3156" i="2"/>
  <c r="H3156" i="2"/>
  <c r="D3156" i="2"/>
  <c r="N3155" i="2"/>
  <c r="M3155" i="2"/>
  <c r="I3155" i="2"/>
  <c r="H3155" i="2"/>
  <c r="D3155" i="2"/>
  <c r="N3154" i="2"/>
  <c r="M3154" i="2"/>
  <c r="I3154" i="2"/>
  <c r="H3154" i="2"/>
  <c r="J3154" i="2" s="1"/>
  <c r="L3154" i="2" s="1"/>
  <c r="D3154" i="2"/>
  <c r="N3153" i="2"/>
  <c r="M3153" i="2"/>
  <c r="L3153" i="2"/>
  <c r="J3153" i="2"/>
  <c r="I3153" i="2"/>
  <c r="H3153" i="2"/>
  <c r="D3153" i="2"/>
  <c r="N3152" i="2"/>
  <c r="M3152" i="2"/>
  <c r="J3152" i="2"/>
  <c r="L3152" i="2" s="1"/>
  <c r="I3152" i="2"/>
  <c r="H3152" i="2"/>
  <c r="D3152" i="2"/>
  <c r="N3151" i="2"/>
  <c r="M3151" i="2"/>
  <c r="I3151" i="2"/>
  <c r="H3151" i="2"/>
  <c r="D3151" i="2"/>
  <c r="N3150" i="2"/>
  <c r="M3150" i="2"/>
  <c r="I3150" i="2"/>
  <c r="H3150" i="2"/>
  <c r="J3150" i="2" s="1"/>
  <c r="L3150" i="2" s="1"/>
  <c r="D3150" i="2"/>
  <c r="N3149" i="2"/>
  <c r="M3149" i="2"/>
  <c r="L3149" i="2"/>
  <c r="J3149" i="2"/>
  <c r="I3149" i="2"/>
  <c r="H3149" i="2"/>
  <c r="D3149" i="2"/>
  <c r="N3148" i="2"/>
  <c r="M3148" i="2"/>
  <c r="J3148" i="2"/>
  <c r="L3148" i="2" s="1"/>
  <c r="I3148" i="2"/>
  <c r="H3148" i="2"/>
  <c r="D3148" i="2"/>
  <c r="N3147" i="2"/>
  <c r="M3147" i="2"/>
  <c r="I3147" i="2"/>
  <c r="H3147" i="2"/>
  <c r="D3147" i="2"/>
  <c r="N3146" i="2"/>
  <c r="M3146" i="2"/>
  <c r="L3146" i="2"/>
  <c r="I3146" i="2"/>
  <c r="H3146" i="2"/>
  <c r="J3146" i="2" s="1"/>
  <c r="D3146" i="2"/>
  <c r="N3145" i="2"/>
  <c r="M3145" i="2"/>
  <c r="J3145" i="2"/>
  <c r="L3145" i="2" s="1"/>
  <c r="I3145" i="2"/>
  <c r="H3145" i="2"/>
  <c r="D3145" i="2"/>
  <c r="N3144" i="2"/>
  <c r="M3144" i="2"/>
  <c r="J3144" i="2"/>
  <c r="L3144" i="2" s="1"/>
  <c r="I3144" i="2"/>
  <c r="H3144" i="2"/>
  <c r="D3144" i="2"/>
  <c r="N3143" i="2"/>
  <c r="M3143" i="2"/>
  <c r="I3143" i="2"/>
  <c r="H3143" i="2"/>
  <c r="D3143" i="2"/>
  <c r="N3142" i="2"/>
  <c r="M3142" i="2"/>
  <c r="L3142" i="2"/>
  <c r="I3142" i="2"/>
  <c r="H3142" i="2"/>
  <c r="J3142" i="2" s="1"/>
  <c r="D3142" i="2"/>
  <c r="N3141" i="2"/>
  <c r="M3141" i="2"/>
  <c r="J3141" i="2"/>
  <c r="L3141" i="2" s="1"/>
  <c r="I3141" i="2"/>
  <c r="H3141" i="2"/>
  <c r="D3141" i="2"/>
  <c r="N3140" i="2"/>
  <c r="M3140" i="2"/>
  <c r="I3140" i="2"/>
  <c r="J3140" i="2" s="1"/>
  <c r="L3140" i="2" s="1"/>
  <c r="H3140" i="2"/>
  <c r="D3140" i="2"/>
  <c r="N3139" i="2"/>
  <c r="M3139" i="2"/>
  <c r="I3139" i="2"/>
  <c r="H3139" i="2"/>
  <c r="D3139" i="2"/>
  <c r="N3138" i="2"/>
  <c r="M3138" i="2"/>
  <c r="I3138" i="2"/>
  <c r="H3138" i="2"/>
  <c r="J3138" i="2" s="1"/>
  <c r="L3138" i="2" s="1"/>
  <c r="D3138" i="2"/>
  <c r="N3137" i="2"/>
  <c r="M3137" i="2"/>
  <c r="J3137" i="2"/>
  <c r="L3137" i="2" s="1"/>
  <c r="I3137" i="2"/>
  <c r="H3137" i="2"/>
  <c r="D3137" i="2"/>
  <c r="N3136" i="2"/>
  <c r="M3136" i="2"/>
  <c r="I3136" i="2"/>
  <c r="J3136" i="2" s="1"/>
  <c r="L3136" i="2" s="1"/>
  <c r="H3136" i="2"/>
  <c r="D3136" i="2"/>
  <c r="N3135" i="2"/>
  <c r="M3135" i="2"/>
  <c r="I3135" i="2"/>
  <c r="H3135" i="2"/>
  <c r="D3135" i="2"/>
  <c r="N3134" i="2"/>
  <c r="M3134" i="2"/>
  <c r="I3134" i="2"/>
  <c r="H3134" i="2"/>
  <c r="J3134" i="2" s="1"/>
  <c r="L3134" i="2" s="1"/>
  <c r="D3134" i="2"/>
  <c r="N3133" i="2"/>
  <c r="M3133" i="2"/>
  <c r="J3133" i="2"/>
  <c r="L3133" i="2" s="1"/>
  <c r="I3133" i="2"/>
  <c r="H3133" i="2"/>
  <c r="D3133" i="2"/>
  <c r="N3132" i="2"/>
  <c r="M3132" i="2"/>
  <c r="I3132" i="2"/>
  <c r="J3132" i="2" s="1"/>
  <c r="L3132" i="2" s="1"/>
  <c r="H3132" i="2"/>
  <c r="D3132" i="2"/>
  <c r="N3131" i="2"/>
  <c r="M3131" i="2"/>
  <c r="I3131" i="2"/>
  <c r="H3131" i="2"/>
  <c r="D3131" i="2"/>
  <c r="N3130" i="2"/>
  <c r="M3130" i="2"/>
  <c r="I3130" i="2"/>
  <c r="H3130" i="2"/>
  <c r="J3130" i="2" s="1"/>
  <c r="L3130" i="2" s="1"/>
  <c r="D3130" i="2"/>
  <c r="N3129" i="2"/>
  <c r="M3129" i="2"/>
  <c r="J3129" i="2"/>
  <c r="L3129" i="2" s="1"/>
  <c r="I3129" i="2"/>
  <c r="H3129" i="2"/>
  <c r="D3129" i="2"/>
  <c r="N3128" i="2"/>
  <c r="M3128" i="2"/>
  <c r="I3128" i="2"/>
  <c r="J3128" i="2" s="1"/>
  <c r="L3128" i="2" s="1"/>
  <c r="H3128" i="2"/>
  <c r="D3128" i="2"/>
  <c r="N3127" i="2"/>
  <c r="M3127" i="2"/>
  <c r="I3127" i="2"/>
  <c r="H3127" i="2"/>
  <c r="D3127" i="2"/>
  <c r="N3126" i="2"/>
  <c r="M3126" i="2"/>
  <c r="I3126" i="2"/>
  <c r="H3126" i="2"/>
  <c r="J3126" i="2" s="1"/>
  <c r="L3126" i="2" s="1"/>
  <c r="D3126" i="2"/>
  <c r="N3125" i="2"/>
  <c r="M3125" i="2"/>
  <c r="J3125" i="2"/>
  <c r="L3125" i="2" s="1"/>
  <c r="I3125" i="2"/>
  <c r="H3125" i="2"/>
  <c r="D3125" i="2"/>
  <c r="N3124" i="2"/>
  <c r="M3124" i="2"/>
  <c r="I3124" i="2"/>
  <c r="J3124" i="2" s="1"/>
  <c r="L3124" i="2" s="1"/>
  <c r="H3124" i="2"/>
  <c r="D3124" i="2"/>
  <c r="N3123" i="2"/>
  <c r="M3123" i="2"/>
  <c r="I3123" i="2"/>
  <c r="H3123" i="2"/>
  <c r="D3123" i="2"/>
  <c r="N3122" i="2"/>
  <c r="M3122" i="2"/>
  <c r="I3122" i="2"/>
  <c r="H3122" i="2"/>
  <c r="J3122" i="2" s="1"/>
  <c r="L3122" i="2" s="1"/>
  <c r="D3122" i="2"/>
  <c r="N3121" i="2"/>
  <c r="M3121" i="2"/>
  <c r="J3121" i="2"/>
  <c r="L3121" i="2" s="1"/>
  <c r="I3121" i="2"/>
  <c r="H3121" i="2"/>
  <c r="D3121" i="2"/>
  <c r="N3120" i="2"/>
  <c r="M3120" i="2"/>
  <c r="I3120" i="2"/>
  <c r="J3120" i="2" s="1"/>
  <c r="L3120" i="2" s="1"/>
  <c r="H3120" i="2"/>
  <c r="D3120" i="2"/>
  <c r="N3119" i="2"/>
  <c r="M3119" i="2"/>
  <c r="I3119" i="2"/>
  <c r="H3119" i="2"/>
  <c r="D3119" i="2"/>
  <c r="N3118" i="2"/>
  <c r="M3118" i="2"/>
  <c r="I3118" i="2"/>
  <c r="H3118" i="2"/>
  <c r="J3118" i="2" s="1"/>
  <c r="L3118" i="2" s="1"/>
  <c r="D3118" i="2"/>
  <c r="N3117" i="2"/>
  <c r="M3117" i="2"/>
  <c r="J3117" i="2"/>
  <c r="L3117" i="2" s="1"/>
  <c r="I3117" i="2"/>
  <c r="H3117" i="2"/>
  <c r="D3117" i="2"/>
  <c r="N3116" i="2"/>
  <c r="M3116" i="2"/>
  <c r="I3116" i="2"/>
  <c r="J3116" i="2" s="1"/>
  <c r="L3116" i="2" s="1"/>
  <c r="H3116" i="2"/>
  <c r="D3116" i="2"/>
  <c r="N3115" i="2"/>
  <c r="M3115" i="2"/>
  <c r="I3115" i="2"/>
  <c r="H3115" i="2"/>
  <c r="D3115" i="2"/>
  <c r="N3114" i="2"/>
  <c r="M3114" i="2"/>
  <c r="I3114" i="2"/>
  <c r="H3114" i="2"/>
  <c r="J3114" i="2" s="1"/>
  <c r="L3114" i="2" s="1"/>
  <c r="D3114" i="2"/>
  <c r="N3113" i="2"/>
  <c r="M3113" i="2"/>
  <c r="J3113" i="2"/>
  <c r="L3113" i="2" s="1"/>
  <c r="I3113" i="2"/>
  <c r="H3113" i="2"/>
  <c r="D3113" i="2"/>
  <c r="N3112" i="2"/>
  <c r="M3112" i="2"/>
  <c r="I3112" i="2"/>
  <c r="J3112" i="2" s="1"/>
  <c r="L3112" i="2" s="1"/>
  <c r="H3112" i="2"/>
  <c r="D3112" i="2"/>
  <c r="N3111" i="2"/>
  <c r="M3111" i="2"/>
  <c r="I3111" i="2"/>
  <c r="H3111" i="2"/>
  <c r="D3111" i="2"/>
  <c r="N3110" i="2"/>
  <c r="M3110" i="2"/>
  <c r="I3110" i="2"/>
  <c r="H3110" i="2"/>
  <c r="J3110" i="2" s="1"/>
  <c r="L3110" i="2" s="1"/>
  <c r="D3110" i="2"/>
  <c r="N3109" i="2"/>
  <c r="M3109" i="2"/>
  <c r="J3109" i="2"/>
  <c r="L3109" i="2" s="1"/>
  <c r="I3109" i="2"/>
  <c r="H3109" i="2"/>
  <c r="D3109" i="2"/>
  <c r="N3108" i="2"/>
  <c r="M3108" i="2"/>
  <c r="I3108" i="2"/>
  <c r="J3108" i="2" s="1"/>
  <c r="L3108" i="2" s="1"/>
  <c r="H3108" i="2"/>
  <c r="D3108" i="2"/>
  <c r="N3107" i="2"/>
  <c r="M3107" i="2"/>
  <c r="I3107" i="2"/>
  <c r="H3107" i="2"/>
  <c r="D3107" i="2"/>
  <c r="N3106" i="2"/>
  <c r="M3106" i="2"/>
  <c r="I3106" i="2"/>
  <c r="H3106" i="2"/>
  <c r="J3106" i="2" s="1"/>
  <c r="L3106" i="2" s="1"/>
  <c r="D3106" i="2"/>
  <c r="N3105" i="2"/>
  <c r="M3105" i="2"/>
  <c r="J3105" i="2"/>
  <c r="L3105" i="2" s="1"/>
  <c r="I3105" i="2"/>
  <c r="H3105" i="2"/>
  <c r="D3105" i="2"/>
  <c r="N3104" i="2"/>
  <c r="M3104" i="2"/>
  <c r="I3104" i="2"/>
  <c r="J3104" i="2" s="1"/>
  <c r="L3104" i="2" s="1"/>
  <c r="H3104" i="2"/>
  <c r="D3104" i="2"/>
  <c r="N3103" i="2"/>
  <c r="M3103" i="2"/>
  <c r="I3103" i="2"/>
  <c r="H3103" i="2"/>
  <c r="D3103" i="2"/>
  <c r="N3102" i="2"/>
  <c r="M3102" i="2"/>
  <c r="I3102" i="2"/>
  <c r="H3102" i="2"/>
  <c r="J3102" i="2" s="1"/>
  <c r="L3102" i="2" s="1"/>
  <c r="D3102" i="2"/>
  <c r="N3101" i="2"/>
  <c r="M3101" i="2"/>
  <c r="J3101" i="2"/>
  <c r="L3101" i="2" s="1"/>
  <c r="I3101" i="2"/>
  <c r="H3101" i="2"/>
  <c r="D3101" i="2"/>
  <c r="N3100" i="2"/>
  <c r="M3100" i="2"/>
  <c r="I3100" i="2"/>
  <c r="J3100" i="2" s="1"/>
  <c r="L3100" i="2" s="1"/>
  <c r="H3100" i="2"/>
  <c r="D3100" i="2"/>
  <c r="N3099" i="2"/>
  <c r="M3099" i="2"/>
  <c r="I3099" i="2"/>
  <c r="H3099" i="2"/>
  <c r="D3099" i="2"/>
  <c r="N3098" i="2"/>
  <c r="M3098" i="2"/>
  <c r="I3098" i="2"/>
  <c r="H3098" i="2"/>
  <c r="J3098" i="2" s="1"/>
  <c r="L3098" i="2" s="1"/>
  <c r="D3098" i="2"/>
  <c r="N3097" i="2"/>
  <c r="M3097" i="2"/>
  <c r="J3097" i="2"/>
  <c r="L3097" i="2" s="1"/>
  <c r="I3097" i="2"/>
  <c r="H3097" i="2"/>
  <c r="D3097" i="2"/>
  <c r="N3096" i="2"/>
  <c r="M3096" i="2"/>
  <c r="I3096" i="2"/>
  <c r="J3096" i="2" s="1"/>
  <c r="L3096" i="2" s="1"/>
  <c r="H3096" i="2"/>
  <c r="D3096" i="2"/>
  <c r="N3095" i="2"/>
  <c r="M3095" i="2"/>
  <c r="I3095" i="2"/>
  <c r="H3095" i="2"/>
  <c r="D3095" i="2"/>
  <c r="N3094" i="2"/>
  <c r="M3094" i="2"/>
  <c r="I3094" i="2"/>
  <c r="H3094" i="2"/>
  <c r="J3094" i="2" s="1"/>
  <c r="L3094" i="2" s="1"/>
  <c r="D3094" i="2"/>
  <c r="N3093" i="2"/>
  <c r="M3093" i="2"/>
  <c r="J3093" i="2"/>
  <c r="L3093" i="2" s="1"/>
  <c r="I3093" i="2"/>
  <c r="H3093" i="2"/>
  <c r="D3093" i="2"/>
  <c r="N3092" i="2"/>
  <c r="M3092" i="2"/>
  <c r="I3092" i="2"/>
  <c r="J3092" i="2" s="1"/>
  <c r="L3092" i="2" s="1"/>
  <c r="H3092" i="2"/>
  <c r="D3092" i="2"/>
  <c r="N3091" i="2"/>
  <c r="M3091" i="2"/>
  <c r="I3091" i="2"/>
  <c r="H3091" i="2"/>
  <c r="D3091" i="2"/>
  <c r="N3090" i="2"/>
  <c r="M3090" i="2"/>
  <c r="I3090" i="2"/>
  <c r="H3090" i="2"/>
  <c r="J3090" i="2" s="1"/>
  <c r="L3090" i="2" s="1"/>
  <c r="D3090" i="2"/>
  <c r="N3089" i="2"/>
  <c r="M3089" i="2"/>
  <c r="J3089" i="2"/>
  <c r="L3089" i="2" s="1"/>
  <c r="I3089" i="2"/>
  <c r="H3089" i="2"/>
  <c r="D3089" i="2"/>
  <c r="N3088" i="2"/>
  <c r="M3088" i="2"/>
  <c r="I3088" i="2"/>
  <c r="J3088" i="2" s="1"/>
  <c r="L3088" i="2" s="1"/>
  <c r="H3088" i="2"/>
  <c r="D3088" i="2"/>
  <c r="N3087" i="2"/>
  <c r="M3087" i="2"/>
  <c r="I3087" i="2"/>
  <c r="H3087" i="2"/>
  <c r="D3087" i="2"/>
  <c r="N3086" i="2"/>
  <c r="M3086" i="2"/>
  <c r="I3086" i="2"/>
  <c r="H3086" i="2"/>
  <c r="J3086" i="2" s="1"/>
  <c r="L3086" i="2" s="1"/>
  <c r="D3086" i="2"/>
  <c r="N3085" i="2"/>
  <c r="M3085" i="2"/>
  <c r="J3085" i="2"/>
  <c r="L3085" i="2" s="1"/>
  <c r="I3085" i="2"/>
  <c r="H3085" i="2"/>
  <c r="D3085" i="2"/>
  <c r="N3084" i="2"/>
  <c r="M3084" i="2"/>
  <c r="I3084" i="2"/>
  <c r="H3084" i="2"/>
  <c r="J3084" i="2" s="1"/>
  <c r="L3084" i="2" s="1"/>
  <c r="D3084" i="2"/>
  <c r="N3083" i="2"/>
  <c r="M3083" i="2"/>
  <c r="L3083" i="2"/>
  <c r="I3083" i="2"/>
  <c r="H3083" i="2"/>
  <c r="J3083" i="2" s="1"/>
  <c r="D3083" i="2"/>
  <c r="N3082" i="2"/>
  <c r="M3082" i="2"/>
  <c r="J3082" i="2"/>
  <c r="L3082" i="2" s="1"/>
  <c r="I3082" i="2"/>
  <c r="H3082" i="2"/>
  <c r="D3082" i="2"/>
  <c r="N3081" i="2"/>
  <c r="M3081" i="2"/>
  <c r="I3081" i="2"/>
  <c r="J3081" i="2" s="1"/>
  <c r="L3081" i="2" s="1"/>
  <c r="H3081" i="2"/>
  <c r="D3081" i="2"/>
  <c r="N3080" i="2"/>
  <c r="M3080" i="2"/>
  <c r="J3080" i="2"/>
  <c r="L3080" i="2" s="1"/>
  <c r="I3080" i="2"/>
  <c r="H3080" i="2"/>
  <c r="D3080" i="2"/>
  <c r="N3079" i="2"/>
  <c r="M3079" i="2"/>
  <c r="I3079" i="2"/>
  <c r="H3079" i="2"/>
  <c r="J3079" i="2" s="1"/>
  <c r="L3079" i="2" s="1"/>
  <c r="D3079" i="2"/>
  <c r="N3078" i="2"/>
  <c r="M3078" i="2"/>
  <c r="I3078" i="2"/>
  <c r="H3078" i="2"/>
  <c r="J3078" i="2" s="1"/>
  <c r="L3078" i="2" s="1"/>
  <c r="D3078" i="2"/>
  <c r="N3077" i="2"/>
  <c r="M3077" i="2"/>
  <c r="J3077" i="2"/>
  <c r="L3077" i="2" s="1"/>
  <c r="I3077" i="2"/>
  <c r="H3077" i="2"/>
  <c r="D3077" i="2"/>
  <c r="N3076" i="2"/>
  <c r="M3076" i="2"/>
  <c r="I3076" i="2"/>
  <c r="H3076" i="2"/>
  <c r="J3076" i="2" s="1"/>
  <c r="L3076" i="2" s="1"/>
  <c r="D3076" i="2"/>
  <c r="N3075" i="2"/>
  <c r="M3075" i="2"/>
  <c r="L3075" i="2"/>
  <c r="I3075" i="2"/>
  <c r="H3075" i="2"/>
  <c r="J3075" i="2" s="1"/>
  <c r="D3075" i="2"/>
  <c r="N3074" i="2"/>
  <c r="M3074" i="2"/>
  <c r="J3074" i="2"/>
  <c r="L3074" i="2" s="1"/>
  <c r="I3074" i="2"/>
  <c r="H3074" i="2"/>
  <c r="D3074" i="2"/>
  <c r="N3073" i="2"/>
  <c r="M3073" i="2"/>
  <c r="I3073" i="2"/>
  <c r="J3073" i="2" s="1"/>
  <c r="L3073" i="2" s="1"/>
  <c r="H3073" i="2"/>
  <c r="D3073" i="2"/>
  <c r="N3072" i="2"/>
  <c r="M3072" i="2"/>
  <c r="J3072" i="2"/>
  <c r="L3072" i="2" s="1"/>
  <c r="I3072" i="2"/>
  <c r="H3072" i="2"/>
  <c r="D3072" i="2"/>
  <c r="N3071" i="2"/>
  <c r="M3071" i="2"/>
  <c r="I3071" i="2"/>
  <c r="H3071" i="2"/>
  <c r="J3071" i="2" s="1"/>
  <c r="L3071" i="2" s="1"/>
  <c r="D3071" i="2"/>
  <c r="N3070" i="2"/>
  <c r="M3070" i="2"/>
  <c r="I3070" i="2"/>
  <c r="H3070" i="2"/>
  <c r="J3070" i="2" s="1"/>
  <c r="L3070" i="2" s="1"/>
  <c r="D3070" i="2"/>
  <c r="N3069" i="2"/>
  <c r="M3069" i="2"/>
  <c r="J3069" i="2"/>
  <c r="L3069" i="2" s="1"/>
  <c r="I3069" i="2"/>
  <c r="H3069" i="2"/>
  <c r="D3069" i="2"/>
  <c r="N3068" i="2"/>
  <c r="M3068" i="2"/>
  <c r="I3068" i="2"/>
  <c r="H3068" i="2"/>
  <c r="J3068" i="2" s="1"/>
  <c r="L3068" i="2" s="1"/>
  <c r="D3068" i="2"/>
  <c r="N3067" i="2"/>
  <c r="M3067" i="2"/>
  <c r="L3067" i="2"/>
  <c r="I3067" i="2"/>
  <c r="H3067" i="2"/>
  <c r="J3067" i="2" s="1"/>
  <c r="D3067" i="2"/>
  <c r="N3066" i="2"/>
  <c r="M3066" i="2"/>
  <c r="J3066" i="2"/>
  <c r="L3066" i="2" s="1"/>
  <c r="I3066" i="2"/>
  <c r="H3066" i="2"/>
  <c r="D3066" i="2"/>
  <c r="N3065" i="2"/>
  <c r="M3065" i="2"/>
  <c r="I3065" i="2"/>
  <c r="J3065" i="2" s="1"/>
  <c r="L3065" i="2" s="1"/>
  <c r="H3065" i="2"/>
  <c r="D3065" i="2"/>
  <c r="N3064" i="2"/>
  <c r="M3064" i="2"/>
  <c r="J3064" i="2"/>
  <c r="L3064" i="2" s="1"/>
  <c r="I3064" i="2"/>
  <c r="H3064" i="2"/>
  <c r="D3064" i="2"/>
  <c r="N3063" i="2"/>
  <c r="M3063" i="2"/>
  <c r="I3063" i="2"/>
  <c r="H3063" i="2"/>
  <c r="J3063" i="2" s="1"/>
  <c r="L3063" i="2" s="1"/>
  <c r="D3063" i="2"/>
  <c r="N3062" i="2"/>
  <c r="M3062" i="2"/>
  <c r="I3062" i="2"/>
  <c r="H3062" i="2"/>
  <c r="J3062" i="2" s="1"/>
  <c r="L3062" i="2" s="1"/>
  <c r="D3062" i="2"/>
  <c r="N3061" i="2"/>
  <c r="M3061" i="2"/>
  <c r="J3061" i="2"/>
  <c r="L3061" i="2" s="1"/>
  <c r="I3061" i="2"/>
  <c r="H3061" i="2"/>
  <c r="D3061" i="2"/>
  <c r="N3060" i="2"/>
  <c r="M3060" i="2"/>
  <c r="I3060" i="2"/>
  <c r="H3060" i="2"/>
  <c r="J3060" i="2" s="1"/>
  <c r="L3060" i="2" s="1"/>
  <c r="D3060" i="2"/>
  <c r="N3059" i="2"/>
  <c r="M3059" i="2"/>
  <c r="I3059" i="2"/>
  <c r="H3059" i="2"/>
  <c r="J3059" i="2" s="1"/>
  <c r="L3059" i="2" s="1"/>
  <c r="D3059" i="2"/>
  <c r="N3058" i="2"/>
  <c r="M3058" i="2"/>
  <c r="J3058" i="2"/>
  <c r="L3058" i="2" s="1"/>
  <c r="I3058" i="2"/>
  <c r="H3058" i="2"/>
  <c r="D3058" i="2"/>
  <c r="N3057" i="2"/>
  <c r="M3057" i="2"/>
  <c r="I3057" i="2"/>
  <c r="J3057" i="2" s="1"/>
  <c r="L3057" i="2" s="1"/>
  <c r="H3057" i="2"/>
  <c r="D3057" i="2"/>
  <c r="N3056" i="2"/>
  <c r="M3056" i="2"/>
  <c r="I3056" i="2"/>
  <c r="H3056" i="2"/>
  <c r="J3056" i="2" s="1"/>
  <c r="L3056" i="2" s="1"/>
  <c r="D3056" i="2"/>
  <c r="N3055" i="2"/>
  <c r="M3055" i="2"/>
  <c r="I3055" i="2"/>
  <c r="H3055" i="2"/>
  <c r="J3055" i="2" s="1"/>
  <c r="L3055" i="2" s="1"/>
  <c r="D3055" i="2"/>
  <c r="N3054" i="2"/>
  <c r="M3054" i="2"/>
  <c r="J3054" i="2"/>
  <c r="L3054" i="2" s="1"/>
  <c r="I3054" i="2"/>
  <c r="H3054" i="2"/>
  <c r="D3054" i="2"/>
  <c r="N3053" i="2"/>
  <c r="M3053" i="2"/>
  <c r="I3053" i="2"/>
  <c r="J3053" i="2" s="1"/>
  <c r="L3053" i="2" s="1"/>
  <c r="H3053" i="2"/>
  <c r="D3053" i="2"/>
  <c r="N3052" i="2"/>
  <c r="M3052" i="2"/>
  <c r="I3052" i="2"/>
  <c r="H3052" i="2"/>
  <c r="J3052" i="2" s="1"/>
  <c r="L3052" i="2" s="1"/>
  <c r="D3052" i="2"/>
  <c r="N3051" i="2"/>
  <c r="M3051" i="2"/>
  <c r="I3051" i="2"/>
  <c r="H3051" i="2"/>
  <c r="J3051" i="2" s="1"/>
  <c r="L3051" i="2" s="1"/>
  <c r="D3051" i="2"/>
  <c r="N3050" i="2"/>
  <c r="M3050" i="2"/>
  <c r="J3050" i="2"/>
  <c r="L3050" i="2" s="1"/>
  <c r="I3050" i="2"/>
  <c r="H3050" i="2"/>
  <c r="D3050" i="2"/>
  <c r="N3049" i="2"/>
  <c r="M3049" i="2"/>
  <c r="I3049" i="2"/>
  <c r="J3049" i="2" s="1"/>
  <c r="L3049" i="2" s="1"/>
  <c r="H3049" i="2"/>
  <c r="D3049" i="2"/>
  <c r="N3048" i="2"/>
  <c r="M3048" i="2"/>
  <c r="I3048" i="2"/>
  <c r="H3048" i="2"/>
  <c r="J3048" i="2" s="1"/>
  <c r="L3048" i="2" s="1"/>
  <c r="D3048" i="2"/>
  <c r="N3047" i="2"/>
  <c r="M3047" i="2"/>
  <c r="I3047" i="2"/>
  <c r="H3047" i="2"/>
  <c r="J3047" i="2" s="1"/>
  <c r="L3047" i="2" s="1"/>
  <c r="D3047" i="2"/>
  <c r="N3046" i="2"/>
  <c r="M3046" i="2"/>
  <c r="J3046" i="2"/>
  <c r="L3046" i="2" s="1"/>
  <c r="I3046" i="2"/>
  <c r="H3046" i="2"/>
  <c r="D3046" i="2"/>
  <c r="N3045" i="2"/>
  <c r="M3045" i="2"/>
  <c r="I3045" i="2"/>
  <c r="J3045" i="2" s="1"/>
  <c r="L3045" i="2" s="1"/>
  <c r="H3045" i="2"/>
  <c r="D3045" i="2"/>
  <c r="N3044" i="2"/>
  <c r="M3044" i="2"/>
  <c r="I3044" i="2"/>
  <c r="H3044" i="2"/>
  <c r="J3044" i="2" s="1"/>
  <c r="L3044" i="2" s="1"/>
  <c r="D3044" i="2"/>
  <c r="N3043" i="2"/>
  <c r="M3043" i="2"/>
  <c r="I3043" i="2"/>
  <c r="H3043" i="2"/>
  <c r="J3043" i="2" s="1"/>
  <c r="L3043" i="2" s="1"/>
  <c r="D3043" i="2"/>
  <c r="N3042" i="2"/>
  <c r="M3042" i="2"/>
  <c r="J3042" i="2"/>
  <c r="L3042" i="2" s="1"/>
  <c r="I3042" i="2"/>
  <c r="H3042" i="2"/>
  <c r="D3042" i="2"/>
  <c r="N3041" i="2"/>
  <c r="M3041" i="2"/>
  <c r="I3041" i="2"/>
  <c r="J3041" i="2" s="1"/>
  <c r="L3041" i="2" s="1"/>
  <c r="H3041" i="2"/>
  <c r="D3041" i="2"/>
  <c r="N3040" i="2"/>
  <c r="M3040" i="2"/>
  <c r="I3040" i="2"/>
  <c r="H3040" i="2"/>
  <c r="J3040" i="2" s="1"/>
  <c r="L3040" i="2" s="1"/>
  <c r="D3040" i="2"/>
  <c r="N3039" i="2"/>
  <c r="M3039" i="2"/>
  <c r="I3039" i="2"/>
  <c r="H3039" i="2"/>
  <c r="J3039" i="2" s="1"/>
  <c r="L3039" i="2" s="1"/>
  <c r="D3039" i="2"/>
  <c r="N3038" i="2"/>
  <c r="M3038" i="2"/>
  <c r="J3038" i="2"/>
  <c r="L3038" i="2" s="1"/>
  <c r="I3038" i="2"/>
  <c r="H3038" i="2"/>
  <c r="D3038" i="2"/>
  <c r="N3037" i="2"/>
  <c r="M3037" i="2"/>
  <c r="I3037" i="2"/>
  <c r="J3037" i="2" s="1"/>
  <c r="L3037" i="2" s="1"/>
  <c r="H3037" i="2"/>
  <c r="D3037" i="2"/>
  <c r="N3036" i="2"/>
  <c r="M3036" i="2"/>
  <c r="I3036" i="2"/>
  <c r="H3036" i="2"/>
  <c r="J3036" i="2" s="1"/>
  <c r="L3036" i="2" s="1"/>
  <c r="D3036" i="2"/>
  <c r="N3035" i="2"/>
  <c r="M3035" i="2"/>
  <c r="I3035" i="2"/>
  <c r="H3035" i="2"/>
  <c r="J3035" i="2" s="1"/>
  <c r="L3035" i="2" s="1"/>
  <c r="D3035" i="2"/>
  <c r="N3034" i="2"/>
  <c r="M3034" i="2"/>
  <c r="J3034" i="2"/>
  <c r="L3034" i="2" s="1"/>
  <c r="I3034" i="2"/>
  <c r="H3034" i="2"/>
  <c r="D3034" i="2"/>
  <c r="N3033" i="2"/>
  <c r="M3033" i="2"/>
  <c r="I3033" i="2"/>
  <c r="J3033" i="2" s="1"/>
  <c r="L3033" i="2" s="1"/>
  <c r="H3033" i="2"/>
  <c r="D3033" i="2"/>
  <c r="N3032" i="2"/>
  <c r="M3032" i="2"/>
  <c r="I3032" i="2"/>
  <c r="H3032" i="2"/>
  <c r="J3032" i="2" s="1"/>
  <c r="L3032" i="2" s="1"/>
  <c r="D3032" i="2"/>
  <c r="N3031" i="2"/>
  <c r="M3031" i="2"/>
  <c r="I3031" i="2"/>
  <c r="H3031" i="2"/>
  <c r="J3031" i="2" s="1"/>
  <c r="L3031" i="2" s="1"/>
  <c r="D3031" i="2"/>
  <c r="N3030" i="2"/>
  <c r="M3030" i="2"/>
  <c r="J3030" i="2"/>
  <c r="L3030" i="2" s="1"/>
  <c r="I3030" i="2"/>
  <c r="H3030" i="2"/>
  <c r="D3030" i="2"/>
  <c r="N3029" i="2"/>
  <c r="M3029" i="2"/>
  <c r="I3029" i="2"/>
  <c r="J3029" i="2" s="1"/>
  <c r="L3029" i="2" s="1"/>
  <c r="H3029" i="2"/>
  <c r="D3029" i="2"/>
  <c r="N3028" i="2"/>
  <c r="M3028" i="2"/>
  <c r="I3028" i="2"/>
  <c r="H3028" i="2"/>
  <c r="J3028" i="2" s="1"/>
  <c r="L3028" i="2" s="1"/>
  <c r="D3028" i="2"/>
  <c r="N3027" i="2"/>
  <c r="M3027" i="2"/>
  <c r="I3027" i="2"/>
  <c r="H3027" i="2"/>
  <c r="J3027" i="2" s="1"/>
  <c r="L3027" i="2" s="1"/>
  <c r="D3027" i="2"/>
  <c r="N3026" i="2"/>
  <c r="M3026" i="2"/>
  <c r="J3026" i="2"/>
  <c r="L3026" i="2" s="1"/>
  <c r="I3026" i="2"/>
  <c r="H3026" i="2"/>
  <c r="D3026" i="2"/>
  <c r="N3025" i="2"/>
  <c r="M3025" i="2"/>
  <c r="I3025" i="2"/>
  <c r="J3025" i="2" s="1"/>
  <c r="L3025" i="2" s="1"/>
  <c r="H3025" i="2"/>
  <c r="D3025" i="2"/>
  <c r="N3024" i="2"/>
  <c r="M3024" i="2"/>
  <c r="I3024" i="2"/>
  <c r="H3024" i="2"/>
  <c r="J3024" i="2" s="1"/>
  <c r="L3024" i="2" s="1"/>
  <c r="D3024" i="2"/>
  <c r="N3023" i="2"/>
  <c r="M3023" i="2"/>
  <c r="I3023" i="2"/>
  <c r="H3023" i="2"/>
  <c r="J3023" i="2" s="1"/>
  <c r="L3023" i="2" s="1"/>
  <c r="D3023" i="2"/>
  <c r="N3022" i="2"/>
  <c r="M3022" i="2"/>
  <c r="J3022" i="2"/>
  <c r="L3022" i="2" s="1"/>
  <c r="I3022" i="2"/>
  <c r="H3022" i="2"/>
  <c r="D3022" i="2"/>
  <c r="N3021" i="2"/>
  <c r="M3021" i="2"/>
  <c r="I3021" i="2"/>
  <c r="J3021" i="2" s="1"/>
  <c r="L3021" i="2" s="1"/>
  <c r="H3021" i="2"/>
  <c r="D3021" i="2"/>
  <c r="N3020" i="2"/>
  <c r="M3020" i="2"/>
  <c r="I3020" i="2"/>
  <c r="H3020" i="2"/>
  <c r="J3020" i="2" s="1"/>
  <c r="L3020" i="2" s="1"/>
  <c r="D3020" i="2"/>
  <c r="N3019" i="2"/>
  <c r="M3019" i="2"/>
  <c r="I3019" i="2"/>
  <c r="H3019" i="2"/>
  <c r="J3019" i="2" s="1"/>
  <c r="L3019" i="2" s="1"/>
  <c r="D3019" i="2"/>
  <c r="N3018" i="2"/>
  <c r="M3018" i="2"/>
  <c r="J3018" i="2"/>
  <c r="L3018" i="2" s="1"/>
  <c r="I3018" i="2"/>
  <c r="H3018" i="2"/>
  <c r="D3018" i="2"/>
  <c r="N3017" i="2"/>
  <c r="M3017" i="2"/>
  <c r="I3017" i="2"/>
  <c r="J3017" i="2" s="1"/>
  <c r="L3017" i="2" s="1"/>
  <c r="H3017" i="2"/>
  <c r="D3017" i="2"/>
  <c r="N3016" i="2"/>
  <c r="M3016" i="2"/>
  <c r="I3016" i="2"/>
  <c r="H3016" i="2"/>
  <c r="J3016" i="2" s="1"/>
  <c r="L3016" i="2" s="1"/>
  <c r="D3016" i="2"/>
  <c r="N3015" i="2"/>
  <c r="M3015" i="2"/>
  <c r="I3015" i="2"/>
  <c r="H3015" i="2"/>
  <c r="J3015" i="2" s="1"/>
  <c r="L3015" i="2" s="1"/>
  <c r="D3015" i="2"/>
  <c r="N3014" i="2"/>
  <c r="M3014" i="2"/>
  <c r="J3014" i="2"/>
  <c r="L3014" i="2" s="1"/>
  <c r="I3014" i="2"/>
  <c r="H3014" i="2"/>
  <c r="D3014" i="2"/>
  <c r="N3013" i="2"/>
  <c r="M3013" i="2"/>
  <c r="I3013" i="2"/>
  <c r="J3013" i="2" s="1"/>
  <c r="L3013" i="2" s="1"/>
  <c r="H3013" i="2"/>
  <c r="D3013" i="2"/>
  <c r="N3012" i="2"/>
  <c r="M3012" i="2"/>
  <c r="I3012" i="2"/>
  <c r="H3012" i="2"/>
  <c r="J3012" i="2" s="1"/>
  <c r="L3012" i="2" s="1"/>
  <c r="D3012" i="2"/>
  <c r="N3011" i="2"/>
  <c r="M3011" i="2"/>
  <c r="I3011" i="2"/>
  <c r="H3011" i="2"/>
  <c r="J3011" i="2" s="1"/>
  <c r="L3011" i="2" s="1"/>
  <c r="D3011" i="2"/>
  <c r="N3010" i="2"/>
  <c r="M3010" i="2"/>
  <c r="J3010" i="2"/>
  <c r="L3010" i="2" s="1"/>
  <c r="I3010" i="2"/>
  <c r="H3010" i="2"/>
  <c r="D3010" i="2"/>
  <c r="N3009" i="2"/>
  <c r="M3009" i="2"/>
  <c r="I3009" i="2"/>
  <c r="J3009" i="2" s="1"/>
  <c r="L3009" i="2" s="1"/>
  <c r="H3009" i="2"/>
  <c r="D3009" i="2"/>
  <c r="N3008" i="2"/>
  <c r="M3008" i="2"/>
  <c r="I3008" i="2"/>
  <c r="H3008" i="2"/>
  <c r="J3008" i="2" s="1"/>
  <c r="L3008" i="2" s="1"/>
  <c r="D3008" i="2"/>
  <c r="N3007" i="2"/>
  <c r="M3007" i="2"/>
  <c r="L3007" i="2"/>
  <c r="I3007" i="2"/>
  <c r="H3007" i="2"/>
  <c r="J3007" i="2" s="1"/>
  <c r="D3007" i="2"/>
  <c r="N3006" i="2"/>
  <c r="M3006" i="2"/>
  <c r="J3006" i="2"/>
  <c r="L3006" i="2" s="1"/>
  <c r="I3006" i="2"/>
  <c r="H3006" i="2"/>
  <c r="D3006" i="2"/>
  <c r="N3005" i="2"/>
  <c r="M3005" i="2"/>
  <c r="I3005" i="2"/>
  <c r="J3005" i="2" s="1"/>
  <c r="L3005" i="2" s="1"/>
  <c r="H3005" i="2"/>
  <c r="D3005" i="2"/>
  <c r="N3004" i="2"/>
  <c r="M3004" i="2"/>
  <c r="I3004" i="2"/>
  <c r="H3004" i="2"/>
  <c r="J3004" i="2" s="1"/>
  <c r="L3004" i="2" s="1"/>
  <c r="D3004" i="2"/>
  <c r="N3003" i="2"/>
  <c r="M3003" i="2"/>
  <c r="I3003" i="2"/>
  <c r="H3003" i="2"/>
  <c r="J3003" i="2" s="1"/>
  <c r="L3003" i="2" s="1"/>
  <c r="D3003" i="2"/>
  <c r="N3002" i="2"/>
  <c r="M3002" i="2"/>
  <c r="L3002" i="2"/>
  <c r="J3002" i="2"/>
  <c r="I3002" i="2"/>
  <c r="H3002" i="2"/>
  <c r="D3002" i="2"/>
  <c r="N3001" i="2"/>
  <c r="M3001" i="2"/>
  <c r="I3001" i="2"/>
  <c r="J3001" i="2" s="1"/>
  <c r="L3001" i="2" s="1"/>
  <c r="H3001" i="2"/>
  <c r="D3001" i="2"/>
  <c r="N3000" i="2"/>
  <c r="M3000" i="2"/>
  <c r="I3000" i="2"/>
  <c r="H3000" i="2"/>
  <c r="D3000" i="2"/>
  <c r="N2999" i="2"/>
  <c r="M2999" i="2"/>
  <c r="I2999" i="2"/>
  <c r="H2999" i="2"/>
  <c r="J2999" i="2" s="1"/>
  <c r="L2999" i="2" s="1"/>
  <c r="D2999" i="2"/>
  <c r="N2998" i="2"/>
  <c r="M2998" i="2"/>
  <c r="L2998" i="2"/>
  <c r="J2998" i="2"/>
  <c r="I2998" i="2"/>
  <c r="H2998" i="2"/>
  <c r="D2998" i="2"/>
  <c r="N2997" i="2"/>
  <c r="M2997" i="2"/>
  <c r="I2997" i="2"/>
  <c r="J2997" i="2" s="1"/>
  <c r="L2997" i="2" s="1"/>
  <c r="H2997" i="2"/>
  <c r="D2997" i="2"/>
  <c r="N2996" i="2"/>
  <c r="M2996" i="2"/>
  <c r="I2996" i="2"/>
  <c r="H2996" i="2"/>
  <c r="D2996" i="2"/>
  <c r="N2995" i="2"/>
  <c r="M2995" i="2"/>
  <c r="I2995" i="2"/>
  <c r="H2995" i="2"/>
  <c r="J2995" i="2" s="1"/>
  <c r="L2995" i="2" s="1"/>
  <c r="D2995" i="2"/>
  <c r="N2994" i="2"/>
  <c r="M2994" i="2"/>
  <c r="J2994" i="2"/>
  <c r="L2994" i="2" s="1"/>
  <c r="I2994" i="2"/>
  <c r="H2994" i="2"/>
  <c r="D2994" i="2"/>
  <c r="N2993" i="2"/>
  <c r="M2993" i="2"/>
  <c r="I2993" i="2"/>
  <c r="J2993" i="2" s="1"/>
  <c r="L2993" i="2" s="1"/>
  <c r="H2993" i="2"/>
  <c r="D2993" i="2"/>
  <c r="N2992" i="2"/>
  <c r="M2992" i="2"/>
  <c r="I2992" i="2"/>
  <c r="H2992" i="2"/>
  <c r="D2992" i="2"/>
  <c r="N2991" i="2"/>
  <c r="M2991" i="2"/>
  <c r="I2991" i="2"/>
  <c r="H2991" i="2"/>
  <c r="J2991" i="2" s="1"/>
  <c r="L2991" i="2" s="1"/>
  <c r="D2991" i="2"/>
  <c r="N2990" i="2"/>
  <c r="M2990" i="2"/>
  <c r="J2990" i="2"/>
  <c r="L2990" i="2" s="1"/>
  <c r="I2990" i="2"/>
  <c r="H2990" i="2"/>
  <c r="D2990" i="2"/>
  <c r="N2989" i="2"/>
  <c r="M2989" i="2"/>
  <c r="I2989" i="2"/>
  <c r="J2989" i="2" s="1"/>
  <c r="L2989" i="2" s="1"/>
  <c r="H2989" i="2"/>
  <c r="D2989" i="2"/>
  <c r="N2988" i="2"/>
  <c r="M2988" i="2"/>
  <c r="I2988" i="2"/>
  <c r="H2988" i="2"/>
  <c r="D2988" i="2"/>
  <c r="N2987" i="2"/>
  <c r="M2987" i="2"/>
  <c r="I2987" i="2"/>
  <c r="H2987" i="2"/>
  <c r="J2987" i="2" s="1"/>
  <c r="L2987" i="2" s="1"/>
  <c r="D2987" i="2"/>
  <c r="N2986" i="2"/>
  <c r="M2986" i="2"/>
  <c r="J2986" i="2"/>
  <c r="L2986" i="2" s="1"/>
  <c r="I2986" i="2"/>
  <c r="H2986" i="2"/>
  <c r="D2986" i="2"/>
  <c r="N2985" i="2"/>
  <c r="M2985" i="2"/>
  <c r="I2985" i="2"/>
  <c r="J2985" i="2" s="1"/>
  <c r="L2985" i="2" s="1"/>
  <c r="H2985" i="2"/>
  <c r="D2985" i="2"/>
  <c r="N2984" i="2"/>
  <c r="M2984" i="2"/>
  <c r="I2984" i="2"/>
  <c r="H2984" i="2"/>
  <c r="D2984" i="2"/>
  <c r="N2983" i="2"/>
  <c r="M2983" i="2"/>
  <c r="I2983" i="2"/>
  <c r="H2983" i="2"/>
  <c r="J2983" i="2" s="1"/>
  <c r="L2983" i="2" s="1"/>
  <c r="D2983" i="2"/>
  <c r="N2982" i="2"/>
  <c r="M2982" i="2"/>
  <c r="J2982" i="2"/>
  <c r="L2982" i="2" s="1"/>
  <c r="I2982" i="2"/>
  <c r="H2982" i="2"/>
  <c r="D2982" i="2"/>
  <c r="N2981" i="2"/>
  <c r="M2981" i="2"/>
  <c r="I2981" i="2"/>
  <c r="J2981" i="2" s="1"/>
  <c r="L2981" i="2" s="1"/>
  <c r="H2981" i="2"/>
  <c r="D2981" i="2"/>
  <c r="N2980" i="2"/>
  <c r="M2980" i="2"/>
  <c r="I2980" i="2"/>
  <c r="H2980" i="2"/>
  <c r="D2980" i="2"/>
  <c r="N2979" i="2"/>
  <c r="M2979" i="2"/>
  <c r="I2979" i="2"/>
  <c r="H2979" i="2"/>
  <c r="J2979" i="2" s="1"/>
  <c r="L2979" i="2" s="1"/>
  <c r="D2979" i="2"/>
  <c r="N2978" i="2"/>
  <c r="M2978" i="2"/>
  <c r="J2978" i="2"/>
  <c r="L2978" i="2" s="1"/>
  <c r="I2978" i="2"/>
  <c r="H2978" i="2"/>
  <c r="D2978" i="2"/>
  <c r="N2977" i="2"/>
  <c r="M2977" i="2"/>
  <c r="I2977" i="2"/>
  <c r="J2977" i="2" s="1"/>
  <c r="L2977" i="2" s="1"/>
  <c r="H2977" i="2"/>
  <c r="D2977" i="2"/>
  <c r="N2976" i="2"/>
  <c r="M2976" i="2"/>
  <c r="I2976" i="2"/>
  <c r="H2976" i="2"/>
  <c r="D2976" i="2"/>
  <c r="N2975" i="2"/>
  <c r="M2975" i="2"/>
  <c r="I2975" i="2"/>
  <c r="H2975" i="2"/>
  <c r="J2975" i="2" s="1"/>
  <c r="L2975" i="2" s="1"/>
  <c r="D2975" i="2"/>
  <c r="N2974" i="2"/>
  <c r="M2974" i="2"/>
  <c r="J2974" i="2"/>
  <c r="L2974" i="2" s="1"/>
  <c r="I2974" i="2"/>
  <c r="H2974" i="2"/>
  <c r="D2974" i="2"/>
  <c r="N2973" i="2"/>
  <c r="M2973" i="2"/>
  <c r="I2973" i="2"/>
  <c r="J2973" i="2" s="1"/>
  <c r="L2973" i="2" s="1"/>
  <c r="H2973" i="2"/>
  <c r="D2973" i="2"/>
  <c r="N2972" i="2"/>
  <c r="M2972" i="2"/>
  <c r="I2972" i="2"/>
  <c r="H2972" i="2"/>
  <c r="J2972" i="2" s="1"/>
  <c r="L2972" i="2" s="1"/>
  <c r="D2972" i="2"/>
  <c r="N2971" i="2"/>
  <c r="M2971" i="2"/>
  <c r="I2971" i="2"/>
  <c r="H2971" i="2"/>
  <c r="D2971" i="2"/>
  <c r="N2970" i="2"/>
  <c r="M2970" i="2"/>
  <c r="I2970" i="2"/>
  <c r="H2970" i="2"/>
  <c r="J2970" i="2" s="1"/>
  <c r="L2970" i="2" s="1"/>
  <c r="D2970" i="2"/>
  <c r="N2969" i="2"/>
  <c r="M2969" i="2"/>
  <c r="I2969" i="2"/>
  <c r="H2969" i="2"/>
  <c r="J2969" i="2" s="1"/>
  <c r="L2969" i="2" s="1"/>
  <c r="D2969" i="2"/>
  <c r="N2968" i="2"/>
  <c r="M2968" i="2"/>
  <c r="J2968" i="2"/>
  <c r="L2968" i="2" s="1"/>
  <c r="I2968" i="2"/>
  <c r="H2968" i="2"/>
  <c r="D2968" i="2"/>
  <c r="N2967" i="2"/>
  <c r="M2967" i="2"/>
  <c r="I2967" i="2"/>
  <c r="J2967" i="2" s="1"/>
  <c r="L2967" i="2" s="1"/>
  <c r="H2967" i="2"/>
  <c r="D2967" i="2"/>
  <c r="N2966" i="2"/>
  <c r="M2966" i="2"/>
  <c r="I2966" i="2"/>
  <c r="H2966" i="2"/>
  <c r="J2966" i="2" s="1"/>
  <c r="L2966" i="2" s="1"/>
  <c r="D2966" i="2"/>
  <c r="N2965" i="2"/>
  <c r="M2965" i="2"/>
  <c r="I2965" i="2"/>
  <c r="H2965" i="2"/>
  <c r="J2965" i="2" s="1"/>
  <c r="L2965" i="2" s="1"/>
  <c r="D2965" i="2"/>
  <c r="N2964" i="2"/>
  <c r="M2964" i="2"/>
  <c r="J2964" i="2"/>
  <c r="L2964" i="2" s="1"/>
  <c r="I2964" i="2"/>
  <c r="H2964" i="2"/>
  <c r="D2964" i="2"/>
  <c r="N2963" i="2"/>
  <c r="M2963" i="2"/>
  <c r="I2963" i="2"/>
  <c r="J2963" i="2" s="1"/>
  <c r="L2963" i="2" s="1"/>
  <c r="H2963" i="2"/>
  <c r="D2963" i="2"/>
  <c r="N2962" i="2"/>
  <c r="M2962" i="2"/>
  <c r="I2962" i="2"/>
  <c r="H2962" i="2"/>
  <c r="J2962" i="2" s="1"/>
  <c r="L2962" i="2" s="1"/>
  <c r="D2962" i="2"/>
  <c r="N2961" i="2"/>
  <c r="M2961" i="2"/>
  <c r="I2961" i="2"/>
  <c r="H2961" i="2"/>
  <c r="J2961" i="2" s="1"/>
  <c r="L2961" i="2" s="1"/>
  <c r="D2961" i="2"/>
  <c r="N2960" i="2"/>
  <c r="M2960" i="2"/>
  <c r="J2960" i="2"/>
  <c r="L2960" i="2" s="1"/>
  <c r="I2960" i="2"/>
  <c r="H2960" i="2"/>
  <c r="D2960" i="2"/>
  <c r="N2959" i="2"/>
  <c r="M2959" i="2"/>
  <c r="I2959" i="2"/>
  <c r="J2959" i="2" s="1"/>
  <c r="L2959" i="2" s="1"/>
  <c r="H2959" i="2"/>
  <c r="D2959" i="2"/>
  <c r="N2958" i="2"/>
  <c r="M2958" i="2"/>
  <c r="I2958" i="2"/>
  <c r="H2958" i="2"/>
  <c r="J2958" i="2" s="1"/>
  <c r="L2958" i="2" s="1"/>
  <c r="D2958" i="2"/>
  <c r="N2957" i="2"/>
  <c r="M2957" i="2"/>
  <c r="I2957" i="2"/>
  <c r="H2957" i="2"/>
  <c r="J2957" i="2" s="1"/>
  <c r="L2957" i="2" s="1"/>
  <c r="D2957" i="2"/>
  <c r="N2956" i="2"/>
  <c r="M2956" i="2"/>
  <c r="J2956" i="2"/>
  <c r="L2956" i="2" s="1"/>
  <c r="I2956" i="2"/>
  <c r="H2956" i="2"/>
  <c r="D2956" i="2"/>
  <c r="N2955" i="2"/>
  <c r="M2955" i="2"/>
  <c r="I2955" i="2"/>
  <c r="J2955" i="2" s="1"/>
  <c r="L2955" i="2" s="1"/>
  <c r="H2955" i="2"/>
  <c r="D2955" i="2"/>
  <c r="N2954" i="2"/>
  <c r="M2954" i="2"/>
  <c r="I2954" i="2"/>
  <c r="H2954" i="2"/>
  <c r="J2954" i="2" s="1"/>
  <c r="L2954" i="2" s="1"/>
  <c r="D2954" i="2"/>
  <c r="N2953" i="2"/>
  <c r="M2953" i="2"/>
  <c r="I2953" i="2"/>
  <c r="H2953" i="2"/>
  <c r="J2953" i="2" s="1"/>
  <c r="L2953" i="2" s="1"/>
  <c r="D2953" i="2"/>
  <c r="N2952" i="2"/>
  <c r="M2952" i="2"/>
  <c r="J2952" i="2"/>
  <c r="L2952" i="2" s="1"/>
  <c r="I2952" i="2"/>
  <c r="H2952" i="2"/>
  <c r="D2952" i="2"/>
  <c r="N2951" i="2"/>
  <c r="M2951" i="2"/>
  <c r="I2951" i="2"/>
  <c r="J2951" i="2" s="1"/>
  <c r="L2951" i="2" s="1"/>
  <c r="H2951" i="2"/>
  <c r="D2951" i="2"/>
  <c r="N2950" i="2"/>
  <c r="M2950" i="2"/>
  <c r="I2950" i="2"/>
  <c r="H2950" i="2"/>
  <c r="J2950" i="2" s="1"/>
  <c r="L2950" i="2" s="1"/>
  <c r="D2950" i="2"/>
  <c r="N2949" i="2"/>
  <c r="M2949" i="2"/>
  <c r="I2949" i="2"/>
  <c r="H2949" i="2"/>
  <c r="J2949" i="2" s="1"/>
  <c r="L2949" i="2" s="1"/>
  <c r="D2949" i="2"/>
  <c r="N2948" i="2"/>
  <c r="M2948" i="2"/>
  <c r="J2948" i="2"/>
  <c r="L2948" i="2" s="1"/>
  <c r="I2948" i="2"/>
  <c r="H2948" i="2"/>
  <c r="D2948" i="2"/>
  <c r="N2947" i="2"/>
  <c r="M2947" i="2"/>
  <c r="I2947" i="2"/>
  <c r="J2947" i="2" s="1"/>
  <c r="L2947" i="2" s="1"/>
  <c r="H2947" i="2"/>
  <c r="D2947" i="2"/>
  <c r="N2946" i="2"/>
  <c r="M2946" i="2"/>
  <c r="I2946" i="2"/>
  <c r="H2946" i="2"/>
  <c r="J2946" i="2" s="1"/>
  <c r="L2946" i="2" s="1"/>
  <c r="D2946" i="2"/>
  <c r="N2945" i="2"/>
  <c r="M2945" i="2"/>
  <c r="I2945" i="2"/>
  <c r="H2945" i="2"/>
  <c r="J2945" i="2" s="1"/>
  <c r="L2945" i="2" s="1"/>
  <c r="D2945" i="2"/>
  <c r="N2944" i="2"/>
  <c r="M2944" i="2"/>
  <c r="J2944" i="2"/>
  <c r="L2944" i="2" s="1"/>
  <c r="I2944" i="2"/>
  <c r="H2944" i="2"/>
  <c r="D2944" i="2"/>
  <c r="N2943" i="2"/>
  <c r="M2943" i="2"/>
  <c r="I2943" i="2"/>
  <c r="J2943" i="2" s="1"/>
  <c r="L2943" i="2" s="1"/>
  <c r="H2943" i="2"/>
  <c r="D2943" i="2"/>
  <c r="N2942" i="2"/>
  <c r="M2942" i="2"/>
  <c r="I2942" i="2"/>
  <c r="H2942" i="2"/>
  <c r="J2942" i="2" s="1"/>
  <c r="L2942" i="2" s="1"/>
  <c r="D2942" i="2"/>
  <c r="N2941" i="2"/>
  <c r="M2941" i="2"/>
  <c r="I2941" i="2"/>
  <c r="H2941" i="2"/>
  <c r="J2941" i="2" s="1"/>
  <c r="L2941" i="2" s="1"/>
  <c r="D2941" i="2"/>
  <c r="N2940" i="2"/>
  <c r="M2940" i="2"/>
  <c r="J2940" i="2"/>
  <c r="L2940" i="2" s="1"/>
  <c r="I2940" i="2"/>
  <c r="H2940" i="2"/>
  <c r="D2940" i="2"/>
  <c r="N2939" i="2"/>
  <c r="M2939" i="2"/>
  <c r="I2939" i="2"/>
  <c r="J2939" i="2" s="1"/>
  <c r="L2939" i="2" s="1"/>
  <c r="H2939" i="2"/>
  <c r="D2939" i="2"/>
  <c r="N2938" i="2"/>
  <c r="M2938" i="2"/>
  <c r="I2938" i="2"/>
  <c r="H2938" i="2"/>
  <c r="J2938" i="2" s="1"/>
  <c r="L2938" i="2" s="1"/>
  <c r="D2938" i="2"/>
  <c r="N2937" i="2"/>
  <c r="M2937" i="2"/>
  <c r="I2937" i="2"/>
  <c r="H2937" i="2"/>
  <c r="J2937" i="2" s="1"/>
  <c r="L2937" i="2" s="1"/>
  <c r="D2937" i="2"/>
  <c r="N2936" i="2"/>
  <c r="M2936" i="2"/>
  <c r="J2936" i="2"/>
  <c r="L2936" i="2" s="1"/>
  <c r="I2936" i="2"/>
  <c r="H2936" i="2"/>
  <c r="D2936" i="2"/>
  <c r="N2935" i="2"/>
  <c r="M2935" i="2"/>
  <c r="I2935" i="2"/>
  <c r="J2935" i="2" s="1"/>
  <c r="L2935" i="2" s="1"/>
  <c r="H2935" i="2"/>
  <c r="D2935" i="2"/>
  <c r="N2934" i="2"/>
  <c r="M2934" i="2"/>
  <c r="I2934" i="2"/>
  <c r="H2934" i="2"/>
  <c r="J2934" i="2" s="1"/>
  <c r="L2934" i="2" s="1"/>
  <c r="D2934" i="2"/>
  <c r="N2933" i="2"/>
  <c r="M2933" i="2"/>
  <c r="I2933" i="2"/>
  <c r="H2933" i="2"/>
  <c r="J2933" i="2" s="1"/>
  <c r="L2933" i="2" s="1"/>
  <c r="D2933" i="2"/>
  <c r="N2932" i="2"/>
  <c r="M2932" i="2"/>
  <c r="J2932" i="2"/>
  <c r="L2932" i="2" s="1"/>
  <c r="I2932" i="2"/>
  <c r="H2932" i="2"/>
  <c r="D2932" i="2"/>
  <c r="N2931" i="2"/>
  <c r="M2931" i="2"/>
  <c r="I2931" i="2"/>
  <c r="J2931" i="2" s="1"/>
  <c r="L2931" i="2" s="1"/>
  <c r="H2931" i="2"/>
  <c r="D2931" i="2"/>
  <c r="N2930" i="2"/>
  <c r="M2930" i="2"/>
  <c r="I2930" i="2"/>
  <c r="H2930" i="2"/>
  <c r="J2930" i="2" s="1"/>
  <c r="L2930" i="2" s="1"/>
  <c r="D2930" i="2"/>
  <c r="N2929" i="2"/>
  <c r="M2929" i="2"/>
  <c r="I2929" i="2"/>
  <c r="H2929" i="2"/>
  <c r="J2929" i="2" s="1"/>
  <c r="L2929" i="2" s="1"/>
  <c r="D2929" i="2"/>
  <c r="N2928" i="2"/>
  <c r="M2928" i="2"/>
  <c r="J2928" i="2"/>
  <c r="L2928" i="2" s="1"/>
  <c r="I2928" i="2"/>
  <c r="H2928" i="2"/>
  <c r="D2928" i="2"/>
  <c r="N2927" i="2"/>
  <c r="M2927" i="2"/>
  <c r="I2927" i="2"/>
  <c r="J2927" i="2" s="1"/>
  <c r="L2927" i="2" s="1"/>
  <c r="H2927" i="2"/>
  <c r="D2927" i="2"/>
  <c r="N2926" i="2"/>
  <c r="M2926" i="2"/>
  <c r="I2926" i="2"/>
  <c r="H2926" i="2"/>
  <c r="J2926" i="2" s="1"/>
  <c r="L2926" i="2" s="1"/>
  <c r="D2926" i="2"/>
  <c r="N2925" i="2"/>
  <c r="M2925" i="2"/>
  <c r="I2925" i="2"/>
  <c r="H2925" i="2"/>
  <c r="J2925" i="2" s="1"/>
  <c r="L2925" i="2" s="1"/>
  <c r="D2925" i="2"/>
  <c r="N2924" i="2"/>
  <c r="M2924" i="2"/>
  <c r="J2924" i="2"/>
  <c r="L2924" i="2" s="1"/>
  <c r="I2924" i="2"/>
  <c r="H2924" i="2"/>
  <c r="D2924" i="2"/>
  <c r="N2923" i="2"/>
  <c r="M2923" i="2"/>
  <c r="I2923" i="2"/>
  <c r="J2923" i="2" s="1"/>
  <c r="L2923" i="2" s="1"/>
  <c r="H2923" i="2"/>
  <c r="D2923" i="2"/>
  <c r="N2922" i="2"/>
  <c r="M2922" i="2"/>
  <c r="I2922" i="2"/>
  <c r="H2922" i="2"/>
  <c r="J2922" i="2" s="1"/>
  <c r="L2922" i="2" s="1"/>
  <c r="D2922" i="2"/>
  <c r="N2921" i="2"/>
  <c r="M2921" i="2"/>
  <c r="I2921" i="2"/>
  <c r="H2921" i="2"/>
  <c r="J2921" i="2" s="1"/>
  <c r="L2921" i="2" s="1"/>
  <c r="D2921" i="2"/>
  <c r="N2920" i="2"/>
  <c r="M2920" i="2"/>
  <c r="J2920" i="2"/>
  <c r="L2920" i="2" s="1"/>
  <c r="I2920" i="2"/>
  <c r="H2920" i="2"/>
  <c r="D2920" i="2"/>
  <c r="N2919" i="2"/>
  <c r="M2919" i="2"/>
  <c r="I2919" i="2"/>
  <c r="J2919" i="2" s="1"/>
  <c r="L2919" i="2" s="1"/>
  <c r="H2919" i="2"/>
  <c r="D2919" i="2"/>
  <c r="N2918" i="2"/>
  <c r="M2918" i="2"/>
  <c r="I2918" i="2"/>
  <c r="H2918" i="2"/>
  <c r="J2918" i="2" s="1"/>
  <c r="L2918" i="2" s="1"/>
  <c r="D2918" i="2"/>
  <c r="N2917" i="2"/>
  <c r="M2917" i="2"/>
  <c r="I2917" i="2"/>
  <c r="H2917" i="2"/>
  <c r="J2917" i="2" s="1"/>
  <c r="L2917" i="2" s="1"/>
  <c r="D2917" i="2"/>
  <c r="N2916" i="2"/>
  <c r="M2916" i="2"/>
  <c r="J2916" i="2"/>
  <c r="L2916" i="2" s="1"/>
  <c r="I2916" i="2"/>
  <c r="H2916" i="2"/>
  <c r="D2916" i="2"/>
  <c r="N2915" i="2"/>
  <c r="M2915" i="2"/>
  <c r="I2915" i="2"/>
  <c r="J2915" i="2" s="1"/>
  <c r="L2915" i="2" s="1"/>
  <c r="H2915" i="2"/>
  <c r="D2915" i="2"/>
  <c r="N2914" i="2"/>
  <c r="M2914" i="2"/>
  <c r="I2914" i="2"/>
  <c r="H2914" i="2"/>
  <c r="J2914" i="2" s="1"/>
  <c r="L2914" i="2" s="1"/>
  <c r="D2914" i="2"/>
  <c r="N2913" i="2"/>
  <c r="M2913" i="2"/>
  <c r="I2913" i="2"/>
  <c r="H2913" i="2"/>
  <c r="J2913" i="2" s="1"/>
  <c r="L2913" i="2" s="1"/>
  <c r="D2913" i="2"/>
  <c r="N2912" i="2"/>
  <c r="M2912" i="2"/>
  <c r="J2912" i="2"/>
  <c r="L2912" i="2" s="1"/>
  <c r="I2912" i="2"/>
  <c r="H2912" i="2"/>
  <c r="D2912" i="2"/>
  <c r="N2911" i="2"/>
  <c r="M2911" i="2"/>
  <c r="I2911" i="2"/>
  <c r="J2911" i="2" s="1"/>
  <c r="L2911" i="2" s="1"/>
  <c r="H2911" i="2"/>
  <c r="D2911" i="2"/>
  <c r="N2910" i="2"/>
  <c r="M2910" i="2"/>
  <c r="I2910" i="2"/>
  <c r="H2910" i="2"/>
  <c r="J2910" i="2" s="1"/>
  <c r="L2910" i="2" s="1"/>
  <c r="D2910" i="2"/>
  <c r="N2909" i="2"/>
  <c r="M2909" i="2"/>
  <c r="I2909" i="2"/>
  <c r="H2909" i="2"/>
  <c r="J2909" i="2" s="1"/>
  <c r="L2909" i="2" s="1"/>
  <c r="D2909" i="2"/>
  <c r="N2908" i="2"/>
  <c r="M2908" i="2"/>
  <c r="J2908" i="2"/>
  <c r="L2908" i="2" s="1"/>
  <c r="I2908" i="2"/>
  <c r="H2908" i="2"/>
  <c r="D2908" i="2"/>
  <c r="N2907" i="2"/>
  <c r="M2907" i="2"/>
  <c r="I2907" i="2"/>
  <c r="J2907" i="2" s="1"/>
  <c r="L2907" i="2" s="1"/>
  <c r="H2907" i="2"/>
  <c r="D2907" i="2"/>
  <c r="N2906" i="2"/>
  <c r="M2906" i="2"/>
  <c r="I2906" i="2"/>
  <c r="H2906" i="2"/>
  <c r="J2906" i="2" s="1"/>
  <c r="L2906" i="2" s="1"/>
  <c r="D2906" i="2"/>
  <c r="N2905" i="2"/>
  <c r="M2905" i="2"/>
  <c r="I2905" i="2"/>
  <c r="H2905" i="2"/>
  <c r="J2905" i="2" s="1"/>
  <c r="L2905" i="2" s="1"/>
  <c r="D2905" i="2"/>
  <c r="N2904" i="2"/>
  <c r="M2904" i="2"/>
  <c r="J2904" i="2"/>
  <c r="L2904" i="2" s="1"/>
  <c r="I2904" i="2"/>
  <c r="H2904" i="2"/>
  <c r="D2904" i="2"/>
  <c r="N2903" i="2"/>
  <c r="M2903" i="2"/>
  <c r="I2903" i="2"/>
  <c r="J2903" i="2" s="1"/>
  <c r="L2903" i="2" s="1"/>
  <c r="H2903" i="2"/>
  <c r="D2903" i="2"/>
  <c r="N2902" i="2"/>
  <c r="M2902" i="2"/>
  <c r="I2902" i="2"/>
  <c r="H2902" i="2"/>
  <c r="J2902" i="2" s="1"/>
  <c r="L2902" i="2" s="1"/>
  <c r="D2902" i="2"/>
  <c r="N2901" i="2"/>
  <c r="M2901" i="2"/>
  <c r="I2901" i="2"/>
  <c r="H2901" i="2"/>
  <c r="J2901" i="2" s="1"/>
  <c r="L2901" i="2" s="1"/>
  <c r="D2901" i="2"/>
  <c r="N2900" i="2"/>
  <c r="M2900" i="2"/>
  <c r="J2900" i="2"/>
  <c r="L2900" i="2" s="1"/>
  <c r="I2900" i="2"/>
  <c r="H2900" i="2"/>
  <c r="D2900" i="2"/>
  <c r="N2899" i="2"/>
  <c r="M2899" i="2"/>
  <c r="I2899" i="2"/>
  <c r="J2899" i="2" s="1"/>
  <c r="L2899" i="2" s="1"/>
  <c r="H2899" i="2"/>
  <c r="D2899" i="2"/>
  <c r="N2898" i="2"/>
  <c r="M2898" i="2"/>
  <c r="I2898" i="2"/>
  <c r="H2898" i="2"/>
  <c r="J2898" i="2" s="1"/>
  <c r="L2898" i="2" s="1"/>
  <c r="D2898" i="2"/>
  <c r="N2897" i="2"/>
  <c r="M2897" i="2"/>
  <c r="I2897" i="2"/>
  <c r="H2897" i="2"/>
  <c r="J2897" i="2" s="1"/>
  <c r="L2897" i="2" s="1"/>
  <c r="D2897" i="2"/>
  <c r="N2896" i="2"/>
  <c r="M2896" i="2"/>
  <c r="J2896" i="2"/>
  <c r="L2896" i="2" s="1"/>
  <c r="I2896" i="2"/>
  <c r="H2896" i="2"/>
  <c r="D2896" i="2"/>
  <c r="N2895" i="2"/>
  <c r="M2895" i="2"/>
  <c r="I2895" i="2"/>
  <c r="J2895" i="2" s="1"/>
  <c r="L2895" i="2" s="1"/>
  <c r="H2895" i="2"/>
  <c r="D2895" i="2"/>
  <c r="N2894" i="2"/>
  <c r="M2894" i="2"/>
  <c r="I2894" i="2"/>
  <c r="H2894" i="2"/>
  <c r="J2894" i="2" s="1"/>
  <c r="L2894" i="2" s="1"/>
  <c r="D2894" i="2"/>
  <c r="N2893" i="2"/>
  <c r="M2893" i="2"/>
  <c r="I2893" i="2"/>
  <c r="H2893" i="2"/>
  <c r="J2893" i="2" s="1"/>
  <c r="L2893" i="2" s="1"/>
  <c r="D2893" i="2"/>
  <c r="N2892" i="2"/>
  <c r="M2892" i="2"/>
  <c r="J2892" i="2"/>
  <c r="L2892" i="2" s="1"/>
  <c r="I2892" i="2"/>
  <c r="H2892" i="2"/>
  <c r="D2892" i="2"/>
  <c r="N2891" i="2"/>
  <c r="M2891" i="2"/>
  <c r="I2891" i="2"/>
  <c r="J2891" i="2" s="1"/>
  <c r="L2891" i="2" s="1"/>
  <c r="H2891" i="2"/>
  <c r="D2891" i="2"/>
  <c r="N2890" i="2"/>
  <c r="M2890" i="2"/>
  <c r="I2890" i="2"/>
  <c r="H2890" i="2"/>
  <c r="J2890" i="2" s="1"/>
  <c r="L2890" i="2" s="1"/>
  <c r="D2890" i="2"/>
  <c r="N2889" i="2"/>
  <c r="M2889" i="2"/>
  <c r="I2889" i="2"/>
  <c r="H2889" i="2"/>
  <c r="J2889" i="2" s="1"/>
  <c r="L2889" i="2" s="1"/>
  <c r="D2889" i="2"/>
  <c r="N2888" i="2"/>
  <c r="M2888" i="2"/>
  <c r="J2888" i="2"/>
  <c r="L2888" i="2" s="1"/>
  <c r="I2888" i="2"/>
  <c r="H2888" i="2"/>
  <c r="D2888" i="2"/>
  <c r="N2887" i="2"/>
  <c r="M2887" i="2"/>
  <c r="I2887" i="2"/>
  <c r="J2887" i="2" s="1"/>
  <c r="L2887" i="2" s="1"/>
  <c r="H2887" i="2"/>
  <c r="D2887" i="2"/>
  <c r="N2886" i="2"/>
  <c r="M2886" i="2"/>
  <c r="I2886" i="2"/>
  <c r="H2886" i="2"/>
  <c r="J2886" i="2" s="1"/>
  <c r="L2886" i="2" s="1"/>
  <c r="D2886" i="2"/>
  <c r="N2885" i="2"/>
  <c r="M2885" i="2"/>
  <c r="I2885" i="2"/>
  <c r="H2885" i="2"/>
  <c r="J2885" i="2" s="1"/>
  <c r="L2885" i="2" s="1"/>
  <c r="D2885" i="2"/>
  <c r="N2884" i="2"/>
  <c r="M2884" i="2"/>
  <c r="J2884" i="2"/>
  <c r="L2884" i="2" s="1"/>
  <c r="I2884" i="2"/>
  <c r="H2884" i="2"/>
  <c r="D2884" i="2"/>
  <c r="N2883" i="2"/>
  <c r="M2883" i="2"/>
  <c r="I2883" i="2"/>
  <c r="J2883" i="2" s="1"/>
  <c r="L2883" i="2" s="1"/>
  <c r="H2883" i="2"/>
  <c r="D2883" i="2"/>
  <c r="N2882" i="2"/>
  <c r="M2882" i="2"/>
  <c r="I2882" i="2"/>
  <c r="H2882" i="2"/>
  <c r="J2882" i="2" s="1"/>
  <c r="L2882" i="2" s="1"/>
  <c r="D2882" i="2"/>
  <c r="N2881" i="2"/>
  <c r="M2881" i="2"/>
  <c r="I2881" i="2"/>
  <c r="H2881" i="2"/>
  <c r="J2881" i="2" s="1"/>
  <c r="L2881" i="2" s="1"/>
  <c r="D2881" i="2"/>
  <c r="N2880" i="2"/>
  <c r="M2880" i="2"/>
  <c r="J2880" i="2"/>
  <c r="L2880" i="2" s="1"/>
  <c r="I2880" i="2"/>
  <c r="H2880" i="2"/>
  <c r="D2880" i="2"/>
  <c r="N2879" i="2"/>
  <c r="M2879" i="2"/>
  <c r="I2879" i="2"/>
  <c r="J2879" i="2" s="1"/>
  <c r="L2879" i="2" s="1"/>
  <c r="H2879" i="2"/>
  <c r="D2879" i="2"/>
  <c r="N2878" i="2"/>
  <c r="M2878" i="2"/>
  <c r="I2878" i="2"/>
  <c r="H2878" i="2"/>
  <c r="J2878" i="2" s="1"/>
  <c r="L2878" i="2" s="1"/>
  <c r="D2878" i="2"/>
  <c r="N2877" i="2"/>
  <c r="M2877" i="2"/>
  <c r="I2877" i="2"/>
  <c r="H2877" i="2"/>
  <c r="J2877" i="2" s="1"/>
  <c r="L2877" i="2" s="1"/>
  <c r="D2877" i="2"/>
  <c r="N2876" i="2"/>
  <c r="M2876" i="2"/>
  <c r="J2876" i="2"/>
  <c r="L2876" i="2" s="1"/>
  <c r="I2876" i="2"/>
  <c r="H2876" i="2"/>
  <c r="D2876" i="2"/>
  <c r="N2875" i="2"/>
  <c r="M2875" i="2"/>
  <c r="I2875" i="2"/>
  <c r="J2875" i="2" s="1"/>
  <c r="L2875" i="2" s="1"/>
  <c r="H2875" i="2"/>
  <c r="D2875" i="2"/>
  <c r="N2874" i="2"/>
  <c r="M2874" i="2"/>
  <c r="I2874" i="2"/>
  <c r="H2874" i="2"/>
  <c r="J2874" i="2" s="1"/>
  <c r="L2874" i="2" s="1"/>
  <c r="D2874" i="2"/>
  <c r="N2873" i="2"/>
  <c r="M2873" i="2"/>
  <c r="L2873" i="2"/>
  <c r="I2873" i="2"/>
  <c r="H2873" i="2"/>
  <c r="J2873" i="2" s="1"/>
  <c r="D2873" i="2"/>
  <c r="N2872" i="2"/>
  <c r="M2872" i="2"/>
  <c r="J2872" i="2"/>
  <c r="L2872" i="2" s="1"/>
  <c r="I2872" i="2"/>
  <c r="H2872" i="2"/>
  <c r="D2872" i="2"/>
  <c r="N2871" i="2"/>
  <c r="M2871" i="2"/>
  <c r="I2871" i="2"/>
  <c r="J2871" i="2" s="1"/>
  <c r="L2871" i="2" s="1"/>
  <c r="H2871" i="2"/>
  <c r="D2871" i="2"/>
  <c r="N2870" i="2"/>
  <c r="M2870" i="2"/>
  <c r="I2870" i="2"/>
  <c r="H2870" i="2"/>
  <c r="D2870" i="2"/>
  <c r="N2869" i="2"/>
  <c r="M2869" i="2"/>
  <c r="I2869" i="2"/>
  <c r="H2869" i="2"/>
  <c r="J2869" i="2" s="1"/>
  <c r="L2869" i="2" s="1"/>
  <c r="D2869" i="2"/>
  <c r="N2868" i="2"/>
  <c r="M2868" i="2"/>
  <c r="J2868" i="2"/>
  <c r="L2868" i="2" s="1"/>
  <c r="I2868" i="2"/>
  <c r="H2868" i="2"/>
  <c r="D2868" i="2"/>
  <c r="N2867" i="2"/>
  <c r="M2867" i="2"/>
  <c r="I2867" i="2"/>
  <c r="J2867" i="2" s="1"/>
  <c r="L2867" i="2" s="1"/>
  <c r="H2867" i="2"/>
  <c r="D2867" i="2"/>
  <c r="N2866" i="2"/>
  <c r="M2866" i="2"/>
  <c r="I2866" i="2"/>
  <c r="H2866" i="2"/>
  <c r="D2866" i="2"/>
  <c r="N2865" i="2"/>
  <c r="M2865" i="2"/>
  <c r="I2865" i="2"/>
  <c r="H2865" i="2"/>
  <c r="J2865" i="2" s="1"/>
  <c r="L2865" i="2" s="1"/>
  <c r="D2865" i="2"/>
  <c r="N2864" i="2"/>
  <c r="M2864" i="2"/>
  <c r="J2864" i="2"/>
  <c r="L2864" i="2" s="1"/>
  <c r="I2864" i="2"/>
  <c r="H2864" i="2"/>
  <c r="D2864" i="2"/>
  <c r="N2863" i="2"/>
  <c r="M2863" i="2"/>
  <c r="I2863" i="2"/>
  <c r="J2863" i="2" s="1"/>
  <c r="L2863" i="2" s="1"/>
  <c r="H2863" i="2"/>
  <c r="D2863" i="2"/>
  <c r="N2862" i="2"/>
  <c r="M2862" i="2"/>
  <c r="I2862" i="2"/>
  <c r="H2862" i="2"/>
  <c r="D2862" i="2"/>
  <c r="N2861" i="2"/>
  <c r="M2861" i="2"/>
  <c r="I2861" i="2"/>
  <c r="H2861" i="2"/>
  <c r="J2861" i="2" s="1"/>
  <c r="L2861" i="2" s="1"/>
  <c r="D2861" i="2"/>
  <c r="N2860" i="2"/>
  <c r="M2860" i="2"/>
  <c r="J2860" i="2"/>
  <c r="L2860" i="2" s="1"/>
  <c r="I2860" i="2"/>
  <c r="H2860" i="2"/>
  <c r="D2860" i="2"/>
  <c r="N2859" i="2"/>
  <c r="M2859" i="2"/>
  <c r="I2859" i="2"/>
  <c r="J2859" i="2" s="1"/>
  <c r="L2859" i="2" s="1"/>
  <c r="H2859" i="2"/>
  <c r="D2859" i="2"/>
  <c r="N2858" i="2"/>
  <c r="M2858" i="2"/>
  <c r="I2858" i="2"/>
  <c r="H2858" i="2"/>
  <c r="D2858" i="2"/>
  <c r="N2857" i="2"/>
  <c r="M2857" i="2"/>
  <c r="I2857" i="2"/>
  <c r="H2857" i="2"/>
  <c r="J2857" i="2" s="1"/>
  <c r="L2857" i="2" s="1"/>
  <c r="D2857" i="2"/>
  <c r="N2856" i="2"/>
  <c r="M2856" i="2"/>
  <c r="J2856" i="2"/>
  <c r="L2856" i="2" s="1"/>
  <c r="I2856" i="2"/>
  <c r="H2856" i="2"/>
  <c r="D2856" i="2"/>
  <c r="N2855" i="2"/>
  <c r="M2855" i="2"/>
  <c r="I2855" i="2"/>
  <c r="J2855" i="2" s="1"/>
  <c r="L2855" i="2" s="1"/>
  <c r="H2855" i="2"/>
  <c r="D2855" i="2"/>
  <c r="N2854" i="2"/>
  <c r="M2854" i="2"/>
  <c r="I2854" i="2"/>
  <c r="H2854" i="2"/>
  <c r="D2854" i="2"/>
  <c r="N2853" i="2"/>
  <c r="M2853" i="2"/>
  <c r="I2853" i="2"/>
  <c r="H2853" i="2"/>
  <c r="J2853" i="2" s="1"/>
  <c r="L2853" i="2" s="1"/>
  <c r="D2853" i="2"/>
  <c r="N2852" i="2"/>
  <c r="M2852" i="2"/>
  <c r="J2852" i="2"/>
  <c r="L2852" i="2" s="1"/>
  <c r="I2852" i="2"/>
  <c r="H2852" i="2"/>
  <c r="D2852" i="2"/>
  <c r="N2851" i="2"/>
  <c r="M2851" i="2"/>
  <c r="I2851" i="2"/>
  <c r="J2851" i="2" s="1"/>
  <c r="L2851" i="2" s="1"/>
  <c r="H2851" i="2"/>
  <c r="D2851" i="2"/>
  <c r="N2850" i="2"/>
  <c r="M2850" i="2"/>
  <c r="I2850" i="2"/>
  <c r="H2850" i="2"/>
  <c r="D2850" i="2"/>
  <c r="N2849" i="2"/>
  <c r="M2849" i="2"/>
  <c r="I2849" i="2"/>
  <c r="H2849" i="2"/>
  <c r="J2849" i="2" s="1"/>
  <c r="L2849" i="2" s="1"/>
  <c r="D2849" i="2"/>
  <c r="N2848" i="2"/>
  <c r="M2848" i="2"/>
  <c r="J2848" i="2"/>
  <c r="L2848" i="2" s="1"/>
  <c r="I2848" i="2"/>
  <c r="H2848" i="2"/>
  <c r="D2848" i="2"/>
  <c r="N2847" i="2"/>
  <c r="M2847" i="2"/>
  <c r="I2847" i="2"/>
  <c r="J2847" i="2" s="1"/>
  <c r="L2847" i="2" s="1"/>
  <c r="H2847" i="2"/>
  <c r="D2847" i="2"/>
  <c r="N2846" i="2"/>
  <c r="M2846" i="2"/>
  <c r="I2846" i="2"/>
  <c r="H2846" i="2"/>
  <c r="J2846" i="2" s="1"/>
  <c r="L2846" i="2" s="1"/>
  <c r="D2846" i="2"/>
  <c r="N2845" i="2"/>
  <c r="M2845" i="2"/>
  <c r="I2845" i="2"/>
  <c r="H2845" i="2"/>
  <c r="D2845" i="2"/>
  <c r="N2844" i="2"/>
  <c r="M2844" i="2"/>
  <c r="I2844" i="2"/>
  <c r="H2844" i="2"/>
  <c r="J2844" i="2" s="1"/>
  <c r="L2844" i="2" s="1"/>
  <c r="D2844" i="2"/>
  <c r="N2843" i="2"/>
  <c r="M2843" i="2"/>
  <c r="I2843" i="2"/>
  <c r="J2843" i="2" s="1"/>
  <c r="L2843" i="2" s="1"/>
  <c r="H2843" i="2"/>
  <c r="D2843" i="2"/>
  <c r="N2842" i="2"/>
  <c r="M2842" i="2"/>
  <c r="I2842" i="2"/>
  <c r="J2842" i="2" s="1"/>
  <c r="L2842" i="2" s="1"/>
  <c r="H2842" i="2"/>
  <c r="D2842" i="2"/>
  <c r="N2841" i="2"/>
  <c r="M2841" i="2"/>
  <c r="I2841" i="2"/>
  <c r="H2841" i="2"/>
  <c r="J2841" i="2" s="1"/>
  <c r="L2841" i="2" s="1"/>
  <c r="D2841" i="2"/>
  <c r="N2840" i="2"/>
  <c r="M2840" i="2"/>
  <c r="J2840" i="2"/>
  <c r="L2840" i="2" s="1"/>
  <c r="I2840" i="2"/>
  <c r="H2840" i="2"/>
  <c r="D2840" i="2"/>
  <c r="N2839" i="2"/>
  <c r="M2839" i="2"/>
  <c r="I2839" i="2"/>
  <c r="J2839" i="2" s="1"/>
  <c r="L2839" i="2" s="1"/>
  <c r="H2839" i="2"/>
  <c r="D2839" i="2"/>
  <c r="N2838" i="2"/>
  <c r="M2838" i="2"/>
  <c r="I2838" i="2"/>
  <c r="H2838" i="2"/>
  <c r="J2838" i="2" s="1"/>
  <c r="L2838" i="2" s="1"/>
  <c r="D2838" i="2"/>
  <c r="N2837" i="2"/>
  <c r="M2837" i="2"/>
  <c r="J2837" i="2"/>
  <c r="L2837" i="2" s="1"/>
  <c r="I2837" i="2"/>
  <c r="H2837" i="2"/>
  <c r="D2837" i="2"/>
  <c r="N2836" i="2"/>
  <c r="M2836" i="2"/>
  <c r="I2836" i="2"/>
  <c r="J2836" i="2" s="1"/>
  <c r="L2836" i="2" s="1"/>
  <c r="H2836" i="2"/>
  <c r="D2836" i="2"/>
  <c r="N2835" i="2"/>
  <c r="M2835" i="2"/>
  <c r="I2835" i="2"/>
  <c r="H2835" i="2"/>
  <c r="J2835" i="2" s="1"/>
  <c r="L2835" i="2" s="1"/>
  <c r="D2835" i="2"/>
  <c r="N2834" i="2"/>
  <c r="M2834" i="2"/>
  <c r="I2834" i="2"/>
  <c r="H2834" i="2"/>
  <c r="J2834" i="2" s="1"/>
  <c r="L2834" i="2" s="1"/>
  <c r="D2834" i="2"/>
  <c r="N2833" i="2"/>
  <c r="M2833" i="2"/>
  <c r="J2833" i="2"/>
  <c r="L2833" i="2" s="1"/>
  <c r="I2833" i="2"/>
  <c r="H2833" i="2"/>
  <c r="D2833" i="2"/>
  <c r="N2832" i="2"/>
  <c r="M2832" i="2"/>
  <c r="I2832" i="2"/>
  <c r="J2832" i="2" s="1"/>
  <c r="L2832" i="2" s="1"/>
  <c r="H2832" i="2"/>
  <c r="D2832" i="2"/>
  <c r="N2831" i="2"/>
  <c r="M2831" i="2"/>
  <c r="I2831" i="2"/>
  <c r="H2831" i="2"/>
  <c r="J2831" i="2" s="1"/>
  <c r="L2831" i="2" s="1"/>
  <c r="D2831" i="2"/>
  <c r="N2830" i="2"/>
  <c r="M2830" i="2"/>
  <c r="I2830" i="2"/>
  <c r="H2830" i="2"/>
  <c r="J2830" i="2" s="1"/>
  <c r="L2830" i="2" s="1"/>
  <c r="D2830" i="2"/>
  <c r="N2829" i="2"/>
  <c r="M2829" i="2"/>
  <c r="J2829" i="2"/>
  <c r="L2829" i="2" s="1"/>
  <c r="I2829" i="2"/>
  <c r="H2829" i="2"/>
  <c r="D2829" i="2"/>
  <c r="N2828" i="2"/>
  <c r="M2828" i="2"/>
  <c r="I2828" i="2"/>
  <c r="J2828" i="2" s="1"/>
  <c r="L2828" i="2" s="1"/>
  <c r="H2828" i="2"/>
  <c r="D2828" i="2"/>
  <c r="N2827" i="2"/>
  <c r="M2827" i="2"/>
  <c r="I2827" i="2"/>
  <c r="H2827" i="2"/>
  <c r="J2827" i="2" s="1"/>
  <c r="L2827" i="2" s="1"/>
  <c r="D2827" i="2"/>
  <c r="N2826" i="2"/>
  <c r="M2826" i="2"/>
  <c r="I2826" i="2"/>
  <c r="H2826" i="2"/>
  <c r="J2826" i="2" s="1"/>
  <c r="L2826" i="2" s="1"/>
  <c r="D2826" i="2"/>
  <c r="N2825" i="2"/>
  <c r="M2825" i="2"/>
  <c r="J2825" i="2"/>
  <c r="L2825" i="2" s="1"/>
  <c r="I2825" i="2"/>
  <c r="H2825" i="2"/>
  <c r="D2825" i="2"/>
  <c r="N2824" i="2"/>
  <c r="M2824" i="2"/>
  <c r="I2824" i="2"/>
  <c r="J2824" i="2" s="1"/>
  <c r="L2824" i="2" s="1"/>
  <c r="H2824" i="2"/>
  <c r="D2824" i="2"/>
  <c r="N2823" i="2"/>
  <c r="M2823" i="2"/>
  <c r="I2823" i="2"/>
  <c r="H2823" i="2"/>
  <c r="J2823" i="2" s="1"/>
  <c r="L2823" i="2" s="1"/>
  <c r="D2823" i="2"/>
  <c r="N2822" i="2"/>
  <c r="M2822" i="2"/>
  <c r="I2822" i="2"/>
  <c r="H2822" i="2"/>
  <c r="J2822" i="2" s="1"/>
  <c r="L2822" i="2" s="1"/>
  <c r="D2822" i="2"/>
  <c r="N2821" i="2"/>
  <c r="M2821" i="2"/>
  <c r="J2821" i="2"/>
  <c r="L2821" i="2" s="1"/>
  <c r="I2821" i="2"/>
  <c r="H2821" i="2"/>
  <c r="D2821" i="2"/>
  <c r="N2820" i="2"/>
  <c r="M2820" i="2"/>
  <c r="I2820" i="2"/>
  <c r="J2820" i="2" s="1"/>
  <c r="L2820" i="2" s="1"/>
  <c r="H2820" i="2"/>
  <c r="D2820" i="2"/>
  <c r="N2819" i="2"/>
  <c r="M2819" i="2"/>
  <c r="I2819" i="2"/>
  <c r="H2819" i="2"/>
  <c r="J2819" i="2" s="1"/>
  <c r="L2819" i="2" s="1"/>
  <c r="D2819" i="2"/>
  <c r="N2818" i="2"/>
  <c r="M2818" i="2"/>
  <c r="I2818" i="2"/>
  <c r="H2818" i="2"/>
  <c r="J2818" i="2" s="1"/>
  <c r="L2818" i="2" s="1"/>
  <c r="D2818" i="2"/>
  <c r="N2817" i="2"/>
  <c r="M2817" i="2"/>
  <c r="J2817" i="2"/>
  <c r="L2817" i="2" s="1"/>
  <c r="I2817" i="2"/>
  <c r="H2817" i="2"/>
  <c r="D2817" i="2"/>
  <c r="N2816" i="2"/>
  <c r="M2816" i="2"/>
  <c r="I2816" i="2"/>
  <c r="J2816" i="2" s="1"/>
  <c r="L2816" i="2" s="1"/>
  <c r="H2816" i="2"/>
  <c r="D2816" i="2"/>
  <c r="N2815" i="2"/>
  <c r="M2815" i="2"/>
  <c r="I2815" i="2"/>
  <c r="H2815" i="2"/>
  <c r="J2815" i="2" s="1"/>
  <c r="L2815" i="2" s="1"/>
  <c r="D2815" i="2"/>
  <c r="N2814" i="2"/>
  <c r="M2814" i="2"/>
  <c r="I2814" i="2"/>
  <c r="H2814" i="2"/>
  <c r="J2814" i="2" s="1"/>
  <c r="L2814" i="2" s="1"/>
  <c r="D2814" i="2"/>
  <c r="N2813" i="2"/>
  <c r="M2813" i="2"/>
  <c r="J2813" i="2"/>
  <c r="L2813" i="2" s="1"/>
  <c r="I2813" i="2"/>
  <c r="H2813" i="2"/>
  <c r="D2813" i="2"/>
  <c r="N2812" i="2"/>
  <c r="M2812" i="2"/>
  <c r="I2812" i="2"/>
  <c r="J2812" i="2" s="1"/>
  <c r="L2812" i="2" s="1"/>
  <c r="H2812" i="2"/>
  <c r="D2812" i="2"/>
  <c r="N2811" i="2"/>
  <c r="M2811" i="2"/>
  <c r="I2811" i="2"/>
  <c r="H2811" i="2"/>
  <c r="J2811" i="2" s="1"/>
  <c r="L2811" i="2" s="1"/>
  <c r="D2811" i="2"/>
  <c r="N2810" i="2"/>
  <c r="M2810" i="2"/>
  <c r="I2810" i="2"/>
  <c r="H2810" i="2"/>
  <c r="J2810" i="2" s="1"/>
  <c r="L2810" i="2" s="1"/>
  <c r="D2810" i="2"/>
  <c r="N2809" i="2"/>
  <c r="M2809" i="2"/>
  <c r="J2809" i="2"/>
  <c r="L2809" i="2" s="1"/>
  <c r="I2809" i="2"/>
  <c r="H2809" i="2"/>
  <c r="D2809" i="2"/>
  <c r="N2808" i="2"/>
  <c r="M2808" i="2"/>
  <c r="I2808" i="2"/>
  <c r="J2808" i="2" s="1"/>
  <c r="L2808" i="2" s="1"/>
  <c r="H2808" i="2"/>
  <c r="D2808" i="2"/>
  <c r="N2807" i="2"/>
  <c r="M2807" i="2"/>
  <c r="I2807" i="2"/>
  <c r="H2807" i="2"/>
  <c r="J2807" i="2" s="1"/>
  <c r="L2807" i="2" s="1"/>
  <c r="D2807" i="2"/>
  <c r="N2806" i="2"/>
  <c r="M2806" i="2"/>
  <c r="I2806" i="2"/>
  <c r="H2806" i="2"/>
  <c r="J2806" i="2" s="1"/>
  <c r="L2806" i="2" s="1"/>
  <c r="D2806" i="2"/>
  <c r="N2805" i="2"/>
  <c r="M2805" i="2"/>
  <c r="J2805" i="2"/>
  <c r="L2805" i="2" s="1"/>
  <c r="I2805" i="2"/>
  <c r="H2805" i="2"/>
  <c r="D2805" i="2"/>
  <c r="N2804" i="2"/>
  <c r="M2804" i="2"/>
  <c r="I2804" i="2"/>
  <c r="J2804" i="2" s="1"/>
  <c r="L2804" i="2" s="1"/>
  <c r="H2804" i="2"/>
  <c r="D2804" i="2"/>
  <c r="N2803" i="2"/>
  <c r="M2803" i="2"/>
  <c r="I2803" i="2"/>
  <c r="H2803" i="2"/>
  <c r="J2803" i="2" s="1"/>
  <c r="L2803" i="2" s="1"/>
  <c r="D2803" i="2"/>
  <c r="N2802" i="2"/>
  <c r="M2802" i="2"/>
  <c r="I2802" i="2"/>
  <c r="H2802" i="2"/>
  <c r="J2802" i="2" s="1"/>
  <c r="L2802" i="2" s="1"/>
  <c r="D2802" i="2"/>
  <c r="N2801" i="2"/>
  <c r="M2801" i="2"/>
  <c r="J2801" i="2"/>
  <c r="L2801" i="2" s="1"/>
  <c r="I2801" i="2"/>
  <c r="H2801" i="2"/>
  <c r="D2801" i="2"/>
  <c r="N2800" i="2"/>
  <c r="M2800" i="2"/>
  <c r="I2800" i="2"/>
  <c r="J2800" i="2" s="1"/>
  <c r="L2800" i="2" s="1"/>
  <c r="H2800" i="2"/>
  <c r="D2800" i="2"/>
  <c r="N2799" i="2"/>
  <c r="M2799" i="2"/>
  <c r="I2799" i="2"/>
  <c r="H2799" i="2"/>
  <c r="J2799" i="2" s="1"/>
  <c r="L2799" i="2" s="1"/>
  <c r="D2799" i="2"/>
  <c r="N2798" i="2"/>
  <c r="M2798" i="2"/>
  <c r="I2798" i="2"/>
  <c r="H2798" i="2"/>
  <c r="J2798" i="2" s="1"/>
  <c r="L2798" i="2" s="1"/>
  <c r="D2798" i="2"/>
  <c r="N2797" i="2"/>
  <c r="M2797" i="2"/>
  <c r="J2797" i="2"/>
  <c r="L2797" i="2" s="1"/>
  <c r="I2797" i="2"/>
  <c r="H2797" i="2"/>
  <c r="D2797" i="2"/>
  <c r="N2796" i="2"/>
  <c r="M2796" i="2"/>
  <c r="I2796" i="2"/>
  <c r="J2796" i="2" s="1"/>
  <c r="L2796" i="2" s="1"/>
  <c r="H2796" i="2"/>
  <c r="D2796" i="2"/>
  <c r="N2795" i="2"/>
  <c r="M2795" i="2"/>
  <c r="I2795" i="2"/>
  <c r="H2795" i="2"/>
  <c r="J2795" i="2" s="1"/>
  <c r="L2795" i="2" s="1"/>
  <c r="D2795" i="2"/>
  <c r="N2794" i="2"/>
  <c r="M2794" i="2"/>
  <c r="I2794" i="2"/>
  <c r="H2794" i="2"/>
  <c r="J2794" i="2" s="1"/>
  <c r="L2794" i="2" s="1"/>
  <c r="D2794" i="2"/>
  <c r="N2793" i="2"/>
  <c r="M2793" i="2"/>
  <c r="J2793" i="2"/>
  <c r="L2793" i="2" s="1"/>
  <c r="I2793" i="2"/>
  <c r="H2793" i="2"/>
  <c r="D2793" i="2"/>
  <c r="N2792" i="2"/>
  <c r="M2792" i="2"/>
  <c r="I2792" i="2"/>
  <c r="J2792" i="2" s="1"/>
  <c r="L2792" i="2" s="1"/>
  <c r="H2792" i="2"/>
  <c r="D2792" i="2"/>
  <c r="N2791" i="2"/>
  <c r="M2791" i="2"/>
  <c r="I2791" i="2"/>
  <c r="H2791" i="2"/>
  <c r="J2791" i="2" s="1"/>
  <c r="L2791" i="2" s="1"/>
  <c r="D2791" i="2"/>
  <c r="N2790" i="2"/>
  <c r="M2790" i="2"/>
  <c r="I2790" i="2"/>
  <c r="H2790" i="2"/>
  <c r="J2790" i="2" s="1"/>
  <c r="L2790" i="2" s="1"/>
  <c r="D2790" i="2"/>
  <c r="N2789" i="2"/>
  <c r="M2789" i="2"/>
  <c r="J2789" i="2"/>
  <c r="L2789" i="2" s="1"/>
  <c r="I2789" i="2"/>
  <c r="H2789" i="2"/>
  <c r="D2789" i="2"/>
  <c r="N2788" i="2"/>
  <c r="M2788" i="2"/>
  <c r="I2788" i="2"/>
  <c r="J2788" i="2" s="1"/>
  <c r="L2788" i="2" s="1"/>
  <c r="H2788" i="2"/>
  <c r="D2788" i="2"/>
  <c r="N2787" i="2"/>
  <c r="M2787" i="2"/>
  <c r="I2787" i="2"/>
  <c r="H2787" i="2"/>
  <c r="J2787" i="2" s="1"/>
  <c r="L2787" i="2" s="1"/>
  <c r="D2787" i="2"/>
  <c r="N2786" i="2"/>
  <c r="M2786" i="2"/>
  <c r="I2786" i="2"/>
  <c r="H2786" i="2"/>
  <c r="J2786" i="2" s="1"/>
  <c r="L2786" i="2" s="1"/>
  <c r="D2786" i="2"/>
  <c r="N2785" i="2"/>
  <c r="M2785" i="2"/>
  <c r="J2785" i="2"/>
  <c r="L2785" i="2" s="1"/>
  <c r="I2785" i="2"/>
  <c r="H2785" i="2"/>
  <c r="D2785" i="2"/>
  <c r="N2784" i="2"/>
  <c r="M2784" i="2"/>
  <c r="I2784" i="2"/>
  <c r="J2784" i="2" s="1"/>
  <c r="L2784" i="2" s="1"/>
  <c r="H2784" i="2"/>
  <c r="D2784" i="2"/>
  <c r="N2783" i="2"/>
  <c r="M2783" i="2"/>
  <c r="I2783" i="2"/>
  <c r="H2783" i="2"/>
  <c r="J2783" i="2" s="1"/>
  <c r="L2783" i="2" s="1"/>
  <c r="D2783" i="2"/>
  <c r="N2782" i="2"/>
  <c r="M2782" i="2"/>
  <c r="I2782" i="2"/>
  <c r="H2782" i="2"/>
  <c r="J2782" i="2" s="1"/>
  <c r="L2782" i="2" s="1"/>
  <c r="D2782" i="2"/>
  <c r="N2781" i="2"/>
  <c r="M2781" i="2"/>
  <c r="J2781" i="2"/>
  <c r="L2781" i="2" s="1"/>
  <c r="I2781" i="2"/>
  <c r="H2781" i="2"/>
  <c r="D2781" i="2"/>
  <c r="N2780" i="2"/>
  <c r="M2780" i="2"/>
  <c r="I2780" i="2"/>
  <c r="J2780" i="2" s="1"/>
  <c r="L2780" i="2" s="1"/>
  <c r="H2780" i="2"/>
  <c r="D2780" i="2"/>
  <c r="N2779" i="2"/>
  <c r="M2779" i="2"/>
  <c r="I2779" i="2"/>
  <c r="H2779" i="2"/>
  <c r="J2779" i="2" s="1"/>
  <c r="L2779" i="2" s="1"/>
  <c r="D2779" i="2"/>
  <c r="N2778" i="2"/>
  <c r="M2778" i="2"/>
  <c r="I2778" i="2"/>
  <c r="H2778" i="2"/>
  <c r="J2778" i="2" s="1"/>
  <c r="L2778" i="2" s="1"/>
  <c r="D2778" i="2"/>
  <c r="N2777" i="2"/>
  <c r="M2777" i="2"/>
  <c r="J2777" i="2"/>
  <c r="L2777" i="2" s="1"/>
  <c r="I2777" i="2"/>
  <c r="H2777" i="2"/>
  <c r="D2777" i="2"/>
  <c r="N2776" i="2"/>
  <c r="M2776" i="2"/>
  <c r="I2776" i="2"/>
  <c r="J2776" i="2" s="1"/>
  <c r="L2776" i="2" s="1"/>
  <c r="H2776" i="2"/>
  <c r="D2776" i="2"/>
  <c r="N2775" i="2"/>
  <c r="M2775" i="2"/>
  <c r="I2775" i="2"/>
  <c r="H2775" i="2"/>
  <c r="J2775" i="2" s="1"/>
  <c r="L2775" i="2" s="1"/>
  <c r="D2775" i="2"/>
  <c r="N2774" i="2"/>
  <c r="M2774" i="2"/>
  <c r="I2774" i="2"/>
  <c r="H2774" i="2"/>
  <c r="J2774" i="2" s="1"/>
  <c r="L2774" i="2" s="1"/>
  <c r="D2774" i="2"/>
  <c r="N2773" i="2"/>
  <c r="M2773" i="2"/>
  <c r="J2773" i="2"/>
  <c r="L2773" i="2" s="1"/>
  <c r="I2773" i="2"/>
  <c r="H2773" i="2"/>
  <c r="D2773" i="2"/>
  <c r="N2772" i="2"/>
  <c r="M2772" i="2"/>
  <c r="I2772" i="2"/>
  <c r="J2772" i="2" s="1"/>
  <c r="L2772" i="2" s="1"/>
  <c r="H2772" i="2"/>
  <c r="D2772" i="2"/>
  <c r="N2771" i="2"/>
  <c r="M2771" i="2"/>
  <c r="I2771" i="2"/>
  <c r="H2771" i="2"/>
  <c r="J2771" i="2" s="1"/>
  <c r="L2771" i="2" s="1"/>
  <c r="D2771" i="2"/>
  <c r="N2770" i="2"/>
  <c r="M2770" i="2"/>
  <c r="I2770" i="2"/>
  <c r="H2770" i="2"/>
  <c r="J2770" i="2" s="1"/>
  <c r="L2770" i="2" s="1"/>
  <c r="D2770" i="2"/>
  <c r="N2769" i="2"/>
  <c r="M2769" i="2"/>
  <c r="J2769" i="2"/>
  <c r="L2769" i="2" s="1"/>
  <c r="I2769" i="2"/>
  <c r="H2769" i="2"/>
  <c r="D2769" i="2"/>
  <c r="N2768" i="2"/>
  <c r="M2768" i="2"/>
  <c r="I2768" i="2"/>
  <c r="J2768" i="2" s="1"/>
  <c r="L2768" i="2" s="1"/>
  <c r="H2768" i="2"/>
  <c r="D2768" i="2"/>
  <c r="N2767" i="2"/>
  <c r="M2767" i="2"/>
  <c r="I2767" i="2"/>
  <c r="H2767" i="2"/>
  <c r="J2767" i="2" s="1"/>
  <c r="L2767" i="2" s="1"/>
  <c r="D2767" i="2"/>
  <c r="N2766" i="2"/>
  <c r="M2766" i="2"/>
  <c r="I2766" i="2"/>
  <c r="H2766" i="2"/>
  <c r="J2766" i="2" s="1"/>
  <c r="L2766" i="2" s="1"/>
  <c r="D2766" i="2"/>
  <c r="N2765" i="2"/>
  <c r="M2765" i="2"/>
  <c r="J2765" i="2"/>
  <c r="L2765" i="2" s="1"/>
  <c r="I2765" i="2"/>
  <c r="H2765" i="2"/>
  <c r="D2765" i="2"/>
  <c r="N2764" i="2"/>
  <c r="M2764" i="2"/>
  <c r="I2764" i="2"/>
  <c r="J2764" i="2" s="1"/>
  <c r="L2764" i="2" s="1"/>
  <c r="H2764" i="2"/>
  <c r="D2764" i="2"/>
  <c r="N2763" i="2"/>
  <c r="M2763" i="2"/>
  <c r="I2763" i="2"/>
  <c r="H2763" i="2"/>
  <c r="J2763" i="2" s="1"/>
  <c r="L2763" i="2" s="1"/>
  <c r="D2763" i="2"/>
  <c r="N2762" i="2"/>
  <c r="M2762" i="2"/>
  <c r="I2762" i="2"/>
  <c r="H2762" i="2"/>
  <c r="J2762" i="2" s="1"/>
  <c r="L2762" i="2" s="1"/>
  <c r="D2762" i="2"/>
  <c r="N2761" i="2"/>
  <c r="M2761" i="2"/>
  <c r="J2761" i="2"/>
  <c r="L2761" i="2" s="1"/>
  <c r="I2761" i="2"/>
  <c r="H2761" i="2"/>
  <c r="D2761" i="2"/>
  <c r="N2760" i="2"/>
  <c r="M2760" i="2"/>
  <c r="I2760" i="2"/>
  <c r="J2760" i="2" s="1"/>
  <c r="L2760" i="2" s="1"/>
  <c r="H2760" i="2"/>
  <c r="D2760" i="2"/>
  <c r="N2759" i="2"/>
  <c r="M2759" i="2"/>
  <c r="I2759" i="2"/>
  <c r="H2759" i="2"/>
  <c r="J2759" i="2" s="1"/>
  <c r="L2759" i="2" s="1"/>
  <c r="D2759" i="2"/>
  <c r="N2758" i="2"/>
  <c r="M2758" i="2"/>
  <c r="I2758" i="2"/>
  <c r="H2758" i="2"/>
  <c r="J2758" i="2" s="1"/>
  <c r="L2758" i="2" s="1"/>
  <c r="D2758" i="2"/>
  <c r="N2757" i="2"/>
  <c r="M2757" i="2"/>
  <c r="J2757" i="2"/>
  <c r="L2757" i="2" s="1"/>
  <c r="I2757" i="2"/>
  <c r="H2757" i="2"/>
  <c r="D2757" i="2"/>
  <c r="N2756" i="2"/>
  <c r="M2756" i="2"/>
  <c r="I2756" i="2"/>
  <c r="J2756" i="2" s="1"/>
  <c r="L2756" i="2" s="1"/>
  <c r="H2756" i="2"/>
  <c r="D2756" i="2"/>
  <c r="N2755" i="2"/>
  <c r="M2755" i="2"/>
  <c r="I2755" i="2"/>
  <c r="H2755" i="2"/>
  <c r="J2755" i="2" s="1"/>
  <c r="L2755" i="2" s="1"/>
  <c r="D2755" i="2"/>
  <c r="N2754" i="2"/>
  <c r="M2754" i="2"/>
  <c r="I2754" i="2"/>
  <c r="H2754" i="2"/>
  <c r="J2754" i="2" s="1"/>
  <c r="L2754" i="2" s="1"/>
  <c r="D2754" i="2"/>
  <c r="N2753" i="2"/>
  <c r="M2753" i="2"/>
  <c r="J2753" i="2"/>
  <c r="L2753" i="2" s="1"/>
  <c r="I2753" i="2"/>
  <c r="H2753" i="2"/>
  <c r="D2753" i="2"/>
  <c r="N2752" i="2"/>
  <c r="M2752" i="2"/>
  <c r="I2752" i="2"/>
  <c r="J2752" i="2" s="1"/>
  <c r="L2752" i="2" s="1"/>
  <c r="H2752" i="2"/>
  <c r="D2752" i="2"/>
  <c r="N2751" i="2"/>
  <c r="M2751" i="2"/>
  <c r="I2751" i="2"/>
  <c r="H2751" i="2"/>
  <c r="J2751" i="2" s="1"/>
  <c r="L2751" i="2" s="1"/>
  <c r="D2751" i="2"/>
  <c r="N2750" i="2"/>
  <c r="M2750" i="2"/>
  <c r="I2750" i="2"/>
  <c r="H2750" i="2"/>
  <c r="J2750" i="2" s="1"/>
  <c r="L2750" i="2" s="1"/>
  <c r="D2750" i="2"/>
  <c r="N2749" i="2"/>
  <c r="M2749" i="2"/>
  <c r="J2749" i="2"/>
  <c r="L2749" i="2" s="1"/>
  <c r="I2749" i="2"/>
  <c r="H2749" i="2"/>
  <c r="D2749" i="2"/>
  <c r="N2748" i="2"/>
  <c r="M2748" i="2"/>
  <c r="I2748" i="2"/>
  <c r="J2748" i="2" s="1"/>
  <c r="L2748" i="2" s="1"/>
  <c r="H2748" i="2"/>
  <c r="D2748" i="2"/>
  <c r="N2747" i="2"/>
  <c r="M2747" i="2"/>
  <c r="I2747" i="2"/>
  <c r="H2747" i="2"/>
  <c r="J2747" i="2" s="1"/>
  <c r="L2747" i="2" s="1"/>
  <c r="D2747" i="2"/>
  <c r="N2746" i="2"/>
  <c r="M2746" i="2"/>
  <c r="I2746" i="2"/>
  <c r="H2746" i="2"/>
  <c r="J2746" i="2" s="1"/>
  <c r="L2746" i="2" s="1"/>
  <c r="D2746" i="2"/>
  <c r="N2745" i="2"/>
  <c r="M2745" i="2"/>
  <c r="J2745" i="2"/>
  <c r="L2745" i="2" s="1"/>
  <c r="I2745" i="2"/>
  <c r="H2745" i="2"/>
  <c r="D2745" i="2"/>
  <c r="N2744" i="2"/>
  <c r="M2744" i="2"/>
  <c r="I2744" i="2"/>
  <c r="J2744" i="2" s="1"/>
  <c r="L2744" i="2" s="1"/>
  <c r="H2744" i="2"/>
  <c r="D2744" i="2"/>
  <c r="N2743" i="2"/>
  <c r="M2743" i="2"/>
  <c r="I2743" i="2"/>
  <c r="H2743" i="2"/>
  <c r="J2743" i="2" s="1"/>
  <c r="L2743" i="2" s="1"/>
  <c r="D2743" i="2"/>
  <c r="N2742" i="2"/>
  <c r="M2742" i="2"/>
  <c r="I2742" i="2"/>
  <c r="H2742" i="2"/>
  <c r="J2742" i="2" s="1"/>
  <c r="L2742" i="2" s="1"/>
  <c r="D2742" i="2"/>
  <c r="N2741" i="2"/>
  <c r="M2741" i="2"/>
  <c r="J2741" i="2"/>
  <c r="L2741" i="2" s="1"/>
  <c r="I2741" i="2"/>
  <c r="H2741" i="2"/>
  <c r="D2741" i="2"/>
  <c r="N2740" i="2"/>
  <c r="M2740" i="2"/>
  <c r="I2740" i="2"/>
  <c r="J2740" i="2" s="1"/>
  <c r="L2740" i="2" s="1"/>
  <c r="H2740" i="2"/>
  <c r="D2740" i="2"/>
  <c r="N2739" i="2"/>
  <c r="M2739" i="2"/>
  <c r="I2739" i="2"/>
  <c r="H2739" i="2"/>
  <c r="J2739" i="2" s="1"/>
  <c r="L2739" i="2" s="1"/>
  <c r="D2739" i="2"/>
  <c r="N2738" i="2"/>
  <c r="M2738" i="2"/>
  <c r="I2738" i="2"/>
  <c r="H2738" i="2"/>
  <c r="J2738" i="2" s="1"/>
  <c r="L2738" i="2" s="1"/>
  <c r="D2738" i="2"/>
  <c r="N2737" i="2"/>
  <c r="M2737" i="2"/>
  <c r="J2737" i="2"/>
  <c r="L2737" i="2" s="1"/>
  <c r="I2737" i="2"/>
  <c r="H2737" i="2"/>
  <c r="D2737" i="2"/>
  <c r="N2736" i="2"/>
  <c r="M2736" i="2"/>
  <c r="I2736" i="2"/>
  <c r="J2736" i="2" s="1"/>
  <c r="L2736" i="2" s="1"/>
  <c r="H2736" i="2"/>
  <c r="D2736" i="2"/>
  <c r="N2735" i="2"/>
  <c r="M2735" i="2"/>
  <c r="I2735" i="2"/>
  <c r="H2735" i="2"/>
  <c r="J2735" i="2" s="1"/>
  <c r="L2735" i="2" s="1"/>
  <c r="D2735" i="2"/>
  <c r="N2734" i="2"/>
  <c r="M2734" i="2"/>
  <c r="I2734" i="2"/>
  <c r="H2734" i="2"/>
  <c r="J2734" i="2" s="1"/>
  <c r="L2734" i="2" s="1"/>
  <c r="D2734" i="2"/>
  <c r="N2733" i="2"/>
  <c r="M2733" i="2"/>
  <c r="J2733" i="2"/>
  <c r="L2733" i="2" s="1"/>
  <c r="I2733" i="2"/>
  <c r="H2733" i="2"/>
  <c r="D2733" i="2"/>
  <c r="N2732" i="2"/>
  <c r="M2732" i="2"/>
  <c r="I2732" i="2"/>
  <c r="J2732" i="2" s="1"/>
  <c r="L2732" i="2" s="1"/>
  <c r="H2732" i="2"/>
  <c r="D2732" i="2"/>
  <c r="N2731" i="2"/>
  <c r="M2731" i="2"/>
  <c r="I2731" i="2"/>
  <c r="H2731" i="2"/>
  <c r="J2731" i="2" s="1"/>
  <c r="L2731" i="2" s="1"/>
  <c r="D2731" i="2"/>
  <c r="N2730" i="2"/>
  <c r="M2730" i="2"/>
  <c r="I2730" i="2"/>
  <c r="H2730" i="2"/>
  <c r="J2730" i="2" s="1"/>
  <c r="L2730" i="2" s="1"/>
  <c r="D2730" i="2"/>
  <c r="N2729" i="2"/>
  <c r="M2729" i="2"/>
  <c r="J2729" i="2"/>
  <c r="L2729" i="2" s="1"/>
  <c r="I2729" i="2"/>
  <c r="H2729" i="2"/>
  <c r="D2729" i="2"/>
  <c r="N2728" i="2"/>
  <c r="M2728" i="2"/>
  <c r="I2728" i="2"/>
  <c r="J2728" i="2" s="1"/>
  <c r="L2728" i="2" s="1"/>
  <c r="H2728" i="2"/>
  <c r="D2728" i="2"/>
  <c r="N2727" i="2"/>
  <c r="M2727" i="2"/>
  <c r="I2727" i="2"/>
  <c r="H2727" i="2"/>
  <c r="J2727" i="2" s="1"/>
  <c r="L2727" i="2" s="1"/>
  <c r="D2727" i="2"/>
  <c r="N2726" i="2"/>
  <c r="M2726" i="2"/>
  <c r="I2726" i="2"/>
  <c r="H2726" i="2"/>
  <c r="J2726" i="2" s="1"/>
  <c r="L2726" i="2" s="1"/>
  <c r="D2726" i="2"/>
  <c r="N2725" i="2"/>
  <c r="M2725" i="2"/>
  <c r="J2725" i="2"/>
  <c r="L2725" i="2" s="1"/>
  <c r="I2725" i="2"/>
  <c r="H2725" i="2"/>
  <c r="D2725" i="2"/>
  <c r="N2724" i="2"/>
  <c r="M2724" i="2"/>
  <c r="I2724" i="2"/>
  <c r="J2724" i="2" s="1"/>
  <c r="L2724" i="2" s="1"/>
  <c r="H2724" i="2"/>
  <c r="D2724" i="2"/>
  <c r="N2723" i="2"/>
  <c r="M2723" i="2"/>
  <c r="I2723" i="2"/>
  <c r="H2723" i="2"/>
  <c r="J2723" i="2" s="1"/>
  <c r="L2723" i="2" s="1"/>
  <c r="D2723" i="2"/>
  <c r="N2722" i="2"/>
  <c r="M2722" i="2"/>
  <c r="I2722" i="2"/>
  <c r="H2722" i="2"/>
  <c r="J2722" i="2" s="1"/>
  <c r="L2722" i="2" s="1"/>
  <c r="D2722" i="2"/>
  <c r="N2721" i="2"/>
  <c r="M2721" i="2"/>
  <c r="J2721" i="2"/>
  <c r="L2721" i="2" s="1"/>
  <c r="I2721" i="2"/>
  <c r="H2721" i="2"/>
  <c r="D2721" i="2"/>
  <c r="N2720" i="2"/>
  <c r="M2720" i="2"/>
  <c r="I2720" i="2"/>
  <c r="J2720" i="2" s="1"/>
  <c r="L2720" i="2" s="1"/>
  <c r="H2720" i="2"/>
  <c r="D2720" i="2"/>
  <c r="N2719" i="2"/>
  <c r="M2719" i="2"/>
  <c r="I2719" i="2"/>
  <c r="H2719" i="2"/>
  <c r="J2719" i="2" s="1"/>
  <c r="L2719" i="2" s="1"/>
  <c r="D2719" i="2"/>
  <c r="N2718" i="2"/>
  <c r="M2718" i="2"/>
  <c r="I2718" i="2"/>
  <c r="H2718" i="2"/>
  <c r="J2718" i="2" s="1"/>
  <c r="L2718" i="2" s="1"/>
  <c r="D2718" i="2"/>
  <c r="N2717" i="2"/>
  <c r="M2717" i="2"/>
  <c r="J2717" i="2"/>
  <c r="L2717" i="2" s="1"/>
  <c r="I2717" i="2"/>
  <c r="H2717" i="2"/>
  <c r="D2717" i="2"/>
  <c r="N2716" i="2"/>
  <c r="M2716" i="2"/>
  <c r="I2716" i="2"/>
  <c r="J2716" i="2" s="1"/>
  <c r="L2716" i="2" s="1"/>
  <c r="H2716" i="2"/>
  <c r="D2716" i="2"/>
  <c r="N2715" i="2"/>
  <c r="M2715" i="2"/>
  <c r="I2715" i="2"/>
  <c r="H2715" i="2"/>
  <c r="J2715" i="2" s="1"/>
  <c r="L2715" i="2" s="1"/>
  <c r="D2715" i="2"/>
  <c r="N2714" i="2"/>
  <c r="M2714" i="2"/>
  <c r="I2714" i="2"/>
  <c r="H2714" i="2"/>
  <c r="J2714" i="2" s="1"/>
  <c r="L2714" i="2" s="1"/>
  <c r="D2714" i="2"/>
  <c r="N2713" i="2"/>
  <c r="M2713" i="2"/>
  <c r="J2713" i="2"/>
  <c r="L2713" i="2" s="1"/>
  <c r="I2713" i="2"/>
  <c r="H2713" i="2"/>
  <c r="D2713" i="2"/>
  <c r="N2712" i="2"/>
  <c r="M2712" i="2"/>
  <c r="I2712" i="2"/>
  <c r="J2712" i="2" s="1"/>
  <c r="L2712" i="2" s="1"/>
  <c r="H2712" i="2"/>
  <c r="D2712" i="2"/>
  <c r="N2711" i="2"/>
  <c r="M2711" i="2"/>
  <c r="I2711" i="2"/>
  <c r="H2711" i="2"/>
  <c r="J2711" i="2" s="1"/>
  <c r="L2711" i="2" s="1"/>
  <c r="D2711" i="2"/>
  <c r="N2710" i="2"/>
  <c r="M2710" i="2"/>
  <c r="I2710" i="2"/>
  <c r="H2710" i="2"/>
  <c r="J2710" i="2" s="1"/>
  <c r="L2710" i="2" s="1"/>
  <c r="D2710" i="2"/>
  <c r="N2709" i="2"/>
  <c r="M2709" i="2"/>
  <c r="J2709" i="2"/>
  <c r="L2709" i="2" s="1"/>
  <c r="I2709" i="2"/>
  <c r="H2709" i="2"/>
  <c r="D2709" i="2"/>
  <c r="N2708" i="2"/>
  <c r="M2708" i="2"/>
  <c r="I2708" i="2"/>
  <c r="J2708" i="2" s="1"/>
  <c r="L2708" i="2" s="1"/>
  <c r="H2708" i="2"/>
  <c r="D2708" i="2"/>
  <c r="N2707" i="2"/>
  <c r="M2707" i="2"/>
  <c r="I2707" i="2"/>
  <c r="H2707" i="2"/>
  <c r="J2707" i="2" s="1"/>
  <c r="L2707" i="2" s="1"/>
  <c r="D2707" i="2"/>
  <c r="N2706" i="2"/>
  <c r="M2706" i="2"/>
  <c r="I2706" i="2"/>
  <c r="H2706" i="2"/>
  <c r="J2706" i="2" s="1"/>
  <c r="L2706" i="2" s="1"/>
  <c r="D2706" i="2"/>
  <c r="N2705" i="2"/>
  <c r="M2705" i="2"/>
  <c r="J2705" i="2"/>
  <c r="L2705" i="2" s="1"/>
  <c r="I2705" i="2"/>
  <c r="H2705" i="2"/>
  <c r="D2705" i="2"/>
  <c r="N2704" i="2"/>
  <c r="M2704" i="2"/>
  <c r="I2704" i="2"/>
  <c r="J2704" i="2" s="1"/>
  <c r="L2704" i="2" s="1"/>
  <c r="H2704" i="2"/>
  <c r="D2704" i="2"/>
  <c r="N2703" i="2"/>
  <c r="M2703" i="2"/>
  <c r="I2703" i="2"/>
  <c r="H2703" i="2"/>
  <c r="J2703" i="2" s="1"/>
  <c r="L2703" i="2" s="1"/>
  <c r="D2703" i="2"/>
  <c r="N2702" i="2"/>
  <c r="M2702" i="2"/>
  <c r="I2702" i="2"/>
  <c r="H2702" i="2"/>
  <c r="J2702" i="2" s="1"/>
  <c r="L2702" i="2" s="1"/>
  <c r="D2702" i="2"/>
  <c r="N2701" i="2"/>
  <c r="M2701" i="2"/>
  <c r="J2701" i="2"/>
  <c r="L2701" i="2" s="1"/>
  <c r="I2701" i="2"/>
  <c r="H2701" i="2"/>
  <c r="D2701" i="2"/>
  <c r="N2700" i="2"/>
  <c r="M2700" i="2"/>
  <c r="I2700" i="2"/>
  <c r="J2700" i="2" s="1"/>
  <c r="L2700" i="2" s="1"/>
  <c r="H2700" i="2"/>
  <c r="D2700" i="2"/>
  <c r="N2699" i="2"/>
  <c r="M2699" i="2"/>
  <c r="I2699" i="2"/>
  <c r="H2699" i="2"/>
  <c r="J2699" i="2" s="1"/>
  <c r="L2699" i="2" s="1"/>
  <c r="D2699" i="2"/>
  <c r="N2698" i="2"/>
  <c r="M2698" i="2"/>
  <c r="I2698" i="2"/>
  <c r="H2698" i="2"/>
  <c r="J2698" i="2" s="1"/>
  <c r="L2698" i="2" s="1"/>
  <c r="D2698" i="2"/>
  <c r="N2697" i="2"/>
  <c r="M2697" i="2"/>
  <c r="J2697" i="2"/>
  <c r="L2697" i="2" s="1"/>
  <c r="I2697" i="2"/>
  <c r="H2697" i="2"/>
  <c r="D2697" i="2"/>
  <c r="N2696" i="2"/>
  <c r="M2696" i="2"/>
  <c r="I2696" i="2"/>
  <c r="J2696" i="2" s="1"/>
  <c r="L2696" i="2" s="1"/>
  <c r="H2696" i="2"/>
  <c r="D2696" i="2"/>
  <c r="N2695" i="2"/>
  <c r="M2695" i="2"/>
  <c r="I2695" i="2"/>
  <c r="H2695" i="2"/>
  <c r="J2695" i="2" s="1"/>
  <c r="L2695" i="2" s="1"/>
  <c r="D2695" i="2"/>
  <c r="N2694" i="2"/>
  <c r="M2694" i="2"/>
  <c r="L2694" i="2"/>
  <c r="I2694" i="2"/>
  <c r="H2694" i="2"/>
  <c r="J2694" i="2" s="1"/>
  <c r="D2694" i="2"/>
  <c r="N2693" i="2"/>
  <c r="M2693" i="2"/>
  <c r="J2693" i="2"/>
  <c r="L2693" i="2" s="1"/>
  <c r="I2693" i="2"/>
  <c r="H2693" i="2"/>
  <c r="D2693" i="2"/>
  <c r="N2692" i="2"/>
  <c r="M2692" i="2"/>
  <c r="J2692" i="2"/>
  <c r="L2692" i="2" s="1"/>
  <c r="I2692" i="2"/>
  <c r="H2692" i="2"/>
  <c r="D2692" i="2"/>
  <c r="N2691" i="2"/>
  <c r="M2691" i="2"/>
  <c r="I2691" i="2"/>
  <c r="H2691" i="2"/>
  <c r="J2691" i="2" s="1"/>
  <c r="L2691" i="2" s="1"/>
  <c r="D2691" i="2"/>
  <c r="N2690" i="2"/>
  <c r="M2690" i="2"/>
  <c r="I2690" i="2"/>
  <c r="H2690" i="2"/>
  <c r="J2690" i="2" s="1"/>
  <c r="L2690" i="2" s="1"/>
  <c r="D2690" i="2"/>
  <c r="N2689" i="2"/>
  <c r="M2689" i="2"/>
  <c r="I2689" i="2"/>
  <c r="H2689" i="2"/>
  <c r="J2689" i="2" s="1"/>
  <c r="L2689" i="2" s="1"/>
  <c r="D2689" i="2"/>
  <c r="N2688" i="2"/>
  <c r="M2688" i="2"/>
  <c r="J2688" i="2"/>
  <c r="L2688" i="2" s="1"/>
  <c r="I2688" i="2"/>
  <c r="H2688" i="2"/>
  <c r="D2688" i="2"/>
  <c r="N2687" i="2"/>
  <c r="M2687" i="2"/>
  <c r="I2687" i="2"/>
  <c r="H2687" i="2"/>
  <c r="J2687" i="2" s="1"/>
  <c r="L2687" i="2" s="1"/>
  <c r="D2687" i="2"/>
  <c r="N2686" i="2"/>
  <c r="M2686" i="2"/>
  <c r="I2686" i="2"/>
  <c r="H2686" i="2"/>
  <c r="D2686" i="2"/>
  <c r="N2685" i="2"/>
  <c r="M2685" i="2"/>
  <c r="J2685" i="2"/>
  <c r="L2685" i="2" s="1"/>
  <c r="I2685" i="2"/>
  <c r="H2685" i="2"/>
  <c r="D2685" i="2"/>
  <c r="N2684" i="2"/>
  <c r="M2684" i="2"/>
  <c r="I2684" i="2"/>
  <c r="H2684" i="2"/>
  <c r="J2684" i="2" s="1"/>
  <c r="L2684" i="2" s="1"/>
  <c r="D2684" i="2"/>
  <c r="N2683" i="2"/>
  <c r="M2683" i="2"/>
  <c r="I2683" i="2"/>
  <c r="H2683" i="2"/>
  <c r="J2683" i="2" s="1"/>
  <c r="L2683" i="2" s="1"/>
  <c r="D2683" i="2"/>
  <c r="N2682" i="2"/>
  <c r="M2682" i="2"/>
  <c r="I2682" i="2"/>
  <c r="H2682" i="2"/>
  <c r="J2682" i="2" s="1"/>
  <c r="L2682" i="2" s="1"/>
  <c r="D2682" i="2"/>
  <c r="N2681" i="2"/>
  <c r="M2681" i="2"/>
  <c r="J2681" i="2"/>
  <c r="L2681" i="2" s="1"/>
  <c r="I2681" i="2"/>
  <c r="H2681" i="2"/>
  <c r="D2681" i="2"/>
  <c r="N2680" i="2"/>
  <c r="M2680" i="2"/>
  <c r="I2680" i="2"/>
  <c r="H2680" i="2"/>
  <c r="J2680" i="2" s="1"/>
  <c r="L2680" i="2" s="1"/>
  <c r="D2680" i="2"/>
  <c r="N2679" i="2"/>
  <c r="M2679" i="2"/>
  <c r="I2679" i="2"/>
  <c r="H2679" i="2"/>
  <c r="J2679" i="2" s="1"/>
  <c r="L2679" i="2" s="1"/>
  <c r="D2679" i="2"/>
  <c r="N2678" i="2"/>
  <c r="M2678" i="2"/>
  <c r="I2678" i="2"/>
  <c r="H2678" i="2"/>
  <c r="J2678" i="2" s="1"/>
  <c r="L2678" i="2" s="1"/>
  <c r="D2678" i="2"/>
  <c r="N2677" i="2"/>
  <c r="M2677" i="2"/>
  <c r="J2677" i="2"/>
  <c r="L2677" i="2" s="1"/>
  <c r="I2677" i="2"/>
  <c r="H2677" i="2"/>
  <c r="D2677" i="2"/>
  <c r="N2676" i="2"/>
  <c r="M2676" i="2"/>
  <c r="I2676" i="2"/>
  <c r="H2676" i="2"/>
  <c r="J2676" i="2" s="1"/>
  <c r="L2676" i="2" s="1"/>
  <c r="D2676" i="2"/>
  <c r="N2675" i="2"/>
  <c r="M2675" i="2"/>
  <c r="I2675" i="2"/>
  <c r="H2675" i="2"/>
  <c r="J2675" i="2" s="1"/>
  <c r="L2675" i="2" s="1"/>
  <c r="D2675" i="2"/>
  <c r="N2674" i="2"/>
  <c r="M2674" i="2"/>
  <c r="I2674" i="2"/>
  <c r="H2674" i="2"/>
  <c r="J2674" i="2" s="1"/>
  <c r="L2674" i="2" s="1"/>
  <c r="D2674" i="2"/>
  <c r="N2673" i="2"/>
  <c r="M2673" i="2"/>
  <c r="J2673" i="2"/>
  <c r="L2673" i="2" s="1"/>
  <c r="I2673" i="2"/>
  <c r="H2673" i="2"/>
  <c r="D2673" i="2"/>
  <c r="N2672" i="2"/>
  <c r="M2672" i="2"/>
  <c r="I2672" i="2"/>
  <c r="H2672" i="2"/>
  <c r="J2672" i="2" s="1"/>
  <c r="L2672" i="2" s="1"/>
  <c r="D2672" i="2"/>
  <c r="N2671" i="2"/>
  <c r="M2671" i="2"/>
  <c r="I2671" i="2"/>
  <c r="H2671" i="2"/>
  <c r="J2671" i="2" s="1"/>
  <c r="L2671" i="2" s="1"/>
  <c r="D2671" i="2"/>
  <c r="N2670" i="2"/>
  <c r="M2670" i="2"/>
  <c r="I2670" i="2"/>
  <c r="J2670" i="2" s="1"/>
  <c r="L2670" i="2" s="1"/>
  <c r="H2670" i="2"/>
  <c r="D2670" i="2"/>
  <c r="N2669" i="2"/>
  <c r="M2669" i="2"/>
  <c r="J2669" i="2"/>
  <c r="L2669" i="2" s="1"/>
  <c r="I2669" i="2"/>
  <c r="H2669" i="2"/>
  <c r="D2669" i="2"/>
  <c r="N2668" i="2"/>
  <c r="M2668" i="2"/>
  <c r="I2668" i="2"/>
  <c r="H2668" i="2"/>
  <c r="J2668" i="2" s="1"/>
  <c r="L2668" i="2" s="1"/>
  <c r="D2668" i="2"/>
  <c r="N2667" i="2"/>
  <c r="M2667" i="2"/>
  <c r="I2667" i="2"/>
  <c r="H2667" i="2"/>
  <c r="J2667" i="2" s="1"/>
  <c r="L2667" i="2" s="1"/>
  <c r="D2667" i="2"/>
  <c r="N2666" i="2"/>
  <c r="M2666" i="2"/>
  <c r="I2666" i="2"/>
  <c r="H2666" i="2"/>
  <c r="J2666" i="2" s="1"/>
  <c r="L2666" i="2" s="1"/>
  <c r="D2666" i="2"/>
  <c r="N2665" i="2"/>
  <c r="M2665" i="2"/>
  <c r="J2665" i="2"/>
  <c r="L2665" i="2" s="1"/>
  <c r="I2665" i="2"/>
  <c r="H2665" i="2"/>
  <c r="D2665" i="2"/>
  <c r="N2664" i="2"/>
  <c r="M2664" i="2"/>
  <c r="I2664" i="2"/>
  <c r="H2664" i="2"/>
  <c r="J2664" i="2" s="1"/>
  <c r="L2664" i="2" s="1"/>
  <c r="D2664" i="2"/>
  <c r="N2663" i="2"/>
  <c r="M2663" i="2"/>
  <c r="I2663" i="2"/>
  <c r="H2663" i="2"/>
  <c r="J2663" i="2" s="1"/>
  <c r="L2663" i="2" s="1"/>
  <c r="D2663" i="2"/>
  <c r="N2662" i="2"/>
  <c r="M2662" i="2"/>
  <c r="I2662" i="2"/>
  <c r="H2662" i="2"/>
  <c r="J2662" i="2" s="1"/>
  <c r="L2662" i="2" s="1"/>
  <c r="D2662" i="2"/>
  <c r="N2661" i="2"/>
  <c r="M2661" i="2"/>
  <c r="J2661" i="2"/>
  <c r="L2661" i="2" s="1"/>
  <c r="I2661" i="2"/>
  <c r="H2661" i="2"/>
  <c r="D2661" i="2"/>
  <c r="N2660" i="2"/>
  <c r="M2660" i="2"/>
  <c r="I2660" i="2"/>
  <c r="H2660" i="2"/>
  <c r="J2660" i="2" s="1"/>
  <c r="L2660" i="2" s="1"/>
  <c r="D2660" i="2"/>
  <c r="N2659" i="2"/>
  <c r="M2659" i="2"/>
  <c r="I2659" i="2"/>
  <c r="H2659" i="2"/>
  <c r="J2659" i="2" s="1"/>
  <c r="L2659" i="2" s="1"/>
  <c r="D2659" i="2"/>
  <c r="N2658" i="2"/>
  <c r="M2658" i="2"/>
  <c r="I2658" i="2"/>
  <c r="H2658" i="2"/>
  <c r="J2658" i="2" s="1"/>
  <c r="L2658" i="2" s="1"/>
  <c r="D2658" i="2"/>
  <c r="N2657" i="2"/>
  <c r="M2657" i="2"/>
  <c r="J2657" i="2"/>
  <c r="L2657" i="2" s="1"/>
  <c r="I2657" i="2"/>
  <c r="H2657" i="2"/>
  <c r="D2657" i="2"/>
  <c r="N2656" i="2"/>
  <c r="M2656" i="2"/>
  <c r="I2656" i="2"/>
  <c r="J2656" i="2" s="1"/>
  <c r="L2656" i="2" s="1"/>
  <c r="H2656" i="2"/>
  <c r="D2656" i="2"/>
  <c r="N2655" i="2"/>
  <c r="M2655" i="2"/>
  <c r="I2655" i="2"/>
  <c r="H2655" i="2"/>
  <c r="J2655" i="2" s="1"/>
  <c r="L2655" i="2" s="1"/>
  <c r="D2655" i="2"/>
  <c r="N2654" i="2"/>
  <c r="M2654" i="2"/>
  <c r="I2654" i="2"/>
  <c r="H2654" i="2"/>
  <c r="J2654" i="2" s="1"/>
  <c r="L2654" i="2" s="1"/>
  <c r="D2654" i="2"/>
  <c r="N2653" i="2"/>
  <c r="M2653" i="2"/>
  <c r="J2653" i="2"/>
  <c r="L2653" i="2" s="1"/>
  <c r="I2653" i="2"/>
  <c r="H2653" i="2"/>
  <c r="D2653" i="2"/>
  <c r="N2652" i="2"/>
  <c r="M2652" i="2"/>
  <c r="I2652" i="2"/>
  <c r="J2652" i="2" s="1"/>
  <c r="L2652" i="2" s="1"/>
  <c r="H2652" i="2"/>
  <c r="D2652" i="2"/>
  <c r="N2651" i="2"/>
  <c r="M2651" i="2"/>
  <c r="I2651" i="2"/>
  <c r="H2651" i="2"/>
  <c r="J2651" i="2" s="1"/>
  <c r="L2651" i="2" s="1"/>
  <c r="D2651" i="2"/>
  <c r="N2650" i="2"/>
  <c r="M2650" i="2"/>
  <c r="I2650" i="2"/>
  <c r="H2650" i="2"/>
  <c r="J2650" i="2" s="1"/>
  <c r="L2650" i="2" s="1"/>
  <c r="D2650" i="2"/>
  <c r="N2649" i="2"/>
  <c r="M2649" i="2"/>
  <c r="J2649" i="2"/>
  <c r="L2649" i="2" s="1"/>
  <c r="I2649" i="2"/>
  <c r="H2649" i="2"/>
  <c r="D2649" i="2"/>
  <c r="N2648" i="2"/>
  <c r="M2648" i="2"/>
  <c r="I2648" i="2"/>
  <c r="J2648" i="2" s="1"/>
  <c r="L2648" i="2" s="1"/>
  <c r="H2648" i="2"/>
  <c r="D2648" i="2"/>
  <c r="N2647" i="2"/>
  <c r="M2647" i="2"/>
  <c r="I2647" i="2"/>
  <c r="H2647" i="2"/>
  <c r="J2647" i="2" s="1"/>
  <c r="L2647" i="2" s="1"/>
  <c r="D2647" i="2"/>
  <c r="N2646" i="2"/>
  <c r="M2646" i="2"/>
  <c r="I2646" i="2"/>
  <c r="H2646" i="2"/>
  <c r="J2646" i="2" s="1"/>
  <c r="L2646" i="2" s="1"/>
  <c r="D2646" i="2"/>
  <c r="N2645" i="2"/>
  <c r="M2645" i="2"/>
  <c r="J2645" i="2"/>
  <c r="L2645" i="2" s="1"/>
  <c r="I2645" i="2"/>
  <c r="H2645" i="2"/>
  <c r="D2645" i="2"/>
  <c r="N2644" i="2"/>
  <c r="M2644" i="2"/>
  <c r="I2644" i="2"/>
  <c r="J2644" i="2" s="1"/>
  <c r="L2644" i="2" s="1"/>
  <c r="H2644" i="2"/>
  <c r="D2644" i="2"/>
  <c r="N2643" i="2"/>
  <c r="M2643" i="2"/>
  <c r="I2643" i="2"/>
  <c r="H2643" i="2"/>
  <c r="J2643" i="2" s="1"/>
  <c r="L2643" i="2" s="1"/>
  <c r="D2643" i="2"/>
  <c r="N2642" i="2"/>
  <c r="M2642" i="2"/>
  <c r="I2642" i="2"/>
  <c r="H2642" i="2"/>
  <c r="J2642" i="2" s="1"/>
  <c r="L2642" i="2" s="1"/>
  <c r="D2642" i="2"/>
  <c r="N2641" i="2"/>
  <c r="M2641" i="2"/>
  <c r="J2641" i="2"/>
  <c r="L2641" i="2" s="1"/>
  <c r="I2641" i="2"/>
  <c r="H2641" i="2"/>
  <c r="D2641" i="2"/>
  <c r="N2640" i="2"/>
  <c r="M2640" i="2"/>
  <c r="I2640" i="2"/>
  <c r="J2640" i="2" s="1"/>
  <c r="L2640" i="2" s="1"/>
  <c r="H2640" i="2"/>
  <c r="D2640" i="2"/>
  <c r="N2639" i="2"/>
  <c r="M2639" i="2"/>
  <c r="I2639" i="2"/>
  <c r="H2639" i="2"/>
  <c r="J2639" i="2" s="1"/>
  <c r="L2639" i="2" s="1"/>
  <c r="D2639" i="2"/>
  <c r="N2638" i="2"/>
  <c r="M2638" i="2"/>
  <c r="I2638" i="2"/>
  <c r="H2638" i="2"/>
  <c r="J2638" i="2" s="1"/>
  <c r="L2638" i="2" s="1"/>
  <c r="D2638" i="2"/>
  <c r="N2637" i="2"/>
  <c r="M2637" i="2"/>
  <c r="J2637" i="2"/>
  <c r="L2637" i="2" s="1"/>
  <c r="I2637" i="2"/>
  <c r="H2637" i="2"/>
  <c r="D2637" i="2"/>
  <c r="N2636" i="2"/>
  <c r="M2636" i="2"/>
  <c r="I2636" i="2"/>
  <c r="J2636" i="2" s="1"/>
  <c r="L2636" i="2" s="1"/>
  <c r="H2636" i="2"/>
  <c r="D2636" i="2"/>
  <c r="N2635" i="2"/>
  <c r="M2635" i="2"/>
  <c r="I2635" i="2"/>
  <c r="H2635" i="2"/>
  <c r="J2635" i="2" s="1"/>
  <c r="L2635" i="2" s="1"/>
  <c r="D2635" i="2"/>
  <c r="N2634" i="2"/>
  <c r="M2634" i="2"/>
  <c r="I2634" i="2"/>
  <c r="H2634" i="2"/>
  <c r="J2634" i="2" s="1"/>
  <c r="L2634" i="2" s="1"/>
  <c r="D2634" i="2"/>
  <c r="N2633" i="2"/>
  <c r="M2633" i="2"/>
  <c r="J2633" i="2"/>
  <c r="L2633" i="2" s="1"/>
  <c r="I2633" i="2"/>
  <c r="H2633" i="2"/>
  <c r="D2633" i="2"/>
  <c r="N2632" i="2"/>
  <c r="M2632" i="2"/>
  <c r="I2632" i="2"/>
  <c r="J2632" i="2" s="1"/>
  <c r="L2632" i="2" s="1"/>
  <c r="H2632" i="2"/>
  <c r="D2632" i="2"/>
  <c r="N2631" i="2"/>
  <c r="M2631" i="2"/>
  <c r="I2631" i="2"/>
  <c r="H2631" i="2"/>
  <c r="J2631" i="2" s="1"/>
  <c r="L2631" i="2" s="1"/>
  <c r="D2631" i="2"/>
  <c r="N2630" i="2"/>
  <c r="M2630" i="2"/>
  <c r="I2630" i="2"/>
  <c r="H2630" i="2"/>
  <c r="J2630" i="2" s="1"/>
  <c r="L2630" i="2" s="1"/>
  <c r="D2630" i="2"/>
  <c r="N2629" i="2"/>
  <c r="M2629" i="2"/>
  <c r="J2629" i="2"/>
  <c r="L2629" i="2" s="1"/>
  <c r="I2629" i="2"/>
  <c r="H2629" i="2"/>
  <c r="D2629" i="2"/>
  <c r="N2628" i="2"/>
  <c r="M2628" i="2"/>
  <c r="I2628" i="2"/>
  <c r="J2628" i="2" s="1"/>
  <c r="L2628" i="2" s="1"/>
  <c r="H2628" i="2"/>
  <c r="D2628" i="2"/>
  <c r="N2627" i="2"/>
  <c r="M2627" i="2"/>
  <c r="I2627" i="2"/>
  <c r="H2627" i="2"/>
  <c r="J2627" i="2" s="1"/>
  <c r="L2627" i="2" s="1"/>
  <c r="D2627" i="2"/>
  <c r="N2626" i="2"/>
  <c r="M2626" i="2"/>
  <c r="I2626" i="2"/>
  <c r="H2626" i="2"/>
  <c r="J2626" i="2" s="1"/>
  <c r="L2626" i="2" s="1"/>
  <c r="D2626" i="2"/>
  <c r="N2625" i="2"/>
  <c r="M2625" i="2"/>
  <c r="J2625" i="2"/>
  <c r="L2625" i="2" s="1"/>
  <c r="I2625" i="2"/>
  <c r="H2625" i="2"/>
  <c r="D2625" i="2"/>
  <c r="N2624" i="2"/>
  <c r="M2624" i="2"/>
  <c r="I2624" i="2"/>
  <c r="J2624" i="2" s="1"/>
  <c r="L2624" i="2" s="1"/>
  <c r="H2624" i="2"/>
  <c r="D2624" i="2"/>
  <c r="N2623" i="2"/>
  <c r="M2623" i="2"/>
  <c r="I2623" i="2"/>
  <c r="H2623" i="2"/>
  <c r="J2623" i="2" s="1"/>
  <c r="L2623" i="2" s="1"/>
  <c r="D2623" i="2"/>
  <c r="N2622" i="2"/>
  <c r="M2622" i="2"/>
  <c r="I2622" i="2"/>
  <c r="H2622" i="2"/>
  <c r="J2622" i="2" s="1"/>
  <c r="L2622" i="2" s="1"/>
  <c r="D2622" i="2"/>
  <c r="N2621" i="2"/>
  <c r="M2621" i="2"/>
  <c r="J2621" i="2"/>
  <c r="L2621" i="2" s="1"/>
  <c r="I2621" i="2"/>
  <c r="H2621" i="2"/>
  <c r="D2621" i="2"/>
  <c r="N2620" i="2"/>
  <c r="M2620" i="2"/>
  <c r="I2620" i="2"/>
  <c r="J2620" i="2" s="1"/>
  <c r="L2620" i="2" s="1"/>
  <c r="H2620" i="2"/>
  <c r="D2620" i="2"/>
  <c r="N2619" i="2"/>
  <c r="M2619" i="2"/>
  <c r="I2619" i="2"/>
  <c r="H2619" i="2"/>
  <c r="J2619" i="2" s="1"/>
  <c r="L2619" i="2" s="1"/>
  <c r="D2619" i="2"/>
  <c r="N2618" i="2"/>
  <c r="M2618" i="2"/>
  <c r="I2618" i="2"/>
  <c r="H2618" i="2"/>
  <c r="J2618" i="2" s="1"/>
  <c r="L2618" i="2" s="1"/>
  <c r="D2618" i="2"/>
  <c r="N2617" i="2"/>
  <c r="M2617" i="2"/>
  <c r="J2617" i="2"/>
  <c r="L2617" i="2" s="1"/>
  <c r="I2617" i="2"/>
  <c r="H2617" i="2"/>
  <c r="D2617" i="2"/>
  <c r="N2616" i="2"/>
  <c r="M2616" i="2"/>
  <c r="I2616" i="2"/>
  <c r="J2616" i="2" s="1"/>
  <c r="L2616" i="2" s="1"/>
  <c r="H2616" i="2"/>
  <c r="D2616" i="2"/>
  <c r="N2615" i="2"/>
  <c r="M2615" i="2"/>
  <c r="I2615" i="2"/>
  <c r="H2615" i="2"/>
  <c r="J2615" i="2" s="1"/>
  <c r="L2615" i="2" s="1"/>
  <c r="D2615" i="2"/>
  <c r="N2614" i="2"/>
  <c r="M2614" i="2"/>
  <c r="I2614" i="2"/>
  <c r="H2614" i="2"/>
  <c r="J2614" i="2" s="1"/>
  <c r="L2614" i="2" s="1"/>
  <c r="D2614" i="2"/>
  <c r="N2613" i="2"/>
  <c r="M2613" i="2"/>
  <c r="J2613" i="2"/>
  <c r="L2613" i="2" s="1"/>
  <c r="I2613" i="2"/>
  <c r="H2613" i="2"/>
  <c r="D2613" i="2"/>
  <c r="N2612" i="2"/>
  <c r="M2612" i="2"/>
  <c r="I2612" i="2"/>
  <c r="J2612" i="2" s="1"/>
  <c r="L2612" i="2" s="1"/>
  <c r="H2612" i="2"/>
  <c r="D2612" i="2"/>
  <c r="N2611" i="2"/>
  <c r="M2611" i="2"/>
  <c r="I2611" i="2"/>
  <c r="H2611" i="2"/>
  <c r="J2611" i="2" s="1"/>
  <c r="L2611" i="2" s="1"/>
  <c r="D2611" i="2"/>
  <c r="N2610" i="2"/>
  <c r="M2610" i="2"/>
  <c r="I2610" i="2"/>
  <c r="H2610" i="2"/>
  <c r="J2610" i="2" s="1"/>
  <c r="L2610" i="2" s="1"/>
  <c r="D2610" i="2"/>
  <c r="N2609" i="2"/>
  <c r="M2609" i="2"/>
  <c r="J2609" i="2"/>
  <c r="L2609" i="2" s="1"/>
  <c r="I2609" i="2"/>
  <c r="H2609" i="2"/>
  <c r="D2609" i="2"/>
  <c r="N2608" i="2"/>
  <c r="M2608" i="2"/>
  <c r="I2608" i="2"/>
  <c r="J2608" i="2" s="1"/>
  <c r="L2608" i="2" s="1"/>
  <c r="H2608" i="2"/>
  <c r="D2608" i="2"/>
  <c r="N2607" i="2"/>
  <c r="M2607" i="2"/>
  <c r="I2607" i="2"/>
  <c r="H2607" i="2"/>
  <c r="J2607" i="2" s="1"/>
  <c r="L2607" i="2" s="1"/>
  <c r="D2607" i="2"/>
  <c r="N2606" i="2"/>
  <c r="M2606" i="2"/>
  <c r="I2606" i="2"/>
  <c r="H2606" i="2"/>
  <c r="J2606" i="2" s="1"/>
  <c r="L2606" i="2" s="1"/>
  <c r="D2606" i="2"/>
  <c r="N2605" i="2"/>
  <c r="M2605" i="2"/>
  <c r="J2605" i="2"/>
  <c r="L2605" i="2" s="1"/>
  <c r="I2605" i="2"/>
  <c r="H2605" i="2"/>
  <c r="D2605" i="2"/>
  <c r="N2604" i="2"/>
  <c r="M2604" i="2"/>
  <c r="I2604" i="2"/>
  <c r="J2604" i="2" s="1"/>
  <c r="L2604" i="2" s="1"/>
  <c r="H2604" i="2"/>
  <c r="D2604" i="2"/>
  <c r="N2603" i="2"/>
  <c r="M2603" i="2"/>
  <c r="I2603" i="2"/>
  <c r="H2603" i="2"/>
  <c r="J2603" i="2" s="1"/>
  <c r="L2603" i="2" s="1"/>
  <c r="D2603" i="2"/>
  <c r="N2602" i="2"/>
  <c r="M2602" i="2"/>
  <c r="I2602" i="2"/>
  <c r="H2602" i="2"/>
  <c r="J2602" i="2" s="1"/>
  <c r="L2602" i="2" s="1"/>
  <c r="D2602" i="2"/>
  <c r="N2601" i="2"/>
  <c r="M2601" i="2"/>
  <c r="J2601" i="2"/>
  <c r="L2601" i="2" s="1"/>
  <c r="I2601" i="2"/>
  <c r="H2601" i="2"/>
  <c r="D2601" i="2"/>
  <c r="N2600" i="2"/>
  <c r="M2600" i="2"/>
  <c r="I2600" i="2"/>
  <c r="J2600" i="2" s="1"/>
  <c r="L2600" i="2" s="1"/>
  <c r="H2600" i="2"/>
  <c r="D2600" i="2"/>
  <c r="N2599" i="2"/>
  <c r="M2599" i="2"/>
  <c r="I2599" i="2"/>
  <c r="H2599" i="2"/>
  <c r="J2599" i="2" s="1"/>
  <c r="L2599" i="2" s="1"/>
  <c r="D2599" i="2"/>
  <c r="N2598" i="2"/>
  <c r="M2598" i="2"/>
  <c r="I2598" i="2"/>
  <c r="H2598" i="2"/>
  <c r="J2598" i="2" s="1"/>
  <c r="L2598" i="2" s="1"/>
  <c r="D2598" i="2"/>
  <c r="N2597" i="2"/>
  <c r="M2597" i="2"/>
  <c r="J2597" i="2"/>
  <c r="L2597" i="2" s="1"/>
  <c r="I2597" i="2"/>
  <c r="H2597" i="2"/>
  <c r="D2597" i="2"/>
  <c r="N2596" i="2"/>
  <c r="M2596" i="2"/>
  <c r="I2596" i="2"/>
  <c r="J2596" i="2" s="1"/>
  <c r="L2596" i="2" s="1"/>
  <c r="H2596" i="2"/>
  <c r="D2596" i="2"/>
  <c r="N2595" i="2"/>
  <c r="M2595" i="2"/>
  <c r="I2595" i="2"/>
  <c r="H2595" i="2"/>
  <c r="J2595" i="2" s="1"/>
  <c r="L2595" i="2" s="1"/>
  <c r="D2595" i="2"/>
  <c r="N2594" i="2"/>
  <c r="M2594" i="2"/>
  <c r="I2594" i="2"/>
  <c r="H2594" i="2"/>
  <c r="J2594" i="2" s="1"/>
  <c r="L2594" i="2" s="1"/>
  <c r="D2594" i="2"/>
  <c r="N2593" i="2"/>
  <c r="M2593" i="2"/>
  <c r="J2593" i="2"/>
  <c r="L2593" i="2" s="1"/>
  <c r="I2593" i="2"/>
  <c r="H2593" i="2"/>
  <c r="D2593" i="2"/>
  <c r="N2592" i="2"/>
  <c r="M2592" i="2"/>
  <c r="I2592" i="2"/>
  <c r="J2592" i="2" s="1"/>
  <c r="L2592" i="2" s="1"/>
  <c r="H2592" i="2"/>
  <c r="D2592" i="2"/>
  <c r="N2591" i="2"/>
  <c r="M2591" i="2"/>
  <c r="I2591" i="2"/>
  <c r="H2591" i="2"/>
  <c r="J2591" i="2" s="1"/>
  <c r="L2591" i="2" s="1"/>
  <c r="D2591" i="2"/>
  <c r="N2590" i="2"/>
  <c r="M2590" i="2"/>
  <c r="I2590" i="2"/>
  <c r="H2590" i="2"/>
  <c r="J2590" i="2" s="1"/>
  <c r="L2590" i="2" s="1"/>
  <c r="D2590" i="2"/>
  <c r="N2589" i="2"/>
  <c r="M2589" i="2"/>
  <c r="J2589" i="2"/>
  <c r="L2589" i="2" s="1"/>
  <c r="I2589" i="2"/>
  <c r="H2589" i="2"/>
  <c r="D2589" i="2"/>
  <c r="N2588" i="2"/>
  <c r="M2588" i="2"/>
  <c r="I2588" i="2"/>
  <c r="J2588" i="2" s="1"/>
  <c r="L2588" i="2" s="1"/>
  <c r="H2588" i="2"/>
  <c r="D2588" i="2"/>
  <c r="N2587" i="2"/>
  <c r="M2587" i="2"/>
  <c r="I2587" i="2"/>
  <c r="H2587" i="2"/>
  <c r="J2587" i="2" s="1"/>
  <c r="L2587" i="2" s="1"/>
  <c r="D2587" i="2"/>
  <c r="N2586" i="2"/>
  <c r="M2586" i="2"/>
  <c r="I2586" i="2"/>
  <c r="H2586" i="2"/>
  <c r="J2586" i="2" s="1"/>
  <c r="L2586" i="2" s="1"/>
  <c r="D2586" i="2"/>
  <c r="N2585" i="2"/>
  <c r="M2585" i="2"/>
  <c r="J2585" i="2"/>
  <c r="L2585" i="2" s="1"/>
  <c r="I2585" i="2"/>
  <c r="H2585" i="2"/>
  <c r="D2585" i="2"/>
  <c r="N2584" i="2"/>
  <c r="M2584" i="2"/>
  <c r="I2584" i="2"/>
  <c r="J2584" i="2" s="1"/>
  <c r="L2584" i="2" s="1"/>
  <c r="H2584" i="2"/>
  <c r="D2584" i="2"/>
  <c r="N2583" i="2"/>
  <c r="M2583" i="2"/>
  <c r="I2583" i="2"/>
  <c r="H2583" i="2"/>
  <c r="J2583" i="2" s="1"/>
  <c r="L2583" i="2" s="1"/>
  <c r="D2583" i="2"/>
  <c r="N2582" i="2"/>
  <c r="M2582" i="2"/>
  <c r="I2582" i="2"/>
  <c r="H2582" i="2"/>
  <c r="J2582" i="2" s="1"/>
  <c r="L2582" i="2" s="1"/>
  <c r="D2582" i="2"/>
  <c r="N2581" i="2"/>
  <c r="M2581" i="2"/>
  <c r="J2581" i="2"/>
  <c r="L2581" i="2" s="1"/>
  <c r="I2581" i="2"/>
  <c r="H2581" i="2"/>
  <c r="D2581" i="2"/>
  <c r="N2580" i="2"/>
  <c r="M2580" i="2"/>
  <c r="I2580" i="2"/>
  <c r="H2580" i="2"/>
  <c r="J2580" i="2" s="1"/>
  <c r="L2580" i="2" s="1"/>
  <c r="D2580" i="2"/>
  <c r="N2579" i="2"/>
  <c r="M2579" i="2"/>
  <c r="I2579" i="2"/>
  <c r="H2579" i="2"/>
  <c r="J2579" i="2" s="1"/>
  <c r="L2579" i="2" s="1"/>
  <c r="D2579" i="2"/>
  <c r="N2578" i="2"/>
  <c r="M2578" i="2"/>
  <c r="I2578" i="2"/>
  <c r="H2578" i="2"/>
  <c r="J2578" i="2" s="1"/>
  <c r="L2578" i="2" s="1"/>
  <c r="D2578" i="2"/>
  <c r="N2577" i="2"/>
  <c r="M2577" i="2"/>
  <c r="J2577" i="2"/>
  <c r="L2577" i="2" s="1"/>
  <c r="I2577" i="2"/>
  <c r="H2577" i="2"/>
  <c r="D2577" i="2"/>
  <c r="N2576" i="2"/>
  <c r="M2576" i="2"/>
  <c r="I2576" i="2"/>
  <c r="H2576" i="2"/>
  <c r="J2576" i="2" s="1"/>
  <c r="L2576" i="2" s="1"/>
  <c r="D2576" i="2"/>
  <c r="N2575" i="2"/>
  <c r="M2575" i="2"/>
  <c r="I2575" i="2"/>
  <c r="H2575" i="2"/>
  <c r="J2575" i="2" s="1"/>
  <c r="L2575" i="2" s="1"/>
  <c r="D2575" i="2"/>
  <c r="N2574" i="2"/>
  <c r="M2574" i="2"/>
  <c r="I2574" i="2"/>
  <c r="H2574" i="2"/>
  <c r="J2574" i="2" s="1"/>
  <c r="L2574" i="2" s="1"/>
  <c r="D2574" i="2"/>
  <c r="N2573" i="2"/>
  <c r="M2573" i="2"/>
  <c r="J2573" i="2"/>
  <c r="L2573" i="2" s="1"/>
  <c r="I2573" i="2"/>
  <c r="H2573" i="2"/>
  <c r="D2573" i="2"/>
  <c r="N2572" i="2"/>
  <c r="M2572" i="2"/>
  <c r="I2572" i="2"/>
  <c r="H2572" i="2"/>
  <c r="J2572" i="2" s="1"/>
  <c r="L2572" i="2" s="1"/>
  <c r="D2572" i="2"/>
  <c r="N2571" i="2"/>
  <c r="M2571" i="2"/>
  <c r="I2571" i="2"/>
  <c r="H2571" i="2"/>
  <c r="J2571" i="2" s="1"/>
  <c r="L2571" i="2" s="1"/>
  <c r="D2571" i="2"/>
  <c r="N2570" i="2"/>
  <c r="M2570" i="2"/>
  <c r="I2570" i="2"/>
  <c r="H2570" i="2"/>
  <c r="J2570" i="2" s="1"/>
  <c r="L2570" i="2" s="1"/>
  <c r="D2570" i="2"/>
  <c r="N2569" i="2"/>
  <c r="M2569" i="2"/>
  <c r="J2569" i="2"/>
  <c r="L2569" i="2" s="1"/>
  <c r="I2569" i="2"/>
  <c r="H2569" i="2"/>
  <c r="D2569" i="2"/>
  <c r="N2568" i="2"/>
  <c r="M2568" i="2"/>
  <c r="I2568" i="2"/>
  <c r="H2568" i="2"/>
  <c r="J2568" i="2" s="1"/>
  <c r="L2568" i="2" s="1"/>
  <c r="D2568" i="2"/>
  <c r="N2567" i="2"/>
  <c r="M2567" i="2"/>
  <c r="I2567" i="2"/>
  <c r="H2567" i="2"/>
  <c r="J2567" i="2" s="1"/>
  <c r="L2567" i="2" s="1"/>
  <c r="D2567" i="2"/>
  <c r="N2566" i="2"/>
  <c r="M2566" i="2"/>
  <c r="I2566" i="2"/>
  <c r="H2566" i="2"/>
  <c r="J2566" i="2" s="1"/>
  <c r="L2566" i="2" s="1"/>
  <c r="D2566" i="2"/>
  <c r="N2565" i="2"/>
  <c r="M2565" i="2"/>
  <c r="J2565" i="2"/>
  <c r="L2565" i="2" s="1"/>
  <c r="I2565" i="2"/>
  <c r="H2565" i="2"/>
  <c r="D2565" i="2"/>
  <c r="N2564" i="2"/>
  <c r="M2564" i="2"/>
  <c r="I2564" i="2"/>
  <c r="H2564" i="2"/>
  <c r="J2564" i="2" s="1"/>
  <c r="L2564" i="2" s="1"/>
  <c r="D2564" i="2"/>
  <c r="N2563" i="2"/>
  <c r="M2563" i="2"/>
  <c r="I2563" i="2"/>
  <c r="H2563" i="2"/>
  <c r="J2563" i="2" s="1"/>
  <c r="L2563" i="2" s="1"/>
  <c r="D2563" i="2"/>
  <c r="N2562" i="2"/>
  <c r="M2562" i="2"/>
  <c r="I2562" i="2"/>
  <c r="H2562" i="2"/>
  <c r="J2562" i="2" s="1"/>
  <c r="L2562" i="2" s="1"/>
  <c r="D2562" i="2"/>
  <c r="N2561" i="2"/>
  <c r="M2561" i="2"/>
  <c r="J2561" i="2"/>
  <c r="L2561" i="2" s="1"/>
  <c r="I2561" i="2"/>
  <c r="H2561" i="2"/>
  <c r="D2561" i="2"/>
  <c r="N2560" i="2"/>
  <c r="M2560" i="2"/>
  <c r="I2560" i="2"/>
  <c r="J2560" i="2" s="1"/>
  <c r="L2560" i="2" s="1"/>
  <c r="H2560" i="2"/>
  <c r="D2560" i="2"/>
  <c r="N2559" i="2"/>
  <c r="M2559" i="2"/>
  <c r="I2559" i="2"/>
  <c r="H2559" i="2"/>
  <c r="J2559" i="2" s="1"/>
  <c r="L2559" i="2" s="1"/>
  <c r="D2559" i="2"/>
  <c r="N2558" i="2"/>
  <c r="M2558" i="2"/>
  <c r="I2558" i="2"/>
  <c r="H2558" i="2"/>
  <c r="J2558" i="2" s="1"/>
  <c r="L2558" i="2" s="1"/>
  <c r="D2558" i="2"/>
  <c r="N2557" i="2"/>
  <c r="M2557" i="2"/>
  <c r="J2557" i="2"/>
  <c r="L2557" i="2" s="1"/>
  <c r="I2557" i="2"/>
  <c r="H2557" i="2"/>
  <c r="D2557" i="2"/>
  <c r="N2556" i="2"/>
  <c r="M2556" i="2"/>
  <c r="I2556" i="2"/>
  <c r="J2556" i="2" s="1"/>
  <c r="L2556" i="2" s="1"/>
  <c r="H2556" i="2"/>
  <c r="D2556" i="2"/>
  <c r="N2555" i="2"/>
  <c r="M2555" i="2"/>
  <c r="I2555" i="2"/>
  <c r="H2555" i="2"/>
  <c r="J2555" i="2" s="1"/>
  <c r="L2555" i="2" s="1"/>
  <c r="D2555" i="2"/>
  <c r="N2554" i="2"/>
  <c r="M2554" i="2"/>
  <c r="I2554" i="2"/>
  <c r="H2554" i="2"/>
  <c r="J2554" i="2" s="1"/>
  <c r="L2554" i="2" s="1"/>
  <c r="D2554" i="2"/>
  <c r="N2553" i="2"/>
  <c r="M2553" i="2"/>
  <c r="J2553" i="2"/>
  <c r="L2553" i="2" s="1"/>
  <c r="I2553" i="2"/>
  <c r="H2553" i="2"/>
  <c r="D2553" i="2"/>
  <c r="N2552" i="2"/>
  <c r="M2552" i="2"/>
  <c r="I2552" i="2"/>
  <c r="J2552" i="2" s="1"/>
  <c r="L2552" i="2" s="1"/>
  <c r="H2552" i="2"/>
  <c r="D2552" i="2"/>
  <c r="N2551" i="2"/>
  <c r="M2551" i="2"/>
  <c r="I2551" i="2"/>
  <c r="H2551" i="2"/>
  <c r="J2551" i="2" s="1"/>
  <c r="L2551" i="2" s="1"/>
  <c r="D2551" i="2"/>
  <c r="N2550" i="2"/>
  <c r="M2550" i="2"/>
  <c r="I2550" i="2"/>
  <c r="H2550" i="2"/>
  <c r="J2550" i="2" s="1"/>
  <c r="L2550" i="2" s="1"/>
  <c r="D2550" i="2"/>
  <c r="N2549" i="2"/>
  <c r="M2549" i="2"/>
  <c r="J2549" i="2"/>
  <c r="L2549" i="2" s="1"/>
  <c r="I2549" i="2"/>
  <c r="H2549" i="2"/>
  <c r="D2549" i="2"/>
  <c r="N2548" i="2"/>
  <c r="M2548" i="2"/>
  <c r="I2548" i="2"/>
  <c r="J2548" i="2" s="1"/>
  <c r="L2548" i="2" s="1"/>
  <c r="H2548" i="2"/>
  <c r="D2548" i="2"/>
  <c r="N2547" i="2"/>
  <c r="M2547" i="2"/>
  <c r="I2547" i="2"/>
  <c r="H2547" i="2"/>
  <c r="J2547" i="2" s="1"/>
  <c r="L2547" i="2" s="1"/>
  <c r="D2547" i="2"/>
  <c r="N2546" i="2"/>
  <c r="M2546" i="2"/>
  <c r="I2546" i="2"/>
  <c r="H2546" i="2"/>
  <c r="J2546" i="2" s="1"/>
  <c r="L2546" i="2" s="1"/>
  <c r="D2546" i="2"/>
  <c r="N2545" i="2"/>
  <c r="M2545" i="2"/>
  <c r="J2545" i="2"/>
  <c r="L2545" i="2" s="1"/>
  <c r="I2545" i="2"/>
  <c r="H2545" i="2"/>
  <c r="D2545" i="2"/>
  <c r="N2544" i="2"/>
  <c r="M2544" i="2"/>
  <c r="I2544" i="2"/>
  <c r="J2544" i="2" s="1"/>
  <c r="L2544" i="2" s="1"/>
  <c r="H2544" i="2"/>
  <c r="D2544" i="2"/>
  <c r="N2543" i="2"/>
  <c r="M2543" i="2"/>
  <c r="I2543" i="2"/>
  <c r="H2543" i="2"/>
  <c r="J2543" i="2" s="1"/>
  <c r="L2543" i="2" s="1"/>
  <c r="D2543" i="2"/>
  <c r="N2542" i="2"/>
  <c r="M2542" i="2"/>
  <c r="I2542" i="2"/>
  <c r="H2542" i="2"/>
  <c r="J2542" i="2" s="1"/>
  <c r="L2542" i="2" s="1"/>
  <c r="D2542" i="2"/>
  <c r="N2541" i="2"/>
  <c r="M2541" i="2"/>
  <c r="J2541" i="2"/>
  <c r="L2541" i="2" s="1"/>
  <c r="I2541" i="2"/>
  <c r="H2541" i="2"/>
  <c r="D2541" i="2"/>
  <c r="N2540" i="2"/>
  <c r="M2540" i="2"/>
  <c r="I2540" i="2"/>
  <c r="H2540" i="2"/>
  <c r="J2540" i="2" s="1"/>
  <c r="L2540" i="2" s="1"/>
  <c r="D2540" i="2"/>
  <c r="N2539" i="2"/>
  <c r="M2539" i="2"/>
  <c r="I2539" i="2"/>
  <c r="H2539" i="2"/>
  <c r="J2539" i="2" s="1"/>
  <c r="L2539" i="2" s="1"/>
  <c r="D2539" i="2"/>
  <c r="N2538" i="2"/>
  <c r="M2538" i="2"/>
  <c r="I2538" i="2"/>
  <c r="H2538" i="2"/>
  <c r="J2538" i="2" s="1"/>
  <c r="L2538" i="2" s="1"/>
  <c r="D2538" i="2"/>
  <c r="N2537" i="2"/>
  <c r="M2537" i="2"/>
  <c r="J2537" i="2"/>
  <c r="L2537" i="2" s="1"/>
  <c r="I2537" i="2"/>
  <c r="H2537" i="2"/>
  <c r="D2537" i="2"/>
  <c r="N2536" i="2"/>
  <c r="M2536" i="2"/>
  <c r="I2536" i="2"/>
  <c r="H2536" i="2"/>
  <c r="J2536" i="2" s="1"/>
  <c r="L2536" i="2" s="1"/>
  <c r="D2536" i="2"/>
  <c r="N2535" i="2"/>
  <c r="M2535" i="2"/>
  <c r="I2535" i="2"/>
  <c r="H2535" i="2"/>
  <c r="J2535" i="2" s="1"/>
  <c r="L2535" i="2" s="1"/>
  <c r="D2535" i="2"/>
  <c r="N2534" i="2"/>
  <c r="M2534" i="2"/>
  <c r="I2534" i="2"/>
  <c r="H2534" i="2"/>
  <c r="J2534" i="2" s="1"/>
  <c r="L2534" i="2" s="1"/>
  <c r="D2534" i="2"/>
  <c r="N2533" i="2"/>
  <c r="M2533" i="2"/>
  <c r="J2533" i="2"/>
  <c r="L2533" i="2" s="1"/>
  <c r="I2533" i="2"/>
  <c r="H2533" i="2"/>
  <c r="D2533" i="2"/>
  <c r="N2532" i="2"/>
  <c r="M2532" i="2"/>
  <c r="I2532" i="2"/>
  <c r="H2532" i="2"/>
  <c r="J2532" i="2" s="1"/>
  <c r="L2532" i="2" s="1"/>
  <c r="D2532" i="2"/>
  <c r="N2531" i="2"/>
  <c r="M2531" i="2"/>
  <c r="I2531" i="2"/>
  <c r="H2531" i="2"/>
  <c r="J2531" i="2" s="1"/>
  <c r="L2531" i="2" s="1"/>
  <c r="D2531" i="2"/>
  <c r="N2530" i="2"/>
  <c r="M2530" i="2"/>
  <c r="I2530" i="2"/>
  <c r="H2530" i="2"/>
  <c r="J2530" i="2" s="1"/>
  <c r="L2530" i="2" s="1"/>
  <c r="D2530" i="2"/>
  <c r="N2529" i="2"/>
  <c r="M2529" i="2"/>
  <c r="L2529" i="2"/>
  <c r="J2529" i="2"/>
  <c r="I2529" i="2"/>
  <c r="H2529" i="2"/>
  <c r="D2529" i="2"/>
  <c r="N2528" i="2"/>
  <c r="M2528" i="2"/>
  <c r="J2528" i="2"/>
  <c r="L2528" i="2" s="1"/>
  <c r="I2528" i="2"/>
  <c r="H2528" i="2"/>
  <c r="D2528" i="2"/>
  <c r="N2527" i="2"/>
  <c r="M2527" i="2"/>
  <c r="I2527" i="2"/>
  <c r="H2527" i="2"/>
  <c r="J2527" i="2" s="1"/>
  <c r="L2527" i="2" s="1"/>
  <c r="D2527" i="2"/>
  <c r="N2526" i="2"/>
  <c r="M2526" i="2"/>
  <c r="I2526" i="2"/>
  <c r="H2526" i="2"/>
  <c r="J2526" i="2" s="1"/>
  <c r="L2526" i="2" s="1"/>
  <c r="D2526" i="2"/>
  <c r="N2525" i="2"/>
  <c r="M2525" i="2"/>
  <c r="L2525" i="2"/>
  <c r="J2525" i="2"/>
  <c r="I2525" i="2"/>
  <c r="H2525" i="2"/>
  <c r="D2525" i="2"/>
  <c r="N2524" i="2"/>
  <c r="M2524" i="2"/>
  <c r="J2524" i="2"/>
  <c r="L2524" i="2" s="1"/>
  <c r="I2524" i="2"/>
  <c r="H2524" i="2"/>
  <c r="D2524" i="2"/>
  <c r="N2523" i="2"/>
  <c r="M2523" i="2"/>
  <c r="I2523" i="2"/>
  <c r="H2523" i="2"/>
  <c r="J2523" i="2" s="1"/>
  <c r="L2523" i="2" s="1"/>
  <c r="D2523" i="2"/>
  <c r="N2522" i="2"/>
  <c r="M2522" i="2"/>
  <c r="I2522" i="2"/>
  <c r="H2522" i="2"/>
  <c r="J2522" i="2" s="1"/>
  <c r="L2522" i="2" s="1"/>
  <c r="D2522" i="2"/>
  <c r="N2521" i="2"/>
  <c r="M2521" i="2"/>
  <c r="L2521" i="2"/>
  <c r="J2521" i="2"/>
  <c r="I2521" i="2"/>
  <c r="H2521" i="2"/>
  <c r="D2521" i="2"/>
  <c r="N2520" i="2"/>
  <c r="M2520" i="2"/>
  <c r="J2520" i="2"/>
  <c r="L2520" i="2" s="1"/>
  <c r="I2520" i="2"/>
  <c r="H2520" i="2"/>
  <c r="D2520" i="2"/>
  <c r="N2519" i="2"/>
  <c r="M2519" i="2"/>
  <c r="I2519" i="2"/>
  <c r="H2519" i="2"/>
  <c r="J2519" i="2" s="1"/>
  <c r="L2519" i="2" s="1"/>
  <c r="D2519" i="2"/>
  <c r="N2518" i="2"/>
  <c r="M2518" i="2"/>
  <c r="I2518" i="2"/>
  <c r="H2518" i="2"/>
  <c r="J2518" i="2" s="1"/>
  <c r="L2518" i="2" s="1"/>
  <c r="D2518" i="2"/>
  <c r="N2517" i="2"/>
  <c r="M2517" i="2"/>
  <c r="L2517" i="2"/>
  <c r="J2517" i="2"/>
  <c r="I2517" i="2"/>
  <c r="H2517" i="2"/>
  <c r="D2517" i="2"/>
  <c r="N2516" i="2"/>
  <c r="M2516" i="2"/>
  <c r="J2516" i="2"/>
  <c r="L2516" i="2" s="1"/>
  <c r="I2516" i="2"/>
  <c r="H2516" i="2"/>
  <c r="D2516" i="2"/>
  <c r="N2515" i="2"/>
  <c r="M2515" i="2"/>
  <c r="I2515" i="2"/>
  <c r="H2515" i="2"/>
  <c r="J2515" i="2" s="1"/>
  <c r="L2515" i="2" s="1"/>
  <c r="D2515" i="2"/>
  <c r="N2514" i="2"/>
  <c r="M2514" i="2"/>
  <c r="I2514" i="2"/>
  <c r="H2514" i="2"/>
  <c r="J2514" i="2" s="1"/>
  <c r="L2514" i="2" s="1"/>
  <c r="D2514" i="2"/>
  <c r="N2513" i="2"/>
  <c r="M2513" i="2"/>
  <c r="L2513" i="2"/>
  <c r="J2513" i="2"/>
  <c r="I2513" i="2"/>
  <c r="H2513" i="2"/>
  <c r="D2513" i="2"/>
  <c r="N2512" i="2"/>
  <c r="M2512" i="2"/>
  <c r="J2512" i="2"/>
  <c r="L2512" i="2" s="1"/>
  <c r="I2512" i="2"/>
  <c r="H2512" i="2"/>
  <c r="D2512" i="2"/>
  <c r="N2511" i="2"/>
  <c r="M2511" i="2"/>
  <c r="I2511" i="2"/>
  <c r="H2511" i="2"/>
  <c r="J2511" i="2" s="1"/>
  <c r="L2511" i="2" s="1"/>
  <c r="D2511" i="2"/>
  <c r="N2510" i="2"/>
  <c r="M2510" i="2"/>
  <c r="I2510" i="2"/>
  <c r="H2510" i="2"/>
  <c r="J2510" i="2" s="1"/>
  <c r="L2510" i="2" s="1"/>
  <c r="D2510" i="2"/>
  <c r="N2509" i="2"/>
  <c r="M2509" i="2"/>
  <c r="L2509" i="2"/>
  <c r="J2509" i="2"/>
  <c r="I2509" i="2"/>
  <c r="H2509" i="2"/>
  <c r="D2509" i="2"/>
  <c r="N2508" i="2"/>
  <c r="M2508" i="2"/>
  <c r="J2508" i="2"/>
  <c r="L2508" i="2" s="1"/>
  <c r="I2508" i="2"/>
  <c r="H2508" i="2"/>
  <c r="D2508" i="2"/>
  <c r="N2507" i="2"/>
  <c r="M2507" i="2"/>
  <c r="I2507" i="2"/>
  <c r="H2507" i="2"/>
  <c r="J2507" i="2" s="1"/>
  <c r="L2507" i="2" s="1"/>
  <c r="D2507" i="2"/>
  <c r="N2506" i="2"/>
  <c r="M2506" i="2"/>
  <c r="I2506" i="2"/>
  <c r="H2506" i="2"/>
  <c r="J2506" i="2" s="1"/>
  <c r="L2506" i="2" s="1"/>
  <c r="D2506" i="2"/>
  <c r="N2505" i="2"/>
  <c r="M2505" i="2"/>
  <c r="L2505" i="2"/>
  <c r="J2505" i="2"/>
  <c r="I2505" i="2"/>
  <c r="H2505" i="2"/>
  <c r="D2505" i="2"/>
  <c r="N2504" i="2"/>
  <c r="M2504" i="2"/>
  <c r="J2504" i="2"/>
  <c r="L2504" i="2" s="1"/>
  <c r="I2504" i="2"/>
  <c r="H2504" i="2"/>
  <c r="D2504" i="2"/>
  <c r="N2503" i="2"/>
  <c r="M2503" i="2"/>
  <c r="I2503" i="2"/>
  <c r="H2503" i="2"/>
  <c r="J2503" i="2" s="1"/>
  <c r="L2503" i="2" s="1"/>
  <c r="D2503" i="2"/>
  <c r="N2502" i="2"/>
  <c r="M2502" i="2"/>
  <c r="I2502" i="2"/>
  <c r="H2502" i="2"/>
  <c r="J2502" i="2" s="1"/>
  <c r="L2502" i="2" s="1"/>
  <c r="D2502" i="2"/>
  <c r="N2501" i="2"/>
  <c r="M2501" i="2"/>
  <c r="L2501" i="2"/>
  <c r="J2501" i="2"/>
  <c r="I2501" i="2"/>
  <c r="H2501" i="2"/>
  <c r="D2501" i="2"/>
  <c r="N2500" i="2"/>
  <c r="M2500" i="2"/>
  <c r="J2500" i="2"/>
  <c r="L2500" i="2" s="1"/>
  <c r="I2500" i="2"/>
  <c r="H2500" i="2"/>
  <c r="D2500" i="2"/>
  <c r="N2499" i="2"/>
  <c r="M2499" i="2"/>
  <c r="I2499" i="2"/>
  <c r="H2499" i="2"/>
  <c r="J2499" i="2" s="1"/>
  <c r="L2499" i="2" s="1"/>
  <c r="D2499" i="2"/>
  <c r="N2498" i="2"/>
  <c r="M2498" i="2"/>
  <c r="I2498" i="2"/>
  <c r="H2498" i="2"/>
  <c r="J2498" i="2" s="1"/>
  <c r="L2498" i="2" s="1"/>
  <c r="D2498" i="2"/>
  <c r="N2497" i="2"/>
  <c r="M2497" i="2"/>
  <c r="L2497" i="2"/>
  <c r="J2497" i="2"/>
  <c r="I2497" i="2"/>
  <c r="H2497" i="2"/>
  <c r="D2497" i="2"/>
  <c r="N2496" i="2"/>
  <c r="M2496" i="2"/>
  <c r="J2496" i="2"/>
  <c r="L2496" i="2" s="1"/>
  <c r="I2496" i="2"/>
  <c r="H2496" i="2"/>
  <c r="D2496" i="2"/>
  <c r="N2495" i="2"/>
  <c r="M2495" i="2"/>
  <c r="I2495" i="2"/>
  <c r="H2495" i="2"/>
  <c r="J2495" i="2" s="1"/>
  <c r="L2495" i="2" s="1"/>
  <c r="D2495" i="2"/>
  <c r="N2494" i="2"/>
  <c r="M2494" i="2"/>
  <c r="I2494" i="2"/>
  <c r="H2494" i="2"/>
  <c r="J2494" i="2" s="1"/>
  <c r="L2494" i="2" s="1"/>
  <c r="D2494" i="2"/>
  <c r="N2493" i="2"/>
  <c r="M2493" i="2"/>
  <c r="L2493" i="2"/>
  <c r="J2493" i="2"/>
  <c r="I2493" i="2"/>
  <c r="H2493" i="2"/>
  <c r="D2493" i="2"/>
  <c r="N2492" i="2"/>
  <c r="M2492" i="2"/>
  <c r="J2492" i="2"/>
  <c r="L2492" i="2" s="1"/>
  <c r="I2492" i="2"/>
  <c r="H2492" i="2"/>
  <c r="D2492" i="2"/>
  <c r="N2491" i="2"/>
  <c r="M2491" i="2"/>
  <c r="I2491" i="2"/>
  <c r="H2491" i="2"/>
  <c r="J2491" i="2" s="1"/>
  <c r="L2491" i="2" s="1"/>
  <c r="D2491" i="2"/>
  <c r="N2490" i="2"/>
  <c r="M2490" i="2"/>
  <c r="I2490" i="2"/>
  <c r="H2490" i="2"/>
  <c r="J2490" i="2" s="1"/>
  <c r="L2490" i="2" s="1"/>
  <c r="D2490" i="2"/>
  <c r="N2489" i="2"/>
  <c r="M2489" i="2"/>
  <c r="L2489" i="2"/>
  <c r="J2489" i="2"/>
  <c r="I2489" i="2"/>
  <c r="H2489" i="2"/>
  <c r="D2489" i="2"/>
  <c r="N2488" i="2"/>
  <c r="M2488" i="2"/>
  <c r="J2488" i="2"/>
  <c r="L2488" i="2" s="1"/>
  <c r="I2488" i="2"/>
  <c r="H2488" i="2"/>
  <c r="D2488" i="2"/>
  <c r="N2487" i="2"/>
  <c r="M2487" i="2"/>
  <c r="I2487" i="2"/>
  <c r="H2487" i="2"/>
  <c r="J2487" i="2" s="1"/>
  <c r="L2487" i="2" s="1"/>
  <c r="D2487" i="2"/>
  <c r="N2486" i="2"/>
  <c r="M2486" i="2"/>
  <c r="I2486" i="2"/>
  <c r="H2486" i="2"/>
  <c r="J2486" i="2" s="1"/>
  <c r="L2486" i="2" s="1"/>
  <c r="D2486" i="2"/>
  <c r="N2485" i="2"/>
  <c r="M2485" i="2"/>
  <c r="L2485" i="2"/>
  <c r="J2485" i="2"/>
  <c r="I2485" i="2"/>
  <c r="H2485" i="2"/>
  <c r="D2485" i="2"/>
  <c r="N2484" i="2"/>
  <c r="M2484" i="2"/>
  <c r="J2484" i="2"/>
  <c r="L2484" i="2" s="1"/>
  <c r="I2484" i="2"/>
  <c r="H2484" i="2"/>
  <c r="D2484" i="2"/>
  <c r="N2483" i="2"/>
  <c r="M2483" i="2"/>
  <c r="I2483" i="2"/>
  <c r="H2483" i="2"/>
  <c r="J2483" i="2" s="1"/>
  <c r="L2483" i="2" s="1"/>
  <c r="D2483" i="2"/>
  <c r="N2482" i="2"/>
  <c r="M2482" i="2"/>
  <c r="I2482" i="2"/>
  <c r="H2482" i="2"/>
  <c r="J2482" i="2" s="1"/>
  <c r="L2482" i="2" s="1"/>
  <c r="D2482" i="2"/>
  <c r="N2481" i="2"/>
  <c r="M2481" i="2"/>
  <c r="L2481" i="2"/>
  <c r="J2481" i="2"/>
  <c r="I2481" i="2"/>
  <c r="H2481" i="2"/>
  <c r="D2481" i="2"/>
  <c r="N2480" i="2"/>
  <c r="M2480" i="2"/>
  <c r="J2480" i="2"/>
  <c r="L2480" i="2" s="1"/>
  <c r="I2480" i="2"/>
  <c r="H2480" i="2"/>
  <c r="D2480" i="2"/>
  <c r="N2479" i="2"/>
  <c r="M2479" i="2"/>
  <c r="I2479" i="2"/>
  <c r="H2479" i="2"/>
  <c r="J2479" i="2" s="1"/>
  <c r="L2479" i="2" s="1"/>
  <c r="D2479" i="2"/>
  <c r="N2478" i="2"/>
  <c r="M2478" i="2"/>
  <c r="I2478" i="2"/>
  <c r="H2478" i="2"/>
  <c r="J2478" i="2" s="1"/>
  <c r="L2478" i="2" s="1"/>
  <c r="D2478" i="2"/>
  <c r="N2477" i="2"/>
  <c r="M2477" i="2"/>
  <c r="L2477" i="2"/>
  <c r="J2477" i="2"/>
  <c r="I2477" i="2"/>
  <c r="H2477" i="2"/>
  <c r="D2477" i="2"/>
  <c r="N2476" i="2"/>
  <c r="M2476" i="2"/>
  <c r="J2476" i="2"/>
  <c r="L2476" i="2" s="1"/>
  <c r="I2476" i="2"/>
  <c r="H2476" i="2"/>
  <c r="D2476" i="2"/>
  <c r="N2475" i="2"/>
  <c r="M2475" i="2"/>
  <c r="I2475" i="2"/>
  <c r="H2475" i="2"/>
  <c r="J2475" i="2" s="1"/>
  <c r="L2475" i="2" s="1"/>
  <c r="D2475" i="2"/>
  <c r="N2474" i="2"/>
  <c r="M2474" i="2"/>
  <c r="I2474" i="2"/>
  <c r="H2474" i="2"/>
  <c r="J2474" i="2" s="1"/>
  <c r="L2474" i="2" s="1"/>
  <c r="D2474" i="2"/>
  <c r="N2473" i="2"/>
  <c r="M2473" i="2"/>
  <c r="L2473" i="2"/>
  <c r="J2473" i="2"/>
  <c r="I2473" i="2"/>
  <c r="H2473" i="2"/>
  <c r="D2473" i="2"/>
  <c r="N2472" i="2"/>
  <c r="M2472" i="2"/>
  <c r="J2472" i="2"/>
  <c r="L2472" i="2" s="1"/>
  <c r="I2472" i="2"/>
  <c r="H2472" i="2"/>
  <c r="D2472" i="2"/>
  <c r="N2471" i="2"/>
  <c r="M2471" i="2"/>
  <c r="I2471" i="2"/>
  <c r="H2471" i="2"/>
  <c r="J2471" i="2" s="1"/>
  <c r="L2471" i="2" s="1"/>
  <c r="D2471" i="2"/>
  <c r="N2470" i="2"/>
  <c r="M2470" i="2"/>
  <c r="I2470" i="2"/>
  <c r="H2470" i="2"/>
  <c r="J2470" i="2" s="1"/>
  <c r="L2470" i="2" s="1"/>
  <c r="D2470" i="2"/>
  <c r="N2469" i="2"/>
  <c r="M2469" i="2"/>
  <c r="L2469" i="2"/>
  <c r="J2469" i="2"/>
  <c r="I2469" i="2"/>
  <c r="H2469" i="2"/>
  <c r="D2469" i="2"/>
  <c r="N2468" i="2"/>
  <c r="M2468" i="2"/>
  <c r="J2468" i="2"/>
  <c r="L2468" i="2" s="1"/>
  <c r="I2468" i="2"/>
  <c r="H2468" i="2"/>
  <c r="D2468" i="2"/>
  <c r="N2467" i="2"/>
  <c r="M2467" i="2"/>
  <c r="I2467" i="2"/>
  <c r="H2467" i="2"/>
  <c r="J2467" i="2" s="1"/>
  <c r="L2467" i="2" s="1"/>
  <c r="D2467" i="2"/>
  <c r="N2466" i="2"/>
  <c r="M2466" i="2"/>
  <c r="I2466" i="2"/>
  <c r="H2466" i="2"/>
  <c r="J2466" i="2" s="1"/>
  <c r="L2466" i="2" s="1"/>
  <c r="D2466" i="2"/>
  <c r="N2465" i="2"/>
  <c r="M2465" i="2"/>
  <c r="L2465" i="2"/>
  <c r="J2465" i="2"/>
  <c r="I2465" i="2"/>
  <c r="H2465" i="2"/>
  <c r="D2465" i="2"/>
  <c r="N2464" i="2"/>
  <c r="M2464" i="2"/>
  <c r="J2464" i="2"/>
  <c r="L2464" i="2" s="1"/>
  <c r="I2464" i="2"/>
  <c r="H2464" i="2"/>
  <c r="D2464" i="2"/>
  <c r="N2463" i="2"/>
  <c r="M2463" i="2"/>
  <c r="I2463" i="2"/>
  <c r="H2463" i="2"/>
  <c r="J2463" i="2" s="1"/>
  <c r="L2463" i="2" s="1"/>
  <c r="D2463" i="2"/>
  <c r="N2462" i="2"/>
  <c r="M2462" i="2"/>
  <c r="I2462" i="2"/>
  <c r="H2462" i="2"/>
  <c r="J2462" i="2" s="1"/>
  <c r="L2462" i="2" s="1"/>
  <c r="D2462" i="2"/>
  <c r="N2461" i="2"/>
  <c r="M2461" i="2"/>
  <c r="L2461" i="2"/>
  <c r="J2461" i="2"/>
  <c r="I2461" i="2"/>
  <c r="H2461" i="2"/>
  <c r="D2461" i="2"/>
  <c r="N2460" i="2"/>
  <c r="M2460" i="2"/>
  <c r="J2460" i="2"/>
  <c r="L2460" i="2" s="1"/>
  <c r="I2460" i="2"/>
  <c r="H2460" i="2"/>
  <c r="D2460" i="2"/>
  <c r="N2459" i="2"/>
  <c r="M2459" i="2"/>
  <c r="I2459" i="2"/>
  <c r="H2459" i="2"/>
  <c r="J2459" i="2" s="1"/>
  <c r="L2459" i="2" s="1"/>
  <c r="D2459" i="2"/>
  <c r="N2458" i="2"/>
  <c r="M2458" i="2"/>
  <c r="I2458" i="2"/>
  <c r="H2458" i="2"/>
  <c r="J2458" i="2" s="1"/>
  <c r="L2458" i="2" s="1"/>
  <c r="D2458" i="2"/>
  <c r="N2457" i="2"/>
  <c r="M2457" i="2"/>
  <c r="L2457" i="2"/>
  <c r="J2457" i="2"/>
  <c r="I2457" i="2"/>
  <c r="H2457" i="2"/>
  <c r="D2457" i="2"/>
  <c r="N2456" i="2"/>
  <c r="M2456" i="2"/>
  <c r="J2456" i="2"/>
  <c r="L2456" i="2" s="1"/>
  <c r="I2456" i="2"/>
  <c r="H2456" i="2"/>
  <c r="D2456" i="2"/>
  <c r="N2455" i="2"/>
  <c r="M2455" i="2"/>
  <c r="I2455" i="2"/>
  <c r="H2455" i="2"/>
  <c r="J2455" i="2" s="1"/>
  <c r="L2455" i="2" s="1"/>
  <c r="D2455" i="2"/>
  <c r="N2454" i="2"/>
  <c r="M2454" i="2"/>
  <c r="I2454" i="2"/>
  <c r="H2454" i="2"/>
  <c r="J2454" i="2" s="1"/>
  <c r="L2454" i="2" s="1"/>
  <c r="D2454" i="2"/>
  <c r="N2453" i="2"/>
  <c r="M2453" i="2"/>
  <c r="L2453" i="2"/>
  <c r="J2453" i="2"/>
  <c r="I2453" i="2"/>
  <c r="H2453" i="2"/>
  <c r="D2453" i="2"/>
  <c r="N2452" i="2"/>
  <c r="M2452" i="2"/>
  <c r="J2452" i="2"/>
  <c r="L2452" i="2" s="1"/>
  <c r="I2452" i="2"/>
  <c r="H2452" i="2"/>
  <c r="D2452" i="2"/>
  <c r="N2451" i="2"/>
  <c r="M2451" i="2"/>
  <c r="I2451" i="2"/>
  <c r="H2451" i="2"/>
  <c r="J2451" i="2" s="1"/>
  <c r="L2451" i="2" s="1"/>
  <c r="D2451" i="2"/>
  <c r="N2450" i="2"/>
  <c r="M2450" i="2"/>
  <c r="I2450" i="2"/>
  <c r="H2450" i="2"/>
  <c r="J2450" i="2" s="1"/>
  <c r="L2450" i="2" s="1"/>
  <c r="D2450" i="2"/>
  <c r="N2449" i="2"/>
  <c r="M2449" i="2"/>
  <c r="L2449" i="2"/>
  <c r="J2449" i="2"/>
  <c r="I2449" i="2"/>
  <c r="H2449" i="2"/>
  <c r="D2449" i="2"/>
  <c r="N2448" i="2"/>
  <c r="M2448" i="2"/>
  <c r="J2448" i="2"/>
  <c r="L2448" i="2" s="1"/>
  <c r="I2448" i="2"/>
  <c r="H2448" i="2"/>
  <c r="D2448" i="2"/>
  <c r="N2447" i="2"/>
  <c r="M2447" i="2"/>
  <c r="I2447" i="2"/>
  <c r="H2447" i="2"/>
  <c r="J2447" i="2" s="1"/>
  <c r="L2447" i="2" s="1"/>
  <c r="D2447" i="2"/>
  <c r="N2446" i="2"/>
  <c r="M2446" i="2"/>
  <c r="I2446" i="2"/>
  <c r="H2446" i="2"/>
  <c r="J2446" i="2" s="1"/>
  <c r="L2446" i="2" s="1"/>
  <c r="D2446" i="2"/>
  <c r="N2445" i="2"/>
  <c r="M2445" i="2"/>
  <c r="L2445" i="2"/>
  <c r="J2445" i="2"/>
  <c r="I2445" i="2"/>
  <c r="H2445" i="2"/>
  <c r="D2445" i="2"/>
  <c r="N2444" i="2"/>
  <c r="M2444" i="2"/>
  <c r="J2444" i="2"/>
  <c r="L2444" i="2" s="1"/>
  <c r="I2444" i="2"/>
  <c r="H2444" i="2"/>
  <c r="D2444" i="2"/>
  <c r="N2443" i="2"/>
  <c r="M2443" i="2"/>
  <c r="I2443" i="2"/>
  <c r="H2443" i="2"/>
  <c r="J2443" i="2" s="1"/>
  <c r="L2443" i="2" s="1"/>
  <c r="D2443" i="2"/>
  <c r="N2442" i="2"/>
  <c r="M2442" i="2"/>
  <c r="I2442" i="2"/>
  <c r="H2442" i="2"/>
  <c r="J2442" i="2" s="1"/>
  <c r="L2442" i="2" s="1"/>
  <c r="D2442" i="2"/>
  <c r="N2441" i="2"/>
  <c r="M2441" i="2"/>
  <c r="L2441" i="2"/>
  <c r="J2441" i="2"/>
  <c r="I2441" i="2"/>
  <c r="H2441" i="2"/>
  <c r="D2441" i="2"/>
  <c r="N2440" i="2"/>
  <c r="M2440" i="2"/>
  <c r="J2440" i="2"/>
  <c r="L2440" i="2" s="1"/>
  <c r="I2440" i="2"/>
  <c r="H2440" i="2"/>
  <c r="D2440" i="2"/>
  <c r="N2439" i="2"/>
  <c r="M2439" i="2"/>
  <c r="I2439" i="2"/>
  <c r="H2439" i="2"/>
  <c r="J2439" i="2" s="1"/>
  <c r="L2439" i="2" s="1"/>
  <c r="D2439" i="2"/>
  <c r="N2438" i="2"/>
  <c r="M2438" i="2"/>
  <c r="I2438" i="2"/>
  <c r="H2438" i="2"/>
  <c r="J2438" i="2" s="1"/>
  <c r="L2438" i="2" s="1"/>
  <c r="D2438" i="2"/>
  <c r="N2437" i="2"/>
  <c r="M2437" i="2"/>
  <c r="L2437" i="2"/>
  <c r="J2437" i="2"/>
  <c r="I2437" i="2"/>
  <c r="H2437" i="2"/>
  <c r="D2437" i="2"/>
  <c r="N2436" i="2"/>
  <c r="M2436" i="2"/>
  <c r="J2436" i="2"/>
  <c r="L2436" i="2" s="1"/>
  <c r="I2436" i="2"/>
  <c r="H2436" i="2"/>
  <c r="D2436" i="2"/>
  <c r="N2435" i="2"/>
  <c r="M2435" i="2"/>
  <c r="I2435" i="2"/>
  <c r="H2435" i="2"/>
  <c r="J2435" i="2" s="1"/>
  <c r="L2435" i="2" s="1"/>
  <c r="D2435" i="2"/>
  <c r="N2434" i="2"/>
  <c r="M2434" i="2"/>
  <c r="I2434" i="2"/>
  <c r="H2434" i="2"/>
  <c r="J2434" i="2" s="1"/>
  <c r="L2434" i="2" s="1"/>
  <c r="D2434" i="2"/>
  <c r="N2433" i="2"/>
  <c r="M2433" i="2"/>
  <c r="L2433" i="2"/>
  <c r="J2433" i="2"/>
  <c r="I2433" i="2"/>
  <c r="H2433" i="2"/>
  <c r="D2433" i="2"/>
  <c r="N2432" i="2"/>
  <c r="M2432" i="2"/>
  <c r="J2432" i="2"/>
  <c r="L2432" i="2" s="1"/>
  <c r="I2432" i="2"/>
  <c r="H2432" i="2"/>
  <c r="D2432" i="2"/>
  <c r="N2431" i="2"/>
  <c r="M2431" i="2"/>
  <c r="I2431" i="2"/>
  <c r="H2431" i="2"/>
  <c r="J2431" i="2" s="1"/>
  <c r="L2431" i="2" s="1"/>
  <c r="D2431" i="2"/>
  <c r="N2430" i="2"/>
  <c r="M2430" i="2"/>
  <c r="I2430" i="2"/>
  <c r="H2430" i="2"/>
  <c r="J2430" i="2" s="1"/>
  <c r="L2430" i="2" s="1"/>
  <c r="D2430" i="2"/>
  <c r="N2429" i="2"/>
  <c r="M2429" i="2"/>
  <c r="L2429" i="2"/>
  <c r="J2429" i="2"/>
  <c r="I2429" i="2"/>
  <c r="H2429" i="2"/>
  <c r="D2429" i="2"/>
  <c r="N2428" i="2"/>
  <c r="M2428" i="2"/>
  <c r="J2428" i="2"/>
  <c r="L2428" i="2" s="1"/>
  <c r="I2428" i="2"/>
  <c r="H2428" i="2"/>
  <c r="D2428" i="2"/>
  <c r="N2427" i="2"/>
  <c r="M2427" i="2"/>
  <c r="I2427" i="2"/>
  <c r="H2427" i="2"/>
  <c r="J2427" i="2" s="1"/>
  <c r="L2427" i="2" s="1"/>
  <c r="D2427" i="2"/>
  <c r="N2426" i="2"/>
  <c r="M2426" i="2"/>
  <c r="I2426" i="2"/>
  <c r="H2426" i="2"/>
  <c r="J2426" i="2" s="1"/>
  <c r="L2426" i="2" s="1"/>
  <c r="D2426" i="2"/>
  <c r="N2425" i="2"/>
  <c r="M2425" i="2"/>
  <c r="L2425" i="2"/>
  <c r="J2425" i="2"/>
  <c r="I2425" i="2"/>
  <c r="H2425" i="2"/>
  <c r="D2425" i="2"/>
  <c r="N2424" i="2"/>
  <c r="M2424" i="2"/>
  <c r="J2424" i="2"/>
  <c r="L2424" i="2" s="1"/>
  <c r="I2424" i="2"/>
  <c r="H2424" i="2"/>
  <c r="D2424" i="2"/>
  <c r="N2423" i="2"/>
  <c r="M2423" i="2"/>
  <c r="I2423" i="2"/>
  <c r="H2423" i="2"/>
  <c r="J2423" i="2" s="1"/>
  <c r="L2423" i="2" s="1"/>
  <c r="D2423" i="2"/>
  <c r="N2422" i="2"/>
  <c r="M2422" i="2"/>
  <c r="I2422" i="2"/>
  <c r="H2422" i="2"/>
  <c r="J2422" i="2" s="1"/>
  <c r="L2422" i="2" s="1"/>
  <c r="D2422" i="2"/>
  <c r="N2421" i="2"/>
  <c r="M2421" i="2"/>
  <c r="L2421" i="2"/>
  <c r="J2421" i="2"/>
  <c r="I2421" i="2"/>
  <c r="H2421" i="2"/>
  <c r="D2421" i="2"/>
  <c r="N2420" i="2"/>
  <c r="M2420" i="2"/>
  <c r="J2420" i="2"/>
  <c r="L2420" i="2" s="1"/>
  <c r="I2420" i="2"/>
  <c r="H2420" i="2"/>
  <c r="D2420" i="2"/>
  <c r="N2419" i="2"/>
  <c r="M2419" i="2"/>
  <c r="I2419" i="2"/>
  <c r="H2419" i="2"/>
  <c r="J2419" i="2" s="1"/>
  <c r="L2419" i="2" s="1"/>
  <c r="D2419" i="2"/>
  <c r="N2418" i="2"/>
  <c r="M2418" i="2"/>
  <c r="I2418" i="2"/>
  <c r="H2418" i="2"/>
  <c r="J2418" i="2" s="1"/>
  <c r="L2418" i="2" s="1"/>
  <c r="D2418" i="2"/>
  <c r="N2417" i="2"/>
  <c r="M2417" i="2"/>
  <c r="L2417" i="2"/>
  <c r="J2417" i="2"/>
  <c r="I2417" i="2"/>
  <c r="H2417" i="2"/>
  <c r="D2417" i="2"/>
  <c r="N2416" i="2"/>
  <c r="M2416" i="2"/>
  <c r="J2416" i="2"/>
  <c r="L2416" i="2" s="1"/>
  <c r="I2416" i="2"/>
  <c r="H2416" i="2"/>
  <c r="D2416" i="2"/>
  <c r="N2415" i="2"/>
  <c r="M2415" i="2"/>
  <c r="I2415" i="2"/>
  <c r="H2415" i="2"/>
  <c r="J2415" i="2" s="1"/>
  <c r="L2415" i="2" s="1"/>
  <c r="D2415" i="2"/>
  <c r="N2414" i="2"/>
  <c r="M2414" i="2"/>
  <c r="I2414" i="2"/>
  <c r="H2414" i="2"/>
  <c r="J2414" i="2" s="1"/>
  <c r="L2414" i="2" s="1"/>
  <c r="D2414" i="2"/>
  <c r="N2413" i="2"/>
  <c r="M2413" i="2"/>
  <c r="L2413" i="2"/>
  <c r="J2413" i="2"/>
  <c r="I2413" i="2"/>
  <c r="H2413" i="2"/>
  <c r="D2413" i="2"/>
  <c r="N2412" i="2"/>
  <c r="M2412" i="2"/>
  <c r="J2412" i="2"/>
  <c r="L2412" i="2" s="1"/>
  <c r="I2412" i="2"/>
  <c r="H2412" i="2"/>
  <c r="D2412" i="2"/>
  <c r="N2411" i="2"/>
  <c r="M2411" i="2"/>
  <c r="I2411" i="2"/>
  <c r="H2411" i="2"/>
  <c r="J2411" i="2" s="1"/>
  <c r="L2411" i="2" s="1"/>
  <c r="D2411" i="2"/>
  <c r="N2410" i="2"/>
  <c r="M2410" i="2"/>
  <c r="I2410" i="2"/>
  <c r="H2410" i="2"/>
  <c r="J2410" i="2" s="1"/>
  <c r="L2410" i="2" s="1"/>
  <c r="D2410" i="2"/>
  <c r="N2409" i="2"/>
  <c r="M2409" i="2"/>
  <c r="L2409" i="2"/>
  <c r="J2409" i="2"/>
  <c r="I2409" i="2"/>
  <c r="H2409" i="2"/>
  <c r="D2409" i="2"/>
  <c r="N2408" i="2"/>
  <c r="M2408" i="2"/>
  <c r="J2408" i="2"/>
  <c r="L2408" i="2" s="1"/>
  <c r="I2408" i="2"/>
  <c r="H2408" i="2"/>
  <c r="D2408" i="2"/>
  <c r="N2407" i="2"/>
  <c r="M2407" i="2"/>
  <c r="I2407" i="2"/>
  <c r="H2407" i="2"/>
  <c r="J2407" i="2" s="1"/>
  <c r="L2407" i="2" s="1"/>
  <c r="D2407" i="2"/>
  <c r="N2406" i="2"/>
  <c r="M2406" i="2"/>
  <c r="I2406" i="2"/>
  <c r="H2406" i="2"/>
  <c r="J2406" i="2" s="1"/>
  <c r="L2406" i="2" s="1"/>
  <c r="D2406" i="2"/>
  <c r="N2405" i="2"/>
  <c r="M2405" i="2"/>
  <c r="L2405" i="2"/>
  <c r="J2405" i="2"/>
  <c r="I2405" i="2"/>
  <c r="H2405" i="2"/>
  <c r="D2405" i="2"/>
  <c r="N2404" i="2"/>
  <c r="M2404" i="2"/>
  <c r="J2404" i="2"/>
  <c r="L2404" i="2" s="1"/>
  <c r="I2404" i="2"/>
  <c r="H2404" i="2"/>
  <c r="D2404" i="2"/>
  <c r="N2403" i="2"/>
  <c r="M2403" i="2"/>
  <c r="I2403" i="2"/>
  <c r="H2403" i="2"/>
  <c r="J2403" i="2" s="1"/>
  <c r="L2403" i="2" s="1"/>
  <c r="D2403" i="2"/>
  <c r="N2402" i="2"/>
  <c r="M2402" i="2"/>
  <c r="I2402" i="2"/>
  <c r="H2402" i="2"/>
  <c r="J2402" i="2" s="1"/>
  <c r="L2402" i="2" s="1"/>
  <c r="D2402" i="2"/>
  <c r="N2401" i="2"/>
  <c r="M2401" i="2"/>
  <c r="L2401" i="2"/>
  <c r="J2401" i="2"/>
  <c r="I2401" i="2"/>
  <c r="H2401" i="2"/>
  <c r="D2401" i="2"/>
  <c r="N2400" i="2"/>
  <c r="M2400" i="2"/>
  <c r="J2400" i="2"/>
  <c r="L2400" i="2" s="1"/>
  <c r="I2400" i="2"/>
  <c r="H2400" i="2"/>
  <c r="D2400" i="2"/>
  <c r="N2399" i="2"/>
  <c r="M2399" i="2"/>
  <c r="I2399" i="2"/>
  <c r="H2399" i="2"/>
  <c r="J2399" i="2" s="1"/>
  <c r="L2399" i="2" s="1"/>
  <c r="D2399" i="2"/>
  <c r="N2398" i="2"/>
  <c r="M2398" i="2"/>
  <c r="I2398" i="2"/>
  <c r="H2398" i="2"/>
  <c r="J2398" i="2" s="1"/>
  <c r="L2398" i="2" s="1"/>
  <c r="D2398" i="2"/>
  <c r="N2397" i="2"/>
  <c r="M2397" i="2"/>
  <c r="L2397" i="2"/>
  <c r="J2397" i="2"/>
  <c r="I2397" i="2"/>
  <c r="H2397" i="2"/>
  <c r="D2397" i="2"/>
  <c r="N2396" i="2"/>
  <c r="M2396" i="2"/>
  <c r="J2396" i="2"/>
  <c r="L2396" i="2" s="1"/>
  <c r="I2396" i="2"/>
  <c r="H2396" i="2"/>
  <c r="D2396" i="2"/>
  <c r="N2395" i="2"/>
  <c r="M2395" i="2"/>
  <c r="I2395" i="2"/>
  <c r="H2395" i="2"/>
  <c r="J2395" i="2" s="1"/>
  <c r="L2395" i="2" s="1"/>
  <c r="D2395" i="2"/>
  <c r="N2394" i="2"/>
  <c r="M2394" i="2"/>
  <c r="I2394" i="2"/>
  <c r="H2394" i="2"/>
  <c r="J2394" i="2" s="1"/>
  <c r="L2394" i="2" s="1"/>
  <c r="D2394" i="2"/>
  <c r="N2393" i="2"/>
  <c r="M2393" i="2"/>
  <c r="L2393" i="2"/>
  <c r="J2393" i="2"/>
  <c r="I2393" i="2"/>
  <c r="H2393" i="2"/>
  <c r="D2393" i="2"/>
  <c r="N2392" i="2"/>
  <c r="M2392" i="2"/>
  <c r="J2392" i="2"/>
  <c r="L2392" i="2" s="1"/>
  <c r="I2392" i="2"/>
  <c r="H2392" i="2"/>
  <c r="D2392" i="2"/>
  <c r="N2391" i="2"/>
  <c r="M2391" i="2"/>
  <c r="I2391" i="2"/>
  <c r="H2391" i="2"/>
  <c r="J2391" i="2" s="1"/>
  <c r="L2391" i="2" s="1"/>
  <c r="D2391" i="2"/>
  <c r="N2390" i="2"/>
  <c r="M2390" i="2"/>
  <c r="I2390" i="2"/>
  <c r="H2390" i="2"/>
  <c r="J2390" i="2" s="1"/>
  <c r="L2390" i="2" s="1"/>
  <c r="D2390" i="2"/>
  <c r="N2389" i="2"/>
  <c r="M2389" i="2"/>
  <c r="L2389" i="2"/>
  <c r="J2389" i="2"/>
  <c r="I2389" i="2"/>
  <c r="H2389" i="2"/>
  <c r="D2389" i="2"/>
  <c r="N2388" i="2"/>
  <c r="M2388" i="2"/>
  <c r="J2388" i="2"/>
  <c r="L2388" i="2" s="1"/>
  <c r="I2388" i="2"/>
  <c r="H2388" i="2"/>
  <c r="D2388" i="2"/>
  <c r="N2387" i="2"/>
  <c r="M2387" i="2"/>
  <c r="I2387" i="2"/>
  <c r="H2387" i="2"/>
  <c r="J2387" i="2" s="1"/>
  <c r="L2387" i="2" s="1"/>
  <c r="D2387" i="2"/>
  <c r="N2386" i="2"/>
  <c r="M2386" i="2"/>
  <c r="I2386" i="2"/>
  <c r="H2386" i="2"/>
  <c r="J2386" i="2" s="1"/>
  <c r="L2386" i="2" s="1"/>
  <c r="D2386" i="2"/>
  <c r="N2385" i="2"/>
  <c r="M2385" i="2"/>
  <c r="L2385" i="2"/>
  <c r="J2385" i="2"/>
  <c r="I2385" i="2"/>
  <c r="H2385" i="2"/>
  <c r="D2385" i="2"/>
  <c r="N2384" i="2"/>
  <c r="M2384" i="2"/>
  <c r="J2384" i="2"/>
  <c r="L2384" i="2" s="1"/>
  <c r="I2384" i="2"/>
  <c r="H2384" i="2"/>
  <c r="D2384" i="2"/>
  <c r="N2383" i="2"/>
  <c r="M2383" i="2"/>
  <c r="I2383" i="2"/>
  <c r="H2383" i="2"/>
  <c r="J2383" i="2" s="1"/>
  <c r="L2383" i="2" s="1"/>
  <c r="D2383" i="2"/>
  <c r="N2382" i="2"/>
  <c r="M2382" i="2"/>
  <c r="I2382" i="2"/>
  <c r="H2382" i="2"/>
  <c r="J2382" i="2" s="1"/>
  <c r="L2382" i="2" s="1"/>
  <c r="D2382" i="2"/>
  <c r="N2381" i="2"/>
  <c r="M2381" i="2"/>
  <c r="L2381" i="2"/>
  <c r="J2381" i="2"/>
  <c r="I2381" i="2"/>
  <c r="H2381" i="2"/>
  <c r="D2381" i="2"/>
  <c r="N2380" i="2"/>
  <c r="M2380" i="2"/>
  <c r="J2380" i="2"/>
  <c r="L2380" i="2" s="1"/>
  <c r="I2380" i="2"/>
  <c r="H2380" i="2"/>
  <c r="D2380" i="2"/>
  <c r="N2379" i="2"/>
  <c r="M2379" i="2"/>
  <c r="I2379" i="2"/>
  <c r="H2379" i="2"/>
  <c r="J2379" i="2" s="1"/>
  <c r="L2379" i="2" s="1"/>
  <c r="D2379" i="2"/>
  <c r="N2378" i="2"/>
  <c r="M2378" i="2"/>
  <c r="I2378" i="2"/>
  <c r="H2378" i="2"/>
  <c r="J2378" i="2" s="1"/>
  <c r="L2378" i="2" s="1"/>
  <c r="D2378" i="2"/>
  <c r="N2377" i="2"/>
  <c r="M2377" i="2"/>
  <c r="L2377" i="2"/>
  <c r="J2377" i="2"/>
  <c r="I2377" i="2"/>
  <c r="H2377" i="2"/>
  <c r="D2377" i="2"/>
  <c r="N2376" i="2"/>
  <c r="M2376" i="2"/>
  <c r="J2376" i="2"/>
  <c r="L2376" i="2" s="1"/>
  <c r="I2376" i="2"/>
  <c r="H2376" i="2"/>
  <c r="D2376" i="2"/>
  <c r="N2375" i="2"/>
  <c r="M2375" i="2"/>
  <c r="I2375" i="2"/>
  <c r="H2375" i="2"/>
  <c r="J2375" i="2" s="1"/>
  <c r="L2375" i="2" s="1"/>
  <c r="D2375" i="2"/>
  <c r="N2374" i="2"/>
  <c r="M2374" i="2"/>
  <c r="I2374" i="2"/>
  <c r="H2374" i="2"/>
  <c r="J2374" i="2" s="1"/>
  <c r="L2374" i="2" s="1"/>
  <c r="D2374" i="2"/>
  <c r="N2373" i="2"/>
  <c r="M2373" i="2"/>
  <c r="L2373" i="2"/>
  <c r="J2373" i="2"/>
  <c r="I2373" i="2"/>
  <c r="H2373" i="2"/>
  <c r="D2373" i="2"/>
  <c r="N2372" i="2"/>
  <c r="M2372" i="2"/>
  <c r="J2372" i="2"/>
  <c r="L2372" i="2" s="1"/>
  <c r="I2372" i="2"/>
  <c r="H2372" i="2"/>
  <c r="D2372" i="2"/>
  <c r="N2371" i="2"/>
  <c r="M2371" i="2"/>
  <c r="I2371" i="2"/>
  <c r="H2371" i="2"/>
  <c r="J2371" i="2" s="1"/>
  <c r="L2371" i="2" s="1"/>
  <c r="D2371" i="2"/>
  <c r="N2370" i="2"/>
  <c r="M2370" i="2"/>
  <c r="I2370" i="2"/>
  <c r="H2370" i="2"/>
  <c r="J2370" i="2" s="1"/>
  <c r="L2370" i="2" s="1"/>
  <c r="D2370" i="2"/>
  <c r="N2369" i="2"/>
  <c r="M2369" i="2"/>
  <c r="L2369" i="2"/>
  <c r="J2369" i="2"/>
  <c r="I2369" i="2"/>
  <c r="H2369" i="2"/>
  <c r="D2369" i="2"/>
  <c r="N2368" i="2"/>
  <c r="M2368" i="2"/>
  <c r="J2368" i="2"/>
  <c r="L2368" i="2" s="1"/>
  <c r="I2368" i="2"/>
  <c r="H2368" i="2"/>
  <c r="D2368" i="2"/>
  <c r="N2367" i="2"/>
  <c r="M2367" i="2"/>
  <c r="I2367" i="2"/>
  <c r="H2367" i="2"/>
  <c r="J2367" i="2" s="1"/>
  <c r="L2367" i="2" s="1"/>
  <c r="D2367" i="2"/>
  <c r="N2366" i="2"/>
  <c r="M2366" i="2"/>
  <c r="I2366" i="2"/>
  <c r="H2366" i="2"/>
  <c r="J2366" i="2" s="1"/>
  <c r="L2366" i="2" s="1"/>
  <c r="D2366" i="2"/>
  <c r="N2365" i="2"/>
  <c r="M2365" i="2"/>
  <c r="L2365" i="2"/>
  <c r="J2365" i="2"/>
  <c r="I2365" i="2"/>
  <c r="H2365" i="2"/>
  <c r="D2365" i="2"/>
  <c r="N2364" i="2"/>
  <c r="M2364" i="2"/>
  <c r="J2364" i="2"/>
  <c r="L2364" i="2" s="1"/>
  <c r="I2364" i="2"/>
  <c r="H2364" i="2"/>
  <c r="D2364" i="2"/>
  <c r="N2363" i="2"/>
  <c r="M2363" i="2"/>
  <c r="I2363" i="2"/>
  <c r="H2363" i="2"/>
  <c r="J2363" i="2" s="1"/>
  <c r="L2363" i="2" s="1"/>
  <c r="D2363" i="2"/>
  <c r="N2362" i="2"/>
  <c r="M2362" i="2"/>
  <c r="I2362" i="2"/>
  <c r="H2362" i="2"/>
  <c r="J2362" i="2" s="1"/>
  <c r="L2362" i="2" s="1"/>
  <c r="D2362" i="2"/>
  <c r="N2361" i="2"/>
  <c r="M2361" i="2"/>
  <c r="L2361" i="2"/>
  <c r="J2361" i="2"/>
  <c r="I2361" i="2"/>
  <c r="H2361" i="2"/>
  <c r="D2361" i="2"/>
  <c r="N2360" i="2"/>
  <c r="M2360" i="2"/>
  <c r="J2360" i="2"/>
  <c r="L2360" i="2" s="1"/>
  <c r="I2360" i="2"/>
  <c r="H2360" i="2"/>
  <c r="D2360" i="2"/>
  <c r="N2359" i="2"/>
  <c r="M2359" i="2"/>
  <c r="I2359" i="2"/>
  <c r="H2359" i="2"/>
  <c r="D2359" i="2"/>
  <c r="N2358" i="2"/>
  <c r="M2358" i="2"/>
  <c r="I2358" i="2"/>
  <c r="H2358" i="2"/>
  <c r="J2358" i="2" s="1"/>
  <c r="L2358" i="2" s="1"/>
  <c r="D2358" i="2"/>
  <c r="N2357" i="2"/>
  <c r="M2357" i="2"/>
  <c r="J2357" i="2"/>
  <c r="L2357" i="2" s="1"/>
  <c r="I2357" i="2"/>
  <c r="H2357" i="2"/>
  <c r="D2357" i="2"/>
  <c r="N2356" i="2"/>
  <c r="M2356" i="2"/>
  <c r="I2356" i="2"/>
  <c r="J2356" i="2" s="1"/>
  <c r="L2356" i="2" s="1"/>
  <c r="H2356" i="2"/>
  <c r="D2356" i="2"/>
  <c r="N2355" i="2"/>
  <c r="M2355" i="2"/>
  <c r="I2355" i="2"/>
  <c r="H2355" i="2"/>
  <c r="D2355" i="2"/>
  <c r="N2354" i="2"/>
  <c r="M2354" i="2"/>
  <c r="I2354" i="2"/>
  <c r="H2354" i="2"/>
  <c r="J2354" i="2" s="1"/>
  <c r="L2354" i="2" s="1"/>
  <c r="D2354" i="2"/>
  <c r="N2353" i="2"/>
  <c r="M2353" i="2"/>
  <c r="J2353" i="2"/>
  <c r="L2353" i="2" s="1"/>
  <c r="I2353" i="2"/>
  <c r="H2353" i="2"/>
  <c r="D2353" i="2"/>
  <c r="N2352" i="2"/>
  <c r="M2352" i="2"/>
  <c r="I2352" i="2"/>
  <c r="J2352" i="2" s="1"/>
  <c r="L2352" i="2" s="1"/>
  <c r="H2352" i="2"/>
  <c r="D2352" i="2"/>
  <c r="N2351" i="2"/>
  <c r="M2351" i="2"/>
  <c r="I2351" i="2"/>
  <c r="H2351" i="2"/>
  <c r="J2351" i="2" s="1"/>
  <c r="L2351" i="2" s="1"/>
  <c r="D2351" i="2"/>
  <c r="N2350" i="2"/>
  <c r="M2350" i="2"/>
  <c r="I2350" i="2"/>
  <c r="H2350" i="2"/>
  <c r="J2350" i="2" s="1"/>
  <c r="L2350" i="2" s="1"/>
  <c r="D2350" i="2"/>
  <c r="N2349" i="2"/>
  <c r="M2349" i="2"/>
  <c r="J2349" i="2"/>
  <c r="L2349" i="2" s="1"/>
  <c r="I2349" i="2"/>
  <c r="H2349" i="2"/>
  <c r="D2349" i="2"/>
  <c r="N2348" i="2"/>
  <c r="M2348" i="2"/>
  <c r="I2348" i="2"/>
  <c r="J2348" i="2" s="1"/>
  <c r="L2348" i="2" s="1"/>
  <c r="H2348" i="2"/>
  <c r="D2348" i="2"/>
  <c r="N2347" i="2"/>
  <c r="M2347" i="2"/>
  <c r="I2347" i="2"/>
  <c r="H2347" i="2"/>
  <c r="J2347" i="2" s="1"/>
  <c r="L2347" i="2" s="1"/>
  <c r="D2347" i="2"/>
  <c r="N2346" i="2"/>
  <c r="M2346" i="2"/>
  <c r="I2346" i="2"/>
  <c r="H2346" i="2"/>
  <c r="J2346" i="2" s="1"/>
  <c r="L2346" i="2" s="1"/>
  <c r="D2346" i="2"/>
  <c r="N2345" i="2"/>
  <c r="M2345" i="2"/>
  <c r="J2345" i="2"/>
  <c r="L2345" i="2" s="1"/>
  <c r="I2345" i="2"/>
  <c r="H2345" i="2"/>
  <c r="D2345" i="2"/>
  <c r="N2344" i="2"/>
  <c r="M2344" i="2"/>
  <c r="I2344" i="2"/>
  <c r="J2344" i="2" s="1"/>
  <c r="L2344" i="2" s="1"/>
  <c r="H2344" i="2"/>
  <c r="D2344" i="2"/>
  <c r="N2343" i="2"/>
  <c r="M2343" i="2"/>
  <c r="I2343" i="2"/>
  <c r="H2343" i="2"/>
  <c r="J2343" i="2" s="1"/>
  <c r="L2343" i="2" s="1"/>
  <c r="D2343" i="2"/>
  <c r="N2342" i="2"/>
  <c r="M2342" i="2"/>
  <c r="I2342" i="2"/>
  <c r="H2342" i="2"/>
  <c r="J2342" i="2" s="1"/>
  <c r="L2342" i="2" s="1"/>
  <c r="D2342" i="2"/>
  <c r="N2341" i="2"/>
  <c r="M2341" i="2"/>
  <c r="J2341" i="2"/>
  <c r="L2341" i="2" s="1"/>
  <c r="I2341" i="2"/>
  <c r="H2341" i="2"/>
  <c r="D2341" i="2"/>
  <c r="N2340" i="2"/>
  <c r="M2340" i="2"/>
  <c r="I2340" i="2"/>
  <c r="J2340" i="2" s="1"/>
  <c r="L2340" i="2" s="1"/>
  <c r="H2340" i="2"/>
  <c r="D2340" i="2"/>
  <c r="N2339" i="2"/>
  <c r="M2339" i="2"/>
  <c r="I2339" i="2"/>
  <c r="H2339" i="2"/>
  <c r="J2339" i="2" s="1"/>
  <c r="L2339" i="2" s="1"/>
  <c r="D2339" i="2"/>
  <c r="N2338" i="2"/>
  <c r="M2338" i="2"/>
  <c r="I2338" i="2"/>
  <c r="H2338" i="2"/>
  <c r="J2338" i="2" s="1"/>
  <c r="L2338" i="2" s="1"/>
  <c r="D2338" i="2"/>
  <c r="N2337" i="2"/>
  <c r="M2337" i="2"/>
  <c r="J2337" i="2"/>
  <c r="L2337" i="2" s="1"/>
  <c r="I2337" i="2"/>
  <c r="H2337" i="2"/>
  <c r="D2337" i="2"/>
  <c r="N2336" i="2"/>
  <c r="M2336" i="2"/>
  <c r="I2336" i="2"/>
  <c r="J2336" i="2" s="1"/>
  <c r="L2336" i="2" s="1"/>
  <c r="H2336" i="2"/>
  <c r="D2336" i="2"/>
  <c r="N2335" i="2"/>
  <c r="M2335" i="2"/>
  <c r="I2335" i="2"/>
  <c r="H2335" i="2"/>
  <c r="J2335" i="2" s="1"/>
  <c r="L2335" i="2" s="1"/>
  <c r="D2335" i="2"/>
  <c r="N2334" i="2"/>
  <c r="M2334" i="2"/>
  <c r="I2334" i="2"/>
  <c r="H2334" i="2"/>
  <c r="J2334" i="2" s="1"/>
  <c r="L2334" i="2" s="1"/>
  <c r="D2334" i="2"/>
  <c r="N2333" i="2"/>
  <c r="M2333" i="2"/>
  <c r="J2333" i="2"/>
  <c r="L2333" i="2" s="1"/>
  <c r="I2333" i="2"/>
  <c r="H2333" i="2"/>
  <c r="D2333" i="2"/>
  <c r="N2332" i="2"/>
  <c r="M2332" i="2"/>
  <c r="I2332" i="2"/>
  <c r="J2332" i="2" s="1"/>
  <c r="L2332" i="2" s="1"/>
  <c r="H2332" i="2"/>
  <c r="D2332" i="2"/>
  <c r="N2331" i="2"/>
  <c r="M2331" i="2"/>
  <c r="I2331" i="2"/>
  <c r="H2331" i="2"/>
  <c r="J2331" i="2" s="1"/>
  <c r="L2331" i="2" s="1"/>
  <c r="D2331" i="2"/>
  <c r="N2330" i="2"/>
  <c r="M2330" i="2"/>
  <c r="I2330" i="2"/>
  <c r="H2330" i="2"/>
  <c r="J2330" i="2" s="1"/>
  <c r="L2330" i="2" s="1"/>
  <c r="D2330" i="2"/>
  <c r="N2329" i="2"/>
  <c r="M2329" i="2"/>
  <c r="J2329" i="2"/>
  <c r="L2329" i="2" s="1"/>
  <c r="I2329" i="2"/>
  <c r="H2329" i="2"/>
  <c r="D2329" i="2"/>
  <c r="N2328" i="2"/>
  <c r="M2328" i="2"/>
  <c r="I2328" i="2"/>
  <c r="J2328" i="2" s="1"/>
  <c r="L2328" i="2" s="1"/>
  <c r="H2328" i="2"/>
  <c r="D2328" i="2"/>
  <c r="N2327" i="2"/>
  <c r="M2327" i="2"/>
  <c r="I2327" i="2"/>
  <c r="H2327" i="2"/>
  <c r="J2327" i="2" s="1"/>
  <c r="L2327" i="2" s="1"/>
  <c r="D2327" i="2"/>
  <c r="N2326" i="2"/>
  <c r="M2326" i="2"/>
  <c r="I2326" i="2"/>
  <c r="H2326" i="2"/>
  <c r="J2326" i="2" s="1"/>
  <c r="L2326" i="2" s="1"/>
  <c r="D2326" i="2"/>
  <c r="N2325" i="2"/>
  <c r="M2325" i="2"/>
  <c r="J2325" i="2"/>
  <c r="L2325" i="2" s="1"/>
  <c r="I2325" i="2"/>
  <c r="H2325" i="2"/>
  <c r="D2325" i="2"/>
  <c r="N2324" i="2"/>
  <c r="M2324" i="2"/>
  <c r="I2324" i="2"/>
  <c r="J2324" i="2" s="1"/>
  <c r="L2324" i="2" s="1"/>
  <c r="H2324" i="2"/>
  <c r="D2324" i="2"/>
  <c r="N2323" i="2"/>
  <c r="M2323" i="2"/>
  <c r="I2323" i="2"/>
  <c r="H2323" i="2"/>
  <c r="J2323" i="2" s="1"/>
  <c r="L2323" i="2" s="1"/>
  <c r="D2323" i="2"/>
  <c r="N2322" i="2"/>
  <c r="M2322" i="2"/>
  <c r="I2322" i="2"/>
  <c r="H2322" i="2"/>
  <c r="J2322" i="2" s="1"/>
  <c r="L2322" i="2" s="1"/>
  <c r="D2322" i="2"/>
  <c r="N2321" i="2"/>
  <c r="M2321" i="2"/>
  <c r="J2321" i="2"/>
  <c r="L2321" i="2" s="1"/>
  <c r="I2321" i="2"/>
  <c r="H2321" i="2"/>
  <c r="D2321" i="2"/>
  <c r="N2320" i="2"/>
  <c r="M2320" i="2"/>
  <c r="I2320" i="2"/>
  <c r="J2320" i="2" s="1"/>
  <c r="L2320" i="2" s="1"/>
  <c r="H2320" i="2"/>
  <c r="D2320" i="2"/>
  <c r="N2319" i="2"/>
  <c r="M2319" i="2"/>
  <c r="I2319" i="2"/>
  <c r="H2319" i="2"/>
  <c r="J2319" i="2" s="1"/>
  <c r="L2319" i="2" s="1"/>
  <c r="D2319" i="2"/>
  <c r="N2318" i="2"/>
  <c r="M2318" i="2"/>
  <c r="I2318" i="2"/>
  <c r="H2318" i="2"/>
  <c r="J2318" i="2" s="1"/>
  <c r="L2318" i="2" s="1"/>
  <c r="D2318" i="2"/>
  <c r="N2317" i="2"/>
  <c r="M2317" i="2"/>
  <c r="J2317" i="2"/>
  <c r="L2317" i="2" s="1"/>
  <c r="I2317" i="2"/>
  <c r="H2317" i="2"/>
  <c r="D2317" i="2"/>
  <c r="N2316" i="2"/>
  <c r="M2316" i="2"/>
  <c r="J2316" i="2"/>
  <c r="L2316" i="2" s="1"/>
  <c r="I2316" i="2"/>
  <c r="H2316" i="2"/>
  <c r="D2316" i="2"/>
  <c r="N2315" i="2"/>
  <c r="M2315" i="2"/>
  <c r="I2315" i="2"/>
  <c r="H2315" i="2"/>
  <c r="J2315" i="2" s="1"/>
  <c r="L2315" i="2" s="1"/>
  <c r="D2315" i="2"/>
  <c r="N2314" i="2"/>
  <c r="M2314" i="2"/>
  <c r="I2314" i="2"/>
  <c r="H2314" i="2"/>
  <c r="J2314" i="2" s="1"/>
  <c r="L2314" i="2" s="1"/>
  <c r="D2314" i="2"/>
  <c r="N2313" i="2"/>
  <c r="M2313" i="2"/>
  <c r="L2313" i="2"/>
  <c r="J2313" i="2"/>
  <c r="I2313" i="2"/>
  <c r="H2313" i="2"/>
  <c r="D2313" i="2"/>
  <c r="N2312" i="2"/>
  <c r="M2312" i="2"/>
  <c r="J2312" i="2"/>
  <c r="L2312" i="2" s="1"/>
  <c r="I2312" i="2"/>
  <c r="H2312" i="2"/>
  <c r="D2312" i="2"/>
  <c r="N2311" i="2"/>
  <c r="M2311" i="2"/>
  <c r="I2311" i="2"/>
  <c r="H2311" i="2"/>
  <c r="J2311" i="2" s="1"/>
  <c r="L2311" i="2" s="1"/>
  <c r="D2311" i="2"/>
  <c r="N2310" i="2"/>
  <c r="M2310" i="2"/>
  <c r="I2310" i="2"/>
  <c r="H2310" i="2"/>
  <c r="J2310" i="2" s="1"/>
  <c r="L2310" i="2" s="1"/>
  <c r="D2310" i="2"/>
  <c r="N2309" i="2"/>
  <c r="M2309" i="2"/>
  <c r="L2309" i="2"/>
  <c r="J2309" i="2"/>
  <c r="I2309" i="2"/>
  <c r="H2309" i="2"/>
  <c r="D2309" i="2"/>
  <c r="N2308" i="2"/>
  <c r="M2308" i="2"/>
  <c r="J2308" i="2"/>
  <c r="L2308" i="2" s="1"/>
  <c r="I2308" i="2"/>
  <c r="H2308" i="2"/>
  <c r="D2308" i="2"/>
  <c r="N2307" i="2"/>
  <c r="M2307" i="2"/>
  <c r="I2307" i="2"/>
  <c r="H2307" i="2"/>
  <c r="J2307" i="2" s="1"/>
  <c r="L2307" i="2" s="1"/>
  <c r="D2307" i="2"/>
  <c r="N2306" i="2"/>
  <c r="M2306" i="2"/>
  <c r="I2306" i="2"/>
  <c r="H2306" i="2"/>
  <c r="J2306" i="2" s="1"/>
  <c r="L2306" i="2" s="1"/>
  <c r="D2306" i="2"/>
  <c r="N2305" i="2"/>
  <c r="M2305" i="2"/>
  <c r="L2305" i="2"/>
  <c r="J2305" i="2"/>
  <c r="I2305" i="2"/>
  <c r="H2305" i="2"/>
  <c r="D2305" i="2"/>
  <c r="N2304" i="2"/>
  <c r="M2304" i="2"/>
  <c r="J2304" i="2"/>
  <c r="L2304" i="2" s="1"/>
  <c r="I2304" i="2"/>
  <c r="H2304" i="2"/>
  <c r="D2304" i="2"/>
  <c r="N2303" i="2"/>
  <c r="M2303" i="2"/>
  <c r="I2303" i="2"/>
  <c r="H2303" i="2"/>
  <c r="J2303" i="2" s="1"/>
  <c r="L2303" i="2" s="1"/>
  <c r="D2303" i="2"/>
  <c r="N2302" i="2"/>
  <c r="M2302" i="2"/>
  <c r="I2302" i="2"/>
  <c r="H2302" i="2"/>
  <c r="J2302" i="2" s="1"/>
  <c r="L2302" i="2" s="1"/>
  <c r="D2302" i="2"/>
  <c r="N2301" i="2"/>
  <c r="M2301" i="2"/>
  <c r="I2301" i="2"/>
  <c r="J2301" i="2" s="1"/>
  <c r="L2301" i="2" s="1"/>
  <c r="H2301" i="2"/>
  <c r="D2301" i="2"/>
  <c r="N2300" i="2"/>
  <c r="M2300" i="2"/>
  <c r="J2300" i="2"/>
  <c r="L2300" i="2" s="1"/>
  <c r="I2300" i="2"/>
  <c r="H2300" i="2"/>
  <c r="D2300" i="2"/>
  <c r="N2299" i="2"/>
  <c r="M2299" i="2"/>
  <c r="I2299" i="2"/>
  <c r="H2299" i="2"/>
  <c r="J2299" i="2" s="1"/>
  <c r="L2299" i="2" s="1"/>
  <c r="D2299" i="2"/>
  <c r="N2298" i="2"/>
  <c r="M2298" i="2"/>
  <c r="I2298" i="2"/>
  <c r="H2298" i="2"/>
  <c r="J2298" i="2" s="1"/>
  <c r="L2298" i="2" s="1"/>
  <c r="D2298" i="2"/>
  <c r="N2297" i="2"/>
  <c r="M2297" i="2"/>
  <c r="I2297" i="2"/>
  <c r="J2297" i="2" s="1"/>
  <c r="L2297" i="2" s="1"/>
  <c r="H2297" i="2"/>
  <c r="D2297" i="2"/>
  <c r="N2296" i="2"/>
  <c r="M2296" i="2"/>
  <c r="J2296" i="2"/>
  <c r="L2296" i="2" s="1"/>
  <c r="I2296" i="2"/>
  <c r="H2296" i="2"/>
  <c r="D2296" i="2"/>
  <c r="N2295" i="2"/>
  <c r="M2295" i="2"/>
  <c r="I2295" i="2"/>
  <c r="H2295" i="2"/>
  <c r="J2295" i="2" s="1"/>
  <c r="L2295" i="2" s="1"/>
  <c r="D2295" i="2"/>
  <c r="N2294" i="2"/>
  <c r="M2294" i="2"/>
  <c r="I2294" i="2"/>
  <c r="H2294" i="2"/>
  <c r="J2294" i="2" s="1"/>
  <c r="L2294" i="2" s="1"/>
  <c r="D2294" i="2"/>
  <c r="N2293" i="2"/>
  <c r="M2293" i="2"/>
  <c r="I2293" i="2"/>
  <c r="J2293" i="2" s="1"/>
  <c r="L2293" i="2" s="1"/>
  <c r="H2293" i="2"/>
  <c r="D2293" i="2"/>
  <c r="N2292" i="2"/>
  <c r="M2292" i="2"/>
  <c r="J2292" i="2"/>
  <c r="L2292" i="2" s="1"/>
  <c r="I2292" i="2"/>
  <c r="H2292" i="2"/>
  <c r="D2292" i="2"/>
  <c r="N2291" i="2"/>
  <c r="M2291" i="2"/>
  <c r="I2291" i="2"/>
  <c r="H2291" i="2"/>
  <c r="J2291" i="2" s="1"/>
  <c r="L2291" i="2" s="1"/>
  <c r="D2291" i="2"/>
  <c r="N2290" i="2"/>
  <c r="M2290" i="2"/>
  <c r="I2290" i="2"/>
  <c r="H2290" i="2"/>
  <c r="J2290" i="2" s="1"/>
  <c r="L2290" i="2" s="1"/>
  <c r="D2290" i="2"/>
  <c r="N2289" i="2"/>
  <c r="M2289" i="2"/>
  <c r="I2289" i="2"/>
  <c r="J2289" i="2" s="1"/>
  <c r="L2289" i="2" s="1"/>
  <c r="H2289" i="2"/>
  <c r="D2289" i="2"/>
  <c r="N2288" i="2"/>
  <c r="M2288" i="2"/>
  <c r="J2288" i="2"/>
  <c r="L2288" i="2" s="1"/>
  <c r="I2288" i="2"/>
  <c r="H2288" i="2"/>
  <c r="D2288" i="2"/>
  <c r="N2287" i="2"/>
  <c r="M2287" i="2"/>
  <c r="I2287" i="2"/>
  <c r="H2287" i="2"/>
  <c r="J2287" i="2" s="1"/>
  <c r="L2287" i="2" s="1"/>
  <c r="D2287" i="2"/>
  <c r="N2286" i="2"/>
  <c r="M2286" i="2"/>
  <c r="I2286" i="2"/>
  <c r="H2286" i="2"/>
  <c r="J2286" i="2" s="1"/>
  <c r="L2286" i="2" s="1"/>
  <c r="D2286" i="2"/>
  <c r="N2285" i="2"/>
  <c r="M2285" i="2"/>
  <c r="I2285" i="2"/>
  <c r="J2285" i="2" s="1"/>
  <c r="L2285" i="2" s="1"/>
  <c r="H2285" i="2"/>
  <c r="D2285" i="2"/>
  <c r="N2284" i="2"/>
  <c r="M2284" i="2"/>
  <c r="J2284" i="2"/>
  <c r="L2284" i="2" s="1"/>
  <c r="I2284" i="2"/>
  <c r="H2284" i="2"/>
  <c r="D2284" i="2"/>
  <c r="N2283" i="2"/>
  <c r="M2283" i="2"/>
  <c r="I2283" i="2"/>
  <c r="H2283" i="2"/>
  <c r="J2283" i="2" s="1"/>
  <c r="L2283" i="2" s="1"/>
  <c r="D2283" i="2"/>
  <c r="N2282" i="2"/>
  <c r="M2282" i="2"/>
  <c r="I2282" i="2"/>
  <c r="H2282" i="2"/>
  <c r="J2282" i="2" s="1"/>
  <c r="L2282" i="2" s="1"/>
  <c r="D2282" i="2"/>
  <c r="N2281" i="2"/>
  <c r="M2281" i="2"/>
  <c r="I2281" i="2"/>
  <c r="J2281" i="2" s="1"/>
  <c r="L2281" i="2" s="1"/>
  <c r="H2281" i="2"/>
  <c r="D2281" i="2"/>
  <c r="N2280" i="2"/>
  <c r="M2280" i="2"/>
  <c r="J2280" i="2"/>
  <c r="L2280" i="2" s="1"/>
  <c r="I2280" i="2"/>
  <c r="H2280" i="2"/>
  <c r="D2280" i="2"/>
  <c r="N2279" i="2"/>
  <c r="M2279" i="2"/>
  <c r="I2279" i="2"/>
  <c r="H2279" i="2"/>
  <c r="J2279" i="2" s="1"/>
  <c r="L2279" i="2" s="1"/>
  <c r="D2279" i="2"/>
  <c r="N2278" i="2"/>
  <c r="M2278" i="2"/>
  <c r="I2278" i="2"/>
  <c r="H2278" i="2"/>
  <c r="J2278" i="2" s="1"/>
  <c r="L2278" i="2" s="1"/>
  <c r="D2278" i="2"/>
  <c r="N2277" i="2"/>
  <c r="M2277" i="2"/>
  <c r="I2277" i="2"/>
  <c r="J2277" i="2" s="1"/>
  <c r="L2277" i="2" s="1"/>
  <c r="H2277" i="2"/>
  <c r="D2277" i="2"/>
  <c r="N2276" i="2"/>
  <c r="M2276" i="2"/>
  <c r="J2276" i="2"/>
  <c r="L2276" i="2" s="1"/>
  <c r="I2276" i="2"/>
  <c r="H2276" i="2"/>
  <c r="D2276" i="2"/>
  <c r="N2275" i="2"/>
  <c r="M2275" i="2"/>
  <c r="I2275" i="2"/>
  <c r="H2275" i="2"/>
  <c r="J2275" i="2" s="1"/>
  <c r="L2275" i="2" s="1"/>
  <c r="D2275" i="2"/>
  <c r="N2274" i="2"/>
  <c r="M2274" i="2"/>
  <c r="I2274" i="2"/>
  <c r="H2274" i="2"/>
  <c r="J2274" i="2" s="1"/>
  <c r="L2274" i="2" s="1"/>
  <c r="D2274" i="2"/>
  <c r="N2273" i="2"/>
  <c r="M2273" i="2"/>
  <c r="I2273" i="2"/>
  <c r="J2273" i="2" s="1"/>
  <c r="L2273" i="2" s="1"/>
  <c r="H2273" i="2"/>
  <c r="D2273" i="2"/>
  <c r="N2272" i="2"/>
  <c r="M2272" i="2"/>
  <c r="J2272" i="2"/>
  <c r="L2272" i="2" s="1"/>
  <c r="I2272" i="2"/>
  <c r="H2272" i="2"/>
  <c r="D2272" i="2"/>
  <c r="N2271" i="2"/>
  <c r="M2271" i="2"/>
  <c r="I2271" i="2"/>
  <c r="H2271" i="2"/>
  <c r="J2271" i="2" s="1"/>
  <c r="L2271" i="2" s="1"/>
  <c r="D2271" i="2"/>
  <c r="N2270" i="2"/>
  <c r="M2270" i="2"/>
  <c r="I2270" i="2"/>
  <c r="H2270" i="2"/>
  <c r="J2270" i="2" s="1"/>
  <c r="L2270" i="2" s="1"/>
  <c r="D2270" i="2"/>
  <c r="N2269" i="2"/>
  <c r="M2269" i="2"/>
  <c r="I2269" i="2"/>
  <c r="J2269" i="2" s="1"/>
  <c r="L2269" i="2" s="1"/>
  <c r="H2269" i="2"/>
  <c r="D2269" i="2"/>
  <c r="N2268" i="2"/>
  <c r="M2268" i="2"/>
  <c r="J2268" i="2"/>
  <c r="L2268" i="2" s="1"/>
  <c r="I2268" i="2"/>
  <c r="H2268" i="2"/>
  <c r="D2268" i="2"/>
  <c r="N2267" i="2"/>
  <c r="M2267" i="2"/>
  <c r="I2267" i="2"/>
  <c r="H2267" i="2"/>
  <c r="J2267" i="2" s="1"/>
  <c r="L2267" i="2" s="1"/>
  <c r="D2267" i="2"/>
  <c r="N2266" i="2"/>
  <c r="M2266" i="2"/>
  <c r="I2266" i="2"/>
  <c r="H2266" i="2"/>
  <c r="J2266" i="2" s="1"/>
  <c r="L2266" i="2" s="1"/>
  <c r="D2266" i="2"/>
  <c r="N2265" i="2"/>
  <c r="M2265" i="2"/>
  <c r="I2265" i="2"/>
  <c r="J2265" i="2" s="1"/>
  <c r="L2265" i="2" s="1"/>
  <c r="H2265" i="2"/>
  <c r="D2265" i="2"/>
  <c r="N2264" i="2"/>
  <c r="M2264" i="2"/>
  <c r="J2264" i="2"/>
  <c r="L2264" i="2" s="1"/>
  <c r="I2264" i="2"/>
  <c r="H2264" i="2"/>
  <c r="D2264" i="2"/>
  <c r="N2263" i="2"/>
  <c r="M2263" i="2"/>
  <c r="I2263" i="2"/>
  <c r="H2263" i="2"/>
  <c r="J2263" i="2" s="1"/>
  <c r="L2263" i="2" s="1"/>
  <c r="D2263" i="2"/>
  <c r="N2262" i="2"/>
  <c r="M2262" i="2"/>
  <c r="I2262" i="2"/>
  <c r="H2262" i="2"/>
  <c r="J2262" i="2" s="1"/>
  <c r="L2262" i="2" s="1"/>
  <c r="D2262" i="2"/>
  <c r="N2261" i="2"/>
  <c r="M2261" i="2"/>
  <c r="I2261" i="2"/>
  <c r="J2261" i="2" s="1"/>
  <c r="L2261" i="2" s="1"/>
  <c r="H2261" i="2"/>
  <c r="D2261" i="2"/>
  <c r="N2260" i="2"/>
  <c r="M2260" i="2"/>
  <c r="J2260" i="2"/>
  <c r="L2260" i="2" s="1"/>
  <c r="I2260" i="2"/>
  <c r="H2260" i="2"/>
  <c r="D2260" i="2"/>
  <c r="N2259" i="2"/>
  <c r="M2259" i="2"/>
  <c r="I2259" i="2"/>
  <c r="H2259" i="2"/>
  <c r="J2259" i="2" s="1"/>
  <c r="L2259" i="2" s="1"/>
  <c r="D2259" i="2"/>
  <c r="N2258" i="2"/>
  <c r="M2258" i="2"/>
  <c r="I2258" i="2"/>
  <c r="H2258" i="2"/>
  <c r="J2258" i="2" s="1"/>
  <c r="L2258" i="2" s="1"/>
  <c r="D2258" i="2"/>
  <c r="N2257" i="2"/>
  <c r="M2257" i="2"/>
  <c r="I2257" i="2"/>
  <c r="J2257" i="2" s="1"/>
  <c r="L2257" i="2" s="1"/>
  <c r="H2257" i="2"/>
  <c r="D2257" i="2"/>
  <c r="N2256" i="2"/>
  <c r="M2256" i="2"/>
  <c r="J2256" i="2"/>
  <c r="L2256" i="2" s="1"/>
  <c r="I2256" i="2"/>
  <c r="H2256" i="2"/>
  <c r="D2256" i="2"/>
  <c r="N2255" i="2"/>
  <c r="M2255" i="2"/>
  <c r="I2255" i="2"/>
  <c r="H2255" i="2"/>
  <c r="J2255" i="2" s="1"/>
  <c r="L2255" i="2" s="1"/>
  <c r="D2255" i="2"/>
  <c r="N2254" i="2"/>
  <c r="M2254" i="2"/>
  <c r="I2254" i="2"/>
  <c r="H2254" i="2"/>
  <c r="J2254" i="2" s="1"/>
  <c r="L2254" i="2" s="1"/>
  <c r="D2254" i="2"/>
  <c r="N2253" i="2"/>
  <c r="M2253" i="2"/>
  <c r="I2253" i="2"/>
  <c r="J2253" i="2" s="1"/>
  <c r="L2253" i="2" s="1"/>
  <c r="H2253" i="2"/>
  <c r="D2253" i="2"/>
  <c r="N2252" i="2"/>
  <c r="M2252" i="2"/>
  <c r="J2252" i="2"/>
  <c r="L2252" i="2" s="1"/>
  <c r="I2252" i="2"/>
  <c r="H2252" i="2"/>
  <c r="D2252" i="2"/>
  <c r="N2251" i="2"/>
  <c r="M2251" i="2"/>
  <c r="I2251" i="2"/>
  <c r="H2251" i="2"/>
  <c r="J2251" i="2" s="1"/>
  <c r="L2251" i="2" s="1"/>
  <c r="D2251" i="2"/>
  <c r="N2250" i="2"/>
  <c r="M2250" i="2"/>
  <c r="I2250" i="2"/>
  <c r="H2250" i="2"/>
  <c r="J2250" i="2" s="1"/>
  <c r="L2250" i="2" s="1"/>
  <c r="D2250" i="2"/>
  <c r="N2249" i="2"/>
  <c r="M2249" i="2"/>
  <c r="I2249" i="2"/>
  <c r="H2249" i="2"/>
  <c r="J2249" i="2" s="1"/>
  <c r="L2249" i="2" s="1"/>
  <c r="D2249" i="2"/>
  <c r="N2248" i="2"/>
  <c r="M2248" i="2"/>
  <c r="J2248" i="2"/>
  <c r="L2248" i="2" s="1"/>
  <c r="I2248" i="2"/>
  <c r="H2248" i="2"/>
  <c r="D2248" i="2"/>
  <c r="N2247" i="2"/>
  <c r="M2247" i="2"/>
  <c r="I2247" i="2"/>
  <c r="H2247" i="2"/>
  <c r="J2247" i="2" s="1"/>
  <c r="L2247" i="2" s="1"/>
  <c r="D2247" i="2"/>
  <c r="N2246" i="2"/>
  <c r="M2246" i="2"/>
  <c r="I2246" i="2"/>
  <c r="H2246" i="2"/>
  <c r="J2246" i="2" s="1"/>
  <c r="L2246" i="2" s="1"/>
  <c r="D2246" i="2"/>
  <c r="N2245" i="2"/>
  <c r="M2245" i="2"/>
  <c r="I2245" i="2"/>
  <c r="H2245" i="2"/>
  <c r="J2245" i="2" s="1"/>
  <c r="L2245" i="2" s="1"/>
  <c r="D2245" i="2"/>
  <c r="N2244" i="2"/>
  <c r="M2244" i="2"/>
  <c r="J2244" i="2"/>
  <c r="L2244" i="2" s="1"/>
  <c r="I2244" i="2"/>
  <c r="H2244" i="2"/>
  <c r="D2244" i="2"/>
  <c r="N2243" i="2"/>
  <c r="M2243" i="2"/>
  <c r="I2243" i="2"/>
  <c r="H2243" i="2"/>
  <c r="J2243" i="2" s="1"/>
  <c r="L2243" i="2" s="1"/>
  <c r="D2243" i="2"/>
  <c r="N2242" i="2"/>
  <c r="M2242" i="2"/>
  <c r="I2242" i="2"/>
  <c r="H2242" i="2"/>
  <c r="J2242" i="2" s="1"/>
  <c r="L2242" i="2" s="1"/>
  <c r="D2242" i="2"/>
  <c r="N2241" i="2"/>
  <c r="M2241" i="2"/>
  <c r="I2241" i="2"/>
  <c r="H2241" i="2"/>
  <c r="J2241" i="2" s="1"/>
  <c r="L2241" i="2" s="1"/>
  <c r="D2241" i="2"/>
  <c r="N2240" i="2"/>
  <c r="M2240" i="2"/>
  <c r="J2240" i="2"/>
  <c r="L2240" i="2" s="1"/>
  <c r="I2240" i="2"/>
  <c r="H2240" i="2"/>
  <c r="D2240" i="2"/>
  <c r="N2239" i="2"/>
  <c r="M2239" i="2"/>
  <c r="I2239" i="2"/>
  <c r="H2239" i="2"/>
  <c r="J2239" i="2" s="1"/>
  <c r="L2239" i="2" s="1"/>
  <c r="D2239" i="2"/>
  <c r="N2238" i="2"/>
  <c r="M2238" i="2"/>
  <c r="I2238" i="2"/>
  <c r="H2238" i="2"/>
  <c r="J2238" i="2" s="1"/>
  <c r="L2238" i="2" s="1"/>
  <c r="D2238" i="2"/>
  <c r="N2237" i="2"/>
  <c r="M2237" i="2"/>
  <c r="I2237" i="2"/>
  <c r="H2237" i="2"/>
  <c r="J2237" i="2" s="1"/>
  <c r="L2237" i="2" s="1"/>
  <c r="D2237" i="2"/>
  <c r="N2236" i="2"/>
  <c r="M2236" i="2"/>
  <c r="J2236" i="2"/>
  <c r="L2236" i="2" s="1"/>
  <c r="I2236" i="2"/>
  <c r="H2236" i="2"/>
  <c r="D2236" i="2"/>
  <c r="N2235" i="2"/>
  <c r="M2235" i="2"/>
  <c r="I2235" i="2"/>
  <c r="H2235" i="2"/>
  <c r="J2235" i="2" s="1"/>
  <c r="L2235" i="2" s="1"/>
  <c r="D2235" i="2"/>
  <c r="N2234" i="2"/>
  <c r="M2234" i="2"/>
  <c r="I2234" i="2"/>
  <c r="H2234" i="2"/>
  <c r="J2234" i="2" s="1"/>
  <c r="L2234" i="2" s="1"/>
  <c r="D2234" i="2"/>
  <c r="N2233" i="2"/>
  <c r="M2233" i="2"/>
  <c r="I2233" i="2"/>
  <c r="H2233" i="2"/>
  <c r="J2233" i="2" s="1"/>
  <c r="L2233" i="2" s="1"/>
  <c r="D2233" i="2"/>
  <c r="N2232" i="2"/>
  <c r="M2232" i="2"/>
  <c r="J2232" i="2"/>
  <c r="L2232" i="2" s="1"/>
  <c r="I2232" i="2"/>
  <c r="H2232" i="2"/>
  <c r="D2232" i="2"/>
  <c r="N2231" i="2"/>
  <c r="M2231" i="2"/>
  <c r="I2231" i="2"/>
  <c r="H2231" i="2"/>
  <c r="J2231" i="2" s="1"/>
  <c r="L2231" i="2" s="1"/>
  <c r="D2231" i="2"/>
  <c r="N2230" i="2"/>
  <c r="M2230" i="2"/>
  <c r="I2230" i="2"/>
  <c r="H2230" i="2"/>
  <c r="J2230" i="2" s="1"/>
  <c r="L2230" i="2" s="1"/>
  <c r="D2230" i="2"/>
  <c r="N2229" i="2"/>
  <c r="M2229" i="2"/>
  <c r="I2229" i="2"/>
  <c r="H2229" i="2"/>
  <c r="J2229" i="2" s="1"/>
  <c r="L2229" i="2" s="1"/>
  <c r="D2229" i="2"/>
  <c r="N2228" i="2"/>
  <c r="M2228" i="2"/>
  <c r="J2228" i="2"/>
  <c r="L2228" i="2" s="1"/>
  <c r="I2228" i="2"/>
  <c r="H2228" i="2"/>
  <c r="D2228" i="2"/>
  <c r="N2227" i="2"/>
  <c r="M2227" i="2"/>
  <c r="I2227" i="2"/>
  <c r="H2227" i="2"/>
  <c r="J2227" i="2" s="1"/>
  <c r="L2227" i="2" s="1"/>
  <c r="D2227" i="2"/>
  <c r="N2226" i="2"/>
  <c r="M2226" i="2"/>
  <c r="I2226" i="2"/>
  <c r="H2226" i="2"/>
  <c r="J2226" i="2" s="1"/>
  <c r="L2226" i="2" s="1"/>
  <c r="D2226" i="2"/>
  <c r="N2225" i="2"/>
  <c r="M2225" i="2"/>
  <c r="I2225" i="2"/>
  <c r="H2225" i="2"/>
  <c r="J2225" i="2" s="1"/>
  <c r="L2225" i="2" s="1"/>
  <c r="D2225" i="2"/>
  <c r="N2224" i="2"/>
  <c r="M2224" i="2"/>
  <c r="J2224" i="2"/>
  <c r="L2224" i="2" s="1"/>
  <c r="I2224" i="2"/>
  <c r="H2224" i="2"/>
  <c r="D2224" i="2"/>
  <c r="N2223" i="2"/>
  <c r="M2223" i="2"/>
  <c r="I2223" i="2"/>
  <c r="H2223" i="2"/>
  <c r="J2223" i="2" s="1"/>
  <c r="L2223" i="2" s="1"/>
  <c r="D2223" i="2"/>
  <c r="N2222" i="2"/>
  <c r="M2222" i="2"/>
  <c r="I2222" i="2"/>
  <c r="H2222" i="2"/>
  <c r="J2222" i="2" s="1"/>
  <c r="L2222" i="2" s="1"/>
  <c r="D2222" i="2"/>
  <c r="N2221" i="2"/>
  <c r="M2221" i="2"/>
  <c r="I2221" i="2"/>
  <c r="H2221" i="2"/>
  <c r="J2221" i="2" s="1"/>
  <c r="L2221" i="2" s="1"/>
  <c r="D2221" i="2"/>
  <c r="N2220" i="2"/>
  <c r="M2220" i="2"/>
  <c r="J2220" i="2"/>
  <c r="L2220" i="2" s="1"/>
  <c r="I2220" i="2"/>
  <c r="H2220" i="2"/>
  <c r="D2220" i="2"/>
  <c r="N2219" i="2"/>
  <c r="M2219" i="2"/>
  <c r="I2219" i="2"/>
  <c r="H2219" i="2"/>
  <c r="J2219" i="2" s="1"/>
  <c r="L2219" i="2" s="1"/>
  <c r="D2219" i="2"/>
  <c r="N2218" i="2"/>
  <c r="M2218" i="2"/>
  <c r="I2218" i="2"/>
  <c r="H2218" i="2"/>
  <c r="J2218" i="2" s="1"/>
  <c r="L2218" i="2" s="1"/>
  <c r="D2218" i="2"/>
  <c r="N2217" i="2"/>
  <c r="M2217" i="2"/>
  <c r="I2217" i="2"/>
  <c r="H2217" i="2"/>
  <c r="J2217" i="2" s="1"/>
  <c r="L2217" i="2" s="1"/>
  <c r="D2217" i="2"/>
  <c r="N2216" i="2"/>
  <c r="M2216" i="2"/>
  <c r="J2216" i="2"/>
  <c r="L2216" i="2" s="1"/>
  <c r="I2216" i="2"/>
  <c r="H2216" i="2"/>
  <c r="D2216" i="2"/>
  <c r="N2215" i="2"/>
  <c r="M2215" i="2"/>
  <c r="I2215" i="2"/>
  <c r="H2215" i="2"/>
  <c r="J2215" i="2" s="1"/>
  <c r="L2215" i="2" s="1"/>
  <c r="D2215" i="2"/>
  <c r="N2214" i="2"/>
  <c r="M2214" i="2"/>
  <c r="I2214" i="2"/>
  <c r="H2214" i="2"/>
  <c r="J2214" i="2" s="1"/>
  <c r="L2214" i="2" s="1"/>
  <c r="D2214" i="2"/>
  <c r="N2213" i="2"/>
  <c r="M2213" i="2"/>
  <c r="I2213" i="2"/>
  <c r="H2213" i="2"/>
  <c r="J2213" i="2" s="1"/>
  <c r="L2213" i="2" s="1"/>
  <c r="D2213" i="2"/>
  <c r="N2212" i="2"/>
  <c r="M2212" i="2"/>
  <c r="J2212" i="2"/>
  <c r="L2212" i="2" s="1"/>
  <c r="I2212" i="2"/>
  <c r="H2212" i="2"/>
  <c r="D2212" i="2"/>
  <c r="N2211" i="2"/>
  <c r="M2211" i="2"/>
  <c r="I2211" i="2"/>
  <c r="H2211" i="2"/>
  <c r="J2211" i="2" s="1"/>
  <c r="L2211" i="2" s="1"/>
  <c r="D2211" i="2"/>
  <c r="N2210" i="2"/>
  <c r="M2210" i="2"/>
  <c r="I2210" i="2"/>
  <c r="H2210" i="2"/>
  <c r="J2210" i="2" s="1"/>
  <c r="L2210" i="2" s="1"/>
  <c r="D2210" i="2"/>
  <c r="N2209" i="2"/>
  <c r="M2209" i="2"/>
  <c r="I2209" i="2"/>
  <c r="H2209" i="2"/>
  <c r="J2209" i="2" s="1"/>
  <c r="L2209" i="2" s="1"/>
  <c r="D2209" i="2"/>
  <c r="N2208" i="2"/>
  <c r="M2208" i="2"/>
  <c r="J2208" i="2"/>
  <c r="L2208" i="2" s="1"/>
  <c r="I2208" i="2"/>
  <c r="H2208" i="2"/>
  <c r="D2208" i="2"/>
  <c r="N2207" i="2"/>
  <c r="M2207" i="2"/>
  <c r="I2207" i="2"/>
  <c r="H2207" i="2"/>
  <c r="J2207" i="2" s="1"/>
  <c r="L2207" i="2" s="1"/>
  <c r="D2207" i="2"/>
  <c r="N2206" i="2"/>
  <c r="M2206" i="2"/>
  <c r="I2206" i="2"/>
  <c r="H2206" i="2"/>
  <c r="J2206" i="2" s="1"/>
  <c r="L2206" i="2" s="1"/>
  <c r="D2206" i="2"/>
  <c r="N2205" i="2"/>
  <c r="M2205" i="2"/>
  <c r="I2205" i="2"/>
  <c r="H2205" i="2"/>
  <c r="J2205" i="2" s="1"/>
  <c r="L2205" i="2" s="1"/>
  <c r="D2205" i="2"/>
  <c r="N2204" i="2"/>
  <c r="M2204" i="2"/>
  <c r="J2204" i="2"/>
  <c r="L2204" i="2" s="1"/>
  <c r="I2204" i="2"/>
  <c r="H2204" i="2"/>
  <c r="D2204" i="2"/>
  <c r="N2203" i="2"/>
  <c r="M2203" i="2"/>
  <c r="I2203" i="2"/>
  <c r="H2203" i="2"/>
  <c r="J2203" i="2" s="1"/>
  <c r="L2203" i="2" s="1"/>
  <c r="D2203" i="2"/>
  <c r="N2202" i="2"/>
  <c r="M2202" i="2"/>
  <c r="I2202" i="2"/>
  <c r="H2202" i="2"/>
  <c r="J2202" i="2" s="1"/>
  <c r="L2202" i="2" s="1"/>
  <c r="D2202" i="2"/>
  <c r="N2201" i="2"/>
  <c r="M2201" i="2"/>
  <c r="I2201" i="2"/>
  <c r="H2201" i="2"/>
  <c r="J2201" i="2" s="1"/>
  <c r="L2201" i="2" s="1"/>
  <c r="D2201" i="2"/>
  <c r="N2200" i="2"/>
  <c r="M2200" i="2"/>
  <c r="J2200" i="2"/>
  <c r="L2200" i="2" s="1"/>
  <c r="I2200" i="2"/>
  <c r="H2200" i="2"/>
  <c r="D2200" i="2"/>
  <c r="N2199" i="2"/>
  <c r="M2199" i="2"/>
  <c r="I2199" i="2"/>
  <c r="H2199" i="2"/>
  <c r="J2199" i="2" s="1"/>
  <c r="L2199" i="2" s="1"/>
  <c r="D2199" i="2"/>
  <c r="N2198" i="2"/>
  <c r="M2198" i="2"/>
  <c r="I2198" i="2"/>
  <c r="H2198" i="2"/>
  <c r="J2198" i="2" s="1"/>
  <c r="L2198" i="2" s="1"/>
  <c r="D2198" i="2"/>
  <c r="N2197" i="2"/>
  <c r="M2197" i="2"/>
  <c r="I2197" i="2"/>
  <c r="H2197" i="2"/>
  <c r="J2197" i="2" s="1"/>
  <c r="L2197" i="2" s="1"/>
  <c r="D2197" i="2"/>
  <c r="N2196" i="2"/>
  <c r="M2196" i="2"/>
  <c r="J2196" i="2"/>
  <c r="L2196" i="2" s="1"/>
  <c r="I2196" i="2"/>
  <c r="H2196" i="2"/>
  <c r="D2196" i="2"/>
  <c r="N2195" i="2"/>
  <c r="M2195" i="2"/>
  <c r="I2195" i="2"/>
  <c r="H2195" i="2"/>
  <c r="J2195" i="2" s="1"/>
  <c r="L2195" i="2" s="1"/>
  <c r="D2195" i="2"/>
  <c r="N2194" i="2"/>
  <c r="M2194" i="2"/>
  <c r="I2194" i="2"/>
  <c r="H2194" i="2"/>
  <c r="J2194" i="2" s="1"/>
  <c r="L2194" i="2" s="1"/>
  <c r="D2194" i="2"/>
  <c r="N2193" i="2"/>
  <c r="M2193" i="2"/>
  <c r="I2193" i="2"/>
  <c r="H2193" i="2"/>
  <c r="J2193" i="2" s="1"/>
  <c r="L2193" i="2" s="1"/>
  <c r="D2193" i="2"/>
  <c r="N2192" i="2"/>
  <c r="M2192" i="2"/>
  <c r="J2192" i="2"/>
  <c r="L2192" i="2" s="1"/>
  <c r="I2192" i="2"/>
  <c r="H2192" i="2"/>
  <c r="D2192" i="2"/>
  <c r="N2191" i="2"/>
  <c r="M2191" i="2"/>
  <c r="I2191" i="2"/>
  <c r="H2191" i="2"/>
  <c r="J2191" i="2" s="1"/>
  <c r="L2191" i="2" s="1"/>
  <c r="D2191" i="2"/>
  <c r="N2190" i="2"/>
  <c r="M2190" i="2"/>
  <c r="I2190" i="2"/>
  <c r="H2190" i="2"/>
  <c r="J2190" i="2" s="1"/>
  <c r="L2190" i="2" s="1"/>
  <c r="D2190" i="2"/>
  <c r="N2189" i="2"/>
  <c r="M2189" i="2"/>
  <c r="I2189" i="2"/>
  <c r="H2189" i="2"/>
  <c r="J2189" i="2" s="1"/>
  <c r="L2189" i="2" s="1"/>
  <c r="D2189" i="2"/>
  <c r="N2188" i="2"/>
  <c r="M2188" i="2"/>
  <c r="J2188" i="2"/>
  <c r="L2188" i="2" s="1"/>
  <c r="I2188" i="2"/>
  <c r="H2188" i="2"/>
  <c r="D2188" i="2"/>
  <c r="N2187" i="2"/>
  <c r="M2187" i="2"/>
  <c r="I2187" i="2"/>
  <c r="H2187" i="2"/>
  <c r="J2187" i="2" s="1"/>
  <c r="L2187" i="2" s="1"/>
  <c r="D2187" i="2"/>
  <c r="N2186" i="2"/>
  <c r="M2186" i="2"/>
  <c r="I2186" i="2"/>
  <c r="H2186" i="2"/>
  <c r="J2186" i="2" s="1"/>
  <c r="L2186" i="2" s="1"/>
  <c r="D2186" i="2"/>
  <c r="N2185" i="2"/>
  <c r="M2185" i="2"/>
  <c r="I2185" i="2"/>
  <c r="H2185" i="2"/>
  <c r="J2185" i="2" s="1"/>
  <c r="L2185" i="2" s="1"/>
  <c r="D2185" i="2"/>
  <c r="N2184" i="2"/>
  <c r="M2184" i="2"/>
  <c r="J2184" i="2"/>
  <c r="L2184" i="2" s="1"/>
  <c r="I2184" i="2"/>
  <c r="H2184" i="2"/>
  <c r="D2184" i="2"/>
  <c r="N2183" i="2"/>
  <c r="M2183" i="2"/>
  <c r="I2183" i="2"/>
  <c r="H2183" i="2"/>
  <c r="J2183" i="2" s="1"/>
  <c r="L2183" i="2" s="1"/>
  <c r="D2183" i="2"/>
  <c r="N2182" i="2"/>
  <c r="M2182" i="2"/>
  <c r="I2182" i="2"/>
  <c r="H2182" i="2"/>
  <c r="J2182" i="2" s="1"/>
  <c r="L2182" i="2" s="1"/>
  <c r="D2182" i="2"/>
  <c r="N2181" i="2"/>
  <c r="M2181" i="2"/>
  <c r="I2181" i="2"/>
  <c r="H2181" i="2"/>
  <c r="J2181" i="2" s="1"/>
  <c r="L2181" i="2" s="1"/>
  <c r="D2181" i="2"/>
  <c r="N2180" i="2"/>
  <c r="M2180" i="2"/>
  <c r="J2180" i="2"/>
  <c r="L2180" i="2" s="1"/>
  <c r="I2180" i="2"/>
  <c r="H2180" i="2"/>
  <c r="D2180" i="2"/>
  <c r="N2179" i="2"/>
  <c r="M2179" i="2"/>
  <c r="I2179" i="2"/>
  <c r="H2179" i="2"/>
  <c r="J2179" i="2" s="1"/>
  <c r="L2179" i="2" s="1"/>
  <c r="D2179" i="2"/>
  <c r="N2178" i="2"/>
  <c r="M2178" i="2"/>
  <c r="I2178" i="2"/>
  <c r="H2178" i="2"/>
  <c r="J2178" i="2" s="1"/>
  <c r="L2178" i="2" s="1"/>
  <c r="D2178" i="2"/>
  <c r="N2177" i="2"/>
  <c r="M2177" i="2"/>
  <c r="I2177" i="2"/>
  <c r="H2177" i="2"/>
  <c r="J2177" i="2" s="1"/>
  <c r="L2177" i="2" s="1"/>
  <c r="D2177" i="2"/>
  <c r="N2176" i="2"/>
  <c r="M2176" i="2"/>
  <c r="J2176" i="2"/>
  <c r="L2176" i="2" s="1"/>
  <c r="I2176" i="2"/>
  <c r="H2176" i="2"/>
  <c r="D2176" i="2"/>
  <c r="N2175" i="2"/>
  <c r="M2175" i="2"/>
  <c r="I2175" i="2"/>
  <c r="H2175" i="2"/>
  <c r="J2175" i="2" s="1"/>
  <c r="L2175" i="2" s="1"/>
  <c r="D2175" i="2"/>
  <c r="N2174" i="2"/>
  <c r="M2174" i="2"/>
  <c r="I2174" i="2"/>
  <c r="H2174" i="2"/>
  <c r="J2174" i="2" s="1"/>
  <c r="L2174" i="2" s="1"/>
  <c r="D2174" i="2"/>
  <c r="N2173" i="2"/>
  <c r="M2173" i="2"/>
  <c r="I2173" i="2"/>
  <c r="H2173" i="2"/>
  <c r="J2173" i="2" s="1"/>
  <c r="L2173" i="2" s="1"/>
  <c r="D2173" i="2"/>
  <c r="N2172" i="2"/>
  <c r="M2172" i="2"/>
  <c r="J2172" i="2"/>
  <c r="L2172" i="2" s="1"/>
  <c r="I2172" i="2"/>
  <c r="H2172" i="2"/>
  <c r="D2172" i="2"/>
  <c r="N2171" i="2"/>
  <c r="M2171" i="2"/>
  <c r="I2171" i="2"/>
  <c r="H2171" i="2"/>
  <c r="J2171" i="2" s="1"/>
  <c r="L2171" i="2" s="1"/>
  <c r="D2171" i="2"/>
  <c r="N2170" i="2"/>
  <c r="M2170" i="2"/>
  <c r="I2170" i="2"/>
  <c r="H2170" i="2"/>
  <c r="J2170" i="2" s="1"/>
  <c r="L2170" i="2" s="1"/>
  <c r="D2170" i="2"/>
  <c r="N2169" i="2"/>
  <c r="M2169" i="2"/>
  <c r="I2169" i="2"/>
  <c r="H2169" i="2"/>
  <c r="J2169" i="2" s="1"/>
  <c r="L2169" i="2" s="1"/>
  <c r="D2169" i="2"/>
  <c r="N2168" i="2"/>
  <c r="M2168" i="2"/>
  <c r="J2168" i="2"/>
  <c r="L2168" i="2" s="1"/>
  <c r="I2168" i="2"/>
  <c r="H2168" i="2"/>
  <c r="D2168" i="2"/>
  <c r="N2167" i="2"/>
  <c r="M2167" i="2"/>
  <c r="I2167" i="2"/>
  <c r="H2167" i="2"/>
  <c r="J2167" i="2" s="1"/>
  <c r="L2167" i="2" s="1"/>
  <c r="D2167" i="2"/>
  <c r="N2166" i="2"/>
  <c r="M2166" i="2"/>
  <c r="I2166" i="2"/>
  <c r="H2166" i="2"/>
  <c r="J2166" i="2" s="1"/>
  <c r="L2166" i="2" s="1"/>
  <c r="D2166" i="2"/>
  <c r="N2165" i="2"/>
  <c r="M2165" i="2"/>
  <c r="I2165" i="2"/>
  <c r="H2165" i="2"/>
  <c r="J2165" i="2" s="1"/>
  <c r="L2165" i="2" s="1"/>
  <c r="D2165" i="2"/>
  <c r="N2164" i="2"/>
  <c r="M2164" i="2"/>
  <c r="J2164" i="2"/>
  <c r="L2164" i="2" s="1"/>
  <c r="I2164" i="2"/>
  <c r="H2164" i="2"/>
  <c r="D2164" i="2"/>
  <c r="N2163" i="2"/>
  <c r="M2163" i="2"/>
  <c r="I2163" i="2"/>
  <c r="H2163" i="2"/>
  <c r="J2163" i="2" s="1"/>
  <c r="L2163" i="2" s="1"/>
  <c r="D2163" i="2"/>
  <c r="N2162" i="2"/>
  <c r="M2162" i="2"/>
  <c r="I2162" i="2"/>
  <c r="H2162" i="2"/>
  <c r="J2162" i="2" s="1"/>
  <c r="L2162" i="2" s="1"/>
  <c r="D2162" i="2"/>
  <c r="N2161" i="2"/>
  <c r="M2161" i="2"/>
  <c r="I2161" i="2"/>
  <c r="J2161" i="2" s="1"/>
  <c r="L2161" i="2" s="1"/>
  <c r="H2161" i="2"/>
  <c r="D2161" i="2"/>
  <c r="N2160" i="2"/>
  <c r="M2160" i="2"/>
  <c r="J2160" i="2"/>
  <c r="L2160" i="2" s="1"/>
  <c r="I2160" i="2"/>
  <c r="H2160" i="2"/>
  <c r="D2160" i="2"/>
  <c r="N2159" i="2"/>
  <c r="M2159" i="2"/>
  <c r="I2159" i="2"/>
  <c r="H2159" i="2"/>
  <c r="J2159" i="2" s="1"/>
  <c r="L2159" i="2" s="1"/>
  <c r="D2159" i="2"/>
  <c r="N2158" i="2"/>
  <c r="M2158" i="2"/>
  <c r="I2158" i="2"/>
  <c r="H2158" i="2"/>
  <c r="J2158" i="2" s="1"/>
  <c r="L2158" i="2" s="1"/>
  <c r="D2158" i="2"/>
  <c r="N2157" i="2"/>
  <c r="M2157" i="2"/>
  <c r="I2157" i="2"/>
  <c r="J2157" i="2" s="1"/>
  <c r="L2157" i="2" s="1"/>
  <c r="H2157" i="2"/>
  <c r="D2157" i="2"/>
  <c r="N2156" i="2"/>
  <c r="M2156" i="2"/>
  <c r="J2156" i="2"/>
  <c r="L2156" i="2" s="1"/>
  <c r="I2156" i="2"/>
  <c r="H2156" i="2"/>
  <c r="D2156" i="2"/>
  <c r="N2155" i="2"/>
  <c r="M2155" i="2"/>
  <c r="I2155" i="2"/>
  <c r="H2155" i="2"/>
  <c r="J2155" i="2" s="1"/>
  <c r="L2155" i="2" s="1"/>
  <c r="D2155" i="2"/>
  <c r="N2154" i="2"/>
  <c r="M2154" i="2"/>
  <c r="I2154" i="2"/>
  <c r="H2154" i="2"/>
  <c r="J2154" i="2" s="1"/>
  <c r="L2154" i="2" s="1"/>
  <c r="D2154" i="2"/>
  <c r="N2153" i="2"/>
  <c r="M2153" i="2"/>
  <c r="I2153" i="2"/>
  <c r="J2153" i="2" s="1"/>
  <c r="L2153" i="2" s="1"/>
  <c r="H2153" i="2"/>
  <c r="D2153" i="2"/>
  <c r="N2152" i="2"/>
  <c r="M2152" i="2"/>
  <c r="J2152" i="2"/>
  <c r="L2152" i="2" s="1"/>
  <c r="I2152" i="2"/>
  <c r="H2152" i="2"/>
  <c r="D2152" i="2"/>
  <c r="N2151" i="2"/>
  <c r="M2151" i="2"/>
  <c r="I2151" i="2"/>
  <c r="H2151" i="2"/>
  <c r="J2151" i="2" s="1"/>
  <c r="L2151" i="2" s="1"/>
  <c r="D2151" i="2"/>
  <c r="N2150" i="2"/>
  <c r="M2150" i="2"/>
  <c r="I2150" i="2"/>
  <c r="H2150" i="2"/>
  <c r="J2150" i="2" s="1"/>
  <c r="L2150" i="2" s="1"/>
  <c r="D2150" i="2"/>
  <c r="N2149" i="2"/>
  <c r="M2149" i="2"/>
  <c r="I2149" i="2"/>
  <c r="J2149" i="2" s="1"/>
  <c r="L2149" i="2" s="1"/>
  <c r="H2149" i="2"/>
  <c r="D2149" i="2"/>
  <c r="N2148" i="2"/>
  <c r="M2148" i="2"/>
  <c r="J2148" i="2"/>
  <c r="L2148" i="2" s="1"/>
  <c r="I2148" i="2"/>
  <c r="H2148" i="2"/>
  <c r="D2148" i="2"/>
  <c r="N2147" i="2"/>
  <c r="M2147" i="2"/>
  <c r="I2147" i="2"/>
  <c r="H2147" i="2"/>
  <c r="J2147" i="2" s="1"/>
  <c r="L2147" i="2" s="1"/>
  <c r="D2147" i="2"/>
  <c r="N2146" i="2"/>
  <c r="M2146" i="2"/>
  <c r="I2146" i="2"/>
  <c r="H2146" i="2"/>
  <c r="J2146" i="2" s="1"/>
  <c r="L2146" i="2" s="1"/>
  <c r="D2146" i="2"/>
  <c r="N2145" i="2"/>
  <c r="M2145" i="2"/>
  <c r="I2145" i="2"/>
  <c r="J2145" i="2" s="1"/>
  <c r="L2145" i="2" s="1"/>
  <c r="H2145" i="2"/>
  <c r="D2145" i="2"/>
  <c r="N2144" i="2"/>
  <c r="M2144" i="2"/>
  <c r="J2144" i="2"/>
  <c r="L2144" i="2" s="1"/>
  <c r="I2144" i="2"/>
  <c r="H2144" i="2"/>
  <c r="D2144" i="2"/>
  <c r="N2143" i="2"/>
  <c r="M2143" i="2"/>
  <c r="I2143" i="2"/>
  <c r="H2143" i="2"/>
  <c r="J2143" i="2" s="1"/>
  <c r="L2143" i="2" s="1"/>
  <c r="D2143" i="2"/>
  <c r="N2142" i="2"/>
  <c r="M2142" i="2"/>
  <c r="I2142" i="2"/>
  <c r="H2142" i="2"/>
  <c r="J2142" i="2" s="1"/>
  <c r="L2142" i="2" s="1"/>
  <c r="D2142" i="2"/>
  <c r="N2141" i="2"/>
  <c r="M2141" i="2"/>
  <c r="I2141" i="2"/>
  <c r="J2141" i="2" s="1"/>
  <c r="L2141" i="2" s="1"/>
  <c r="H2141" i="2"/>
  <c r="D2141" i="2"/>
  <c r="N2140" i="2"/>
  <c r="M2140" i="2"/>
  <c r="J2140" i="2"/>
  <c r="L2140" i="2" s="1"/>
  <c r="I2140" i="2"/>
  <c r="H2140" i="2"/>
  <c r="D2140" i="2"/>
  <c r="N2139" i="2"/>
  <c r="M2139" i="2"/>
  <c r="I2139" i="2"/>
  <c r="H2139" i="2"/>
  <c r="J2139" i="2" s="1"/>
  <c r="L2139" i="2" s="1"/>
  <c r="D2139" i="2"/>
  <c r="N2138" i="2"/>
  <c r="M2138" i="2"/>
  <c r="I2138" i="2"/>
  <c r="H2138" i="2"/>
  <c r="J2138" i="2" s="1"/>
  <c r="L2138" i="2" s="1"/>
  <c r="D2138" i="2"/>
  <c r="N2137" i="2"/>
  <c r="M2137" i="2"/>
  <c r="I2137" i="2"/>
  <c r="J2137" i="2" s="1"/>
  <c r="L2137" i="2" s="1"/>
  <c r="H2137" i="2"/>
  <c r="D2137" i="2"/>
  <c r="N2136" i="2"/>
  <c r="M2136" i="2"/>
  <c r="J2136" i="2"/>
  <c r="L2136" i="2" s="1"/>
  <c r="I2136" i="2"/>
  <c r="H2136" i="2"/>
  <c r="D2136" i="2"/>
  <c r="N2135" i="2"/>
  <c r="M2135" i="2"/>
  <c r="I2135" i="2"/>
  <c r="H2135" i="2"/>
  <c r="J2135" i="2" s="1"/>
  <c r="L2135" i="2" s="1"/>
  <c r="D2135" i="2"/>
  <c r="N2134" i="2"/>
  <c r="M2134" i="2"/>
  <c r="I2134" i="2"/>
  <c r="H2134" i="2"/>
  <c r="J2134" i="2" s="1"/>
  <c r="L2134" i="2" s="1"/>
  <c r="D2134" i="2"/>
  <c r="N2133" i="2"/>
  <c r="M2133" i="2"/>
  <c r="I2133" i="2"/>
  <c r="J2133" i="2" s="1"/>
  <c r="L2133" i="2" s="1"/>
  <c r="H2133" i="2"/>
  <c r="D2133" i="2"/>
  <c r="N2132" i="2"/>
  <c r="M2132" i="2"/>
  <c r="J2132" i="2"/>
  <c r="L2132" i="2" s="1"/>
  <c r="I2132" i="2"/>
  <c r="H2132" i="2"/>
  <c r="D2132" i="2"/>
  <c r="N2131" i="2"/>
  <c r="M2131" i="2"/>
  <c r="I2131" i="2"/>
  <c r="H2131" i="2"/>
  <c r="J2131" i="2" s="1"/>
  <c r="L2131" i="2" s="1"/>
  <c r="D2131" i="2"/>
  <c r="N2130" i="2"/>
  <c r="M2130" i="2"/>
  <c r="I2130" i="2"/>
  <c r="H2130" i="2"/>
  <c r="J2130" i="2" s="1"/>
  <c r="L2130" i="2" s="1"/>
  <c r="D2130" i="2"/>
  <c r="N2129" i="2"/>
  <c r="M2129" i="2"/>
  <c r="I2129" i="2"/>
  <c r="J2129" i="2" s="1"/>
  <c r="L2129" i="2" s="1"/>
  <c r="H2129" i="2"/>
  <c r="D2129" i="2"/>
  <c r="N2128" i="2"/>
  <c r="M2128" i="2"/>
  <c r="J2128" i="2"/>
  <c r="L2128" i="2" s="1"/>
  <c r="I2128" i="2"/>
  <c r="H2128" i="2"/>
  <c r="D2128" i="2"/>
  <c r="N2127" i="2"/>
  <c r="M2127" i="2"/>
  <c r="I2127" i="2"/>
  <c r="H2127" i="2"/>
  <c r="J2127" i="2" s="1"/>
  <c r="L2127" i="2" s="1"/>
  <c r="D2127" i="2"/>
  <c r="N2126" i="2"/>
  <c r="M2126" i="2"/>
  <c r="I2126" i="2"/>
  <c r="H2126" i="2"/>
  <c r="J2126" i="2" s="1"/>
  <c r="L2126" i="2" s="1"/>
  <c r="D2126" i="2"/>
  <c r="N2125" i="2"/>
  <c r="M2125" i="2"/>
  <c r="I2125" i="2"/>
  <c r="J2125" i="2" s="1"/>
  <c r="L2125" i="2" s="1"/>
  <c r="H2125" i="2"/>
  <c r="D2125" i="2"/>
  <c r="N2124" i="2"/>
  <c r="M2124" i="2"/>
  <c r="J2124" i="2"/>
  <c r="L2124" i="2" s="1"/>
  <c r="I2124" i="2"/>
  <c r="H2124" i="2"/>
  <c r="D2124" i="2"/>
  <c r="N2123" i="2"/>
  <c r="M2123" i="2"/>
  <c r="I2123" i="2"/>
  <c r="H2123" i="2"/>
  <c r="J2123" i="2" s="1"/>
  <c r="L2123" i="2" s="1"/>
  <c r="D2123" i="2"/>
  <c r="N2122" i="2"/>
  <c r="M2122" i="2"/>
  <c r="I2122" i="2"/>
  <c r="H2122" i="2"/>
  <c r="J2122" i="2" s="1"/>
  <c r="L2122" i="2" s="1"/>
  <c r="D2122" i="2"/>
  <c r="N2121" i="2"/>
  <c r="M2121" i="2"/>
  <c r="I2121" i="2"/>
  <c r="J2121" i="2" s="1"/>
  <c r="L2121" i="2" s="1"/>
  <c r="H2121" i="2"/>
  <c r="D2121" i="2"/>
  <c r="N2120" i="2"/>
  <c r="M2120" i="2"/>
  <c r="J2120" i="2"/>
  <c r="L2120" i="2" s="1"/>
  <c r="I2120" i="2"/>
  <c r="H2120" i="2"/>
  <c r="D2120" i="2"/>
  <c r="N2119" i="2"/>
  <c r="M2119" i="2"/>
  <c r="I2119" i="2"/>
  <c r="H2119" i="2"/>
  <c r="J2119" i="2" s="1"/>
  <c r="L2119" i="2" s="1"/>
  <c r="D2119" i="2"/>
  <c r="N2118" i="2"/>
  <c r="M2118" i="2"/>
  <c r="I2118" i="2"/>
  <c r="H2118" i="2"/>
  <c r="J2118" i="2" s="1"/>
  <c r="L2118" i="2" s="1"/>
  <c r="D2118" i="2"/>
  <c r="N2117" i="2"/>
  <c r="M2117" i="2"/>
  <c r="I2117" i="2"/>
  <c r="J2117" i="2" s="1"/>
  <c r="L2117" i="2" s="1"/>
  <c r="H2117" i="2"/>
  <c r="D2117" i="2"/>
  <c r="N2116" i="2"/>
  <c r="M2116" i="2"/>
  <c r="J2116" i="2"/>
  <c r="L2116" i="2" s="1"/>
  <c r="I2116" i="2"/>
  <c r="H2116" i="2"/>
  <c r="D2116" i="2"/>
  <c r="N2115" i="2"/>
  <c r="M2115" i="2"/>
  <c r="I2115" i="2"/>
  <c r="H2115" i="2"/>
  <c r="J2115" i="2" s="1"/>
  <c r="L2115" i="2" s="1"/>
  <c r="D2115" i="2"/>
  <c r="N2114" i="2"/>
  <c r="M2114" i="2"/>
  <c r="I2114" i="2"/>
  <c r="H2114" i="2"/>
  <c r="J2114" i="2" s="1"/>
  <c r="L2114" i="2" s="1"/>
  <c r="D2114" i="2"/>
  <c r="N2113" i="2"/>
  <c r="M2113" i="2"/>
  <c r="I2113" i="2"/>
  <c r="J2113" i="2" s="1"/>
  <c r="L2113" i="2" s="1"/>
  <c r="H2113" i="2"/>
  <c r="D2113" i="2"/>
  <c r="N2112" i="2"/>
  <c r="M2112" i="2"/>
  <c r="J2112" i="2"/>
  <c r="L2112" i="2" s="1"/>
  <c r="I2112" i="2"/>
  <c r="H2112" i="2"/>
  <c r="D2112" i="2"/>
  <c r="N2111" i="2"/>
  <c r="M2111" i="2"/>
  <c r="I2111" i="2"/>
  <c r="H2111" i="2"/>
  <c r="J2111" i="2" s="1"/>
  <c r="L2111" i="2" s="1"/>
  <c r="D2111" i="2"/>
  <c r="N2110" i="2"/>
  <c r="M2110" i="2"/>
  <c r="I2110" i="2"/>
  <c r="H2110" i="2"/>
  <c r="J2110" i="2" s="1"/>
  <c r="L2110" i="2" s="1"/>
  <c r="D2110" i="2"/>
  <c r="N2109" i="2"/>
  <c r="M2109" i="2"/>
  <c r="I2109" i="2"/>
  <c r="J2109" i="2" s="1"/>
  <c r="L2109" i="2" s="1"/>
  <c r="H2109" i="2"/>
  <c r="D2109" i="2"/>
  <c r="N2108" i="2"/>
  <c r="M2108" i="2"/>
  <c r="J2108" i="2"/>
  <c r="L2108" i="2" s="1"/>
  <c r="I2108" i="2"/>
  <c r="H2108" i="2"/>
  <c r="D2108" i="2"/>
  <c r="N2107" i="2"/>
  <c r="M2107" i="2"/>
  <c r="I2107" i="2"/>
  <c r="H2107" i="2"/>
  <c r="J2107" i="2" s="1"/>
  <c r="L2107" i="2" s="1"/>
  <c r="D2107" i="2"/>
  <c r="N2106" i="2"/>
  <c r="M2106" i="2"/>
  <c r="I2106" i="2"/>
  <c r="H2106" i="2"/>
  <c r="J2106" i="2" s="1"/>
  <c r="L2106" i="2" s="1"/>
  <c r="D2106" i="2"/>
  <c r="N2105" i="2"/>
  <c r="M2105" i="2"/>
  <c r="I2105" i="2"/>
  <c r="J2105" i="2" s="1"/>
  <c r="L2105" i="2" s="1"/>
  <c r="H2105" i="2"/>
  <c r="D2105" i="2"/>
  <c r="N2104" i="2"/>
  <c r="M2104" i="2"/>
  <c r="J2104" i="2"/>
  <c r="L2104" i="2" s="1"/>
  <c r="I2104" i="2"/>
  <c r="H2104" i="2"/>
  <c r="D2104" i="2"/>
  <c r="N2103" i="2"/>
  <c r="M2103" i="2"/>
  <c r="I2103" i="2"/>
  <c r="H2103" i="2"/>
  <c r="J2103" i="2" s="1"/>
  <c r="L2103" i="2" s="1"/>
  <c r="D2103" i="2"/>
  <c r="N2102" i="2"/>
  <c r="M2102" i="2"/>
  <c r="I2102" i="2"/>
  <c r="H2102" i="2"/>
  <c r="J2102" i="2" s="1"/>
  <c r="L2102" i="2" s="1"/>
  <c r="D2102" i="2"/>
  <c r="N2101" i="2"/>
  <c r="M2101" i="2"/>
  <c r="I2101" i="2"/>
  <c r="J2101" i="2" s="1"/>
  <c r="L2101" i="2" s="1"/>
  <c r="H2101" i="2"/>
  <c r="D2101" i="2"/>
  <c r="N2100" i="2"/>
  <c r="M2100" i="2"/>
  <c r="J2100" i="2"/>
  <c r="L2100" i="2" s="1"/>
  <c r="I2100" i="2"/>
  <c r="H2100" i="2"/>
  <c r="D2100" i="2"/>
  <c r="N2099" i="2"/>
  <c r="M2099" i="2"/>
  <c r="I2099" i="2"/>
  <c r="H2099" i="2"/>
  <c r="J2099" i="2" s="1"/>
  <c r="L2099" i="2" s="1"/>
  <c r="D2099" i="2"/>
  <c r="N2098" i="2"/>
  <c r="M2098" i="2"/>
  <c r="I2098" i="2"/>
  <c r="H2098" i="2"/>
  <c r="J2098" i="2" s="1"/>
  <c r="L2098" i="2" s="1"/>
  <c r="D2098" i="2"/>
  <c r="N2097" i="2"/>
  <c r="M2097" i="2"/>
  <c r="I2097" i="2"/>
  <c r="J2097" i="2" s="1"/>
  <c r="L2097" i="2" s="1"/>
  <c r="H2097" i="2"/>
  <c r="D2097" i="2"/>
  <c r="N2096" i="2"/>
  <c r="M2096" i="2"/>
  <c r="J2096" i="2"/>
  <c r="L2096" i="2" s="1"/>
  <c r="I2096" i="2"/>
  <c r="H2096" i="2"/>
  <c r="D2096" i="2"/>
  <c r="N2095" i="2"/>
  <c r="M2095" i="2"/>
  <c r="I2095" i="2"/>
  <c r="H2095" i="2"/>
  <c r="J2095" i="2" s="1"/>
  <c r="L2095" i="2" s="1"/>
  <c r="D2095" i="2"/>
  <c r="N2094" i="2"/>
  <c r="M2094" i="2"/>
  <c r="I2094" i="2"/>
  <c r="H2094" i="2"/>
  <c r="J2094" i="2" s="1"/>
  <c r="L2094" i="2" s="1"/>
  <c r="D2094" i="2"/>
  <c r="N2093" i="2"/>
  <c r="M2093" i="2"/>
  <c r="I2093" i="2"/>
  <c r="J2093" i="2" s="1"/>
  <c r="L2093" i="2" s="1"/>
  <c r="H2093" i="2"/>
  <c r="D2093" i="2"/>
  <c r="N2092" i="2"/>
  <c r="M2092" i="2"/>
  <c r="J2092" i="2"/>
  <c r="L2092" i="2" s="1"/>
  <c r="I2092" i="2"/>
  <c r="H2092" i="2"/>
  <c r="D2092" i="2"/>
  <c r="N2091" i="2"/>
  <c r="M2091" i="2"/>
  <c r="I2091" i="2"/>
  <c r="H2091" i="2"/>
  <c r="J2091" i="2" s="1"/>
  <c r="L2091" i="2" s="1"/>
  <c r="D2091" i="2"/>
  <c r="N2090" i="2"/>
  <c r="M2090" i="2"/>
  <c r="I2090" i="2"/>
  <c r="H2090" i="2"/>
  <c r="J2090" i="2" s="1"/>
  <c r="L2090" i="2" s="1"/>
  <c r="D2090" i="2"/>
  <c r="N2089" i="2"/>
  <c r="M2089" i="2"/>
  <c r="I2089" i="2"/>
  <c r="J2089" i="2" s="1"/>
  <c r="L2089" i="2" s="1"/>
  <c r="H2089" i="2"/>
  <c r="D2089" i="2"/>
  <c r="N2088" i="2"/>
  <c r="M2088" i="2"/>
  <c r="J2088" i="2"/>
  <c r="L2088" i="2" s="1"/>
  <c r="I2088" i="2"/>
  <c r="H2088" i="2"/>
  <c r="D2088" i="2"/>
  <c r="N2087" i="2"/>
  <c r="M2087" i="2"/>
  <c r="I2087" i="2"/>
  <c r="H2087" i="2"/>
  <c r="J2087" i="2" s="1"/>
  <c r="L2087" i="2" s="1"/>
  <c r="D2087" i="2"/>
  <c r="N2086" i="2"/>
  <c r="M2086" i="2"/>
  <c r="I2086" i="2"/>
  <c r="H2086" i="2"/>
  <c r="J2086" i="2" s="1"/>
  <c r="L2086" i="2" s="1"/>
  <c r="D2086" i="2"/>
  <c r="N2085" i="2"/>
  <c r="M2085" i="2"/>
  <c r="I2085" i="2"/>
  <c r="J2085" i="2" s="1"/>
  <c r="L2085" i="2" s="1"/>
  <c r="H2085" i="2"/>
  <c r="D2085" i="2"/>
  <c r="N2084" i="2"/>
  <c r="M2084" i="2"/>
  <c r="J2084" i="2"/>
  <c r="L2084" i="2" s="1"/>
  <c r="I2084" i="2"/>
  <c r="H2084" i="2"/>
  <c r="D2084" i="2"/>
  <c r="N2083" i="2"/>
  <c r="M2083" i="2"/>
  <c r="I2083" i="2"/>
  <c r="H2083" i="2"/>
  <c r="J2083" i="2" s="1"/>
  <c r="L2083" i="2" s="1"/>
  <c r="D2083" i="2"/>
  <c r="N2082" i="2"/>
  <c r="M2082" i="2"/>
  <c r="I2082" i="2"/>
  <c r="H2082" i="2"/>
  <c r="J2082" i="2" s="1"/>
  <c r="L2082" i="2" s="1"/>
  <c r="D2082" i="2"/>
  <c r="N2081" i="2"/>
  <c r="M2081" i="2"/>
  <c r="I2081" i="2"/>
  <c r="J2081" i="2" s="1"/>
  <c r="L2081" i="2" s="1"/>
  <c r="H2081" i="2"/>
  <c r="D2081" i="2"/>
  <c r="N2080" i="2"/>
  <c r="M2080" i="2"/>
  <c r="J2080" i="2"/>
  <c r="L2080" i="2" s="1"/>
  <c r="I2080" i="2"/>
  <c r="H2080" i="2"/>
  <c r="D2080" i="2"/>
  <c r="N2079" i="2"/>
  <c r="M2079" i="2"/>
  <c r="I2079" i="2"/>
  <c r="H2079" i="2"/>
  <c r="J2079" i="2" s="1"/>
  <c r="L2079" i="2" s="1"/>
  <c r="D2079" i="2"/>
  <c r="N2078" i="2"/>
  <c r="M2078" i="2"/>
  <c r="I2078" i="2"/>
  <c r="H2078" i="2"/>
  <c r="J2078" i="2" s="1"/>
  <c r="L2078" i="2" s="1"/>
  <c r="D2078" i="2"/>
  <c r="N2077" i="2"/>
  <c r="M2077" i="2"/>
  <c r="I2077" i="2"/>
  <c r="J2077" i="2" s="1"/>
  <c r="L2077" i="2" s="1"/>
  <c r="H2077" i="2"/>
  <c r="D2077" i="2"/>
  <c r="N2076" i="2"/>
  <c r="M2076" i="2"/>
  <c r="J2076" i="2"/>
  <c r="L2076" i="2" s="1"/>
  <c r="I2076" i="2"/>
  <c r="H2076" i="2"/>
  <c r="D2076" i="2"/>
  <c r="N2075" i="2"/>
  <c r="M2075" i="2"/>
  <c r="I2075" i="2"/>
  <c r="H2075" i="2"/>
  <c r="J2075" i="2" s="1"/>
  <c r="L2075" i="2" s="1"/>
  <c r="D2075" i="2"/>
  <c r="N2074" i="2"/>
  <c r="M2074" i="2"/>
  <c r="I2074" i="2"/>
  <c r="H2074" i="2"/>
  <c r="J2074" i="2" s="1"/>
  <c r="L2074" i="2" s="1"/>
  <c r="D2074" i="2"/>
  <c r="N2073" i="2"/>
  <c r="M2073" i="2"/>
  <c r="I2073" i="2"/>
  <c r="J2073" i="2" s="1"/>
  <c r="L2073" i="2" s="1"/>
  <c r="H2073" i="2"/>
  <c r="D2073" i="2"/>
  <c r="N2072" i="2"/>
  <c r="M2072" i="2"/>
  <c r="J2072" i="2"/>
  <c r="L2072" i="2" s="1"/>
  <c r="I2072" i="2"/>
  <c r="H2072" i="2"/>
  <c r="D2072" i="2"/>
  <c r="N2071" i="2"/>
  <c r="M2071" i="2"/>
  <c r="I2071" i="2"/>
  <c r="H2071" i="2"/>
  <c r="J2071" i="2" s="1"/>
  <c r="L2071" i="2" s="1"/>
  <c r="D2071" i="2"/>
  <c r="N2070" i="2"/>
  <c r="M2070" i="2"/>
  <c r="I2070" i="2"/>
  <c r="H2070" i="2"/>
  <c r="J2070" i="2" s="1"/>
  <c r="L2070" i="2" s="1"/>
  <c r="D2070" i="2"/>
  <c r="N2069" i="2"/>
  <c r="M2069" i="2"/>
  <c r="I2069" i="2"/>
  <c r="J2069" i="2" s="1"/>
  <c r="L2069" i="2" s="1"/>
  <c r="H2069" i="2"/>
  <c r="D2069" i="2"/>
  <c r="N2068" i="2"/>
  <c r="M2068" i="2"/>
  <c r="J2068" i="2"/>
  <c r="L2068" i="2" s="1"/>
  <c r="I2068" i="2"/>
  <c r="H2068" i="2"/>
  <c r="D2068" i="2"/>
  <c r="N2067" i="2"/>
  <c r="M2067" i="2"/>
  <c r="I2067" i="2"/>
  <c r="H2067" i="2"/>
  <c r="J2067" i="2" s="1"/>
  <c r="L2067" i="2" s="1"/>
  <c r="D2067" i="2"/>
  <c r="N2066" i="2"/>
  <c r="M2066" i="2"/>
  <c r="I2066" i="2"/>
  <c r="H2066" i="2"/>
  <c r="J2066" i="2" s="1"/>
  <c r="L2066" i="2" s="1"/>
  <c r="D2066" i="2"/>
  <c r="N2065" i="2"/>
  <c r="M2065" i="2"/>
  <c r="I2065" i="2"/>
  <c r="J2065" i="2" s="1"/>
  <c r="L2065" i="2" s="1"/>
  <c r="H2065" i="2"/>
  <c r="D2065" i="2"/>
  <c r="N2064" i="2"/>
  <c r="M2064" i="2"/>
  <c r="J2064" i="2"/>
  <c r="L2064" i="2" s="1"/>
  <c r="I2064" i="2"/>
  <c r="H2064" i="2"/>
  <c r="D2064" i="2"/>
  <c r="N2063" i="2"/>
  <c r="M2063" i="2"/>
  <c r="I2063" i="2"/>
  <c r="H2063" i="2"/>
  <c r="J2063" i="2" s="1"/>
  <c r="L2063" i="2" s="1"/>
  <c r="D2063" i="2"/>
  <c r="N2062" i="2"/>
  <c r="M2062" i="2"/>
  <c r="I2062" i="2"/>
  <c r="H2062" i="2"/>
  <c r="J2062" i="2" s="1"/>
  <c r="L2062" i="2" s="1"/>
  <c r="D2062" i="2"/>
  <c r="N2061" i="2"/>
  <c r="M2061" i="2"/>
  <c r="I2061" i="2"/>
  <c r="J2061" i="2" s="1"/>
  <c r="L2061" i="2" s="1"/>
  <c r="H2061" i="2"/>
  <c r="D2061" i="2"/>
  <c r="N2060" i="2"/>
  <c r="M2060" i="2"/>
  <c r="J2060" i="2"/>
  <c r="L2060" i="2" s="1"/>
  <c r="I2060" i="2"/>
  <c r="H2060" i="2"/>
  <c r="D2060" i="2"/>
  <c r="N2059" i="2"/>
  <c r="M2059" i="2"/>
  <c r="I2059" i="2"/>
  <c r="H2059" i="2"/>
  <c r="J2059" i="2" s="1"/>
  <c r="L2059" i="2" s="1"/>
  <c r="D2059" i="2"/>
  <c r="N2058" i="2"/>
  <c r="M2058" i="2"/>
  <c r="I2058" i="2"/>
  <c r="H2058" i="2"/>
  <c r="J2058" i="2" s="1"/>
  <c r="L2058" i="2" s="1"/>
  <c r="D2058" i="2"/>
  <c r="N2057" i="2"/>
  <c r="M2057" i="2"/>
  <c r="I2057" i="2"/>
  <c r="J2057" i="2" s="1"/>
  <c r="L2057" i="2" s="1"/>
  <c r="H2057" i="2"/>
  <c r="D2057" i="2"/>
  <c r="N2056" i="2"/>
  <c r="M2056" i="2"/>
  <c r="J2056" i="2"/>
  <c r="L2056" i="2" s="1"/>
  <c r="I2056" i="2"/>
  <c r="H2056" i="2"/>
  <c r="D2056" i="2"/>
  <c r="N2055" i="2"/>
  <c r="M2055" i="2"/>
  <c r="I2055" i="2"/>
  <c r="H2055" i="2"/>
  <c r="J2055" i="2" s="1"/>
  <c r="L2055" i="2" s="1"/>
  <c r="D2055" i="2"/>
  <c r="N2054" i="2"/>
  <c r="M2054" i="2"/>
  <c r="I2054" i="2"/>
  <c r="H2054" i="2"/>
  <c r="J2054" i="2" s="1"/>
  <c r="L2054" i="2" s="1"/>
  <c r="D2054" i="2"/>
  <c r="N2053" i="2"/>
  <c r="M2053" i="2"/>
  <c r="I2053" i="2"/>
  <c r="J2053" i="2" s="1"/>
  <c r="L2053" i="2" s="1"/>
  <c r="H2053" i="2"/>
  <c r="D2053" i="2"/>
  <c r="N2052" i="2"/>
  <c r="M2052" i="2"/>
  <c r="J2052" i="2"/>
  <c r="L2052" i="2" s="1"/>
  <c r="I2052" i="2"/>
  <c r="H2052" i="2"/>
  <c r="D2052" i="2"/>
  <c r="N2051" i="2"/>
  <c r="M2051" i="2"/>
  <c r="I2051" i="2"/>
  <c r="H2051" i="2"/>
  <c r="J2051" i="2" s="1"/>
  <c r="L2051" i="2" s="1"/>
  <c r="D2051" i="2"/>
  <c r="N2050" i="2"/>
  <c r="M2050" i="2"/>
  <c r="I2050" i="2"/>
  <c r="H2050" i="2"/>
  <c r="J2050" i="2" s="1"/>
  <c r="L2050" i="2" s="1"/>
  <c r="D2050" i="2"/>
  <c r="N2049" i="2"/>
  <c r="M2049" i="2"/>
  <c r="I2049" i="2"/>
  <c r="J2049" i="2" s="1"/>
  <c r="L2049" i="2" s="1"/>
  <c r="H2049" i="2"/>
  <c r="D2049" i="2"/>
  <c r="N2048" i="2"/>
  <c r="M2048" i="2"/>
  <c r="J2048" i="2"/>
  <c r="L2048" i="2" s="1"/>
  <c r="I2048" i="2"/>
  <c r="H2048" i="2"/>
  <c r="D2048" i="2"/>
  <c r="N2047" i="2"/>
  <c r="M2047" i="2"/>
  <c r="I2047" i="2"/>
  <c r="H2047" i="2"/>
  <c r="J2047" i="2" s="1"/>
  <c r="L2047" i="2" s="1"/>
  <c r="D2047" i="2"/>
  <c r="N2046" i="2"/>
  <c r="M2046" i="2"/>
  <c r="I2046" i="2"/>
  <c r="H2046" i="2"/>
  <c r="J2046" i="2" s="1"/>
  <c r="L2046" i="2" s="1"/>
  <c r="D2046" i="2"/>
  <c r="N2045" i="2"/>
  <c r="M2045" i="2"/>
  <c r="I2045" i="2"/>
  <c r="J2045" i="2" s="1"/>
  <c r="L2045" i="2" s="1"/>
  <c r="H2045" i="2"/>
  <c r="D2045" i="2"/>
  <c r="N2044" i="2"/>
  <c r="M2044" i="2"/>
  <c r="J2044" i="2"/>
  <c r="L2044" i="2" s="1"/>
  <c r="I2044" i="2"/>
  <c r="H2044" i="2"/>
  <c r="D2044" i="2"/>
  <c r="N2043" i="2"/>
  <c r="M2043" i="2"/>
  <c r="I2043" i="2"/>
  <c r="H2043" i="2"/>
  <c r="J2043" i="2" s="1"/>
  <c r="L2043" i="2" s="1"/>
  <c r="D2043" i="2"/>
  <c r="N2042" i="2"/>
  <c r="M2042" i="2"/>
  <c r="I2042" i="2"/>
  <c r="H2042" i="2"/>
  <c r="J2042" i="2" s="1"/>
  <c r="L2042" i="2" s="1"/>
  <c r="D2042" i="2"/>
  <c r="N2041" i="2"/>
  <c r="M2041" i="2"/>
  <c r="I2041" i="2"/>
  <c r="J2041" i="2" s="1"/>
  <c r="L2041" i="2" s="1"/>
  <c r="H2041" i="2"/>
  <c r="D2041" i="2"/>
  <c r="N2040" i="2"/>
  <c r="M2040" i="2"/>
  <c r="J2040" i="2"/>
  <c r="L2040" i="2" s="1"/>
  <c r="I2040" i="2"/>
  <c r="H2040" i="2"/>
  <c r="D2040" i="2"/>
  <c r="N2039" i="2"/>
  <c r="M2039" i="2"/>
  <c r="I2039" i="2"/>
  <c r="H2039" i="2"/>
  <c r="J2039" i="2" s="1"/>
  <c r="L2039" i="2" s="1"/>
  <c r="D2039" i="2"/>
  <c r="N2038" i="2"/>
  <c r="M2038" i="2"/>
  <c r="I2038" i="2"/>
  <c r="H2038" i="2"/>
  <c r="J2038" i="2" s="1"/>
  <c r="L2038" i="2" s="1"/>
  <c r="D2038" i="2"/>
  <c r="N2037" i="2"/>
  <c r="M2037" i="2"/>
  <c r="L2037" i="2"/>
  <c r="I2037" i="2"/>
  <c r="J2037" i="2" s="1"/>
  <c r="H2037" i="2"/>
  <c r="D2037" i="2"/>
  <c r="N2036" i="2"/>
  <c r="M2036" i="2"/>
  <c r="J2036" i="2"/>
  <c r="L2036" i="2" s="1"/>
  <c r="I2036" i="2"/>
  <c r="H2036" i="2"/>
  <c r="D2036" i="2"/>
  <c r="N2035" i="2"/>
  <c r="M2035" i="2"/>
  <c r="I2035" i="2"/>
  <c r="H2035" i="2"/>
  <c r="J2035" i="2" s="1"/>
  <c r="L2035" i="2" s="1"/>
  <c r="D2035" i="2"/>
  <c r="N2034" i="2"/>
  <c r="M2034" i="2"/>
  <c r="J2034" i="2"/>
  <c r="L2034" i="2" s="1"/>
  <c r="I2034" i="2"/>
  <c r="H2034" i="2"/>
  <c r="D2034" i="2"/>
  <c r="N2033" i="2"/>
  <c r="M2033" i="2"/>
  <c r="I2033" i="2"/>
  <c r="J2033" i="2" s="1"/>
  <c r="L2033" i="2" s="1"/>
  <c r="H2033" i="2"/>
  <c r="D2033" i="2"/>
  <c r="N2032" i="2"/>
  <c r="M2032" i="2"/>
  <c r="J2032" i="2"/>
  <c r="L2032" i="2" s="1"/>
  <c r="I2032" i="2"/>
  <c r="H2032" i="2"/>
  <c r="D2032" i="2"/>
  <c r="N2031" i="2"/>
  <c r="M2031" i="2"/>
  <c r="I2031" i="2"/>
  <c r="H2031" i="2"/>
  <c r="J2031" i="2" s="1"/>
  <c r="L2031" i="2" s="1"/>
  <c r="D2031" i="2"/>
  <c r="N2030" i="2"/>
  <c r="M2030" i="2"/>
  <c r="J2030" i="2"/>
  <c r="L2030" i="2" s="1"/>
  <c r="I2030" i="2"/>
  <c r="H2030" i="2"/>
  <c r="D2030" i="2"/>
  <c r="N2029" i="2"/>
  <c r="M2029" i="2"/>
  <c r="I2029" i="2"/>
  <c r="J2029" i="2" s="1"/>
  <c r="L2029" i="2" s="1"/>
  <c r="H2029" i="2"/>
  <c r="D2029" i="2"/>
  <c r="N2028" i="2"/>
  <c r="M2028" i="2"/>
  <c r="J2028" i="2"/>
  <c r="L2028" i="2" s="1"/>
  <c r="I2028" i="2"/>
  <c r="H2028" i="2"/>
  <c r="D2028" i="2"/>
  <c r="N2027" i="2"/>
  <c r="M2027" i="2"/>
  <c r="I2027" i="2"/>
  <c r="H2027" i="2"/>
  <c r="J2027" i="2" s="1"/>
  <c r="L2027" i="2" s="1"/>
  <c r="D2027" i="2"/>
  <c r="N2026" i="2"/>
  <c r="M2026" i="2"/>
  <c r="L2026" i="2"/>
  <c r="J2026" i="2"/>
  <c r="I2026" i="2"/>
  <c r="H2026" i="2"/>
  <c r="D2026" i="2"/>
  <c r="N2025" i="2"/>
  <c r="M2025" i="2"/>
  <c r="I2025" i="2"/>
  <c r="J2025" i="2" s="1"/>
  <c r="L2025" i="2" s="1"/>
  <c r="H2025" i="2"/>
  <c r="D2025" i="2"/>
  <c r="N2024" i="2"/>
  <c r="M2024" i="2"/>
  <c r="I2024" i="2"/>
  <c r="H2024" i="2"/>
  <c r="J2024" i="2" s="1"/>
  <c r="L2024" i="2" s="1"/>
  <c r="D2024" i="2"/>
  <c r="N2023" i="2"/>
  <c r="M2023" i="2"/>
  <c r="I2023" i="2"/>
  <c r="H2023" i="2"/>
  <c r="D2023" i="2"/>
  <c r="N2022" i="2"/>
  <c r="M2022" i="2"/>
  <c r="I2022" i="2"/>
  <c r="H2022" i="2"/>
  <c r="J2022" i="2" s="1"/>
  <c r="L2022" i="2" s="1"/>
  <c r="D2022" i="2"/>
  <c r="N2021" i="2"/>
  <c r="M2021" i="2"/>
  <c r="I2021" i="2"/>
  <c r="J2021" i="2" s="1"/>
  <c r="L2021" i="2" s="1"/>
  <c r="H2021" i="2"/>
  <c r="D2021" i="2"/>
  <c r="N2020" i="2"/>
  <c r="M2020" i="2"/>
  <c r="I2020" i="2"/>
  <c r="J2020" i="2" s="1"/>
  <c r="L2020" i="2" s="1"/>
  <c r="H2020" i="2"/>
  <c r="D2020" i="2"/>
  <c r="N2019" i="2"/>
  <c r="M2019" i="2"/>
  <c r="I2019" i="2"/>
  <c r="H2019" i="2"/>
  <c r="D2019" i="2"/>
  <c r="N2018" i="2"/>
  <c r="M2018" i="2"/>
  <c r="J2018" i="2"/>
  <c r="L2018" i="2" s="1"/>
  <c r="I2018" i="2"/>
  <c r="H2018" i="2"/>
  <c r="D2018" i="2"/>
  <c r="N2017" i="2"/>
  <c r="M2017" i="2"/>
  <c r="I2017" i="2"/>
  <c r="J2017" i="2" s="1"/>
  <c r="L2017" i="2" s="1"/>
  <c r="H2017" i="2"/>
  <c r="D2017" i="2"/>
  <c r="N2016" i="2"/>
  <c r="M2016" i="2"/>
  <c r="I2016" i="2"/>
  <c r="H2016" i="2"/>
  <c r="J2016" i="2" s="1"/>
  <c r="L2016" i="2" s="1"/>
  <c r="D2016" i="2"/>
  <c r="N2015" i="2"/>
  <c r="M2015" i="2"/>
  <c r="I2015" i="2"/>
  <c r="H2015" i="2"/>
  <c r="J2015" i="2" s="1"/>
  <c r="L2015" i="2" s="1"/>
  <c r="D2015" i="2"/>
  <c r="N2014" i="2"/>
  <c r="M2014" i="2"/>
  <c r="J2014" i="2"/>
  <c r="L2014" i="2" s="1"/>
  <c r="I2014" i="2"/>
  <c r="H2014" i="2"/>
  <c r="D2014" i="2"/>
  <c r="N2013" i="2"/>
  <c r="M2013" i="2"/>
  <c r="I2013" i="2"/>
  <c r="J2013" i="2" s="1"/>
  <c r="L2013" i="2" s="1"/>
  <c r="H2013" i="2"/>
  <c r="D2013" i="2"/>
  <c r="N2012" i="2"/>
  <c r="M2012" i="2"/>
  <c r="I2012" i="2"/>
  <c r="H2012" i="2"/>
  <c r="J2012" i="2" s="1"/>
  <c r="L2012" i="2" s="1"/>
  <c r="D2012" i="2"/>
  <c r="N2011" i="2"/>
  <c r="M2011" i="2"/>
  <c r="I2011" i="2"/>
  <c r="H2011" i="2"/>
  <c r="J2011" i="2" s="1"/>
  <c r="L2011" i="2" s="1"/>
  <c r="D2011" i="2"/>
  <c r="N2010" i="2"/>
  <c r="M2010" i="2"/>
  <c r="J2010" i="2"/>
  <c r="L2010" i="2" s="1"/>
  <c r="I2010" i="2"/>
  <c r="H2010" i="2"/>
  <c r="D2010" i="2"/>
  <c r="N2009" i="2"/>
  <c r="M2009" i="2"/>
  <c r="I2009" i="2"/>
  <c r="J2009" i="2" s="1"/>
  <c r="L2009" i="2" s="1"/>
  <c r="H2009" i="2"/>
  <c r="D2009" i="2"/>
  <c r="N2008" i="2"/>
  <c r="M2008" i="2"/>
  <c r="I2008" i="2"/>
  <c r="H2008" i="2"/>
  <c r="J2008" i="2" s="1"/>
  <c r="L2008" i="2" s="1"/>
  <c r="D2008" i="2"/>
  <c r="N2007" i="2"/>
  <c r="M2007" i="2"/>
  <c r="I2007" i="2"/>
  <c r="H2007" i="2"/>
  <c r="J2007" i="2" s="1"/>
  <c r="L2007" i="2" s="1"/>
  <c r="D2007" i="2"/>
  <c r="N2006" i="2"/>
  <c r="M2006" i="2"/>
  <c r="J2006" i="2"/>
  <c r="L2006" i="2" s="1"/>
  <c r="I2006" i="2"/>
  <c r="H2006" i="2"/>
  <c r="D2006" i="2"/>
  <c r="N2005" i="2"/>
  <c r="M2005" i="2"/>
  <c r="I2005" i="2"/>
  <c r="J2005" i="2" s="1"/>
  <c r="L2005" i="2" s="1"/>
  <c r="H2005" i="2"/>
  <c r="D2005" i="2"/>
  <c r="N2004" i="2"/>
  <c r="M2004" i="2"/>
  <c r="I2004" i="2"/>
  <c r="H2004" i="2"/>
  <c r="J2004" i="2" s="1"/>
  <c r="L2004" i="2" s="1"/>
  <c r="D2004" i="2"/>
  <c r="N2003" i="2"/>
  <c r="M2003" i="2"/>
  <c r="I2003" i="2"/>
  <c r="H2003" i="2"/>
  <c r="J2003" i="2" s="1"/>
  <c r="L2003" i="2" s="1"/>
  <c r="D2003" i="2"/>
  <c r="N2002" i="2"/>
  <c r="M2002" i="2"/>
  <c r="J2002" i="2"/>
  <c r="L2002" i="2" s="1"/>
  <c r="I2002" i="2"/>
  <c r="H2002" i="2"/>
  <c r="D2002" i="2"/>
  <c r="N2001" i="2"/>
  <c r="M2001" i="2"/>
  <c r="I2001" i="2"/>
  <c r="J2001" i="2" s="1"/>
  <c r="L2001" i="2" s="1"/>
  <c r="H2001" i="2"/>
  <c r="D2001" i="2"/>
  <c r="N2000" i="2"/>
  <c r="M2000" i="2"/>
  <c r="I2000" i="2"/>
  <c r="H2000" i="2"/>
  <c r="J2000" i="2" s="1"/>
  <c r="L2000" i="2" s="1"/>
  <c r="D2000" i="2"/>
  <c r="N1999" i="2"/>
  <c r="M1999" i="2"/>
  <c r="I1999" i="2"/>
  <c r="H1999" i="2"/>
  <c r="J1999" i="2" s="1"/>
  <c r="L1999" i="2" s="1"/>
  <c r="D1999" i="2"/>
  <c r="N1998" i="2"/>
  <c r="M1998" i="2"/>
  <c r="J1998" i="2"/>
  <c r="L1998" i="2" s="1"/>
  <c r="I1998" i="2"/>
  <c r="H1998" i="2"/>
  <c r="D1998" i="2"/>
  <c r="N1997" i="2"/>
  <c r="M1997" i="2"/>
  <c r="I1997" i="2"/>
  <c r="J1997" i="2" s="1"/>
  <c r="L1997" i="2" s="1"/>
  <c r="H1997" i="2"/>
  <c r="D1997" i="2"/>
  <c r="N1996" i="2"/>
  <c r="M1996" i="2"/>
  <c r="I1996" i="2"/>
  <c r="H1996" i="2"/>
  <c r="J1996" i="2" s="1"/>
  <c r="L1996" i="2" s="1"/>
  <c r="D1996" i="2"/>
  <c r="N1995" i="2"/>
  <c r="M1995" i="2"/>
  <c r="I1995" i="2"/>
  <c r="H1995" i="2"/>
  <c r="J1995" i="2" s="1"/>
  <c r="L1995" i="2" s="1"/>
  <c r="D1995" i="2"/>
  <c r="N1994" i="2"/>
  <c r="M1994" i="2"/>
  <c r="J1994" i="2"/>
  <c r="L1994" i="2" s="1"/>
  <c r="I1994" i="2"/>
  <c r="H1994" i="2"/>
  <c r="D1994" i="2"/>
  <c r="N1993" i="2"/>
  <c r="M1993" i="2"/>
  <c r="I1993" i="2"/>
  <c r="J1993" i="2" s="1"/>
  <c r="L1993" i="2" s="1"/>
  <c r="H1993" i="2"/>
  <c r="D1993" i="2"/>
  <c r="N1992" i="2"/>
  <c r="M1992" i="2"/>
  <c r="I1992" i="2"/>
  <c r="H1992" i="2"/>
  <c r="J1992" i="2" s="1"/>
  <c r="L1992" i="2" s="1"/>
  <c r="D1992" i="2"/>
  <c r="N1991" i="2"/>
  <c r="M1991" i="2"/>
  <c r="I1991" i="2"/>
  <c r="H1991" i="2"/>
  <c r="J1991" i="2" s="1"/>
  <c r="L1991" i="2" s="1"/>
  <c r="D1991" i="2"/>
  <c r="N1990" i="2"/>
  <c r="M1990" i="2"/>
  <c r="J1990" i="2"/>
  <c r="L1990" i="2" s="1"/>
  <c r="I1990" i="2"/>
  <c r="H1990" i="2"/>
  <c r="D1990" i="2"/>
  <c r="N1989" i="2"/>
  <c r="M1989" i="2"/>
  <c r="I1989" i="2"/>
  <c r="J1989" i="2" s="1"/>
  <c r="L1989" i="2" s="1"/>
  <c r="H1989" i="2"/>
  <c r="D1989" i="2"/>
  <c r="N1988" i="2"/>
  <c r="M1988" i="2"/>
  <c r="I1988" i="2"/>
  <c r="H1988" i="2"/>
  <c r="J1988" i="2" s="1"/>
  <c r="L1988" i="2" s="1"/>
  <c r="D1988" i="2"/>
  <c r="N1987" i="2"/>
  <c r="M1987" i="2"/>
  <c r="I1987" i="2"/>
  <c r="H1987" i="2"/>
  <c r="J1987" i="2" s="1"/>
  <c r="L1987" i="2" s="1"/>
  <c r="D1987" i="2"/>
  <c r="N1986" i="2"/>
  <c r="M1986" i="2"/>
  <c r="J1986" i="2"/>
  <c r="L1986" i="2" s="1"/>
  <c r="I1986" i="2"/>
  <c r="H1986" i="2"/>
  <c r="D1986" i="2"/>
  <c r="N1985" i="2"/>
  <c r="M1985" i="2"/>
  <c r="I1985" i="2"/>
  <c r="J1985" i="2" s="1"/>
  <c r="L1985" i="2" s="1"/>
  <c r="H1985" i="2"/>
  <c r="D1985" i="2"/>
  <c r="N1984" i="2"/>
  <c r="M1984" i="2"/>
  <c r="I1984" i="2"/>
  <c r="H1984" i="2"/>
  <c r="J1984" i="2" s="1"/>
  <c r="L1984" i="2" s="1"/>
  <c r="D1984" i="2"/>
  <c r="N1983" i="2"/>
  <c r="M1983" i="2"/>
  <c r="I1983" i="2"/>
  <c r="H1983" i="2"/>
  <c r="J1983" i="2" s="1"/>
  <c r="L1983" i="2" s="1"/>
  <c r="D1983" i="2"/>
  <c r="N1982" i="2"/>
  <c r="M1982" i="2"/>
  <c r="J1982" i="2"/>
  <c r="L1982" i="2" s="1"/>
  <c r="I1982" i="2"/>
  <c r="H1982" i="2"/>
  <c r="D1982" i="2"/>
  <c r="N1981" i="2"/>
  <c r="M1981" i="2"/>
  <c r="I1981" i="2"/>
  <c r="J1981" i="2" s="1"/>
  <c r="L1981" i="2" s="1"/>
  <c r="H1981" i="2"/>
  <c r="D1981" i="2"/>
  <c r="N1980" i="2"/>
  <c r="M1980" i="2"/>
  <c r="I1980" i="2"/>
  <c r="H1980" i="2"/>
  <c r="J1980" i="2" s="1"/>
  <c r="L1980" i="2" s="1"/>
  <c r="D1980" i="2"/>
  <c r="N1979" i="2"/>
  <c r="M1979" i="2"/>
  <c r="I1979" i="2"/>
  <c r="H1979" i="2"/>
  <c r="J1979" i="2" s="1"/>
  <c r="L1979" i="2" s="1"/>
  <c r="D1979" i="2"/>
  <c r="N1978" i="2"/>
  <c r="M1978" i="2"/>
  <c r="J1978" i="2"/>
  <c r="L1978" i="2" s="1"/>
  <c r="I1978" i="2"/>
  <c r="H1978" i="2"/>
  <c r="D1978" i="2"/>
  <c r="N1977" i="2"/>
  <c r="M1977" i="2"/>
  <c r="I1977" i="2"/>
  <c r="J1977" i="2" s="1"/>
  <c r="L1977" i="2" s="1"/>
  <c r="H1977" i="2"/>
  <c r="D1977" i="2"/>
  <c r="N1976" i="2"/>
  <c r="M1976" i="2"/>
  <c r="I1976" i="2"/>
  <c r="H1976" i="2"/>
  <c r="J1976" i="2" s="1"/>
  <c r="L1976" i="2" s="1"/>
  <c r="D1976" i="2"/>
  <c r="N1975" i="2"/>
  <c r="M1975" i="2"/>
  <c r="I1975" i="2"/>
  <c r="H1975" i="2"/>
  <c r="J1975" i="2" s="1"/>
  <c r="L1975" i="2" s="1"/>
  <c r="D1975" i="2"/>
  <c r="N1974" i="2"/>
  <c r="M1974" i="2"/>
  <c r="J1974" i="2"/>
  <c r="L1974" i="2" s="1"/>
  <c r="I1974" i="2"/>
  <c r="H1974" i="2"/>
  <c r="D1974" i="2"/>
  <c r="N1973" i="2"/>
  <c r="M1973" i="2"/>
  <c r="I1973" i="2"/>
  <c r="J1973" i="2" s="1"/>
  <c r="L1973" i="2" s="1"/>
  <c r="H1973" i="2"/>
  <c r="D1973" i="2"/>
  <c r="N1972" i="2"/>
  <c r="M1972" i="2"/>
  <c r="I1972" i="2"/>
  <c r="H1972" i="2"/>
  <c r="J1972" i="2" s="1"/>
  <c r="L1972" i="2" s="1"/>
  <c r="D1972" i="2"/>
  <c r="N1971" i="2"/>
  <c r="M1971" i="2"/>
  <c r="I1971" i="2"/>
  <c r="H1971" i="2"/>
  <c r="J1971" i="2" s="1"/>
  <c r="L1971" i="2" s="1"/>
  <c r="D1971" i="2"/>
  <c r="N1970" i="2"/>
  <c r="M1970" i="2"/>
  <c r="J1970" i="2"/>
  <c r="L1970" i="2" s="1"/>
  <c r="I1970" i="2"/>
  <c r="H1970" i="2"/>
  <c r="D1970" i="2"/>
  <c r="N1969" i="2"/>
  <c r="M1969" i="2"/>
  <c r="I1969" i="2"/>
  <c r="J1969" i="2" s="1"/>
  <c r="L1969" i="2" s="1"/>
  <c r="H1969" i="2"/>
  <c r="D1969" i="2"/>
  <c r="N1968" i="2"/>
  <c r="M1968" i="2"/>
  <c r="I1968" i="2"/>
  <c r="H1968" i="2"/>
  <c r="J1968" i="2" s="1"/>
  <c r="L1968" i="2" s="1"/>
  <c r="D1968" i="2"/>
  <c r="N1967" i="2"/>
  <c r="M1967" i="2"/>
  <c r="I1967" i="2"/>
  <c r="H1967" i="2"/>
  <c r="J1967" i="2" s="1"/>
  <c r="L1967" i="2" s="1"/>
  <c r="D1967" i="2"/>
  <c r="N1966" i="2"/>
  <c r="M1966" i="2"/>
  <c r="J1966" i="2"/>
  <c r="L1966" i="2" s="1"/>
  <c r="I1966" i="2"/>
  <c r="H1966" i="2"/>
  <c r="D1966" i="2"/>
  <c r="N1965" i="2"/>
  <c r="M1965" i="2"/>
  <c r="I1965" i="2"/>
  <c r="J1965" i="2" s="1"/>
  <c r="L1965" i="2" s="1"/>
  <c r="H1965" i="2"/>
  <c r="D1965" i="2"/>
  <c r="N1964" i="2"/>
  <c r="M1964" i="2"/>
  <c r="I1964" i="2"/>
  <c r="H1964" i="2"/>
  <c r="J1964" i="2" s="1"/>
  <c r="L1964" i="2" s="1"/>
  <c r="D1964" i="2"/>
  <c r="N1963" i="2"/>
  <c r="M1963" i="2"/>
  <c r="I1963" i="2"/>
  <c r="H1963" i="2"/>
  <c r="J1963" i="2" s="1"/>
  <c r="L1963" i="2" s="1"/>
  <c r="D1963" i="2"/>
  <c r="N1962" i="2"/>
  <c r="M1962" i="2"/>
  <c r="J1962" i="2"/>
  <c r="L1962" i="2" s="1"/>
  <c r="I1962" i="2"/>
  <c r="H1962" i="2"/>
  <c r="D1962" i="2"/>
  <c r="N1961" i="2"/>
  <c r="M1961" i="2"/>
  <c r="I1961" i="2"/>
  <c r="J1961" i="2" s="1"/>
  <c r="L1961" i="2" s="1"/>
  <c r="H1961" i="2"/>
  <c r="D1961" i="2"/>
  <c r="N1960" i="2"/>
  <c r="M1960" i="2"/>
  <c r="I1960" i="2"/>
  <c r="H1960" i="2"/>
  <c r="J1960" i="2" s="1"/>
  <c r="L1960" i="2" s="1"/>
  <c r="D1960" i="2"/>
  <c r="N1959" i="2"/>
  <c r="M1959" i="2"/>
  <c r="I1959" i="2"/>
  <c r="H1959" i="2"/>
  <c r="J1959" i="2" s="1"/>
  <c r="L1959" i="2" s="1"/>
  <c r="D1959" i="2"/>
  <c r="N1958" i="2"/>
  <c r="M1958" i="2"/>
  <c r="J1958" i="2"/>
  <c r="L1958" i="2" s="1"/>
  <c r="I1958" i="2"/>
  <c r="H1958" i="2"/>
  <c r="D1958" i="2"/>
  <c r="N1957" i="2"/>
  <c r="M1957" i="2"/>
  <c r="I1957" i="2"/>
  <c r="J1957" i="2" s="1"/>
  <c r="L1957" i="2" s="1"/>
  <c r="H1957" i="2"/>
  <c r="D1957" i="2"/>
  <c r="N1956" i="2"/>
  <c r="M1956" i="2"/>
  <c r="I1956" i="2"/>
  <c r="H1956" i="2"/>
  <c r="J1956" i="2" s="1"/>
  <c r="L1956" i="2" s="1"/>
  <c r="D1956" i="2"/>
  <c r="N1955" i="2"/>
  <c r="M1955" i="2"/>
  <c r="I1955" i="2"/>
  <c r="H1955" i="2"/>
  <c r="J1955" i="2" s="1"/>
  <c r="L1955" i="2" s="1"/>
  <c r="D1955" i="2"/>
  <c r="N1954" i="2"/>
  <c r="M1954" i="2"/>
  <c r="J1954" i="2"/>
  <c r="L1954" i="2" s="1"/>
  <c r="I1954" i="2"/>
  <c r="H1954" i="2"/>
  <c r="D1954" i="2"/>
  <c r="N1953" i="2"/>
  <c r="M1953" i="2"/>
  <c r="I1953" i="2"/>
  <c r="J1953" i="2" s="1"/>
  <c r="L1953" i="2" s="1"/>
  <c r="H1953" i="2"/>
  <c r="D1953" i="2"/>
  <c r="N1952" i="2"/>
  <c r="M1952" i="2"/>
  <c r="I1952" i="2"/>
  <c r="H1952" i="2"/>
  <c r="J1952" i="2" s="1"/>
  <c r="L1952" i="2" s="1"/>
  <c r="D1952" i="2"/>
  <c r="N1951" i="2"/>
  <c r="M1951" i="2"/>
  <c r="I1951" i="2"/>
  <c r="H1951" i="2"/>
  <c r="J1951" i="2" s="1"/>
  <c r="L1951" i="2" s="1"/>
  <c r="D1951" i="2"/>
  <c r="N1950" i="2"/>
  <c r="M1950" i="2"/>
  <c r="J1950" i="2"/>
  <c r="L1950" i="2" s="1"/>
  <c r="I1950" i="2"/>
  <c r="H1950" i="2"/>
  <c r="D1950" i="2"/>
  <c r="N1949" i="2"/>
  <c r="M1949" i="2"/>
  <c r="I1949" i="2"/>
  <c r="J1949" i="2" s="1"/>
  <c r="L1949" i="2" s="1"/>
  <c r="H1949" i="2"/>
  <c r="D1949" i="2"/>
  <c r="N1948" i="2"/>
  <c r="M1948" i="2"/>
  <c r="I1948" i="2"/>
  <c r="H1948" i="2"/>
  <c r="J1948" i="2" s="1"/>
  <c r="L1948" i="2" s="1"/>
  <c r="D1948" i="2"/>
  <c r="N1947" i="2"/>
  <c r="M1947" i="2"/>
  <c r="I1947" i="2"/>
  <c r="H1947" i="2"/>
  <c r="J1947" i="2" s="1"/>
  <c r="L1947" i="2" s="1"/>
  <c r="D1947" i="2"/>
  <c r="N1946" i="2"/>
  <c r="M1946" i="2"/>
  <c r="J1946" i="2"/>
  <c r="L1946" i="2" s="1"/>
  <c r="I1946" i="2"/>
  <c r="H1946" i="2"/>
  <c r="D1946" i="2"/>
  <c r="N1945" i="2"/>
  <c r="M1945" i="2"/>
  <c r="I1945" i="2"/>
  <c r="J1945" i="2" s="1"/>
  <c r="L1945" i="2" s="1"/>
  <c r="H1945" i="2"/>
  <c r="D1945" i="2"/>
  <c r="N1944" i="2"/>
  <c r="M1944" i="2"/>
  <c r="I1944" i="2"/>
  <c r="H1944" i="2"/>
  <c r="J1944" i="2" s="1"/>
  <c r="L1944" i="2" s="1"/>
  <c r="D1944" i="2"/>
  <c r="N1943" i="2"/>
  <c r="M1943" i="2"/>
  <c r="I1943" i="2"/>
  <c r="H1943" i="2"/>
  <c r="J1943" i="2" s="1"/>
  <c r="L1943" i="2" s="1"/>
  <c r="D1943" i="2"/>
  <c r="N1942" i="2"/>
  <c r="M1942" i="2"/>
  <c r="J1942" i="2"/>
  <c r="L1942" i="2" s="1"/>
  <c r="I1942" i="2"/>
  <c r="H1942" i="2"/>
  <c r="D1942" i="2"/>
  <c r="N1941" i="2"/>
  <c r="M1941" i="2"/>
  <c r="I1941" i="2"/>
  <c r="J1941" i="2" s="1"/>
  <c r="L1941" i="2" s="1"/>
  <c r="H1941" i="2"/>
  <c r="D1941" i="2"/>
  <c r="N1940" i="2"/>
  <c r="M1940" i="2"/>
  <c r="I1940" i="2"/>
  <c r="H1940" i="2"/>
  <c r="J1940" i="2" s="1"/>
  <c r="L1940" i="2" s="1"/>
  <c r="D1940" i="2"/>
  <c r="N1939" i="2"/>
  <c r="M1939" i="2"/>
  <c r="I1939" i="2"/>
  <c r="H1939" i="2"/>
  <c r="J1939" i="2" s="1"/>
  <c r="L1939" i="2" s="1"/>
  <c r="D1939" i="2"/>
  <c r="N1938" i="2"/>
  <c r="M1938" i="2"/>
  <c r="J1938" i="2"/>
  <c r="L1938" i="2" s="1"/>
  <c r="I1938" i="2"/>
  <c r="H1938" i="2"/>
  <c r="D1938" i="2"/>
  <c r="N1937" i="2"/>
  <c r="M1937" i="2"/>
  <c r="I1937" i="2"/>
  <c r="J1937" i="2" s="1"/>
  <c r="L1937" i="2" s="1"/>
  <c r="H1937" i="2"/>
  <c r="D1937" i="2"/>
  <c r="N1936" i="2"/>
  <c r="M1936" i="2"/>
  <c r="I1936" i="2"/>
  <c r="H1936" i="2"/>
  <c r="J1936" i="2" s="1"/>
  <c r="L1936" i="2" s="1"/>
  <c r="D1936" i="2"/>
  <c r="N1935" i="2"/>
  <c r="M1935" i="2"/>
  <c r="I1935" i="2"/>
  <c r="H1935" i="2"/>
  <c r="J1935" i="2" s="1"/>
  <c r="L1935" i="2" s="1"/>
  <c r="D1935" i="2"/>
  <c r="N1934" i="2"/>
  <c r="M1934" i="2"/>
  <c r="J1934" i="2"/>
  <c r="L1934" i="2" s="1"/>
  <c r="I1934" i="2"/>
  <c r="H1934" i="2"/>
  <c r="D1934" i="2"/>
  <c r="N1933" i="2"/>
  <c r="M1933" i="2"/>
  <c r="I1933" i="2"/>
  <c r="J1933" i="2" s="1"/>
  <c r="L1933" i="2" s="1"/>
  <c r="H1933" i="2"/>
  <c r="D1933" i="2"/>
  <c r="N1932" i="2"/>
  <c r="M1932" i="2"/>
  <c r="I1932" i="2"/>
  <c r="H1932" i="2"/>
  <c r="J1932" i="2" s="1"/>
  <c r="L1932" i="2" s="1"/>
  <c r="D1932" i="2"/>
  <c r="N1931" i="2"/>
  <c r="M1931" i="2"/>
  <c r="I1931" i="2"/>
  <c r="H1931" i="2"/>
  <c r="J1931" i="2" s="1"/>
  <c r="L1931" i="2" s="1"/>
  <c r="D1931" i="2"/>
  <c r="N1930" i="2"/>
  <c r="M1930" i="2"/>
  <c r="J1930" i="2"/>
  <c r="L1930" i="2" s="1"/>
  <c r="I1930" i="2"/>
  <c r="H1930" i="2"/>
  <c r="D1930" i="2"/>
  <c r="N1929" i="2"/>
  <c r="M1929" i="2"/>
  <c r="I1929" i="2"/>
  <c r="J1929" i="2" s="1"/>
  <c r="L1929" i="2" s="1"/>
  <c r="H1929" i="2"/>
  <c r="D1929" i="2"/>
  <c r="N1928" i="2"/>
  <c r="M1928" i="2"/>
  <c r="I1928" i="2"/>
  <c r="H1928" i="2"/>
  <c r="J1928" i="2" s="1"/>
  <c r="L1928" i="2" s="1"/>
  <c r="D1928" i="2"/>
  <c r="N1927" i="2"/>
  <c r="M1927" i="2"/>
  <c r="I1927" i="2"/>
  <c r="H1927" i="2"/>
  <c r="J1927" i="2" s="1"/>
  <c r="L1927" i="2" s="1"/>
  <c r="D1927" i="2"/>
  <c r="N1926" i="2"/>
  <c r="M1926" i="2"/>
  <c r="J1926" i="2"/>
  <c r="L1926" i="2" s="1"/>
  <c r="I1926" i="2"/>
  <c r="H1926" i="2"/>
  <c r="D1926" i="2"/>
  <c r="N1925" i="2"/>
  <c r="M1925" i="2"/>
  <c r="I1925" i="2"/>
  <c r="J1925" i="2" s="1"/>
  <c r="L1925" i="2" s="1"/>
  <c r="H1925" i="2"/>
  <c r="D1925" i="2"/>
  <c r="N1924" i="2"/>
  <c r="M1924" i="2"/>
  <c r="I1924" i="2"/>
  <c r="H1924" i="2"/>
  <c r="J1924" i="2" s="1"/>
  <c r="L1924" i="2" s="1"/>
  <c r="D1924" i="2"/>
  <c r="N1923" i="2"/>
  <c r="M1923" i="2"/>
  <c r="I1923" i="2"/>
  <c r="H1923" i="2"/>
  <c r="J1923" i="2" s="1"/>
  <c r="L1923" i="2" s="1"/>
  <c r="D1923" i="2"/>
  <c r="N1922" i="2"/>
  <c r="M1922" i="2"/>
  <c r="J1922" i="2"/>
  <c r="L1922" i="2" s="1"/>
  <c r="I1922" i="2"/>
  <c r="H1922" i="2"/>
  <c r="D1922" i="2"/>
  <c r="N1921" i="2"/>
  <c r="M1921" i="2"/>
  <c r="I1921" i="2"/>
  <c r="J1921" i="2" s="1"/>
  <c r="L1921" i="2" s="1"/>
  <c r="H1921" i="2"/>
  <c r="D1921" i="2"/>
  <c r="N1920" i="2"/>
  <c r="M1920" i="2"/>
  <c r="I1920" i="2"/>
  <c r="H1920" i="2"/>
  <c r="J1920" i="2" s="1"/>
  <c r="L1920" i="2" s="1"/>
  <c r="D1920" i="2"/>
  <c r="N1919" i="2"/>
  <c r="M1919" i="2"/>
  <c r="I1919" i="2"/>
  <c r="H1919" i="2"/>
  <c r="J1919" i="2" s="1"/>
  <c r="L1919" i="2" s="1"/>
  <c r="D1919" i="2"/>
  <c r="N1918" i="2"/>
  <c r="M1918" i="2"/>
  <c r="J1918" i="2"/>
  <c r="L1918" i="2" s="1"/>
  <c r="I1918" i="2"/>
  <c r="H1918" i="2"/>
  <c r="D1918" i="2"/>
  <c r="N1917" i="2"/>
  <c r="M1917" i="2"/>
  <c r="I1917" i="2"/>
  <c r="J1917" i="2" s="1"/>
  <c r="L1917" i="2" s="1"/>
  <c r="H1917" i="2"/>
  <c r="D1917" i="2"/>
  <c r="N1916" i="2"/>
  <c r="M1916" i="2"/>
  <c r="I1916" i="2"/>
  <c r="H1916" i="2"/>
  <c r="J1916" i="2" s="1"/>
  <c r="L1916" i="2" s="1"/>
  <c r="D1916" i="2"/>
  <c r="N1915" i="2"/>
  <c r="M1915" i="2"/>
  <c r="I1915" i="2"/>
  <c r="H1915" i="2"/>
  <c r="J1915" i="2" s="1"/>
  <c r="L1915" i="2" s="1"/>
  <c r="D1915" i="2"/>
  <c r="N1914" i="2"/>
  <c r="M1914" i="2"/>
  <c r="J1914" i="2"/>
  <c r="L1914" i="2" s="1"/>
  <c r="I1914" i="2"/>
  <c r="H1914" i="2"/>
  <c r="D1914" i="2"/>
  <c r="N1913" i="2"/>
  <c r="M1913" i="2"/>
  <c r="I1913" i="2"/>
  <c r="J1913" i="2" s="1"/>
  <c r="L1913" i="2" s="1"/>
  <c r="H1913" i="2"/>
  <c r="D1913" i="2"/>
  <c r="N1912" i="2"/>
  <c r="M1912" i="2"/>
  <c r="I1912" i="2"/>
  <c r="H1912" i="2"/>
  <c r="J1912" i="2" s="1"/>
  <c r="L1912" i="2" s="1"/>
  <c r="D1912" i="2"/>
  <c r="N1911" i="2"/>
  <c r="M1911" i="2"/>
  <c r="I1911" i="2"/>
  <c r="H1911" i="2"/>
  <c r="J1911" i="2" s="1"/>
  <c r="L1911" i="2" s="1"/>
  <c r="D1911" i="2"/>
  <c r="N1910" i="2"/>
  <c r="M1910" i="2"/>
  <c r="J1910" i="2"/>
  <c r="L1910" i="2" s="1"/>
  <c r="I1910" i="2"/>
  <c r="H1910" i="2"/>
  <c r="D1910" i="2"/>
  <c r="N1909" i="2"/>
  <c r="M1909" i="2"/>
  <c r="I1909" i="2"/>
  <c r="J1909" i="2" s="1"/>
  <c r="L1909" i="2" s="1"/>
  <c r="H1909" i="2"/>
  <c r="D1909" i="2"/>
  <c r="N1908" i="2"/>
  <c r="M1908" i="2"/>
  <c r="I1908" i="2"/>
  <c r="H1908" i="2"/>
  <c r="J1908" i="2" s="1"/>
  <c r="L1908" i="2" s="1"/>
  <c r="D1908" i="2"/>
  <c r="N1907" i="2"/>
  <c r="M1907" i="2"/>
  <c r="I1907" i="2"/>
  <c r="H1907" i="2"/>
  <c r="J1907" i="2" s="1"/>
  <c r="L1907" i="2" s="1"/>
  <c r="D1907" i="2"/>
  <c r="N1906" i="2"/>
  <c r="M1906" i="2"/>
  <c r="J1906" i="2"/>
  <c r="L1906" i="2" s="1"/>
  <c r="I1906" i="2"/>
  <c r="H1906" i="2"/>
  <c r="D1906" i="2"/>
  <c r="N1905" i="2"/>
  <c r="M1905" i="2"/>
  <c r="I1905" i="2"/>
  <c r="J1905" i="2" s="1"/>
  <c r="L1905" i="2" s="1"/>
  <c r="H1905" i="2"/>
  <c r="D1905" i="2"/>
  <c r="N1904" i="2"/>
  <c r="M1904" i="2"/>
  <c r="I1904" i="2"/>
  <c r="H1904" i="2"/>
  <c r="J1904" i="2" s="1"/>
  <c r="L1904" i="2" s="1"/>
  <c r="D1904" i="2"/>
  <c r="N1903" i="2"/>
  <c r="M1903" i="2"/>
  <c r="I1903" i="2"/>
  <c r="H1903" i="2"/>
  <c r="J1903" i="2" s="1"/>
  <c r="L1903" i="2" s="1"/>
  <c r="D1903" i="2"/>
  <c r="N1902" i="2"/>
  <c r="M1902" i="2"/>
  <c r="J1902" i="2"/>
  <c r="L1902" i="2" s="1"/>
  <c r="I1902" i="2"/>
  <c r="H1902" i="2"/>
  <c r="D1902" i="2"/>
  <c r="N1901" i="2"/>
  <c r="M1901" i="2"/>
  <c r="I1901" i="2"/>
  <c r="J1901" i="2" s="1"/>
  <c r="L1901" i="2" s="1"/>
  <c r="H1901" i="2"/>
  <c r="D1901" i="2"/>
  <c r="N1900" i="2"/>
  <c r="M1900" i="2"/>
  <c r="I1900" i="2"/>
  <c r="H1900" i="2"/>
  <c r="J1900" i="2" s="1"/>
  <c r="L1900" i="2" s="1"/>
  <c r="D1900" i="2"/>
  <c r="N1899" i="2"/>
  <c r="M1899" i="2"/>
  <c r="I1899" i="2"/>
  <c r="H1899" i="2"/>
  <c r="J1899" i="2" s="1"/>
  <c r="L1899" i="2" s="1"/>
  <c r="D1899" i="2"/>
  <c r="N1898" i="2"/>
  <c r="M1898" i="2"/>
  <c r="J1898" i="2"/>
  <c r="L1898" i="2" s="1"/>
  <c r="I1898" i="2"/>
  <c r="H1898" i="2"/>
  <c r="D1898" i="2"/>
  <c r="N1897" i="2"/>
  <c r="M1897" i="2"/>
  <c r="I1897" i="2"/>
  <c r="J1897" i="2" s="1"/>
  <c r="L1897" i="2" s="1"/>
  <c r="H1897" i="2"/>
  <c r="D1897" i="2"/>
  <c r="N1896" i="2"/>
  <c r="M1896" i="2"/>
  <c r="I1896" i="2"/>
  <c r="H1896" i="2"/>
  <c r="J1896" i="2" s="1"/>
  <c r="L1896" i="2" s="1"/>
  <c r="D1896" i="2"/>
  <c r="N1895" i="2"/>
  <c r="M1895" i="2"/>
  <c r="I1895" i="2"/>
  <c r="H1895" i="2"/>
  <c r="J1895" i="2" s="1"/>
  <c r="L1895" i="2" s="1"/>
  <c r="D1895" i="2"/>
  <c r="N1894" i="2"/>
  <c r="M1894" i="2"/>
  <c r="J1894" i="2"/>
  <c r="L1894" i="2" s="1"/>
  <c r="I1894" i="2"/>
  <c r="H1894" i="2"/>
  <c r="D1894" i="2"/>
  <c r="N1893" i="2"/>
  <c r="M1893" i="2"/>
  <c r="I1893" i="2"/>
  <c r="J1893" i="2" s="1"/>
  <c r="L1893" i="2" s="1"/>
  <c r="H1893" i="2"/>
  <c r="D1893" i="2"/>
  <c r="N1892" i="2"/>
  <c r="M1892" i="2"/>
  <c r="I1892" i="2"/>
  <c r="H1892" i="2"/>
  <c r="J1892" i="2" s="1"/>
  <c r="L1892" i="2" s="1"/>
  <c r="D1892" i="2"/>
  <c r="N1891" i="2"/>
  <c r="M1891" i="2"/>
  <c r="I1891" i="2"/>
  <c r="H1891" i="2"/>
  <c r="J1891" i="2" s="1"/>
  <c r="L1891" i="2" s="1"/>
  <c r="D1891" i="2"/>
  <c r="N1890" i="2"/>
  <c r="M1890" i="2"/>
  <c r="J1890" i="2"/>
  <c r="L1890" i="2" s="1"/>
  <c r="I1890" i="2"/>
  <c r="H1890" i="2"/>
  <c r="D1890" i="2"/>
  <c r="N1889" i="2"/>
  <c r="M1889" i="2"/>
  <c r="I1889" i="2"/>
  <c r="J1889" i="2" s="1"/>
  <c r="L1889" i="2" s="1"/>
  <c r="H1889" i="2"/>
  <c r="D1889" i="2"/>
  <c r="N1888" i="2"/>
  <c r="M1888" i="2"/>
  <c r="I1888" i="2"/>
  <c r="H1888" i="2"/>
  <c r="J1888" i="2" s="1"/>
  <c r="L1888" i="2" s="1"/>
  <c r="D1888" i="2"/>
  <c r="N1887" i="2"/>
  <c r="M1887" i="2"/>
  <c r="I1887" i="2"/>
  <c r="H1887" i="2"/>
  <c r="J1887" i="2" s="1"/>
  <c r="L1887" i="2" s="1"/>
  <c r="D1887" i="2"/>
  <c r="N1886" i="2"/>
  <c r="M1886" i="2"/>
  <c r="J1886" i="2"/>
  <c r="L1886" i="2" s="1"/>
  <c r="I1886" i="2"/>
  <c r="H1886" i="2"/>
  <c r="D1886" i="2"/>
  <c r="N1885" i="2"/>
  <c r="M1885" i="2"/>
  <c r="I1885" i="2"/>
  <c r="J1885" i="2" s="1"/>
  <c r="L1885" i="2" s="1"/>
  <c r="H1885" i="2"/>
  <c r="D1885" i="2"/>
  <c r="N1884" i="2"/>
  <c r="M1884" i="2"/>
  <c r="I1884" i="2"/>
  <c r="H1884" i="2"/>
  <c r="J1884" i="2" s="1"/>
  <c r="L1884" i="2" s="1"/>
  <c r="D1884" i="2"/>
  <c r="N1883" i="2"/>
  <c r="M1883" i="2"/>
  <c r="I1883" i="2"/>
  <c r="H1883" i="2"/>
  <c r="J1883" i="2" s="1"/>
  <c r="L1883" i="2" s="1"/>
  <c r="D1883" i="2"/>
  <c r="N1882" i="2"/>
  <c r="M1882" i="2"/>
  <c r="J1882" i="2"/>
  <c r="L1882" i="2" s="1"/>
  <c r="I1882" i="2"/>
  <c r="H1882" i="2"/>
  <c r="D1882" i="2"/>
  <c r="N1881" i="2"/>
  <c r="M1881" i="2"/>
  <c r="I1881" i="2"/>
  <c r="J1881" i="2" s="1"/>
  <c r="L1881" i="2" s="1"/>
  <c r="H1881" i="2"/>
  <c r="D1881" i="2"/>
  <c r="N1880" i="2"/>
  <c r="M1880" i="2"/>
  <c r="I1880" i="2"/>
  <c r="H1880" i="2"/>
  <c r="J1880" i="2" s="1"/>
  <c r="L1880" i="2" s="1"/>
  <c r="D1880" i="2"/>
  <c r="N1879" i="2"/>
  <c r="M1879" i="2"/>
  <c r="I1879" i="2"/>
  <c r="H1879" i="2"/>
  <c r="J1879" i="2" s="1"/>
  <c r="L1879" i="2" s="1"/>
  <c r="D1879" i="2"/>
  <c r="N1878" i="2"/>
  <c r="M1878" i="2"/>
  <c r="J1878" i="2"/>
  <c r="L1878" i="2" s="1"/>
  <c r="I1878" i="2"/>
  <c r="H1878" i="2"/>
  <c r="D1878" i="2"/>
  <c r="N1877" i="2"/>
  <c r="M1877" i="2"/>
  <c r="I1877" i="2"/>
  <c r="J1877" i="2" s="1"/>
  <c r="L1877" i="2" s="1"/>
  <c r="H1877" i="2"/>
  <c r="D1877" i="2"/>
  <c r="N1876" i="2"/>
  <c r="M1876" i="2"/>
  <c r="I1876" i="2"/>
  <c r="H1876" i="2"/>
  <c r="J1876" i="2" s="1"/>
  <c r="L1876" i="2" s="1"/>
  <c r="D1876" i="2"/>
  <c r="N1875" i="2"/>
  <c r="M1875" i="2"/>
  <c r="I1875" i="2"/>
  <c r="H1875" i="2"/>
  <c r="J1875" i="2" s="1"/>
  <c r="L1875" i="2" s="1"/>
  <c r="D1875" i="2"/>
  <c r="N1874" i="2"/>
  <c r="M1874" i="2"/>
  <c r="J1874" i="2"/>
  <c r="L1874" i="2" s="1"/>
  <c r="I1874" i="2"/>
  <c r="H1874" i="2"/>
  <c r="D1874" i="2"/>
  <c r="N1873" i="2"/>
  <c r="M1873" i="2"/>
  <c r="I1873" i="2"/>
  <c r="J1873" i="2" s="1"/>
  <c r="L1873" i="2" s="1"/>
  <c r="H1873" i="2"/>
  <c r="D1873" i="2"/>
  <c r="N1872" i="2"/>
  <c r="M1872" i="2"/>
  <c r="I1872" i="2"/>
  <c r="H1872" i="2"/>
  <c r="J1872" i="2" s="1"/>
  <c r="L1872" i="2" s="1"/>
  <c r="D1872" i="2"/>
  <c r="N1871" i="2"/>
  <c r="M1871" i="2"/>
  <c r="L1871" i="2"/>
  <c r="I1871" i="2"/>
  <c r="H1871" i="2"/>
  <c r="J1871" i="2" s="1"/>
  <c r="D1871" i="2"/>
  <c r="N1870" i="2"/>
  <c r="M1870" i="2"/>
  <c r="J1870" i="2"/>
  <c r="L1870" i="2" s="1"/>
  <c r="I1870" i="2"/>
  <c r="H1870" i="2"/>
  <c r="D1870" i="2"/>
  <c r="N1869" i="2"/>
  <c r="M1869" i="2"/>
  <c r="I1869" i="2"/>
  <c r="J1869" i="2" s="1"/>
  <c r="L1869" i="2" s="1"/>
  <c r="H1869" i="2"/>
  <c r="D1869" i="2"/>
  <c r="N1868" i="2"/>
  <c r="M1868" i="2"/>
  <c r="I1868" i="2"/>
  <c r="H1868" i="2"/>
  <c r="J1868" i="2" s="1"/>
  <c r="L1868" i="2" s="1"/>
  <c r="D1868" i="2"/>
  <c r="N1867" i="2"/>
  <c r="M1867" i="2"/>
  <c r="I1867" i="2"/>
  <c r="H1867" i="2"/>
  <c r="J1867" i="2" s="1"/>
  <c r="L1867" i="2" s="1"/>
  <c r="D1867" i="2"/>
  <c r="N1866" i="2"/>
  <c r="M1866" i="2"/>
  <c r="J1866" i="2"/>
  <c r="L1866" i="2" s="1"/>
  <c r="I1866" i="2"/>
  <c r="H1866" i="2"/>
  <c r="D1866" i="2"/>
  <c r="N1865" i="2"/>
  <c r="M1865" i="2"/>
  <c r="I1865" i="2"/>
  <c r="H1865" i="2"/>
  <c r="J1865" i="2" s="1"/>
  <c r="L1865" i="2" s="1"/>
  <c r="D1865" i="2"/>
  <c r="N1864" i="2"/>
  <c r="M1864" i="2"/>
  <c r="I1864" i="2"/>
  <c r="H1864" i="2"/>
  <c r="J1864" i="2" s="1"/>
  <c r="L1864" i="2" s="1"/>
  <c r="D1864" i="2"/>
  <c r="N1863" i="2"/>
  <c r="M1863" i="2"/>
  <c r="L1863" i="2"/>
  <c r="J1863" i="2"/>
  <c r="I1863" i="2"/>
  <c r="H1863" i="2"/>
  <c r="D1863" i="2"/>
  <c r="N1862" i="2"/>
  <c r="M1862" i="2"/>
  <c r="J1862" i="2"/>
  <c r="L1862" i="2" s="1"/>
  <c r="I1862" i="2"/>
  <c r="H1862" i="2"/>
  <c r="D1862" i="2"/>
  <c r="N1861" i="2"/>
  <c r="M1861" i="2"/>
  <c r="I1861" i="2"/>
  <c r="H1861" i="2"/>
  <c r="J1861" i="2" s="1"/>
  <c r="L1861" i="2" s="1"/>
  <c r="D1861" i="2"/>
  <c r="N1860" i="2"/>
  <c r="M1860" i="2"/>
  <c r="I1860" i="2"/>
  <c r="H1860" i="2"/>
  <c r="J1860" i="2" s="1"/>
  <c r="L1860" i="2" s="1"/>
  <c r="D1860" i="2"/>
  <c r="N1859" i="2"/>
  <c r="M1859" i="2"/>
  <c r="L1859" i="2"/>
  <c r="J1859" i="2"/>
  <c r="I1859" i="2"/>
  <c r="H1859" i="2"/>
  <c r="D1859" i="2"/>
  <c r="N1858" i="2"/>
  <c r="M1858" i="2"/>
  <c r="J1858" i="2"/>
  <c r="L1858" i="2" s="1"/>
  <c r="I1858" i="2"/>
  <c r="H1858" i="2"/>
  <c r="D1858" i="2"/>
  <c r="N1857" i="2"/>
  <c r="M1857" i="2"/>
  <c r="I1857" i="2"/>
  <c r="H1857" i="2"/>
  <c r="D1857" i="2"/>
  <c r="N1856" i="2"/>
  <c r="M1856" i="2"/>
  <c r="I1856" i="2"/>
  <c r="H1856" i="2"/>
  <c r="J1856" i="2" s="1"/>
  <c r="L1856" i="2" s="1"/>
  <c r="D1856" i="2"/>
  <c r="N1855" i="2"/>
  <c r="M1855" i="2"/>
  <c r="L1855" i="2"/>
  <c r="J1855" i="2"/>
  <c r="I1855" i="2"/>
  <c r="H1855" i="2"/>
  <c r="D1855" i="2"/>
  <c r="N1854" i="2"/>
  <c r="M1854" i="2"/>
  <c r="J1854" i="2"/>
  <c r="L1854" i="2" s="1"/>
  <c r="I1854" i="2"/>
  <c r="H1854" i="2"/>
  <c r="D1854" i="2"/>
  <c r="N1853" i="2"/>
  <c r="M1853" i="2"/>
  <c r="I1853" i="2"/>
  <c r="H1853" i="2"/>
  <c r="J1853" i="2" s="1"/>
  <c r="L1853" i="2" s="1"/>
  <c r="D1853" i="2"/>
  <c r="N1852" i="2"/>
  <c r="M1852" i="2"/>
  <c r="I1852" i="2"/>
  <c r="H1852" i="2"/>
  <c r="J1852" i="2" s="1"/>
  <c r="L1852" i="2" s="1"/>
  <c r="D1852" i="2"/>
  <c r="N1851" i="2"/>
  <c r="M1851" i="2"/>
  <c r="L1851" i="2"/>
  <c r="J1851" i="2"/>
  <c r="I1851" i="2"/>
  <c r="H1851" i="2"/>
  <c r="D1851" i="2"/>
  <c r="N1850" i="2"/>
  <c r="M1850" i="2"/>
  <c r="J1850" i="2"/>
  <c r="L1850" i="2" s="1"/>
  <c r="I1850" i="2"/>
  <c r="H1850" i="2"/>
  <c r="D1850" i="2"/>
  <c r="N1849" i="2"/>
  <c r="M1849" i="2"/>
  <c r="I1849" i="2"/>
  <c r="H1849" i="2"/>
  <c r="J1849" i="2" s="1"/>
  <c r="L1849" i="2" s="1"/>
  <c r="D1849" i="2"/>
  <c r="N1848" i="2"/>
  <c r="M1848" i="2"/>
  <c r="I1848" i="2"/>
  <c r="H1848" i="2"/>
  <c r="J1848" i="2" s="1"/>
  <c r="L1848" i="2" s="1"/>
  <c r="D1848" i="2"/>
  <c r="N1847" i="2"/>
  <c r="M1847" i="2"/>
  <c r="L1847" i="2"/>
  <c r="J1847" i="2"/>
  <c r="I1847" i="2"/>
  <c r="H1847" i="2"/>
  <c r="D1847" i="2"/>
  <c r="N1846" i="2"/>
  <c r="M1846" i="2"/>
  <c r="J1846" i="2"/>
  <c r="L1846" i="2" s="1"/>
  <c r="I1846" i="2"/>
  <c r="H1846" i="2"/>
  <c r="D1846" i="2"/>
  <c r="N1845" i="2"/>
  <c r="M1845" i="2"/>
  <c r="I1845" i="2"/>
  <c r="H1845" i="2"/>
  <c r="J1845" i="2" s="1"/>
  <c r="L1845" i="2" s="1"/>
  <c r="D1845" i="2"/>
  <c r="N1844" i="2"/>
  <c r="M1844" i="2"/>
  <c r="I1844" i="2"/>
  <c r="H1844" i="2"/>
  <c r="J1844" i="2" s="1"/>
  <c r="L1844" i="2" s="1"/>
  <c r="D1844" i="2"/>
  <c r="N1843" i="2"/>
  <c r="M1843" i="2"/>
  <c r="L1843" i="2"/>
  <c r="J1843" i="2"/>
  <c r="I1843" i="2"/>
  <c r="H1843" i="2"/>
  <c r="D1843" i="2"/>
  <c r="N1842" i="2"/>
  <c r="M1842" i="2"/>
  <c r="J1842" i="2"/>
  <c r="L1842" i="2" s="1"/>
  <c r="I1842" i="2"/>
  <c r="H1842" i="2"/>
  <c r="D1842" i="2"/>
  <c r="N1841" i="2"/>
  <c r="M1841" i="2"/>
  <c r="I1841" i="2"/>
  <c r="H1841" i="2"/>
  <c r="D1841" i="2"/>
  <c r="N1840" i="2"/>
  <c r="M1840" i="2"/>
  <c r="I1840" i="2"/>
  <c r="H1840" i="2"/>
  <c r="J1840" i="2" s="1"/>
  <c r="L1840" i="2" s="1"/>
  <c r="D1840" i="2"/>
  <c r="N1839" i="2"/>
  <c r="M1839" i="2"/>
  <c r="L1839" i="2"/>
  <c r="J1839" i="2"/>
  <c r="I1839" i="2"/>
  <c r="H1839" i="2"/>
  <c r="D1839" i="2"/>
  <c r="N1838" i="2"/>
  <c r="M1838" i="2"/>
  <c r="J1838" i="2"/>
  <c r="L1838" i="2" s="1"/>
  <c r="I1838" i="2"/>
  <c r="H1838" i="2"/>
  <c r="D1838" i="2"/>
  <c r="N1837" i="2"/>
  <c r="M1837" i="2"/>
  <c r="I1837" i="2"/>
  <c r="H1837" i="2"/>
  <c r="J1837" i="2" s="1"/>
  <c r="L1837" i="2" s="1"/>
  <c r="D1837" i="2"/>
  <c r="N1836" i="2"/>
  <c r="M1836" i="2"/>
  <c r="I1836" i="2"/>
  <c r="H1836" i="2"/>
  <c r="J1836" i="2" s="1"/>
  <c r="L1836" i="2" s="1"/>
  <c r="D1836" i="2"/>
  <c r="N1835" i="2"/>
  <c r="M1835" i="2"/>
  <c r="L1835" i="2"/>
  <c r="J1835" i="2"/>
  <c r="I1835" i="2"/>
  <c r="H1835" i="2"/>
  <c r="D1835" i="2"/>
  <c r="N1834" i="2"/>
  <c r="M1834" i="2"/>
  <c r="J1834" i="2"/>
  <c r="L1834" i="2" s="1"/>
  <c r="I1834" i="2"/>
  <c r="H1834" i="2"/>
  <c r="D1834" i="2"/>
  <c r="N1833" i="2"/>
  <c r="M1833" i="2"/>
  <c r="I1833" i="2"/>
  <c r="H1833" i="2"/>
  <c r="J1833" i="2" s="1"/>
  <c r="L1833" i="2" s="1"/>
  <c r="D1833" i="2"/>
  <c r="N1832" i="2"/>
  <c r="M1832" i="2"/>
  <c r="I1832" i="2"/>
  <c r="H1832" i="2"/>
  <c r="J1832" i="2" s="1"/>
  <c r="L1832" i="2" s="1"/>
  <c r="D1832" i="2"/>
  <c r="N1831" i="2"/>
  <c r="M1831" i="2"/>
  <c r="L1831" i="2"/>
  <c r="J1831" i="2"/>
  <c r="I1831" i="2"/>
  <c r="H1831" i="2"/>
  <c r="D1831" i="2"/>
  <c r="N1830" i="2"/>
  <c r="M1830" i="2"/>
  <c r="J1830" i="2"/>
  <c r="L1830" i="2" s="1"/>
  <c r="I1830" i="2"/>
  <c r="H1830" i="2"/>
  <c r="D1830" i="2"/>
  <c r="N1829" i="2"/>
  <c r="M1829" i="2"/>
  <c r="I1829" i="2"/>
  <c r="H1829" i="2"/>
  <c r="J1829" i="2" s="1"/>
  <c r="L1829" i="2" s="1"/>
  <c r="D1829" i="2"/>
  <c r="N1828" i="2"/>
  <c r="M1828" i="2"/>
  <c r="I1828" i="2"/>
  <c r="H1828" i="2"/>
  <c r="J1828" i="2" s="1"/>
  <c r="L1828" i="2" s="1"/>
  <c r="D1828" i="2"/>
  <c r="N1827" i="2"/>
  <c r="M1827" i="2"/>
  <c r="L1827" i="2"/>
  <c r="J1827" i="2"/>
  <c r="I1827" i="2"/>
  <c r="H1827" i="2"/>
  <c r="D1827" i="2"/>
  <c r="N1826" i="2"/>
  <c r="M1826" i="2"/>
  <c r="J1826" i="2"/>
  <c r="L1826" i="2" s="1"/>
  <c r="I1826" i="2"/>
  <c r="H1826" i="2"/>
  <c r="D1826" i="2"/>
  <c r="N1825" i="2"/>
  <c r="M1825" i="2"/>
  <c r="I1825" i="2"/>
  <c r="H1825" i="2"/>
  <c r="D1825" i="2"/>
  <c r="N1824" i="2"/>
  <c r="M1824" i="2"/>
  <c r="I1824" i="2"/>
  <c r="H1824" i="2"/>
  <c r="J1824" i="2" s="1"/>
  <c r="L1824" i="2" s="1"/>
  <c r="D1824" i="2"/>
  <c r="N1823" i="2"/>
  <c r="M1823" i="2"/>
  <c r="L1823" i="2"/>
  <c r="J1823" i="2"/>
  <c r="I1823" i="2"/>
  <c r="H1823" i="2"/>
  <c r="D1823" i="2"/>
  <c r="N1822" i="2"/>
  <c r="M1822" i="2"/>
  <c r="J1822" i="2"/>
  <c r="L1822" i="2" s="1"/>
  <c r="I1822" i="2"/>
  <c r="H1822" i="2"/>
  <c r="D1822" i="2"/>
  <c r="N1821" i="2"/>
  <c r="M1821" i="2"/>
  <c r="I1821" i="2"/>
  <c r="H1821" i="2"/>
  <c r="J1821" i="2" s="1"/>
  <c r="L1821" i="2" s="1"/>
  <c r="D1821" i="2"/>
  <c r="N1820" i="2"/>
  <c r="M1820" i="2"/>
  <c r="I1820" i="2"/>
  <c r="H1820" i="2"/>
  <c r="J1820" i="2" s="1"/>
  <c r="L1820" i="2" s="1"/>
  <c r="D1820" i="2"/>
  <c r="N1819" i="2"/>
  <c r="M1819" i="2"/>
  <c r="L1819" i="2"/>
  <c r="J1819" i="2"/>
  <c r="I1819" i="2"/>
  <c r="H1819" i="2"/>
  <c r="D1819" i="2"/>
  <c r="N1818" i="2"/>
  <c r="M1818" i="2"/>
  <c r="J1818" i="2"/>
  <c r="L1818" i="2" s="1"/>
  <c r="I1818" i="2"/>
  <c r="H1818" i="2"/>
  <c r="D1818" i="2"/>
  <c r="N1817" i="2"/>
  <c r="M1817" i="2"/>
  <c r="I1817" i="2"/>
  <c r="H1817" i="2"/>
  <c r="J1817" i="2" s="1"/>
  <c r="L1817" i="2" s="1"/>
  <c r="D1817" i="2"/>
  <c r="N1816" i="2"/>
  <c r="M1816" i="2"/>
  <c r="I1816" i="2"/>
  <c r="H1816" i="2"/>
  <c r="J1816" i="2" s="1"/>
  <c r="L1816" i="2" s="1"/>
  <c r="D1816" i="2"/>
  <c r="N1815" i="2"/>
  <c r="M1815" i="2"/>
  <c r="L1815" i="2"/>
  <c r="J1815" i="2"/>
  <c r="I1815" i="2"/>
  <c r="H1815" i="2"/>
  <c r="D1815" i="2"/>
  <c r="N1814" i="2"/>
  <c r="M1814" i="2"/>
  <c r="J1814" i="2"/>
  <c r="L1814" i="2" s="1"/>
  <c r="I1814" i="2"/>
  <c r="H1814" i="2"/>
  <c r="D1814" i="2"/>
  <c r="N1813" i="2"/>
  <c r="M1813" i="2"/>
  <c r="I1813" i="2"/>
  <c r="H1813" i="2"/>
  <c r="J1813" i="2" s="1"/>
  <c r="L1813" i="2" s="1"/>
  <c r="D1813" i="2"/>
  <c r="N1812" i="2"/>
  <c r="M1812" i="2"/>
  <c r="I1812" i="2"/>
  <c r="H1812" i="2"/>
  <c r="J1812" i="2" s="1"/>
  <c r="L1812" i="2" s="1"/>
  <c r="D1812" i="2"/>
  <c r="N1811" i="2"/>
  <c r="M1811" i="2"/>
  <c r="L1811" i="2"/>
  <c r="J1811" i="2"/>
  <c r="I1811" i="2"/>
  <c r="H1811" i="2"/>
  <c r="D1811" i="2"/>
  <c r="N1810" i="2"/>
  <c r="M1810" i="2"/>
  <c r="J1810" i="2"/>
  <c r="L1810" i="2" s="1"/>
  <c r="I1810" i="2"/>
  <c r="H1810" i="2"/>
  <c r="D1810" i="2"/>
  <c r="N1809" i="2"/>
  <c r="M1809" i="2"/>
  <c r="I1809" i="2"/>
  <c r="H1809" i="2"/>
  <c r="D1809" i="2"/>
  <c r="N1808" i="2"/>
  <c r="M1808" i="2"/>
  <c r="I1808" i="2"/>
  <c r="H1808" i="2"/>
  <c r="J1808" i="2" s="1"/>
  <c r="L1808" i="2" s="1"/>
  <c r="D1808" i="2"/>
  <c r="N1807" i="2"/>
  <c r="M1807" i="2"/>
  <c r="L1807" i="2"/>
  <c r="J1807" i="2"/>
  <c r="I1807" i="2"/>
  <c r="H1807" i="2"/>
  <c r="D1807" i="2"/>
  <c r="N1806" i="2"/>
  <c r="M1806" i="2"/>
  <c r="J1806" i="2"/>
  <c r="L1806" i="2" s="1"/>
  <c r="I1806" i="2"/>
  <c r="H1806" i="2"/>
  <c r="D1806" i="2"/>
  <c r="N1805" i="2"/>
  <c r="M1805" i="2"/>
  <c r="I1805" i="2"/>
  <c r="H1805" i="2"/>
  <c r="J1805" i="2" s="1"/>
  <c r="L1805" i="2" s="1"/>
  <c r="D1805" i="2"/>
  <c r="N1804" i="2"/>
  <c r="M1804" i="2"/>
  <c r="I1804" i="2"/>
  <c r="H1804" i="2"/>
  <c r="J1804" i="2" s="1"/>
  <c r="L1804" i="2" s="1"/>
  <c r="D1804" i="2"/>
  <c r="N1803" i="2"/>
  <c r="M1803" i="2"/>
  <c r="L1803" i="2"/>
  <c r="J1803" i="2"/>
  <c r="I1803" i="2"/>
  <c r="H1803" i="2"/>
  <c r="D1803" i="2"/>
  <c r="N1802" i="2"/>
  <c r="M1802" i="2"/>
  <c r="J1802" i="2"/>
  <c r="L1802" i="2" s="1"/>
  <c r="I1802" i="2"/>
  <c r="H1802" i="2"/>
  <c r="D1802" i="2"/>
  <c r="N1801" i="2"/>
  <c r="M1801" i="2"/>
  <c r="I1801" i="2"/>
  <c r="H1801" i="2"/>
  <c r="J1801" i="2" s="1"/>
  <c r="L1801" i="2" s="1"/>
  <c r="D1801" i="2"/>
  <c r="N1800" i="2"/>
  <c r="M1800" i="2"/>
  <c r="I1800" i="2"/>
  <c r="H1800" i="2"/>
  <c r="J1800" i="2" s="1"/>
  <c r="L1800" i="2" s="1"/>
  <c r="D1800" i="2"/>
  <c r="N1799" i="2"/>
  <c r="M1799" i="2"/>
  <c r="L1799" i="2"/>
  <c r="J1799" i="2"/>
  <c r="I1799" i="2"/>
  <c r="H1799" i="2"/>
  <c r="D1799" i="2"/>
  <c r="N1798" i="2"/>
  <c r="M1798" i="2"/>
  <c r="J1798" i="2"/>
  <c r="L1798" i="2" s="1"/>
  <c r="I1798" i="2"/>
  <c r="H1798" i="2"/>
  <c r="D1798" i="2"/>
  <c r="N1797" i="2"/>
  <c r="M1797" i="2"/>
  <c r="I1797" i="2"/>
  <c r="H1797" i="2"/>
  <c r="J1797" i="2" s="1"/>
  <c r="L1797" i="2" s="1"/>
  <c r="D1797" i="2"/>
  <c r="N1796" i="2"/>
  <c r="M1796" i="2"/>
  <c r="I1796" i="2"/>
  <c r="H1796" i="2"/>
  <c r="J1796" i="2" s="1"/>
  <c r="L1796" i="2" s="1"/>
  <c r="D1796" i="2"/>
  <c r="N1795" i="2"/>
  <c r="M1795" i="2"/>
  <c r="L1795" i="2"/>
  <c r="J1795" i="2"/>
  <c r="I1795" i="2"/>
  <c r="H1795" i="2"/>
  <c r="D1795" i="2"/>
  <c r="N1794" i="2"/>
  <c r="M1794" i="2"/>
  <c r="J1794" i="2"/>
  <c r="L1794" i="2" s="1"/>
  <c r="I1794" i="2"/>
  <c r="H1794" i="2"/>
  <c r="D1794" i="2"/>
  <c r="N1793" i="2"/>
  <c r="M1793" i="2"/>
  <c r="I1793" i="2"/>
  <c r="H1793" i="2"/>
  <c r="D1793" i="2"/>
  <c r="N1792" i="2"/>
  <c r="M1792" i="2"/>
  <c r="I1792" i="2"/>
  <c r="H1792" i="2"/>
  <c r="J1792" i="2" s="1"/>
  <c r="L1792" i="2" s="1"/>
  <c r="D1792" i="2"/>
  <c r="N1791" i="2"/>
  <c r="M1791" i="2"/>
  <c r="L1791" i="2"/>
  <c r="J1791" i="2"/>
  <c r="I1791" i="2"/>
  <c r="H1791" i="2"/>
  <c r="D1791" i="2"/>
  <c r="N1790" i="2"/>
  <c r="M1790" i="2"/>
  <c r="J1790" i="2"/>
  <c r="L1790" i="2" s="1"/>
  <c r="I1790" i="2"/>
  <c r="H1790" i="2"/>
  <c r="D1790" i="2"/>
  <c r="N1789" i="2"/>
  <c r="M1789" i="2"/>
  <c r="I1789" i="2"/>
  <c r="H1789" i="2"/>
  <c r="J1789" i="2" s="1"/>
  <c r="L1789" i="2" s="1"/>
  <c r="D1789" i="2"/>
  <c r="N1788" i="2"/>
  <c r="M1788" i="2"/>
  <c r="I1788" i="2"/>
  <c r="H1788" i="2"/>
  <c r="J1788" i="2" s="1"/>
  <c r="L1788" i="2" s="1"/>
  <c r="D1788" i="2"/>
  <c r="N1787" i="2"/>
  <c r="M1787" i="2"/>
  <c r="L1787" i="2"/>
  <c r="J1787" i="2"/>
  <c r="I1787" i="2"/>
  <c r="H1787" i="2"/>
  <c r="D1787" i="2"/>
  <c r="N1786" i="2"/>
  <c r="M1786" i="2"/>
  <c r="J1786" i="2"/>
  <c r="L1786" i="2" s="1"/>
  <c r="I1786" i="2"/>
  <c r="H1786" i="2"/>
  <c r="D1786" i="2"/>
  <c r="N1785" i="2"/>
  <c r="M1785" i="2"/>
  <c r="I1785" i="2"/>
  <c r="H1785" i="2"/>
  <c r="J1785" i="2" s="1"/>
  <c r="L1785" i="2" s="1"/>
  <c r="D1785" i="2"/>
  <c r="N1784" i="2"/>
  <c r="M1784" i="2"/>
  <c r="I1784" i="2"/>
  <c r="H1784" i="2"/>
  <c r="J1784" i="2" s="1"/>
  <c r="L1784" i="2" s="1"/>
  <c r="D1784" i="2"/>
  <c r="N1783" i="2"/>
  <c r="M1783" i="2"/>
  <c r="L1783" i="2"/>
  <c r="J1783" i="2"/>
  <c r="I1783" i="2"/>
  <c r="H1783" i="2"/>
  <c r="D1783" i="2"/>
  <c r="N1782" i="2"/>
  <c r="M1782" i="2"/>
  <c r="J1782" i="2"/>
  <c r="L1782" i="2" s="1"/>
  <c r="I1782" i="2"/>
  <c r="H1782" i="2"/>
  <c r="D1782" i="2"/>
  <c r="N1781" i="2"/>
  <c r="M1781" i="2"/>
  <c r="I1781" i="2"/>
  <c r="H1781" i="2"/>
  <c r="J1781" i="2" s="1"/>
  <c r="L1781" i="2" s="1"/>
  <c r="D1781" i="2"/>
  <c r="N1780" i="2"/>
  <c r="M1780" i="2"/>
  <c r="I1780" i="2"/>
  <c r="H1780" i="2"/>
  <c r="J1780" i="2" s="1"/>
  <c r="L1780" i="2" s="1"/>
  <c r="D1780" i="2"/>
  <c r="N1779" i="2"/>
  <c r="M1779" i="2"/>
  <c r="L1779" i="2"/>
  <c r="J1779" i="2"/>
  <c r="I1779" i="2"/>
  <c r="H1779" i="2"/>
  <c r="D1779" i="2"/>
  <c r="N1778" i="2"/>
  <c r="M1778" i="2"/>
  <c r="J1778" i="2"/>
  <c r="L1778" i="2" s="1"/>
  <c r="I1778" i="2"/>
  <c r="H1778" i="2"/>
  <c r="D1778" i="2"/>
  <c r="N1777" i="2"/>
  <c r="M1777" i="2"/>
  <c r="I1777" i="2"/>
  <c r="H1777" i="2"/>
  <c r="D1777" i="2"/>
  <c r="N1776" i="2"/>
  <c r="M1776" i="2"/>
  <c r="I1776" i="2"/>
  <c r="H1776" i="2"/>
  <c r="J1776" i="2" s="1"/>
  <c r="L1776" i="2" s="1"/>
  <c r="D1776" i="2"/>
  <c r="N1775" i="2"/>
  <c r="M1775" i="2"/>
  <c r="L1775" i="2"/>
  <c r="J1775" i="2"/>
  <c r="I1775" i="2"/>
  <c r="H1775" i="2"/>
  <c r="D1775" i="2"/>
  <c r="N1774" i="2"/>
  <c r="M1774" i="2"/>
  <c r="J1774" i="2"/>
  <c r="L1774" i="2" s="1"/>
  <c r="I1774" i="2"/>
  <c r="H1774" i="2"/>
  <c r="D1774" i="2"/>
  <c r="N1773" i="2"/>
  <c r="M1773" i="2"/>
  <c r="I1773" i="2"/>
  <c r="H1773" i="2"/>
  <c r="J1773" i="2" s="1"/>
  <c r="L1773" i="2" s="1"/>
  <c r="D1773" i="2"/>
  <c r="N1772" i="2"/>
  <c r="M1772" i="2"/>
  <c r="I1772" i="2"/>
  <c r="H1772" i="2"/>
  <c r="J1772" i="2" s="1"/>
  <c r="L1772" i="2" s="1"/>
  <c r="D1772" i="2"/>
  <c r="N1771" i="2"/>
  <c r="M1771" i="2"/>
  <c r="L1771" i="2"/>
  <c r="J1771" i="2"/>
  <c r="I1771" i="2"/>
  <c r="H1771" i="2"/>
  <c r="D1771" i="2"/>
  <c r="N1770" i="2"/>
  <c r="M1770" i="2"/>
  <c r="J1770" i="2"/>
  <c r="L1770" i="2" s="1"/>
  <c r="I1770" i="2"/>
  <c r="H1770" i="2"/>
  <c r="D1770" i="2"/>
  <c r="N1769" i="2"/>
  <c r="M1769" i="2"/>
  <c r="I1769" i="2"/>
  <c r="H1769" i="2"/>
  <c r="J1769" i="2" s="1"/>
  <c r="L1769" i="2" s="1"/>
  <c r="D1769" i="2"/>
  <c r="N1768" i="2"/>
  <c r="M1768" i="2"/>
  <c r="I1768" i="2"/>
  <c r="H1768" i="2"/>
  <c r="J1768" i="2" s="1"/>
  <c r="L1768" i="2" s="1"/>
  <c r="D1768" i="2"/>
  <c r="N1767" i="2"/>
  <c r="M1767" i="2"/>
  <c r="L1767" i="2"/>
  <c r="I1767" i="2"/>
  <c r="H1767" i="2"/>
  <c r="J1767" i="2" s="1"/>
  <c r="D1767" i="2"/>
  <c r="N1766" i="2"/>
  <c r="M1766" i="2"/>
  <c r="J1766" i="2"/>
  <c r="L1766" i="2" s="1"/>
  <c r="I1766" i="2"/>
  <c r="H1766" i="2"/>
  <c r="D1766" i="2"/>
  <c r="N1765" i="2"/>
  <c r="M1765" i="2"/>
  <c r="I1765" i="2"/>
  <c r="H1765" i="2"/>
  <c r="D1765" i="2"/>
  <c r="N1764" i="2"/>
  <c r="M1764" i="2"/>
  <c r="I1764" i="2"/>
  <c r="H1764" i="2"/>
  <c r="J1764" i="2" s="1"/>
  <c r="L1764" i="2" s="1"/>
  <c r="D1764" i="2"/>
  <c r="N1763" i="2"/>
  <c r="M1763" i="2"/>
  <c r="I1763" i="2"/>
  <c r="H1763" i="2"/>
  <c r="J1763" i="2" s="1"/>
  <c r="L1763" i="2" s="1"/>
  <c r="D1763" i="2"/>
  <c r="N1762" i="2"/>
  <c r="M1762" i="2"/>
  <c r="J1762" i="2"/>
  <c r="L1762" i="2" s="1"/>
  <c r="I1762" i="2"/>
  <c r="H1762" i="2"/>
  <c r="D1762" i="2"/>
  <c r="N1761" i="2"/>
  <c r="M1761" i="2"/>
  <c r="I1761" i="2"/>
  <c r="J1761" i="2" s="1"/>
  <c r="L1761" i="2" s="1"/>
  <c r="H1761" i="2"/>
  <c r="D1761" i="2"/>
  <c r="N1760" i="2"/>
  <c r="M1760" i="2"/>
  <c r="I1760" i="2"/>
  <c r="H1760" i="2"/>
  <c r="J1760" i="2" s="1"/>
  <c r="L1760" i="2" s="1"/>
  <c r="D1760" i="2"/>
  <c r="N1759" i="2"/>
  <c r="M1759" i="2"/>
  <c r="L1759" i="2"/>
  <c r="I1759" i="2"/>
  <c r="H1759" i="2"/>
  <c r="J1759" i="2" s="1"/>
  <c r="D1759" i="2"/>
  <c r="N1758" i="2"/>
  <c r="M1758" i="2"/>
  <c r="J1758" i="2"/>
  <c r="L1758" i="2" s="1"/>
  <c r="I1758" i="2"/>
  <c r="H1758" i="2"/>
  <c r="D1758" i="2"/>
  <c r="N1757" i="2"/>
  <c r="M1757" i="2"/>
  <c r="I1757" i="2"/>
  <c r="J1757" i="2" s="1"/>
  <c r="L1757" i="2" s="1"/>
  <c r="H1757" i="2"/>
  <c r="D1757" i="2"/>
  <c r="N1756" i="2"/>
  <c r="M1756" i="2"/>
  <c r="I1756" i="2"/>
  <c r="H1756" i="2"/>
  <c r="J1756" i="2" s="1"/>
  <c r="L1756" i="2" s="1"/>
  <c r="D1756" i="2"/>
  <c r="N1755" i="2"/>
  <c r="M1755" i="2"/>
  <c r="I1755" i="2"/>
  <c r="H1755" i="2"/>
  <c r="J1755" i="2" s="1"/>
  <c r="L1755" i="2" s="1"/>
  <c r="D1755" i="2"/>
  <c r="N1754" i="2"/>
  <c r="M1754" i="2"/>
  <c r="J1754" i="2"/>
  <c r="L1754" i="2" s="1"/>
  <c r="I1754" i="2"/>
  <c r="H1754" i="2"/>
  <c r="D1754" i="2"/>
  <c r="N1753" i="2"/>
  <c r="M1753" i="2"/>
  <c r="I1753" i="2"/>
  <c r="J1753" i="2" s="1"/>
  <c r="L1753" i="2" s="1"/>
  <c r="H1753" i="2"/>
  <c r="D1753" i="2"/>
  <c r="N1752" i="2"/>
  <c r="M1752" i="2"/>
  <c r="I1752" i="2"/>
  <c r="H1752" i="2"/>
  <c r="J1752" i="2" s="1"/>
  <c r="L1752" i="2" s="1"/>
  <c r="D1752" i="2"/>
  <c r="N1751" i="2"/>
  <c r="M1751" i="2"/>
  <c r="L1751" i="2"/>
  <c r="I1751" i="2"/>
  <c r="H1751" i="2"/>
  <c r="J1751" i="2" s="1"/>
  <c r="D1751" i="2"/>
  <c r="N1750" i="2"/>
  <c r="M1750" i="2"/>
  <c r="J1750" i="2"/>
  <c r="L1750" i="2" s="1"/>
  <c r="I1750" i="2"/>
  <c r="H1750" i="2"/>
  <c r="D1750" i="2"/>
  <c r="N1749" i="2"/>
  <c r="M1749" i="2"/>
  <c r="I1749" i="2"/>
  <c r="J1749" i="2" s="1"/>
  <c r="L1749" i="2" s="1"/>
  <c r="H1749" i="2"/>
  <c r="D1749" i="2"/>
  <c r="N1748" i="2"/>
  <c r="M1748" i="2"/>
  <c r="I1748" i="2"/>
  <c r="H1748" i="2"/>
  <c r="J1748" i="2" s="1"/>
  <c r="L1748" i="2" s="1"/>
  <c r="D1748" i="2"/>
  <c r="N1747" i="2"/>
  <c r="M1747" i="2"/>
  <c r="I1747" i="2"/>
  <c r="H1747" i="2"/>
  <c r="J1747" i="2" s="1"/>
  <c r="L1747" i="2" s="1"/>
  <c r="D1747" i="2"/>
  <c r="N1746" i="2"/>
  <c r="M1746" i="2"/>
  <c r="J1746" i="2"/>
  <c r="L1746" i="2" s="1"/>
  <c r="I1746" i="2"/>
  <c r="H1746" i="2"/>
  <c r="D1746" i="2"/>
  <c r="N1745" i="2"/>
  <c r="M1745" i="2"/>
  <c r="I1745" i="2"/>
  <c r="J1745" i="2" s="1"/>
  <c r="L1745" i="2" s="1"/>
  <c r="H1745" i="2"/>
  <c r="D1745" i="2"/>
  <c r="N1744" i="2"/>
  <c r="M1744" i="2"/>
  <c r="I1744" i="2"/>
  <c r="H1744" i="2"/>
  <c r="J1744" i="2" s="1"/>
  <c r="L1744" i="2" s="1"/>
  <c r="D1744" i="2"/>
  <c r="N1743" i="2"/>
  <c r="M1743" i="2"/>
  <c r="L1743" i="2"/>
  <c r="I1743" i="2"/>
  <c r="H1743" i="2"/>
  <c r="J1743" i="2" s="1"/>
  <c r="D1743" i="2"/>
  <c r="N1742" i="2"/>
  <c r="M1742" i="2"/>
  <c r="J1742" i="2"/>
  <c r="L1742" i="2" s="1"/>
  <c r="I1742" i="2"/>
  <c r="H1742" i="2"/>
  <c r="D1742" i="2"/>
  <c r="N1741" i="2"/>
  <c r="M1741" i="2"/>
  <c r="I1741" i="2"/>
  <c r="J1741" i="2" s="1"/>
  <c r="L1741" i="2" s="1"/>
  <c r="H1741" i="2"/>
  <c r="D1741" i="2"/>
  <c r="N1740" i="2"/>
  <c r="M1740" i="2"/>
  <c r="I1740" i="2"/>
  <c r="H1740" i="2"/>
  <c r="J1740" i="2" s="1"/>
  <c r="L1740" i="2" s="1"/>
  <c r="D1740" i="2"/>
  <c r="N1739" i="2"/>
  <c r="M1739" i="2"/>
  <c r="I1739" i="2"/>
  <c r="H1739" i="2"/>
  <c r="J1739" i="2" s="1"/>
  <c r="L1739" i="2" s="1"/>
  <c r="D1739" i="2"/>
  <c r="N1738" i="2"/>
  <c r="M1738" i="2"/>
  <c r="J1738" i="2"/>
  <c r="L1738" i="2" s="1"/>
  <c r="I1738" i="2"/>
  <c r="H1738" i="2"/>
  <c r="D1738" i="2"/>
  <c r="N1737" i="2"/>
  <c r="M1737" i="2"/>
  <c r="I1737" i="2"/>
  <c r="J1737" i="2" s="1"/>
  <c r="L1737" i="2" s="1"/>
  <c r="H1737" i="2"/>
  <c r="D1737" i="2"/>
  <c r="N1736" i="2"/>
  <c r="M1736" i="2"/>
  <c r="I1736" i="2"/>
  <c r="H1736" i="2"/>
  <c r="J1736" i="2" s="1"/>
  <c r="L1736" i="2" s="1"/>
  <c r="D1736" i="2"/>
  <c r="N1735" i="2"/>
  <c r="M1735" i="2"/>
  <c r="L1735" i="2"/>
  <c r="I1735" i="2"/>
  <c r="H1735" i="2"/>
  <c r="J1735" i="2" s="1"/>
  <c r="D1735" i="2"/>
  <c r="N1734" i="2"/>
  <c r="M1734" i="2"/>
  <c r="J1734" i="2"/>
  <c r="L1734" i="2" s="1"/>
  <c r="I1734" i="2"/>
  <c r="H1734" i="2"/>
  <c r="D1734" i="2"/>
  <c r="N1733" i="2"/>
  <c r="M1733" i="2"/>
  <c r="I1733" i="2"/>
  <c r="J1733" i="2" s="1"/>
  <c r="L1733" i="2" s="1"/>
  <c r="H1733" i="2"/>
  <c r="D1733" i="2"/>
  <c r="N1732" i="2"/>
  <c r="M1732" i="2"/>
  <c r="I1732" i="2"/>
  <c r="H1732" i="2"/>
  <c r="J1732" i="2" s="1"/>
  <c r="L1732" i="2" s="1"/>
  <c r="D1732" i="2"/>
  <c r="N1731" i="2"/>
  <c r="M1731" i="2"/>
  <c r="I1731" i="2"/>
  <c r="H1731" i="2"/>
  <c r="J1731" i="2" s="1"/>
  <c r="L1731" i="2" s="1"/>
  <c r="D1731" i="2"/>
  <c r="N1730" i="2"/>
  <c r="M1730" i="2"/>
  <c r="J1730" i="2"/>
  <c r="L1730" i="2" s="1"/>
  <c r="I1730" i="2"/>
  <c r="H1730" i="2"/>
  <c r="D1730" i="2"/>
  <c r="N1729" i="2"/>
  <c r="M1729" i="2"/>
  <c r="I1729" i="2"/>
  <c r="J1729" i="2" s="1"/>
  <c r="L1729" i="2" s="1"/>
  <c r="H1729" i="2"/>
  <c r="D1729" i="2"/>
  <c r="N1728" i="2"/>
  <c r="M1728" i="2"/>
  <c r="I1728" i="2"/>
  <c r="H1728" i="2"/>
  <c r="J1728" i="2" s="1"/>
  <c r="L1728" i="2" s="1"/>
  <c r="D1728" i="2"/>
  <c r="N1727" i="2"/>
  <c r="M1727" i="2"/>
  <c r="L1727" i="2"/>
  <c r="I1727" i="2"/>
  <c r="H1727" i="2"/>
  <c r="J1727" i="2" s="1"/>
  <c r="D1727" i="2"/>
  <c r="N1726" i="2"/>
  <c r="M1726" i="2"/>
  <c r="J1726" i="2"/>
  <c r="L1726" i="2" s="1"/>
  <c r="I1726" i="2"/>
  <c r="H1726" i="2"/>
  <c r="D1726" i="2"/>
  <c r="N1725" i="2"/>
  <c r="M1725" i="2"/>
  <c r="I1725" i="2"/>
  <c r="J1725" i="2" s="1"/>
  <c r="L1725" i="2" s="1"/>
  <c r="H1725" i="2"/>
  <c r="D1725" i="2"/>
  <c r="N1724" i="2"/>
  <c r="M1724" i="2"/>
  <c r="I1724" i="2"/>
  <c r="H1724" i="2"/>
  <c r="J1724" i="2" s="1"/>
  <c r="L1724" i="2" s="1"/>
  <c r="D1724" i="2"/>
  <c r="N1723" i="2"/>
  <c r="M1723" i="2"/>
  <c r="I1723" i="2"/>
  <c r="H1723" i="2"/>
  <c r="J1723" i="2" s="1"/>
  <c r="L1723" i="2" s="1"/>
  <c r="D1723" i="2"/>
  <c r="N1722" i="2"/>
  <c r="M1722" i="2"/>
  <c r="J1722" i="2"/>
  <c r="L1722" i="2" s="1"/>
  <c r="I1722" i="2"/>
  <c r="H1722" i="2"/>
  <c r="D1722" i="2"/>
  <c r="N1721" i="2"/>
  <c r="M1721" i="2"/>
  <c r="I1721" i="2"/>
  <c r="J1721" i="2" s="1"/>
  <c r="L1721" i="2" s="1"/>
  <c r="H1721" i="2"/>
  <c r="D1721" i="2"/>
  <c r="N1720" i="2"/>
  <c r="M1720" i="2"/>
  <c r="I1720" i="2"/>
  <c r="H1720" i="2"/>
  <c r="J1720" i="2" s="1"/>
  <c r="L1720" i="2" s="1"/>
  <c r="D1720" i="2"/>
  <c r="N1719" i="2"/>
  <c r="M1719" i="2"/>
  <c r="L1719" i="2"/>
  <c r="I1719" i="2"/>
  <c r="H1719" i="2"/>
  <c r="J1719" i="2" s="1"/>
  <c r="D1719" i="2"/>
  <c r="N1718" i="2"/>
  <c r="M1718" i="2"/>
  <c r="J1718" i="2"/>
  <c r="L1718" i="2" s="1"/>
  <c r="I1718" i="2"/>
  <c r="H1718" i="2"/>
  <c r="D1718" i="2"/>
  <c r="N1717" i="2"/>
  <c r="M1717" i="2"/>
  <c r="I1717" i="2"/>
  <c r="J1717" i="2" s="1"/>
  <c r="L1717" i="2" s="1"/>
  <c r="H1717" i="2"/>
  <c r="D1717" i="2"/>
  <c r="N1716" i="2"/>
  <c r="M1716" i="2"/>
  <c r="I1716" i="2"/>
  <c r="H1716" i="2"/>
  <c r="J1716" i="2" s="1"/>
  <c r="L1716" i="2" s="1"/>
  <c r="D1716" i="2"/>
  <c r="N1715" i="2"/>
  <c r="M1715" i="2"/>
  <c r="I1715" i="2"/>
  <c r="H1715" i="2"/>
  <c r="J1715" i="2" s="1"/>
  <c r="L1715" i="2" s="1"/>
  <c r="D1715" i="2"/>
  <c r="N1714" i="2"/>
  <c r="M1714" i="2"/>
  <c r="J1714" i="2"/>
  <c r="L1714" i="2" s="1"/>
  <c r="I1714" i="2"/>
  <c r="H1714" i="2"/>
  <c r="D1714" i="2"/>
  <c r="N1713" i="2"/>
  <c r="M1713" i="2"/>
  <c r="I1713" i="2"/>
  <c r="J1713" i="2" s="1"/>
  <c r="L1713" i="2" s="1"/>
  <c r="H1713" i="2"/>
  <c r="D1713" i="2"/>
  <c r="N1712" i="2"/>
  <c r="M1712" i="2"/>
  <c r="I1712" i="2"/>
  <c r="H1712" i="2"/>
  <c r="J1712" i="2" s="1"/>
  <c r="L1712" i="2" s="1"/>
  <c r="D1712" i="2"/>
  <c r="N1711" i="2"/>
  <c r="M1711" i="2"/>
  <c r="L1711" i="2"/>
  <c r="I1711" i="2"/>
  <c r="H1711" i="2"/>
  <c r="J1711" i="2" s="1"/>
  <c r="D1711" i="2"/>
  <c r="N1710" i="2"/>
  <c r="M1710" i="2"/>
  <c r="J1710" i="2"/>
  <c r="L1710" i="2" s="1"/>
  <c r="I1710" i="2"/>
  <c r="H1710" i="2"/>
  <c r="D1710" i="2"/>
  <c r="N1709" i="2"/>
  <c r="M1709" i="2"/>
  <c r="I1709" i="2"/>
  <c r="J1709" i="2" s="1"/>
  <c r="L1709" i="2" s="1"/>
  <c r="H1709" i="2"/>
  <c r="D1709" i="2"/>
  <c r="N1708" i="2"/>
  <c r="M1708" i="2"/>
  <c r="I1708" i="2"/>
  <c r="H1708" i="2"/>
  <c r="J1708" i="2" s="1"/>
  <c r="L1708" i="2" s="1"/>
  <c r="D1708" i="2"/>
  <c r="N1707" i="2"/>
  <c r="M1707" i="2"/>
  <c r="L1707" i="2"/>
  <c r="I1707" i="2"/>
  <c r="H1707" i="2"/>
  <c r="J1707" i="2" s="1"/>
  <c r="D1707" i="2"/>
  <c r="N1706" i="2"/>
  <c r="M1706" i="2"/>
  <c r="J1706" i="2"/>
  <c r="L1706" i="2" s="1"/>
  <c r="I1706" i="2"/>
  <c r="H1706" i="2"/>
  <c r="D1706" i="2"/>
  <c r="N1705" i="2"/>
  <c r="M1705" i="2"/>
  <c r="I1705" i="2"/>
  <c r="J1705" i="2" s="1"/>
  <c r="L1705" i="2" s="1"/>
  <c r="H1705" i="2"/>
  <c r="D1705" i="2"/>
  <c r="N1704" i="2"/>
  <c r="M1704" i="2"/>
  <c r="I1704" i="2"/>
  <c r="H1704" i="2"/>
  <c r="J1704" i="2" s="1"/>
  <c r="L1704" i="2" s="1"/>
  <c r="D1704" i="2"/>
  <c r="N1703" i="2"/>
  <c r="M1703" i="2"/>
  <c r="L1703" i="2"/>
  <c r="I1703" i="2"/>
  <c r="H1703" i="2"/>
  <c r="J1703" i="2" s="1"/>
  <c r="D1703" i="2"/>
  <c r="N1702" i="2"/>
  <c r="M1702" i="2"/>
  <c r="J1702" i="2"/>
  <c r="L1702" i="2" s="1"/>
  <c r="I1702" i="2"/>
  <c r="H1702" i="2"/>
  <c r="D1702" i="2"/>
  <c r="N1701" i="2"/>
  <c r="M1701" i="2"/>
  <c r="I1701" i="2"/>
  <c r="J1701" i="2" s="1"/>
  <c r="L1701" i="2" s="1"/>
  <c r="H1701" i="2"/>
  <c r="D1701" i="2"/>
  <c r="N1700" i="2"/>
  <c r="M1700" i="2"/>
  <c r="I1700" i="2"/>
  <c r="H1700" i="2"/>
  <c r="J1700" i="2" s="1"/>
  <c r="L1700" i="2" s="1"/>
  <c r="D1700" i="2"/>
  <c r="N1699" i="2"/>
  <c r="M1699" i="2"/>
  <c r="L1699" i="2"/>
  <c r="I1699" i="2"/>
  <c r="H1699" i="2"/>
  <c r="J1699" i="2" s="1"/>
  <c r="D1699" i="2"/>
  <c r="N1698" i="2"/>
  <c r="M1698" i="2"/>
  <c r="J1698" i="2"/>
  <c r="L1698" i="2" s="1"/>
  <c r="I1698" i="2"/>
  <c r="H1698" i="2"/>
  <c r="D1698" i="2"/>
  <c r="N1697" i="2"/>
  <c r="M1697" i="2"/>
  <c r="I1697" i="2"/>
  <c r="J1697" i="2" s="1"/>
  <c r="L1697" i="2" s="1"/>
  <c r="H1697" i="2"/>
  <c r="D1697" i="2"/>
  <c r="N1696" i="2"/>
  <c r="M1696" i="2"/>
  <c r="I1696" i="2"/>
  <c r="H1696" i="2"/>
  <c r="J1696" i="2" s="1"/>
  <c r="L1696" i="2" s="1"/>
  <c r="D1696" i="2"/>
  <c r="N1695" i="2"/>
  <c r="M1695" i="2"/>
  <c r="L1695" i="2"/>
  <c r="I1695" i="2"/>
  <c r="H1695" i="2"/>
  <c r="J1695" i="2" s="1"/>
  <c r="D1695" i="2"/>
  <c r="N1694" i="2"/>
  <c r="M1694" i="2"/>
  <c r="J1694" i="2"/>
  <c r="L1694" i="2" s="1"/>
  <c r="I1694" i="2"/>
  <c r="H1694" i="2"/>
  <c r="D1694" i="2"/>
  <c r="N1693" i="2"/>
  <c r="M1693" i="2"/>
  <c r="I1693" i="2"/>
  <c r="J1693" i="2" s="1"/>
  <c r="L1693" i="2" s="1"/>
  <c r="H1693" i="2"/>
  <c r="D1693" i="2"/>
  <c r="N1692" i="2"/>
  <c r="M1692" i="2"/>
  <c r="I1692" i="2"/>
  <c r="H1692" i="2"/>
  <c r="J1692" i="2" s="1"/>
  <c r="L1692" i="2" s="1"/>
  <c r="D1692" i="2"/>
  <c r="N1691" i="2"/>
  <c r="M1691" i="2"/>
  <c r="L1691" i="2"/>
  <c r="I1691" i="2"/>
  <c r="H1691" i="2"/>
  <c r="J1691" i="2" s="1"/>
  <c r="D1691" i="2"/>
  <c r="N1690" i="2"/>
  <c r="M1690" i="2"/>
  <c r="J1690" i="2"/>
  <c r="L1690" i="2" s="1"/>
  <c r="I1690" i="2"/>
  <c r="H1690" i="2"/>
  <c r="D1690" i="2"/>
  <c r="N1689" i="2"/>
  <c r="M1689" i="2"/>
  <c r="I1689" i="2"/>
  <c r="J1689" i="2" s="1"/>
  <c r="L1689" i="2" s="1"/>
  <c r="H1689" i="2"/>
  <c r="D1689" i="2"/>
  <c r="N1688" i="2"/>
  <c r="M1688" i="2"/>
  <c r="I1688" i="2"/>
  <c r="H1688" i="2"/>
  <c r="J1688" i="2" s="1"/>
  <c r="L1688" i="2" s="1"/>
  <c r="D1688" i="2"/>
  <c r="N1687" i="2"/>
  <c r="M1687" i="2"/>
  <c r="L1687" i="2"/>
  <c r="I1687" i="2"/>
  <c r="H1687" i="2"/>
  <c r="J1687" i="2" s="1"/>
  <c r="D1687" i="2"/>
  <c r="N1686" i="2"/>
  <c r="M1686" i="2"/>
  <c r="J1686" i="2"/>
  <c r="L1686" i="2" s="1"/>
  <c r="I1686" i="2"/>
  <c r="H1686" i="2"/>
  <c r="D1686" i="2"/>
  <c r="N1685" i="2"/>
  <c r="M1685" i="2"/>
  <c r="I1685" i="2"/>
  <c r="J1685" i="2" s="1"/>
  <c r="L1685" i="2" s="1"/>
  <c r="H1685" i="2"/>
  <c r="D1685" i="2"/>
  <c r="N1684" i="2"/>
  <c r="M1684" i="2"/>
  <c r="I1684" i="2"/>
  <c r="H1684" i="2"/>
  <c r="J1684" i="2" s="1"/>
  <c r="L1684" i="2" s="1"/>
  <c r="D1684" i="2"/>
  <c r="N1683" i="2"/>
  <c r="M1683" i="2"/>
  <c r="L1683" i="2"/>
  <c r="I1683" i="2"/>
  <c r="H1683" i="2"/>
  <c r="J1683" i="2" s="1"/>
  <c r="D1683" i="2"/>
  <c r="N1682" i="2"/>
  <c r="M1682" i="2"/>
  <c r="J1682" i="2"/>
  <c r="L1682" i="2" s="1"/>
  <c r="I1682" i="2"/>
  <c r="H1682" i="2"/>
  <c r="D1682" i="2"/>
  <c r="N1681" i="2"/>
  <c r="M1681" i="2"/>
  <c r="I1681" i="2"/>
  <c r="J1681" i="2" s="1"/>
  <c r="L1681" i="2" s="1"/>
  <c r="H1681" i="2"/>
  <c r="D1681" i="2"/>
  <c r="N1680" i="2"/>
  <c r="M1680" i="2"/>
  <c r="I1680" i="2"/>
  <c r="H1680" i="2"/>
  <c r="J1680" i="2" s="1"/>
  <c r="L1680" i="2" s="1"/>
  <c r="D1680" i="2"/>
  <c r="N1679" i="2"/>
  <c r="M1679" i="2"/>
  <c r="J1679" i="2"/>
  <c r="L1679" i="2" s="1"/>
  <c r="I1679" i="2"/>
  <c r="H1679" i="2"/>
  <c r="D1679" i="2"/>
  <c r="N1678" i="2"/>
  <c r="M1678" i="2"/>
  <c r="I1678" i="2"/>
  <c r="J1678" i="2" s="1"/>
  <c r="L1678" i="2" s="1"/>
  <c r="H1678" i="2"/>
  <c r="D1678" i="2"/>
  <c r="N1677" i="2"/>
  <c r="M1677" i="2"/>
  <c r="I1677" i="2"/>
  <c r="H1677" i="2"/>
  <c r="J1677" i="2" s="1"/>
  <c r="L1677" i="2" s="1"/>
  <c r="D1677" i="2"/>
  <c r="N1676" i="2"/>
  <c r="M1676" i="2"/>
  <c r="I1676" i="2"/>
  <c r="H1676" i="2"/>
  <c r="J1676" i="2" s="1"/>
  <c r="L1676" i="2" s="1"/>
  <c r="D1676" i="2"/>
  <c r="N1675" i="2"/>
  <c r="M1675" i="2"/>
  <c r="J1675" i="2"/>
  <c r="L1675" i="2" s="1"/>
  <c r="I1675" i="2"/>
  <c r="H1675" i="2"/>
  <c r="D1675" i="2"/>
  <c r="N1674" i="2"/>
  <c r="M1674" i="2"/>
  <c r="I1674" i="2"/>
  <c r="J1674" i="2" s="1"/>
  <c r="L1674" i="2" s="1"/>
  <c r="H1674" i="2"/>
  <c r="D1674" i="2"/>
  <c r="N1673" i="2"/>
  <c r="M1673" i="2"/>
  <c r="I1673" i="2"/>
  <c r="H1673" i="2"/>
  <c r="J1673" i="2" s="1"/>
  <c r="L1673" i="2" s="1"/>
  <c r="D1673" i="2"/>
  <c r="N1672" i="2"/>
  <c r="M1672" i="2"/>
  <c r="I1672" i="2"/>
  <c r="H1672" i="2"/>
  <c r="J1672" i="2" s="1"/>
  <c r="L1672" i="2" s="1"/>
  <c r="D1672" i="2"/>
  <c r="N1671" i="2"/>
  <c r="M1671" i="2"/>
  <c r="J1671" i="2"/>
  <c r="L1671" i="2" s="1"/>
  <c r="I1671" i="2"/>
  <c r="H1671" i="2"/>
  <c r="D1671" i="2"/>
  <c r="N1670" i="2"/>
  <c r="M1670" i="2"/>
  <c r="I1670" i="2"/>
  <c r="J1670" i="2" s="1"/>
  <c r="L1670" i="2" s="1"/>
  <c r="H1670" i="2"/>
  <c r="D1670" i="2"/>
  <c r="N1669" i="2"/>
  <c r="M1669" i="2"/>
  <c r="I1669" i="2"/>
  <c r="H1669" i="2"/>
  <c r="J1669" i="2" s="1"/>
  <c r="L1669" i="2" s="1"/>
  <c r="D1669" i="2"/>
  <c r="N1668" i="2"/>
  <c r="M1668" i="2"/>
  <c r="I1668" i="2"/>
  <c r="H1668" i="2"/>
  <c r="J1668" i="2" s="1"/>
  <c r="L1668" i="2" s="1"/>
  <c r="D1668" i="2"/>
  <c r="N1667" i="2"/>
  <c r="M1667" i="2"/>
  <c r="J1667" i="2"/>
  <c r="L1667" i="2" s="1"/>
  <c r="I1667" i="2"/>
  <c r="H1667" i="2"/>
  <c r="D1667" i="2"/>
  <c r="N1666" i="2"/>
  <c r="M1666" i="2"/>
  <c r="I1666" i="2"/>
  <c r="J1666" i="2" s="1"/>
  <c r="L1666" i="2" s="1"/>
  <c r="H1666" i="2"/>
  <c r="D1666" i="2"/>
  <c r="N1665" i="2"/>
  <c r="M1665" i="2"/>
  <c r="I1665" i="2"/>
  <c r="H1665" i="2"/>
  <c r="J1665" i="2" s="1"/>
  <c r="L1665" i="2" s="1"/>
  <c r="D1665" i="2"/>
  <c r="N1664" i="2"/>
  <c r="M1664" i="2"/>
  <c r="I1664" i="2"/>
  <c r="H1664" i="2"/>
  <c r="J1664" i="2" s="1"/>
  <c r="L1664" i="2" s="1"/>
  <c r="D1664" i="2"/>
  <c r="N1663" i="2"/>
  <c r="M1663" i="2"/>
  <c r="J1663" i="2"/>
  <c r="L1663" i="2" s="1"/>
  <c r="I1663" i="2"/>
  <c r="H1663" i="2"/>
  <c r="D1663" i="2"/>
  <c r="N1662" i="2"/>
  <c r="M1662" i="2"/>
  <c r="I1662" i="2"/>
  <c r="J1662" i="2" s="1"/>
  <c r="L1662" i="2" s="1"/>
  <c r="H1662" i="2"/>
  <c r="D1662" i="2"/>
  <c r="N1661" i="2"/>
  <c r="M1661" i="2"/>
  <c r="I1661" i="2"/>
  <c r="H1661" i="2"/>
  <c r="J1661" i="2" s="1"/>
  <c r="L1661" i="2" s="1"/>
  <c r="D1661" i="2"/>
  <c r="N1660" i="2"/>
  <c r="M1660" i="2"/>
  <c r="I1660" i="2"/>
  <c r="H1660" i="2"/>
  <c r="J1660" i="2" s="1"/>
  <c r="L1660" i="2" s="1"/>
  <c r="D1660" i="2"/>
  <c r="N1659" i="2"/>
  <c r="M1659" i="2"/>
  <c r="J1659" i="2"/>
  <c r="L1659" i="2" s="1"/>
  <c r="I1659" i="2"/>
  <c r="H1659" i="2"/>
  <c r="D1659" i="2"/>
  <c r="N1658" i="2"/>
  <c r="M1658" i="2"/>
  <c r="I1658" i="2"/>
  <c r="J1658" i="2" s="1"/>
  <c r="L1658" i="2" s="1"/>
  <c r="H1658" i="2"/>
  <c r="D1658" i="2"/>
  <c r="N1657" i="2"/>
  <c r="M1657" i="2"/>
  <c r="I1657" i="2"/>
  <c r="H1657" i="2"/>
  <c r="J1657" i="2" s="1"/>
  <c r="L1657" i="2" s="1"/>
  <c r="D1657" i="2"/>
  <c r="N1656" i="2"/>
  <c r="M1656" i="2"/>
  <c r="I1656" i="2"/>
  <c r="H1656" i="2"/>
  <c r="J1656" i="2" s="1"/>
  <c r="L1656" i="2" s="1"/>
  <c r="D1656" i="2"/>
  <c r="N1655" i="2"/>
  <c r="M1655" i="2"/>
  <c r="J1655" i="2"/>
  <c r="L1655" i="2" s="1"/>
  <c r="I1655" i="2"/>
  <c r="H1655" i="2"/>
  <c r="D1655" i="2"/>
  <c r="N1654" i="2"/>
  <c r="M1654" i="2"/>
  <c r="I1654" i="2"/>
  <c r="J1654" i="2" s="1"/>
  <c r="L1654" i="2" s="1"/>
  <c r="H1654" i="2"/>
  <c r="D1654" i="2"/>
  <c r="N1653" i="2"/>
  <c r="M1653" i="2"/>
  <c r="I1653" i="2"/>
  <c r="H1653" i="2"/>
  <c r="J1653" i="2" s="1"/>
  <c r="L1653" i="2" s="1"/>
  <c r="D1653" i="2"/>
  <c r="N1652" i="2"/>
  <c r="M1652" i="2"/>
  <c r="I1652" i="2"/>
  <c r="H1652" i="2"/>
  <c r="J1652" i="2" s="1"/>
  <c r="L1652" i="2" s="1"/>
  <c r="D1652" i="2"/>
  <c r="N1651" i="2"/>
  <c r="M1651" i="2"/>
  <c r="J1651" i="2"/>
  <c r="L1651" i="2" s="1"/>
  <c r="I1651" i="2"/>
  <c r="H1651" i="2"/>
  <c r="D1651" i="2"/>
  <c r="N1650" i="2"/>
  <c r="M1650" i="2"/>
  <c r="I1650" i="2"/>
  <c r="J1650" i="2" s="1"/>
  <c r="L1650" i="2" s="1"/>
  <c r="H1650" i="2"/>
  <c r="D1650" i="2"/>
  <c r="N1649" i="2"/>
  <c r="M1649" i="2"/>
  <c r="I1649" i="2"/>
  <c r="H1649" i="2"/>
  <c r="J1649" i="2" s="1"/>
  <c r="L1649" i="2" s="1"/>
  <c r="D1649" i="2"/>
  <c r="N1648" i="2"/>
  <c r="M1648" i="2"/>
  <c r="I1648" i="2"/>
  <c r="H1648" i="2"/>
  <c r="J1648" i="2" s="1"/>
  <c r="L1648" i="2" s="1"/>
  <c r="D1648" i="2"/>
  <c r="N1647" i="2"/>
  <c r="M1647" i="2"/>
  <c r="J1647" i="2"/>
  <c r="L1647" i="2" s="1"/>
  <c r="I1647" i="2"/>
  <c r="H1647" i="2"/>
  <c r="D1647" i="2"/>
  <c r="N1646" i="2"/>
  <c r="M1646" i="2"/>
  <c r="I1646" i="2"/>
  <c r="J1646" i="2" s="1"/>
  <c r="L1646" i="2" s="1"/>
  <c r="H1646" i="2"/>
  <c r="D1646" i="2"/>
  <c r="N1645" i="2"/>
  <c r="M1645" i="2"/>
  <c r="I1645" i="2"/>
  <c r="H1645" i="2"/>
  <c r="J1645" i="2" s="1"/>
  <c r="L1645" i="2" s="1"/>
  <c r="D1645" i="2"/>
  <c r="N1644" i="2"/>
  <c r="M1644" i="2"/>
  <c r="I1644" i="2"/>
  <c r="H1644" i="2"/>
  <c r="J1644" i="2" s="1"/>
  <c r="L1644" i="2" s="1"/>
  <c r="D1644" i="2"/>
  <c r="N1643" i="2"/>
  <c r="M1643" i="2"/>
  <c r="J1643" i="2"/>
  <c r="L1643" i="2" s="1"/>
  <c r="I1643" i="2"/>
  <c r="H1643" i="2"/>
  <c r="D1643" i="2"/>
  <c r="N1642" i="2"/>
  <c r="M1642" i="2"/>
  <c r="I1642" i="2"/>
  <c r="J1642" i="2" s="1"/>
  <c r="L1642" i="2" s="1"/>
  <c r="H1642" i="2"/>
  <c r="D1642" i="2"/>
  <c r="N1641" i="2"/>
  <c r="M1641" i="2"/>
  <c r="I1641" i="2"/>
  <c r="H1641" i="2"/>
  <c r="J1641" i="2" s="1"/>
  <c r="L1641" i="2" s="1"/>
  <c r="D1641" i="2"/>
  <c r="N1640" i="2"/>
  <c r="M1640" i="2"/>
  <c r="I1640" i="2"/>
  <c r="H1640" i="2"/>
  <c r="J1640" i="2" s="1"/>
  <c r="L1640" i="2" s="1"/>
  <c r="D1640" i="2"/>
  <c r="N1639" i="2"/>
  <c r="M1639" i="2"/>
  <c r="J1639" i="2"/>
  <c r="L1639" i="2" s="1"/>
  <c r="I1639" i="2"/>
  <c r="H1639" i="2"/>
  <c r="D1639" i="2"/>
  <c r="N1638" i="2"/>
  <c r="M1638" i="2"/>
  <c r="I1638" i="2"/>
  <c r="J1638" i="2" s="1"/>
  <c r="L1638" i="2" s="1"/>
  <c r="H1638" i="2"/>
  <c r="D1638" i="2"/>
  <c r="N1637" i="2"/>
  <c r="M1637" i="2"/>
  <c r="I1637" i="2"/>
  <c r="H1637" i="2"/>
  <c r="J1637" i="2" s="1"/>
  <c r="L1637" i="2" s="1"/>
  <c r="D1637" i="2"/>
  <c r="N1636" i="2"/>
  <c r="M1636" i="2"/>
  <c r="I1636" i="2"/>
  <c r="H1636" i="2"/>
  <c r="J1636" i="2" s="1"/>
  <c r="L1636" i="2" s="1"/>
  <c r="D1636" i="2"/>
  <c r="N1635" i="2"/>
  <c r="M1635" i="2"/>
  <c r="J1635" i="2"/>
  <c r="L1635" i="2" s="1"/>
  <c r="I1635" i="2"/>
  <c r="H1635" i="2"/>
  <c r="D1635" i="2"/>
  <c r="N1634" i="2"/>
  <c r="M1634" i="2"/>
  <c r="I1634" i="2"/>
  <c r="J1634" i="2" s="1"/>
  <c r="L1634" i="2" s="1"/>
  <c r="H1634" i="2"/>
  <c r="D1634" i="2"/>
  <c r="N1633" i="2"/>
  <c r="M1633" i="2"/>
  <c r="I1633" i="2"/>
  <c r="H1633" i="2"/>
  <c r="J1633" i="2" s="1"/>
  <c r="L1633" i="2" s="1"/>
  <c r="D1633" i="2"/>
  <c r="N1632" i="2"/>
  <c r="M1632" i="2"/>
  <c r="I1632" i="2"/>
  <c r="H1632" i="2"/>
  <c r="J1632" i="2" s="1"/>
  <c r="L1632" i="2" s="1"/>
  <c r="D1632" i="2"/>
  <c r="N1631" i="2"/>
  <c r="M1631" i="2"/>
  <c r="J1631" i="2"/>
  <c r="L1631" i="2" s="1"/>
  <c r="I1631" i="2"/>
  <c r="H1631" i="2"/>
  <c r="D1631" i="2"/>
  <c r="N1630" i="2"/>
  <c r="M1630" i="2"/>
  <c r="I1630" i="2"/>
  <c r="J1630" i="2" s="1"/>
  <c r="L1630" i="2" s="1"/>
  <c r="H1630" i="2"/>
  <c r="D1630" i="2"/>
  <c r="N1629" i="2"/>
  <c r="M1629" i="2"/>
  <c r="I1629" i="2"/>
  <c r="H1629" i="2"/>
  <c r="J1629" i="2" s="1"/>
  <c r="L1629" i="2" s="1"/>
  <c r="D1629" i="2"/>
  <c r="N1628" i="2"/>
  <c r="M1628" i="2"/>
  <c r="I1628" i="2"/>
  <c r="H1628" i="2"/>
  <c r="J1628" i="2" s="1"/>
  <c r="L1628" i="2" s="1"/>
  <c r="D1628" i="2"/>
  <c r="N1627" i="2"/>
  <c r="M1627" i="2"/>
  <c r="J1627" i="2"/>
  <c r="L1627" i="2" s="1"/>
  <c r="I1627" i="2"/>
  <c r="H1627" i="2"/>
  <c r="D1627" i="2"/>
  <c r="N1626" i="2"/>
  <c r="M1626" i="2"/>
  <c r="I1626" i="2"/>
  <c r="J1626" i="2" s="1"/>
  <c r="L1626" i="2" s="1"/>
  <c r="H1626" i="2"/>
  <c r="D1626" i="2"/>
  <c r="N1625" i="2"/>
  <c r="M1625" i="2"/>
  <c r="I1625" i="2"/>
  <c r="H1625" i="2"/>
  <c r="J1625" i="2" s="1"/>
  <c r="L1625" i="2" s="1"/>
  <c r="D1625" i="2"/>
  <c r="N1624" i="2"/>
  <c r="M1624" i="2"/>
  <c r="I1624" i="2"/>
  <c r="H1624" i="2"/>
  <c r="J1624" i="2" s="1"/>
  <c r="L1624" i="2" s="1"/>
  <c r="D1624" i="2"/>
  <c r="N1623" i="2"/>
  <c r="M1623" i="2"/>
  <c r="J1623" i="2"/>
  <c r="L1623" i="2" s="1"/>
  <c r="I1623" i="2"/>
  <c r="H1623" i="2"/>
  <c r="D1623" i="2"/>
  <c r="N1622" i="2"/>
  <c r="M1622" i="2"/>
  <c r="I1622" i="2"/>
  <c r="J1622" i="2" s="1"/>
  <c r="L1622" i="2" s="1"/>
  <c r="H1622" i="2"/>
  <c r="D1622" i="2"/>
  <c r="N1621" i="2"/>
  <c r="M1621" i="2"/>
  <c r="I1621" i="2"/>
  <c r="H1621" i="2"/>
  <c r="J1621" i="2" s="1"/>
  <c r="L1621" i="2" s="1"/>
  <c r="D1621" i="2"/>
  <c r="N1620" i="2"/>
  <c r="M1620" i="2"/>
  <c r="I1620" i="2"/>
  <c r="H1620" i="2"/>
  <c r="J1620" i="2" s="1"/>
  <c r="L1620" i="2" s="1"/>
  <c r="D1620" i="2"/>
  <c r="N1619" i="2"/>
  <c r="M1619" i="2"/>
  <c r="J1619" i="2"/>
  <c r="L1619" i="2" s="1"/>
  <c r="I1619" i="2"/>
  <c r="H1619" i="2"/>
  <c r="D1619" i="2"/>
  <c r="N1618" i="2"/>
  <c r="M1618" i="2"/>
  <c r="I1618" i="2"/>
  <c r="J1618" i="2" s="1"/>
  <c r="L1618" i="2" s="1"/>
  <c r="H1618" i="2"/>
  <c r="D1618" i="2"/>
  <c r="N1617" i="2"/>
  <c r="M1617" i="2"/>
  <c r="I1617" i="2"/>
  <c r="H1617" i="2"/>
  <c r="J1617" i="2" s="1"/>
  <c r="L1617" i="2" s="1"/>
  <c r="D1617" i="2"/>
  <c r="N1616" i="2"/>
  <c r="M1616" i="2"/>
  <c r="I1616" i="2"/>
  <c r="H1616" i="2"/>
  <c r="J1616" i="2" s="1"/>
  <c r="L1616" i="2" s="1"/>
  <c r="D1616" i="2"/>
  <c r="N1615" i="2"/>
  <c r="M1615" i="2"/>
  <c r="J1615" i="2"/>
  <c r="L1615" i="2" s="1"/>
  <c r="I1615" i="2"/>
  <c r="H1615" i="2"/>
  <c r="D1615" i="2"/>
  <c r="N1614" i="2"/>
  <c r="M1614" i="2"/>
  <c r="I1614" i="2"/>
  <c r="J1614" i="2" s="1"/>
  <c r="L1614" i="2" s="1"/>
  <c r="H1614" i="2"/>
  <c r="D1614" i="2"/>
  <c r="N1613" i="2"/>
  <c r="M1613" i="2"/>
  <c r="I1613" i="2"/>
  <c r="H1613" i="2"/>
  <c r="J1613" i="2" s="1"/>
  <c r="L1613" i="2" s="1"/>
  <c r="D1613" i="2"/>
  <c r="N1612" i="2"/>
  <c r="M1612" i="2"/>
  <c r="I1612" i="2"/>
  <c r="H1612" i="2"/>
  <c r="J1612" i="2" s="1"/>
  <c r="L1612" i="2" s="1"/>
  <c r="D1612" i="2"/>
  <c r="N1611" i="2"/>
  <c r="M1611" i="2"/>
  <c r="J1611" i="2"/>
  <c r="L1611" i="2" s="1"/>
  <c r="I1611" i="2"/>
  <c r="H1611" i="2"/>
  <c r="D1611" i="2"/>
  <c r="N1610" i="2"/>
  <c r="M1610" i="2"/>
  <c r="I1610" i="2"/>
  <c r="J1610" i="2" s="1"/>
  <c r="L1610" i="2" s="1"/>
  <c r="H1610" i="2"/>
  <c r="D1610" i="2"/>
  <c r="N1609" i="2"/>
  <c r="M1609" i="2"/>
  <c r="I1609" i="2"/>
  <c r="H1609" i="2"/>
  <c r="J1609" i="2" s="1"/>
  <c r="L1609" i="2" s="1"/>
  <c r="D1609" i="2"/>
  <c r="N1608" i="2"/>
  <c r="M1608" i="2"/>
  <c r="I1608" i="2"/>
  <c r="H1608" i="2"/>
  <c r="J1608" i="2" s="1"/>
  <c r="L1608" i="2" s="1"/>
  <c r="D1608" i="2"/>
  <c r="N1607" i="2"/>
  <c r="M1607" i="2"/>
  <c r="J1607" i="2"/>
  <c r="L1607" i="2" s="1"/>
  <c r="I1607" i="2"/>
  <c r="H1607" i="2"/>
  <c r="D1607" i="2"/>
  <c r="N1606" i="2"/>
  <c r="M1606" i="2"/>
  <c r="I1606" i="2"/>
  <c r="J1606" i="2" s="1"/>
  <c r="L1606" i="2" s="1"/>
  <c r="H1606" i="2"/>
  <c r="D1606" i="2"/>
  <c r="N1605" i="2"/>
  <c r="M1605" i="2"/>
  <c r="I1605" i="2"/>
  <c r="H1605" i="2"/>
  <c r="J1605" i="2" s="1"/>
  <c r="L1605" i="2" s="1"/>
  <c r="D1605" i="2"/>
  <c r="N1604" i="2"/>
  <c r="M1604" i="2"/>
  <c r="I1604" i="2"/>
  <c r="H1604" i="2"/>
  <c r="J1604" i="2" s="1"/>
  <c r="L1604" i="2" s="1"/>
  <c r="D1604" i="2"/>
  <c r="N1603" i="2"/>
  <c r="M1603" i="2"/>
  <c r="J1603" i="2"/>
  <c r="L1603" i="2" s="1"/>
  <c r="I1603" i="2"/>
  <c r="H1603" i="2"/>
  <c r="D1603" i="2"/>
  <c r="N1602" i="2"/>
  <c r="M1602" i="2"/>
  <c r="I1602" i="2"/>
  <c r="J1602" i="2" s="1"/>
  <c r="L1602" i="2" s="1"/>
  <c r="H1602" i="2"/>
  <c r="D1602" i="2"/>
  <c r="N1601" i="2"/>
  <c r="M1601" i="2"/>
  <c r="I1601" i="2"/>
  <c r="H1601" i="2"/>
  <c r="J1601" i="2" s="1"/>
  <c r="L1601" i="2" s="1"/>
  <c r="D1601" i="2"/>
  <c r="N1600" i="2"/>
  <c r="M1600" i="2"/>
  <c r="I1600" i="2"/>
  <c r="H1600" i="2"/>
  <c r="J1600" i="2" s="1"/>
  <c r="L1600" i="2" s="1"/>
  <c r="D1600" i="2"/>
  <c r="N1599" i="2"/>
  <c r="M1599" i="2"/>
  <c r="J1599" i="2"/>
  <c r="L1599" i="2" s="1"/>
  <c r="I1599" i="2"/>
  <c r="H1599" i="2"/>
  <c r="D1599" i="2"/>
  <c r="N1598" i="2"/>
  <c r="M1598" i="2"/>
  <c r="I1598" i="2"/>
  <c r="J1598" i="2" s="1"/>
  <c r="L1598" i="2" s="1"/>
  <c r="H1598" i="2"/>
  <c r="D1598" i="2"/>
  <c r="N1597" i="2"/>
  <c r="M1597" i="2"/>
  <c r="I1597" i="2"/>
  <c r="H1597" i="2"/>
  <c r="J1597" i="2" s="1"/>
  <c r="L1597" i="2" s="1"/>
  <c r="D1597" i="2"/>
  <c r="N1596" i="2"/>
  <c r="M1596" i="2"/>
  <c r="I1596" i="2"/>
  <c r="H1596" i="2"/>
  <c r="J1596" i="2" s="1"/>
  <c r="L1596" i="2" s="1"/>
  <c r="D1596" i="2"/>
  <c r="N1595" i="2"/>
  <c r="M1595" i="2"/>
  <c r="J1595" i="2"/>
  <c r="L1595" i="2" s="1"/>
  <c r="I1595" i="2"/>
  <c r="H1595" i="2"/>
  <c r="D1595" i="2"/>
  <c r="N1594" i="2"/>
  <c r="M1594" i="2"/>
  <c r="I1594" i="2"/>
  <c r="J1594" i="2" s="1"/>
  <c r="L1594" i="2" s="1"/>
  <c r="H1594" i="2"/>
  <c r="D1594" i="2"/>
  <c r="N1593" i="2"/>
  <c r="M1593" i="2"/>
  <c r="I1593" i="2"/>
  <c r="H1593" i="2"/>
  <c r="J1593" i="2" s="1"/>
  <c r="L1593" i="2" s="1"/>
  <c r="D1593" i="2"/>
  <c r="N1592" i="2"/>
  <c r="M1592" i="2"/>
  <c r="I1592" i="2"/>
  <c r="H1592" i="2"/>
  <c r="J1592" i="2" s="1"/>
  <c r="L1592" i="2" s="1"/>
  <c r="D1592" i="2"/>
  <c r="N1591" i="2"/>
  <c r="M1591" i="2"/>
  <c r="J1591" i="2"/>
  <c r="L1591" i="2" s="1"/>
  <c r="I1591" i="2"/>
  <c r="H1591" i="2"/>
  <c r="D1591" i="2"/>
  <c r="N1590" i="2"/>
  <c r="M1590" i="2"/>
  <c r="I1590" i="2"/>
  <c r="J1590" i="2" s="1"/>
  <c r="L1590" i="2" s="1"/>
  <c r="H1590" i="2"/>
  <c r="D1590" i="2"/>
  <c r="N1589" i="2"/>
  <c r="M1589" i="2"/>
  <c r="I1589" i="2"/>
  <c r="H1589" i="2"/>
  <c r="J1589" i="2" s="1"/>
  <c r="L1589" i="2" s="1"/>
  <c r="D1589" i="2"/>
  <c r="N1588" i="2"/>
  <c r="M1588" i="2"/>
  <c r="I1588" i="2"/>
  <c r="H1588" i="2"/>
  <c r="J1588" i="2" s="1"/>
  <c r="L1588" i="2" s="1"/>
  <c r="D1588" i="2"/>
  <c r="N1587" i="2"/>
  <c r="M1587" i="2"/>
  <c r="J1587" i="2"/>
  <c r="L1587" i="2" s="1"/>
  <c r="I1587" i="2"/>
  <c r="H1587" i="2"/>
  <c r="D1587" i="2"/>
  <c r="N1586" i="2"/>
  <c r="M1586" i="2"/>
  <c r="I1586" i="2"/>
  <c r="J1586" i="2" s="1"/>
  <c r="L1586" i="2" s="1"/>
  <c r="H1586" i="2"/>
  <c r="D1586" i="2"/>
  <c r="N1585" i="2"/>
  <c r="M1585" i="2"/>
  <c r="I1585" i="2"/>
  <c r="H1585" i="2"/>
  <c r="J1585" i="2" s="1"/>
  <c r="L1585" i="2" s="1"/>
  <c r="D1585" i="2"/>
  <c r="N1584" i="2"/>
  <c r="M1584" i="2"/>
  <c r="I1584" i="2"/>
  <c r="H1584" i="2"/>
  <c r="J1584" i="2" s="1"/>
  <c r="L1584" i="2" s="1"/>
  <c r="D1584" i="2"/>
  <c r="N1583" i="2"/>
  <c r="M1583" i="2"/>
  <c r="J1583" i="2"/>
  <c r="L1583" i="2" s="1"/>
  <c r="I1583" i="2"/>
  <c r="H1583" i="2"/>
  <c r="D1583" i="2"/>
  <c r="N1582" i="2"/>
  <c r="M1582" i="2"/>
  <c r="I1582" i="2"/>
  <c r="J1582" i="2" s="1"/>
  <c r="L1582" i="2" s="1"/>
  <c r="H1582" i="2"/>
  <c r="D1582" i="2"/>
  <c r="N1581" i="2"/>
  <c r="M1581" i="2"/>
  <c r="I1581" i="2"/>
  <c r="H1581" i="2"/>
  <c r="J1581" i="2" s="1"/>
  <c r="L1581" i="2" s="1"/>
  <c r="D1581" i="2"/>
  <c r="N1580" i="2"/>
  <c r="M1580" i="2"/>
  <c r="I1580" i="2"/>
  <c r="H1580" i="2"/>
  <c r="J1580" i="2" s="1"/>
  <c r="L1580" i="2" s="1"/>
  <c r="D1580" i="2"/>
  <c r="N1579" i="2"/>
  <c r="M1579" i="2"/>
  <c r="J1579" i="2"/>
  <c r="L1579" i="2" s="1"/>
  <c r="I1579" i="2"/>
  <c r="H1579" i="2"/>
  <c r="D1579" i="2"/>
  <c r="N1578" i="2"/>
  <c r="M1578" i="2"/>
  <c r="I1578" i="2"/>
  <c r="J1578" i="2" s="1"/>
  <c r="L1578" i="2" s="1"/>
  <c r="H1578" i="2"/>
  <c r="D1578" i="2"/>
  <c r="N1577" i="2"/>
  <c r="M1577" i="2"/>
  <c r="I1577" i="2"/>
  <c r="H1577" i="2"/>
  <c r="J1577" i="2" s="1"/>
  <c r="L1577" i="2" s="1"/>
  <c r="D1577" i="2"/>
  <c r="N1576" i="2"/>
  <c r="M1576" i="2"/>
  <c r="I1576" i="2"/>
  <c r="H1576" i="2"/>
  <c r="J1576" i="2" s="1"/>
  <c r="L1576" i="2" s="1"/>
  <c r="D1576" i="2"/>
  <c r="N1575" i="2"/>
  <c r="M1575" i="2"/>
  <c r="J1575" i="2"/>
  <c r="L1575" i="2" s="1"/>
  <c r="I1575" i="2"/>
  <c r="H1575" i="2"/>
  <c r="D1575" i="2"/>
  <c r="N1574" i="2"/>
  <c r="M1574" i="2"/>
  <c r="I1574" i="2"/>
  <c r="J1574" i="2" s="1"/>
  <c r="L1574" i="2" s="1"/>
  <c r="H1574" i="2"/>
  <c r="D1574" i="2"/>
  <c r="N1573" i="2"/>
  <c r="M1573" i="2"/>
  <c r="I1573" i="2"/>
  <c r="H1573" i="2"/>
  <c r="J1573" i="2" s="1"/>
  <c r="L1573" i="2" s="1"/>
  <c r="D1573" i="2"/>
  <c r="N1572" i="2"/>
  <c r="M1572" i="2"/>
  <c r="I1572" i="2"/>
  <c r="H1572" i="2"/>
  <c r="J1572" i="2" s="1"/>
  <c r="L1572" i="2" s="1"/>
  <c r="D1572" i="2"/>
  <c r="N1571" i="2"/>
  <c r="M1571" i="2"/>
  <c r="J1571" i="2"/>
  <c r="L1571" i="2" s="1"/>
  <c r="I1571" i="2"/>
  <c r="H1571" i="2"/>
  <c r="D1571" i="2"/>
  <c r="N1570" i="2"/>
  <c r="M1570" i="2"/>
  <c r="I1570" i="2"/>
  <c r="J1570" i="2" s="1"/>
  <c r="L1570" i="2" s="1"/>
  <c r="H1570" i="2"/>
  <c r="D1570" i="2"/>
  <c r="N1569" i="2"/>
  <c r="M1569" i="2"/>
  <c r="I1569" i="2"/>
  <c r="H1569" i="2"/>
  <c r="J1569" i="2" s="1"/>
  <c r="L1569" i="2" s="1"/>
  <c r="D1569" i="2"/>
  <c r="N1568" i="2"/>
  <c r="M1568" i="2"/>
  <c r="I1568" i="2"/>
  <c r="H1568" i="2"/>
  <c r="J1568" i="2" s="1"/>
  <c r="L1568" i="2" s="1"/>
  <c r="D1568" i="2"/>
  <c r="N1567" i="2"/>
  <c r="M1567" i="2"/>
  <c r="J1567" i="2"/>
  <c r="L1567" i="2" s="1"/>
  <c r="I1567" i="2"/>
  <c r="H1567" i="2"/>
  <c r="D1567" i="2"/>
  <c r="N1566" i="2"/>
  <c r="M1566" i="2"/>
  <c r="I1566" i="2"/>
  <c r="J1566" i="2" s="1"/>
  <c r="L1566" i="2" s="1"/>
  <c r="H1566" i="2"/>
  <c r="D1566" i="2"/>
  <c r="N1565" i="2"/>
  <c r="M1565" i="2"/>
  <c r="I1565" i="2"/>
  <c r="H1565" i="2"/>
  <c r="J1565" i="2" s="1"/>
  <c r="L1565" i="2" s="1"/>
  <c r="D1565" i="2"/>
  <c r="N1564" i="2"/>
  <c r="M1564" i="2"/>
  <c r="I1564" i="2"/>
  <c r="H1564" i="2"/>
  <c r="J1564" i="2" s="1"/>
  <c r="L1564" i="2" s="1"/>
  <c r="D1564" i="2"/>
  <c r="N1563" i="2"/>
  <c r="M1563" i="2"/>
  <c r="J1563" i="2"/>
  <c r="L1563" i="2" s="1"/>
  <c r="I1563" i="2"/>
  <c r="H1563" i="2"/>
  <c r="D1563" i="2"/>
  <c r="N1562" i="2"/>
  <c r="M1562" i="2"/>
  <c r="I1562" i="2"/>
  <c r="J1562" i="2" s="1"/>
  <c r="L1562" i="2" s="1"/>
  <c r="H1562" i="2"/>
  <c r="D1562" i="2"/>
  <c r="N1561" i="2"/>
  <c r="M1561" i="2"/>
  <c r="I1561" i="2"/>
  <c r="H1561" i="2"/>
  <c r="J1561" i="2" s="1"/>
  <c r="L1561" i="2" s="1"/>
  <c r="D1561" i="2"/>
  <c r="N1560" i="2"/>
  <c r="M1560" i="2"/>
  <c r="I1560" i="2"/>
  <c r="H1560" i="2"/>
  <c r="J1560" i="2" s="1"/>
  <c r="L1560" i="2" s="1"/>
  <c r="D1560" i="2"/>
  <c r="N1559" i="2"/>
  <c r="M1559" i="2"/>
  <c r="J1559" i="2"/>
  <c r="L1559" i="2" s="1"/>
  <c r="I1559" i="2"/>
  <c r="H1559" i="2"/>
  <c r="D1559" i="2"/>
  <c r="N1558" i="2"/>
  <c r="M1558" i="2"/>
  <c r="I1558" i="2"/>
  <c r="J1558" i="2" s="1"/>
  <c r="L1558" i="2" s="1"/>
  <c r="H1558" i="2"/>
  <c r="D1558" i="2"/>
  <c r="N1557" i="2"/>
  <c r="M1557" i="2"/>
  <c r="I1557" i="2"/>
  <c r="H1557" i="2"/>
  <c r="J1557" i="2" s="1"/>
  <c r="L1557" i="2" s="1"/>
  <c r="D1557" i="2"/>
  <c r="N1556" i="2"/>
  <c r="M1556" i="2"/>
  <c r="I1556" i="2"/>
  <c r="H1556" i="2"/>
  <c r="J1556" i="2" s="1"/>
  <c r="L1556" i="2" s="1"/>
  <c r="D1556" i="2"/>
  <c r="N1555" i="2"/>
  <c r="M1555" i="2"/>
  <c r="J1555" i="2"/>
  <c r="L1555" i="2" s="1"/>
  <c r="I1555" i="2"/>
  <c r="H1555" i="2"/>
  <c r="D1555" i="2"/>
  <c r="N1554" i="2"/>
  <c r="M1554" i="2"/>
  <c r="I1554" i="2"/>
  <c r="J1554" i="2" s="1"/>
  <c r="L1554" i="2" s="1"/>
  <c r="H1554" i="2"/>
  <c r="D1554" i="2"/>
  <c r="N1553" i="2"/>
  <c r="M1553" i="2"/>
  <c r="I1553" i="2"/>
  <c r="H1553" i="2"/>
  <c r="J1553" i="2" s="1"/>
  <c r="L1553" i="2" s="1"/>
  <c r="D1553" i="2"/>
  <c r="N1552" i="2"/>
  <c r="M1552" i="2"/>
  <c r="I1552" i="2"/>
  <c r="H1552" i="2"/>
  <c r="J1552" i="2" s="1"/>
  <c r="L1552" i="2" s="1"/>
  <c r="D1552" i="2"/>
  <c r="N1551" i="2"/>
  <c r="M1551" i="2"/>
  <c r="J1551" i="2"/>
  <c r="L1551" i="2" s="1"/>
  <c r="I1551" i="2"/>
  <c r="H1551" i="2"/>
  <c r="D1551" i="2"/>
  <c r="N1550" i="2"/>
  <c r="M1550" i="2"/>
  <c r="I1550" i="2"/>
  <c r="J1550" i="2" s="1"/>
  <c r="L1550" i="2" s="1"/>
  <c r="H1550" i="2"/>
  <c r="D1550" i="2"/>
  <c r="N1549" i="2"/>
  <c r="M1549" i="2"/>
  <c r="I1549" i="2"/>
  <c r="H1549" i="2"/>
  <c r="J1549" i="2" s="1"/>
  <c r="L1549" i="2" s="1"/>
  <c r="D1549" i="2"/>
  <c r="N1548" i="2"/>
  <c r="M1548" i="2"/>
  <c r="I1548" i="2"/>
  <c r="H1548" i="2"/>
  <c r="J1548" i="2" s="1"/>
  <c r="L1548" i="2" s="1"/>
  <c r="D1548" i="2"/>
  <c r="N1547" i="2"/>
  <c r="M1547" i="2"/>
  <c r="J1547" i="2"/>
  <c r="L1547" i="2" s="1"/>
  <c r="I1547" i="2"/>
  <c r="H1547" i="2"/>
  <c r="D1547" i="2"/>
  <c r="N1546" i="2"/>
  <c r="M1546" i="2"/>
  <c r="I1546" i="2"/>
  <c r="J1546" i="2" s="1"/>
  <c r="L1546" i="2" s="1"/>
  <c r="H1546" i="2"/>
  <c r="D1546" i="2"/>
  <c r="N1545" i="2"/>
  <c r="M1545" i="2"/>
  <c r="I1545" i="2"/>
  <c r="H1545" i="2"/>
  <c r="J1545" i="2" s="1"/>
  <c r="L1545" i="2" s="1"/>
  <c r="D1545" i="2"/>
  <c r="N1544" i="2"/>
  <c r="M1544" i="2"/>
  <c r="I1544" i="2"/>
  <c r="H1544" i="2"/>
  <c r="J1544" i="2" s="1"/>
  <c r="L1544" i="2" s="1"/>
  <c r="D1544" i="2"/>
  <c r="N1543" i="2"/>
  <c r="M1543" i="2"/>
  <c r="J1543" i="2"/>
  <c r="L1543" i="2" s="1"/>
  <c r="I1543" i="2"/>
  <c r="H1543" i="2"/>
  <c r="D1543" i="2"/>
  <c r="N1542" i="2"/>
  <c r="M1542" i="2"/>
  <c r="I1542" i="2"/>
  <c r="J1542" i="2" s="1"/>
  <c r="L1542" i="2" s="1"/>
  <c r="H1542" i="2"/>
  <c r="D1542" i="2"/>
  <c r="N1541" i="2"/>
  <c r="M1541" i="2"/>
  <c r="I1541" i="2"/>
  <c r="H1541" i="2"/>
  <c r="J1541" i="2" s="1"/>
  <c r="L1541" i="2" s="1"/>
  <c r="D1541" i="2"/>
  <c r="N1540" i="2"/>
  <c r="M1540" i="2"/>
  <c r="I1540" i="2"/>
  <c r="H1540" i="2"/>
  <c r="J1540" i="2" s="1"/>
  <c r="L1540" i="2" s="1"/>
  <c r="D1540" i="2"/>
  <c r="N1539" i="2"/>
  <c r="M1539" i="2"/>
  <c r="J1539" i="2"/>
  <c r="L1539" i="2" s="1"/>
  <c r="I1539" i="2"/>
  <c r="H1539" i="2"/>
  <c r="D1539" i="2"/>
  <c r="N1538" i="2"/>
  <c r="M1538" i="2"/>
  <c r="I1538" i="2"/>
  <c r="J1538" i="2" s="1"/>
  <c r="L1538" i="2" s="1"/>
  <c r="H1538" i="2"/>
  <c r="D1538" i="2"/>
  <c r="N1537" i="2"/>
  <c r="M1537" i="2"/>
  <c r="I1537" i="2"/>
  <c r="H1537" i="2"/>
  <c r="J1537" i="2" s="1"/>
  <c r="L1537" i="2" s="1"/>
  <c r="D1537" i="2"/>
  <c r="N1536" i="2"/>
  <c r="M1536" i="2"/>
  <c r="I1536" i="2"/>
  <c r="H1536" i="2"/>
  <c r="J1536" i="2" s="1"/>
  <c r="L1536" i="2" s="1"/>
  <c r="D1536" i="2"/>
  <c r="N1535" i="2"/>
  <c r="M1535" i="2"/>
  <c r="J1535" i="2"/>
  <c r="L1535" i="2" s="1"/>
  <c r="I1535" i="2"/>
  <c r="H1535" i="2"/>
  <c r="D1535" i="2"/>
  <c r="N1534" i="2"/>
  <c r="M1534" i="2"/>
  <c r="I1534" i="2"/>
  <c r="J1534" i="2" s="1"/>
  <c r="L1534" i="2" s="1"/>
  <c r="H1534" i="2"/>
  <c r="D1534" i="2"/>
  <c r="N1533" i="2"/>
  <c r="M1533" i="2"/>
  <c r="I1533" i="2"/>
  <c r="H1533" i="2"/>
  <c r="J1533" i="2" s="1"/>
  <c r="L1533" i="2" s="1"/>
  <c r="D1533" i="2"/>
  <c r="N1532" i="2"/>
  <c r="M1532" i="2"/>
  <c r="I1532" i="2"/>
  <c r="H1532" i="2"/>
  <c r="J1532" i="2" s="1"/>
  <c r="L1532" i="2" s="1"/>
  <c r="D1532" i="2"/>
  <c r="N1531" i="2"/>
  <c r="M1531" i="2"/>
  <c r="J1531" i="2"/>
  <c r="L1531" i="2" s="1"/>
  <c r="I1531" i="2"/>
  <c r="H1531" i="2"/>
  <c r="D1531" i="2"/>
  <c r="N1530" i="2"/>
  <c r="M1530" i="2"/>
  <c r="I1530" i="2"/>
  <c r="J1530" i="2" s="1"/>
  <c r="L1530" i="2" s="1"/>
  <c r="H1530" i="2"/>
  <c r="D1530" i="2"/>
  <c r="N1529" i="2"/>
  <c r="M1529" i="2"/>
  <c r="I1529" i="2"/>
  <c r="H1529" i="2"/>
  <c r="J1529" i="2" s="1"/>
  <c r="L1529" i="2" s="1"/>
  <c r="D1529" i="2"/>
  <c r="N1528" i="2"/>
  <c r="M1528" i="2"/>
  <c r="I1528" i="2"/>
  <c r="H1528" i="2"/>
  <c r="J1528" i="2" s="1"/>
  <c r="L1528" i="2" s="1"/>
  <c r="D1528" i="2"/>
  <c r="N1527" i="2"/>
  <c r="M1527" i="2"/>
  <c r="J1527" i="2"/>
  <c r="L1527" i="2" s="1"/>
  <c r="I1527" i="2"/>
  <c r="H1527" i="2"/>
  <c r="D1527" i="2"/>
  <c r="N1526" i="2"/>
  <c r="M1526" i="2"/>
  <c r="I1526" i="2"/>
  <c r="J1526" i="2" s="1"/>
  <c r="L1526" i="2" s="1"/>
  <c r="H1526" i="2"/>
  <c r="D1526" i="2"/>
  <c r="N1525" i="2"/>
  <c r="M1525" i="2"/>
  <c r="I1525" i="2"/>
  <c r="H1525" i="2"/>
  <c r="J1525" i="2" s="1"/>
  <c r="L1525" i="2" s="1"/>
  <c r="D1525" i="2"/>
  <c r="N1524" i="2"/>
  <c r="M1524" i="2"/>
  <c r="I1524" i="2"/>
  <c r="H1524" i="2"/>
  <c r="J1524" i="2" s="1"/>
  <c r="L1524" i="2" s="1"/>
  <c r="D1524" i="2"/>
  <c r="N1523" i="2"/>
  <c r="M1523" i="2"/>
  <c r="J1523" i="2"/>
  <c r="L1523" i="2" s="1"/>
  <c r="I1523" i="2"/>
  <c r="H1523" i="2"/>
  <c r="D1523" i="2"/>
  <c r="N1522" i="2"/>
  <c r="M1522" i="2"/>
  <c r="I1522" i="2"/>
  <c r="J1522" i="2" s="1"/>
  <c r="L1522" i="2" s="1"/>
  <c r="H1522" i="2"/>
  <c r="D1522" i="2"/>
  <c r="N1521" i="2"/>
  <c r="M1521" i="2"/>
  <c r="I1521" i="2"/>
  <c r="H1521" i="2"/>
  <c r="J1521" i="2" s="1"/>
  <c r="L1521" i="2" s="1"/>
  <c r="D1521" i="2"/>
  <c r="N1520" i="2"/>
  <c r="M1520" i="2"/>
  <c r="I1520" i="2"/>
  <c r="H1520" i="2"/>
  <c r="J1520" i="2" s="1"/>
  <c r="L1520" i="2" s="1"/>
  <c r="D1520" i="2"/>
  <c r="N1519" i="2"/>
  <c r="M1519" i="2"/>
  <c r="J1519" i="2"/>
  <c r="L1519" i="2" s="1"/>
  <c r="I1519" i="2"/>
  <c r="H1519" i="2"/>
  <c r="D1519" i="2"/>
  <c r="N1518" i="2"/>
  <c r="M1518" i="2"/>
  <c r="I1518" i="2"/>
  <c r="J1518" i="2" s="1"/>
  <c r="L1518" i="2" s="1"/>
  <c r="H1518" i="2"/>
  <c r="D1518" i="2"/>
  <c r="N1517" i="2"/>
  <c r="M1517" i="2"/>
  <c r="I1517" i="2"/>
  <c r="H1517" i="2"/>
  <c r="J1517" i="2" s="1"/>
  <c r="L1517" i="2" s="1"/>
  <c r="D1517" i="2"/>
  <c r="N1516" i="2"/>
  <c r="M1516" i="2"/>
  <c r="I1516" i="2"/>
  <c r="H1516" i="2"/>
  <c r="J1516" i="2" s="1"/>
  <c r="L1516" i="2" s="1"/>
  <c r="D1516" i="2"/>
  <c r="N1515" i="2"/>
  <c r="M1515" i="2"/>
  <c r="J1515" i="2"/>
  <c r="L1515" i="2" s="1"/>
  <c r="I1515" i="2"/>
  <c r="H1515" i="2"/>
  <c r="D1515" i="2"/>
  <c r="N1514" i="2"/>
  <c r="M1514" i="2"/>
  <c r="I1514" i="2"/>
  <c r="J1514" i="2" s="1"/>
  <c r="L1514" i="2" s="1"/>
  <c r="H1514" i="2"/>
  <c r="D1514" i="2"/>
  <c r="N1513" i="2"/>
  <c r="M1513" i="2"/>
  <c r="I1513" i="2"/>
  <c r="H1513" i="2"/>
  <c r="J1513" i="2" s="1"/>
  <c r="L1513" i="2" s="1"/>
  <c r="D1513" i="2"/>
  <c r="N1512" i="2"/>
  <c r="M1512" i="2"/>
  <c r="I1512" i="2"/>
  <c r="H1512" i="2"/>
  <c r="J1512" i="2" s="1"/>
  <c r="L1512" i="2" s="1"/>
  <c r="D1512" i="2"/>
  <c r="N1511" i="2"/>
  <c r="M1511" i="2"/>
  <c r="J1511" i="2"/>
  <c r="L1511" i="2" s="1"/>
  <c r="I1511" i="2"/>
  <c r="H1511" i="2"/>
  <c r="D1511" i="2"/>
  <c r="N1510" i="2"/>
  <c r="M1510" i="2"/>
  <c r="I1510" i="2"/>
  <c r="J1510" i="2" s="1"/>
  <c r="L1510" i="2" s="1"/>
  <c r="H1510" i="2"/>
  <c r="D1510" i="2"/>
  <c r="N1509" i="2"/>
  <c r="M1509" i="2"/>
  <c r="I1509" i="2"/>
  <c r="H1509" i="2"/>
  <c r="J1509" i="2" s="1"/>
  <c r="L1509" i="2" s="1"/>
  <c r="D1509" i="2"/>
  <c r="N1508" i="2"/>
  <c r="M1508" i="2"/>
  <c r="I1508" i="2"/>
  <c r="H1508" i="2"/>
  <c r="J1508" i="2" s="1"/>
  <c r="L1508" i="2" s="1"/>
  <c r="D1508" i="2"/>
  <c r="N1507" i="2"/>
  <c r="M1507" i="2"/>
  <c r="J1507" i="2"/>
  <c r="L1507" i="2" s="1"/>
  <c r="I1507" i="2"/>
  <c r="H1507" i="2"/>
  <c r="D1507" i="2"/>
  <c r="N1506" i="2"/>
  <c r="M1506" i="2"/>
  <c r="I1506" i="2"/>
  <c r="J1506" i="2" s="1"/>
  <c r="L1506" i="2" s="1"/>
  <c r="H1506" i="2"/>
  <c r="D1506" i="2"/>
  <c r="N1505" i="2"/>
  <c r="M1505" i="2"/>
  <c r="I1505" i="2"/>
  <c r="H1505" i="2"/>
  <c r="J1505" i="2" s="1"/>
  <c r="L1505" i="2" s="1"/>
  <c r="D1505" i="2"/>
  <c r="N1504" i="2"/>
  <c r="M1504" i="2"/>
  <c r="I1504" i="2"/>
  <c r="H1504" i="2"/>
  <c r="J1504" i="2" s="1"/>
  <c r="L1504" i="2" s="1"/>
  <c r="D1504" i="2"/>
  <c r="N1503" i="2"/>
  <c r="M1503" i="2"/>
  <c r="J1503" i="2"/>
  <c r="L1503" i="2" s="1"/>
  <c r="I1503" i="2"/>
  <c r="H1503" i="2"/>
  <c r="D1503" i="2"/>
  <c r="N1502" i="2"/>
  <c r="M1502" i="2"/>
  <c r="I1502" i="2"/>
  <c r="J1502" i="2" s="1"/>
  <c r="L1502" i="2" s="1"/>
  <c r="H1502" i="2"/>
  <c r="D1502" i="2"/>
  <c r="N1501" i="2"/>
  <c r="M1501" i="2"/>
  <c r="I1501" i="2"/>
  <c r="H1501" i="2"/>
  <c r="J1501" i="2" s="1"/>
  <c r="L1501" i="2" s="1"/>
  <c r="D1501" i="2"/>
  <c r="N1500" i="2"/>
  <c r="M1500" i="2"/>
  <c r="I1500" i="2"/>
  <c r="H1500" i="2"/>
  <c r="J1500" i="2" s="1"/>
  <c r="L1500" i="2" s="1"/>
  <c r="D1500" i="2"/>
  <c r="N1499" i="2"/>
  <c r="M1499" i="2"/>
  <c r="J1499" i="2"/>
  <c r="L1499" i="2" s="1"/>
  <c r="I1499" i="2"/>
  <c r="H1499" i="2"/>
  <c r="D1499" i="2"/>
  <c r="N1498" i="2"/>
  <c r="M1498" i="2"/>
  <c r="I1498" i="2"/>
  <c r="J1498" i="2" s="1"/>
  <c r="L1498" i="2" s="1"/>
  <c r="H1498" i="2"/>
  <c r="D1498" i="2"/>
  <c r="N1497" i="2"/>
  <c r="M1497" i="2"/>
  <c r="I1497" i="2"/>
  <c r="H1497" i="2"/>
  <c r="J1497" i="2" s="1"/>
  <c r="L1497" i="2" s="1"/>
  <c r="D1497" i="2"/>
  <c r="N1496" i="2"/>
  <c r="M1496" i="2"/>
  <c r="I1496" i="2"/>
  <c r="H1496" i="2"/>
  <c r="J1496" i="2" s="1"/>
  <c r="L1496" i="2" s="1"/>
  <c r="D1496" i="2"/>
  <c r="N1495" i="2"/>
  <c r="M1495" i="2"/>
  <c r="J1495" i="2"/>
  <c r="L1495" i="2" s="1"/>
  <c r="I1495" i="2"/>
  <c r="H1495" i="2"/>
  <c r="D1495" i="2"/>
  <c r="N1494" i="2"/>
  <c r="M1494" i="2"/>
  <c r="I1494" i="2"/>
  <c r="J1494" i="2" s="1"/>
  <c r="L1494" i="2" s="1"/>
  <c r="H1494" i="2"/>
  <c r="D1494" i="2"/>
  <c r="N1493" i="2"/>
  <c r="M1493" i="2"/>
  <c r="I1493" i="2"/>
  <c r="H1493" i="2"/>
  <c r="J1493" i="2" s="1"/>
  <c r="L1493" i="2" s="1"/>
  <c r="D1493" i="2"/>
  <c r="N1492" i="2"/>
  <c r="M1492" i="2"/>
  <c r="I1492" i="2"/>
  <c r="H1492" i="2"/>
  <c r="J1492" i="2" s="1"/>
  <c r="L1492" i="2" s="1"/>
  <c r="D1492" i="2"/>
  <c r="N1491" i="2"/>
  <c r="M1491" i="2"/>
  <c r="J1491" i="2"/>
  <c r="L1491" i="2" s="1"/>
  <c r="I1491" i="2"/>
  <c r="H1491" i="2"/>
  <c r="D1491" i="2"/>
  <c r="N1490" i="2"/>
  <c r="M1490" i="2"/>
  <c r="I1490" i="2"/>
  <c r="J1490" i="2" s="1"/>
  <c r="L1490" i="2" s="1"/>
  <c r="H1490" i="2"/>
  <c r="D1490" i="2"/>
  <c r="N1489" i="2"/>
  <c r="M1489" i="2"/>
  <c r="I1489" i="2"/>
  <c r="H1489" i="2"/>
  <c r="J1489" i="2" s="1"/>
  <c r="L1489" i="2" s="1"/>
  <c r="D1489" i="2"/>
  <c r="N1488" i="2"/>
  <c r="M1488" i="2"/>
  <c r="I1488" i="2"/>
  <c r="H1488" i="2"/>
  <c r="J1488" i="2" s="1"/>
  <c r="L1488" i="2" s="1"/>
  <c r="D1488" i="2"/>
  <c r="N1487" i="2"/>
  <c r="M1487" i="2"/>
  <c r="J1487" i="2"/>
  <c r="L1487" i="2" s="1"/>
  <c r="I1487" i="2"/>
  <c r="H1487" i="2"/>
  <c r="D1487" i="2"/>
  <c r="N1486" i="2"/>
  <c r="M1486" i="2"/>
  <c r="I1486" i="2"/>
  <c r="J1486" i="2" s="1"/>
  <c r="L1486" i="2" s="1"/>
  <c r="H1486" i="2"/>
  <c r="D1486" i="2"/>
  <c r="N1485" i="2"/>
  <c r="M1485" i="2"/>
  <c r="I1485" i="2"/>
  <c r="H1485" i="2"/>
  <c r="J1485" i="2" s="1"/>
  <c r="L1485" i="2" s="1"/>
  <c r="D1485" i="2"/>
  <c r="N1484" i="2"/>
  <c r="M1484" i="2"/>
  <c r="I1484" i="2"/>
  <c r="H1484" i="2"/>
  <c r="J1484" i="2" s="1"/>
  <c r="L1484" i="2" s="1"/>
  <c r="D1484" i="2"/>
  <c r="N1483" i="2"/>
  <c r="M1483" i="2"/>
  <c r="J1483" i="2"/>
  <c r="L1483" i="2" s="1"/>
  <c r="I1483" i="2"/>
  <c r="H1483" i="2"/>
  <c r="D1483" i="2"/>
  <c r="N1482" i="2"/>
  <c r="M1482" i="2"/>
  <c r="I1482" i="2"/>
  <c r="J1482" i="2" s="1"/>
  <c r="L1482" i="2" s="1"/>
  <c r="H1482" i="2"/>
  <c r="D1482" i="2"/>
  <c r="N1481" i="2"/>
  <c r="M1481" i="2"/>
  <c r="I1481" i="2"/>
  <c r="H1481" i="2"/>
  <c r="J1481" i="2" s="1"/>
  <c r="L1481" i="2" s="1"/>
  <c r="D1481" i="2"/>
  <c r="N1480" i="2"/>
  <c r="M1480" i="2"/>
  <c r="I1480" i="2"/>
  <c r="H1480" i="2"/>
  <c r="J1480" i="2" s="1"/>
  <c r="L1480" i="2" s="1"/>
  <c r="D1480" i="2"/>
  <c r="N1479" i="2"/>
  <c r="M1479" i="2"/>
  <c r="J1479" i="2"/>
  <c r="L1479" i="2" s="1"/>
  <c r="I1479" i="2"/>
  <c r="H1479" i="2"/>
  <c r="D1479" i="2"/>
  <c r="N1478" i="2"/>
  <c r="M1478" i="2"/>
  <c r="I1478" i="2"/>
  <c r="J1478" i="2" s="1"/>
  <c r="L1478" i="2" s="1"/>
  <c r="H1478" i="2"/>
  <c r="D1478" i="2"/>
  <c r="N1477" i="2"/>
  <c r="M1477" i="2"/>
  <c r="I1477" i="2"/>
  <c r="H1477" i="2"/>
  <c r="J1477" i="2" s="1"/>
  <c r="L1477" i="2" s="1"/>
  <c r="D1477" i="2"/>
  <c r="N1476" i="2"/>
  <c r="M1476" i="2"/>
  <c r="I1476" i="2"/>
  <c r="H1476" i="2"/>
  <c r="J1476" i="2" s="1"/>
  <c r="L1476" i="2" s="1"/>
  <c r="D1476" i="2"/>
  <c r="N1475" i="2"/>
  <c r="M1475" i="2"/>
  <c r="J1475" i="2"/>
  <c r="L1475" i="2" s="1"/>
  <c r="I1475" i="2"/>
  <c r="H1475" i="2"/>
  <c r="D1475" i="2"/>
  <c r="N1474" i="2"/>
  <c r="M1474" i="2"/>
  <c r="I1474" i="2"/>
  <c r="J1474" i="2" s="1"/>
  <c r="L1474" i="2" s="1"/>
  <c r="H1474" i="2"/>
  <c r="D1474" i="2"/>
  <c r="N1473" i="2"/>
  <c r="M1473" i="2"/>
  <c r="I1473" i="2"/>
  <c r="H1473" i="2"/>
  <c r="J1473" i="2" s="1"/>
  <c r="L1473" i="2" s="1"/>
  <c r="D1473" i="2"/>
  <c r="N1472" i="2"/>
  <c r="M1472" i="2"/>
  <c r="I1472" i="2"/>
  <c r="H1472" i="2"/>
  <c r="J1472" i="2" s="1"/>
  <c r="L1472" i="2" s="1"/>
  <c r="D1472" i="2"/>
  <c r="N1471" i="2"/>
  <c r="M1471" i="2"/>
  <c r="J1471" i="2"/>
  <c r="L1471" i="2" s="1"/>
  <c r="I1471" i="2"/>
  <c r="H1471" i="2"/>
  <c r="D1471" i="2"/>
  <c r="N1470" i="2"/>
  <c r="M1470" i="2"/>
  <c r="I1470" i="2"/>
  <c r="J1470" i="2" s="1"/>
  <c r="L1470" i="2" s="1"/>
  <c r="H1470" i="2"/>
  <c r="D1470" i="2"/>
  <c r="N1469" i="2"/>
  <c r="M1469" i="2"/>
  <c r="I1469" i="2"/>
  <c r="H1469" i="2"/>
  <c r="J1469" i="2" s="1"/>
  <c r="L1469" i="2" s="1"/>
  <c r="D1469" i="2"/>
  <c r="N1468" i="2"/>
  <c r="M1468" i="2"/>
  <c r="I1468" i="2"/>
  <c r="H1468" i="2"/>
  <c r="J1468" i="2" s="1"/>
  <c r="L1468" i="2" s="1"/>
  <c r="D1468" i="2"/>
  <c r="N1467" i="2"/>
  <c r="M1467" i="2"/>
  <c r="J1467" i="2"/>
  <c r="L1467" i="2" s="1"/>
  <c r="I1467" i="2"/>
  <c r="H1467" i="2"/>
  <c r="D1467" i="2"/>
  <c r="N1466" i="2"/>
  <c r="M1466" i="2"/>
  <c r="I1466" i="2"/>
  <c r="J1466" i="2" s="1"/>
  <c r="L1466" i="2" s="1"/>
  <c r="H1466" i="2"/>
  <c r="D1466" i="2"/>
  <c r="N1465" i="2"/>
  <c r="M1465" i="2"/>
  <c r="I1465" i="2"/>
  <c r="H1465" i="2"/>
  <c r="J1465" i="2" s="1"/>
  <c r="L1465" i="2" s="1"/>
  <c r="D1465" i="2"/>
  <c r="N1464" i="2"/>
  <c r="M1464" i="2"/>
  <c r="I1464" i="2"/>
  <c r="H1464" i="2"/>
  <c r="J1464" i="2" s="1"/>
  <c r="L1464" i="2" s="1"/>
  <c r="D1464" i="2"/>
  <c r="N1463" i="2"/>
  <c r="M1463" i="2"/>
  <c r="J1463" i="2"/>
  <c r="L1463" i="2" s="1"/>
  <c r="I1463" i="2"/>
  <c r="H1463" i="2"/>
  <c r="D1463" i="2"/>
  <c r="N1462" i="2"/>
  <c r="M1462" i="2"/>
  <c r="I1462" i="2"/>
  <c r="J1462" i="2" s="1"/>
  <c r="L1462" i="2" s="1"/>
  <c r="H1462" i="2"/>
  <c r="D1462" i="2"/>
  <c r="N1461" i="2"/>
  <c r="M1461" i="2"/>
  <c r="I1461" i="2"/>
  <c r="H1461" i="2"/>
  <c r="J1461" i="2" s="1"/>
  <c r="L1461" i="2" s="1"/>
  <c r="D1461" i="2"/>
  <c r="N1460" i="2"/>
  <c r="M1460" i="2"/>
  <c r="I1460" i="2"/>
  <c r="H1460" i="2"/>
  <c r="J1460" i="2" s="1"/>
  <c r="L1460" i="2" s="1"/>
  <c r="D1460" i="2"/>
  <c r="N1459" i="2"/>
  <c r="M1459" i="2"/>
  <c r="J1459" i="2"/>
  <c r="L1459" i="2" s="1"/>
  <c r="I1459" i="2"/>
  <c r="H1459" i="2"/>
  <c r="D1459" i="2"/>
  <c r="N1458" i="2"/>
  <c r="M1458" i="2"/>
  <c r="I1458" i="2"/>
  <c r="J1458" i="2" s="1"/>
  <c r="L1458" i="2" s="1"/>
  <c r="H1458" i="2"/>
  <c r="D1458" i="2"/>
  <c r="N1457" i="2"/>
  <c r="M1457" i="2"/>
  <c r="I1457" i="2"/>
  <c r="H1457" i="2"/>
  <c r="J1457" i="2" s="1"/>
  <c r="L1457" i="2" s="1"/>
  <c r="D1457" i="2"/>
  <c r="N1456" i="2"/>
  <c r="M1456" i="2"/>
  <c r="I1456" i="2"/>
  <c r="H1456" i="2"/>
  <c r="J1456" i="2" s="1"/>
  <c r="L1456" i="2" s="1"/>
  <c r="D1456" i="2"/>
  <c r="N1455" i="2"/>
  <c r="M1455" i="2"/>
  <c r="J1455" i="2"/>
  <c r="L1455" i="2" s="1"/>
  <c r="I1455" i="2"/>
  <c r="H1455" i="2"/>
  <c r="D1455" i="2"/>
  <c r="N1454" i="2"/>
  <c r="M1454" i="2"/>
  <c r="I1454" i="2"/>
  <c r="J1454" i="2" s="1"/>
  <c r="L1454" i="2" s="1"/>
  <c r="H1454" i="2"/>
  <c r="D1454" i="2"/>
  <c r="N1453" i="2"/>
  <c r="M1453" i="2"/>
  <c r="I1453" i="2"/>
  <c r="H1453" i="2"/>
  <c r="J1453" i="2" s="1"/>
  <c r="L1453" i="2" s="1"/>
  <c r="D1453" i="2"/>
  <c r="N1452" i="2"/>
  <c r="M1452" i="2"/>
  <c r="I1452" i="2"/>
  <c r="H1452" i="2"/>
  <c r="J1452" i="2" s="1"/>
  <c r="L1452" i="2" s="1"/>
  <c r="D1452" i="2"/>
  <c r="N1451" i="2"/>
  <c r="M1451" i="2"/>
  <c r="J1451" i="2"/>
  <c r="L1451" i="2" s="1"/>
  <c r="I1451" i="2"/>
  <c r="H1451" i="2"/>
  <c r="D1451" i="2"/>
  <c r="N1450" i="2"/>
  <c r="M1450" i="2"/>
  <c r="I1450" i="2"/>
  <c r="J1450" i="2" s="1"/>
  <c r="L1450" i="2" s="1"/>
  <c r="H1450" i="2"/>
  <c r="D1450" i="2"/>
  <c r="N1449" i="2"/>
  <c r="M1449" i="2"/>
  <c r="I1449" i="2"/>
  <c r="H1449" i="2"/>
  <c r="J1449" i="2" s="1"/>
  <c r="L1449" i="2" s="1"/>
  <c r="D1449" i="2"/>
  <c r="N1448" i="2"/>
  <c r="M1448" i="2"/>
  <c r="I1448" i="2"/>
  <c r="H1448" i="2"/>
  <c r="J1448" i="2" s="1"/>
  <c r="L1448" i="2" s="1"/>
  <c r="D1448" i="2"/>
  <c r="N1447" i="2"/>
  <c r="M1447" i="2"/>
  <c r="J1447" i="2"/>
  <c r="L1447" i="2" s="1"/>
  <c r="I1447" i="2"/>
  <c r="H1447" i="2"/>
  <c r="D1447" i="2"/>
  <c r="N1446" i="2"/>
  <c r="M1446" i="2"/>
  <c r="I1446" i="2"/>
  <c r="J1446" i="2" s="1"/>
  <c r="L1446" i="2" s="1"/>
  <c r="H1446" i="2"/>
  <c r="D1446" i="2"/>
  <c r="N1445" i="2"/>
  <c r="M1445" i="2"/>
  <c r="I1445" i="2"/>
  <c r="H1445" i="2"/>
  <c r="J1445" i="2" s="1"/>
  <c r="L1445" i="2" s="1"/>
  <c r="D1445" i="2"/>
  <c r="N1444" i="2"/>
  <c r="M1444" i="2"/>
  <c r="L1444" i="2"/>
  <c r="I1444" i="2"/>
  <c r="H1444" i="2"/>
  <c r="J1444" i="2" s="1"/>
  <c r="D1444" i="2"/>
  <c r="N1443" i="2"/>
  <c r="M1443" i="2"/>
  <c r="J1443" i="2"/>
  <c r="L1443" i="2" s="1"/>
  <c r="I1443" i="2"/>
  <c r="H1443" i="2"/>
  <c r="D1443" i="2"/>
  <c r="N1442" i="2"/>
  <c r="M1442" i="2"/>
  <c r="I1442" i="2"/>
  <c r="J1442" i="2" s="1"/>
  <c r="L1442" i="2" s="1"/>
  <c r="H1442" i="2"/>
  <c r="D1442" i="2"/>
  <c r="N1441" i="2"/>
  <c r="M1441" i="2"/>
  <c r="I1441" i="2"/>
  <c r="H1441" i="2"/>
  <c r="J1441" i="2" s="1"/>
  <c r="L1441" i="2" s="1"/>
  <c r="D1441" i="2"/>
  <c r="N1440" i="2"/>
  <c r="M1440" i="2"/>
  <c r="I1440" i="2"/>
  <c r="H1440" i="2"/>
  <c r="J1440" i="2" s="1"/>
  <c r="L1440" i="2" s="1"/>
  <c r="D1440" i="2"/>
  <c r="N1439" i="2"/>
  <c r="M1439" i="2"/>
  <c r="J1439" i="2"/>
  <c r="L1439" i="2" s="1"/>
  <c r="I1439" i="2"/>
  <c r="H1439" i="2"/>
  <c r="D1439" i="2"/>
  <c r="N1438" i="2"/>
  <c r="M1438" i="2"/>
  <c r="I1438" i="2"/>
  <c r="J1438" i="2" s="1"/>
  <c r="L1438" i="2" s="1"/>
  <c r="H1438" i="2"/>
  <c r="D1438" i="2"/>
  <c r="N1437" i="2"/>
  <c r="M1437" i="2"/>
  <c r="I1437" i="2"/>
  <c r="H1437" i="2"/>
  <c r="J1437" i="2" s="1"/>
  <c r="L1437" i="2" s="1"/>
  <c r="D1437" i="2"/>
  <c r="N1436" i="2"/>
  <c r="M1436" i="2"/>
  <c r="L1436" i="2"/>
  <c r="I1436" i="2"/>
  <c r="H1436" i="2"/>
  <c r="J1436" i="2" s="1"/>
  <c r="D1436" i="2"/>
  <c r="N1435" i="2"/>
  <c r="M1435" i="2"/>
  <c r="J1435" i="2"/>
  <c r="L1435" i="2" s="1"/>
  <c r="I1435" i="2"/>
  <c r="H1435" i="2"/>
  <c r="D1435" i="2"/>
  <c r="N1434" i="2"/>
  <c r="M1434" i="2"/>
  <c r="I1434" i="2"/>
  <c r="J1434" i="2" s="1"/>
  <c r="L1434" i="2" s="1"/>
  <c r="H1434" i="2"/>
  <c r="D1434" i="2"/>
  <c r="N1433" i="2"/>
  <c r="M1433" i="2"/>
  <c r="I1433" i="2"/>
  <c r="H1433" i="2"/>
  <c r="J1433" i="2" s="1"/>
  <c r="L1433" i="2" s="1"/>
  <c r="D1433" i="2"/>
  <c r="N1432" i="2"/>
  <c r="M1432" i="2"/>
  <c r="I1432" i="2"/>
  <c r="H1432" i="2"/>
  <c r="J1432" i="2" s="1"/>
  <c r="L1432" i="2" s="1"/>
  <c r="D1432" i="2"/>
  <c r="N1431" i="2"/>
  <c r="M1431" i="2"/>
  <c r="J1431" i="2"/>
  <c r="L1431" i="2" s="1"/>
  <c r="I1431" i="2"/>
  <c r="H1431" i="2"/>
  <c r="D1431" i="2"/>
  <c r="N1430" i="2"/>
  <c r="M1430" i="2"/>
  <c r="I1430" i="2"/>
  <c r="J1430" i="2" s="1"/>
  <c r="L1430" i="2" s="1"/>
  <c r="H1430" i="2"/>
  <c r="D1430" i="2"/>
  <c r="N1429" i="2"/>
  <c r="M1429" i="2"/>
  <c r="I1429" i="2"/>
  <c r="H1429" i="2"/>
  <c r="J1429" i="2" s="1"/>
  <c r="L1429" i="2" s="1"/>
  <c r="D1429" i="2"/>
  <c r="N1428" i="2"/>
  <c r="M1428" i="2"/>
  <c r="L1428" i="2"/>
  <c r="I1428" i="2"/>
  <c r="H1428" i="2"/>
  <c r="J1428" i="2" s="1"/>
  <c r="D1428" i="2"/>
  <c r="N1427" i="2"/>
  <c r="M1427" i="2"/>
  <c r="J1427" i="2"/>
  <c r="L1427" i="2" s="1"/>
  <c r="I1427" i="2"/>
  <c r="H1427" i="2"/>
  <c r="D1427" i="2"/>
  <c r="N1426" i="2"/>
  <c r="M1426" i="2"/>
  <c r="I1426" i="2"/>
  <c r="J1426" i="2" s="1"/>
  <c r="L1426" i="2" s="1"/>
  <c r="H1426" i="2"/>
  <c r="D1426" i="2"/>
  <c r="N1425" i="2"/>
  <c r="M1425" i="2"/>
  <c r="I1425" i="2"/>
  <c r="H1425" i="2"/>
  <c r="J1425" i="2" s="1"/>
  <c r="L1425" i="2" s="1"/>
  <c r="D1425" i="2"/>
  <c r="N1424" i="2"/>
  <c r="M1424" i="2"/>
  <c r="L1424" i="2"/>
  <c r="I1424" i="2"/>
  <c r="H1424" i="2"/>
  <c r="J1424" i="2" s="1"/>
  <c r="D1424" i="2"/>
  <c r="N1423" i="2"/>
  <c r="M1423" i="2"/>
  <c r="J1423" i="2"/>
  <c r="L1423" i="2" s="1"/>
  <c r="I1423" i="2"/>
  <c r="H1423" i="2"/>
  <c r="D1423" i="2"/>
  <c r="N1422" i="2"/>
  <c r="M1422" i="2"/>
  <c r="I1422" i="2"/>
  <c r="J1422" i="2" s="1"/>
  <c r="L1422" i="2" s="1"/>
  <c r="H1422" i="2"/>
  <c r="D1422" i="2"/>
  <c r="N1421" i="2"/>
  <c r="M1421" i="2"/>
  <c r="I1421" i="2"/>
  <c r="H1421" i="2"/>
  <c r="J1421" i="2" s="1"/>
  <c r="L1421" i="2" s="1"/>
  <c r="D1421" i="2"/>
  <c r="N1420" i="2"/>
  <c r="M1420" i="2"/>
  <c r="L1420" i="2"/>
  <c r="I1420" i="2"/>
  <c r="H1420" i="2"/>
  <c r="J1420" i="2" s="1"/>
  <c r="D1420" i="2"/>
  <c r="N1419" i="2"/>
  <c r="M1419" i="2"/>
  <c r="J1419" i="2"/>
  <c r="L1419" i="2" s="1"/>
  <c r="I1419" i="2"/>
  <c r="H1419" i="2"/>
  <c r="D1419" i="2"/>
  <c r="N1418" i="2"/>
  <c r="M1418" i="2"/>
  <c r="I1418" i="2"/>
  <c r="J1418" i="2" s="1"/>
  <c r="L1418" i="2" s="1"/>
  <c r="H1418" i="2"/>
  <c r="D1418" i="2"/>
  <c r="N1417" i="2"/>
  <c r="M1417" i="2"/>
  <c r="I1417" i="2"/>
  <c r="H1417" i="2"/>
  <c r="J1417" i="2" s="1"/>
  <c r="L1417" i="2" s="1"/>
  <c r="D1417" i="2"/>
  <c r="N1416" i="2"/>
  <c r="M1416" i="2"/>
  <c r="I1416" i="2"/>
  <c r="H1416" i="2"/>
  <c r="J1416" i="2" s="1"/>
  <c r="L1416" i="2" s="1"/>
  <c r="D1416" i="2"/>
  <c r="N1415" i="2"/>
  <c r="M1415" i="2"/>
  <c r="J1415" i="2"/>
  <c r="L1415" i="2" s="1"/>
  <c r="I1415" i="2"/>
  <c r="H1415" i="2"/>
  <c r="D1415" i="2"/>
  <c r="N1414" i="2"/>
  <c r="M1414" i="2"/>
  <c r="I1414" i="2"/>
  <c r="J1414" i="2" s="1"/>
  <c r="L1414" i="2" s="1"/>
  <c r="H1414" i="2"/>
  <c r="D1414" i="2"/>
  <c r="N1413" i="2"/>
  <c r="M1413" i="2"/>
  <c r="I1413" i="2"/>
  <c r="H1413" i="2"/>
  <c r="J1413" i="2" s="1"/>
  <c r="L1413" i="2" s="1"/>
  <c r="D1413" i="2"/>
  <c r="N1412" i="2"/>
  <c r="M1412" i="2"/>
  <c r="L1412" i="2"/>
  <c r="I1412" i="2"/>
  <c r="H1412" i="2"/>
  <c r="J1412" i="2" s="1"/>
  <c r="D1412" i="2"/>
  <c r="N1411" i="2"/>
  <c r="M1411" i="2"/>
  <c r="J1411" i="2"/>
  <c r="L1411" i="2" s="1"/>
  <c r="I1411" i="2"/>
  <c r="H1411" i="2"/>
  <c r="D1411" i="2"/>
  <c r="N1410" i="2"/>
  <c r="M1410" i="2"/>
  <c r="I1410" i="2"/>
  <c r="J1410" i="2" s="1"/>
  <c r="L1410" i="2" s="1"/>
  <c r="H1410" i="2"/>
  <c r="D1410" i="2"/>
  <c r="N1409" i="2"/>
  <c r="M1409" i="2"/>
  <c r="I1409" i="2"/>
  <c r="H1409" i="2"/>
  <c r="J1409" i="2" s="1"/>
  <c r="L1409" i="2" s="1"/>
  <c r="D1409" i="2"/>
  <c r="N1408" i="2"/>
  <c r="M1408" i="2"/>
  <c r="I1408" i="2"/>
  <c r="H1408" i="2"/>
  <c r="J1408" i="2" s="1"/>
  <c r="L1408" i="2" s="1"/>
  <c r="D1408" i="2"/>
  <c r="N1407" i="2"/>
  <c r="M1407" i="2"/>
  <c r="J1407" i="2"/>
  <c r="L1407" i="2" s="1"/>
  <c r="I1407" i="2"/>
  <c r="H1407" i="2"/>
  <c r="D1407" i="2"/>
  <c r="N1406" i="2"/>
  <c r="M1406" i="2"/>
  <c r="I1406" i="2"/>
  <c r="J1406" i="2" s="1"/>
  <c r="L1406" i="2" s="1"/>
  <c r="H1406" i="2"/>
  <c r="D1406" i="2"/>
  <c r="N1405" i="2"/>
  <c r="M1405" i="2"/>
  <c r="I1405" i="2"/>
  <c r="H1405" i="2"/>
  <c r="J1405" i="2" s="1"/>
  <c r="L1405" i="2" s="1"/>
  <c r="D1405" i="2"/>
  <c r="N1404" i="2"/>
  <c r="M1404" i="2"/>
  <c r="L1404" i="2"/>
  <c r="I1404" i="2"/>
  <c r="H1404" i="2"/>
  <c r="J1404" i="2" s="1"/>
  <c r="D1404" i="2"/>
  <c r="N1403" i="2"/>
  <c r="M1403" i="2"/>
  <c r="J1403" i="2"/>
  <c r="L1403" i="2" s="1"/>
  <c r="I1403" i="2"/>
  <c r="H1403" i="2"/>
  <c r="D1403" i="2"/>
  <c r="N1402" i="2"/>
  <c r="M1402" i="2"/>
  <c r="I1402" i="2"/>
  <c r="J1402" i="2" s="1"/>
  <c r="L1402" i="2" s="1"/>
  <c r="H1402" i="2"/>
  <c r="D1402" i="2"/>
  <c r="N1401" i="2"/>
  <c r="M1401" i="2"/>
  <c r="I1401" i="2"/>
  <c r="H1401" i="2"/>
  <c r="J1401" i="2" s="1"/>
  <c r="L1401" i="2" s="1"/>
  <c r="D1401" i="2"/>
  <c r="N1400" i="2"/>
  <c r="M1400" i="2"/>
  <c r="I1400" i="2"/>
  <c r="H1400" i="2"/>
  <c r="J1400" i="2" s="1"/>
  <c r="L1400" i="2" s="1"/>
  <c r="D1400" i="2"/>
  <c r="N1399" i="2"/>
  <c r="M1399" i="2"/>
  <c r="J1399" i="2"/>
  <c r="L1399" i="2" s="1"/>
  <c r="I1399" i="2"/>
  <c r="H1399" i="2"/>
  <c r="D1399" i="2"/>
  <c r="N1398" i="2"/>
  <c r="M1398" i="2"/>
  <c r="I1398" i="2"/>
  <c r="J1398" i="2" s="1"/>
  <c r="L1398" i="2" s="1"/>
  <c r="H1398" i="2"/>
  <c r="D1398" i="2"/>
  <c r="N1397" i="2"/>
  <c r="M1397" i="2"/>
  <c r="I1397" i="2"/>
  <c r="H1397" i="2"/>
  <c r="J1397" i="2" s="1"/>
  <c r="L1397" i="2" s="1"/>
  <c r="D1397" i="2"/>
  <c r="N1396" i="2"/>
  <c r="M1396" i="2"/>
  <c r="L1396" i="2"/>
  <c r="I1396" i="2"/>
  <c r="H1396" i="2"/>
  <c r="J1396" i="2" s="1"/>
  <c r="D1396" i="2"/>
  <c r="N1395" i="2"/>
  <c r="M1395" i="2"/>
  <c r="J1395" i="2"/>
  <c r="L1395" i="2" s="1"/>
  <c r="I1395" i="2"/>
  <c r="H1395" i="2"/>
  <c r="D1395" i="2"/>
  <c r="N1394" i="2"/>
  <c r="M1394" i="2"/>
  <c r="I1394" i="2"/>
  <c r="J1394" i="2" s="1"/>
  <c r="L1394" i="2" s="1"/>
  <c r="H1394" i="2"/>
  <c r="D1394" i="2"/>
  <c r="N1393" i="2"/>
  <c r="M1393" i="2"/>
  <c r="I1393" i="2"/>
  <c r="H1393" i="2"/>
  <c r="J1393" i="2" s="1"/>
  <c r="L1393" i="2" s="1"/>
  <c r="D1393" i="2"/>
  <c r="N1392" i="2"/>
  <c r="M1392" i="2"/>
  <c r="I1392" i="2"/>
  <c r="H1392" i="2"/>
  <c r="J1392" i="2" s="1"/>
  <c r="L1392" i="2" s="1"/>
  <c r="D1392" i="2"/>
  <c r="N1391" i="2"/>
  <c r="M1391" i="2"/>
  <c r="J1391" i="2"/>
  <c r="L1391" i="2" s="1"/>
  <c r="I1391" i="2"/>
  <c r="H1391" i="2"/>
  <c r="D1391" i="2"/>
  <c r="N1390" i="2"/>
  <c r="M1390" i="2"/>
  <c r="I1390" i="2"/>
  <c r="J1390" i="2" s="1"/>
  <c r="L1390" i="2" s="1"/>
  <c r="H1390" i="2"/>
  <c r="D1390" i="2"/>
  <c r="N1389" i="2"/>
  <c r="M1389" i="2"/>
  <c r="I1389" i="2"/>
  <c r="H1389" i="2"/>
  <c r="J1389" i="2" s="1"/>
  <c r="L1389" i="2" s="1"/>
  <c r="D1389" i="2"/>
  <c r="N1388" i="2"/>
  <c r="M1388" i="2"/>
  <c r="L1388" i="2"/>
  <c r="I1388" i="2"/>
  <c r="H1388" i="2"/>
  <c r="J1388" i="2" s="1"/>
  <c r="D1388" i="2"/>
  <c r="N1387" i="2"/>
  <c r="M1387" i="2"/>
  <c r="J1387" i="2"/>
  <c r="L1387" i="2" s="1"/>
  <c r="I1387" i="2"/>
  <c r="H1387" i="2"/>
  <c r="D1387" i="2"/>
  <c r="N1386" i="2"/>
  <c r="M1386" i="2"/>
  <c r="I1386" i="2"/>
  <c r="J1386" i="2" s="1"/>
  <c r="L1386" i="2" s="1"/>
  <c r="H1386" i="2"/>
  <c r="D1386" i="2"/>
  <c r="N1385" i="2"/>
  <c r="M1385" i="2"/>
  <c r="I1385" i="2"/>
  <c r="H1385" i="2"/>
  <c r="J1385" i="2" s="1"/>
  <c r="L1385" i="2" s="1"/>
  <c r="D1385" i="2"/>
  <c r="N1384" i="2"/>
  <c r="M1384" i="2"/>
  <c r="I1384" i="2"/>
  <c r="H1384" i="2"/>
  <c r="J1384" i="2" s="1"/>
  <c r="L1384" i="2" s="1"/>
  <c r="D1384" i="2"/>
  <c r="N1383" i="2"/>
  <c r="M1383" i="2"/>
  <c r="J1383" i="2"/>
  <c r="L1383" i="2" s="1"/>
  <c r="I1383" i="2"/>
  <c r="H1383" i="2"/>
  <c r="D1383" i="2"/>
  <c r="N1382" i="2"/>
  <c r="M1382" i="2"/>
  <c r="I1382" i="2"/>
  <c r="J1382" i="2" s="1"/>
  <c r="L1382" i="2" s="1"/>
  <c r="H1382" i="2"/>
  <c r="D1382" i="2"/>
  <c r="N1381" i="2"/>
  <c r="M1381" i="2"/>
  <c r="I1381" i="2"/>
  <c r="H1381" i="2"/>
  <c r="J1381" i="2" s="1"/>
  <c r="L1381" i="2" s="1"/>
  <c r="D1381" i="2"/>
  <c r="N1380" i="2"/>
  <c r="M1380" i="2"/>
  <c r="L1380" i="2"/>
  <c r="I1380" i="2"/>
  <c r="H1380" i="2"/>
  <c r="J1380" i="2" s="1"/>
  <c r="D1380" i="2"/>
  <c r="N1379" i="2"/>
  <c r="M1379" i="2"/>
  <c r="J1379" i="2"/>
  <c r="L1379" i="2" s="1"/>
  <c r="I1379" i="2"/>
  <c r="H1379" i="2"/>
  <c r="D1379" i="2"/>
  <c r="N1378" i="2"/>
  <c r="M1378" i="2"/>
  <c r="I1378" i="2"/>
  <c r="J1378" i="2" s="1"/>
  <c r="L1378" i="2" s="1"/>
  <c r="H1378" i="2"/>
  <c r="D1378" i="2"/>
  <c r="N1377" i="2"/>
  <c r="M1377" i="2"/>
  <c r="I1377" i="2"/>
  <c r="H1377" i="2"/>
  <c r="J1377" i="2" s="1"/>
  <c r="L1377" i="2" s="1"/>
  <c r="D1377" i="2"/>
  <c r="N1376" i="2"/>
  <c r="M1376" i="2"/>
  <c r="I1376" i="2"/>
  <c r="H1376" i="2"/>
  <c r="J1376" i="2" s="1"/>
  <c r="L1376" i="2" s="1"/>
  <c r="D1376" i="2"/>
  <c r="N1375" i="2"/>
  <c r="M1375" i="2"/>
  <c r="J1375" i="2"/>
  <c r="L1375" i="2" s="1"/>
  <c r="I1375" i="2"/>
  <c r="H1375" i="2"/>
  <c r="D1375" i="2"/>
  <c r="N1374" i="2"/>
  <c r="M1374" i="2"/>
  <c r="I1374" i="2"/>
  <c r="J1374" i="2" s="1"/>
  <c r="L1374" i="2" s="1"/>
  <c r="H1374" i="2"/>
  <c r="D1374" i="2"/>
  <c r="N1373" i="2"/>
  <c r="M1373" i="2"/>
  <c r="I1373" i="2"/>
  <c r="H1373" i="2"/>
  <c r="J1373" i="2" s="1"/>
  <c r="L1373" i="2" s="1"/>
  <c r="D1373" i="2"/>
  <c r="N1372" i="2"/>
  <c r="M1372" i="2"/>
  <c r="L1372" i="2"/>
  <c r="I1372" i="2"/>
  <c r="H1372" i="2"/>
  <c r="J1372" i="2" s="1"/>
  <c r="D1372" i="2"/>
  <c r="N1371" i="2"/>
  <c r="M1371" i="2"/>
  <c r="J1371" i="2"/>
  <c r="L1371" i="2" s="1"/>
  <c r="I1371" i="2"/>
  <c r="H1371" i="2"/>
  <c r="D1371" i="2"/>
  <c r="N1370" i="2"/>
  <c r="M1370" i="2"/>
  <c r="I1370" i="2"/>
  <c r="J1370" i="2" s="1"/>
  <c r="L1370" i="2" s="1"/>
  <c r="H1370" i="2"/>
  <c r="D1370" i="2"/>
  <c r="N1369" i="2"/>
  <c r="M1369" i="2"/>
  <c r="I1369" i="2"/>
  <c r="H1369" i="2"/>
  <c r="J1369" i="2" s="1"/>
  <c r="L1369" i="2" s="1"/>
  <c r="D1369" i="2"/>
  <c r="N1368" i="2"/>
  <c r="M1368" i="2"/>
  <c r="I1368" i="2"/>
  <c r="H1368" i="2"/>
  <c r="J1368" i="2" s="1"/>
  <c r="L1368" i="2" s="1"/>
  <c r="D1368" i="2"/>
  <c r="N1367" i="2"/>
  <c r="M1367" i="2"/>
  <c r="J1367" i="2"/>
  <c r="L1367" i="2" s="1"/>
  <c r="I1367" i="2"/>
  <c r="H1367" i="2"/>
  <c r="D1367" i="2"/>
  <c r="N1366" i="2"/>
  <c r="M1366" i="2"/>
  <c r="I1366" i="2"/>
  <c r="J1366" i="2" s="1"/>
  <c r="L1366" i="2" s="1"/>
  <c r="H1366" i="2"/>
  <c r="D1366" i="2"/>
  <c r="N1365" i="2"/>
  <c r="M1365" i="2"/>
  <c r="I1365" i="2"/>
  <c r="H1365" i="2"/>
  <c r="J1365" i="2" s="1"/>
  <c r="L1365" i="2" s="1"/>
  <c r="D1365" i="2"/>
  <c r="N1364" i="2"/>
  <c r="M1364" i="2"/>
  <c r="L1364" i="2"/>
  <c r="I1364" i="2"/>
  <c r="H1364" i="2"/>
  <c r="J1364" i="2" s="1"/>
  <c r="D1364" i="2"/>
  <c r="N1363" i="2"/>
  <c r="M1363" i="2"/>
  <c r="J1363" i="2"/>
  <c r="L1363" i="2" s="1"/>
  <c r="I1363" i="2"/>
  <c r="H1363" i="2"/>
  <c r="D1363" i="2"/>
  <c r="N1362" i="2"/>
  <c r="M1362" i="2"/>
  <c r="I1362" i="2"/>
  <c r="J1362" i="2" s="1"/>
  <c r="L1362" i="2" s="1"/>
  <c r="H1362" i="2"/>
  <c r="D1362" i="2"/>
  <c r="N1361" i="2"/>
  <c r="M1361" i="2"/>
  <c r="I1361" i="2"/>
  <c r="H1361" i="2"/>
  <c r="J1361" i="2" s="1"/>
  <c r="L1361" i="2" s="1"/>
  <c r="D1361" i="2"/>
  <c r="N1360" i="2"/>
  <c r="M1360" i="2"/>
  <c r="I1360" i="2"/>
  <c r="H1360" i="2"/>
  <c r="J1360" i="2" s="1"/>
  <c r="L1360" i="2" s="1"/>
  <c r="D1360" i="2"/>
  <c r="N1359" i="2"/>
  <c r="M1359" i="2"/>
  <c r="I1359" i="2"/>
  <c r="H1359" i="2"/>
  <c r="J1359" i="2" s="1"/>
  <c r="L1359" i="2" s="1"/>
  <c r="D1359" i="2"/>
  <c r="N1358" i="2"/>
  <c r="M1358" i="2"/>
  <c r="I1358" i="2"/>
  <c r="J1358" i="2" s="1"/>
  <c r="L1358" i="2" s="1"/>
  <c r="H1358" i="2"/>
  <c r="D1358" i="2"/>
  <c r="N1357" i="2"/>
  <c r="M1357" i="2"/>
  <c r="J1357" i="2"/>
  <c r="L1357" i="2" s="1"/>
  <c r="I1357" i="2"/>
  <c r="H1357" i="2"/>
  <c r="D1357" i="2"/>
  <c r="N1356" i="2"/>
  <c r="M1356" i="2"/>
  <c r="I1356" i="2"/>
  <c r="H1356" i="2"/>
  <c r="D1356" i="2"/>
  <c r="N1355" i="2"/>
  <c r="M1355" i="2"/>
  <c r="J1355" i="2"/>
  <c r="L1355" i="2" s="1"/>
  <c r="I1355" i="2"/>
  <c r="H1355" i="2"/>
  <c r="D1355" i="2"/>
  <c r="N1354" i="2"/>
  <c r="M1354" i="2"/>
  <c r="I1354" i="2"/>
  <c r="J1354" i="2" s="1"/>
  <c r="L1354" i="2" s="1"/>
  <c r="H1354" i="2"/>
  <c r="D1354" i="2"/>
  <c r="N1353" i="2"/>
  <c r="M1353" i="2"/>
  <c r="J1353" i="2"/>
  <c r="L1353" i="2" s="1"/>
  <c r="I1353" i="2"/>
  <c r="H1353" i="2"/>
  <c r="D1353" i="2"/>
  <c r="N1352" i="2"/>
  <c r="M1352" i="2"/>
  <c r="I1352" i="2"/>
  <c r="H1352" i="2"/>
  <c r="D1352" i="2"/>
  <c r="N1351" i="2"/>
  <c r="M1351" i="2"/>
  <c r="J1351" i="2"/>
  <c r="L1351" i="2" s="1"/>
  <c r="I1351" i="2"/>
  <c r="H1351" i="2"/>
  <c r="D1351" i="2"/>
  <c r="N1350" i="2"/>
  <c r="M1350" i="2"/>
  <c r="I1350" i="2"/>
  <c r="J1350" i="2" s="1"/>
  <c r="L1350" i="2" s="1"/>
  <c r="H1350" i="2"/>
  <c r="D1350" i="2"/>
  <c r="N1349" i="2"/>
  <c r="M1349" i="2"/>
  <c r="J1349" i="2"/>
  <c r="L1349" i="2" s="1"/>
  <c r="I1349" i="2"/>
  <c r="H1349" i="2"/>
  <c r="D1349" i="2"/>
  <c r="N1348" i="2"/>
  <c r="M1348" i="2"/>
  <c r="I1348" i="2"/>
  <c r="H1348" i="2"/>
  <c r="D1348" i="2"/>
  <c r="N1347" i="2"/>
  <c r="M1347" i="2"/>
  <c r="J1347" i="2"/>
  <c r="L1347" i="2" s="1"/>
  <c r="I1347" i="2"/>
  <c r="H1347" i="2"/>
  <c r="D1347" i="2"/>
  <c r="N1346" i="2"/>
  <c r="M1346" i="2"/>
  <c r="I1346" i="2"/>
  <c r="J1346" i="2" s="1"/>
  <c r="L1346" i="2" s="1"/>
  <c r="H1346" i="2"/>
  <c r="D1346" i="2"/>
  <c r="N1345" i="2"/>
  <c r="M1345" i="2"/>
  <c r="J1345" i="2"/>
  <c r="L1345" i="2" s="1"/>
  <c r="I1345" i="2"/>
  <c r="H1345" i="2"/>
  <c r="D1345" i="2"/>
  <c r="N1344" i="2"/>
  <c r="M1344" i="2"/>
  <c r="I1344" i="2"/>
  <c r="H1344" i="2"/>
  <c r="D1344" i="2"/>
  <c r="N1343" i="2"/>
  <c r="M1343" i="2"/>
  <c r="J1343" i="2"/>
  <c r="L1343" i="2" s="1"/>
  <c r="I1343" i="2"/>
  <c r="H1343" i="2"/>
  <c r="D1343" i="2"/>
  <c r="N1342" i="2"/>
  <c r="M1342" i="2"/>
  <c r="I1342" i="2"/>
  <c r="J1342" i="2" s="1"/>
  <c r="L1342" i="2" s="1"/>
  <c r="H1342" i="2"/>
  <c r="D1342" i="2"/>
  <c r="N1341" i="2"/>
  <c r="M1341" i="2"/>
  <c r="I1341" i="2"/>
  <c r="J1341" i="2" s="1"/>
  <c r="L1341" i="2" s="1"/>
  <c r="H1341" i="2"/>
  <c r="D1341" i="2"/>
  <c r="N1340" i="2"/>
  <c r="M1340" i="2"/>
  <c r="I1340" i="2"/>
  <c r="H1340" i="2"/>
  <c r="D1340" i="2"/>
  <c r="N1339" i="2"/>
  <c r="M1339" i="2"/>
  <c r="J1339" i="2"/>
  <c r="L1339" i="2" s="1"/>
  <c r="I1339" i="2"/>
  <c r="H1339" i="2"/>
  <c r="D1339" i="2"/>
  <c r="N1338" i="2"/>
  <c r="M1338" i="2"/>
  <c r="I1338" i="2"/>
  <c r="J1338" i="2" s="1"/>
  <c r="L1338" i="2" s="1"/>
  <c r="H1338" i="2"/>
  <c r="D1338" i="2"/>
  <c r="N1337" i="2"/>
  <c r="M1337" i="2"/>
  <c r="I1337" i="2"/>
  <c r="H1337" i="2"/>
  <c r="J1337" i="2" s="1"/>
  <c r="L1337" i="2" s="1"/>
  <c r="D1337" i="2"/>
  <c r="N1336" i="2"/>
  <c r="M1336" i="2"/>
  <c r="I1336" i="2"/>
  <c r="H1336" i="2"/>
  <c r="D1336" i="2"/>
  <c r="N1335" i="2"/>
  <c r="M1335" i="2"/>
  <c r="I1335" i="2"/>
  <c r="H1335" i="2"/>
  <c r="J1335" i="2" s="1"/>
  <c r="L1335" i="2" s="1"/>
  <c r="D1335" i="2"/>
  <c r="N1334" i="2"/>
  <c r="M1334" i="2"/>
  <c r="I1334" i="2"/>
  <c r="J1334" i="2" s="1"/>
  <c r="L1334" i="2" s="1"/>
  <c r="H1334" i="2"/>
  <c r="D1334" i="2"/>
  <c r="N1333" i="2"/>
  <c r="M1333" i="2"/>
  <c r="I1333" i="2"/>
  <c r="J1333" i="2" s="1"/>
  <c r="L1333" i="2" s="1"/>
  <c r="H1333" i="2"/>
  <c r="D1333" i="2"/>
  <c r="N1332" i="2"/>
  <c r="M1332" i="2"/>
  <c r="I1332" i="2"/>
  <c r="H1332" i="2"/>
  <c r="D1332" i="2"/>
  <c r="N1331" i="2"/>
  <c r="M1331" i="2"/>
  <c r="J1331" i="2"/>
  <c r="L1331" i="2" s="1"/>
  <c r="I1331" i="2"/>
  <c r="H1331" i="2"/>
  <c r="D1331" i="2"/>
  <c r="N1330" i="2"/>
  <c r="M1330" i="2"/>
  <c r="I1330" i="2"/>
  <c r="J1330" i="2" s="1"/>
  <c r="L1330" i="2" s="1"/>
  <c r="H1330" i="2"/>
  <c r="D1330" i="2"/>
  <c r="N1329" i="2"/>
  <c r="M1329" i="2"/>
  <c r="I1329" i="2"/>
  <c r="H1329" i="2"/>
  <c r="J1329" i="2" s="1"/>
  <c r="L1329" i="2" s="1"/>
  <c r="D1329" i="2"/>
  <c r="N1328" i="2"/>
  <c r="M1328" i="2"/>
  <c r="I1328" i="2"/>
  <c r="H1328" i="2"/>
  <c r="D1328" i="2"/>
  <c r="N1327" i="2"/>
  <c r="M1327" i="2"/>
  <c r="I1327" i="2"/>
  <c r="H1327" i="2"/>
  <c r="J1327" i="2" s="1"/>
  <c r="L1327" i="2" s="1"/>
  <c r="D1327" i="2"/>
  <c r="N1326" i="2"/>
  <c r="M1326" i="2"/>
  <c r="I1326" i="2"/>
  <c r="J1326" i="2" s="1"/>
  <c r="L1326" i="2" s="1"/>
  <c r="H1326" i="2"/>
  <c r="D1326" i="2"/>
  <c r="N1325" i="2"/>
  <c r="M1325" i="2"/>
  <c r="I1325" i="2"/>
  <c r="J1325" i="2" s="1"/>
  <c r="L1325" i="2" s="1"/>
  <c r="H1325" i="2"/>
  <c r="D1325" i="2"/>
  <c r="N1324" i="2"/>
  <c r="M1324" i="2"/>
  <c r="I1324" i="2"/>
  <c r="H1324" i="2"/>
  <c r="D1324" i="2"/>
  <c r="N1323" i="2"/>
  <c r="M1323" i="2"/>
  <c r="J1323" i="2"/>
  <c r="L1323" i="2" s="1"/>
  <c r="I1323" i="2"/>
  <c r="H1323" i="2"/>
  <c r="D1323" i="2"/>
  <c r="N1322" i="2"/>
  <c r="M1322" i="2"/>
  <c r="I1322" i="2"/>
  <c r="J1322" i="2" s="1"/>
  <c r="L1322" i="2" s="1"/>
  <c r="H1322" i="2"/>
  <c r="D1322" i="2"/>
  <c r="N1321" i="2"/>
  <c r="M1321" i="2"/>
  <c r="I1321" i="2"/>
  <c r="H1321" i="2"/>
  <c r="J1321" i="2" s="1"/>
  <c r="L1321" i="2" s="1"/>
  <c r="D1321" i="2"/>
  <c r="N1320" i="2"/>
  <c r="M1320" i="2"/>
  <c r="I1320" i="2"/>
  <c r="H1320" i="2"/>
  <c r="D1320" i="2"/>
  <c r="N1319" i="2"/>
  <c r="M1319" i="2"/>
  <c r="I1319" i="2"/>
  <c r="H1319" i="2"/>
  <c r="J1319" i="2" s="1"/>
  <c r="L1319" i="2" s="1"/>
  <c r="D1319" i="2"/>
  <c r="N1318" i="2"/>
  <c r="M1318" i="2"/>
  <c r="I1318" i="2"/>
  <c r="J1318" i="2" s="1"/>
  <c r="L1318" i="2" s="1"/>
  <c r="H1318" i="2"/>
  <c r="D1318" i="2"/>
  <c r="N1317" i="2"/>
  <c r="M1317" i="2"/>
  <c r="I1317" i="2"/>
  <c r="J1317" i="2" s="1"/>
  <c r="L1317" i="2" s="1"/>
  <c r="H1317" i="2"/>
  <c r="D1317" i="2"/>
  <c r="N1316" i="2"/>
  <c r="M1316" i="2"/>
  <c r="I1316" i="2"/>
  <c r="H1316" i="2"/>
  <c r="D1316" i="2"/>
  <c r="N1315" i="2"/>
  <c r="M1315" i="2"/>
  <c r="J1315" i="2"/>
  <c r="L1315" i="2" s="1"/>
  <c r="I1315" i="2"/>
  <c r="H1315" i="2"/>
  <c r="D1315" i="2"/>
  <c r="N1314" i="2"/>
  <c r="M1314" i="2"/>
  <c r="I1314" i="2"/>
  <c r="J1314" i="2" s="1"/>
  <c r="L1314" i="2" s="1"/>
  <c r="H1314" i="2"/>
  <c r="D1314" i="2"/>
  <c r="N1313" i="2"/>
  <c r="M1313" i="2"/>
  <c r="I1313" i="2"/>
  <c r="H1313" i="2"/>
  <c r="J1313" i="2" s="1"/>
  <c r="L1313" i="2" s="1"/>
  <c r="D1313" i="2"/>
  <c r="N1312" i="2"/>
  <c r="M1312" i="2"/>
  <c r="I1312" i="2"/>
  <c r="H1312" i="2"/>
  <c r="D1312" i="2"/>
  <c r="N1311" i="2"/>
  <c r="M1311" i="2"/>
  <c r="I1311" i="2"/>
  <c r="H1311" i="2"/>
  <c r="J1311" i="2" s="1"/>
  <c r="L1311" i="2" s="1"/>
  <c r="D1311" i="2"/>
  <c r="N1310" i="2"/>
  <c r="M1310" i="2"/>
  <c r="I1310" i="2"/>
  <c r="J1310" i="2" s="1"/>
  <c r="L1310" i="2" s="1"/>
  <c r="H1310" i="2"/>
  <c r="D1310" i="2"/>
  <c r="N1309" i="2"/>
  <c r="M1309" i="2"/>
  <c r="I1309" i="2"/>
  <c r="J1309" i="2" s="1"/>
  <c r="L1309" i="2" s="1"/>
  <c r="H1309" i="2"/>
  <c r="D1309" i="2"/>
  <c r="N1308" i="2"/>
  <c r="M1308" i="2"/>
  <c r="I1308" i="2"/>
  <c r="H1308" i="2"/>
  <c r="D1308" i="2"/>
  <c r="N1307" i="2"/>
  <c r="M1307" i="2"/>
  <c r="J1307" i="2"/>
  <c r="L1307" i="2" s="1"/>
  <c r="I1307" i="2"/>
  <c r="H1307" i="2"/>
  <c r="D1307" i="2"/>
  <c r="N1306" i="2"/>
  <c r="M1306" i="2"/>
  <c r="I1306" i="2"/>
  <c r="J1306" i="2" s="1"/>
  <c r="L1306" i="2" s="1"/>
  <c r="H1306" i="2"/>
  <c r="D1306" i="2"/>
  <c r="N1305" i="2"/>
  <c r="M1305" i="2"/>
  <c r="I1305" i="2"/>
  <c r="H1305" i="2"/>
  <c r="J1305" i="2" s="1"/>
  <c r="L1305" i="2" s="1"/>
  <c r="D1305" i="2"/>
  <c r="N1304" i="2"/>
  <c r="M1304" i="2"/>
  <c r="I1304" i="2"/>
  <c r="H1304" i="2"/>
  <c r="D1304" i="2"/>
  <c r="N1303" i="2"/>
  <c r="M1303" i="2"/>
  <c r="I1303" i="2"/>
  <c r="H1303" i="2"/>
  <c r="J1303" i="2" s="1"/>
  <c r="L1303" i="2" s="1"/>
  <c r="D1303" i="2"/>
  <c r="N1302" i="2"/>
  <c r="M1302" i="2"/>
  <c r="I1302" i="2"/>
  <c r="H1302" i="2"/>
  <c r="J1302" i="2" s="1"/>
  <c r="L1302" i="2" s="1"/>
  <c r="D1302" i="2"/>
  <c r="N1301" i="2"/>
  <c r="M1301" i="2"/>
  <c r="J1301" i="2"/>
  <c r="L1301" i="2" s="1"/>
  <c r="I1301" i="2"/>
  <c r="H1301" i="2"/>
  <c r="D1301" i="2"/>
  <c r="N1300" i="2"/>
  <c r="M1300" i="2"/>
  <c r="I1300" i="2"/>
  <c r="J1300" i="2" s="1"/>
  <c r="L1300" i="2" s="1"/>
  <c r="H1300" i="2"/>
  <c r="D1300" i="2"/>
  <c r="N1299" i="2"/>
  <c r="M1299" i="2"/>
  <c r="I1299" i="2"/>
  <c r="H1299" i="2"/>
  <c r="J1299" i="2" s="1"/>
  <c r="L1299" i="2" s="1"/>
  <c r="D1299" i="2"/>
  <c r="N1298" i="2"/>
  <c r="M1298" i="2"/>
  <c r="I1298" i="2"/>
  <c r="H1298" i="2"/>
  <c r="J1298" i="2" s="1"/>
  <c r="L1298" i="2" s="1"/>
  <c r="D1298" i="2"/>
  <c r="N1297" i="2"/>
  <c r="M1297" i="2"/>
  <c r="J1297" i="2"/>
  <c r="L1297" i="2" s="1"/>
  <c r="I1297" i="2"/>
  <c r="H1297" i="2"/>
  <c r="D1297" i="2"/>
  <c r="N1296" i="2"/>
  <c r="M1296" i="2"/>
  <c r="I1296" i="2"/>
  <c r="J1296" i="2" s="1"/>
  <c r="L1296" i="2" s="1"/>
  <c r="H1296" i="2"/>
  <c r="D1296" i="2"/>
  <c r="N1295" i="2"/>
  <c r="M1295" i="2"/>
  <c r="I1295" i="2"/>
  <c r="H1295" i="2"/>
  <c r="J1295" i="2" s="1"/>
  <c r="L1295" i="2" s="1"/>
  <c r="D1295" i="2"/>
  <c r="N1294" i="2"/>
  <c r="M1294" i="2"/>
  <c r="I1294" i="2"/>
  <c r="H1294" i="2"/>
  <c r="J1294" i="2" s="1"/>
  <c r="L1294" i="2" s="1"/>
  <c r="D1294" i="2"/>
  <c r="N1293" i="2"/>
  <c r="M1293" i="2"/>
  <c r="J1293" i="2"/>
  <c r="L1293" i="2" s="1"/>
  <c r="I1293" i="2"/>
  <c r="H1293" i="2"/>
  <c r="D1293" i="2"/>
  <c r="N1292" i="2"/>
  <c r="M1292" i="2"/>
  <c r="I1292" i="2"/>
  <c r="J1292" i="2" s="1"/>
  <c r="L1292" i="2" s="1"/>
  <c r="H1292" i="2"/>
  <c r="D1292" i="2"/>
  <c r="N1291" i="2"/>
  <c r="M1291" i="2"/>
  <c r="I1291" i="2"/>
  <c r="H1291" i="2"/>
  <c r="J1291" i="2" s="1"/>
  <c r="L1291" i="2" s="1"/>
  <c r="D1291" i="2"/>
  <c r="N1290" i="2"/>
  <c r="M1290" i="2"/>
  <c r="I1290" i="2"/>
  <c r="H1290" i="2"/>
  <c r="J1290" i="2" s="1"/>
  <c r="L1290" i="2" s="1"/>
  <c r="D1290" i="2"/>
  <c r="N1289" i="2"/>
  <c r="M1289" i="2"/>
  <c r="J1289" i="2"/>
  <c r="L1289" i="2" s="1"/>
  <c r="I1289" i="2"/>
  <c r="H1289" i="2"/>
  <c r="D1289" i="2"/>
  <c r="N1288" i="2"/>
  <c r="M1288" i="2"/>
  <c r="I1288" i="2"/>
  <c r="J1288" i="2" s="1"/>
  <c r="L1288" i="2" s="1"/>
  <c r="H1288" i="2"/>
  <c r="D1288" i="2"/>
  <c r="N1287" i="2"/>
  <c r="M1287" i="2"/>
  <c r="I1287" i="2"/>
  <c r="H1287" i="2"/>
  <c r="J1287" i="2" s="1"/>
  <c r="L1287" i="2" s="1"/>
  <c r="D1287" i="2"/>
  <c r="N1286" i="2"/>
  <c r="M1286" i="2"/>
  <c r="I1286" i="2"/>
  <c r="H1286" i="2"/>
  <c r="J1286" i="2" s="1"/>
  <c r="L1286" i="2" s="1"/>
  <c r="D1286" i="2"/>
  <c r="N1285" i="2"/>
  <c r="M1285" i="2"/>
  <c r="J1285" i="2"/>
  <c r="L1285" i="2" s="1"/>
  <c r="I1285" i="2"/>
  <c r="H1285" i="2"/>
  <c r="D1285" i="2"/>
  <c r="N1284" i="2"/>
  <c r="M1284" i="2"/>
  <c r="I1284" i="2"/>
  <c r="J1284" i="2" s="1"/>
  <c r="L1284" i="2" s="1"/>
  <c r="H1284" i="2"/>
  <c r="D1284" i="2"/>
  <c r="N1283" i="2"/>
  <c r="M1283" i="2"/>
  <c r="I1283" i="2"/>
  <c r="H1283" i="2"/>
  <c r="J1283" i="2" s="1"/>
  <c r="L1283" i="2" s="1"/>
  <c r="D1283" i="2"/>
  <c r="N1282" i="2"/>
  <c r="M1282" i="2"/>
  <c r="I1282" i="2"/>
  <c r="H1282" i="2"/>
  <c r="J1282" i="2" s="1"/>
  <c r="L1282" i="2" s="1"/>
  <c r="D1282" i="2"/>
  <c r="N1281" i="2"/>
  <c r="M1281" i="2"/>
  <c r="J1281" i="2"/>
  <c r="L1281" i="2" s="1"/>
  <c r="I1281" i="2"/>
  <c r="H1281" i="2"/>
  <c r="D1281" i="2"/>
  <c r="N1280" i="2"/>
  <c r="M1280" i="2"/>
  <c r="I1280" i="2"/>
  <c r="J1280" i="2" s="1"/>
  <c r="L1280" i="2" s="1"/>
  <c r="H1280" i="2"/>
  <c r="D1280" i="2"/>
  <c r="N1279" i="2"/>
  <c r="M1279" i="2"/>
  <c r="I1279" i="2"/>
  <c r="H1279" i="2"/>
  <c r="J1279" i="2" s="1"/>
  <c r="L1279" i="2" s="1"/>
  <c r="D1279" i="2"/>
  <c r="N1278" i="2"/>
  <c r="M1278" i="2"/>
  <c r="I1278" i="2"/>
  <c r="H1278" i="2"/>
  <c r="J1278" i="2" s="1"/>
  <c r="L1278" i="2" s="1"/>
  <c r="D1278" i="2"/>
  <c r="N1277" i="2"/>
  <c r="M1277" i="2"/>
  <c r="J1277" i="2"/>
  <c r="L1277" i="2" s="1"/>
  <c r="I1277" i="2"/>
  <c r="H1277" i="2"/>
  <c r="D1277" i="2"/>
  <c r="N1276" i="2"/>
  <c r="M1276" i="2"/>
  <c r="I1276" i="2"/>
  <c r="J1276" i="2" s="1"/>
  <c r="L1276" i="2" s="1"/>
  <c r="H1276" i="2"/>
  <c r="D1276" i="2"/>
  <c r="N1275" i="2"/>
  <c r="M1275" i="2"/>
  <c r="I1275" i="2"/>
  <c r="H1275" i="2"/>
  <c r="J1275" i="2" s="1"/>
  <c r="L1275" i="2" s="1"/>
  <c r="D1275" i="2"/>
  <c r="N1274" i="2"/>
  <c r="M1274" i="2"/>
  <c r="I1274" i="2"/>
  <c r="H1274" i="2"/>
  <c r="J1274" i="2" s="1"/>
  <c r="L1274" i="2" s="1"/>
  <c r="D1274" i="2"/>
  <c r="N1273" i="2"/>
  <c r="M1273" i="2"/>
  <c r="J1273" i="2"/>
  <c r="L1273" i="2" s="1"/>
  <c r="I1273" i="2"/>
  <c r="H1273" i="2"/>
  <c r="D1273" i="2"/>
  <c r="N1272" i="2"/>
  <c r="M1272" i="2"/>
  <c r="I1272" i="2"/>
  <c r="J1272" i="2" s="1"/>
  <c r="L1272" i="2" s="1"/>
  <c r="H1272" i="2"/>
  <c r="D1272" i="2"/>
  <c r="N1271" i="2"/>
  <c r="M1271" i="2"/>
  <c r="I1271" i="2"/>
  <c r="H1271" i="2"/>
  <c r="J1271" i="2" s="1"/>
  <c r="L1271" i="2" s="1"/>
  <c r="D1271" i="2"/>
  <c r="N1270" i="2"/>
  <c r="M1270" i="2"/>
  <c r="I1270" i="2"/>
  <c r="H1270" i="2"/>
  <c r="J1270" i="2" s="1"/>
  <c r="L1270" i="2" s="1"/>
  <c r="D1270" i="2"/>
  <c r="N1269" i="2"/>
  <c r="M1269" i="2"/>
  <c r="J1269" i="2"/>
  <c r="L1269" i="2" s="1"/>
  <c r="I1269" i="2"/>
  <c r="H1269" i="2"/>
  <c r="D1269" i="2"/>
  <c r="N1268" i="2"/>
  <c r="M1268" i="2"/>
  <c r="I1268" i="2"/>
  <c r="J1268" i="2" s="1"/>
  <c r="L1268" i="2" s="1"/>
  <c r="H1268" i="2"/>
  <c r="D1268" i="2"/>
  <c r="N1267" i="2"/>
  <c r="M1267" i="2"/>
  <c r="I1267" i="2"/>
  <c r="H1267" i="2"/>
  <c r="J1267" i="2" s="1"/>
  <c r="L1267" i="2" s="1"/>
  <c r="D1267" i="2"/>
  <c r="N1266" i="2"/>
  <c r="M1266" i="2"/>
  <c r="I1266" i="2"/>
  <c r="H1266" i="2"/>
  <c r="J1266" i="2" s="1"/>
  <c r="L1266" i="2" s="1"/>
  <c r="D1266" i="2"/>
  <c r="N1265" i="2"/>
  <c r="M1265" i="2"/>
  <c r="J1265" i="2"/>
  <c r="L1265" i="2" s="1"/>
  <c r="I1265" i="2"/>
  <c r="H1265" i="2"/>
  <c r="D1265" i="2"/>
  <c r="N1264" i="2"/>
  <c r="M1264" i="2"/>
  <c r="I1264" i="2"/>
  <c r="J1264" i="2" s="1"/>
  <c r="L1264" i="2" s="1"/>
  <c r="H1264" i="2"/>
  <c r="D1264" i="2"/>
  <c r="N1263" i="2"/>
  <c r="M1263" i="2"/>
  <c r="I1263" i="2"/>
  <c r="H1263" i="2"/>
  <c r="J1263" i="2" s="1"/>
  <c r="L1263" i="2" s="1"/>
  <c r="D1263" i="2"/>
  <c r="N1262" i="2"/>
  <c r="M1262" i="2"/>
  <c r="I1262" i="2"/>
  <c r="H1262" i="2"/>
  <c r="J1262" i="2" s="1"/>
  <c r="L1262" i="2" s="1"/>
  <c r="D1262" i="2"/>
  <c r="N1261" i="2"/>
  <c r="M1261" i="2"/>
  <c r="J1261" i="2"/>
  <c r="L1261" i="2" s="1"/>
  <c r="I1261" i="2"/>
  <c r="H1261" i="2"/>
  <c r="D1261" i="2"/>
  <c r="N1260" i="2"/>
  <c r="M1260" i="2"/>
  <c r="I1260" i="2"/>
  <c r="J1260" i="2" s="1"/>
  <c r="L1260" i="2" s="1"/>
  <c r="H1260" i="2"/>
  <c r="D1260" i="2"/>
  <c r="N1259" i="2"/>
  <c r="M1259" i="2"/>
  <c r="I1259" i="2"/>
  <c r="H1259" i="2"/>
  <c r="J1259" i="2" s="1"/>
  <c r="L1259" i="2" s="1"/>
  <c r="D1259" i="2"/>
  <c r="N1258" i="2"/>
  <c r="M1258" i="2"/>
  <c r="I1258" i="2"/>
  <c r="H1258" i="2"/>
  <c r="J1258" i="2" s="1"/>
  <c r="L1258" i="2" s="1"/>
  <c r="D1258" i="2"/>
  <c r="N1257" i="2"/>
  <c r="M1257" i="2"/>
  <c r="J1257" i="2"/>
  <c r="L1257" i="2" s="1"/>
  <c r="I1257" i="2"/>
  <c r="H1257" i="2"/>
  <c r="D1257" i="2"/>
  <c r="N1256" i="2"/>
  <c r="M1256" i="2"/>
  <c r="I1256" i="2"/>
  <c r="J1256" i="2" s="1"/>
  <c r="L1256" i="2" s="1"/>
  <c r="H1256" i="2"/>
  <c r="D1256" i="2"/>
  <c r="N1255" i="2"/>
  <c r="M1255" i="2"/>
  <c r="I1255" i="2"/>
  <c r="H1255" i="2"/>
  <c r="J1255" i="2" s="1"/>
  <c r="L1255" i="2" s="1"/>
  <c r="D1255" i="2"/>
  <c r="N1254" i="2"/>
  <c r="M1254" i="2"/>
  <c r="I1254" i="2"/>
  <c r="H1254" i="2"/>
  <c r="J1254" i="2" s="1"/>
  <c r="L1254" i="2" s="1"/>
  <c r="D1254" i="2"/>
  <c r="N1253" i="2"/>
  <c r="M1253" i="2"/>
  <c r="J1253" i="2"/>
  <c r="L1253" i="2" s="1"/>
  <c r="I1253" i="2"/>
  <c r="H1253" i="2"/>
  <c r="D1253" i="2"/>
  <c r="N1252" i="2"/>
  <c r="M1252" i="2"/>
  <c r="I1252" i="2"/>
  <c r="J1252" i="2" s="1"/>
  <c r="L1252" i="2" s="1"/>
  <c r="H1252" i="2"/>
  <c r="D1252" i="2"/>
  <c r="N1251" i="2"/>
  <c r="M1251" i="2"/>
  <c r="I1251" i="2"/>
  <c r="H1251" i="2"/>
  <c r="J1251" i="2" s="1"/>
  <c r="L1251" i="2" s="1"/>
  <c r="D1251" i="2"/>
  <c r="N1250" i="2"/>
  <c r="M1250" i="2"/>
  <c r="I1250" i="2"/>
  <c r="H1250" i="2"/>
  <c r="J1250" i="2" s="1"/>
  <c r="L1250" i="2" s="1"/>
  <c r="D1250" i="2"/>
  <c r="N1249" i="2"/>
  <c r="M1249" i="2"/>
  <c r="J1249" i="2"/>
  <c r="L1249" i="2" s="1"/>
  <c r="I1249" i="2"/>
  <c r="H1249" i="2"/>
  <c r="D1249" i="2"/>
  <c r="N1248" i="2"/>
  <c r="M1248" i="2"/>
  <c r="I1248" i="2"/>
  <c r="J1248" i="2" s="1"/>
  <c r="L1248" i="2" s="1"/>
  <c r="H1248" i="2"/>
  <c r="D1248" i="2"/>
  <c r="N1247" i="2"/>
  <c r="M1247" i="2"/>
  <c r="I1247" i="2"/>
  <c r="H1247" i="2"/>
  <c r="J1247" i="2" s="1"/>
  <c r="L1247" i="2" s="1"/>
  <c r="D1247" i="2"/>
  <c r="N1246" i="2"/>
  <c r="M1246" i="2"/>
  <c r="I1246" i="2"/>
  <c r="H1246" i="2"/>
  <c r="J1246" i="2" s="1"/>
  <c r="L1246" i="2" s="1"/>
  <c r="D1246" i="2"/>
  <c r="N1245" i="2"/>
  <c r="M1245" i="2"/>
  <c r="J1245" i="2"/>
  <c r="L1245" i="2" s="1"/>
  <c r="I1245" i="2"/>
  <c r="H1245" i="2"/>
  <c r="D1245" i="2"/>
  <c r="N1244" i="2"/>
  <c r="M1244" i="2"/>
  <c r="I1244" i="2"/>
  <c r="J1244" i="2" s="1"/>
  <c r="L1244" i="2" s="1"/>
  <c r="H1244" i="2"/>
  <c r="D1244" i="2"/>
  <c r="N1243" i="2"/>
  <c r="M1243" i="2"/>
  <c r="I1243" i="2"/>
  <c r="H1243" i="2"/>
  <c r="J1243" i="2" s="1"/>
  <c r="L1243" i="2" s="1"/>
  <c r="D1243" i="2"/>
  <c r="N1242" i="2"/>
  <c r="M1242" i="2"/>
  <c r="I1242" i="2"/>
  <c r="H1242" i="2"/>
  <c r="J1242" i="2" s="1"/>
  <c r="L1242" i="2" s="1"/>
  <c r="D1242" i="2"/>
  <c r="N1241" i="2"/>
  <c r="M1241" i="2"/>
  <c r="J1241" i="2"/>
  <c r="L1241" i="2" s="1"/>
  <c r="I1241" i="2"/>
  <c r="H1241" i="2"/>
  <c r="D1241" i="2"/>
  <c r="N1240" i="2"/>
  <c r="M1240" i="2"/>
  <c r="I1240" i="2"/>
  <c r="J1240" i="2" s="1"/>
  <c r="L1240" i="2" s="1"/>
  <c r="H1240" i="2"/>
  <c r="D1240" i="2"/>
  <c r="N1239" i="2"/>
  <c r="M1239" i="2"/>
  <c r="I1239" i="2"/>
  <c r="H1239" i="2"/>
  <c r="J1239" i="2" s="1"/>
  <c r="L1239" i="2" s="1"/>
  <c r="D1239" i="2"/>
  <c r="N1238" i="2"/>
  <c r="M1238" i="2"/>
  <c r="I1238" i="2"/>
  <c r="H1238" i="2"/>
  <c r="J1238" i="2" s="1"/>
  <c r="L1238" i="2" s="1"/>
  <c r="D1238" i="2"/>
  <c r="N1237" i="2"/>
  <c r="M1237" i="2"/>
  <c r="J1237" i="2"/>
  <c r="L1237" i="2" s="1"/>
  <c r="I1237" i="2"/>
  <c r="H1237" i="2"/>
  <c r="D1237" i="2"/>
  <c r="N1236" i="2"/>
  <c r="M1236" i="2"/>
  <c r="I1236" i="2"/>
  <c r="J1236" i="2" s="1"/>
  <c r="L1236" i="2" s="1"/>
  <c r="H1236" i="2"/>
  <c r="D1236" i="2"/>
  <c r="N1235" i="2"/>
  <c r="M1235" i="2"/>
  <c r="I1235" i="2"/>
  <c r="H1235" i="2"/>
  <c r="J1235" i="2" s="1"/>
  <c r="L1235" i="2" s="1"/>
  <c r="D1235" i="2"/>
  <c r="N1234" i="2"/>
  <c r="M1234" i="2"/>
  <c r="I1234" i="2"/>
  <c r="H1234" i="2"/>
  <c r="J1234" i="2" s="1"/>
  <c r="L1234" i="2" s="1"/>
  <c r="D1234" i="2"/>
  <c r="N1233" i="2"/>
  <c r="M1233" i="2"/>
  <c r="J1233" i="2"/>
  <c r="L1233" i="2" s="1"/>
  <c r="I1233" i="2"/>
  <c r="H1233" i="2"/>
  <c r="D1233" i="2"/>
  <c r="N1232" i="2"/>
  <c r="M1232" i="2"/>
  <c r="I1232" i="2"/>
  <c r="J1232" i="2" s="1"/>
  <c r="L1232" i="2" s="1"/>
  <c r="H1232" i="2"/>
  <c r="D1232" i="2"/>
  <c r="N1231" i="2"/>
  <c r="M1231" i="2"/>
  <c r="I1231" i="2"/>
  <c r="H1231" i="2"/>
  <c r="J1231" i="2" s="1"/>
  <c r="L1231" i="2" s="1"/>
  <c r="D1231" i="2"/>
  <c r="N1230" i="2"/>
  <c r="M1230" i="2"/>
  <c r="I1230" i="2"/>
  <c r="H1230" i="2"/>
  <c r="J1230" i="2" s="1"/>
  <c r="L1230" i="2" s="1"/>
  <c r="D1230" i="2"/>
  <c r="N1229" i="2"/>
  <c r="M1229" i="2"/>
  <c r="J1229" i="2"/>
  <c r="L1229" i="2" s="1"/>
  <c r="I1229" i="2"/>
  <c r="H1229" i="2"/>
  <c r="D1229" i="2"/>
  <c r="N1228" i="2"/>
  <c r="M1228" i="2"/>
  <c r="I1228" i="2"/>
  <c r="J1228" i="2" s="1"/>
  <c r="L1228" i="2" s="1"/>
  <c r="H1228" i="2"/>
  <c r="D1228" i="2"/>
  <c r="N1227" i="2"/>
  <c r="M1227" i="2"/>
  <c r="I1227" i="2"/>
  <c r="H1227" i="2"/>
  <c r="J1227" i="2" s="1"/>
  <c r="L1227" i="2" s="1"/>
  <c r="D1227" i="2"/>
  <c r="N1226" i="2"/>
  <c r="M1226" i="2"/>
  <c r="I1226" i="2"/>
  <c r="H1226" i="2"/>
  <c r="J1226" i="2" s="1"/>
  <c r="L1226" i="2" s="1"/>
  <c r="D1226" i="2"/>
  <c r="N1225" i="2"/>
  <c r="M1225" i="2"/>
  <c r="J1225" i="2"/>
  <c r="L1225" i="2" s="1"/>
  <c r="I1225" i="2"/>
  <c r="H1225" i="2"/>
  <c r="D1225" i="2"/>
  <c r="N1224" i="2"/>
  <c r="M1224" i="2"/>
  <c r="I1224" i="2"/>
  <c r="J1224" i="2" s="1"/>
  <c r="L1224" i="2" s="1"/>
  <c r="H1224" i="2"/>
  <c r="D1224" i="2"/>
  <c r="N1223" i="2"/>
  <c r="M1223" i="2"/>
  <c r="I1223" i="2"/>
  <c r="H1223" i="2"/>
  <c r="J1223" i="2" s="1"/>
  <c r="L1223" i="2" s="1"/>
  <c r="D1223" i="2"/>
  <c r="N1222" i="2"/>
  <c r="M1222" i="2"/>
  <c r="I1222" i="2"/>
  <c r="H1222" i="2"/>
  <c r="J1222" i="2" s="1"/>
  <c r="L1222" i="2" s="1"/>
  <c r="D1222" i="2"/>
  <c r="N1221" i="2"/>
  <c r="M1221" i="2"/>
  <c r="J1221" i="2"/>
  <c r="L1221" i="2" s="1"/>
  <c r="I1221" i="2"/>
  <c r="H1221" i="2"/>
  <c r="D1221" i="2"/>
  <c r="N1220" i="2"/>
  <c r="M1220" i="2"/>
  <c r="I1220" i="2"/>
  <c r="J1220" i="2" s="1"/>
  <c r="L1220" i="2" s="1"/>
  <c r="H1220" i="2"/>
  <c r="D1220" i="2"/>
  <c r="N1219" i="2"/>
  <c r="M1219" i="2"/>
  <c r="I1219" i="2"/>
  <c r="H1219" i="2"/>
  <c r="J1219" i="2" s="1"/>
  <c r="L1219" i="2" s="1"/>
  <c r="D1219" i="2"/>
  <c r="N1218" i="2"/>
  <c r="M1218" i="2"/>
  <c r="I1218" i="2"/>
  <c r="H1218" i="2"/>
  <c r="J1218" i="2" s="1"/>
  <c r="L1218" i="2" s="1"/>
  <c r="D1218" i="2"/>
  <c r="N1217" i="2"/>
  <c r="M1217" i="2"/>
  <c r="J1217" i="2"/>
  <c r="L1217" i="2" s="1"/>
  <c r="I1217" i="2"/>
  <c r="H1217" i="2"/>
  <c r="D1217" i="2"/>
  <c r="N1216" i="2"/>
  <c r="M1216" i="2"/>
  <c r="I1216" i="2"/>
  <c r="J1216" i="2" s="1"/>
  <c r="L1216" i="2" s="1"/>
  <c r="H1216" i="2"/>
  <c r="D1216" i="2"/>
  <c r="N1215" i="2"/>
  <c r="M1215" i="2"/>
  <c r="I1215" i="2"/>
  <c r="H1215" i="2"/>
  <c r="J1215" i="2" s="1"/>
  <c r="L1215" i="2" s="1"/>
  <c r="D1215" i="2"/>
  <c r="N1214" i="2"/>
  <c r="M1214" i="2"/>
  <c r="I1214" i="2"/>
  <c r="H1214" i="2"/>
  <c r="J1214" i="2" s="1"/>
  <c r="L1214" i="2" s="1"/>
  <c r="D1214" i="2"/>
  <c r="N1213" i="2"/>
  <c r="M1213" i="2"/>
  <c r="J1213" i="2"/>
  <c r="L1213" i="2" s="1"/>
  <c r="I1213" i="2"/>
  <c r="H1213" i="2"/>
  <c r="D1213" i="2"/>
  <c r="N1212" i="2"/>
  <c r="M1212" i="2"/>
  <c r="I1212" i="2"/>
  <c r="J1212" i="2" s="1"/>
  <c r="L1212" i="2" s="1"/>
  <c r="H1212" i="2"/>
  <c r="D1212" i="2"/>
  <c r="N1211" i="2"/>
  <c r="M1211" i="2"/>
  <c r="I1211" i="2"/>
  <c r="H1211" i="2"/>
  <c r="J1211" i="2" s="1"/>
  <c r="L1211" i="2" s="1"/>
  <c r="D1211" i="2"/>
  <c r="N1210" i="2"/>
  <c r="M1210" i="2"/>
  <c r="I1210" i="2"/>
  <c r="H1210" i="2"/>
  <c r="J1210" i="2" s="1"/>
  <c r="L1210" i="2" s="1"/>
  <c r="D1210" i="2"/>
  <c r="N1209" i="2"/>
  <c r="M1209" i="2"/>
  <c r="J1209" i="2"/>
  <c r="L1209" i="2" s="1"/>
  <c r="I1209" i="2"/>
  <c r="H1209" i="2"/>
  <c r="D1209" i="2"/>
  <c r="N1208" i="2"/>
  <c r="M1208" i="2"/>
  <c r="I1208" i="2"/>
  <c r="J1208" i="2" s="1"/>
  <c r="L1208" i="2" s="1"/>
  <c r="H1208" i="2"/>
  <c r="D1208" i="2"/>
  <c r="N1207" i="2"/>
  <c r="M1207" i="2"/>
  <c r="I1207" i="2"/>
  <c r="H1207" i="2"/>
  <c r="J1207" i="2" s="1"/>
  <c r="L1207" i="2" s="1"/>
  <c r="D1207" i="2"/>
  <c r="N1206" i="2"/>
  <c r="M1206" i="2"/>
  <c r="I1206" i="2"/>
  <c r="H1206" i="2"/>
  <c r="J1206" i="2" s="1"/>
  <c r="L1206" i="2" s="1"/>
  <c r="D1206" i="2"/>
  <c r="N1205" i="2"/>
  <c r="M1205" i="2"/>
  <c r="J1205" i="2"/>
  <c r="L1205" i="2" s="1"/>
  <c r="I1205" i="2"/>
  <c r="H1205" i="2"/>
  <c r="D1205" i="2"/>
  <c r="N1204" i="2"/>
  <c r="M1204" i="2"/>
  <c r="I1204" i="2"/>
  <c r="J1204" i="2" s="1"/>
  <c r="L1204" i="2" s="1"/>
  <c r="H1204" i="2"/>
  <c r="D1204" i="2"/>
  <c r="N1203" i="2"/>
  <c r="M1203" i="2"/>
  <c r="I1203" i="2"/>
  <c r="H1203" i="2"/>
  <c r="J1203" i="2" s="1"/>
  <c r="L1203" i="2" s="1"/>
  <c r="D1203" i="2"/>
  <c r="N1202" i="2"/>
  <c r="M1202" i="2"/>
  <c r="I1202" i="2"/>
  <c r="H1202" i="2"/>
  <c r="J1202" i="2" s="1"/>
  <c r="L1202" i="2" s="1"/>
  <c r="D1202" i="2"/>
  <c r="N1201" i="2"/>
  <c r="M1201" i="2"/>
  <c r="J1201" i="2"/>
  <c r="L1201" i="2" s="1"/>
  <c r="I1201" i="2"/>
  <c r="H1201" i="2"/>
  <c r="D1201" i="2"/>
  <c r="N1200" i="2"/>
  <c r="M1200" i="2"/>
  <c r="I1200" i="2"/>
  <c r="J1200" i="2" s="1"/>
  <c r="L1200" i="2" s="1"/>
  <c r="H1200" i="2"/>
  <c r="D1200" i="2"/>
  <c r="N1199" i="2"/>
  <c r="M1199" i="2"/>
  <c r="I1199" i="2"/>
  <c r="H1199" i="2"/>
  <c r="J1199" i="2" s="1"/>
  <c r="L1199" i="2" s="1"/>
  <c r="D1199" i="2"/>
  <c r="N1198" i="2"/>
  <c r="M1198" i="2"/>
  <c r="I1198" i="2"/>
  <c r="H1198" i="2"/>
  <c r="J1198" i="2" s="1"/>
  <c r="L1198" i="2" s="1"/>
  <c r="D1198" i="2"/>
  <c r="N1197" i="2"/>
  <c r="M1197" i="2"/>
  <c r="J1197" i="2"/>
  <c r="L1197" i="2" s="1"/>
  <c r="I1197" i="2"/>
  <c r="H1197" i="2"/>
  <c r="D1197" i="2"/>
  <c r="N1196" i="2"/>
  <c r="M1196" i="2"/>
  <c r="I1196" i="2"/>
  <c r="J1196" i="2" s="1"/>
  <c r="L1196" i="2" s="1"/>
  <c r="H1196" i="2"/>
  <c r="D1196" i="2"/>
  <c r="N1195" i="2"/>
  <c r="M1195" i="2"/>
  <c r="I1195" i="2"/>
  <c r="H1195" i="2"/>
  <c r="J1195" i="2" s="1"/>
  <c r="L1195" i="2" s="1"/>
  <c r="D1195" i="2"/>
  <c r="N1194" i="2"/>
  <c r="M1194" i="2"/>
  <c r="I1194" i="2"/>
  <c r="H1194" i="2"/>
  <c r="J1194" i="2" s="1"/>
  <c r="L1194" i="2" s="1"/>
  <c r="D1194" i="2"/>
  <c r="N1193" i="2"/>
  <c r="M1193" i="2"/>
  <c r="J1193" i="2"/>
  <c r="L1193" i="2" s="1"/>
  <c r="I1193" i="2"/>
  <c r="H1193" i="2"/>
  <c r="D1193" i="2"/>
  <c r="N1192" i="2"/>
  <c r="M1192" i="2"/>
  <c r="I1192" i="2"/>
  <c r="J1192" i="2" s="1"/>
  <c r="L1192" i="2" s="1"/>
  <c r="H1192" i="2"/>
  <c r="D1192" i="2"/>
  <c r="N1191" i="2"/>
  <c r="M1191" i="2"/>
  <c r="I1191" i="2"/>
  <c r="H1191" i="2"/>
  <c r="J1191" i="2" s="1"/>
  <c r="L1191" i="2" s="1"/>
  <c r="D1191" i="2"/>
  <c r="N1190" i="2"/>
  <c r="M1190" i="2"/>
  <c r="I1190" i="2"/>
  <c r="H1190" i="2"/>
  <c r="J1190" i="2" s="1"/>
  <c r="L1190" i="2" s="1"/>
  <c r="D1190" i="2"/>
  <c r="N1189" i="2"/>
  <c r="M1189" i="2"/>
  <c r="J1189" i="2"/>
  <c r="L1189" i="2" s="1"/>
  <c r="I1189" i="2"/>
  <c r="H1189" i="2"/>
  <c r="D1189" i="2"/>
  <c r="N1188" i="2"/>
  <c r="M1188" i="2"/>
  <c r="I1188" i="2"/>
  <c r="J1188" i="2" s="1"/>
  <c r="L1188" i="2" s="1"/>
  <c r="H1188" i="2"/>
  <c r="D1188" i="2"/>
  <c r="N1187" i="2"/>
  <c r="M1187" i="2"/>
  <c r="I1187" i="2"/>
  <c r="H1187" i="2"/>
  <c r="J1187" i="2" s="1"/>
  <c r="L1187" i="2" s="1"/>
  <c r="D1187" i="2"/>
  <c r="N1186" i="2"/>
  <c r="M1186" i="2"/>
  <c r="I1186" i="2"/>
  <c r="H1186" i="2"/>
  <c r="J1186" i="2" s="1"/>
  <c r="L1186" i="2" s="1"/>
  <c r="D1186" i="2"/>
  <c r="N1185" i="2"/>
  <c r="M1185" i="2"/>
  <c r="J1185" i="2"/>
  <c r="L1185" i="2" s="1"/>
  <c r="I1185" i="2"/>
  <c r="H1185" i="2"/>
  <c r="D1185" i="2"/>
  <c r="N1184" i="2"/>
  <c r="M1184" i="2"/>
  <c r="I1184" i="2"/>
  <c r="J1184" i="2" s="1"/>
  <c r="L1184" i="2" s="1"/>
  <c r="H1184" i="2"/>
  <c r="D1184" i="2"/>
  <c r="N1183" i="2"/>
  <c r="M1183" i="2"/>
  <c r="I1183" i="2"/>
  <c r="H1183" i="2"/>
  <c r="J1183" i="2" s="1"/>
  <c r="L1183" i="2" s="1"/>
  <c r="D1183" i="2"/>
  <c r="N1182" i="2"/>
  <c r="M1182" i="2"/>
  <c r="I1182" i="2"/>
  <c r="H1182" i="2"/>
  <c r="J1182" i="2" s="1"/>
  <c r="L1182" i="2" s="1"/>
  <c r="D1182" i="2"/>
  <c r="N1181" i="2"/>
  <c r="M1181" i="2"/>
  <c r="J1181" i="2"/>
  <c r="L1181" i="2" s="1"/>
  <c r="I1181" i="2"/>
  <c r="H1181" i="2"/>
  <c r="D1181" i="2"/>
  <c r="N1180" i="2"/>
  <c r="M1180" i="2"/>
  <c r="I1180" i="2"/>
  <c r="J1180" i="2" s="1"/>
  <c r="L1180" i="2" s="1"/>
  <c r="H1180" i="2"/>
  <c r="D1180" i="2"/>
  <c r="N1179" i="2"/>
  <c r="M1179" i="2"/>
  <c r="I1179" i="2"/>
  <c r="H1179" i="2"/>
  <c r="J1179" i="2" s="1"/>
  <c r="L1179" i="2" s="1"/>
  <c r="D1179" i="2"/>
  <c r="N1178" i="2"/>
  <c r="M1178" i="2"/>
  <c r="I1178" i="2"/>
  <c r="H1178" i="2"/>
  <c r="J1178" i="2" s="1"/>
  <c r="L1178" i="2" s="1"/>
  <c r="D1178" i="2"/>
  <c r="N1177" i="2"/>
  <c r="M1177" i="2"/>
  <c r="J1177" i="2"/>
  <c r="L1177" i="2" s="1"/>
  <c r="I1177" i="2"/>
  <c r="H1177" i="2"/>
  <c r="D1177" i="2"/>
  <c r="N1176" i="2"/>
  <c r="M1176" i="2"/>
  <c r="I1176" i="2"/>
  <c r="J1176" i="2" s="1"/>
  <c r="L1176" i="2" s="1"/>
  <c r="H1176" i="2"/>
  <c r="D1176" i="2"/>
  <c r="N1175" i="2"/>
  <c r="M1175" i="2"/>
  <c r="I1175" i="2"/>
  <c r="H1175" i="2"/>
  <c r="J1175" i="2" s="1"/>
  <c r="L1175" i="2" s="1"/>
  <c r="D1175" i="2"/>
  <c r="N1174" i="2"/>
  <c r="M1174" i="2"/>
  <c r="I1174" i="2"/>
  <c r="H1174" i="2"/>
  <c r="J1174" i="2" s="1"/>
  <c r="L1174" i="2" s="1"/>
  <c r="D1174" i="2"/>
  <c r="N1173" i="2"/>
  <c r="M1173" i="2"/>
  <c r="J1173" i="2"/>
  <c r="L1173" i="2" s="1"/>
  <c r="I1173" i="2"/>
  <c r="H1173" i="2"/>
  <c r="D1173" i="2"/>
  <c r="N1172" i="2"/>
  <c r="M1172" i="2"/>
  <c r="I1172" i="2"/>
  <c r="J1172" i="2" s="1"/>
  <c r="L1172" i="2" s="1"/>
  <c r="H1172" i="2"/>
  <c r="D1172" i="2"/>
  <c r="N1171" i="2"/>
  <c r="M1171" i="2"/>
  <c r="I1171" i="2"/>
  <c r="H1171" i="2"/>
  <c r="J1171" i="2" s="1"/>
  <c r="L1171" i="2" s="1"/>
  <c r="D1171" i="2"/>
  <c r="N1170" i="2"/>
  <c r="M1170" i="2"/>
  <c r="I1170" i="2"/>
  <c r="H1170" i="2"/>
  <c r="J1170" i="2" s="1"/>
  <c r="L1170" i="2" s="1"/>
  <c r="D1170" i="2"/>
  <c r="N1169" i="2"/>
  <c r="M1169" i="2"/>
  <c r="J1169" i="2"/>
  <c r="L1169" i="2" s="1"/>
  <c r="I1169" i="2"/>
  <c r="H1169" i="2"/>
  <c r="D1169" i="2"/>
  <c r="N1168" i="2"/>
  <c r="M1168" i="2"/>
  <c r="I1168" i="2"/>
  <c r="J1168" i="2" s="1"/>
  <c r="L1168" i="2" s="1"/>
  <c r="H1168" i="2"/>
  <c r="D1168" i="2"/>
  <c r="N1167" i="2"/>
  <c r="M1167" i="2"/>
  <c r="I1167" i="2"/>
  <c r="H1167" i="2"/>
  <c r="J1167" i="2" s="1"/>
  <c r="L1167" i="2" s="1"/>
  <c r="D1167" i="2"/>
  <c r="N1166" i="2"/>
  <c r="M1166" i="2"/>
  <c r="I1166" i="2"/>
  <c r="H1166" i="2"/>
  <c r="J1166" i="2" s="1"/>
  <c r="L1166" i="2" s="1"/>
  <c r="D1166" i="2"/>
  <c r="N1165" i="2"/>
  <c r="M1165" i="2"/>
  <c r="J1165" i="2"/>
  <c r="L1165" i="2" s="1"/>
  <c r="I1165" i="2"/>
  <c r="H1165" i="2"/>
  <c r="D1165" i="2"/>
  <c r="N1164" i="2"/>
  <c r="M1164" i="2"/>
  <c r="I1164" i="2"/>
  <c r="J1164" i="2" s="1"/>
  <c r="L1164" i="2" s="1"/>
  <c r="H1164" i="2"/>
  <c r="D1164" i="2"/>
  <c r="N1163" i="2"/>
  <c r="M1163" i="2"/>
  <c r="I1163" i="2"/>
  <c r="H1163" i="2"/>
  <c r="J1163" i="2" s="1"/>
  <c r="L1163" i="2" s="1"/>
  <c r="D1163" i="2"/>
  <c r="N1162" i="2"/>
  <c r="M1162" i="2"/>
  <c r="I1162" i="2"/>
  <c r="H1162" i="2"/>
  <c r="J1162" i="2" s="1"/>
  <c r="L1162" i="2" s="1"/>
  <c r="D1162" i="2"/>
  <c r="N1161" i="2"/>
  <c r="M1161" i="2"/>
  <c r="J1161" i="2"/>
  <c r="L1161" i="2" s="1"/>
  <c r="I1161" i="2"/>
  <c r="H1161" i="2"/>
  <c r="D1161" i="2"/>
  <c r="N1160" i="2"/>
  <c r="M1160" i="2"/>
  <c r="I1160" i="2"/>
  <c r="J1160" i="2" s="1"/>
  <c r="L1160" i="2" s="1"/>
  <c r="H1160" i="2"/>
  <c r="D1160" i="2"/>
  <c r="N1159" i="2"/>
  <c r="M1159" i="2"/>
  <c r="I1159" i="2"/>
  <c r="H1159" i="2"/>
  <c r="J1159" i="2" s="1"/>
  <c r="L1159" i="2" s="1"/>
  <c r="D1159" i="2"/>
  <c r="N1158" i="2"/>
  <c r="M1158" i="2"/>
  <c r="I1158" i="2"/>
  <c r="H1158" i="2"/>
  <c r="J1158" i="2" s="1"/>
  <c r="L1158" i="2" s="1"/>
  <c r="D1158" i="2"/>
  <c r="N1157" i="2"/>
  <c r="M1157" i="2"/>
  <c r="J1157" i="2"/>
  <c r="L1157" i="2" s="1"/>
  <c r="I1157" i="2"/>
  <c r="H1157" i="2"/>
  <c r="D1157" i="2"/>
  <c r="N1156" i="2"/>
  <c r="M1156" i="2"/>
  <c r="I1156" i="2"/>
  <c r="J1156" i="2" s="1"/>
  <c r="L1156" i="2" s="1"/>
  <c r="H1156" i="2"/>
  <c r="D1156" i="2"/>
  <c r="N1155" i="2"/>
  <c r="M1155" i="2"/>
  <c r="I1155" i="2"/>
  <c r="H1155" i="2"/>
  <c r="J1155" i="2" s="1"/>
  <c r="L1155" i="2" s="1"/>
  <c r="D1155" i="2"/>
  <c r="N1154" i="2"/>
  <c r="M1154" i="2"/>
  <c r="I1154" i="2"/>
  <c r="H1154" i="2"/>
  <c r="J1154" i="2" s="1"/>
  <c r="L1154" i="2" s="1"/>
  <c r="D1154" i="2"/>
  <c r="N1153" i="2"/>
  <c r="M1153" i="2"/>
  <c r="J1153" i="2"/>
  <c r="L1153" i="2" s="1"/>
  <c r="I1153" i="2"/>
  <c r="H1153" i="2"/>
  <c r="D1153" i="2"/>
  <c r="N1152" i="2"/>
  <c r="M1152" i="2"/>
  <c r="I1152" i="2"/>
  <c r="J1152" i="2" s="1"/>
  <c r="L1152" i="2" s="1"/>
  <c r="H1152" i="2"/>
  <c r="D1152" i="2"/>
  <c r="N1151" i="2"/>
  <c r="M1151" i="2"/>
  <c r="I1151" i="2"/>
  <c r="H1151" i="2"/>
  <c r="J1151" i="2" s="1"/>
  <c r="L1151" i="2" s="1"/>
  <c r="D1151" i="2"/>
  <c r="N1150" i="2"/>
  <c r="M1150" i="2"/>
  <c r="I1150" i="2"/>
  <c r="H1150" i="2"/>
  <c r="J1150" i="2" s="1"/>
  <c r="L1150" i="2" s="1"/>
  <c r="D1150" i="2"/>
  <c r="N1149" i="2"/>
  <c r="M1149" i="2"/>
  <c r="J1149" i="2"/>
  <c r="L1149" i="2" s="1"/>
  <c r="I1149" i="2"/>
  <c r="H1149" i="2"/>
  <c r="D1149" i="2"/>
  <c r="N1148" i="2"/>
  <c r="M1148" i="2"/>
  <c r="I1148" i="2"/>
  <c r="J1148" i="2" s="1"/>
  <c r="L1148" i="2" s="1"/>
  <c r="H1148" i="2"/>
  <c r="D1148" i="2"/>
  <c r="N1147" i="2"/>
  <c r="M1147" i="2"/>
  <c r="I1147" i="2"/>
  <c r="H1147" i="2"/>
  <c r="J1147" i="2" s="1"/>
  <c r="L1147" i="2" s="1"/>
  <c r="D1147" i="2"/>
  <c r="N1146" i="2"/>
  <c r="M1146" i="2"/>
  <c r="I1146" i="2"/>
  <c r="H1146" i="2"/>
  <c r="J1146" i="2" s="1"/>
  <c r="L1146" i="2" s="1"/>
  <c r="D1146" i="2"/>
  <c r="N1145" i="2"/>
  <c r="M1145" i="2"/>
  <c r="J1145" i="2"/>
  <c r="L1145" i="2" s="1"/>
  <c r="I1145" i="2"/>
  <c r="H1145" i="2"/>
  <c r="D1145" i="2"/>
  <c r="N1144" i="2"/>
  <c r="M1144" i="2"/>
  <c r="I1144" i="2"/>
  <c r="J1144" i="2" s="1"/>
  <c r="L1144" i="2" s="1"/>
  <c r="H1144" i="2"/>
  <c r="D1144" i="2"/>
  <c r="N1143" i="2"/>
  <c r="M1143" i="2"/>
  <c r="I1143" i="2"/>
  <c r="H1143" i="2"/>
  <c r="J1143" i="2" s="1"/>
  <c r="L1143" i="2" s="1"/>
  <c r="D1143" i="2"/>
  <c r="N1142" i="2"/>
  <c r="M1142" i="2"/>
  <c r="I1142" i="2"/>
  <c r="H1142" i="2"/>
  <c r="J1142" i="2" s="1"/>
  <c r="L1142" i="2" s="1"/>
  <c r="D1142" i="2"/>
  <c r="N1141" i="2"/>
  <c r="M1141" i="2"/>
  <c r="J1141" i="2"/>
  <c r="L1141" i="2" s="1"/>
  <c r="I1141" i="2"/>
  <c r="H1141" i="2"/>
  <c r="D1141" i="2"/>
  <c r="N1140" i="2"/>
  <c r="M1140" i="2"/>
  <c r="I1140" i="2"/>
  <c r="J1140" i="2" s="1"/>
  <c r="L1140" i="2" s="1"/>
  <c r="H1140" i="2"/>
  <c r="D1140" i="2"/>
  <c r="N1139" i="2"/>
  <c r="M1139" i="2"/>
  <c r="I1139" i="2"/>
  <c r="H1139" i="2"/>
  <c r="J1139" i="2" s="1"/>
  <c r="L1139" i="2" s="1"/>
  <c r="D1139" i="2"/>
  <c r="N1138" i="2"/>
  <c r="M1138" i="2"/>
  <c r="I1138" i="2"/>
  <c r="H1138" i="2"/>
  <c r="J1138" i="2" s="1"/>
  <c r="L1138" i="2" s="1"/>
  <c r="D1138" i="2"/>
  <c r="N1137" i="2"/>
  <c r="M1137" i="2"/>
  <c r="J1137" i="2"/>
  <c r="L1137" i="2" s="1"/>
  <c r="I1137" i="2"/>
  <c r="H1137" i="2"/>
  <c r="D1137" i="2"/>
  <c r="N1136" i="2"/>
  <c r="M1136" i="2"/>
  <c r="I1136" i="2"/>
  <c r="J1136" i="2" s="1"/>
  <c r="L1136" i="2" s="1"/>
  <c r="H1136" i="2"/>
  <c r="D1136" i="2"/>
  <c r="N1135" i="2"/>
  <c r="M1135" i="2"/>
  <c r="I1135" i="2"/>
  <c r="H1135" i="2"/>
  <c r="J1135" i="2" s="1"/>
  <c r="L1135" i="2" s="1"/>
  <c r="D1135" i="2"/>
  <c r="N1134" i="2"/>
  <c r="M1134" i="2"/>
  <c r="I1134" i="2"/>
  <c r="H1134" i="2"/>
  <c r="J1134" i="2" s="1"/>
  <c r="L1134" i="2" s="1"/>
  <c r="D1134" i="2"/>
  <c r="N1133" i="2"/>
  <c r="M1133" i="2"/>
  <c r="J1133" i="2"/>
  <c r="L1133" i="2" s="1"/>
  <c r="I1133" i="2"/>
  <c r="H1133" i="2"/>
  <c r="D1133" i="2"/>
  <c r="N1132" i="2"/>
  <c r="M1132" i="2"/>
  <c r="I1132" i="2"/>
  <c r="J1132" i="2" s="1"/>
  <c r="L1132" i="2" s="1"/>
  <c r="H1132" i="2"/>
  <c r="D1132" i="2"/>
  <c r="N1131" i="2"/>
  <c r="M1131" i="2"/>
  <c r="I1131" i="2"/>
  <c r="H1131" i="2"/>
  <c r="J1131" i="2" s="1"/>
  <c r="L1131" i="2" s="1"/>
  <c r="D1131" i="2"/>
  <c r="N1130" i="2"/>
  <c r="M1130" i="2"/>
  <c r="I1130" i="2"/>
  <c r="H1130" i="2"/>
  <c r="J1130" i="2" s="1"/>
  <c r="L1130" i="2" s="1"/>
  <c r="D1130" i="2"/>
  <c r="N1129" i="2"/>
  <c r="M1129" i="2"/>
  <c r="J1129" i="2"/>
  <c r="L1129" i="2" s="1"/>
  <c r="I1129" i="2"/>
  <c r="H1129" i="2"/>
  <c r="D1129" i="2"/>
  <c r="N1128" i="2"/>
  <c r="M1128" i="2"/>
  <c r="I1128" i="2"/>
  <c r="J1128" i="2" s="1"/>
  <c r="L1128" i="2" s="1"/>
  <c r="H1128" i="2"/>
  <c r="D1128" i="2"/>
  <c r="N1127" i="2"/>
  <c r="M1127" i="2"/>
  <c r="I1127" i="2"/>
  <c r="H1127" i="2"/>
  <c r="J1127" i="2" s="1"/>
  <c r="L1127" i="2" s="1"/>
  <c r="D1127" i="2"/>
  <c r="N1126" i="2"/>
  <c r="M1126" i="2"/>
  <c r="I1126" i="2"/>
  <c r="H1126" i="2"/>
  <c r="J1126" i="2" s="1"/>
  <c r="L1126" i="2" s="1"/>
  <c r="D1126" i="2"/>
  <c r="N1125" i="2"/>
  <c r="M1125" i="2"/>
  <c r="J1125" i="2"/>
  <c r="L1125" i="2" s="1"/>
  <c r="I1125" i="2"/>
  <c r="H1125" i="2"/>
  <c r="D1125" i="2"/>
  <c r="N1124" i="2"/>
  <c r="M1124" i="2"/>
  <c r="I1124" i="2"/>
  <c r="J1124" i="2" s="1"/>
  <c r="L1124" i="2" s="1"/>
  <c r="H1124" i="2"/>
  <c r="D1124" i="2"/>
  <c r="N1123" i="2"/>
  <c r="M1123" i="2"/>
  <c r="I1123" i="2"/>
  <c r="H1123" i="2"/>
  <c r="J1123" i="2" s="1"/>
  <c r="L1123" i="2" s="1"/>
  <c r="D1123" i="2"/>
  <c r="N1122" i="2"/>
  <c r="M1122" i="2"/>
  <c r="I1122" i="2"/>
  <c r="H1122" i="2"/>
  <c r="J1122" i="2" s="1"/>
  <c r="L1122" i="2" s="1"/>
  <c r="D1122" i="2"/>
  <c r="N1121" i="2"/>
  <c r="M1121" i="2"/>
  <c r="J1121" i="2"/>
  <c r="L1121" i="2" s="1"/>
  <c r="I1121" i="2"/>
  <c r="H1121" i="2"/>
  <c r="D1121" i="2"/>
  <c r="N1120" i="2"/>
  <c r="M1120" i="2"/>
  <c r="I1120" i="2"/>
  <c r="J1120" i="2" s="1"/>
  <c r="L1120" i="2" s="1"/>
  <c r="H1120" i="2"/>
  <c r="D1120" i="2"/>
  <c r="N1119" i="2"/>
  <c r="M1119" i="2"/>
  <c r="I1119" i="2"/>
  <c r="H1119" i="2"/>
  <c r="J1119" i="2" s="1"/>
  <c r="L1119" i="2" s="1"/>
  <c r="D1119" i="2"/>
  <c r="N1118" i="2"/>
  <c r="M1118" i="2"/>
  <c r="I1118" i="2"/>
  <c r="H1118" i="2"/>
  <c r="J1118" i="2" s="1"/>
  <c r="L1118" i="2" s="1"/>
  <c r="D1118" i="2"/>
  <c r="N1117" i="2"/>
  <c r="M1117" i="2"/>
  <c r="J1117" i="2"/>
  <c r="L1117" i="2" s="1"/>
  <c r="I1117" i="2"/>
  <c r="H1117" i="2"/>
  <c r="D1117" i="2"/>
  <c r="N1116" i="2"/>
  <c r="M1116" i="2"/>
  <c r="I1116" i="2"/>
  <c r="J1116" i="2" s="1"/>
  <c r="L1116" i="2" s="1"/>
  <c r="H1116" i="2"/>
  <c r="D1116" i="2"/>
  <c r="N1115" i="2"/>
  <c r="M1115" i="2"/>
  <c r="I1115" i="2"/>
  <c r="H1115" i="2"/>
  <c r="J1115" i="2" s="1"/>
  <c r="L1115" i="2" s="1"/>
  <c r="D1115" i="2"/>
  <c r="N1114" i="2"/>
  <c r="M1114" i="2"/>
  <c r="I1114" i="2"/>
  <c r="H1114" i="2"/>
  <c r="J1114" i="2" s="1"/>
  <c r="L1114" i="2" s="1"/>
  <c r="D1114" i="2"/>
  <c r="N1113" i="2"/>
  <c r="M1113" i="2"/>
  <c r="J1113" i="2"/>
  <c r="L1113" i="2" s="1"/>
  <c r="I1113" i="2"/>
  <c r="H1113" i="2"/>
  <c r="D1113" i="2"/>
  <c r="N1112" i="2"/>
  <c r="M1112" i="2"/>
  <c r="I1112" i="2"/>
  <c r="J1112" i="2" s="1"/>
  <c r="L1112" i="2" s="1"/>
  <c r="H1112" i="2"/>
  <c r="D1112" i="2"/>
  <c r="N1111" i="2"/>
  <c r="M1111" i="2"/>
  <c r="I1111" i="2"/>
  <c r="H1111" i="2"/>
  <c r="J1111" i="2" s="1"/>
  <c r="L1111" i="2" s="1"/>
  <c r="D1111" i="2"/>
  <c r="N1110" i="2"/>
  <c r="M1110" i="2"/>
  <c r="I1110" i="2"/>
  <c r="H1110" i="2"/>
  <c r="J1110" i="2" s="1"/>
  <c r="L1110" i="2" s="1"/>
  <c r="D1110" i="2"/>
  <c r="N1109" i="2"/>
  <c r="M1109" i="2"/>
  <c r="J1109" i="2"/>
  <c r="L1109" i="2" s="1"/>
  <c r="I1109" i="2"/>
  <c r="H1109" i="2"/>
  <c r="D1109" i="2"/>
  <c r="N1108" i="2"/>
  <c r="M1108" i="2"/>
  <c r="I1108" i="2"/>
  <c r="J1108" i="2" s="1"/>
  <c r="L1108" i="2" s="1"/>
  <c r="H1108" i="2"/>
  <c r="D1108" i="2"/>
  <c r="N1107" i="2"/>
  <c r="M1107" i="2"/>
  <c r="I1107" i="2"/>
  <c r="H1107" i="2"/>
  <c r="J1107" i="2" s="1"/>
  <c r="L1107" i="2" s="1"/>
  <c r="D1107" i="2"/>
  <c r="N1106" i="2"/>
  <c r="M1106" i="2"/>
  <c r="I1106" i="2"/>
  <c r="H1106" i="2"/>
  <c r="J1106" i="2" s="1"/>
  <c r="L1106" i="2" s="1"/>
  <c r="D1106" i="2"/>
  <c r="N1105" i="2"/>
  <c r="M1105" i="2"/>
  <c r="J1105" i="2"/>
  <c r="L1105" i="2" s="1"/>
  <c r="I1105" i="2"/>
  <c r="H1105" i="2"/>
  <c r="D1105" i="2"/>
  <c r="N1104" i="2"/>
  <c r="M1104" i="2"/>
  <c r="I1104" i="2"/>
  <c r="J1104" i="2" s="1"/>
  <c r="L1104" i="2" s="1"/>
  <c r="H1104" i="2"/>
  <c r="D1104" i="2"/>
  <c r="N1103" i="2"/>
  <c r="M1103" i="2"/>
  <c r="I1103" i="2"/>
  <c r="H1103" i="2"/>
  <c r="J1103" i="2" s="1"/>
  <c r="L1103" i="2" s="1"/>
  <c r="D1103" i="2"/>
  <c r="N1102" i="2"/>
  <c r="M1102" i="2"/>
  <c r="I1102" i="2"/>
  <c r="H1102" i="2"/>
  <c r="J1102" i="2" s="1"/>
  <c r="L1102" i="2" s="1"/>
  <c r="D1102" i="2"/>
  <c r="N1101" i="2"/>
  <c r="M1101" i="2"/>
  <c r="J1101" i="2"/>
  <c r="L1101" i="2" s="1"/>
  <c r="I1101" i="2"/>
  <c r="H1101" i="2"/>
  <c r="D1101" i="2"/>
  <c r="N1100" i="2"/>
  <c r="M1100" i="2"/>
  <c r="I1100" i="2"/>
  <c r="J1100" i="2" s="1"/>
  <c r="L1100" i="2" s="1"/>
  <c r="H1100" i="2"/>
  <c r="D1100" i="2"/>
  <c r="N1099" i="2"/>
  <c r="M1099" i="2"/>
  <c r="I1099" i="2"/>
  <c r="H1099" i="2"/>
  <c r="J1099" i="2" s="1"/>
  <c r="L1099" i="2" s="1"/>
  <c r="D1099" i="2"/>
  <c r="N1098" i="2"/>
  <c r="M1098" i="2"/>
  <c r="I1098" i="2"/>
  <c r="H1098" i="2"/>
  <c r="J1098" i="2" s="1"/>
  <c r="L1098" i="2" s="1"/>
  <c r="D1098" i="2"/>
  <c r="N1097" i="2"/>
  <c r="M1097" i="2"/>
  <c r="J1097" i="2"/>
  <c r="L1097" i="2" s="1"/>
  <c r="I1097" i="2"/>
  <c r="H1097" i="2"/>
  <c r="D1097" i="2"/>
  <c r="N1096" i="2"/>
  <c r="M1096" i="2"/>
  <c r="I1096" i="2"/>
  <c r="J1096" i="2" s="1"/>
  <c r="L1096" i="2" s="1"/>
  <c r="H1096" i="2"/>
  <c r="D1096" i="2"/>
  <c r="N1095" i="2"/>
  <c r="M1095" i="2"/>
  <c r="I1095" i="2"/>
  <c r="H1095" i="2"/>
  <c r="J1095" i="2" s="1"/>
  <c r="L1095" i="2" s="1"/>
  <c r="D1095" i="2"/>
  <c r="N1094" i="2"/>
  <c r="M1094" i="2"/>
  <c r="I1094" i="2"/>
  <c r="H1094" i="2"/>
  <c r="J1094" i="2" s="1"/>
  <c r="L1094" i="2" s="1"/>
  <c r="D1094" i="2"/>
  <c r="N1093" i="2"/>
  <c r="M1093" i="2"/>
  <c r="J1093" i="2"/>
  <c r="L1093" i="2" s="1"/>
  <c r="I1093" i="2"/>
  <c r="H1093" i="2"/>
  <c r="D1093" i="2"/>
  <c r="N1092" i="2"/>
  <c r="M1092" i="2"/>
  <c r="I1092" i="2"/>
  <c r="J1092" i="2" s="1"/>
  <c r="L1092" i="2" s="1"/>
  <c r="H1092" i="2"/>
  <c r="D1092" i="2"/>
  <c r="N1091" i="2"/>
  <c r="M1091" i="2"/>
  <c r="I1091" i="2"/>
  <c r="H1091" i="2"/>
  <c r="J1091" i="2" s="1"/>
  <c r="L1091" i="2" s="1"/>
  <c r="D1091" i="2"/>
  <c r="N1090" i="2"/>
  <c r="M1090" i="2"/>
  <c r="I1090" i="2"/>
  <c r="H1090" i="2"/>
  <c r="J1090" i="2" s="1"/>
  <c r="L1090" i="2" s="1"/>
  <c r="D1090" i="2"/>
  <c r="N1089" i="2"/>
  <c r="M1089" i="2"/>
  <c r="J1089" i="2"/>
  <c r="L1089" i="2" s="1"/>
  <c r="I1089" i="2"/>
  <c r="H1089" i="2"/>
  <c r="D1089" i="2"/>
  <c r="N1088" i="2"/>
  <c r="M1088" i="2"/>
  <c r="I1088" i="2"/>
  <c r="J1088" i="2" s="1"/>
  <c r="L1088" i="2" s="1"/>
  <c r="H1088" i="2"/>
  <c r="D1088" i="2"/>
  <c r="N1087" i="2"/>
  <c r="M1087" i="2"/>
  <c r="I1087" i="2"/>
  <c r="H1087" i="2"/>
  <c r="J1087" i="2" s="1"/>
  <c r="L1087" i="2" s="1"/>
  <c r="D1087" i="2"/>
  <c r="N1086" i="2"/>
  <c r="M1086" i="2"/>
  <c r="I1086" i="2"/>
  <c r="H1086" i="2"/>
  <c r="J1086" i="2" s="1"/>
  <c r="L1086" i="2" s="1"/>
  <c r="D1086" i="2"/>
  <c r="N1085" i="2"/>
  <c r="M1085" i="2"/>
  <c r="J1085" i="2"/>
  <c r="L1085" i="2" s="1"/>
  <c r="I1085" i="2"/>
  <c r="H1085" i="2"/>
  <c r="D1085" i="2"/>
  <c r="N1084" i="2"/>
  <c r="M1084" i="2"/>
  <c r="I1084" i="2"/>
  <c r="J1084" i="2" s="1"/>
  <c r="L1084" i="2" s="1"/>
  <c r="H1084" i="2"/>
  <c r="D1084" i="2"/>
  <c r="N1083" i="2"/>
  <c r="M1083" i="2"/>
  <c r="I1083" i="2"/>
  <c r="H1083" i="2"/>
  <c r="J1083" i="2" s="1"/>
  <c r="L1083" i="2" s="1"/>
  <c r="D1083" i="2"/>
  <c r="N1082" i="2"/>
  <c r="M1082" i="2"/>
  <c r="I1082" i="2"/>
  <c r="H1082" i="2"/>
  <c r="J1082" i="2" s="1"/>
  <c r="L1082" i="2" s="1"/>
  <c r="D1082" i="2"/>
  <c r="N1081" i="2"/>
  <c r="M1081" i="2"/>
  <c r="J1081" i="2"/>
  <c r="L1081" i="2" s="1"/>
  <c r="I1081" i="2"/>
  <c r="H1081" i="2"/>
  <c r="D1081" i="2"/>
  <c r="N1080" i="2"/>
  <c r="M1080" i="2"/>
  <c r="I1080" i="2"/>
  <c r="J1080" i="2" s="1"/>
  <c r="L1080" i="2" s="1"/>
  <c r="H1080" i="2"/>
  <c r="D1080" i="2"/>
  <c r="N1079" i="2"/>
  <c r="M1079" i="2"/>
  <c r="I1079" i="2"/>
  <c r="H1079" i="2"/>
  <c r="J1079" i="2" s="1"/>
  <c r="L1079" i="2" s="1"/>
  <c r="D1079" i="2"/>
  <c r="N1078" i="2"/>
  <c r="M1078" i="2"/>
  <c r="I1078" i="2"/>
  <c r="H1078" i="2"/>
  <c r="J1078" i="2" s="1"/>
  <c r="L1078" i="2" s="1"/>
  <c r="D1078" i="2"/>
  <c r="N1077" i="2"/>
  <c r="M1077" i="2"/>
  <c r="J1077" i="2"/>
  <c r="L1077" i="2" s="1"/>
  <c r="I1077" i="2"/>
  <c r="H1077" i="2"/>
  <c r="D1077" i="2"/>
  <c r="N1076" i="2"/>
  <c r="M1076" i="2"/>
  <c r="I1076" i="2"/>
  <c r="J1076" i="2" s="1"/>
  <c r="L1076" i="2" s="1"/>
  <c r="H1076" i="2"/>
  <c r="D1076" i="2"/>
  <c r="N1075" i="2"/>
  <c r="M1075" i="2"/>
  <c r="I1075" i="2"/>
  <c r="H1075" i="2"/>
  <c r="J1075" i="2" s="1"/>
  <c r="L1075" i="2" s="1"/>
  <c r="D1075" i="2"/>
  <c r="N1074" i="2"/>
  <c r="M1074" i="2"/>
  <c r="I1074" i="2"/>
  <c r="H1074" i="2"/>
  <c r="J1074" i="2" s="1"/>
  <c r="L1074" i="2" s="1"/>
  <c r="D1074" i="2"/>
  <c r="N1073" i="2"/>
  <c r="M1073" i="2"/>
  <c r="J1073" i="2"/>
  <c r="L1073" i="2" s="1"/>
  <c r="I1073" i="2"/>
  <c r="H1073" i="2"/>
  <c r="D1073" i="2"/>
  <c r="N1072" i="2"/>
  <c r="M1072" i="2"/>
  <c r="I1072" i="2"/>
  <c r="J1072" i="2" s="1"/>
  <c r="L1072" i="2" s="1"/>
  <c r="H1072" i="2"/>
  <c r="D1072" i="2"/>
  <c r="N1071" i="2"/>
  <c r="M1071" i="2"/>
  <c r="I1071" i="2"/>
  <c r="H1071" i="2"/>
  <c r="J1071" i="2" s="1"/>
  <c r="L1071" i="2" s="1"/>
  <c r="D1071" i="2"/>
  <c r="N1070" i="2"/>
  <c r="M1070" i="2"/>
  <c r="I1070" i="2"/>
  <c r="H1070" i="2"/>
  <c r="J1070" i="2" s="1"/>
  <c r="L1070" i="2" s="1"/>
  <c r="D1070" i="2"/>
  <c r="N1069" i="2"/>
  <c r="M1069" i="2"/>
  <c r="J1069" i="2"/>
  <c r="L1069" i="2" s="1"/>
  <c r="I1069" i="2"/>
  <c r="H1069" i="2"/>
  <c r="D1069" i="2"/>
  <c r="N1068" i="2"/>
  <c r="M1068" i="2"/>
  <c r="I1068" i="2"/>
  <c r="J1068" i="2" s="1"/>
  <c r="L1068" i="2" s="1"/>
  <c r="H1068" i="2"/>
  <c r="D1068" i="2"/>
  <c r="N1067" i="2"/>
  <c r="M1067" i="2"/>
  <c r="I1067" i="2"/>
  <c r="H1067" i="2"/>
  <c r="J1067" i="2" s="1"/>
  <c r="L1067" i="2" s="1"/>
  <c r="D1067" i="2"/>
  <c r="N1066" i="2"/>
  <c r="M1066" i="2"/>
  <c r="I1066" i="2"/>
  <c r="H1066" i="2"/>
  <c r="J1066" i="2" s="1"/>
  <c r="L1066" i="2" s="1"/>
  <c r="D1066" i="2"/>
  <c r="N1065" i="2"/>
  <c r="M1065" i="2"/>
  <c r="J1065" i="2"/>
  <c r="L1065" i="2" s="1"/>
  <c r="I1065" i="2"/>
  <c r="H1065" i="2"/>
  <c r="D1065" i="2"/>
  <c r="N1064" i="2"/>
  <c r="M1064" i="2"/>
  <c r="I1064" i="2"/>
  <c r="J1064" i="2" s="1"/>
  <c r="L1064" i="2" s="1"/>
  <c r="H1064" i="2"/>
  <c r="D1064" i="2"/>
  <c r="N1063" i="2"/>
  <c r="M1063" i="2"/>
  <c r="I1063" i="2"/>
  <c r="H1063" i="2"/>
  <c r="J1063" i="2" s="1"/>
  <c r="L1063" i="2" s="1"/>
  <c r="D1063" i="2"/>
  <c r="N1062" i="2"/>
  <c r="M1062" i="2"/>
  <c r="I1062" i="2"/>
  <c r="H1062" i="2"/>
  <c r="J1062" i="2" s="1"/>
  <c r="L1062" i="2" s="1"/>
  <c r="D1062" i="2"/>
  <c r="N1061" i="2"/>
  <c r="M1061" i="2"/>
  <c r="J1061" i="2"/>
  <c r="L1061" i="2" s="1"/>
  <c r="I1061" i="2"/>
  <c r="H1061" i="2"/>
  <c r="D1061" i="2"/>
  <c r="N1060" i="2"/>
  <c r="M1060" i="2"/>
  <c r="I1060" i="2"/>
  <c r="J1060" i="2" s="1"/>
  <c r="L1060" i="2" s="1"/>
  <c r="H1060" i="2"/>
  <c r="D1060" i="2"/>
  <c r="N1059" i="2"/>
  <c r="M1059" i="2"/>
  <c r="I1059" i="2"/>
  <c r="H1059" i="2"/>
  <c r="J1059" i="2" s="1"/>
  <c r="L1059" i="2" s="1"/>
  <c r="D1059" i="2"/>
  <c r="N1058" i="2"/>
  <c r="M1058" i="2"/>
  <c r="I1058" i="2"/>
  <c r="H1058" i="2"/>
  <c r="J1058" i="2" s="1"/>
  <c r="L1058" i="2" s="1"/>
  <c r="D1058" i="2"/>
  <c r="N1057" i="2"/>
  <c r="M1057" i="2"/>
  <c r="J1057" i="2"/>
  <c r="L1057" i="2" s="1"/>
  <c r="I1057" i="2"/>
  <c r="H1057" i="2"/>
  <c r="D1057" i="2"/>
  <c r="N1056" i="2"/>
  <c r="M1056" i="2"/>
  <c r="I1056" i="2"/>
  <c r="J1056" i="2" s="1"/>
  <c r="L1056" i="2" s="1"/>
  <c r="H1056" i="2"/>
  <c r="D1056" i="2"/>
  <c r="N1055" i="2"/>
  <c r="M1055" i="2"/>
  <c r="I1055" i="2"/>
  <c r="H1055" i="2"/>
  <c r="J1055" i="2" s="1"/>
  <c r="L1055" i="2" s="1"/>
  <c r="D1055" i="2"/>
  <c r="N1054" i="2"/>
  <c r="M1054" i="2"/>
  <c r="I1054" i="2"/>
  <c r="H1054" i="2"/>
  <c r="J1054" i="2" s="1"/>
  <c r="L1054" i="2" s="1"/>
  <c r="D1054" i="2"/>
  <c r="N1053" i="2"/>
  <c r="M1053" i="2"/>
  <c r="J1053" i="2"/>
  <c r="L1053" i="2" s="1"/>
  <c r="I1053" i="2"/>
  <c r="H1053" i="2"/>
  <c r="D1053" i="2"/>
  <c r="N1052" i="2"/>
  <c r="M1052" i="2"/>
  <c r="I1052" i="2"/>
  <c r="J1052" i="2" s="1"/>
  <c r="L1052" i="2" s="1"/>
  <c r="H1052" i="2"/>
  <c r="D1052" i="2"/>
  <c r="N1051" i="2"/>
  <c r="M1051" i="2"/>
  <c r="I1051" i="2"/>
  <c r="H1051" i="2"/>
  <c r="J1051" i="2" s="1"/>
  <c r="L1051" i="2" s="1"/>
  <c r="D1051" i="2"/>
  <c r="N1050" i="2"/>
  <c r="M1050" i="2"/>
  <c r="I1050" i="2"/>
  <c r="H1050" i="2"/>
  <c r="J1050" i="2" s="1"/>
  <c r="L1050" i="2" s="1"/>
  <c r="D1050" i="2"/>
  <c r="N1049" i="2"/>
  <c r="M1049" i="2"/>
  <c r="J1049" i="2"/>
  <c r="L1049" i="2" s="1"/>
  <c r="I1049" i="2"/>
  <c r="H1049" i="2"/>
  <c r="D1049" i="2"/>
  <c r="N1048" i="2"/>
  <c r="M1048" i="2"/>
  <c r="I1048" i="2"/>
  <c r="J1048" i="2" s="1"/>
  <c r="L1048" i="2" s="1"/>
  <c r="H1048" i="2"/>
  <c r="D1048" i="2"/>
  <c r="N1047" i="2"/>
  <c r="M1047" i="2"/>
  <c r="I1047" i="2"/>
  <c r="H1047" i="2"/>
  <c r="J1047" i="2" s="1"/>
  <c r="L1047" i="2" s="1"/>
  <c r="D1047" i="2"/>
  <c r="N1046" i="2"/>
  <c r="M1046" i="2"/>
  <c r="I1046" i="2"/>
  <c r="H1046" i="2"/>
  <c r="J1046" i="2" s="1"/>
  <c r="L1046" i="2" s="1"/>
  <c r="D1046" i="2"/>
  <c r="N1045" i="2"/>
  <c r="M1045" i="2"/>
  <c r="J1045" i="2"/>
  <c r="L1045" i="2" s="1"/>
  <c r="I1045" i="2"/>
  <c r="H1045" i="2"/>
  <c r="D1045" i="2"/>
  <c r="N1044" i="2"/>
  <c r="M1044" i="2"/>
  <c r="I1044" i="2"/>
  <c r="J1044" i="2" s="1"/>
  <c r="L1044" i="2" s="1"/>
  <c r="H1044" i="2"/>
  <c r="D1044" i="2"/>
  <c r="N1043" i="2"/>
  <c r="M1043" i="2"/>
  <c r="I1043" i="2"/>
  <c r="H1043" i="2"/>
  <c r="J1043" i="2" s="1"/>
  <c r="L1043" i="2" s="1"/>
  <c r="D1043" i="2"/>
  <c r="N1042" i="2"/>
  <c r="M1042" i="2"/>
  <c r="I1042" i="2"/>
  <c r="H1042" i="2"/>
  <c r="J1042" i="2" s="1"/>
  <c r="L1042" i="2" s="1"/>
  <c r="D1042" i="2"/>
  <c r="N1041" i="2"/>
  <c r="M1041" i="2"/>
  <c r="J1041" i="2"/>
  <c r="L1041" i="2" s="1"/>
  <c r="I1041" i="2"/>
  <c r="H1041" i="2"/>
  <c r="D1041" i="2"/>
  <c r="N1040" i="2"/>
  <c r="M1040" i="2"/>
  <c r="I1040" i="2"/>
  <c r="J1040" i="2" s="1"/>
  <c r="L1040" i="2" s="1"/>
  <c r="H1040" i="2"/>
  <c r="D1040" i="2"/>
  <c r="N1039" i="2"/>
  <c r="M1039" i="2"/>
  <c r="I1039" i="2"/>
  <c r="H1039" i="2"/>
  <c r="J1039" i="2" s="1"/>
  <c r="L1039" i="2" s="1"/>
  <c r="D1039" i="2"/>
  <c r="N1038" i="2"/>
  <c r="M1038" i="2"/>
  <c r="I1038" i="2"/>
  <c r="H1038" i="2"/>
  <c r="J1038" i="2" s="1"/>
  <c r="L1038" i="2" s="1"/>
  <c r="D1038" i="2"/>
  <c r="N1037" i="2"/>
  <c r="M1037" i="2"/>
  <c r="J1037" i="2"/>
  <c r="L1037" i="2" s="1"/>
  <c r="I1037" i="2"/>
  <c r="H1037" i="2"/>
  <c r="D1037" i="2"/>
  <c r="N1036" i="2"/>
  <c r="M1036" i="2"/>
  <c r="I1036" i="2"/>
  <c r="J1036" i="2" s="1"/>
  <c r="L1036" i="2" s="1"/>
  <c r="H1036" i="2"/>
  <c r="D1036" i="2"/>
  <c r="N1035" i="2"/>
  <c r="M1035" i="2"/>
  <c r="I1035" i="2"/>
  <c r="H1035" i="2"/>
  <c r="J1035" i="2" s="1"/>
  <c r="L1035" i="2" s="1"/>
  <c r="D1035" i="2"/>
  <c r="N1034" i="2"/>
  <c r="M1034" i="2"/>
  <c r="I1034" i="2"/>
  <c r="H1034" i="2"/>
  <c r="J1034" i="2" s="1"/>
  <c r="L1034" i="2" s="1"/>
  <c r="D1034" i="2"/>
  <c r="N1033" i="2"/>
  <c r="M1033" i="2"/>
  <c r="J1033" i="2"/>
  <c r="L1033" i="2" s="1"/>
  <c r="I1033" i="2"/>
  <c r="H1033" i="2"/>
  <c r="D1033" i="2"/>
  <c r="N1032" i="2"/>
  <c r="M1032" i="2"/>
  <c r="I1032" i="2"/>
  <c r="J1032" i="2" s="1"/>
  <c r="L1032" i="2" s="1"/>
  <c r="H1032" i="2"/>
  <c r="D1032" i="2"/>
  <c r="N1031" i="2"/>
  <c r="M1031" i="2"/>
  <c r="I1031" i="2"/>
  <c r="H1031" i="2"/>
  <c r="J1031" i="2" s="1"/>
  <c r="L1031" i="2" s="1"/>
  <c r="D1031" i="2"/>
  <c r="N1030" i="2"/>
  <c r="M1030" i="2"/>
  <c r="I1030" i="2"/>
  <c r="H1030" i="2"/>
  <c r="J1030" i="2" s="1"/>
  <c r="L1030" i="2" s="1"/>
  <c r="D1030" i="2"/>
  <c r="N1029" i="2"/>
  <c r="M1029" i="2"/>
  <c r="J1029" i="2"/>
  <c r="L1029" i="2" s="1"/>
  <c r="I1029" i="2"/>
  <c r="H1029" i="2"/>
  <c r="D1029" i="2"/>
  <c r="N1028" i="2"/>
  <c r="M1028" i="2"/>
  <c r="I1028" i="2"/>
  <c r="J1028" i="2" s="1"/>
  <c r="L1028" i="2" s="1"/>
  <c r="H1028" i="2"/>
  <c r="D1028" i="2"/>
  <c r="N1027" i="2"/>
  <c r="M1027" i="2"/>
  <c r="I1027" i="2"/>
  <c r="H1027" i="2"/>
  <c r="J1027" i="2" s="1"/>
  <c r="L1027" i="2" s="1"/>
  <c r="D1027" i="2"/>
  <c r="N1026" i="2"/>
  <c r="M1026" i="2"/>
  <c r="I1026" i="2"/>
  <c r="H1026" i="2"/>
  <c r="J1026" i="2" s="1"/>
  <c r="L1026" i="2" s="1"/>
  <c r="D1026" i="2"/>
  <c r="N1025" i="2"/>
  <c r="M1025" i="2"/>
  <c r="J1025" i="2"/>
  <c r="L1025" i="2" s="1"/>
  <c r="I1025" i="2"/>
  <c r="H1025" i="2"/>
  <c r="D1025" i="2"/>
  <c r="N1024" i="2"/>
  <c r="M1024" i="2"/>
  <c r="I1024" i="2"/>
  <c r="J1024" i="2" s="1"/>
  <c r="L1024" i="2" s="1"/>
  <c r="H1024" i="2"/>
  <c r="D1024" i="2"/>
  <c r="N1023" i="2"/>
  <c r="M1023" i="2"/>
  <c r="I1023" i="2"/>
  <c r="H1023" i="2"/>
  <c r="J1023" i="2" s="1"/>
  <c r="L1023" i="2" s="1"/>
  <c r="D1023" i="2"/>
  <c r="N1022" i="2"/>
  <c r="M1022" i="2"/>
  <c r="I1022" i="2"/>
  <c r="H1022" i="2"/>
  <c r="J1022" i="2" s="1"/>
  <c r="L1022" i="2" s="1"/>
  <c r="D1022" i="2"/>
  <c r="N1021" i="2"/>
  <c r="M1021" i="2"/>
  <c r="J1021" i="2"/>
  <c r="L1021" i="2" s="1"/>
  <c r="I1021" i="2"/>
  <c r="H1021" i="2"/>
  <c r="D1021" i="2"/>
  <c r="N1020" i="2"/>
  <c r="M1020" i="2"/>
  <c r="I1020" i="2"/>
  <c r="J1020" i="2" s="1"/>
  <c r="L1020" i="2" s="1"/>
  <c r="H1020" i="2"/>
  <c r="D1020" i="2"/>
  <c r="N1019" i="2"/>
  <c r="M1019" i="2"/>
  <c r="I1019" i="2"/>
  <c r="H1019" i="2"/>
  <c r="J1019" i="2" s="1"/>
  <c r="L1019" i="2" s="1"/>
  <c r="D1019" i="2"/>
  <c r="N1018" i="2"/>
  <c r="M1018" i="2"/>
  <c r="I1018" i="2"/>
  <c r="H1018" i="2"/>
  <c r="J1018" i="2" s="1"/>
  <c r="L1018" i="2" s="1"/>
  <c r="D1018" i="2"/>
  <c r="N1017" i="2"/>
  <c r="M1017" i="2"/>
  <c r="J1017" i="2"/>
  <c r="L1017" i="2" s="1"/>
  <c r="I1017" i="2"/>
  <c r="H1017" i="2"/>
  <c r="D1017" i="2"/>
  <c r="N1016" i="2"/>
  <c r="M1016" i="2"/>
  <c r="I1016" i="2"/>
  <c r="J1016" i="2" s="1"/>
  <c r="L1016" i="2" s="1"/>
  <c r="H1016" i="2"/>
  <c r="D1016" i="2"/>
  <c r="N1015" i="2"/>
  <c r="M1015" i="2"/>
  <c r="I1015" i="2"/>
  <c r="H1015" i="2"/>
  <c r="J1015" i="2" s="1"/>
  <c r="L1015" i="2" s="1"/>
  <c r="D1015" i="2"/>
  <c r="N1014" i="2"/>
  <c r="M1014" i="2"/>
  <c r="I1014" i="2"/>
  <c r="H1014" i="2"/>
  <c r="J1014" i="2" s="1"/>
  <c r="L1014" i="2" s="1"/>
  <c r="D1014" i="2"/>
  <c r="N1013" i="2"/>
  <c r="M1013" i="2"/>
  <c r="J1013" i="2"/>
  <c r="L1013" i="2" s="1"/>
  <c r="I1013" i="2"/>
  <c r="H1013" i="2"/>
  <c r="D1013" i="2"/>
  <c r="N1012" i="2"/>
  <c r="M1012" i="2"/>
  <c r="I1012" i="2"/>
  <c r="J1012" i="2" s="1"/>
  <c r="L1012" i="2" s="1"/>
  <c r="H1012" i="2"/>
  <c r="D1012" i="2"/>
  <c r="N1011" i="2"/>
  <c r="M1011" i="2"/>
  <c r="I1011" i="2"/>
  <c r="H1011" i="2"/>
  <c r="J1011" i="2" s="1"/>
  <c r="L1011" i="2" s="1"/>
  <c r="D1011" i="2"/>
  <c r="N1010" i="2"/>
  <c r="M1010" i="2"/>
  <c r="I1010" i="2"/>
  <c r="H1010" i="2"/>
  <c r="J1010" i="2" s="1"/>
  <c r="L1010" i="2" s="1"/>
  <c r="D1010" i="2"/>
  <c r="N1009" i="2"/>
  <c r="M1009" i="2"/>
  <c r="J1009" i="2"/>
  <c r="L1009" i="2" s="1"/>
  <c r="I1009" i="2"/>
  <c r="H1009" i="2"/>
  <c r="D1009" i="2"/>
  <c r="N1008" i="2"/>
  <c r="M1008" i="2"/>
  <c r="I1008" i="2"/>
  <c r="J1008" i="2" s="1"/>
  <c r="L1008" i="2" s="1"/>
  <c r="H1008" i="2"/>
  <c r="D1008" i="2"/>
  <c r="N1007" i="2"/>
  <c r="M1007" i="2"/>
  <c r="I1007" i="2"/>
  <c r="H1007" i="2"/>
  <c r="J1007" i="2" s="1"/>
  <c r="L1007" i="2" s="1"/>
  <c r="D1007" i="2"/>
  <c r="N1006" i="2"/>
  <c r="M1006" i="2"/>
  <c r="I1006" i="2"/>
  <c r="H1006" i="2"/>
  <c r="J1006" i="2" s="1"/>
  <c r="L1006" i="2" s="1"/>
  <c r="D1006" i="2"/>
  <c r="N1005" i="2"/>
  <c r="M1005" i="2"/>
  <c r="J1005" i="2"/>
  <c r="L1005" i="2" s="1"/>
  <c r="I1005" i="2"/>
  <c r="H1005" i="2"/>
  <c r="D1005" i="2"/>
  <c r="N1004" i="2"/>
  <c r="M1004" i="2"/>
  <c r="I1004" i="2"/>
  <c r="J1004" i="2" s="1"/>
  <c r="L1004" i="2" s="1"/>
  <c r="H1004" i="2"/>
  <c r="D1004" i="2"/>
  <c r="N1003" i="2"/>
  <c r="M1003" i="2"/>
  <c r="I1003" i="2"/>
  <c r="H1003" i="2"/>
  <c r="J1003" i="2" s="1"/>
  <c r="L1003" i="2" s="1"/>
  <c r="D1003" i="2"/>
  <c r="N1002" i="2"/>
  <c r="M1002" i="2"/>
  <c r="I1002" i="2"/>
  <c r="H1002" i="2"/>
  <c r="J1002" i="2" s="1"/>
  <c r="L1002" i="2" s="1"/>
  <c r="D1002" i="2"/>
  <c r="N1001" i="2"/>
  <c r="M1001" i="2"/>
  <c r="J1001" i="2"/>
  <c r="L1001" i="2" s="1"/>
  <c r="I1001" i="2"/>
  <c r="H1001" i="2"/>
  <c r="D1001" i="2"/>
  <c r="N1000" i="2"/>
  <c r="M1000" i="2"/>
  <c r="I1000" i="2"/>
  <c r="J1000" i="2" s="1"/>
  <c r="L1000" i="2" s="1"/>
  <c r="H1000" i="2"/>
  <c r="D1000" i="2"/>
  <c r="N999" i="2"/>
  <c r="M999" i="2"/>
  <c r="I999" i="2"/>
  <c r="H999" i="2"/>
  <c r="J999" i="2" s="1"/>
  <c r="L999" i="2" s="1"/>
  <c r="D999" i="2"/>
  <c r="N998" i="2"/>
  <c r="M998" i="2"/>
  <c r="I998" i="2"/>
  <c r="H998" i="2"/>
  <c r="J998" i="2" s="1"/>
  <c r="L998" i="2" s="1"/>
  <c r="D998" i="2"/>
  <c r="N997" i="2"/>
  <c r="M997" i="2"/>
  <c r="J997" i="2"/>
  <c r="L997" i="2" s="1"/>
  <c r="I997" i="2"/>
  <c r="H997" i="2"/>
  <c r="D997" i="2"/>
  <c r="N996" i="2"/>
  <c r="M996" i="2"/>
  <c r="I996" i="2"/>
  <c r="J996" i="2" s="1"/>
  <c r="L996" i="2" s="1"/>
  <c r="H996" i="2"/>
  <c r="D996" i="2"/>
  <c r="N995" i="2"/>
  <c r="M995" i="2"/>
  <c r="I995" i="2"/>
  <c r="H995" i="2"/>
  <c r="J995" i="2" s="1"/>
  <c r="L995" i="2" s="1"/>
  <c r="D995" i="2"/>
  <c r="N994" i="2"/>
  <c r="M994" i="2"/>
  <c r="I994" i="2"/>
  <c r="H994" i="2"/>
  <c r="J994" i="2" s="1"/>
  <c r="L994" i="2" s="1"/>
  <c r="D994" i="2"/>
  <c r="N993" i="2"/>
  <c r="M993" i="2"/>
  <c r="J993" i="2"/>
  <c r="L993" i="2" s="1"/>
  <c r="I993" i="2"/>
  <c r="H993" i="2"/>
  <c r="D993" i="2"/>
  <c r="N992" i="2"/>
  <c r="M992" i="2"/>
  <c r="I992" i="2"/>
  <c r="J992" i="2" s="1"/>
  <c r="L992" i="2" s="1"/>
  <c r="H992" i="2"/>
  <c r="D992" i="2"/>
  <c r="N991" i="2"/>
  <c r="M991" i="2"/>
  <c r="I991" i="2"/>
  <c r="H991" i="2"/>
  <c r="J991" i="2" s="1"/>
  <c r="L991" i="2" s="1"/>
  <c r="D991" i="2"/>
  <c r="N990" i="2"/>
  <c r="M990" i="2"/>
  <c r="I990" i="2"/>
  <c r="H990" i="2"/>
  <c r="J990" i="2" s="1"/>
  <c r="L990" i="2" s="1"/>
  <c r="D990" i="2"/>
  <c r="N989" i="2"/>
  <c r="M989" i="2"/>
  <c r="J989" i="2"/>
  <c r="L989" i="2" s="1"/>
  <c r="I989" i="2"/>
  <c r="H989" i="2"/>
  <c r="D989" i="2"/>
  <c r="N988" i="2"/>
  <c r="M988" i="2"/>
  <c r="I988" i="2"/>
  <c r="J988" i="2" s="1"/>
  <c r="L988" i="2" s="1"/>
  <c r="H988" i="2"/>
  <c r="D988" i="2"/>
  <c r="N987" i="2"/>
  <c r="M987" i="2"/>
  <c r="I987" i="2"/>
  <c r="H987" i="2"/>
  <c r="J987" i="2" s="1"/>
  <c r="L987" i="2" s="1"/>
  <c r="D987" i="2"/>
  <c r="N986" i="2"/>
  <c r="M986" i="2"/>
  <c r="I986" i="2"/>
  <c r="H986" i="2"/>
  <c r="J986" i="2" s="1"/>
  <c r="L986" i="2" s="1"/>
  <c r="D986" i="2"/>
  <c r="N985" i="2"/>
  <c r="M985" i="2"/>
  <c r="J985" i="2"/>
  <c r="L985" i="2" s="1"/>
  <c r="I985" i="2"/>
  <c r="H985" i="2"/>
  <c r="D985" i="2"/>
  <c r="N984" i="2"/>
  <c r="M984" i="2"/>
  <c r="I984" i="2"/>
  <c r="J984" i="2" s="1"/>
  <c r="L984" i="2" s="1"/>
  <c r="H984" i="2"/>
  <c r="D984" i="2"/>
  <c r="N983" i="2"/>
  <c r="M983" i="2"/>
  <c r="I983" i="2"/>
  <c r="H983" i="2"/>
  <c r="J983" i="2" s="1"/>
  <c r="L983" i="2" s="1"/>
  <c r="D983" i="2"/>
  <c r="N982" i="2"/>
  <c r="M982" i="2"/>
  <c r="I982" i="2"/>
  <c r="H982" i="2"/>
  <c r="J982" i="2" s="1"/>
  <c r="L982" i="2" s="1"/>
  <c r="D982" i="2"/>
  <c r="N981" i="2"/>
  <c r="M981" i="2"/>
  <c r="J981" i="2"/>
  <c r="L981" i="2" s="1"/>
  <c r="I981" i="2"/>
  <c r="H981" i="2"/>
  <c r="D981" i="2"/>
  <c r="N980" i="2"/>
  <c r="M980" i="2"/>
  <c r="I980" i="2"/>
  <c r="J980" i="2" s="1"/>
  <c r="L980" i="2" s="1"/>
  <c r="H980" i="2"/>
  <c r="D980" i="2"/>
  <c r="N979" i="2"/>
  <c r="M979" i="2"/>
  <c r="I979" i="2"/>
  <c r="H979" i="2"/>
  <c r="J979" i="2" s="1"/>
  <c r="L979" i="2" s="1"/>
  <c r="D979" i="2"/>
  <c r="N978" i="2"/>
  <c r="M978" i="2"/>
  <c r="I978" i="2"/>
  <c r="H978" i="2"/>
  <c r="J978" i="2" s="1"/>
  <c r="L978" i="2" s="1"/>
  <c r="D978" i="2"/>
  <c r="N977" i="2"/>
  <c r="M977" i="2"/>
  <c r="J977" i="2"/>
  <c r="L977" i="2" s="1"/>
  <c r="I977" i="2"/>
  <c r="H977" i="2"/>
  <c r="D977" i="2"/>
  <c r="N976" i="2"/>
  <c r="M976" i="2"/>
  <c r="I976" i="2"/>
  <c r="J976" i="2" s="1"/>
  <c r="L976" i="2" s="1"/>
  <c r="H976" i="2"/>
  <c r="D976" i="2"/>
  <c r="N975" i="2"/>
  <c r="M975" i="2"/>
  <c r="I975" i="2"/>
  <c r="H975" i="2"/>
  <c r="J975" i="2" s="1"/>
  <c r="L975" i="2" s="1"/>
  <c r="D975" i="2"/>
  <c r="N974" i="2"/>
  <c r="M974" i="2"/>
  <c r="I974" i="2"/>
  <c r="H974" i="2"/>
  <c r="J974" i="2" s="1"/>
  <c r="L974" i="2" s="1"/>
  <c r="D974" i="2"/>
  <c r="N973" i="2"/>
  <c r="M973" i="2"/>
  <c r="J973" i="2"/>
  <c r="L973" i="2" s="1"/>
  <c r="I973" i="2"/>
  <c r="H973" i="2"/>
  <c r="D973" i="2"/>
  <c r="N972" i="2"/>
  <c r="M972" i="2"/>
  <c r="I972" i="2"/>
  <c r="J972" i="2" s="1"/>
  <c r="L972" i="2" s="1"/>
  <c r="H972" i="2"/>
  <c r="D972" i="2"/>
  <c r="N971" i="2"/>
  <c r="M971" i="2"/>
  <c r="I971" i="2"/>
  <c r="H971" i="2"/>
  <c r="J971" i="2" s="1"/>
  <c r="L971" i="2" s="1"/>
  <c r="D971" i="2"/>
  <c r="N970" i="2"/>
  <c r="M970" i="2"/>
  <c r="I970" i="2"/>
  <c r="H970" i="2"/>
  <c r="J970" i="2" s="1"/>
  <c r="L970" i="2" s="1"/>
  <c r="D970" i="2"/>
  <c r="N969" i="2"/>
  <c r="M969" i="2"/>
  <c r="J969" i="2"/>
  <c r="L969" i="2" s="1"/>
  <c r="I969" i="2"/>
  <c r="H969" i="2"/>
  <c r="D969" i="2"/>
  <c r="N968" i="2"/>
  <c r="M968" i="2"/>
  <c r="I968" i="2"/>
  <c r="J968" i="2" s="1"/>
  <c r="L968" i="2" s="1"/>
  <c r="H968" i="2"/>
  <c r="D968" i="2"/>
  <c r="N967" i="2"/>
  <c r="M967" i="2"/>
  <c r="I967" i="2"/>
  <c r="H967" i="2"/>
  <c r="J967" i="2" s="1"/>
  <c r="L967" i="2" s="1"/>
  <c r="D967" i="2"/>
  <c r="N966" i="2"/>
  <c r="M966" i="2"/>
  <c r="I966" i="2"/>
  <c r="H966" i="2"/>
  <c r="J966" i="2" s="1"/>
  <c r="L966" i="2" s="1"/>
  <c r="D966" i="2"/>
  <c r="N965" i="2"/>
  <c r="M965" i="2"/>
  <c r="J965" i="2"/>
  <c r="L965" i="2" s="1"/>
  <c r="I965" i="2"/>
  <c r="H965" i="2"/>
  <c r="D965" i="2"/>
  <c r="N964" i="2"/>
  <c r="M964" i="2"/>
  <c r="I964" i="2"/>
  <c r="J964" i="2" s="1"/>
  <c r="L964" i="2" s="1"/>
  <c r="H964" i="2"/>
  <c r="D964" i="2"/>
  <c r="N963" i="2"/>
  <c r="M963" i="2"/>
  <c r="I963" i="2"/>
  <c r="H963" i="2"/>
  <c r="J963" i="2" s="1"/>
  <c r="L963" i="2" s="1"/>
  <c r="D963" i="2"/>
  <c r="N962" i="2"/>
  <c r="M962" i="2"/>
  <c r="I962" i="2"/>
  <c r="H962" i="2"/>
  <c r="J962" i="2" s="1"/>
  <c r="L962" i="2" s="1"/>
  <c r="D962" i="2"/>
  <c r="N961" i="2"/>
  <c r="M961" i="2"/>
  <c r="J961" i="2"/>
  <c r="L961" i="2" s="1"/>
  <c r="I961" i="2"/>
  <c r="H961" i="2"/>
  <c r="D961" i="2"/>
  <c r="N960" i="2"/>
  <c r="M960" i="2"/>
  <c r="I960" i="2"/>
  <c r="J960" i="2" s="1"/>
  <c r="L960" i="2" s="1"/>
  <c r="H960" i="2"/>
  <c r="D960" i="2"/>
  <c r="N959" i="2"/>
  <c r="M959" i="2"/>
  <c r="I959" i="2"/>
  <c r="H959" i="2"/>
  <c r="J959" i="2" s="1"/>
  <c r="L959" i="2" s="1"/>
  <c r="D959" i="2"/>
  <c r="N958" i="2"/>
  <c r="M958" i="2"/>
  <c r="I958" i="2"/>
  <c r="H958" i="2"/>
  <c r="J958" i="2" s="1"/>
  <c r="L958" i="2" s="1"/>
  <c r="D958" i="2"/>
  <c r="N957" i="2"/>
  <c r="M957" i="2"/>
  <c r="J957" i="2"/>
  <c r="L957" i="2" s="1"/>
  <c r="I957" i="2"/>
  <c r="H957" i="2"/>
  <c r="D957" i="2"/>
  <c r="N956" i="2"/>
  <c r="M956" i="2"/>
  <c r="I956" i="2"/>
  <c r="J956" i="2" s="1"/>
  <c r="L956" i="2" s="1"/>
  <c r="H956" i="2"/>
  <c r="D956" i="2"/>
  <c r="N955" i="2"/>
  <c r="M955" i="2"/>
  <c r="I955" i="2"/>
  <c r="H955" i="2"/>
  <c r="J955" i="2" s="1"/>
  <c r="L955" i="2" s="1"/>
  <c r="D955" i="2"/>
  <c r="N954" i="2"/>
  <c r="M954" i="2"/>
  <c r="I954" i="2"/>
  <c r="H954" i="2"/>
  <c r="J954" i="2" s="1"/>
  <c r="L954" i="2" s="1"/>
  <c r="D954" i="2"/>
  <c r="N953" i="2"/>
  <c r="M953" i="2"/>
  <c r="J953" i="2"/>
  <c r="L953" i="2" s="1"/>
  <c r="I953" i="2"/>
  <c r="H953" i="2"/>
  <c r="D953" i="2"/>
  <c r="N952" i="2"/>
  <c r="M952" i="2"/>
  <c r="I952" i="2"/>
  <c r="J952" i="2" s="1"/>
  <c r="L952" i="2" s="1"/>
  <c r="H952" i="2"/>
  <c r="D952" i="2"/>
  <c r="N951" i="2"/>
  <c r="M951" i="2"/>
  <c r="I951" i="2"/>
  <c r="H951" i="2"/>
  <c r="J951" i="2" s="1"/>
  <c r="L951" i="2" s="1"/>
  <c r="D951" i="2"/>
  <c r="N950" i="2"/>
  <c r="M950" i="2"/>
  <c r="I950" i="2"/>
  <c r="H950" i="2"/>
  <c r="J950" i="2" s="1"/>
  <c r="L950" i="2" s="1"/>
  <c r="D950" i="2"/>
  <c r="N949" i="2"/>
  <c r="M949" i="2"/>
  <c r="J949" i="2"/>
  <c r="L949" i="2" s="1"/>
  <c r="I949" i="2"/>
  <c r="H949" i="2"/>
  <c r="D949" i="2"/>
  <c r="N948" i="2"/>
  <c r="M948" i="2"/>
  <c r="I948" i="2"/>
  <c r="J948" i="2" s="1"/>
  <c r="L948" i="2" s="1"/>
  <c r="H948" i="2"/>
  <c r="D948" i="2"/>
  <c r="N947" i="2"/>
  <c r="M947" i="2"/>
  <c r="I947" i="2"/>
  <c r="H947" i="2"/>
  <c r="J947" i="2" s="1"/>
  <c r="L947" i="2" s="1"/>
  <c r="D947" i="2"/>
  <c r="N946" i="2"/>
  <c r="M946" i="2"/>
  <c r="I946" i="2"/>
  <c r="H946" i="2"/>
  <c r="J946" i="2" s="1"/>
  <c r="L946" i="2" s="1"/>
  <c r="D946" i="2"/>
  <c r="N945" i="2"/>
  <c r="M945" i="2"/>
  <c r="J945" i="2"/>
  <c r="L945" i="2" s="1"/>
  <c r="I945" i="2"/>
  <c r="H945" i="2"/>
  <c r="D945" i="2"/>
  <c r="N944" i="2"/>
  <c r="M944" i="2"/>
  <c r="I944" i="2"/>
  <c r="J944" i="2" s="1"/>
  <c r="L944" i="2" s="1"/>
  <c r="H944" i="2"/>
  <c r="D944" i="2"/>
  <c r="N943" i="2"/>
  <c r="M943" i="2"/>
  <c r="I943" i="2"/>
  <c r="H943" i="2"/>
  <c r="J943" i="2" s="1"/>
  <c r="L943" i="2" s="1"/>
  <c r="D943" i="2"/>
  <c r="N942" i="2"/>
  <c r="M942" i="2"/>
  <c r="I942" i="2"/>
  <c r="H942" i="2"/>
  <c r="J942" i="2" s="1"/>
  <c r="L942" i="2" s="1"/>
  <c r="D942" i="2"/>
  <c r="N941" i="2"/>
  <c r="M941" i="2"/>
  <c r="J941" i="2"/>
  <c r="L941" i="2" s="1"/>
  <c r="I941" i="2"/>
  <c r="H941" i="2"/>
  <c r="D941" i="2"/>
  <c r="N940" i="2"/>
  <c r="M940" i="2"/>
  <c r="I940" i="2"/>
  <c r="J940" i="2" s="1"/>
  <c r="L940" i="2" s="1"/>
  <c r="H940" i="2"/>
  <c r="D940" i="2"/>
  <c r="N939" i="2"/>
  <c r="M939" i="2"/>
  <c r="I939" i="2"/>
  <c r="H939" i="2"/>
  <c r="J939" i="2" s="1"/>
  <c r="L939" i="2" s="1"/>
  <c r="D939" i="2"/>
  <c r="N938" i="2"/>
  <c r="M938" i="2"/>
  <c r="I938" i="2"/>
  <c r="H938" i="2"/>
  <c r="J938" i="2" s="1"/>
  <c r="L938" i="2" s="1"/>
  <c r="D938" i="2"/>
  <c r="N937" i="2"/>
  <c r="M937" i="2"/>
  <c r="J937" i="2"/>
  <c r="L937" i="2" s="1"/>
  <c r="I937" i="2"/>
  <c r="H937" i="2"/>
  <c r="D937" i="2"/>
  <c r="N936" i="2"/>
  <c r="M936" i="2"/>
  <c r="I936" i="2"/>
  <c r="J936" i="2" s="1"/>
  <c r="L936" i="2" s="1"/>
  <c r="H936" i="2"/>
  <c r="D936" i="2"/>
  <c r="N935" i="2"/>
  <c r="M935" i="2"/>
  <c r="I935" i="2"/>
  <c r="H935" i="2"/>
  <c r="J935" i="2" s="1"/>
  <c r="L935" i="2" s="1"/>
  <c r="D935" i="2"/>
  <c r="N934" i="2"/>
  <c r="M934" i="2"/>
  <c r="I934" i="2"/>
  <c r="H934" i="2"/>
  <c r="J934" i="2" s="1"/>
  <c r="L934" i="2" s="1"/>
  <c r="D934" i="2"/>
  <c r="N933" i="2"/>
  <c r="M933" i="2"/>
  <c r="J933" i="2"/>
  <c r="L933" i="2" s="1"/>
  <c r="I933" i="2"/>
  <c r="H933" i="2"/>
  <c r="D933" i="2"/>
  <c r="N932" i="2"/>
  <c r="M932" i="2"/>
  <c r="I932" i="2"/>
  <c r="J932" i="2" s="1"/>
  <c r="L932" i="2" s="1"/>
  <c r="H932" i="2"/>
  <c r="D932" i="2"/>
  <c r="N931" i="2"/>
  <c r="M931" i="2"/>
  <c r="I931" i="2"/>
  <c r="H931" i="2"/>
  <c r="J931" i="2" s="1"/>
  <c r="L931" i="2" s="1"/>
  <c r="D931" i="2"/>
  <c r="N930" i="2"/>
  <c r="M930" i="2"/>
  <c r="I930" i="2"/>
  <c r="H930" i="2"/>
  <c r="J930" i="2" s="1"/>
  <c r="L930" i="2" s="1"/>
  <c r="D930" i="2"/>
  <c r="N929" i="2"/>
  <c r="M929" i="2"/>
  <c r="J929" i="2"/>
  <c r="L929" i="2" s="1"/>
  <c r="I929" i="2"/>
  <c r="H929" i="2"/>
  <c r="D929" i="2"/>
  <c r="N928" i="2"/>
  <c r="M928" i="2"/>
  <c r="I928" i="2"/>
  <c r="J928" i="2" s="1"/>
  <c r="L928" i="2" s="1"/>
  <c r="H928" i="2"/>
  <c r="D928" i="2"/>
  <c r="N927" i="2"/>
  <c r="M927" i="2"/>
  <c r="I927" i="2"/>
  <c r="H927" i="2"/>
  <c r="J927" i="2" s="1"/>
  <c r="L927" i="2" s="1"/>
  <c r="D927" i="2"/>
  <c r="N926" i="2"/>
  <c r="M926" i="2"/>
  <c r="I926" i="2"/>
  <c r="H926" i="2"/>
  <c r="J926" i="2" s="1"/>
  <c r="L926" i="2" s="1"/>
  <c r="D926" i="2"/>
  <c r="N925" i="2"/>
  <c r="M925" i="2"/>
  <c r="J925" i="2"/>
  <c r="L925" i="2" s="1"/>
  <c r="I925" i="2"/>
  <c r="H925" i="2"/>
  <c r="D925" i="2"/>
  <c r="N924" i="2"/>
  <c r="M924" i="2"/>
  <c r="I924" i="2"/>
  <c r="J924" i="2" s="1"/>
  <c r="L924" i="2" s="1"/>
  <c r="H924" i="2"/>
  <c r="D924" i="2"/>
  <c r="N923" i="2"/>
  <c r="M923" i="2"/>
  <c r="I923" i="2"/>
  <c r="H923" i="2"/>
  <c r="J923" i="2" s="1"/>
  <c r="L923" i="2" s="1"/>
  <c r="D923" i="2"/>
  <c r="N922" i="2"/>
  <c r="M922" i="2"/>
  <c r="I922" i="2"/>
  <c r="H922" i="2"/>
  <c r="J922" i="2" s="1"/>
  <c r="L922" i="2" s="1"/>
  <c r="D922" i="2"/>
  <c r="N921" i="2"/>
  <c r="M921" i="2"/>
  <c r="J921" i="2"/>
  <c r="L921" i="2" s="1"/>
  <c r="I921" i="2"/>
  <c r="H921" i="2"/>
  <c r="D921" i="2"/>
  <c r="N920" i="2"/>
  <c r="M920" i="2"/>
  <c r="I920" i="2"/>
  <c r="J920" i="2" s="1"/>
  <c r="L920" i="2" s="1"/>
  <c r="H920" i="2"/>
  <c r="D920" i="2"/>
  <c r="N919" i="2"/>
  <c r="M919" i="2"/>
  <c r="I919" i="2"/>
  <c r="H919" i="2"/>
  <c r="J919" i="2" s="1"/>
  <c r="L919" i="2" s="1"/>
  <c r="D919" i="2"/>
  <c r="N918" i="2"/>
  <c r="M918" i="2"/>
  <c r="I918" i="2"/>
  <c r="H918" i="2"/>
  <c r="J918" i="2" s="1"/>
  <c r="L918" i="2" s="1"/>
  <c r="D918" i="2"/>
  <c r="N917" i="2"/>
  <c r="M917" i="2"/>
  <c r="J917" i="2"/>
  <c r="L917" i="2" s="1"/>
  <c r="I917" i="2"/>
  <c r="H917" i="2"/>
  <c r="D917" i="2"/>
  <c r="N916" i="2"/>
  <c r="M916" i="2"/>
  <c r="I916" i="2"/>
  <c r="J916" i="2" s="1"/>
  <c r="L916" i="2" s="1"/>
  <c r="H916" i="2"/>
  <c r="D916" i="2"/>
  <c r="N915" i="2"/>
  <c r="M915" i="2"/>
  <c r="I915" i="2"/>
  <c r="H915" i="2"/>
  <c r="J915" i="2" s="1"/>
  <c r="L915" i="2" s="1"/>
  <c r="D915" i="2"/>
  <c r="N914" i="2"/>
  <c r="M914" i="2"/>
  <c r="I914" i="2"/>
  <c r="H914" i="2"/>
  <c r="J914" i="2" s="1"/>
  <c r="L914" i="2" s="1"/>
  <c r="D914" i="2"/>
  <c r="N913" i="2"/>
  <c r="M913" i="2"/>
  <c r="J913" i="2"/>
  <c r="L913" i="2" s="1"/>
  <c r="I913" i="2"/>
  <c r="H913" i="2"/>
  <c r="D913" i="2"/>
  <c r="N912" i="2"/>
  <c r="M912" i="2"/>
  <c r="I912" i="2"/>
  <c r="J912" i="2" s="1"/>
  <c r="L912" i="2" s="1"/>
  <c r="H912" i="2"/>
  <c r="D912" i="2"/>
  <c r="N911" i="2"/>
  <c r="M911" i="2"/>
  <c r="I911" i="2"/>
  <c r="H911" i="2"/>
  <c r="J911" i="2" s="1"/>
  <c r="L911" i="2" s="1"/>
  <c r="D911" i="2"/>
  <c r="N910" i="2"/>
  <c r="M910" i="2"/>
  <c r="I910" i="2"/>
  <c r="H910" i="2"/>
  <c r="J910" i="2" s="1"/>
  <c r="L910" i="2" s="1"/>
  <c r="D910" i="2"/>
  <c r="N909" i="2"/>
  <c r="M909" i="2"/>
  <c r="J909" i="2"/>
  <c r="L909" i="2" s="1"/>
  <c r="I909" i="2"/>
  <c r="H909" i="2"/>
  <c r="D909" i="2"/>
  <c r="N908" i="2"/>
  <c r="M908" i="2"/>
  <c r="I908" i="2"/>
  <c r="J908" i="2" s="1"/>
  <c r="L908" i="2" s="1"/>
  <c r="H908" i="2"/>
  <c r="D908" i="2"/>
  <c r="N907" i="2"/>
  <c r="M907" i="2"/>
  <c r="I907" i="2"/>
  <c r="H907" i="2"/>
  <c r="J907" i="2" s="1"/>
  <c r="L907" i="2" s="1"/>
  <c r="D907" i="2"/>
  <c r="N906" i="2"/>
  <c r="M906" i="2"/>
  <c r="I906" i="2"/>
  <c r="H906" i="2"/>
  <c r="J906" i="2" s="1"/>
  <c r="L906" i="2" s="1"/>
  <c r="D906" i="2"/>
  <c r="N905" i="2"/>
  <c r="M905" i="2"/>
  <c r="J905" i="2"/>
  <c r="L905" i="2" s="1"/>
  <c r="I905" i="2"/>
  <c r="H905" i="2"/>
  <c r="D905" i="2"/>
  <c r="N904" i="2"/>
  <c r="M904" i="2"/>
  <c r="I904" i="2"/>
  <c r="J904" i="2" s="1"/>
  <c r="L904" i="2" s="1"/>
  <c r="H904" i="2"/>
  <c r="D904" i="2"/>
  <c r="N903" i="2"/>
  <c r="M903" i="2"/>
  <c r="I903" i="2"/>
  <c r="H903" i="2"/>
  <c r="J903" i="2" s="1"/>
  <c r="L903" i="2" s="1"/>
  <c r="D903" i="2"/>
  <c r="N902" i="2"/>
  <c r="M902" i="2"/>
  <c r="I902" i="2"/>
  <c r="H902" i="2"/>
  <c r="J902" i="2" s="1"/>
  <c r="L902" i="2" s="1"/>
  <c r="D902" i="2"/>
  <c r="N901" i="2"/>
  <c r="M901" i="2"/>
  <c r="J901" i="2"/>
  <c r="L901" i="2" s="1"/>
  <c r="I901" i="2"/>
  <c r="H901" i="2"/>
  <c r="D901" i="2"/>
  <c r="N900" i="2"/>
  <c r="M900" i="2"/>
  <c r="I900" i="2"/>
  <c r="J900" i="2" s="1"/>
  <c r="L900" i="2" s="1"/>
  <c r="H900" i="2"/>
  <c r="D900" i="2"/>
  <c r="N899" i="2"/>
  <c r="M899" i="2"/>
  <c r="I899" i="2"/>
  <c r="H899" i="2"/>
  <c r="J899" i="2" s="1"/>
  <c r="L899" i="2" s="1"/>
  <c r="D899" i="2"/>
  <c r="N898" i="2"/>
  <c r="M898" i="2"/>
  <c r="I898" i="2"/>
  <c r="H898" i="2"/>
  <c r="J898" i="2" s="1"/>
  <c r="L898" i="2" s="1"/>
  <c r="D898" i="2"/>
  <c r="N897" i="2"/>
  <c r="M897" i="2"/>
  <c r="J897" i="2"/>
  <c r="L897" i="2" s="1"/>
  <c r="I897" i="2"/>
  <c r="H897" i="2"/>
  <c r="D897" i="2"/>
  <c r="N896" i="2"/>
  <c r="M896" i="2"/>
  <c r="I896" i="2"/>
  <c r="J896" i="2" s="1"/>
  <c r="L896" i="2" s="1"/>
  <c r="H896" i="2"/>
  <c r="D896" i="2"/>
  <c r="N895" i="2"/>
  <c r="M895" i="2"/>
  <c r="I895" i="2"/>
  <c r="H895" i="2"/>
  <c r="J895" i="2" s="1"/>
  <c r="L895" i="2" s="1"/>
  <c r="D895" i="2"/>
  <c r="N894" i="2"/>
  <c r="M894" i="2"/>
  <c r="I894" i="2"/>
  <c r="H894" i="2"/>
  <c r="J894" i="2" s="1"/>
  <c r="L894" i="2" s="1"/>
  <c r="D894" i="2"/>
  <c r="N893" i="2"/>
  <c r="M893" i="2"/>
  <c r="J893" i="2"/>
  <c r="L893" i="2" s="1"/>
  <c r="I893" i="2"/>
  <c r="H893" i="2"/>
  <c r="D893" i="2"/>
  <c r="N892" i="2"/>
  <c r="M892" i="2"/>
  <c r="I892" i="2"/>
  <c r="J892" i="2" s="1"/>
  <c r="L892" i="2" s="1"/>
  <c r="H892" i="2"/>
  <c r="D892" i="2"/>
  <c r="N891" i="2"/>
  <c r="M891" i="2"/>
  <c r="I891" i="2"/>
  <c r="H891" i="2"/>
  <c r="J891" i="2" s="1"/>
  <c r="L891" i="2" s="1"/>
  <c r="D891" i="2"/>
  <c r="N890" i="2"/>
  <c r="M890" i="2"/>
  <c r="I890" i="2"/>
  <c r="H890" i="2"/>
  <c r="J890" i="2" s="1"/>
  <c r="L890" i="2" s="1"/>
  <c r="D890" i="2"/>
  <c r="N889" i="2"/>
  <c r="M889" i="2"/>
  <c r="J889" i="2"/>
  <c r="L889" i="2" s="1"/>
  <c r="I889" i="2"/>
  <c r="H889" i="2"/>
  <c r="D889" i="2"/>
  <c r="N888" i="2"/>
  <c r="M888" i="2"/>
  <c r="I888" i="2"/>
  <c r="J888" i="2" s="1"/>
  <c r="L888" i="2" s="1"/>
  <c r="H888" i="2"/>
  <c r="D888" i="2"/>
  <c r="N887" i="2"/>
  <c r="M887" i="2"/>
  <c r="I887" i="2"/>
  <c r="H887" i="2"/>
  <c r="J887" i="2" s="1"/>
  <c r="L887" i="2" s="1"/>
  <c r="D887" i="2"/>
  <c r="N886" i="2"/>
  <c r="M886" i="2"/>
  <c r="I886" i="2"/>
  <c r="H886" i="2"/>
  <c r="J886" i="2" s="1"/>
  <c r="L886" i="2" s="1"/>
  <c r="D886" i="2"/>
  <c r="N885" i="2"/>
  <c r="M885" i="2"/>
  <c r="J885" i="2"/>
  <c r="L885" i="2" s="1"/>
  <c r="I885" i="2"/>
  <c r="H885" i="2"/>
  <c r="D885" i="2"/>
  <c r="N884" i="2"/>
  <c r="M884" i="2"/>
  <c r="I884" i="2"/>
  <c r="J884" i="2" s="1"/>
  <c r="L884" i="2" s="1"/>
  <c r="H884" i="2"/>
  <c r="D884" i="2"/>
  <c r="N883" i="2"/>
  <c r="M883" i="2"/>
  <c r="I883" i="2"/>
  <c r="H883" i="2"/>
  <c r="J883" i="2" s="1"/>
  <c r="L883" i="2" s="1"/>
  <c r="D883" i="2"/>
  <c r="N882" i="2"/>
  <c r="M882" i="2"/>
  <c r="I882" i="2"/>
  <c r="H882" i="2"/>
  <c r="J882" i="2" s="1"/>
  <c r="L882" i="2" s="1"/>
  <c r="D882" i="2"/>
  <c r="N881" i="2"/>
  <c r="M881" i="2"/>
  <c r="J881" i="2"/>
  <c r="L881" i="2" s="1"/>
  <c r="I881" i="2"/>
  <c r="H881" i="2"/>
  <c r="D881" i="2"/>
  <c r="N880" i="2"/>
  <c r="M880" i="2"/>
  <c r="I880" i="2"/>
  <c r="J880" i="2" s="1"/>
  <c r="L880" i="2" s="1"/>
  <c r="H880" i="2"/>
  <c r="D880" i="2"/>
  <c r="N879" i="2"/>
  <c r="M879" i="2"/>
  <c r="I879" i="2"/>
  <c r="H879" i="2"/>
  <c r="J879" i="2" s="1"/>
  <c r="L879" i="2" s="1"/>
  <c r="D879" i="2"/>
  <c r="N878" i="2"/>
  <c r="M878" i="2"/>
  <c r="I878" i="2"/>
  <c r="H878" i="2"/>
  <c r="J878" i="2" s="1"/>
  <c r="L878" i="2" s="1"/>
  <c r="D878" i="2"/>
  <c r="N877" i="2"/>
  <c r="M877" i="2"/>
  <c r="J877" i="2"/>
  <c r="L877" i="2" s="1"/>
  <c r="I877" i="2"/>
  <c r="H877" i="2"/>
  <c r="D877" i="2"/>
  <c r="N876" i="2"/>
  <c r="M876" i="2"/>
  <c r="I876" i="2"/>
  <c r="J876" i="2" s="1"/>
  <c r="L876" i="2" s="1"/>
  <c r="H876" i="2"/>
  <c r="D876" i="2"/>
  <c r="N875" i="2"/>
  <c r="M875" i="2"/>
  <c r="I875" i="2"/>
  <c r="H875" i="2"/>
  <c r="J875" i="2" s="1"/>
  <c r="L875" i="2" s="1"/>
  <c r="D875" i="2"/>
  <c r="N874" i="2"/>
  <c r="M874" i="2"/>
  <c r="I874" i="2"/>
  <c r="H874" i="2"/>
  <c r="J874" i="2" s="1"/>
  <c r="L874" i="2" s="1"/>
  <c r="D874" i="2"/>
  <c r="N873" i="2"/>
  <c r="M873" i="2"/>
  <c r="J873" i="2"/>
  <c r="L873" i="2" s="1"/>
  <c r="I873" i="2"/>
  <c r="H873" i="2"/>
  <c r="D873" i="2"/>
  <c r="N872" i="2"/>
  <c r="M872" i="2"/>
  <c r="I872" i="2"/>
  <c r="J872" i="2" s="1"/>
  <c r="L872" i="2" s="1"/>
  <c r="H872" i="2"/>
  <c r="D872" i="2"/>
  <c r="N871" i="2"/>
  <c r="M871" i="2"/>
  <c r="I871" i="2"/>
  <c r="H871" i="2"/>
  <c r="J871" i="2" s="1"/>
  <c r="L871" i="2" s="1"/>
  <c r="D871" i="2"/>
  <c r="N870" i="2"/>
  <c r="M870" i="2"/>
  <c r="I870" i="2"/>
  <c r="H870" i="2"/>
  <c r="J870" i="2" s="1"/>
  <c r="L870" i="2" s="1"/>
  <c r="D870" i="2"/>
  <c r="N869" i="2"/>
  <c r="M869" i="2"/>
  <c r="J869" i="2"/>
  <c r="L869" i="2" s="1"/>
  <c r="I869" i="2"/>
  <c r="H869" i="2"/>
  <c r="D869" i="2"/>
  <c r="N868" i="2"/>
  <c r="M868" i="2"/>
  <c r="I868" i="2"/>
  <c r="J868" i="2" s="1"/>
  <c r="L868" i="2" s="1"/>
  <c r="H868" i="2"/>
  <c r="D868" i="2"/>
  <c r="N867" i="2"/>
  <c r="M867" i="2"/>
  <c r="I867" i="2"/>
  <c r="H867" i="2"/>
  <c r="J867" i="2" s="1"/>
  <c r="L867" i="2" s="1"/>
  <c r="D867" i="2"/>
  <c r="N866" i="2"/>
  <c r="M866" i="2"/>
  <c r="I866" i="2"/>
  <c r="H866" i="2"/>
  <c r="J866" i="2" s="1"/>
  <c r="L866" i="2" s="1"/>
  <c r="D866" i="2"/>
  <c r="N865" i="2"/>
  <c r="M865" i="2"/>
  <c r="J865" i="2"/>
  <c r="L865" i="2" s="1"/>
  <c r="I865" i="2"/>
  <c r="H865" i="2"/>
  <c r="D865" i="2"/>
  <c r="N864" i="2"/>
  <c r="M864" i="2"/>
  <c r="I864" i="2"/>
  <c r="J864" i="2" s="1"/>
  <c r="L864" i="2" s="1"/>
  <c r="H864" i="2"/>
  <c r="D864" i="2"/>
  <c r="N863" i="2"/>
  <c r="M863" i="2"/>
  <c r="I863" i="2"/>
  <c r="H863" i="2"/>
  <c r="J863" i="2" s="1"/>
  <c r="L863" i="2" s="1"/>
  <c r="D863" i="2"/>
  <c r="N862" i="2"/>
  <c r="M862" i="2"/>
  <c r="I862" i="2"/>
  <c r="H862" i="2"/>
  <c r="J862" i="2" s="1"/>
  <c r="L862" i="2" s="1"/>
  <c r="D862" i="2"/>
  <c r="N861" i="2"/>
  <c r="M861" i="2"/>
  <c r="J861" i="2"/>
  <c r="L861" i="2" s="1"/>
  <c r="I861" i="2"/>
  <c r="H861" i="2"/>
  <c r="D861" i="2"/>
  <c r="N860" i="2"/>
  <c r="M860" i="2"/>
  <c r="I860" i="2"/>
  <c r="J860" i="2" s="1"/>
  <c r="L860" i="2" s="1"/>
  <c r="H860" i="2"/>
  <c r="D860" i="2"/>
  <c r="N859" i="2"/>
  <c r="M859" i="2"/>
  <c r="I859" i="2"/>
  <c r="H859" i="2"/>
  <c r="J859" i="2" s="1"/>
  <c r="L859" i="2" s="1"/>
  <c r="D859" i="2"/>
  <c r="N858" i="2"/>
  <c r="M858" i="2"/>
  <c r="I858" i="2"/>
  <c r="H858" i="2"/>
  <c r="J858" i="2" s="1"/>
  <c r="L858" i="2" s="1"/>
  <c r="D858" i="2"/>
  <c r="N857" i="2"/>
  <c r="M857" i="2"/>
  <c r="J857" i="2"/>
  <c r="L857" i="2" s="1"/>
  <c r="I857" i="2"/>
  <c r="H857" i="2"/>
  <c r="D857" i="2"/>
  <c r="N856" i="2"/>
  <c r="M856" i="2"/>
  <c r="I856" i="2"/>
  <c r="J856" i="2" s="1"/>
  <c r="L856" i="2" s="1"/>
  <c r="H856" i="2"/>
  <c r="D856" i="2"/>
  <c r="N855" i="2"/>
  <c r="M855" i="2"/>
  <c r="I855" i="2"/>
  <c r="H855" i="2"/>
  <c r="J855" i="2" s="1"/>
  <c r="L855" i="2" s="1"/>
  <c r="D855" i="2"/>
  <c r="N854" i="2"/>
  <c r="M854" i="2"/>
  <c r="I854" i="2"/>
  <c r="H854" i="2"/>
  <c r="J854" i="2" s="1"/>
  <c r="L854" i="2" s="1"/>
  <c r="D854" i="2"/>
  <c r="N853" i="2"/>
  <c r="M853" i="2"/>
  <c r="J853" i="2"/>
  <c r="L853" i="2" s="1"/>
  <c r="I853" i="2"/>
  <c r="H853" i="2"/>
  <c r="D853" i="2"/>
  <c r="N852" i="2"/>
  <c r="M852" i="2"/>
  <c r="I852" i="2"/>
  <c r="J852" i="2" s="1"/>
  <c r="L852" i="2" s="1"/>
  <c r="H852" i="2"/>
  <c r="D852" i="2"/>
  <c r="N851" i="2"/>
  <c r="M851" i="2"/>
  <c r="I851" i="2"/>
  <c r="H851" i="2"/>
  <c r="J851" i="2" s="1"/>
  <c r="L851" i="2" s="1"/>
  <c r="D851" i="2"/>
  <c r="N850" i="2"/>
  <c r="M850" i="2"/>
  <c r="I850" i="2"/>
  <c r="H850" i="2"/>
  <c r="J850" i="2" s="1"/>
  <c r="L850" i="2" s="1"/>
  <c r="D850" i="2"/>
  <c r="N849" i="2"/>
  <c r="M849" i="2"/>
  <c r="J849" i="2"/>
  <c r="L849" i="2" s="1"/>
  <c r="I849" i="2"/>
  <c r="H849" i="2"/>
  <c r="D849" i="2"/>
  <c r="N848" i="2"/>
  <c r="M848" i="2"/>
  <c r="I848" i="2"/>
  <c r="J848" i="2" s="1"/>
  <c r="L848" i="2" s="1"/>
  <c r="H848" i="2"/>
  <c r="D848" i="2"/>
  <c r="N847" i="2"/>
  <c r="M847" i="2"/>
  <c r="I847" i="2"/>
  <c r="H847" i="2"/>
  <c r="J847" i="2" s="1"/>
  <c r="L847" i="2" s="1"/>
  <c r="D847" i="2"/>
  <c r="N846" i="2"/>
  <c r="M846" i="2"/>
  <c r="I846" i="2"/>
  <c r="H846" i="2"/>
  <c r="J846" i="2" s="1"/>
  <c r="L846" i="2" s="1"/>
  <c r="D846" i="2"/>
  <c r="N845" i="2"/>
  <c r="M845" i="2"/>
  <c r="J845" i="2"/>
  <c r="L845" i="2" s="1"/>
  <c r="I845" i="2"/>
  <c r="H845" i="2"/>
  <c r="D845" i="2"/>
  <c r="N844" i="2"/>
  <c r="M844" i="2"/>
  <c r="I844" i="2"/>
  <c r="J844" i="2" s="1"/>
  <c r="L844" i="2" s="1"/>
  <c r="H844" i="2"/>
  <c r="D844" i="2"/>
  <c r="N843" i="2"/>
  <c r="M843" i="2"/>
  <c r="I843" i="2"/>
  <c r="H843" i="2"/>
  <c r="J843" i="2" s="1"/>
  <c r="L843" i="2" s="1"/>
  <c r="D843" i="2"/>
  <c r="N842" i="2"/>
  <c r="M842" i="2"/>
  <c r="I842" i="2"/>
  <c r="H842" i="2"/>
  <c r="J842" i="2" s="1"/>
  <c r="L842" i="2" s="1"/>
  <c r="D842" i="2"/>
  <c r="N841" i="2"/>
  <c r="M841" i="2"/>
  <c r="J841" i="2"/>
  <c r="L841" i="2" s="1"/>
  <c r="I841" i="2"/>
  <c r="H841" i="2"/>
  <c r="D841" i="2"/>
  <c r="N840" i="2"/>
  <c r="M840" i="2"/>
  <c r="I840" i="2"/>
  <c r="J840" i="2" s="1"/>
  <c r="L840" i="2" s="1"/>
  <c r="H840" i="2"/>
  <c r="D840" i="2"/>
  <c r="N839" i="2"/>
  <c r="M839" i="2"/>
  <c r="I839" i="2"/>
  <c r="H839" i="2"/>
  <c r="J839" i="2" s="1"/>
  <c r="L839" i="2" s="1"/>
  <c r="D839" i="2"/>
  <c r="N838" i="2"/>
  <c r="M838" i="2"/>
  <c r="I838" i="2"/>
  <c r="H838" i="2"/>
  <c r="J838" i="2" s="1"/>
  <c r="L838" i="2" s="1"/>
  <c r="D838" i="2"/>
  <c r="N837" i="2"/>
  <c r="M837" i="2"/>
  <c r="J837" i="2"/>
  <c r="L837" i="2" s="1"/>
  <c r="I837" i="2"/>
  <c r="H837" i="2"/>
  <c r="D837" i="2"/>
  <c r="N836" i="2"/>
  <c r="M836" i="2"/>
  <c r="I836" i="2"/>
  <c r="J836" i="2" s="1"/>
  <c r="L836" i="2" s="1"/>
  <c r="H836" i="2"/>
  <c r="D836" i="2"/>
  <c r="N835" i="2"/>
  <c r="M835" i="2"/>
  <c r="I835" i="2"/>
  <c r="H835" i="2"/>
  <c r="J835" i="2" s="1"/>
  <c r="L835" i="2" s="1"/>
  <c r="D835" i="2"/>
  <c r="N834" i="2"/>
  <c r="M834" i="2"/>
  <c r="I834" i="2"/>
  <c r="H834" i="2"/>
  <c r="J834" i="2" s="1"/>
  <c r="L834" i="2" s="1"/>
  <c r="D834" i="2"/>
  <c r="N833" i="2"/>
  <c r="M833" i="2"/>
  <c r="J833" i="2"/>
  <c r="L833" i="2" s="1"/>
  <c r="I833" i="2"/>
  <c r="H833" i="2"/>
  <c r="D833" i="2"/>
  <c r="N832" i="2"/>
  <c r="M832" i="2"/>
  <c r="I832" i="2"/>
  <c r="J832" i="2" s="1"/>
  <c r="L832" i="2" s="1"/>
  <c r="H832" i="2"/>
  <c r="D832" i="2"/>
  <c r="N831" i="2"/>
  <c r="M831" i="2"/>
  <c r="I831" i="2"/>
  <c r="H831" i="2"/>
  <c r="J831" i="2" s="1"/>
  <c r="L831" i="2" s="1"/>
  <c r="D831" i="2"/>
  <c r="N830" i="2"/>
  <c r="M830" i="2"/>
  <c r="I830" i="2"/>
  <c r="H830" i="2"/>
  <c r="J830" i="2" s="1"/>
  <c r="L830" i="2" s="1"/>
  <c r="D830" i="2"/>
  <c r="N829" i="2"/>
  <c r="M829" i="2"/>
  <c r="J829" i="2"/>
  <c r="L829" i="2" s="1"/>
  <c r="I829" i="2"/>
  <c r="H829" i="2"/>
  <c r="D829" i="2"/>
  <c r="N828" i="2"/>
  <c r="M828" i="2"/>
  <c r="I828" i="2"/>
  <c r="J828" i="2" s="1"/>
  <c r="L828" i="2" s="1"/>
  <c r="H828" i="2"/>
  <c r="D828" i="2"/>
  <c r="N827" i="2"/>
  <c r="M827" i="2"/>
  <c r="I827" i="2"/>
  <c r="H827" i="2"/>
  <c r="J827" i="2" s="1"/>
  <c r="L827" i="2" s="1"/>
  <c r="D827" i="2"/>
  <c r="N826" i="2"/>
  <c r="M826" i="2"/>
  <c r="I826" i="2"/>
  <c r="H826" i="2"/>
  <c r="J826" i="2" s="1"/>
  <c r="L826" i="2" s="1"/>
  <c r="D826" i="2"/>
  <c r="N825" i="2"/>
  <c r="M825" i="2"/>
  <c r="J825" i="2"/>
  <c r="L825" i="2" s="1"/>
  <c r="I825" i="2"/>
  <c r="H825" i="2"/>
  <c r="D825" i="2"/>
  <c r="N824" i="2"/>
  <c r="M824" i="2"/>
  <c r="I824" i="2"/>
  <c r="J824" i="2" s="1"/>
  <c r="L824" i="2" s="1"/>
  <c r="H824" i="2"/>
  <c r="D824" i="2"/>
  <c r="N823" i="2"/>
  <c r="M823" i="2"/>
  <c r="I823" i="2"/>
  <c r="H823" i="2"/>
  <c r="J823" i="2" s="1"/>
  <c r="L823" i="2" s="1"/>
  <c r="D823" i="2"/>
  <c r="N822" i="2"/>
  <c r="M822" i="2"/>
  <c r="I822" i="2"/>
  <c r="H822" i="2"/>
  <c r="J822" i="2" s="1"/>
  <c r="L822" i="2" s="1"/>
  <c r="D822" i="2"/>
  <c r="N821" i="2"/>
  <c r="M821" i="2"/>
  <c r="J821" i="2"/>
  <c r="L821" i="2" s="1"/>
  <c r="I821" i="2"/>
  <c r="H821" i="2"/>
  <c r="D821" i="2"/>
  <c r="N820" i="2"/>
  <c r="M820" i="2"/>
  <c r="I820" i="2"/>
  <c r="J820" i="2" s="1"/>
  <c r="L820" i="2" s="1"/>
  <c r="H820" i="2"/>
  <c r="D820" i="2"/>
  <c r="N819" i="2"/>
  <c r="M819" i="2"/>
  <c r="I819" i="2"/>
  <c r="H819" i="2"/>
  <c r="J819" i="2" s="1"/>
  <c r="L819" i="2" s="1"/>
  <c r="D819" i="2"/>
  <c r="N818" i="2"/>
  <c r="M818" i="2"/>
  <c r="I818" i="2"/>
  <c r="H818" i="2"/>
  <c r="J818" i="2" s="1"/>
  <c r="L818" i="2" s="1"/>
  <c r="D818" i="2"/>
  <c r="N817" i="2"/>
  <c r="M817" i="2"/>
  <c r="J817" i="2"/>
  <c r="L817" i="2" s="1"/>
  <c r="I817" i="2"/>
  <c r="H817" i="2"/>
  <c r="D817" i="2"/>
  <c r="N816" i="2"/>
  <c r="M816" i="2"/>
  <c r="I816" i="2"/>
  <c r="J816" i="2" s="1"/>
  <c r="L816" i="2" s="1"/>
  <c r="H816" i="2"/>
  <c r="D816" i="2"/>
  <c r="N815" i="2"/>
  <c r="M815" i="2"/>
  <c r="I815" i="2"/>
  <c r="H815" i="2"/>
  <c r="J815" i="2" s="1"/>
  <c r="L815" i="2" s="1"/>
  <c r="D815" i="2"/>
  <c r="N814" i="2"/>
  <c r="M814" i="2"/>
  <c r="L814" i="2"/>
  <c r="I814" i="2"/>
  <c r="H814" i="2"/>
  <c r="J814" i="2" s="1"/>
  <c r="D814" i="2"/>
  <c r="N813" i="2"/>
  <c r="M813" i="2"/>
  <c r="J813" i="2"/>
  <c r="L813" i="2" s="1"/>
  <c r="I813" i="2"/>
  <c r="H813" i="2"/>
  <c r="D813" i="2"/>
  <c r="N812" i="2"/>
  <c r="M812" i="2"/>
  <c r="I812" i="2"/>
  <c r="J812" i="2" s="1"/>
  <c r="L812" i="2" s="1"/>
  <c r="H812" i="2"/>
  <c r="D812" i="2"/>
  <c r="N811" i="2"/>
  <c r="M811" i="2"/>
  <c r="I811" i="2"/>
  <c r="H811" i="2"/>
  <c r="J811" i="2" s="1"/>
  <c r="L811" i="2" s="1"/>
  <c r="D811" i="2"/>
  <c r="N810" i="2"/>
  <c r="M810" i="2"/>
  <c r="I810" i="2"/>
  <c r="H810" i="2"/>
  <c r="J810" i="2" s="1"/>
  <c r="L810" i="2" s="1"/>
  <c r="D810" i="2"/>
  <c r="N809" i="2"/>
  <c r="M809" i="2"/>
  <c r="J809" i="2"/>
  <c r="L809" i="2" s="1"/>
  <c r="I809" i="2"/>
  <c r="H809" i="2"/>
  <c r="D809" i="2"/>
  <c r="N808" i="2"/>
  <c r="M808" i="2"/>
  <c r="I808" i="2"/>
  <c r="J808" i="2" s="1"/>
  <c r="L808" i="2" s="1"/>
  <c r="H808" i="2"/>
  <c r="D808" i="2"/>
  <c r="N807" i="2"/>
  <c r="M807" i="2"/>
  <c r="I807" i="2"/>
  <c r="H807" i="2"/>
  <c r="J807" i="2" s="1"/>
  <c r="L807" i="2" s="1"/>
  <c r="D807" i="2"/>
  <c r="N806" i="2"/>
  <c r="M806" i="2"/>
  <c r="L806" i="2"/>
  <c r="I806" i="2"/>
  <c r="H806" i="2"/>
  <c r="J806" i="2" s="1"/>
  <c r="D806" i="2"/>
  <c r="N805" i="2"/>
  <c r="M805" i="2"/>
  <c r="J805" i="2"/>
  <c r="L805" i="2" s="1"/>
  <c r="I805" i="2"/>
  <c r="H805" i="2"/>
  <c r="D805" i="2"/>
  <c r="N804" i="2"/>
  <c r="M804" i="2"/>
  <c r="I804" i="2"/>
  <c r="J804" i="2" s="1"/>
  <c r="L804" i="2" s="1"/>
  <c r="H804" i="2"/>
  <c r="D804" i="2"/>
  <c r="N803" i="2"/>
  <c r="M803" i="2"/>
  <c r="I803" i="2"/>
  <c r="H803" i="2"/>
  <c r="J803" i="2" s="1"/>
  <c r="L803" i="2" s="1"/>
  <c r="D803" i="2"/>
  <c r="N802" i="2"/>
  <c r="M802" i="2"/>
  <c r="I802" i="2"/>
  <c r="H802" i="2"/>
  <c r="J802" i="2" s="1"/>
  <c r="L802" i="2" s="1"/>
  <c r="D802" i="2"/>
  <c r="N801" i="2"/>
  <c r="M801" i="2"/>
  <c r="J801" i="2"/>
  <c r="L801" i="2" s="1"/>
  <c r="I801" i="2"/>
  <c r="H801" i="2"/>
  <c r="D801" i="2"/>
  <c r="N800" i="2"/>
  <c r="M800" i="2"/>
  <c r="L800" i="2"/>
  <c r="I800" i="2"/>
  <c r="J800" i="2" s="1"/>
  <c r="H800" i="2"/>
  <c r="D800" i="2"/>
  <c r="N799" i="2"/>
  <c r="M799" i="2"/>
  <c r="J799" i="2"/>
  <c r="L799" i="2" s="1"/>
  <c r="I799" i="2"/>
  <c r="H799" i="2"/>
  <c r="D799" i="2"/>
  <c r="N798" i="2"/>
  <c r="M798" i="2"/>
  <c r="I798" i="2"/>
  <c r="H798" i="2"/>
  <c r="J798" i="2" s="1"/>
  <c r="L798" i="2" s="1"/>
  <c r="D798" i="2"/>
  <c r="N797" i="2"/>
  <c r="M797" i="2"/>
  <c r="J797" i="2"/>
  <c r="L797" i="2" s="1"/>
  <c r="I797" i="2"/>
  <c r="H797" i="2"/>
  <c r="D797" i="2"/>
  <c r="N796" i="2"/>
  <c r="M796" i="2"/>
  <c r="L796" i="2"/>
  <c r="I796" i="2"/>
  <c r="J796" i="2" s="1"/>
  <c r="H796" i="2"/>
  <c r="D796" i="2"/>
  <c r="N795" i="2"/>
  <c r="M795" i="2"/>
  <c r="J795" i="2"/>
  <c r="L795" i="2" s="1"/>
  <c r="I795" i="2"/>
  <c r="H795" i="2"/>
  <c r="D795" i="2"/>
  <c r="N794" i="2"/>
  <c r="M794" i="2"/>
  <c r="I794" i="2"/>
  <c r="H794" i="2"/>
  <c r="J794" i="2" s="1"/>
  <c r="L794" i="2" s="1"/>
  <c r="D794" i="2"/>
  <c r="N793" i="2"/>
  <c r="M793" i="2"/>
  <c r="J793" i="2"/>
  <c r="L793" i="2" s="1"/>
  <c r="I793" i="2"/>
  <c r="H793" i="2"/>
  <c r="D793" i="2"/>
  <c r="N792" i="2"/>
  <c r="M792" i="2"/>
  <c r="I792" i="2"/>
  <c r="J792" i="2" s="1"/>
  <c r="L792" i="2" s="1"/>
  <c r="H792" i="2"/>
  <c r="D792" i="2"/>
  <c r="N791" i="2"/>
  <c r="M791" i="2"/>
  <c r="J791" i="2"/>
  <c r="L791" i="2" s="1"/>
  <c r="I791" i="2"/>
  <c r="H791" i="2"/>
  <c r="D791" i="2"/>
  <c r="N790" i="2"/>
  <c r="M790" i="2"/>
  <c r="I790" i="2"/>
  <c r="H790" i="2"/>
  <c r="J790" i="2" s="1"/>
  <c r="L790" i="2" s="1"/>
  <c r="D790" i="2"/>
  <c r="N789" i="2"/>
  <c r="M789" i="2"/>
  <c r="J789" i="2"/>
  <c r="L789" i="2" s="1"/>
  <c r="I789" i="2"/>
  <c r="H789" i="2"/>
  <c r="D789" i="2"/>
  <c r="N788" i="2"/>
  <c r="M788" i="2"/>
  <c r="I788" i="2"/>
  <c r="J788" i="2" s="1"/>
  <c r="L788" i="2" s="1"/>
  <c r="H788" i="2"/>
  <c r="D788" i="2"/>
  <c r="N787" i="2"/>
  <c r="M787" i="2"/>
  <c r="J787" i="2"/>
  <c r="L787" i="2" s="1"/>
  <c r="I787" i="2"/>
  <c r="H787" i="2"/>
  <c r="D787" i="2"/>
  <c r="N786" i="2"/>
  <c r="M786" i="2"/>
  <c r="I786" i="2"/>
  <c r="H786" i="2"/>
  <c r="J786" i="2" s="1"/>
  <c r="L786" i="2" s="1"/>
  <c r="D786" i="2"/>
  <c r="N785" i="2"/>
  <c r="M785" i="2"/>
  <c r="J785" i="2"/>
  <c r="L785" i="2" s="1"/>
  <c r="I785" i="2"/>
  <c r="H785" i="2"/>
  <c r="D785" i="2"/>
  <c r="N784" i="2"/>
  <c r="M784" i="2"/>
  <c r="I784" i="2"/>
  <c r="J784" i="2" s="1"/>
  <c r="L784" i="2" s="1"/>
  <c r="H784" i="2"/>
  <c r="D784" i="2"/>
  <c r="N783" i="2"/>
  <c r="M783" i="2"/>
  <c r="J783" i="2"/>
  <c r="L783" i="2" s="1"/>
  <c r="I783" i="2"/>
  <c r="H783" i="2"/>
  <c r="D783" i="2"/>
  <c r="N782" i="2"/>
  <c r="M782" i="2"/>
  <c r="I782" i="2"/>
  <c r="H782" i="2"/>
  <c r="J782" i="2" s="1"/>
  <c r="L782" i="2" s="1"/>
  <c r="D782" i="2"/>
  <c r="N781" i="2"/>
  <c r="M781" i="2"/>
  <c r="J781" i="2"/>
  <c r="L781" i="2" s="1"/>
  <c r="I781" i="2"/>
  <c r="H781" i="2"/>
  <c r="D781" i="2"/>
  <c r="N780" i="2"/>
  <c r="M780" i="2"/>
  <c r="I780" i="2"/>
  <c r="J780" i="2" s="1"/>
  <c r="L780" i="2" s="1"/>
  <c r="H780" i="2"/>
  <c r="D780" i="2"/>
  <c r="N779" i="2"/>
  <c r="M779" i="2"/>
  <c r="J779" i="2"/>
  <c r="L779" i="2" s="1"/>
  <c r="I779" i="2"/>
  <c r="H779" i="2"/>
  <c r="D779" i="2"/>
  <c r="N778" i="2"/>
  <c r="M778" i="2"/>
  <c r="I778" i="2"/>
  <c r="H778" i="2"/>
  <c r="J778" i="2" s="1"/>
  <c r="L778" i="2" s="1"/>
  <c r="D778" i="2"/>
  <c r="N777" i="2"/>
  <c r="M777" i="2"/>
  <c r="J777" i="2"/>
  <c r="L777" i="2" s="1"/>
  <c r="I777" i="2"/>
  <c r="H777" i="2"/>
  <c r="D777" i="2"/>
  <c r="N776" i="2"/>
  <c r="M776" i="2"/>
  <c r="I776" i="2"/>
  <c r="J776" i="2" s="1"/>
  <c r="L776" i="2" s="1"/>
  <c r="H776" i="2"/>
  <c r="D776" i="2"/>
  <c r="N775" i="2"/>
  <c r="M775" i="2"/>
  <c r="J775" i="2"/>
  <c r="L775" i="2" s="1"/>
  <c r="I775" i="2"/>
  <c r="H775" i="2"/>
  <c r="D775" i="2"/>
  <c r="N774" i="2"/>
  <c r="M774" i="2"/>
  <c r="I774" i="2"/>
  <c r="H774" i="2"/>
  <c r="J774" i="2" s="1"/>
  <c r="L774" i="2" s="1"/>
  <c r="D774" i="2"/>
  <c r="N773" i="2"/>
  <c r="M773" i="2"/>
  <c r="J773" i="2"/>
  <c r="L773" i="2" s="1"/>
  <c r="I773" i="2"/>
  <c r="H773" i="2"/>
  <c r="D773" i="2"/>
  <c r="N772" i="2"/>
  <c r="M772" i="2"/>
  <c r="I772" i="2"/>
  <c r="J772" i="2" s="1"/>
  <c r="L772" i="2" s="1"/>
  <c r="H772" i="2"/>
  <c r="D772" i="2"/>
  <c r="N771" i="2"/>
  <c r="M771" i="2"/>
  <c r="J771" i="2"/>
  <c r="L771" i="2" s="1"/>
  <c r="I771" i="2"/>
  <c r="H771" i="2"/>
  <c r="D771" i="2"/>
  <c r="N770" i="2"/>
  <c r="M770" i="2"/>
  <c r="I770" i="2"/>
  <c r="H770" i="2"/>
  <c r="J770" i="2" s="1"/>
  <c r="L770" i="2" s="1"/>
  <c r="D770" i="2"/>
  <c r="N769" i="2"/>
  <c r="M769" i="2"/>
  <c r="J769" i="2"/>
  <c r="L769" i="2" s="1"/>
  <c r="I769" i="2"/>
  <c r="H769" i="2"/>
  <c r="D769" i="2"/>
  <c r="N768" i="2"/>
  <c r="M768" i="2"/>
  <c r="I768" i="2"/>
  <c r="J768" i="2" s="1"/>
  <c r="L768" i="2" s="1"/>
  <c r="H768" i="2"/>
  <c r="D768" i="2"/>
  <c r="N767" i="2"/>
  <c r="M767" i="2"/>
  <c r="J767" i="2"/>
  <c r="L767" i="2" s="1"/>
  <c r="I767" i="2"/>
  <c r="H767" i="2"/>
  <c r="D767" i="2"/>
  <c r="N766" i="2"/>
  <c r="M766" i="2"/>
  <c r="I766" i="2"/>
  <c r="H766" i="2"/>
  <c r="J766" i="2" s="1"/>
  <c r="L766" i="2" s="1"/>
  <c r="D766" i="2"/>
  <c r="N765" i="2"/>
  <c r="M765" i="2"/>
  <c r="J765" i="2"/>
  <c r="L765" i="2" s="1"/>
  <c r="I765" i="2"/>
  <c r="H765" i="2"/>
  <c r="D765" i="2"/>
  <c r="N764" i="2"/>
  <c r="M764" i="2"/>
  <c r="I764" i="2"/>
  <c r="J764" i="2" s="1"/>
  <c r="L764" i="2" s="1"/>
  <c r="H764" i="2"/>
  <c r="D764" i="2"/>
  <c r="N763" i="2"/>
  <c r="M763" i="2"/>
  <c r="J763" i="2"/>
  <c r="L763" i="2" s="1"/>
  <c r="I763" i="2"/>
  <c r="H763" i="2"/>
  <c r="D763" i="2"/>
  <c r="N762" i="2"/>
  <c r="M762" i="2"/>
  <c r="I762" i="2"/>
  <c r="H762" i="2"/>
  <c r="J762" i="2" s="1"/>
  <c r="L762" i="2" s="1"/>
  <c r="D762" i="2"/>
  <c r="N761" i="2"/>
  <c r="M761" i="2"/>
  <c r="J761" i="2"/>
  <c r="L761" i="2" s="1"/>
  <c r="I761" i="2"/>
  <c r="H761" i="2"/>
  <c r="D761" i="2"/>
  <c r="N760" i="2"/>
  <c r="M760" i="2"/>
  <c r="I760" i="2"/>
  <c r="J760" i="2" s="1"/>
  <c r="L760" i="2" s="1"/>
  <c r="H760" i="2"/>
  <c r="D760" i="2"/>
  <c r="N759" i="2"/>
  <c r="M759" i="2"/>
  <c r="J759" i="2"/>
  <c r="L759" i="2" s="1"/>
  <c r="I759" i="2"/>
  <c r="H759" i="2"/>
  <c r="D759" i="2"/>
  <c r="N758" i="2"/>
  <c r="M758" i="2"/>
  <c r="I758" i="2"/>
  <c r="H758" i="2"/>
  <c r="J758" i="2" s="1"/>
  <c r="L758" i="2" s="1"/>
  <c r="D758" i="2"/>
  <c r="N757" i="2"/>
  <c r="M757" i="2"/>
  <c r="J757" i="2"/>
  <c r="L757" i="2" s="1"/>
  <c r="I757" i="2"/>
  <c r="H757" i="2"/>
  <c r="D757" i="2"/>
  <c r="N756" i="2"/>
  <c r="M756" i="2"/>
  <c r="I756" i="2"/>
  <c r="J756" i="2" s="1"/>
  <c r="L756" i="2" s="1"/>
  <c r="H756" i="2"/>
  <c r="D756" i="2"/>
  <c r="N755" i="2"/>
  <c r="M755" i="2"/>
  <c r="J755" i="2"/>
  <c r="L755" i="2" s="1"/>
  <c r="I755" i="2"/>
  <c r="H755" i="2"/>
  <c r="D755" i="2"/>
  <c r="N754" i="2"/>
  <c r="M754" i="2"/>
  <c r="I754" i="2"/>
  <c r="H754" i="2"/>
  <c r="J754" i="2" s="1"/>
  <c r="L754" i="2" s="1"/>
  <c r="D754" i="2"/>
  <c r="N753" i="2"/>
  <c r="M753" i="2"/>
  <c r="J753" i="2"/>
  <c r="L753" i="2" s="1"/>
  <c r="I753" i="2"/>
  <c r="H753" i="2"/>
  <c r="D753" i="2"/>
  <c r="N752" i="2"/>
  <c r="M752" i="2"/>
  <c r="I752" i="2"/>
  <c r="J752" i="2" s="1"/>
  <c r="L752" i="2" s="1"/>
  <c r="H752" i="2"/>
  <c r="D752" i="2"/>
  <c r="N751" i="2"/>
  <c r="M751" i="2"/>
  <c r="J751" i="2"/>
  <c r="L751" i="2" s="1"/>
  <c r="I751" i="2"/>
  <c r="H751" i="2"/>
  <c r="D751" i="2"/>
  <c r="N750" i="2"/>
  <c r="M750" i="2"/>
  <c r="I750" i="2"/>
  <c r="H750" i="2"/>
  <c r="J750" i="2" s="1"/>
  <c r="L750" i="2" s="1"/>
  <c r="D750" i="2"/>
  <c r="N749" i="2"/>
  <c r="M749" i="2"/>
  <c r="J749" i="2"/>
  <c r="L749" i="2" s="1"/>
  <c r="I749" i="2"/>
  <c r="H749" i="2"/>
  <c r="D749" i="2"/>
  <c r="N748" i="2"/>
  <c r="M748" i="2"/>
  <c r="I748" i="2"/>
  <c r="J748" i="2" s="1"/>
  <c r="L748" i="2" s="1"/>
  <c r="H748" i="2"/>
  <c r="D748" i="2"/>
  <c r="N747" i="2"/>
  <c r="M747" i="2"/>
  <c r="J747" i="2"/>
  <c r="L747" i="2" s="1"/>
  <c r="I747" i="2"/>
  <c r="H747" i="2"/>
  <c r="D747" i="2"/>
  <c r="N746" i="2"/>
  <c r="M746" i="2"/>
  <c r="I746" i="2"/>
  <c r="H746" i="2"/>
  <c r="J746" i="2" s="1"/>
  <c r="L746" i="2" s="1"/>
  <c r="D746" i="2"/>
  <c r="N745" i="2"/>
  <c r="M745" i="2"/>
  <c r="J745" i="2"/>
  <c r="L745" i="2" s="1"/>
  <c r="I745" i="2"/>
  <c r="H745" i="2"/>
  <c r="D745" i="2"/>
  <c r="N744" i="2"/>
  <c r="M744" i="2"/>
  <c r="I744" i="2"/>
  <c r="J744" i="2" s="1"/>
  <c r="L744" i="2" s="1"/>
  <c r="H744" i="2"/>
  <c r="D744" i="2"/>
  <c r="N743" i="2"/>
  <c r="M743" i="2"/>
  <c r="J743" i="2"/>
  <c r="L743" i="2" s="1"/>
  <c r="I743" i="2"/>
  <c r="H743" i="2"/>
  <c r="D743" i="2"/>
  <c r="N742" i="2"/>
  <c r="M742" i="2"/>
  <c r="I742" i="2"/>
  <c r="H742" i="2"/>
  <c r="J742" i="2" s="1"/>
  <c r="L742" i="2" s="1"/>
  <c r="D742" i="2"/>
  <c r="N741" i="2"/>
  <c r="M741" i="2"/>
  <c r="J741" i="2"/>
  <c r="L741" i="2" s="1"/>
  <c r="I741" i="2"/>
  <c r="H741" i="2"/>
  <c r="D741" i="2"/>
  <c r="N740" i="2"/>
  <c r="M740" i="2"/>
  <c r="I740" i="2"/>
  <c r="J740" i="2" s="1"/>
  <c r="L740" i="2" s="1"/>
  <c r="H740" i="2"/>
  <c r="D740" i="2"/>
  <c r="N739" i="2"/>
  <c r="M739" i="2"/>
  <c r="J739" i="2"/>
  <c r="L739" i="2" s="1"/>
  <c r="I739" i="2"/>
  <c r="H739" i="2"/>
  <c r="D739" i="2"/>
  <c r="N738" i="2"/>
  <c r="M738" i="2"/>
  <c r="I738" i="2"/>
  <c r="H738" i="2"/>
  <c r="J738" i="2" s="1"/>
  <c r="L738" i="2" s="1"/>
  <c r="D738" i="2"/>
  <c r="N737" i="2"/>
  <c r="M737" i="2"/>
  <c r="I737" i="2"/>
  <c r="H737" i="2"/>
  <c r="J737" i="2" s="1"/>
  <c r="L737" i="2" s="1"/>
  <c r="D737" i="2"/>
  <c r="N736" i="2"/>
  <c r="M736" i="2"/>
  <c r="J736" i="2"/>
  <c r="L736" i="2" s="1"/>
  <c r="I736" i="2"/>
  <c r="H736" i="2"/>
  <c r="D736" i="2"/>
  <c r="N735" i="2"/>
  <c r="M735" i="2"/>
  <c r="I735" i="2"/>
  <c r="H735" i="2"/>
  <c r="J735" i="2" s="1"/>
  <c r="L735" i="2" s="1"/>
  <c r="D735" i="2"/>
  <c r="N734" i="2"/>
  <c r="M734" i="2"/>
  <c r="I734" i="2"/>
  <c r="H734" i="2"/>
  <c r="D734" i="2"/>
  <c r="N733" i="2"/>
  <c r="M733" i="2"/>
  <c r="J733" i="2"/>
  <c r="L733" i="2" s="1"/>
  <c r="I733" i="2"/>
  <c r="H733" i="2"/>
  <c r="D733" i="2"/>
  <c r="N732" i="2"/>
  <c r="M732" i="2"/>
  <c r="I732" i="2"/>
  <c r="J732" i="2" s="1"/>
  <c r="L732" i="2" s="1"/>
  <c r="H732" i="2"/>
  <c r="D732" i="2"/>
  <c r="N731" i="2"/>
  <c r="M731" i="2"/>
  <c r="J731" i="2"/>
  <c r="L731" i="2" s="1"/>
  <c r="I731" i="2"/>
  <c r="H731" i="2"/>
  <c r="D731" i="2"/>
  <c r="N730" i="2"/>
  <c r="M730" i="2"/>
  <c r="I730" i="2"/>
  <c r="H730" i="2"/>
  <c r="J730" i="2" s="1"/>
  <c r="L730" i="2" s="1"/>
  <c r="D730" i="2"/>
  <c r="N729" i="2"/>
  <c r="M729" i="2"/>
  <c r="I729" i="2"/>
  <c r="H729" i="2"/>
  <c r="J729" i="2" s="1"/>
  <c r="L729" i="2" s="1"/>
  <c r="D729" i="2"/>
  <c r="N728" i="2"/>
  <c r="M728" i="2"/>
  <c r="J728" i="2"/>
  <c r="L728" i="2" s="1"/>
  <c r="I728" i="2"/>
  <c r="H728" i="2"/>
  <c r="D728" i="2"/>
  <c r="N727" i="2"/>
  <c r="M727" i="2"/>
  <c r="I727" i="2"/>
  <c r="H727" i="2"/>
  <c r="J727" i="2" s="1"/>
  <c r="L727" i="2" s="1"/>
  <c r="D727" i="2"/>
  <c r="N726" i="2"/>
  <c r="M726" i="2"/>
  <c r="I726" i="2"/>
  <c r="H726" i="2"/>
  <c r="D726" i="2"/>
  <c r="N725" i="2"/>
  <c r="M725" i="2"/>
  <c r="J725" i="2"/>
  <c r="L725" i="2" s="1"/>
  <c r="I725" i="2"/>
  <c r="H725" i="2"/>
  <c r="D725" i="2"/>
  <c r="N724" i="2"/>
  <c r="M724" i="2"/>
  <c r="I724" i="2"/>
  <c r="J724" i="2" s="1"/>
  <c r="L724" i="2" s="1"/>
  <c r="H724" i="2"/>
  <c r="D724" i="2"/>
  <c r="N723" i="2"/>
  <c r="M723" i="2"/>
  <c r="J723" i="2"/>
  <c r="L723" i="2" s="1"/>
  <c r="I723" i="2"/>
  <c r="H723" i="2"/>
  <c r="D723" i="2"/>
  <c r="N722" i="2"/>
  <c r="M722" i="2"/>
  <c r="I722" i="2"/>
  <c r="H722" i="2"/>
  <c r="J722" i="2" s="1"/>
  <c r="L722" i="2" s="1"/>
  <c r="D722" i="2"/>
  <c r="N721" i="2"/>
  <c r="M721" i="2"/>
  <c r="I721" i="2"/>
  <c r="H721" i="2"/>
  <c r="J721" i="2" s="1"/>
  <c r="L721" i="2" s="1"/>
  <c r="D721" i="2"/>
  <c r="N720" i="2"/>
  <c r="M720" i="2"/>
  <c r="J720" i="2"/>
  <c r="L720" i="2" s="1"/>
  <c r="I720" i="2"/>
  <c r="H720" i="2"/>
  <c r="D720" i="2"/>
  <c r="N719" i="2"/>
  <c r="M719" i="2"/>
  <c r="I719" i="2"/>
  <c r="H719" i="2"/>
  <c r="J719" i="2" s="1"/>
  <c r="L719" i="2" s="1"/>
  <c r="D719" i="2"/>
  <c r="N718" i="2"/>
  <c r="M718" i="2"/>
  <c r="I718" i="2"/>
  <c r="H718" i="2"/>
  <c r="D718" i="2"/>
  <c r="N717" i="2"/>
  <c r="M717" i="2"/>
  <c r="J717" i="2"/>
  <c r="L717" i="2" s="1"/>
  <c r="I717" i="2"/>
  <c r="H717" i="2"/>
  <c r="D717" i="2"/>
  <c r="N716" i="2"/>
  <c r="M716" i="2"/>
  <c r="I716" i="2"/>
  <c r="J716" i="2" s="1"/>
  <c r="L716" i="2" s="1"/>
  <c r="H716" i="2"/>
  <c r="D716" i="2"/>
  <c r="N715" i="2"/>
  <c r="M715" i="2"/>
  <c r="J715" i="2"/>
  <c r="L715" i="2" s="1"/>
  <c r="I715" i="2"/>
  <c r="H715" i="2"/>
  <c r="D715" i="2"/>
  <c r="N714" i="2"/>
  <c r="M714" i="2"/>
  <c r="I714" i="2"/>
  <c r="H714" i="2"/>
  <c r="J714" i="2" s="1"/>
  <c r="L714" i="2" s="1"/>
  <c r="D714" i="2"/>
  <c r="N713" i="2"/>
  <c r="M713" i="2"/>
  <c r="I713" i="2"/>
  <c r="H713" i="2"/>
  <c r="J713" i="2" s="1"/>
  <c r="L713" i="2" s="1"/>
  <c r="D713" i="2"/>
  <c r="N712" i="2"/>
  <c r="M712" i="2"/>
  <c r="J712" i="2"/>
  <c r="L712" i="2" s="1"/>
  <c r="I712" i="2"/>
  <c r="H712" i="2"/>
  <c r="D712" i="2"/>
  <c r="N711" i="2"/>
  <c r="M711" i="2"/>
  <c r="I711" i="2"/>
  <c r="H711" i="2"/>
  <c r="J711" i="2" s="1"/>
  <c r="L711" i="2" s="1"/>
  <c r="D711" i="2"/>
  <c r="N710" i="2"/>
  <c r="M710" i="2"/>
  <c r="I710" i="2"/>
  <c r="H710" i="2"/>
  <c r="D710" i="2"/>
  <c r="N709" i="2"/>
  <c r="M709" i="2"/>
  <c r="I709" i="2"/>
  <c r="J709" i="2" s="1"/>
  <c r="L709" i="2" s="1"/>
  <c r="H709" i="2"/>
  <c r="D709" i="2"/>
  <c r="N708" i="2"/>
  <c r="M708" i="2"/>
  <c r="I708" i="2"/>
  <c r="H708" i="2"/>
  <c r="J708" i="2" s="1"/>
  <c r="L708" i="2" s="1"/>
  <c r="D708" i="2"/>
  <c r="N707" i="2"/>
  <c r="M707" i="2"/>
  <c r="I707" i="2"/>
  <c r="H707" i="2"/>
  <c r="J707" i="2" s="1"/>
  <c r="L707" i="2" s="1"/>
  <c r="D707" i="2"/>
  <c r="N706" i="2"/>
  <c r="M706" i="2"/>
  <c r="J706" i="2"/>
  <c r="L706" i="2" s="1"/>
  <c r="I706" i="2"/>
  <c r="H706" i="2"/>
  <c r="D706" i="2"/>
  <c r="N705" i="2"/>
  <c r="M705" i="2"/>
  <c r="I705" i="2"/>
  <c r="J705" i="2" s="1"/>
  <c r="L705" i="2" s="1"/>
  <c r="H705" i="2"/>
  <c r="D705" i="2"/>
  <c r="N704" i="2"/>
  <c r="M704" i="2"/>
  <c r="I704" i="2"/>
  <c r="H704" i="2"/>
  <c r="J704" i="2" s="1"/>
  <c r="L704" i="2" s="1"/>
  <c r="D704" i="2"/>
  <c r="N703" i="2"/>
  <c r="M703" i="2"/>
  <c r="I703" i="2"/>
  <c r="H703" i="2"/>
  <c r="J703" i="2" s="1"/>
  <c r="L703" i="2" s="1"/>
  <c r="D703" i="2"/>
  <c r="N702" i="2"/>
  <c r="M702" i="2"/>
  <c r="J702" i="2"/>
  <c r="L702" i="2" s="1"/>
  <c r="I702" i="2"/>
  <c r="H702" i="2"/>
  <c r="D702" i="2"/>
  <c r="N701" i="2"/>
  <c r="M701" i="2"/>
  <c r="I701" i="2"/>
  <c r="J701" i="2" s="1"/>
  <c r="L701" i="2" s="1"/>
  <c r="H701" i="2"/>
  <c r="D701" i="2"/>
  <c r="N700" i="2"/>
  <c r="M700" i="2"/>
  <c r="I700" i="2"/>
  <c r="H700" i="2"/>
  <c r="J700" i="2" s="1"/>
  <c r="L700" i="2" s="1"/>
  <c r="D700" i="2"/>
  <c r="N699" i="2"/>
  <c r="M699" i="2"/>
  <c r="I699" i="2"/>
  <c r="H699" i="2"/>
  <c r="J699" i="2" s="1"/>
  <c r="L699" i="2" s="1"/>
  <c r="D699" i="2"/>
  <c r="N698" i="2"/>
  <c r="M698" i="2"/>
  <c r="J698" i="2"/>
  <c r="L698" i="2" s="1"/>
  <c r="I698" i="2"/>
  <c r="H698" i="2"/>
  <c r="D698" i="2"/>
  <c r="N697" i="2"/>
  <c r="M697" i="2"/>
  <c r="I697" i="2"/>
  <c r="J697" i="2" s="1"/>
  <c r="L697" i="2" s="1"/>
  <c r="H697" i="2"/>
  <c r="D697" i="2"/>
  <c r="N696" i="2"/>
  <c r="M696" i="2"/>
  <c r="I696" i="2"/>
  <c r="H696" i="2"/>
  <c r="J696" i="2" s="1"/>
  <c r="L696" i="2" s="1"/>
  <c r="D696" i="2"/>
  <c r="N695" i="2"/>
  <c r="M695" i="2"/>
  <c r="I695" i="2"/>
  <c r="H695" i="2"/>
  <c r="J695" i="2" s="1"/>
  <c r="L695" i="2" s="1"/>
  <c r="D695" i="2"/>
  <c r="N694" i="2"/>
  <c r="M694" i="2"/>
  <c r="J694" i="2"/>
  <c r="L694" i="2" s="1"/>
  <c r="I694" i="2"/>
  <c r="H694" i="2"/>
  <c r="D694" i="2"/>
  <c r="N693" i="2"/>
  <c r="M693" i="2"/>
  <c r="I693" i="2"/>
  <c r="J693" i="2" s="1"/>
  <c r="L693" i="2" s="1"/>
  <c r="H693" i="2"/>
  <c r="D693" i="2"/>
  <c r="N692" i="2"/>
  <c r="M692" i="2"/>
  <c r="I692" i="2"/>
  <c r="H692" i="2"/>
  <c r="J692" i="2" s="1"/>
  <c r="L692" i="2" s="1"/>
  <c r="D692" i="2"/>
  <c r="N691" i="2"/>
  <c r="M691" i="2"/>
  <c r="I691" i="2"/>
  <c r="H691" i="2"/>
  <c r="J691" i="2" s="1"/>
  <c r="L691" i="2" s="1"/>
  <c r="D691" i="2"/>
  <c r="N690" i="2"/>
  <c r="M690" i="2"/>
  <c r="J690" i="2"/>
  <c r="L690" i="2" s="1"/>
  <c r="I690" i="2"/>
  <c r="H690" i="2"/>
  <c r="D690" i="2"/>
  <c r="N689" i="2"/>
  <c r="M689" i="2"/>
  <c r="I689" i="2"/>
  <c r="J689" i="2" s="1"/>
  <c r="L689" i="2" s="1"/>
  <c r="H689" i="2"/>
  <c r="D689" i="2"/>
  <c r="N688" i="2"/>
  <c r="M688" i="2"/>
  <c r="I688" i="2"/>
  <c r="H688" i="2"/>
  <c r="J688" i="2" s="1"/>
  <c r="L688" i="2" s="1"/>
  <c r="D688" i="2"/>
  <c r="N687" i="2"/>
  <c r="M687" i="2"/>
  <c r="I687" i="2"/>
  <c r="H687" i="2"/>
  <c r="J687" i="2" s="1"/>
  <c r="L687" i="2" s="1"/>
  <c r="D687" i="2"/>
  <c r="N686" i="2"/>
  <c r="M686" i="2"/>
  <c r="J686" i="2"/>
  <c r="L686" i="2" s="1"/>
  <c r="I686" i="2"/>
  <c r="H686" i="2"/>
  <c r="D686" i="2"/>
  <c r="N685" i="2"/>
  <c r="M685" i="2"/>
  <c r="I685" i="2"/>
  <c r="J685" i="2" s="1"/>
  <c r="L685" i="2" s="1"/>
  <c r="H685" i="2"/>
  <c r="D685" i="2"/>
  <c r="N684" i="2"/>
  <c r="M684" i="2"/>
  <c r="I684" i="2"/>
  <c r="H684" i="2"/>
  <c r="J684" i="2" s="1"/>
  <c r="L684" i="2" s="1"/>
  <c r="D684" i="2"/>
  <c r="N683" i="2"/>
  <c r="M683" i="2"/>
  <c r="I683" i="2"/>
  <c r="H683" i="2"/>
  <c r="J683" i="2" s="1"/>
  <c r="L683" i="2" s="1"/>
  <c r="D683" i="2"/>
  <c r="N682" i="2"/>
  <c r="M682" i="2"/>
  <c r="J682" i="2"/>
  <c r="L682" i="2" s="1"/>
  <c r="I682" i="2"/>
  <c r="H682" i="2"/>
  <c r="D682" i="2"/>
  <c r="N681" i="2"/>
  <c r="M681" i="2"/>
  <c r="I681" i="2"/>
  <c r="J681" i="2" s="1"/>
  <c r="L681" i="2" s="1"/>
  <c r="H681" i="2"/>
  <c r="D681" i="2"/>
  <c r="N680" i="2"/>
  <c r="M680" i="2"/>
  <c r="I680" i="2"/>
  <c r="H680" i="2"/>
  <c r="J680" i="2" s="1"/>
  <c r="L680" i="2" s="1"/>
  <c r="D680" i="2"/>
  <c r="N679" i="2"/>
  <c r="M679" i="2"/>
  <c r="I679" i="2"/>
  <c r="H679" i="2"/>
  <c r="J679" i="2" s="1"/>
  <c r="L679" i="2" s="1"/>
  <c r="D679" i="2"/>
  <c r="N678" i="2"/>
  <c r="M678" i="2"/>
  <c r="J678" i="2"/>
  <c r="L678" i="2" s="1"/>
  <c r="I678" i="2"/>
  <c r="H678" i="2"/>
  <c r="D678" i="2"/>
  <c r="N677" i="2"/>
  <c r="M677" i="2"/>
  <c r="I677" i="2"/>
  <c r="J677" i="2" s="1"/>
  <c r="L677" i="2" s="1"/>
  <c r="H677" i="2"/>
  <c r="D677" i="2"/>
  <c r="N676" i="2"/>
  <c r="M676" i="2"/>
  <c r="I676" i="2"/>
  <c r="H676" i="2"/>
  <c r="J676" i="2" s="1"/>
  <c r="L676" i="2" s="1"/>
  <c r="D676" i="2"/>
  <c r="N675" i="2"/>
  <c r="M675" i="2"/>
  <c r="I675" i="2"/>
  <c r="H675" i="2"/>
  <c r="J675" i="2" s="1"/>
  <c r="L675" i="2" s="1"/>
  <c r="D675" i="2"/>
  <c r="N674" i="2"/>
  <c r="M674" i="2"/>
  <c r="J674" i="2"/>
  <c r="L674" i="2" s="1"/>
  <c r="I674" i="2"/>
  <c r="H674" i="2"/>
  <c r="D674" i="2"/>
  <c r="N673" i="2"/>
  <c r="M673" i="2"/>
  <c r="I673" i="2"/>
  <c r="J673" i="2" s="1"/>
  <c r="L673" i="2" s="1"/>
  <c r="H673" i="2"/>
  <c r="D673" i="2"/>
  <c r="N672" i="2"/>
  <c r="M672" i="2"/>
  <c r="I672" i="2"/>
  <c r="H672" i="2"/>
  <c r="J672" i="2" s="1"/>
  <c r="L672" i="2" s="1"/>
  <c r="D672" i="2"/>
  <c r="N671" i="2"/>
  <c r="M671" i="2"/>
  <c r="I671" i="2"/>
  <c r="H671" i="2"/>
  <c r="J671" i="2" s="1"/>
  <c r="L671" i="2" s="1"/>
  <c r="D671" i="2"/>
  <c r="N670" i="2"/>
  <c r="M670" i="2"/>
  <c r="J670" i="2"/>
  <c r="L670" i="2" s="1"/>
  <c r="I670" i="2"/>
  <c r="H670" i="2"/>
  <c r="D670" i="2"/>
  <c r="N669" i="2"/>
  <c r="M669" i="2"/>
  <c r="I669" i="2"/>
  <c r="J669" i="2" s="1"/>
  <c r="L669" i="2" s="1"/>
  <c r="H669" i="2"/>
  <c r="D669" i="2"/>
  <c r="N668" i="2"/>
  <c r="M668" i="2"/>
  <c r="I668" i="2"/>
  <c r="H668" i="2"/>
  <c r="J668" i="2" s="1"/>
  <c r="L668" i="2" s="1"/>
  <c r="D668" i="2"/>
  <c r="N667" i="2"/>
  <c r="M667" i="2"/>
  <c r="I667" i="2"/>
  <c r="H667" i="2"/>
  <c r="J667" i="2" s="1"/>
  <c r="L667" i="2" s="1"/>
  <c r="D667" i="2"/>
  <c r="N666" i="2"/>
  <c r="M666" i="2"/>
  <c r="J666" i="2"/>
  <c r="L666" i="2" s="1"/>
  <c r="I666" i="2"/>
  <c r="H666" i="2"/>
  <c r="D666" i="2"/>
  <c r="N665" i="2"/>
  <c r="M665" i="2"/>
  <c r="I665" i="2"/>
  <c r="J665" i="2" s="1"/>
  <c r="L665" i="2" s="1"/>
  <c r="H665" i="2"/>
  <c r="D665" i="2"/>
  <c r="N664" i="2"/>
  <c r="M664" i="2"/>
  <c r="I664" i="2"/>
  <c r="H664" i="2"/>
  <c r="J664" i="2" s="1"/>
  <c r="L664" i="2" s="1"/>
  <c r="D664" i="2"/>
  <c r="N663" i="2"/>
  <c r="M663" i="2"/>
  <c r="I663" i="2"/>
  <c r="H663" i="2"/>
  <c r="J663" i="2" s="1"/>
  <c r="L663" i="2" s="1"/>
  <c r="D663" i="2"/>
  <c r="N662" i="2"/>
  <c r="M662" i="2"/>
  <c r="J662" i="2"/>
  <c r="L662" i="2" s="1"/>
  <c r="I662" i="2"/>
  <c r="H662" i="2"/>
  <c r="D662" i="2"/>
  <c r="N661" i="2"/>
  <c r="M661" i="2"/>
  <c r="I661" i="2"/>
  <c r="J661" i="2" s="1"/>
  <c r="L661" i="2" s="1"/>
  <c r="H661" i="2"/>
  <c r="D661" i="2"/>
  <c r="N660" i="2"/>
  <c r="M660" i="2"/>
  <c r="I660" i="2"/>
  <c r="H660" i="2"/>
  <c r="J660" i="2" s="1"/>
  <c r="L660" i="2" s="1"/>
  <c r="D660" i="2"/>
  <c r="N659" i="2"/>
  <c r="M659" i="2"/>
  <c r="I659" i="2"/>
  <c r="H659" i="2"/>
  <c r="J659" i="2" s="1"/>
  <c r="L659" i="2" s="1"/>
  <c r="D659" i="2"/>
  <c r="N658" i="2"/>
  <c r="M658" i="2"/>
  <c r="J658" i="2"/>
  <c r="L658" i="2" s="1"/>
  <c r="I658" i="2"/>
  <c r="H658" i="2"/>
  <c r="D658" i="2"/>
  <c r="N657" i="2"/>
  <c r="M657" i="2"/>
  <c r="I657" i="2"/>
  <c r="J657" i="2" s="1"/>
  <c r="L657" i="2" s="1"/>
  <c r="H657" i="2"/>
  <c r="D657" i="2"/>
  <c r="N656" i="2"/>
  <c r="M656" i="2"/>
  <c r="I656" i="2"/>
  <c r="H656" i="2"/>
  <c r="J656" i="2" s="1"/>
  <c r="L656" i="2" s="1"/>
  <c r="D656" i="2"/>
  <c r="N655" i="2"/>
  <c r="M655" i="2"/>
  <c r="I655" i="2"/>
  <c r="H655" i="2"/>
  <c r="J655" i="2" s="1"/>
  <c r="L655" i="2" s="1"/>
  <c r="D655" i="2"/>
  <c r="N654" i="2"/>
  <c r="M654" i="2"/>
  <c r="J654" i="2"/>
  <c r="L654" i="2" s="1"/>
  <c r="I654" i="2"/>
  <c r="H654" i="2"/>
  <c r="D654" i="2"/>
  <c r="N653" i="2"/>
  <c r="M653" i="2"/>
  <c r="I653" i="2"/>
  <c r="J653" i="2" s="1"/>
  <c r="L653" i="2" s="1"/>
  <c r="H653" i="2"/>
  <c r="D653" i="2"/>
  <c r="N652" i="2"/>
  <c r="M652" i="2"/>
  <c r="I652" i="2"/>
  <c r="H652" i="2"/>
  <c r="J652" i="2" s="1"/>
  <c r="L652" i="2" s="1"/>
  <c r="D652" i="2"/>
  <c r="N651" i="2"/>
  <c r="M651" i="2"/>
  <c r="I651" i="2"/>
  <c r="H651" i="2"/>
  <c r="J651" i="2" s="1"/>
  <c r="L651" i="2" s="1"/>
  <c r="D651" i="2"/>
  <c r="N650" i="2"/>
  <c r="M650" i="2"/>
  <c r="J650" i="2"/>
  <c r="L650" i="2" s="1"/>
  <c r="I650" i="2"/>
  <c r="H650" i="2"/>
  <c r="D650" i="2"/>
  <c r="N649" i="2"/>
  <c r="M649" i="2"/>
  <c r="I649" i="2"/>
  <c r="J649" i="2" s="1"/>
  <c r="L649" i="2" s="1"/>
  <c r="H649" i="2"/>
  <c r="D649" i="2"/>
  <c r="N648" i="2"/>
  <c r="M648" i="2"/>
  <c r="I648" i="2"/>
  <c r="H648" i="2"/>
  <c r="J648" i="2" s="1"/>
  <c r="L648" i="2" s="1"/>
  <c r="D648" i="2"/>
  <c r="N647" i="2"/>
  <c r="M647" i="2"/>
  <c r="I647" i="2"/>
  <c r="H647" i="2"/>
  <c r="J647" i="2" s="1"/>
  <c r="L647" i="2" s="1"/>
  <c r="D647" i="2"/>
  <c r="N646" i="2"/>
  <c r="M646" i="2"/>
  <c r="J646" i="2"/>
  <c r="L646" i="2" s="1"/>
  <c r="I646" i="2"/>
  <c r="H646" i="2"/>
  <c r="D646" i="2"/>
  <c r="N645" i="2"/>
  <c r="M645" i="2"/>
  <c r="I645" i="2"/>
  <c r="J645" i="2" s="1"/>
  <c r="L645" i="2" s="1"/>
  <c r="H645" i="2"/>
  <c r="D645" i="2"/>
  <c r="N644" i="2"/>
  <c r="M644" i="2"/>
  <c r="I644" i="2"/>
  <c r="H644" i="2"/>
  <c r="J644" i="2" s="1"/>
  <c r="L644" i="2" s="1"/>
  <c r="D644" i="2"/>
  <c r="N643" i="2"/>
  <c r="M643" i="2"/>
  <c r="I643" i="2"/>
  <c r="H643" i="2"/>
  <c r="J643" i="2" s="1"/>
  <c r="L643" i="2" s="1"/>
  <c r="D643" i="2"/>
  <c r="N642" i="2"/>
  <c r="M642" i="2"/>
  <c r="J642" i="2"/>
  <c r="L642" i="2" s="1"/>
  <c r="I642" i="2"/>
  <c r="H642" i="2"/>
  <c r="D642" i="2"/>
  <c r="N641" i="2"/>
  <c r="M641" i="2"/>
  <c r="I641" i="2"/>
  <c r="J641" i="2" s="1"/>
  <c r="L641" i="2" s="1"/>
  <c r="H641" i="2"/>
  <c r="D641" i="2"/>
  <c r="N640" i="2"/>
  <c r="M640" i="2"/>
  <c r="I640" i="2"/>
  <c r="H640" i="2"/>
  <c r="J640" i="2" s="1"/>
  <c r="L640" i="2" s="1"/>
  <c r="D640" i="2"/>
  <c r="N639" i="2"/>
  <c r="M639" i="2"/>
  <c r="I639" i="2"/>
  <c r="H639" i="2"/>
  <c r="J639" i="2" s="1"/>
  <c r="L639" i="2" s="1"/>
  <c r="D639" i="2"/>
  <c r="N638" i="2"/>
  <c r="M638" i="2"/>
  <c r="J638" i="2"/>
  <c r="L638" i="2" s="1"/>
  <c r="I638" i="2"/>
  <c r="H638" i="2"/>
  <c r="D638" i="2"/>
  <c r="N637" i="2"/>
  <c r="M637" i="2"/>
  <c r="I637" i="2"/>
  <c r="J637" i="2" s="1"/>
  <c r="L637" i="2" s="1"/>
  <c r="H637" i="2"/>
  <c r="D637" i="2"/>
  <c r="N636" i="2"/>
  <c r="M636" i="2"/>
  <c r="I636" i="2"/>
  <c r="H636" i="2"/>
  <c r="J636" i="2" s="1"/>
  <c r="L636" i="2" s="1"/>
  <c r="D636" i="2"/>
  <c r="N635" i="2"/>
  <c r="M635" i="2"/>
  <c r="I635" i="2"/>
  <c r="H635" i="2"/>
  <c r="J635" i="2" s="1"/>
  <c r="L635" i="2" s="1"/>
  <c r="D635" i="2"/>
  <c r="N634" i="2"/>
  <c r="M634" i="2"/>
  <c r="J634" i="2"/>
  <c r="L634" i="2" s="1"/>
  <c r="I634" i="2"/>
  <c r="H634" i="2"/>
  <c r="D634" i="2"/>
  <c r="N633" i="2"/>
  <c r="M633" i="2"/>
  <c r="I633" i="2"/>
  <c r="J633" i="2" s="1"/>
  <c r="L633" i="2" s="1"/>
  <c r="H633" i="2"/>
  <c r="D633" i="2"/>
  <c r="N632" i="2"/>
  <c r="M632" i="2"/>
  <c r="I632" i="2"/>
  <c r="H632" i="2"/>
  <c r="J632" i="2" s="1"/>
  <c r="L632" i="2" s="1"/>
  <c r="D632" i="2"/>
  <c r="N631" i="2"/>
  <c r="M631" i="2"/>
  <c r="I631" i="2"/>
  <c r="H631" i="2"/>
  <c r="J631" i="2" s="1"/>
  <c r="L631" i="2" s="1"/>
  <c r="D631" i="2"/>
  <c r="N630" i="2"/>
  <c r="M630" i="2"/>
  <c r="J630" i="2"/>
  <c r="L630" i="2" s="1"/>
  <c r="I630" i="2"/>
  <c r="H630" i="2"/>
  <c r="D630" i="2"/>
  <c r="N629" i="2"/>
  <c r="M629" i="2"/>
  <c r="I629" i="2"/>
  <c r="J629" i="2" s="1"/>
  <c r="L629" i="2" s="1"/>
  <c r="H629" i="2"/>
  <c r="D629" i="2"/>
  <c r="N628" i="2"/>
  <c r="M628" i="2"/>
  <c r="I628" i="2"/>
  <c r="H628" i="2"/>
  <c r="J628" i="2" s="1"/>
  <c r="L628" i="2" s="1"/>
  <c r="D628" i="2"/>
  <c r="N627" i="2"/>
  <c r="M627" i="2"/>
  <c r="I627" i="2"/>
  <c r="H627" i="2"/>
  <c r="J627" i="2" s="1"/>
  <c r="L627" i="2" s="1"/>
  <c r="D627" i="2"/>
  <c r="N626" i="2"/>
  <c r="M626" i="2"/>
  <c r="J626" i="2"/>
  <c r="L626" i="2" s="1"/>
  <c r="I626" i="2"/>
  <c r="H626" i="2"/>
  <c r="D626" i="2"/>
  <c r="N625" i="2"/>
  <c r="M625" i="2"/>
  <c r="I625" i="2"/>
  <c r="J625" i="2" s="1"/>
  <c r="L625" i="2" s="1"/>
  <c r="H625" i="2"/>
  <c r="D625" i="2"/>
  <c r="N624" i="2"/>
  <c r="M624" i="2"/>
  <c r="I624" i="2"/>
  <c r="H624" i="2"/>
  <c r="J624" i="2" s="1"/>
  <c r="L624" i="2" s="1"/>
  <c r="D624" i="2"/>
  <c r="N623" i="2"/>
  <c r="M623" i="2"/>
  <c r="I623" i="2"/>
  <c r="H623" i="2"/>
  <c r="J623" i="2" s="1"/>
  <c r="L623" i="2" s="1"/>
  <c r="D623" i="2"/>
  <c r="N622" i="2"/>
  <c r="M622" i="2"/>
  <c r="J622" i="2"/>
  <c r="L622" i="2" s="1"/>
  <c r="I622" i="2"/>
  <c r="H622" i="2"/>
  <c r="D622" i="2"/>
  <c r="N621" i="2"/>
  <c r="M621" i="2"/>
  <c r="I621" i="2"/>
  <c r="J621" i="2" s="1"/>
  <c r="L621" i="2" s="1"/>
  <c r="H621" i="2"/>
  <c r="D621" i="2"/>
  <c r="N620" i="2"/>
  <c r="M620" i="2"/>
  <c r="I620" i="2"/>
  <c r="H620" i="2"/>
  <c r="J620" i="2" s="1"/>
  <c r="L620" i="2" s="1"/>
  <c r="D620" i="2"/>
  <c r="N619" i="2"/>
  <c r="M619" i="2"/>
  <c r="I619" i="2"/>
  <c r="H619" i="2"/>
  <c r="J619" i="2" s="1"/>
  <c r="L619" i="2" s="1"/>
  <c r="D619" i="2"/>
  <c r="N618" i="2"/>
  <c r="M618" i="2"/>
  <c r="J618" i="2"/>
  <c r="L618" i="2" s="1"/>
  <c r="I618" i="2"/>
  <c r="H618" i="2"/>
  <c r="D618" i="2"/>
  <c r="N617" i="2"/>
  <c r="M617" i="2"/>
  <c r="I617" i="2"/>
  <c r="J617" i="2" s="1"/>
  <c r="L617" i="2" s="1"/>
  <c r="H617" i="2"/>
  <c r="D617" i="2"/>
  <c r="N616" i="2"/>
  <c r="M616" i="2"/>
  <c r="I616" i="2"/>
  <c r="H616" i="2"/>
  <c r="J616" i="2" s="1"/>
  <c r="L616" i="2" s="1"/>
  <c r="D616" i="2"/>
  <c r="N615" i="2"/>
  <c r="M615" i="2"/>
  <c r="I615" i="2"/>
  <c r="H615" i="2"/>
  <c r="J615" i="2" s="1"/>
  <c r="L615" i="2" s="1"/>
  <c r="D615" i="2"/>
  <c r="N614" i="2"/>
  <c r="M614" i="2"/>
  <c r="J614" i="2"/>
  <c r="L614" i="2" s="1"/>
  <c r="I614" i="2"/>
  <c r="H614" i="2"/>
  <c r="D614" i="2"/>
  <c r="N613" i="2"/>
  <c r="M613" i="2"/>
  <c r="I613" i="2"/>
  <c r="J613" i="2" s="1"/>
  <c r="L613" i="2" s="1"/>
  <c r="H613" i="2"/>
  <c r="D613" i="2"/>
  <c r="N612" i="2"/>
  <c r="M612" i="2"/>
  <c r="I612" i="2"/>
  <c r="H612" i="2"/>
  <c r="J612" i="2" s="1"/>
  <c r="L612" i="2" s="1"/>
  <c r="D612" i="2"/>
  <c r="N611" i="2"/>
  <c r="M611" i="2"/>
  <c r="I611" i="2"/>
  <c r="H611" i="2"/>
  <c r="J611" i="2" s="1"/>
  <c r="L611" i="2" s="1"/>
  <c r="D611" i="2"/>
  <c r="N610" i="2"/>
  <c r="M610" i="2"/>
  <c r="J610" i="2"/>
  <c r="L610" i="2" s="1"/>
  <c r="I610" i="2"/>
  <c r="H610" i="2"/>
  <c r="D610" i="2"/>
  <c r="N609" i="2"/>
  <c r="M609" i="2"/>
  <c r="I609" i="2"/>
  <c r="J609" i="2" s="1"/>
  <c r="L609" i="2" s="1"/>
  <c r="H609" i="2"/>
  <c r="D609" i="2"/>
  <c r="N608" i="2"/>
  <c r="M608" i="2"/>
  <c r="I608" i="2"/>
  <c r="H608" i="2"/>
  <c r="J608" i="2" s="1"/>
  <c r="L608" i="2" s="1"/>
  <c r="D608" i="2"/>
  <c r="N607" i="2"/>
  <c r="M607" i="2"/>
  <c r="I607" i="2"/>
  <c r="H607" i="2"/>
  <c r="J607" i="2" s="1"/>
  <c r="L607" i="2" s="1"/>
  <c r="D607" i="2"/>
  <c r="N606" i="2"/>
  <c r="M606" i="2"/>
  <c r="J606" i="2"/>
  <c r="L606" i="2" s="1"/>
  <c r="I606" i="2"/>
  <c r="H606" i="2"/>
  <c r="D606" i="2"/>
  <c r="N605" i="2"/>
  <c r="M605" i="2"/>
  <c r="I605" i="2"/>
  <c r="J605" i="2" s="1"/>
  <c r="L605" i="2" s="1"/>
  <c r="H605" i="2"/>
  <c r="D605" i="2"/>
  <c r="N604" i="2"/>
  <c r="M604" i="2"/>
  <c r="I604" i="2"/>
  <c r="H604" i="2"/>
  <c r="J604" i="2" s="1"/>
  <c r="L604" i="2" s="1"/>
  <c r="D604" i="2"/>
  <c r="N603" i="2"/>
  <c r="M603" i="2"/>
  <c r="I603" i="2"/>
  <c r="H603" i="2"/>
  <c r="J603" i="2" s="1"/>
  <c r="L603" i="2" s="1"/>
  <c r="D603" i="2"/>
  <c r="N602" i="2"/>
  <c r="M602" i="2"/>
  <c r="J602" i="2"/>
  <c r="L602" i="2" s="1"/>
  <c r="I602" i="2"/>
  <c r="H602" i="2"/>
  <c r="D602" i="2"/>
  <c r="N601" i="2"/>
  <c r="M601" i="2"/>
  <c r="I601" i="2"/>
  <c r="J601" i="2" s="1"/>
  <c r="L601" i="2" s="1"/>
  <c r="H601" i="2"/>
  <c r="D601" i="2"/>
  <c r="N600" i="2"/>
  <c r="M600" i="2"/>
  <c r="I600" i="2"/>
  <c r="H600" i="2"/>
  <c r="J600" i="2" s="1"/>
  <c r="L600" i="2" s="1"/>
  <c r="D600" i="2"/>
  <c r="N599" i="2"/>
  <c r="M599" i="2"/>
  <c r="I599" i="2"/>
  <c r="H599" i="2"/>
  <c r="J599" i="2" s="1"/>
  <c r="L599" i="2" s="1"/>
  <c r="D599" i="2"/>
  <c r="N598" i="2"/>
  <c r="M598" i="2"/>
  <c r="J598" i="2"/>
  <c r="L598" i="2" s="1"/>
  <c r="I598" i="2"/>
  <c r="H598" i="2"/>
  <c r="D598" i="2"/>
  <c r="N597" i="2"/>
  <c r="M597" i="2"/>
  <c r="I597" i="2"/>
  <c r="J597" i="2" s="1"/>
  <c r="L597" i="2" s="1"/>
  <c r="H597" i="2"/>
  <c r="D597" i="2"/>
  <c r="N596" i="2"/>
  <c r="M596" i="2"/>
  <c r="I596" i="2"/>
  <c r="H596" i="2"/>
  <c r="J596" i="2" s="1"/>
  <c r="L596" i="2" s="1"/>
  <c r="D596" i="2"/>
  <c r="N595" i="2"/>
  <c r="M595" i="2"/>
  <c r="I595" i="2"/>
  <c r="H595" i="2"/>
  <c r="J595" i="2" s="1"/>
  <c r="L595" i="2" s="1"/>
  <c r="D595" i="2"/>
  <c r="N594" i="2"/>
  <c r="M594" i="2"/>
  <c r="J594" i="2"/>
  <c r="L594" i="2" s="1"/>
  <c r="I594" i="2"/>
  <c r="H594" i="2"/>
  <c r="D594" i="2"/>
  <c r="N593" i="2"/>
  <c r="M593" i="2"/>
  <c r="I593" i="2"/>
  <c r="J593" i="2" s="1"/>
  <c r="L593" i="2" s="1"/>
  <c r="H593" i="2"/>
  <c r="D593" i="2"/>
  <c r="N592" i="2"/>
  <c r="M592" i="2"/>
  <c r="I592" i="2"/>
  <c r="H592" i="2"/>
  <c r="J592" i="2" s="1"/>
  <c r="L592" i="2" s="1"/>
  <c r="D592" i="2"/>
  <c r="N591" i="2"/>
  <c r="M591" i="2"/>
  <c r="I591" i="2"/>
  <c r="H591" i="2"/>
  <c r="J591" i="2" s="1"/>
  <c r="L591" i="2" s="1"/>
  <c r="D591" i="2"/>
  <c r="N590" i="2"/>
  <c r="M590" i="2"/>
  <c r="J590" i="2"/>
  <c r="L590" i="2" s="1"/>
  <c r="I590" i="2"/>
  <c r="H590" i="2"/>
  <c r="D590" i="2"/>
  <c r="N589" i="2"/>
  <c r="M589" i="2"/>
  <c r="I589" i="2"/>
  <c r="J589" i="2" s="1"/>
  <c r="L589" i="2" s="1"/>
  <c r="H589" i="2"/>
  <c r="D589" i="2"/>
  <c r="N588" i="2"/>
  <c r="M588" i="2"/>
  <c r="I588" i="2"/>
  <c r="H588" i="2"/>
  <c r="J588" i="2" s="1"/>
  <c r="L588" i="2" s="1"/>
  <c r="D588" i="2"/>
  <c r="N587" i="2"/>
  <c r="M587" i="2"/>
  <c r="I587" i="2"/>
  <c r="H587" i="2"/>
  <c r="J587" i="2" s="1"/>
  <c r="L587" i="2" s="1"/>
  <c r="D587" i="2"/>
  <c r="N586" i="2"/>
  <c r="M586" i="2"/>
  <c r="J586" i="2"/>
  <c r="L586" i="2" s="1"/>
  <c r="I586" i="2"/>
  <c r="H586" i="2"/>
  <c r="D586" i="2"/>
  <c r="N585" i="2"/>
  <c r="M585" i="2"/>
  <c r="I585" i="2"/>
  <c r="J585" i="2" s="1"/>
  <c r="L585" i="2" s="1"/>
  <c r="H585" i="2"/>
  <c r="D585" i="2"/>
  <c r="N584" i="2"/>
  <c r="M584" i="2"/>
  <c r="I584" i="2"/>
  <c r="H584" i="2"/>
  <c r="J584" i="2" s="1"/>
  <c r="L584" i="2" s="1"/>
  <c r="D584" i="2"/>
  <c r="N583" i="2"/>
  <c r="M583" i="2"/>
  <c r="I583" i="2"/>
  <c r="H583" i="2"/>
  <c r="J583" i="2" s="1"/>
  <c r="L583" i="2" s="1"/>
  <c r="D583" i="2"/>
  <c r="N582" i="2"/>
  <c r="M582" i="2"/>
  <c r="J582" i="2"/>
  <c r="L582" i="2" s="1"/>
  <c r="I582" i="2"/>
  <c r="H582" i="2"/>
  <c r="D582" i="2"/>
  <c r="N581" i="2"/>
  <c r="M581" i="2"/>
  <c r="I581" i="2"/>
  <c r="J581" i="2" s="1"/>
  <c r="L581" i="2" s="1"/>
  <c r="H581" i="2"/>
  <c r="D581" i="2"/>
  <c r="N580" i="2"/>
  <c r="M580" i="2"/>
  <c r="I580" i="2"/>
  <c r="H580" i="2"/>
  <c r="J580" i="2" s="1"/>
  <c r="L580" i="2" s="1"/>
  <c r="D580" i="2"/>
  <c r="N579" i="2"/>
  <c r="M579" i="2"/>
  <c r="I579" i="2"/>
  <c r="H579" i="2"/>
  <c r="J579" i="2" s="1"/>
  <c r="L579" i="2" s="1"/>
  <c r="D579" i="2"/>
  <c r="N578" i="2"/>
  <c r="M578" i="2"/>
  <c r="J578" i="2"/>
  <c r="L578" i="2" s="1"/>
  <c r="I578" i="2"/>
  <c r="H578" i="2"/>
  <c r="D578" i="2"/>
  <c r="N577" i="2"/>
  <c r="M577" i="2"/>
  <c r="I577" i="2"/>
  <c r="J577" i="2" s="1"/>
  <c r="L577" i="2" s="1"/>
  <c r="H577" i="2"/>
  <c r="D577" i="2"/>
  <c r="N576" i="2"/>
  <c r="M576" i="2"/>
  <c r="I576" i="2"/>
  <c r="H576" i="2"/>
  <c r="J576" i="2" s="1"/>
  <c r="L576" i="2" s="1"/>
  <c r="D576" i="2"/>
  <c r="N575" i="2"/>
  <c r="M575" i="2"/>
  <c r="I575" i="2"/>
  <c r="H575" i="2"/>
  <c r="J575" i="2" s="1"/>
  <c r="L575" i="2" s="1"/>
  <c r="D575" i="2"/>
  <c r="N574" i="2"/>
  <c r="M574" i="2"/>
  <c r="J574" i="2"/>
  <c r="L574" i="2" s="1"/>
  <c r="I574" i="2"/>
  <c r="H574" i="2"/>
  <c r="D574" i="2"/>
  <c r="N573" i="2"/>
  <c r="M573" i="2"/>
  <c r="I573" i="2"/>
  <c r="J573" i="2" s="1"/>
  <c r="L573" i="2" s="1"/>
  <c r="H573" i="2"/>
  <c r="D573" i="2"/>
  <c r="N572" i="2"/>
  <c r="M572" i="2"/>
  <c r="I572" i="2"/>
  <c r="H572" i="2"/>
  <c r="J572" i="2" s="1"/>
  <c r="L572" i="2" s="1"/>
  <c r="D572" i="2"/>
  <c r="N571" i="2"/>
  <c r="M571" i="2"/>
  <c r="I571" i="2"/>
  <c r="H571" i="2"/>
  <c r="J571" i="2" s="1"/>
  <c r="L571" i="2" s="1"/>
  <c r="D571" i="2"/>
  <c r="N570" i="2"/>
  <c r="M570" i="2"/>
  <c r="J570" i="2"/>
  <c r="L570" i="2" s="1"/>
  <c r="I570" i="2"/>
  <c r="H570" i="2"/>
  <c r="D570" i="2"/>
  <c r="N569" i="2"/>
  <c r="M569" i="2"/>
  <c r="I569" i="2"/>
  <c r="J569" i="2" s="1"/>
  <c r="L569" i="2" s="1"/>
  <c r="H569" i="2"/>
  <c r="D569" i="2"/>
  <c r="N568" i="2"/>
  <c r="M568" i="2"/>
  <c r="I568" i="2"/>
  <c r="H568" i="2"/>
  <c r="J568" i="2" s="1"/>
  <c r="L568" i="2" s="1"/>
  <c r="D568" i="2"/>
  <c r="N567" i="2"/>
  <c r="M567" i="2"/>
  <c r="I567" i="2"/>
  <c r="H567" i="2"/>
  <c r="J567" i="2" s="1"/>
  <c r="L567" i="2" s="1"/>
  <c r="D567" i="2"/>
  <c r="N566" i="2"/>
  <c r="M566" i="2"/>
  <c r="J566" i="2"/>
  <c r="L566" i="2" s="1"/>
  <c r="I566" i="2"/>
  <c r="H566" i="2"/>
  <c r="D566" i="2"/>
  <c r="N565" i="2"/>
  <c r="M565" i="2"/>
  <c r="I565" i="2"/>
  <c r="J565" i="2" s="1"/>
  <c r="L565" i="2" s="1"/>
  <c r="H565" i="2"/>
  <c r="D565" i="2"/>
  <c r="N564" i="2"/>
  <c r="M564" i="2"/>
  <c r="I564" i="2"/>
  <c r="H564" i="2"/>
  <c r="J564" i="2" s="1"/>
  <c r="L564" i="2" s="1"/>
  <c r="D564" i="2"/>
  <c r="N563" i="2"/>
  <c r="M563" i="2"/>
  <c r="I563" i="2"/>
  <c r="H563" i="2"/>
  <c r="J563" i="2" s="1"/>
  <c r="L563" i="2" s="1"/>
  <c r="D563" i="2"/>
  <c r="N562" i="2"/>
  <c r="M562" i="2"/>
  <c r="J562" i="2"/>
  <c r="L562" i="2" s="1"/>
  <c r="I562" i="2"/>
  <c r="H562" i="2"/>
  <c r="D562" i="2"/>
  <c r="N561" i="2"/>
  <c r="M561" i="2"/>
  <c r="I561" i="2"/>
  <c r="J561" i="2" s="1"/>
  <c r="L561" i="2" s="1"/>
  <c r="H561" i="2"/>
  <c r="D561" i="2"/>
  <c r="N560" i="2"/>
  <c r="M560" i="2"/>
  <c r="I560" i="2"/>
  <c r="H560" i="2"/>
  <c r="J560" i="2" s="1"/>
  <c r="L560" i="2" s="1"/>
  <c r="D560" i="2"/>
  <c r="N559" i="2"/>
  <c r="M559" i="2"/>
  <c r="I559" i="2"/>
  <c r="H559" i="2"/>
  <c r="J559" i="2" s="1"/>
  <c r="L559" i="2" s="1"/>
  <c r="D559" i="2"/>
  <c r="N558" i="2"/>
  <c r="M558" i="2"/>
  <c r="J558" i="2"/>
  <c r="L558" i="2" s="1"/>
  <c r="I558" i="2"/>
  <c r="H558" i="2"/>
  <c r="D558" i="2"/>
  <c r="N557" i="2"/>
  <c r="M557" i="2"/>
  <c r="I557" i="2"/>
  <c r="J557" i="2" s="1"/>
  <c r="L557" i="2" s="1"/>
  <c r="H557" i="2"/>
  <c r="D557" i="2"/>
  <c r="N556" i="2"/>
  <c r="M556" i="2"/>
  <c r="I556" i="2"/>
  <c r="H556" i="2"/>
  <c r="J556" i="2" s="1"/>
  <c r="L556" i="2" s="1"/>
  <c r="D556" i="2"/>
  <c r="N555" i="2"/>
  <c r="M555" i="2"/>
  <c r="I555" i="2"/>
  <c r="H555" i="2"/>
  <c r="J555" i="2" s="1"/>
  <c r="L555" i="2" s="1"/>
  <c r="D555" i="2"/>
  <c r="N554" i="2"/>
  <c r="M554" i="2"/>
  <c r="J554" i="2"/>
  <c r="L554" i="2" s="1"/>
  <c r="I554" i="2"/>
  <c r="H554" i="2"/>
  <c r="D554" i="2"/>
  <c r="N553" i="2"/>
  <c r="M553" i="2"/>
  <c r="I553" i="2"/>
  <c r="J553" i="2" s="1"/>
  <c r="L553" i="2" s="1"/>
  <c r="H553" i="2"/>
  <c r="D553" i="2"/>
  <c r="N552" i="2"/>
  <c r="M552" i="2"/>
  <c r="I552" i="2"/>
  <c r="H552" i="2"/>
  <c r="J552" i="2" s="1"/>
  <c r="L552" i="2" s="1"/>
  <c r="D552" i="2"/>
  <c r="N551" i="2"/>
  <c r="M551" i="2"/>
  <c r="I551" i="2"/>
  <c r="H551" i="2"/>
  <c r="J551" i="2" s="1"/>
  <c r="L551" i="2" s="1"/>
  <c r="D551" i="2"/>
  <c r="N550" i="2"/>
  <c r="M550" i="2"/>
  <c r="J550" i="2"/>
  <c r="L550" i="2" s="1"/>
  <c r="I550" i="2"/>
  <c r="H550" i="2"/>
  <c r="D550" i="2"/>
  <c r="N549" i="2"/>
  <c r="M549" i="2"/>
  <c r="I549" i="2"/>
  <c r="J549" i="2" s="1"/>
  <c r="L549" i="2" s="1"/>
  <c r="H549" i="2"/>
  <c r="D549" i="2"/>
  <c r="N548" i="2"/>
  <c r="M548" i="2"/>
  <c r="I548" i="2"/>
  <c r="H548" i="2"/>
  <c r="J548" i="2" s="1"/>
  <c r="L548" i="2" s="1"/>
  <c r="D548" i="2"/>
  <c r="N547" i="2"/>
  <c r="M547" i="2"/>
  <c r="I547" i="2"/>
  <c r="H547" i="2"/>
  <c r="J547" i="2" s="1"/>
  <c r="L547" i="2" s="1"/>
  <c r="D547" i="2"/>
  <c r="N546" i="2"/>
  <c r="M546" i="2"/>
  <c r="J546" i="2"/>
  <c r="L546" i="2" s="1"/>
  <c r="I546" i="2"/>
  <c r="H546" i="2"/>
  <c r="D546" i="2"/>
  <c r="N545" i="2"/>
  <c r="M545" i="2"/>
  <c r="I545" i="2"/>
  <c r="J545" i="2" s="1"/>
  <c r="L545" i="2" s="1"/>
  <c r="H545" i="2"/>
  <c r="D545" i="2"/>
  <c r="N544" i="2"/>
  <c r="M544" i="2"/>
  <c r="I544" i="2"/>
  <c r="H544" i="2"/>
  <c r="J544" i="2" s="1"/>
  <c r="L544" i="2" s="1"/>
  <c r="D544" i="2"/>
  <c r="N543" i="2"/>
  <c r="M543" i="2"/>
  <c r="I543" i="2"/>
  <c r="H543" i="2"/>
  <c r="J543" i="2" s="1"/>
  <c r="L543" i="2" s="1"/>
  <c r="D543" i="2"/>
  <c r="N542" i="2"/>
  <c r="M542" i="2"/>
  <c r="J542" i="2"/>
  <c r="L542" i="2" s="1"/>
  <c r="I542" i="2"/>
  <c r="H542" i="2"/>
  <c r="D542" i="2"/>
  <c r="N541" i="2"/>
  <c r="M541" i="2"/>
  <c r="I541" i="2"/>
  <c r="J541" i="2" s="1"/>
  <c r="L541" i="2" s="1"/>
  <c r="H541" i="2"/>
  <c r="D541" i="2"/>
  <c r="N540" i="2"/>
  <c r="M540" i="2"/>
  <c r="I540" i="2"/>
  <c r="H540" i="2"/>
  <c r="J540" i="2" s="1"/>
  <c r="L540" i="2" s="1"/>
  <c r="D540" i="2"/>
  <c r="N539" i="2"/>
  <c r="M539" i="2"/>
  <c r="I539" i="2"/>
  <c r="H539" i="2"/>
  <c r="J539" i="2" s="1"/>
  <c r="L539" i="2" s="1"/>
  <c r="D539" i="2"/>
  <c r="N538" i="2"/>
  <c r="M538" i="2"/>
  <c r="J538" i="2"/>
  <c r="L538" i="2" s="1"/>
  <c r="I538" i="2"/>
  <c r="H538" i="2"/>
  <c r="D538" i="2"/>
  <c r="N537" i="2"/>
  <c r="M537" i="2"/>
  <c r="I537" i="2"/>
  <c r="J537" i="2" s="1"/>
  <c r="L537" i="2" s="1"/>
  <c r="H537" i="2"/>
  <c r="D537" i="2"/>
  <c r="N536" i="2"/>
  <c r="M536" i="2"/>
  <c r="I536" i="2"/>
  <c r="H536" i="2"/>
  <c r="J536" i="2" s="1"/>
  <c r="L536" i="2" s="1"/>
  <c r="D536" i="2"/>
  <c r="N535" i="2"/>
  <c r="M535" i="2"/>
  <c r="I535" i="2"/>
  <c r="H535" i="2"/>
  <c r="J535" i="2" s="1"/>
  <c r="L535" i="2" s="1"/>
  <c r="D535" i="2"/>
  <c r="N534" i="2"/>
  <c r="M534" i="2"/>
  <c r="J534" i="2"/>
  <c r="L534" i="2" s="1"/>
  <c r="I534" i="2"/>
  <c r="H534" i="2"/>
  <c r="D534" i="2"/>
  <c r="N533" i="2"/>
  <c r="M533" i="2"/>
  <c r="I533" i="2"/>
  <c r="J533" i="2" s="1"/>
  <c r="L533" i="2" s="1"/>
  <c r="H533" i="2"/>
  <c r="D533" i="2"/>
  <c r="N532" i="2"/>
  <c r="M532" i="2"/>
  <c r="I532" i="2"/>
  <c r="H532" i="2"/>
  <c r="J532" i="2" s="1"/>
  <c r="L532" i="2" s="1"/>
  <c r="D532" i="2"/>
  <c r="N531" i="2"/>
  <c r="M531" i="2"/>
  <c r="I531" i="2"/>
  <c r="H531" i="2"/>
  <c r="J531" i="2" s="1"/>
  <c r="L531" i="2" s="1"/>
  <c r="D531" i="2"/>
  <c r="N530" i="2"/>
  <c r="M530" i="2"/>
  <c r="J530" i="2"/>
  <c r="L530" i="2" s="1"/>
  <c r="I530" i="2"/>
  <c r="H530" i="2"/>
  <c r="D530" i="2"/>
  <c r="N529" i="2"/>
  <c r="M529" i="2"/>
  <c r="I529" i="2"/>
  <c r="J529" i="2" s="1"/>
  <c r="L529" i="2" s="1"/>
  <c r="H529" i="2"/>
  <c r="D529" i="2"/>
  <c r="N528" i="2"/>
  <c r="M528" i="2"/>
  <c r="I528" i="2"/>
  <c r="H528" i="2"/>
  <c r="J528" i="2" s="1"/>
  <c r="L528" i="2" s="1"/>
  <c r="D528" i="2"/>
  <c r="N527" i="2"/>
  <c r="M527" i="2"/>
  <c r="I527" i="2"/>
  <c r="H527" i="2"/>
  <c r="J527" i="2" s="1"/>
  <c r="L527" i="2" s="1"/>
  <c r="D527" i="2"/>
  <c r="N526" i="2"/>
  <c r="M526" i="2"/>
  <c r="J526" i="2"/>
  <c r="L526" i="2" s="1"/>
  <c r="I526" i="2"/>
  <c r="H526" i="2"/>
  <c r="D526" i="2"/>
  <c r="N525" i="2"/>
  <c r="M525" i="2"/>
  <c r="I525" i="2"/>
  <c r="J525" i="2" s="1"/>
  <c r="L525" i="2" s="1"/>
  <c r="H525" i="2"/>
  <c r="D525" i="2"/>
  <c r="N524" i="2"/>
  <c r="M524" i="2"/>
  <c r="I524" i="2"/>
  <c r="H524" i="2"/>
  <c r="J524" i="2" s="1"/>
  <c r="L524" i="2" s="1"/>
  <c r="D524" i="2"/>
  <c r="N523" i="2"/>
  <c r="M523" i="2"/>
  <c r="I523" i="2"/>
  <c r="H523" i="2"/>
  <c r="J523" i="2" s="1"/>
  <c r="L523" i="2" s="1"/>
  <c r="D523" i="2"/>
  <c r="N522" i="2"/>
  <c r="M522" i="2"/>
  <c r="J522" i="2"/>
  <c r="L522" i="2" s="1"/>
  <c r="I522" i="2"/>
  <c r="H522" i="2"/>
  <c r="D522" i="2"/>
  <c r="N521" i="2"/>
  <c r="M521" i="2"/>
  <c r="I521" i="2"/>
  <c r="J521" i="2" s="1"/>
  <c r="L521" i="2" s="1"/>
  <c r="H521" i="2"/>
  <c r="D521" i="2"/>
  <c r="N520" i="2"/>
  <c r="M520" i="2"/>
  <c r="I520" i="2"/>
  <c r="H520" i="2"/>
  <c r="J520" i="2" s="1"/>
  <c r="L520" i="2" s="1"/>
  <c r="D520" i="2"/>
  <c r="N519" i="2"/>
  <c r="M519" i="2"/>
  <c r="I519" i="2"/>
  <c r="H519" i="2"/>
  <c r="J519" i="2" s="1"/>
  <c r="L519" i="2" s="1"/>
  <c r="D519" i="2"/>
  <c r="N518" i="2"/>
  <c r="M518" i="2"/>
  <c r="J518" i="2"/>
  <c r="L518" i="2" s="1"/>
  <c r="I518" i="2"/>
  <c r="H518" i="2"/>
  <c r="D518" i="2"/>
  <c r="N517" i="2"/>
  <c r="M517" i="2"/>
  <c r="I517" i="2"/>
  <c r="J517" i="2" s="1"/>
  <c r="L517" i="2" s="1"/>
  <c r="H517" i="2"/>
  <c r="D517" i="2"/>
  <c r="N516" i="2"/>
  <c r="M516" i="2"/>
  <c r="I516" i="2"/>
  <c r="H516" i="2"/>
  <c r="J516" i="2" s="1"/>
  <c r="L516" i="2" s="1"/>
  <c r="D516" i="2"/>
  <c r="N515" i="2"/>
  <c r="M515" i="2"/>
  <c r="I515" i="2"/>
  <c r="H515" i="2"/>
  <c r="J515" i="2" s="1"/>
  <c r="L515" i="2" s="1"/>
  <c r="D515" i="2"/>
  <c r="N514" i="2"/>
  <c r="M514" i="2"/>
  <c r="J514" i="2"/>
  <c r="L514" i="2" s="1"/>
  <c r="I514" i="2"/>
  <c r="H514" i="2"/>
  <c r="D514" i="2"/>
  <c r="N513" i="2"/>
  <c r="M513" i="2"/>
  <c r="I513" i="2"/>
  <c r="J513" i="2" s="1"/>
  <c r="L513" i="2" s="1"/>
  <c r="H513" i="2"/>
  <c r="D513" i="2"/>
  <c r="N512" i="2"/>
  <c r="M512" i="2"/>
  <c r="I512" i="2"/>
  <c r="H512" i="2"/>
  <c r="J512" i="2" s="1"/>
  <c r="L512" i="2" s="1"/>
  <c r="D512" i="2"/>
  <c r="N511" i="2"/>
  <c r="M511" i="2"/>
  <c r="I511" i="2"/>
  <c r="H511" i="2"/>
  <c r="J511" i="2" s="1"/>
  <c r="L511" i="2" s="1"/>
  <c r="D511" i="2"/>
  <c r="N510" i="2"/>
  <c r="M510" i="2"/>
  <c r="J510" i="2"/>
  <c r="L510" i="2" s="1"/>
  <c r="I510" i="2"/>
  <c r="H510" i="2"/>
  <c r="D510" i="2"/>
  <c r="N509" i="2"/>
  <c r="M509" i="2"/>
  <c r="I509" i="2"/>
  <c r="J509" i="2" s="1"/>
  <c r="L509" i="2" s="1"/>
  <c r="H509" i="2"/>
  <c r="D509" i="2"/>
  <c r="N508" i="2"/>
  <c r="M508" i="2"/>
  <c r="I508" i="2"/>
  <c r="H508" i="2"/>
  <c r="J508" i="2" s="1"/>
  <c r="L508" i="2" s="1"/>
  <c r="D508" i="2"/>
  <c r="N507" i="2"/>
  <c r="M507" i="2"/>
  <c r="I507" i="2"/>
  <c r="H507" i="2"/>
  <c r="J507" i="2" s="1"/>
  <c r="L507" i="2" s="1"/>
  <c r="D507" i="2"/>
  <c r="N506" i="2"/>
  <c r="M506" i="2"/>
  <c r="J506" i="2"/>
  <c r="L506" i="2" s="1"/>
  <c r="I506" i="2"/>
  <c r="H506" i="2"/>
  <c r="D506" i="2"/>
  <c r="N505" i="2"/>
  <c r="M505" i="2"/>
  <c r="I505" i="2"/>
  <c r="J505" i="2" s="1"/>
  <c r="L505" i="2" s="1"/>
  <c r="H505" i="2"/>
  <c r="D505" i="2"/>
  <c r="N504" i="2"/>
  <c r="M504" i="2"/>
  <c r="I504" i="2"/>
  <c r="H504" i="2"/>
  <c r="J504" i="2" s="1"/>
  <c r="L504" i="2" s="1"/>
  <c r="D504" i="2"/>
  <c r="N503" i="2"/>
  <c r="M503" i="2"/>
  <c r="I503" i="2"/>
  <c r="H503" i="2"/>
  <c r="J503" i="2" s="1"/>
  <c r="L503" i="2" s="1"/>
  <c r="D503" i="2"/>
  <c r="N502" i="2"/>
  <c r="M502" i="2"/>
  <c r="J502" i="2"/>
  <c r="L502" i="2" s="1"/>
  <c r="I502" i="2"/>
  <c r="H502" i="2"/>
  <c r="D502" i="2"/>
  <c r="N501" i="2"/>
  <c r="M501" i="2"/>
  <c r="I501" i="2"/>
  <c r="J501" i="2" s="1"/>
  <c r="L501" i="2" s="1"/>
  <c r="H501" i="2"/>
  <c r="D501" i="2"/>
  <c r="N500" i="2"/>
  <c r="M500" i="2"/>
  <c r="I500" i="2"/>
  <c r="H500" i="2"/>
  <c r="J500" i="2" s="1"/>
  <c r="L500" i="2" s="1"/>
  <c r="D500" i="2"/>
  <c r="N499" i="2"/>
  <c r="M499" i="2"/>
  <c r="I499" i="2"/>
  <c r="H499" i="2"/>
  <c r="J499" i="2" s="1"/>
  <c r="L499" i="2" s="1"/>
  <c r="D499" i="2"/>
  <c r="N498" i="2"/>
  <c r="M498" i="2"/>
  <c r="J498" i="2"/>
  <c r="L498" i="2" s="1"/>
  <c r="I498" i="2"/>
  <c r="H498" i="2"/>
  <c r="D498" i="2"/>
  <c r="N497" i="2"/>
  <c r="M497" i="2"/>
  <c r="I497" i="2"/>
  <c r="J497" i="2" s="1"/>
  <c r="L497" i="2" s="1"/>
  <c r="H497" i="2"/>
  <c r="D497" i="2"/>
  <c r="N496" i="2"/>
  <c r="M496" i="2"/>
  <c r="I496" i="2"/>
  <c r="H496" i="2"/>
  <c r="J496" i="2" s="1"/>
  <c r="L496" i="2" s="1"/>
  <c r="D496" i="2"/>
  <c r="N495" i="2"/>
  <c r="M495" i="2"/>
  <c r="I495" i="2"/>
  <c r="H495" i="2"/>
  <c r="J495" i="2" s="1"/>
  <c r="L495" i="2" s="1"/>
  <c r="D495" i="2"/>
  <c r="N494" i="2"/>
  <c r="M494" i="2"/>
  <c r="J494" i="2"/>
  <c r="L494" i="2" s="1"/>
  <c r="I494" i="2"/>
  <c r="H494" i="2"/>
  <c r="D494" i="2"/>
  <c r="N493" i="2"/>
  <c r="M493" i="2"/>
  <c r="I493" i="2"/>
  <c r="J493" i="2" s="1"/>
  <c r="L493" i="2" s="1"/>
  <c r="H493" i="2"/>
  <c r="D493" i="2"/>
  <c r="N492" i="2"/>
  <c r="M492" i="2"/>
  <c r="I492" i="2"/>
  <c r="H492" i="2"/>
  <c r="J492" i="2" s="1"/>
  <c r="L492" i="2" s="1"/>
  <c r="D492" i="2"/>
  <c r="N491" i="2"/>
  <c r="M491" i="2"/>
  <c r="I491" i="2"/>
  <c r="H491" i="2"/>
  <c r="J491" i="2" s="1"/>
  <c r="L491" i="2" s="1"/>
  <c r="D491" i="2"/>
  <c r="N490" i="2"/>
  <c r="M490" i="2"/>
  <c r="J490" i="2"/>
  <c r="L490" i="2" s="1"/>
  <c r="I490" i="2"/>
  <c r="H490" i="2"/>
  <c r="D490" i="2"/>
  <c r="N489" i="2"/>
  <c r="M489" i="2"/>
  <c r="I489" i="2"/>
  <c r="J489" i="2" s="1"/>
  <c r="L489" i="2" s="1"/>
  <c r="H489" i="2"/>
  <c r="D489" i="2"/>
  <c r="N488" i="2"/>
  <c r="M488" i="2"/>
  <c r="I488" i="2"/>
  <c r="H488" i="2"/>
  <c r="J488" i="2" s="1"/>
  <c r="L488" i="2" s="1"/>
  <c r="D488" i="2"/>
  <c r="N487" i="2"/>
  <c r="M487" i="2"/>
  <c r="I487" i="2"/>
  <c r="H487" i="2"/>
  <c r="J487" i="2" s="1"/>
  <c r="L487" i="2" s="1"/>
  <c r="D487" i="2"/>
  <c r="N486" i="2"/>
  <c r="M486" i="2"/>
  <c r="J486" i="2"/>
  <c r="L486" i="2" s="1"/>
  <c r="I486" i="2"/>
  <c r="H486" i="2"/>
  <c r="D486" i="2"/>
  <c r="N485" i="2"/>
  <c r="M485" i="2"/>
  <c r="I485" i="2"/>
  <c r="J485" i="2" s="1"/>
  <c r="L485" i="2" s="1"/>
  <c r="H485" i="2"/>
  <c r="D485" i="2"/>
  <c r="N484" i="2"/>
  <c r="M484" i="2"/>
  <c r="I484" i="2"/>
  <c r="H484" i="2"/>
  <c r="J484" i="2" s="1"/>
  <c r="L484" i="2" s="1"/>
  <c r="D484" i="2"/>
  <c r="N483" i="2"/>
  <c r="M483" i="2"/>
  <c r="I483" i="2"/>
  <c r="H483" i="2"/>
  <c r="J483" i="2" s="1"/>
  <c r="L483" i="2" s="1"/>
  <c r="D483" i="2"/>
  <c r="N482" i="2"/>
  <c r="M482" i="2"/>
  <c r="J482" i="2"/>
  <c r="L482" i="2" s="1"/>
  <c r="I482" i="2"/>
  <c r="H482" i="2"/>
  <c r="D482" i="2"/>
  <c r="N481" i="2"/>
  <c r="M481" i="2"/>
  <c r="I481" i="2"/>
  <c r="J481" i="2" s="1"/>
  <c r="L481" i="2" s="1"/>
  <c r="H481" i="2"/>
  <c r="D481" i="2"/>
  <c r="N480" i="2"/>
  <c r="M480" i="2"/>
  <c r="I480" i="2"/>
  <c r="H480" i="2"/>
  <c r="J480" i="2" s="1"/>
  <c r="L480" i="2" s="1"/>
  <c r="D480" i="2"/>
  <c r="N479" i="2"/>
  <c r="M479" i="2"/>
  <c r="I479" i="2"/>
  <c r="H479" i="2"/>
  <c r="J479" i="2" s="1"/>
  <c r="L479" i="2" s="1"/>
  <c r="D479" i="2"/>
  <c r="N478" i="2"/>
  <c r="M478" i="2"/>
  <c r="J478" i="2"/>
  <c r="L478" i="2" s="1"/>
  <c r="I478" i="2"/>
  <c r="H478" i="2"/>
  <c r="D478" i="2"/>
  <c r="N477" i="2"/>
  <c r="M477" i="2"/>
  <c r="I477" i="2"/>
  <c r="J477" i="2" s="1"/>
  <c r="L477" i="2" s="1"/>
  <c r="H477" i="2"/>
  <c r="D477" i="2"/>
  <c r="N476" i="2"/>
  <c r="M476" i="2"/>
  <c r="I476" i="2"/>
  <c r="H476" i="2"/>
  <c r="J476" i="2" s="1"/>
  <c r="L476" i="2" s="1"/>
  <c r="D476" i="2"/>
  <c r="N475" i="2"/>
  <c r="M475" i="2"/>
  <c r="I475" i="2"/>
  <c r="H475" i="2"/>
  <c r="J475" i="2" s="1"/>
  <c r="L475" i="2" s="1"/>
  <c r="D475" i="2"/>
  <c r="N474" i="2"/>
  <c r="M474" i="2"/>
  <c r="J474" i="2"/>
  <c r="L474" i="2" s="1"/>
  <c r="I474" i="2"/>
  <c r="H474" i="2"/>
  <c r="D474" i="2"/>
  <c r="N473" i="2"/>
  <c r="M473" i="2"/>
  <c r="I473" i="2"/>
  <c r="J473" i="2" s="1"/>
  <c r="L473" i="2" s="1"/>
  <c r="H473" i="2"/>
  <c r="D473" i="2"/>
  <c r="N472" i="2"/>
  <c r="M472" i="2"/>
  <c r="I472" i="2"/>
  <c r="H472" i="2"/>
  <c r="J472" i="2" s="1"/>
  <c r="L472" i="2" s="1"/>
  <c r="D472" i="2"/>
  <c r="N471" i="2"/>
  <c r="M471" i="2"/>
  <c r="I471" i="2"/>
  <c r="H471" i="2"/>
  <c r="J471" i="2" s="1"/>
  <c r="L471" i="2" s="1"/>
  <c r="D471" i="2"/>
  <c r="N470" i="2"/>
  <c r="M470" i="2"/>
  <c r="J470" i="2"/>
  <c r="L470" i="2" s="1"/>
  <c r="I470" i="2"/>
  <c r="H470" i="2"/>
  <c r="D470" i="2"/>
  <c r="N469" i="2"/>
  <c r="M469" i="2"/>
  <c r="I469" i="2"/>
  <c r="J469" i="2" s="1"/>
  <c r="L469" i="2" s="1"/>
  <c r="H469" i="2"/>
  <c r="D469" i="2"/>
  <c r="N468" i="2"/>
  <c r="M468" i="2"/>
  <c r="I468" i="2"/>
  <c r="H468" i="2"/>
  <c r="J468" i="2" s="1"/>
  <c r="L468" i="2" s="1"/>
  <c r="D468" i="2"/>
  <c r="N467" i="2"/>
  <c r="M467" i="2"/>
  <c r="I467" i="2"/>
  <c r="H467" i="2"/>
  <c r="J467" i="2" s="1"/>
  <c r="L467" i="2" s="1"/>
  <c r="D467" i="2"/>
  <c r="N466" i="2"/>
  <c r="M466" i="2"/>
  <c r="J466" i="2"/>
  <c r="L466" i="2" s="1"/>
  <c r="I466" i="2"/>
  <c r="H466" i="2"/>
  <c r="D466" i="2"/>
  <c r="N465" i="2"/>
  <c r="M465" i="2"/>
  <c r="I465" i="2"/>
  <c r="J465" i="2" s="1"/>
  <c r="L465" i="2" s="1"/>
  <c r="H465" i="2"/>
  <c r="D465" i="2"/>
  <c r="N464" i="2"/>
  <c r="M464" i="2"/>
  <c r="I464" i="2"/>
  <c r="H464" i="2"/>
  <c r="J464" i="2" s="1"/>
  <c r="L464" i="2" s="1"/>
  <c r="D464" i="2"/>
  <c r="N463" i="2"/>
  <c r="M463" i="2"/>
  <c r="I463" i="2"/>
  <c r="H463" i="2"/>
  <c r="J463" i="2" s="1"/>
  <c r="L463" i="2" s="1"/>
  <c r="D463" i="2"/>
  <c r="N462" i="2"/>
  <c r="M462" i="2"/>
  <c r="J462" i="2"/>
  <c r="L462" i="2" s="1"/>
  <c r="I462" i="2"/>
  <c r="H462" i="2"/>
  <c r="D462" i="2"/>
  <c r="N461" i="2"/>
  <c r="M461" i="2"/>
  <c r="I461" i="2"/>
  <c r="J461" i="2" s="1"/>
  <c r="L461" i="2" s="1"/>
  <c r="H461" i="2"/>
  <c r="D461" i="2"/>
  <c r="N460" i="2"/>
  <c r="M460" i="2"/>
  <c r="I460" i="2"/>
  <c r="H460" i="2"/>
  <c r="J460" i="2" s="1"/>
  <c r="L460" i="2" s="1"/>
  <c r="D460" i="2"/>
  <c r="N459" i="2"/>
  <c r="M459" i="2"/>
  <c r="I459" i="2"/>
  <c r="H459" i="2"/>
  <c r="J459" i="2" s="1"/>
  <c r="L459" i="2" s="1"/>
  <c r="D459" i="2"/>
  <c r="N458" i="2"/>
  <c r="M458" i="2"/>
  <c r="J458" i="2"/>
  <c r="L458" i="2" s="1"/>
  <c r="I458" i="2"/>
  <c r="H458" i="2"/>
  <c r="D458" i="2"/>
  <c r="N457" i="2"/>
  <c r="M457" i="2"/>
  <c r="I457" i="2"/>
  <c r="J457" i="2" s="1"/>
  <c r="L457" i="2" s="1"/>
  <c r="H457" i="2"/>
  <c r="D457" i="2"/>
  <c r="N456" i="2"/>
  <c r="M456" i="2"/>
  <c r="I456" i="2"/>
  <c r="H456" i="2"/>
  <c r="J456" i="2" s="1"/>
  <c r="L456" i="2" s="1"/>
  <c r="D456" i="2"/>
  <c r="N455" i="2"/>
  <c r="M455" i="2"/>
  <c r="I455" i="2"/>
  <c r="H455" i="2"/>
  <c r="J455" i="2" s="1"/>
  <c r="L455" i="2" s="1"/>
  <c r="D455" i="2"/>
  <c r="N454" i="2"/>
  <c r="M454" i="2"/>
  <c r="J454" i="2"/>
  <c r="L454" i="2" s="1"/>
  <c r="I454" i="2"/>
  <c r="H454" i="2"/>
  <c r="D454" i="2"/>
  <c r="N453" i="2"/>
  <c r="M453" i="2"/>
  <c r="I453" i="2"/>
  <c r="J453" i="2" s="1"/>
  <c r="L453" i="2" s="1"/>
  <c r="H453" i="2"/>
  <c r="D453" i="2"/>
  <c r="N452" i="2"/>
  <c r="M452" i="2"/>
  <c r="I452" i="2"/>
  <c r="H452" i="2"/>
  <c r="J452" i="2" s="1"/>
  <c r="L452" i="2" s="1"/>
  <c r="D452" i="2"/>
  <c r="N451" i="2"/>
  <c r="M451" i="2"/>
  <c r="I451" i="2"/>
  <c r="H451" i="2"/>
  <c r="J451" i="2" s="1"/>
  <c r="L451" i="2" s="1"/>
  <c r="D451" i="2"/>
  <c r="N450" i="2"/>
  <c r="M450" i="2"/>
  <c r="J450" i="2"/>
  <c r="L450" i="2" s="1"/>
  <c r="I450" i="2"/>
  <c r="H450" i="2"/>
  <c r="D450" i="2"/>
  <c r="N449" i="2"/>
  <c r="M449" i="2"/>
  <c r="I449" i="2"/>
  <c r="J449" i="2" s="1"/>
  <c r="L449" i="2" s="1"/>
  <c r="H449" i="2"/>
  <c r="D449" i="2"/>
  <c r="N448" i="2"/>
  <c r="M448" i="2"/>
  <c r="I448" i="2"/>
  <c r="H448" i="2"/>
  <c r="J448" i="2" s="1"/>
  <c r="L448" i="2" s="1"/>
  <c r="D448" i="2"/>
  <c r="N447" i="2"/>
  <c r="M447" i="2"/>
  <c r="I447" i="2"/>
  <c r="H447" i="2"/>
  <c r="J447" i="2" s="1"/>
  <c r="L447" i="2" s="1"/>
  <c r="D447" i="2"/>
  <c r="N446" i="2"/>
  <c r="M446" i="2"/>
  <c r="J446" i="2"/>
  <c r="L446" i="2" s="1"/>
  <c r="I446" i="2"/>
  <c r="H446" i="2"/>
  <c r="D446" i="2"/>
  <c r="N445" i="2"/>
  <c r="M445" i="2"/>
  <c r="I445" i="2"/>
  <c r="J445" i="2" s="1"/>
  <c r="L445" i="2" s="1"/>
  <c r="H445" i="2"/>
  <c r="D445" i="2"/>
  <c r="N444" i="2"/>
  <c r="M444" i="2"/>
  <c r="I444" i="2"/>
  <c r="H444" i="2"/>
  <c r="J444" i="2" s="1"/>
  <c r="L444" i="2" s="1"/>
  <c r="D444" i="2"/>
  <c r="N443" i="2"/>
  <c r="M443" i="2"/>
  <c r="I443" i="2"/>
  <c r="H443" i="2"/>
  <c r="J443" i="2" s="1"/>
  <c r="L443" i="2" s="1"/>
  <c r="D443" i="2"/>
  <c r="N442" i="2"/>
  <c r="M442" i="2"/>
  <c r="J442" i="2"/>
  <c r="L442" i="2" s="1"/>
  <c r="I442" i="2"/>
  <c r="H442" i="2"/>
  <c r="D442" i="2"/>
  <c r="N441" i="2"/>
  <c r="M441" i="2"/>
  <c r="I441" i="2"/>
  <c r="J441" i="2" s="1"/>
  <c r="L441" i="2" s="1"/>
  <c r="H441" i="2"/>
  <c r="D441" i="2"/>
  <c r="N440" i="2"/>
  <c r="M440" i="2"/>
  <c r="I440" i="2"/>
  <c r="H440" i="2"/>
  <c r="J440" i="2" s="1"/>
  <c r="L440" i="2" s="1"/>
  <c r="D440" i="2"/>
  <c r="N439" i="2"/>
  <c r="M439" i="2"/>
  <c r="I439" i="2"/>
  <c r="H439" i="2"/>
  <c r="J439" i="2" s="1"/>
  <c r="L439" i="2" s="1"/>
  <c r="D439" i="2"/>
  <c r="N438" i="2"/>
  <c r="M438" i="2"/>
  <c r="J438" i="2"/>
  <c r="L438" i="2" s="1"/>
  <c r="I438" i="2"/>
  <c r="H438" i="2"/>
  <c r="D438" i="2"/>
  <c r="N437" i="2"/>
  <c r="M437" i="2"/>
  <c r="I437" i="2"/>
  <c r="J437" i="2" s="1"/>
  <c r="L437" i="2" s="1"/>
  <c r="H437" i="2"/>
  <c r="D437" i="2"/>
  <c r="N436" i="2"/>
  <c r="M436" i="2"/>
  <c r="I436" i="2"/>
  <c r="H436" i="2"/>
  <c r="J436" i="2" s="1"/>
  <c r="L436" i="2" s="1"/>
  <c r="D436" i="2"/>
  <c r="N435" i="2"/>
  <c r="M435" i="2"/>
  <c r="I435" i="2"/>
  <c r="H435" i="2"/>
  <c r="J435" i="2" s="1"/>
  <c r="L435" i="2" s="1"/>
  <c r="D435" i="2"/>
  <c r="N434" i="2"/>
  <c r="M434" i="2"/>
  <c r="J434" i="2"/>
  <c r="L434" i="2" s="1"/>
  <c r="I434" i="2"/>
  <c r="H434" i="2"/>
  <c r="D434" i="2"/>
  <c r="N433" i="2"/>
  <c r="M433" i="2"/>
  <c r="I433" i="2"/>
  <c r="J433" i="2" s="1"/>
  <c r="L433" i="2" s="1"/>
  <c r="H433" i="2"/>
  <c r="D433" i="2"/>
  <c r="N432" i="2"/>
  <c r="M432" i="2"/>
  <c r="I432" i="2"/>
  <c r="H432" i="2"/>
  <c r="J432" i="2" s="1"/>
  <c r="L432" i="2" s="1"/>
  <c r="D432" i="2"/>
  <c r="N431" i="2"/>
  <c r="M431" i="2"/>
  <c r="I431" i="2"/>
  <c r="H431" i="2"/>
  <c r="J431" i="2" s="1"/>
  <c r="L431" i="2" s="1"/>
  <c r="D431" i="2"/>
  <c r="N430" i="2"/>
  <c r="M430" i="2"/>
  <c r="J430" i="2"/>
  <c r="L430" i="2" s="1"/>
  <c r="I430" i="2"/>
  <c r="H430" i="2"/>
  <c r="D430" i="2"/>
  <c r="N429" i="2"/>
  <c r="M429" i="2"/>
  <c r="I429" i="2"/>
  <c r="J429" i="2" s="1"/>
  <c r="L429" i="2" s="1"/>
  <c r="H429" i="2"/>
  <c r="D429" i="2"/>
  <c r="N428" i="2"/>
  <c r="M428" i="2"/>
  <c r="I428" i="2"/>
  <c r="H428" i="2"/>
  <c r="J428" i="2" s="1"/>
  <c r="L428" i="2" s="1"/>
  <c r="D428" i="2"/>
  <c r="N427" i="2"/>
  <c r="M427" i="2"/>
  <c r="I427" i="2"/>
  <c r="H427" i="2"/>
  <c r="J427" i="2" s="1"/>
  <c r="L427" i="2" s="1"/>
  <c r="D427" i="2"/>
  <c r="N426" i="2"/>
  <c r="M426" i="2"/>
  <c r="J426" i="2"/>
  <c r="L426" i="2" s="1"/>
  <c r="I426" i="2"/>
  <c r="H426" i="2"/>
  <c r="D426" i="2"/>
  <c r="N425" i="2"/>
  <c r="M425" i="2"/>
  <c r="I425" i="2"/>
  <c r="J425" i="2" s="1"/>
  <c r="L425" i="2" s="1"/>
  <c r="H425" i="2"/>
  <c r="D425" i="2"/>
  <c r="N424" i="2"/>
  <c r="M424" i="2"/>
  <c r="I424" i="2"/>
  <c r="H424" i="2"/>
  <c r="J424" i="2" s="1"/>
  <c r="L424" i="2" s="1"/>
  <c r="D424" i="2"/>
  <c r="N423" i="2"/>
  <c r="M423" i="2"/>
  <c r="I423" i="2"/>
  <c r="H423" i="2"/>
  <c r="J423" i="2" s="1"/>
  <c r="L423" i="2" s="1"/>
  <c r="D423" i="2"/>
  <c r="N422" i="2"/>
  <c r="M422" i="2"/>
  <c r="J422" i="2"/>
  <c r="L422" i="2" s="1"/>
  <c r="I422" i="2"/>
  <c r="H422" i="2"/>
  <c r="D422" i="2"/>
  <c r="N421" i="2"/>
  <c r="M421" i="2"/>
  <c r="I421" i="2"/>
  <c r="J421" i="2" s="1"/>
  <c r="L421" i="2" s="1"/>
  <c r="H421" i="2"/>
  <c r="D421" i="2"/>
  <c r="N420" i="2"/>
  <c r="M420" i="2"/>
  <c r="I420" i="2"/>
  <c r="H420" i="2"/>
  <c r="J420" i="2" s="1"/>
  <c r="L420" i="2" s="1"/>
  <c r="D420" i="2"/>
  <c r="N419" i="2"/>
  <c r="M419" i="2"/>
  <c r="I419" i="2"/>
  <c r="H419" i="2"/>
  <c r="J419" i="2" s="1"/>
  <c r="L419" i="2" s="1"/>
  <c r="D419" i="2"/>
  <c r="N418" i="2"/>
  <c r="M418" i="2"/>
  <c r="J418" i="2"/>
  <c r="L418" i="2" s="1"/>
  <c r="I418" i="2"/>
  <c r="H418" i="2"/>
  <c r="D418" i="2"/>
  <c r="N417" i="2"/>
  <c r="M417" i="2"/>
  <c r="I417" i="2"/>
  <c r="J417" i="2" s="1"/>
  <c r="L417" i="2" s="1"/>
  <c r="H417" i="2"/>
  <c r="D417" i="2"/>
  <c r="N416" i="2"/>
  <c r="M416" i="2"/>
  <c r="I416" i="2"/>
  <c r="H416" i="2"/>
  <c r="J416" i="2" s="1"/>
  <c r="L416" i="2" s="1"/>
  <c r="D416" i="2"/>
  <c r="N415" i="2"/>
  <c r="M415" i="2"/>
  <c r="I415" i="2"/>
  <c r="H415" i="2"/>
  <c r="J415" i="2" s="1"/>
  <c r="L415" i="2" s="1"/>
  <c r="D415" i="2"/>
  <c r="N414" i="2"/>
  <c r="M414" i="2"/>
  <c r="J414" i="2"/>
  <c r="L414" i="2" s="1"/>
  <c r="I414" i="2"/>
  <c r="H414" i="2"/>
  <c r="D414" i="2"/>
  <c r="N413" i="2"/>
  <c r="M413" i="2"/>
  <c r="I413" i="2"/>
  <c r="J413" i="2" s="1"/>
  <c r="L413" i="2" s="1"/>
  <c r="H413" i="2"/>
  <c r="D413" i="2"/>
  <c r="N412" i="2"/>
  <c r="M412" i="2"/>
  <c r="I412" i="2"/>
  <c r="H412" i="2"/>
  <c r="J412" i="2" s="1"/>
  <c r="L412" i="2" s="1"/>
  <c r="D412" i="2"/>
  <c r="N411" i="2"/>
  <c r="M411" i="2"/>
  <c r="I411" i="2"/>
  <c r="H411" i="2"/>
  <c r="J411" i="2" s="1"/>
  <c r="L411" i="2" s="1"/>
  <c r="D411" i="2"/>
  <c r="N410" i="2"/>
  <c r="M410" i="2"/>
  <c r="J410" i="2"/>
  <c r="L410" i="2" s="1"/>
  <c r="I410" i="2"/>
  <c r="H410" i="2"/>
  <c r="D410" i="2"/>
  <c r="N409" i="2"/>
  <c r="M409" i="2"/>
  <c r="I409" i="2"/>
  <c r="J409" i="2" s="1"/>
  <c r="L409" i="2" s="1"/>
  <c r="H409" i="2"/>
  <c r="D409" i="2"/>
  <c r="N408" i="2"/>
  <c r="M408" i="2"/>
  <c r="I408" i="2"/>
  <c r="H408" i="2"/>
  <c r="J408" i="2" s="1"/>
  <c r="L408" i="2" s="1"/>
  <c r="D408" i="2"/>
  <c r="N407" i="2"/>
  <c r="M407" i="2"/>
  <c r="I407" i="2"/>
  <c r="H407" i="2"/>
  <c r="J407" i="2" s="1"/>
  <c r="L407" i="2" s="1"/>
  <c r="D407" i="2"/>
  <c r="N406" i="2"/>
  <c r="M406" i="2"/>
  <c r="J406" i="2"/>
  <c r="L406" i="2" s="1"/>
  <c r="I406" i="2"/>
  <c r="H406" i="2"/>
  <c r="D406" i="2"/>
  <c r="N405" i="2"/>
  <c r="M405" i="2"/>
  <c r="I405" i="2"/>
  <c r="J405" i="2" s="1"/>
  <c r="L405" i="2" s="1"/>
  <c r="H405" i="2"/>
  <c r="D405" i="2"/>
  <c r="N404" i="2"/>
  <c r="M404" i="2"/>
  <c r="I404" i="2"/>
  <c r="H404" i="2"/>
  <c r="J404" i="2" s="1"/>
  <c r="L404" i="2" s="1"/>
  <c r="D404" i="2"/>
  <c r="N403" i="2"/>
  <c r="M403" i="2"/>
  <c r="I403" i="2"/>
  <c r="H403" i="2"/>
  <c r="J403" i="2" s="1"/>
  <c r="L403" i="2" s="1"/>
  <c r="D403" i="2"/>
  <c r="N402" i="2"/>
  <c r="M402" i="2"/>
  <c r="J402" i="2"/>
  <c r="L402" i="2" s="1"/>
  <c r="I402" i="2"/>
  <c r="H402" i="2"/>
  <c r="D402" i="2"/>
  <c r="N401" i="2"/>
  <c r="M401" i="2"/>
  <c r="I401" i="2"/>
  <c r="J401" i="2" s="1"/>
  <c r="L401" i="2" s="1"/>
  <c r="H401" i="2"/>
  <c r="D401" i="2"/>
  <c r="N400" i="2"/>
  <c r="M400" i="2"/>
  <c r="I400" i="2"/>
  <c r="H400" i="2"/>
  <c r="J400" i="2" s="1"/>
  <c r="L400" i="2" s="1"/>
  <c r="D400" i="2"/>
  <c r="N399" i="2"/>
  <c r="M399" i="2"/>
  <c r="I399" i="2"/>
  <c r="H399" i="2"/>
  <c r="J399" i="2" s="1"/>
  <c r="L399" i="2" s="1"/>
  <c r="D399" i="2"/>
  <c r="N398" i="2"/>
  <c r="M398" i="2"/>
  <c r="J398" i="2"/>
  <c r="L398" i="2" s="1"/>
  <c r="I398" i="2"/>
  <c r="H398" i="2"/>
  <c r="D398" i="2"/>
  <c r="N397" i="2"/>
  <c r="M397" i="2"/>
  <c r="I397" i="2"/>
  <c r="J397" i="2" s="1"/>
  <c r="L397" i="2" s="1"/>
  <c r="H397" i="2"/>
  <c r="D397" i="2"/>
  <c r="N396" i="2"/>
  <c r="M396" i="2"/>
  <c r="I396" i="2"/>
  <c r="H396" i="2"/>
  <c r="J396" i="2" s="1"/>
  <c r="L396" i="2" s="1"/>
  <c r="D396" i="2"/>
  <c r="N395" i="2"/>
  <c r="M395" i="2"/>
  <c r="I395" i="2"/>
  <c r="H395" i="2"/>
  <c r="J395" i="2" s="1"/>
  <c r="L395" i="2" s="1"/>
  <c r="D395" i="2"/>
  <c r="N394" i="2"/>
  <c r="M394" i="2"/>
  <c r="J394" i="2"/>
  <c r="L394" i="2" s="1"/>
  <c r="I394" i="2"/>
  <c r="H394" i="2"/>
  <c r="D394" i="2"/>
  <c r="N393" i="2"/>
  <c r="M393" i="2"/>
  <c r="I393" i="2"/>
  <c r="J393" i="2" s="1"/>
  <c r="L393" i="2" s="1"/>
  <c r="H393" i="2"/>
  <c r="D393" i="2"/>
  <c r="N392" i="2"/>
  <c r="M392" i="2"/>
  <c r="I392" i="2"/>
  <c r="H392" i="2"/>
  <c r="J392" i="2" s="1"/>
  <c r="L392" i="2" s="1"/>
  <c r="D392" i="2"/>
  <c r="N391" i="2"/>
  <c r="M391" i="2"/>
  <c r="I391" i="2"/>
  <c r="H391" i="2"/>
  <c r="J391" i="2" s="1"/>
  <c r="L391" i="2" s="1"/>
  <c r="D391" i="2"/>
  <c r="N390" i="2"/>
  <c r="M390" i="2"/>
  <c r="J390" i="2"/>
  <c r="L390" i="2" s="1"/>
  <c r="I390" i="2"/>
  <c r="H390" i="2"/>
  <c r="D390" i="2"/>
  <c r="N389" i="2"/>
  <c r="M389" i="2"/>
  <c r="I389" i="2"/>
  <c r="J389" i="2" s="1"/>
  <c r="L389" i="2" s="1"/>
  <c r="H389" i="2"/>
  <c r="D389" i="2"/>
  <c r="N388" i="2"/>
  <c r="M388" i="2"/>
  <c r="I388" i="2"/>
  <c r="H388" i="2"/>
  <c r="J388" i="2" s="1"/>
  <c r="L388" i="2" s="1"/>
  <c r="D388" i="2"/>
  <c r="N387" i="2"/>
  <c r="M387" i="2"/>
  <c r="I387" i="2"/>
  <c r="H387" i="2"/>
  <c r="J387" i="2" s="1"/>
  <c r="L387" i="2" s="1"/>
  <c r="D387" i="2"/>
  <c r="N386" i="2"/>
  <c r="M386" i="2"/>
  <c r="J386" i="2"/>
  <c r="L386" i="2" s="1"/>
  <c r="I386" i="2"/>
  <c r="H386" i="2"/>
  <c r="D386" i="2"/>
  <c r="N385" i="2"/>
  <c r="M385" i="2"/>
  <c r="I385" i="2"/>
  <c r="J385" i="2" s="1"/>
  <c r="L385" i="2" s="1"/>
  <c r="H385" i="2"/>
  <c r="D385" i="2"/>
  <c r="N384" i="2"/>
  <c r="M384" i="2"/>
  <c r="I384" i="2"/>
  <c r="H384" i="2"/>
  <c r="J384" i="2" s="1"/>
  <c r="L384" i="2" s="1"/>
  <c r="D384" i="2"/>
  <c r="N383" i="2"/>
  <c r="M383" i="2"/>
  <c r="I383" i="2"/>
  <c r="H383" i="2"/>
  <c r="J383" i="2" s="1"/>
  <c r="L383" i="2" s="1"/>
  <c r="D383" i="2"/>
  <c r="N382" i="2"/>
  <c r="M382" i="2"/>
  <c r="J382" i="2"/>
  <c r="L382" i="2" s="1"/>
  <c r="I382" i="2"/>
  <c r="H382" i="2"/>
  <c r="D382" i="2"/>
  <c r="N381" i="2"/>
  <c r="M381" i="2"/>
  <c r="I381" i="2"/>
  <c r="J381" i="2" s="1"/>
  <c r="L381" i="2" s="1"/>
  <c r="H381" i="2"/>
  <c r="D381" i="2"/>
  <c r="N380" i="2"/>
  <c r="M380" i="2"/>
  <c r="I380" i="2"/>
  <c r="H380" i="2"/>
  <c r="J380" i="2" s="1"/>
  <c r="L380" i="2" s="1"/>
  <c r="D380" i="2"/>
  <c r="N379" i="2"/>
  <c r="M379" i="2"/>
  <c r="I379" i="2"/>
  <c r="H379" i="2"/>
  <c r="J379" i="2" s="1"/>
  <c r="L379" i="2" s="1"/>
  <c r="D379" i="2"/>
  <c r="N378" i="2"/>
  <c r="M378" i="2"/>
  <c r="J378" i="2"/>
  <c r="L378" i="2" s="1"/>
  <c r="I378" i="2"/>
  <c r="H378" i="2"/>
  <c r="D378" i="2"/>
  <c r="N377" i="2"/>
  <c r="M377" i="2"/>
  <c r="I377" i="2"/>
  <c r="J377" i="2" s="1"/>
  <c r="L377" i="2" s="1"/>
  <c r="H377" i="2"/>
  <c r="D377" i="2"/>
  <c r="N376" i="2"/>
  <c r="M376" i="2"/>
  <c r="I376" i="2"/>
  <c r="H376" i="2"/>
  <c r="J376" i="2" s="1"/>
  <c r="L376" i="2" s="1"/>
  <c r="D376" i="2"/>
  <c r="N375" i="2"/>
  <c r="M375" i="2"/>
  <c r="I375" i="2"/>
  <c r="H375" i="2"/>
  <c r="J375" i="2" s="1"/>
  <c r="L375" i="2" s="1"/>
  <c r="D375" i="2"/>
  <c r="N374" i="2"/>
  <c r="M374" i="2"/>
  <c r="J374" i="2"/>
  <c r="L374" i="2" s="1"/>
  <c r="I374" i="2"/>
  <c r="H374" i="2"/>
  <c r="D374" i="2"/>
  <c r="N373" i="2"/>
  <c r="M373" i="2"/>
  <c r="I373" i="2"/>
  <c r="J373" i="2" s="1"/>
  <c r="L373" i="2" s="1"/>
  <c r="H373" i="2"/>
  <c r="D373" i="2"/>
  <c r="N372" i="2"/>
  <c r="M372" i="2"/>
  <c r="I372" i="2"/>
  <c r="H372" i="2"/>
  <c r="J372" i="2" s="1"/>
  <c r="L372" i="2" s="1"/>
  <c r="D372" i="2"/>
  <c r="N371" i="2"/>
  <c r="M371" i="2"/>
  <c r="I371" i="2"/>
  <c r="H371" i="2"/>
  <c r="J371" i="2" s="1"/>
  <c r="L371" i="2" s="1"/>
  <c r="D371" i="2"/>
  <c r="N370" i="2"/>
  <c r="M370" i="2"/>
  <c r="J370" i="2"/>
  <c r="L370" i="2" s="1"/>
  <c r="I370" i="2"/>
  <c r="H370" i="2"/>
  <c r="D370" i="2"/>
  <c r="N369" i="2"/>
  <c r="M369" i="2"/>
  <c r="I369" i="2"/>
  <c r="J369" i="2" s="1"/>
  <c r="L369" i="2" s="1"/>
  <c r="H369" i="2"/>
  <c r="D369" i="2"/>
  <c r="N368" i="2"/>
  <c r="M368" i="2"/>
  <c r="I368" i="2"/>
  <c r="H368" i="2"/>
  <c r="J368" i="2" s="1"/>
  <c r="L368" i="2" s="1"/>
  <c r="D368" i="2"/>
  <c r="N367" i="2"/>
  <c r="M367" i="2"/>
  <c r="I367" i="2"/>
  <c r="H367" i="2"/>
  <c r="J367" i="2" s="1"/>
  <c r="L367" i="2" s="1"/>
  <c r="D367" i="2"/>
  <c r="N366" i="2"/>
  <c r="M366" i="2"/>
  <c r="J366" i="2"/>
  <c r="L366" i="2" s="1"/>
  <c r="I366" i="2"/>
  <c r="H366" i="2"/>
  <c r="D366" i="2"/>
  <c r="N365" i="2"/>
  <c r="M365" i="2"/>
  <c r="I365" i="2"/>
  <c r="J365" i="2" s="1"/>
  <c r="L365" i="2" s="1"/>
  <c r="H365" i="2"/>
  <c r="D365" i="2"/>
  <c r="N364" i="2"/>
  <c r="M364" i="2"/>
  <c r="I364" i="2"/>
  <c r="H364" i="2"/>
  <c r="J364" i="2" s="1"/>
  <c r="L364" i="2" s="1"/>
  <c r="D364" i="2"/>
  <c r="N363" i="2"/>
  <c r="M363" i="2"/>
  <c r="I363" i="2"/>
  <c r="H363" i="2"/>
  <c r="J363" i="2" s="1"/>
  <c r="L363" i="2" s="1"/>
  <c r="D363" i="2"/>
  <c r="N362" i="2"/>
  <c r="M362" i="2"/>
  <c r="J362" i="2"/>
  <c r="L362" i="2" s="1"/>
  <c r="I362" i="2"/>
  <c r="H362" i="2"/>
  <c r="D362" i="2"/>
  <c r="N361" i="2"/>
  <c r="M361" i="2"/>
  <c r="I361" i="2"/>
  <c r="J361" i="2" s="1"/>
  <c r="L361" i="2" s="1"/>
  <c r="H361" i="2"/>
  <c r="D361" i="2"/>
  <c r="N360" i="2"/>
  <c r="M360" i="2"/>
  <c r="I360" i="2"/>
  <c r="H360" i="2"/>
  <c r="J360" i="2" s="1"/>
  <c r="L360" i="2" s="1"/>
  <c r="D360" i="2"/>
  <c r="N359" i="2"/>
  <c r="M359" i="2"/>
  <c r="I359" i="2"/>
  <c r="H359" i="2"/>
  <c r="J359" i="2" s="1"/>
  <c r="L359" i="2" s="1"/>
  <c r="D359" i="2"/>
  <c r="N358" i="2"/>
  <c r="M358" i="2"/>
  <c r="J358" i="2"/>
  <c r="L358" i="2" s="1"/>
  <c r="I358" i="2"/>
  <c r="H358" i="2"/>
  <c r="D358" i="2"/>
  <c r="N357" i="2"/>
  <c r="M357" i="2"/>
  <c r="I357" i="2"/>
  <c r="J357" i="2" s="1"/>
  <c r="L357" i="2" s="1"/>
  <c r="H357" i="2"/>
  <c r="D357" i="2"/>
  <c r="N356" i="2"/>
  <c r="M356" i="2"/>
  <c r="I356" i="2"/>
  <c r="H356" i="2"/>
  <c r="J356" i="2" s="1"/>
  <c r="L356" i="2" s="1"/>
  <c r="D356" i="2"/>
  <c r="N355" i="2"/>
  <c r="M355" i="2"/>
  <c r="I355" i="2"/>
  <c r="H355" i="2"/>
  <c r="J355" i="2" s="1"/>
  <c r="L355" i="2" s="1"/>
  <c r="D355" i="2"/>
  <c r="N354" i="2"/>
  <c r="M354" i="2"/>
  <c r="J354" i="2"/>
  <c r="L354" i="2" s="1"/>
  <c r="I354" i="2"/>
  <c r="H354" i="2"/>
  <c r="D354" i="2"/>
  <c r="N353" i="2"/>
  <c r="M353" i="2"/>
  <c r="I353" i="2"/>
  <c r="J353" i="2" s="1"/>
  <c r="L353" i="2" s="1"/>
  <c r="H353" i="2"/>
  <c r="D353" i="2"/>
  <c r="N352" i="2"/>
  <c r="M352" i="2"/>
  <c r="I352" i="2"/>
  <c r="H352" i="2"/>
  <c r="J352" i="2" s="1"/>
  <c r="L352" i="2" s="1"/>
  <c r="D352" i="2"/>
  <c r="N351" i="2"/>
  <c r="M351" i="2"/>
  <c r="I351" i="2"/>
  <c r="H351" i="2"/>
  <c r="J351" i="2" s="1"/>
  <c r="L351" i="2" s="1"/>
  <c r="D351" i="2"/>
  <c r="N350" i="2"/>
  <c r="M350" i="2"/>
  <c r="J350" i="2"/>
  <c r="L350" i="2" s="1"/>
  <c r="I350" i="2"/>
  <c r="H350" i="2"/>
  <c r="D350" i="2"/>
  <c r="N349" i="2"/>
  <c r="M349" i="2"/>
  <c r="I349" i="2"/>
  <c r="J349" i="2" s="1"/>
  <c r="L349" i="2" s="1"/>
  <c r="H349" i="2"/>
  <c r="D349" i="2"/>
  <c r="N348" i="2"/>
  <c r="M348" i="2"/>
  <c r="I348" i="2"/>
  <c r="H348" i="2"/>
  <c r="J348" i="2" s="1"/>
  <c r="L348" i="2" s="1"/>
  <c r="D348" i="2"/>
  <c r="N347" i="2"/>
  <c r="M347" i="2"/>
  <c r="I347" i="2"/>
  <c r="H347" i="2"/>
  <c r="J347" i="2" s="1"/>
  <c r="L347" i="2" s="1"/>
  <c r="D347" i="2"/>
  <c r="N346" i="2"/>
  <c r="M346" i="2"/>
  <c r="J346" i="2"/>
  <c r="L346" i="2" s="1"/>
  <c r="I346" i="2"/>
  <c r="H346" i="2"/>
  <c r="D346" i="2"/>
  <c r="N345" i="2"/>
  <c r="M345" i="2"/>
  <c r="I345" i="2"/>
  <c r="J345" i="2" s="1"/>
  <c r="L345" i="2" s="1"/>
  <c r="H345" i="2"/>
  <c r="D345" i="2"/>
  <c r="N344" i="2"/>
  <c r="M344" i="2"/>
  <c r="I344" i="2"/>
  <c r="H344" i="2"/>
  <c r="J344" i="2" s="1"/>
  <c r="L344" i="2" s="1"/>
  <c r="D344" i="2"/>
  <c r="N343" i="2"/>
  <c r="M343" i="2"/>
  <c r="I343" i="2"/>
  <c r="H343" i="2"/>
  <c r="J343" i="2" s="1"/>
  <c r="L343" i="2" s="1"/>
  <c r="D343" i="2"/>
  <c r="N342" i="2"/>
  <c r="M342" i="2"/>
  <c r="J342" i="2"/>
  <c r="L342" i="2" s="1"/>
  <c r="I342" i="2"/>
  <c r="H342" i="2"/>
  <c r="D342" i="2"/>
  <c r="N341" i="2"/>
  <c r="M341" i="2"/>
  <c r="I341" i="2"/>
  <c r="J341" i="2" s="1"/>
  <c r="L341" i="2" s="1"/>
  <c r="H341" i="2"/>
  <c r="D341" i="2"/>
  <c r="N340" i="2"/>
  <c r="M340" i="2"/>
  <c r="I340" i="2"/>
  <c r="H340" i="2"/>
  <c r="J340" i="2" s="1"/>
  <c r="L340" i="2" s="1"/>
  <c r="D340" i="2"/>
  <c r="N339" i="2"/>
  <c r="M339" i="2"/>
  <c r="I339" i="2"/>
  <c r="H339" i="2"/>
  <c r="J339" i="2" s="1"/>
  <c r="L339" i="2" s="1"/>
  <c r="D339" i="2"/>
  <c r="N338" i="2"/>
  <c r="M338" i="2"/>
  <c r="J338" i="2"/>
  <c r="L338" i="2" s="1"/>
  <c r="I338" i="2"/>
  <c r="H338" i="2"/>
  <c r="D338" i="2"/>
  <c r="N337" i="2"/>
  <c r="M337" i="2"/>
  <c r="I337" i="2"/>
  <c r="J337" i="2" s="1"/>
  <c r="L337" i="2" s="1"/>
  <c r="H337" i="2"/>
  <c r="D337" i="2"/>
  <c r="N336" i="2"/>
  <c r="M336" i="2"/>
  <c r="I336" i="2"/>
  <c r="H336" i="2"/>
  <c r="J336" i="2" s="1"/>
  <c r="L336" i="2" s="1"/>
  <c r="D336" i="2"/>
  <c r="N335" i="2"/>
  <c r="M335" i="2"/>
  <c r="I335" i="2"/>
  <c r="H335" i="2"/>
  <c r="J335" i="2" s="1"/>
  <c r="L335" i="2" s="1"/>
  <c r="D335" i="2"/>
  <c r="N334" i="2"/>
  <c r="M334" i="2"/>
  <c r="J334" i="2"/>
  <c r="L334" i="2" s="1"/>
  <c r="I334" i="2"/>
  <c r="H334" i="2"/>
  <c r="D334" i="2"/>
  <c r="N333" i="2"/>
  <c r="M333" i="2"/>
  <c r="I333" i="2"/>
  <c r="J333" i="2" s="1"/>
  <c r="L333" i="2" s="1"/>
  <c r="H333" i="2"/>
  <c r="D333" i="2"/>
  <c r="N332" i="2"/>
  <c r="M332" i="2"/>
  <c r="I332" i="2"/>
  <c r="H332" i="2"/>
  <c r="J332" i="2" s="1"/>
  <c r="L332" i="2" s="1"/>
  <c r="D332" i="2"/>
  <c r="N331" i="2"/>
  <c r="M331" i="2"/>
  <c r="I331" i="2"/>
  <c r="H331" i="2"/>
  <c r="J331" i="2" s="1"/>
  <c r="L331" i="2" s="1"/>
  <c r="D331" i="2"/>
  <c r="N330" i="2"/>
  <c r="M330" i="2"/>
  <c r="J330" i="2"/>
  <c r="L330" i="2" s="1"/>
  <c r="I330" i="2"/>
  <c r="H330" i="2"/>
  <c r="D330" i="2"/>
  <c r="N329" i="2"/>
  <c r="M329" i="2"/>
  <c r="I329" i="2"/>
  <c r="J329" i="2" s="1"/>
  <c r="L329" i="2" s="1"/>
  <c r="H329" i="2"/>
  <c r="D329" i="2"/>
  <c r="N328" i="2"/>
  <c r="M328" i="2"/>
  <c r="I328" i="2"/>
  <c r="H328" i="2"/>
  <c r="J328" i="2" s="1"/>
  <c r="L328" i="2" s="1"/>
  <c r="D328" i="2"/>
  <c r="N327" i="2"/>
  <c r="M327" i="2"/>
  <c r="I327" i="2"/>
  <c r="H327" i="2"/>
  <c r="J327" i="2" s="1"/>
  <c r="L327" i="2" s="1"/>
  <c r="D327" i="2"/>
  <c r="N326" i="2"/>
  <c r="M326" i="2"/>
  <c r="J326" i="2"/>
  <c r="L326" i="2" s="1"/>
  <c r="I326" i="2"/>
  <c r="H326" i="2"/>
  <c r="D326" i="2"/>
  <c r="N325" i="2"/>
  <c r="M325" i="2"/>
  <c r="I325" i="2"/>
  <c r="J325" i="2" s="1"/>
  <c r="L325" i="2" s="1"/>
  <c r="H325" i="2"/>
  <c r="D325" i="2"/>
  <c r="N324" i="2"/>
  <c r="M324" i="2"/>
  <c r="I324" i="2"/>
  <c r="H324" i="2"/>
  <c r="J324" i="2" s="1"/>
  <c r="L324" i="2" s="1"/>
  <c r="D324" i="2"/>
  <c r="N323" i="2"/>
  <c r="M323" i="2"/>
  <c r="I323" i="2"/>
  <c r="H323" i="2"/>
  <c r="J323" i="2" s="1"/>
  <c r="L323" i="2" s="1"/>
  <c r="D323" i="2"/>
  <c r="N322" i="2"/>
  <c r="M322" i="2"/>
  <c r="J322" i="2"/>
  <c r="L322" i="2" s="1"/>
  <c r="I322" i="2"/>
  <c r="H322" i="2"/>
  <c r="D322" i="2"/>
  <c r="N321" i="2"/>
  <c r="M321" i="2"/>
  <c r="I321" i="2"/>
  <c r="J321" i="2" s="1"/>
  <c r="L321" i="2" s="1"/>
  <c r="H321" i="2"/>
  <c r="D321" i="2"/>
  <c r="N320" i="2"/>
  <c r="M320" i="2"/>
  <c r="I320" i="2"/>
  <c r="H320" i="2"/>
  <c r="J320" i="2" s="1"/>
  <c r="L320" i="2" s="1"/>
  <c r="D320" i="2"/>
  <c r="N319" i="2"/>
  <c r="M319" i="2"/>
  <c r="I319" i="2"/>
  <c r="H319" i="2"/>
  <c r="J319" i="2" s="1"/>
  <c r="L319" i="2" s="1"/>
  <c r="D319" i="2"/>
  <c r="N318" i="2"/>
  <c r="M318" i="2"/>
  <c r="J318" i="2"/>
  <c r="L318" i="2" s="1"/>
  <c r="I318" i="2"/>
  <c r="H318" i="2"/>
  <c r="D318" i="2"/>
  <c r="N317" i="2"/>
  <c r="M317" i="2"/>
  <c r="I317" i="2"/>
  <c r="J317" i="2" s="1"/>
  <c r="L317" i="2" s="1"/>
  <c r="H317" i="2"/>
  <c r="D317" i="2"/>
  <c r="N316" i="2"/>
  <c r="M316" i="2"/>
  <c r="I316" i="2"/>
  <c r="H316" i="2"/>
  <c r="J316" i="2" s="1"/>
  <c r="L316" i="2" s="1"/>
  <c r="D316" i="2"/>
  <c r="N315" i="2"/>
  <c r="M315" i="2"/>
  <c r="I315" i="2"/>
  <c r="H315" i="2"/>
  <c r="J315" i="2" s="1"/>
  <c r="L315" i="2" s="1"/>
  <c r="D315" i="2"/>
  <c r="N314" i="2"/>
  <c r="M314" i="2"/>
  <c r="J314" i="2"/>
  <c r="L314" i="2" s="1"/>
  <c r="I314" i="2"/>
  <c r="H314" i="2"/>
  <c r="D314" i="2"/>
  <c r="N313" i="2"/>
  <c r="M313" i="2"/>
  <c r="I313" i="2"/>
  <c r="J313" i="2" s="1"/>
  <c r="L313" i="2" s="1"/>
  <c r="H313" i="2"/>
  <c r="D313" i="2"/>
  <c r="N312" i="2"/>
  <c r="M312" i="2"/>
  <c r="I312" i="2"/>
  <c r="H312" i="2"/>
  <c r="J312" i="2" s="1"/>
  <c r="L312" i="2" s="1"/>
  <c r="D312" i="2"/>
  <c r="N311" i="2"/>
  <c r="M311" i="2"/>
  <c r="I311" i="2"/>
  <c r="H311" i="2"/>
  <c r="J311" i="2" s="1"/>
  <c r="L311" i="2" s="1"/>
  <c r="D311" i="2"/>
  <c r="N310" i="2"/>
  <c r="M310" i="2"/>
  <c r="J310" i="2"/>
  <c r="L310" i="2" s="1"/>
  <c r="I310" i="2"/>
  <c r="H310" i="2"/>
  <c r="D310" i="2"/>
  <c r="N309" i="2"/>
  <c r="M309" i="2"/>
  <c r="I309" i="2"/>
  <c r="J309" i="2" s="1"/>
  <c r="L309" i="2" s="1"/>
  <c r="H309" i="2"/>
  <c r="D309" i="2"/>
  <c r="N308" i="2"/>
  <c r="M308" i="2"/>
  <c r="I308" i="2"/>
  <c r="H308" i="2"/>
  <c r="J308" i="2" s="1"/>
  <c r="L308" i="2" s="1"/>
  <c r="D308" i="2"/>
  <c r="N307" i="2"/>
  <c r="M307" i="2"/>
  <c r="I307" i="2"/>
  <c r="H307" i="2"/>
  <c r="J307" i="2" s="1"/>
  <c r="L307" i="2" s="1"/>
  <c r="D307" i="2"/>
  <c r="N306" i="2"/>
  <c r="M306" i="2"/>
  <c r="J306" i="2"/>
  <c r="L306" i="2" s="1"/>
  <c r="I306" i="2"/>
  <c r="H306" i="2"/>
  <c r="D306" i="2"/>
  <c r="N305" i="2"/>
  <c r="M305" i="2"/>
  <c r="I305" i="2"/>
  <c r="J305" i="2" s="1"/>
  <c r="L305" i="2" s="1"/>
  <c r="H305" i="2"/>
  <c r="D305" i="2"/>
  <c r="N304" i="2"/>
  <c r="M304" i="2"/>
  <c r="I304" i="2"/>
  <c r="H304" i="2"/>
  <c r="J304" i="2" s="1"/>
  <c r="L304" i="2" s="1"/>
  <c r="D304" i="2"/>
  <c r="N303" i="2"/>
  <c r="M303" i="2"/>
  <c r="I303" i="2"/>
  <c r="H303" i="2"/>
  <c r="J303" i="2" s="1"/>
  <c r="L303" i="2" s="1"/>
  <c r="D303" i="2"/>
  <c r="N302" i="2"/>
  <c r="M302" i="2"/>
  <c r="J302" i="2"/>
  <c r="L302" i="2" s="1"/>
  <c r="I302" i="2"/>
  <c r="H302" i="2"/>
  <c r="D302" i="2"/>
  <c r="N301" i="2"/>
  <c r="M301" i="2"/>
  <c r="I301" i="2"/>
  <c r="J301" i="2" s="1"/>
  <c r="L301" i="2" s="1"/>
  <c r="H301" i="2"/>
  <c r="D301" i="2"/>
  <c r="N300" i="2"/>
  <c r="M300" i="2"/>
  <c r="I300" i="2"/>
  <c r="H300" i="2"/>
  <c r="J300" i="2" s="1"/>
  <c r="L300" i="2" s="1"/>
  <c r="D300" i="2"/>
  <c r="N299" i="2"/>
  <c r="M299" i="2"/>
  <c r="I299" i="2"/>
  <c r="H299" i="2"/>
  <c r="J299" i="2" s="1"/>
  <c r="L299" i="2" s="1"/>
  <c r="D299" i="2"/>
  <c r="N298" i="2"/>
  <c r="M298" i="2"/>
  <c r="J298" i="2"/>
  <c r="L298" i="2" s="1"/>
  <c r="I298" i="2"/>
  <c r="H298" i="2"/>
  <c r="D298" i="2"/>
  <c r="N297" i="2"/>
  <c r="M297" i="2"/>
  <c r="I297" i="2"/>
  <c r="J297" i="2" s="1"/>
  <c r="L297" i="2" s="1"/>
  <c r="H297" i="2"/>
  <c r="D297" i="2"/>
  <c r="N296" i="2"/>
  <c r="M296" i="2"/>
  <c r="I296" i="2"/>
  <c r="H296" i="2"/>
  <c r="J296" i="2" s="1"/>
  <c r="L296" i="2" s="1"/>
  <c r="D296" i="2"/>
  <c r="N295" i="2"/>
  <c r="M295" i="2"/>
  <c r="I295" i="2"/>
  <c r="H295" i="2"/>
  <c r="J295" i="2" s="1"/>
  <c r="L295" i="2" s="1"/>
  <c r="D295" i="2"/>
  <c r="N294" i="2"/>
  <c r="M294" i="2"/>
  <c r="J294" i="2"/>
  <c r="L294" i="2" s="1"/>
  <c r="I294" i="2"/>
  <c r="H294" i="2"/>
  <c r="D294" i="2"/>
  <c r="N293" i="2"/>
  <c r="M293" i="2"/>
  <c r="I293" i="2"/>
  <c r="J293" i="2" s="1"/>
  <c r="L293" i="2" s="1"/>
  <c r="H293" i="2"/>
  <c r="D293" i="2"/>
  <c r="N292" i="2"/>
  <c r="M292" i="2"/>
  <c r="I292" i="2"/>
  <c r="H292" i="2"/>
  <c r="J292" i="2" s="1"/>
  <c r="L292" i="2" s="1"/>
  <c r="D292" i="2"/>
  <c r="N291" i="2"/>
  <c r="M291" i="2"/>
  <c r="I291" i="2"/>
  <c r="H291" i="2"/>
  <c r="J291" i="2" s="1"/>
  <c r="L291" i="2" s="1"/>
  <c r="D291" i="2"/>
  <c r="N290" i="2"/>
  <c r="M290" i="2"/>
  <c r="J290" i="2"/>
  <c r="L290" i="2" s="1"/>
  <c r="I290" i="2"/>
  <c r="H290" i="2"/>
  <c r="D290" i="2"/>
  <c r="N289" i="2"/>
  <c r="M289" i="2"/>
  <c r="I289" i="2"/>
  <c r="J289" i="2" s="1"/>
  <c r="L289" i="2" s="1"/>
  <c r="H289" i="2"/>
  <c r="D289" i="2"/>
  <c r="N288" i="2"/>
  <c r="M288" i="2"/>
  <c r="I288" i="2"/>
  <c r="H288" i="2"/>
  <c r="J288" i="2" s="1"/>
  <c r="L288" i="2" s="1"/>
  <c r="D288" i="2"/>
  <c r="N287" i="2"/>
  <c r="M287" i="2"/>
  <c r="I287" i="2"/>
  <c r="H287" i="2"/>
  <c r="J287" i="2" s="1"/>
  <c r="L287" i="2" s="1"/>
  <c r="D287" i="2"/>
  <c r="N286" i="2"/>
  <c r="M286" i="2"/>
  <c r="J286" i="2"/>
  <c r="L286" i="2" s="1"/>
  <c r="I286" i="2"/>
  <c r="H286" i="2"/>
  <c r="D286" i="2"/>
  <c r="N285" i="2"/>
  <c r="M285" i="2"/>
  <c r="I285" i="2"/>
  <c r="J285" i="2" s="1"/>
  <c r="L285" i="2" s="1"/>
  <c r="H285" i="2"/>
  <c r="D285" i="2"/>
  <c r="N284" i="2"/>
  <c r="M284" i="2"/>
  <c r="I284" i="2"/>
  <c r="H284" i="2"/>
  <c r="J284" i="2" s="1"/>
  <c r="L284" i="2" s="1"/>
  <c r="D284" i="2"/>
  <c r="N283" i="2"/>
  <c r="M283" i="2"/>
  <c r="I283" i="2"/>
  <c r="H283" i="2"/>
  <c r="J283" i="2" s="1"/>
  <c r="L283" i="2" s="1"/>
  <c r="D283" i="2"/>
  <c r="N282" i="2"/>
  <c r="M282" i="2"/>
  <c r="J282" i="2"/>
  <c r="L282" i="2" s="1"/>
  <c r="I282" i="2"/>
  <c r="H282" i="2"/>
  <c r="D282" i="2"/>
  <c r="N281" i="2"/>
  <c r="M281" i="2"/>
  <c r="I281" i="2"/>
  <c r="J281" i="2" s="1"/>
  <c r="L281" i="2" s="1"/>
  <c r="H281" i="2"/>
  <c r="D281" i="2"/>
  <c r="N280" i="2"/>
  <c r="M280" i="2"/>
  <c r="I280" i="2"/>
  <c r="H280" i="2"/>
  <c r="J280" i="2" s="1"/>
  <c r="L280" i="2" s="1"/>
  <c r="D280" i="2"/>
  <c r="N279" i="2"/>
  <c r="M279" i="2"/>
  <c r="I279" i="2"/>
  <c r="H279" i="2"/>
  <c r="J279" i="2" s="1"/>
  <c r="L279" i="2" s="1"/>
  <c r="D279" i="2"/>
  <c r="N278" i="2"/>
  <c r="M278" i="2"/>
  <c r="J278" i="2"/>
  <c r="L278" i="2" s="1"/>
  <c r="I278" i="2"/>
  <c r="H278" i="2"/>
  <c r="D278" i="2"/>
  <c r="N277" i="2"/>
  <c r="M277" i="2"/>
  <c r="I277" i="2"/>
  <c r="J277" i="2" s="1"/>
  <c r="L277" i="2" s="1"/>
  <c r="H277" i="2"/>
  <c r="D277" i="2"/>
  <c r="N276" i="2"/>
  <c r="M276" i="2"/>
  <c r="I276" i="2"/>
  <c r="H276" i="2"/>
  <c r="J276" i="2" s="1"/>
  <c r="L276" i="2" s="1"/>
  <c r="D276" i="2"/>
  <c r="N275" i="2"/>
  <c r="M275" i="2"/>
  <c r="I275" i="2"/>
  <c r="H275" i="2"/>
  <c r="J275" i="2" s="1"/>
  <c r="L275" i="2" s="1"/>
  <c r="D275" i="2"/>
  <c r="N274" i="2"/>
  <c r="M274" i="2"/>
  <c r="J274" i="2"/>
  <c r="L274" i="2" s="1"/>
  <c r="I274" i="2"/>
  <c r="H274" i="2"/>
  <c r="D274" i="2"/>
  <c r="N273" i="2"/>
  <c r="M273" i="2"/>
  <c r="I273" i="2"/>
  <c r="J273" i="2" s="1"/>
  <c r="L273" i="2" s="1"/>
  <c r="H273" i="2"/>
  <c r="D273" i="2"/>
  <c r="N272" i="2"/>
  <c r="M272" i="2"/>
  <c r="I272" i="2"/>
  <c r="H272" i="2"/>
  <c r="J272" i="2" s="1"/>
  <c r="L272" i="2" s="1"/>
  <c r="D272" i="2"/>
  <c r="N271" i="2"/>
  <c r="M271" i="2"/>
  <c r="I271" i="2"/>
  <c r="H271" i="2"/>
  <c r="J271" i="2" s="1"/>
  <c r="L271" i="2" s="1"/>
  <c r="D271" i="2"/>
  <c r="N270" i="2"/>
  <c r="M270" i="2"/>
  <c r="J270" i="2"/>
  <c r="L270" i="2" s="1"/>
  <c r="I270" i="2"/>
  <c r="H270" i="2"/>
  <c r="D270" i="2"/>
  <c r="N269" i="2"/>
  <c r="M269" i="2"/>
  <c r="I269" i="2"/>
  <c r="J269" i="2" s="1"/>
  <c r="L269" i="2" s="1"/>
  <c r="H269" i="2"/>
  <c r="D269" i="2"/>
  <c r="N268" i="2"/>
  <c r="M268" i="2"/>
  <c r="I268" i="2"/>
  <c r="H268" i="2"/>
  <c r="J268" i="2" s="1"/>
  <c r="L268" i="2" s="1"/>
  <c r="D268" i="2"/>
  <c r="N267" i="2"/>
  <c r="M267" i="2"/>
  <c r="I267" i="2"/>
  <c r="H267" i="2"/>
  <c r="J267" i="2" s="1"/>
  <c r="L267" i="2" s="1"/>
  <c r="D267" i="2"/>
  <c r="N266" i="2"/>
  <c r="M266" i="2"/>
  <c r="J266" i="2"/>
  <c r="L266" i="2" s="1"/>
  <c r="I266" i="2"/>
  <c r="H266" i="2"/>
  <c r="D266" i="2"/>
  <c r="N265" i="2"/>
  <c r="M265" i="2"/>
  <c r="I265" i="2"/>
  <c r="J265" i="2" s="1"/>
  <c r="L265" i="2" s="1"/>
  <c r="H265" i="2"/>
  <c r="D265" i="2"/>
  <c r="N264" i="2"/>
  <c r="M264" i="2"/>
  <c r="I264" i="2"/>
  <c r="H264" i="2"/>
  <c r="J264" i="2" s="1"/>
  <c r="L264" i="2" s="1"/>
  <c r="D264" i="2"/>
  <c r="N263" i="2"/>
  <c r="M263" i="2"/>
  <c r="I263" i="2"/>
  <c r="H263" i="2"/>
  <c r="J263" i="2" s="1"/>
  <c r="L263" i="2" s="1"/>
  <c r="D263" i="2"/>
  <c r="N262" i="2"/>
  <c r="M262" i="2"/>
  <c r="J262" i="2"/>
  <c r="L262" i="2" s="1"/>
  <c r="I262" i="2"/>
  <c r="H262" i="2"/>
  <c r="D262" i="2"/>
  <c r="N261" i="2"/>
  <c r="M261" i="2"/>
  <c r="I261" i="2"/>
  <c r="J261" i="2" s="1"/>
  <c r="L261" i="2" s="1"/>
  <c r="H261" i="2"/>
  <c r="D261" i="2"/>
  <c r="N260" i="2"/>
  <c r="M260" i="2"/>
  <c r="I260" i="2"/>
  <c r="H260" i="2"/>
  <c r="J260" i="2" s="1"/>
  <c r="L260" i="2" s="1"/>
  <c r="D260" i="2"/>
  <c r="N259" i="2"/>
  <c r="M259" i="2"/>
  <c r="I259" i="2"/>
  <c r="H259" i="2"/>
  <c r="J259" i="2" s="1"/>
  <c r="L259" i="2" s="1"/>
  <c r="D259" i="2"/>
  <c r="N258" i="2"/>
  <c r="M258" i="2"/>
  <c r="J258" i="2"/>
  <c r="L258" i="2" s="1"/>
  <c r="I258" i="2"/>
  <c r="H258" i="2"/>
  <c r="D258" i="2"/>
  <c r="N257" i="2"/>
  <c r="M257" i="2"/>
  <c r="I257" i="2"/>
  <c r="J257" i="2" s="1"/>
  <c r="L257" i="2" s="1"/>
  <c r="H257" i="2"/>
  <c r="D257" i="2"/>
  <c r="N256" i="2"/>
  <c r="M256" i="2"/>
  <c r="I256" i="2"/>
  <c r="H256" i="2"/>
  <c r="J256" i="2" s="1"/>
  <c r="L256" i="2" s="1"/>
  <c r="D256" i="2"/>
  <c r="N255" i="2"/>
  <c r="M255" i="2"/>
  <c r="I255" i="2"/>
  <c r="H255" i="2"/>
  <c r="J255" i="2" s="1"/>
  <c r="L255" i="2" s="1"/>
  <c r="D255" i="2"/>
  <c r="N254" i="2"/>
  <c r="M254" i="2"/>
  <c r="J254" i="2"/>
  <c r="L254" i="2" s="1"/>
  <c r="I254" i="2"/>
  <c r="H254" i="2"/>
  <c r="D254" i="2"/>
  <c r="N253" i="2"/>
  <c r="M253" i="2"/>
  <c r="I253" i="2"/>
  <c r="J253" i="2" s="1"/>
  <c r="L253" i="2" s="1"/>
  <c r="H253" i="2"/>
  <c r="D253" i="2"/>
  <c r="N252" i="2"/>
  <c r="M252" i="2"/>
  <c r="I252" i="2"/>
  <c r="H252" i="2"/>
  <c r="J252" i="2" s="1"/>
  <c r="L252" i="2" s="1"/>
  <c r="D252" i="2"/>
  <c r="N251" i="2"/>
  <c r="M251" i="2"/>
  <c r="I251" i="2"/>
  <c r="H251" i="2"/>
  <c r="J251" i="2" s="1"/>
  <c r="L251" i="2" s="1"/>
  <c r="D251" i="2"/>
  <c r="N250" i="2"/>
  <c r="M250" i="2"/>
  <c r="J250" i="2"/>
  <c r="L250" i="2" s="1"/>
  <c r="I250" i="2"/>
  <c r="H250" i="2"/>
  <c r="D250" i="2"/>
  <c r="N249" i="2"/>
  <c r="M249" i="2"/>
  <c r="I249" i="2"/>
  <c r="J249" i="2" s="1"/>
  <c r="L249" i="2" s="1"/>
  <c r="H249" i="2"/>
  <c r="D249" i="2"/>
  <c r="N248" i="2"/>
  <c r="M248" i="2"/>
  <c r="I248" i="2"/>
  <c r="H248" i="2"/>
  <c r="J248" i="2" s="1"/>
  <c r="L248" i="2" s="1"/>
  <c r="D248" i="2"/>
  <c r="N247" i="2"/>
  <c r="M247" i="2"/>
  <c r="I247" i="2"/>
  <c r="H247" i="2"/>
  <c r="J247" i="2" s="1"/>
  <c r="L247" i="2" s="1"/>
  <c r="D247" i="2"/>
  <c r="N246" i="2"/>
  <c r="M246" i="2"/>
  <c r="J246" i="2"/>
  <c r="L246" i="2" s="1"/>
  <c r="I246" i="2"/>
  <c r="H246" i="2"/>
  <c r="D246" i="2"/>
  <c r="N245" i="2"/>
  <c r="M245" i="2"/>
  <c r="I245" i="2"/>
  <c r="J245" i="2" s="1"/>
  <c r="L245" i="2" s="1"/>
  <c r="H245" i="2"/>
  <c r="D245" i="2"/>
  <c r="N244" i="2"/>
  <c r="M244" i="2"/>
  <c r="I244" i="2"/>
  <c r="H244" i="2"/>
  <c r="J244" i="2" s="1"/>
  <c r="L244" i="2" s="1"/>
  <c r="D244" i="2"/>
  <c r="N243" i="2"/>
  <c r="M243" i="2"/>
  <c r="I243" i="2"/>
  <c r="H243" i="2"/>
  <c r="J243" i="2" s="1"/>
  <c r="L243" i="2" s="1"/>
  <c r="D243" i="2"/>
  <c r="N242" i="2"/>
  <c r="M242" i="2"/>
  <c r="J242" i="2"/>
  <c r="L242" i="2" s="1"/>
  <c r="I242" i="2"/>
  <c r="H242" i="2"/>
  <c r="D242" i="2"/>
  <c r="N241" i="2"/>
  <c r="M241" i="2"/>
  <c r="I241" i="2"/>
  <c r="J241" i="2" s="1"/>
  <c r="L241" i="2" s="1"/>
  <c r="H241" i="2"/>
  <c r="D241" i="2"/>
  <c r="N240" i="2"/>
  <c r="M240" i="2"/>
  <c r="I240" i="2"/>
  <c r="H240" i="2"/>
  <c r="J240" i="2" s="1"/>
  <c r="L240" i="2" s="1"/>
  <c r="D240" i="2"/>
  <c r="N239" i="2"/>
  <c r="M239" i="2"/>
  <c r="I239" i="2"/>
  <c r="H239" i="2"/>
  <c r="J239" i="2" s="1"/>
  <c r="L239" i="2" s="1"/>
  <c r="D239" i="2"/>
  <c r="N238" i="2"/>
  <c r="M238" i="2"/>
  <c r="J238" i="2"/>
  <c r="L238" i="2" s="1"/>
  <c r="I238" i="2"/>
  <c r="H238" i="2"/>
  <c r="D238" i="2"/>
  <c r="N237" i="2"/>
  <c r="M237" i="2"/>
  <c r="I237" i="2"/>
  <c r="J237" i="2" s="1"/>
  <c r="L237" i="2" s="1"/>
  <c r="H237" i="2"/>
  <c r="D237" i="2"/>
  <c r="N236" i="2"/>
  <c r="M236" i="2"/>
  <c r="I236" i="2"/>
  <c r="H236" i="2"/>
  <c r="J236" i="2" s="1"/>
  <c r="L236" i="2" s="1"/>
  <c r="D236" i="2"/>
  <c r="N235" i="2"/>
  <c r="M235" i="2"/>
  <c r="I235" i="2"/>
  <c r="H235" i="2"/>
  <c r="J235" i="2" s="1"/>
  <c r="L235" i="2" s="1"/>
  <c r="D235" i="2"/>
  <c r="N234" i="2"/>
  <c r="M234" i="2"/>
  <c r="J234" i="2"/>
  <c r="L234" i="2" s="1"/>
  <c r="I234" i="2"/>
  <c r="H234" i="2"/>
  <c r="D234" i="2"/>
  <c r="N233" i="2"/>
  <c r="M233" i="2"/>
  <c r="I233" i="2"/>
  <c r="J233" i="2" s="1"/>
  <c r="L233" i="2" s="1"/>
  <c r="H233" i="2"/>
  <c r="D233" i="2"/>
  <c r="N232" i="2"/>
  <c r="M232" i="2"/>
  <c r="I232" i="2"/>
  <c r="H232" i="2"/>
  <c r="J232" i="2" s="1"/>
  <c r="L232" i="2" s="1"/>
  <c r="D232" i="2"/>
  <c r="N231" i="2"/>
  <c r="M231" i="2"/>
  <c r="I231" i="2"/>
  <c r="H231" i="2"/>
  <c r="J231" i="2" s="1"/>
  <c r="L231" i="2" s="1"/>
  <c r="D231" i="2"/>
  <c r="N230" i="2"/>
  <c r="M230" i="2"/>
  <c r="J230" i="2"/>
  <c r="L230" i="2" s="1"/>
  <c r="I230" i="2"/>
  <c r="H230" i="2"/>
  <c r="D230" i="2"/>
  <c r="N229" i="2"/>
  <c r="M229" i="2"/>
  <c r="I229" i="2"/>
  <c r="J229" i="2" s="1"/>
  <c r="L229" i="2" s="1"/>
  <c r="H229" i="2"/>
  <c r="D229" i="2"/>
  <c r="N228" i="2"/>
  <c r="M228" i="2"/>
  <c r="I228" i="2"/>
  <c r="H228" i="2"/>
  <c r="J228" i="2" s="1"/>
  <c r="L228" i="2" s="1"/>
  <c r="D228" i="2"/>
  <c r="N227" i="2"/>
  <c r="M227" i="2"/>
  <c r="I227" i="2"/>
  <c r="H227" i="2"/>
  <c r="J227" i="2" s="1"/>
  <c r="L227" i="2" s="1"/>
  <c r="D227" i="2"/>
  <c r="N226" i="2"/>
  <c r="M226" i="2"/>
  <c r="J226" i="2"/>
  <c r="L226" i="2" s="1"/>
  <c r="I226" i="2"/>
  <c r="H226" i="2"/>
  <c r="D226" i="2"/>
  <c r="N225" i="2"/>
  <c r="M225" i="2"/>
  <c r="I225" i="2"/>
  <c r="J225" i="2" s="1"/>
  <c r="L225" i="2" s="1"/>
  <c r="H225" i="2"/>
  <c r="D225" i="2"/>
  <c r="N224" i="2"/>
  <c r="M224" i="2"/>
  <c r="I224" i="2"/>
  <c r="H224" i="2"/>
  <c r="J224" i="2" s="1"/>
  <c r="L224" i="2" s="1"/>
  <c r="D224" i="2"/>
  <c r="N223" i="2"/>
  <c r="M223" i="2"/>
  <c r="I223" i="2"/>
  <c r="H223" i="2"/>
  <c r="J223" i="2" s="1"/>
  <c r="L223" i="2" s="1"/>
  <c r="D223" i="2"/>
  <c r="N222" i="2"/>
  <c r="M222" i="2"/>
  <c r="J222" i="2"/>
  <c r="L222" i="2" s="1"/>
  <c r="I222" i="2"/>
  <c r="H222" i="2"/>
  <c r="D222" i="2"/>
  <c r="N221" i="2"/>
  <c r="M221" i="2"/>
  <c r="I221" i="2"/>
  <c r="J221" i="2" s="1"/>
  <c r="L221" i="2" s="1"/>
  <c r="H221" i="2"/>
  <c r="D221" i="2"/>
  <c r="N220" i="2"/>
  <c r="M220" i="2"/>
  <c r="I220" i="2"/>
  <c r="H220" i="2"/>
  <c r="J220" i="2" s="1"/>
  <c r="L220" i="2" s="1"/>
  <c r="D220" i="2"/>
  <c r="N219" i="2"/>
  <c r="M219" i="2"/>
  <c r="I219" i="2"/>
  <c r="H219" i="2"/>
  <c r="J219" i="2" s="1"/>
  <c r="L219" i="2" s="1"/>
  <c r="D219" i="2"/>
  <c r="N218" i="2"/>
  <c r="M218" i="2"/>
  <c r="J218" i="2"/>
  <c r="L218" i="2" s="1"/>
  <c r="I218" i="2"/>
  <c r="H218" i="2"/>
  <c r="D218" i="2"/>
  <c r="N217" i="2"/>
  <c r="M217" i="2"/>
  <c r="I217" i="2"/>
  <c r="J217" i="2" s="1"/>
  <c r="L217" i="2" s="1"/>
  <c r="H217" i="2"/>
  <c r="D217" i="2"/>
  <c r="N216" i="2"/>
  <c r="M216" i="2"/>
  <c r="I216" i="2"/>
  <c r="H216" i="2"/>
  <c r="J216" i="2" s="1"/>
  <c r="L216" i="2" s="1"/>
  <c r="D216" i="2"/>
  <c r="N215" i="2"/>
  <c r="M215" i="2"/>
  <c r="I215" i="2"/>
  <c r="H215" i="2"/>
  <c r="J215" i="2" s="1"/>
  <c r="L215" i="2" s="1"/>
  <c r="D215" i="2"/>
  <c r="N214" i="2"/>
  <c r="M214" i="2"/>
  <c r="J214" i="2"/>
  <c r="L214" i="2" s="1"/>
  <c r="I214" i="2"/>
  <c r="H214" i="2"/>
  <c r="D214" i="2"/>
  <c r="N213" i="2"/>
  <c r="M213" i="2"/>
  <c r="I213" i="2"/>
  <c r="J213" i="2" s="1"/>
  <c r="L213" i="2" s="1"/>
  <c r="H213" i="2"/>
  <c r="D213" i="2"/>
  <c r="N212" i="2"/>
  <c r="M212" i="2"/>
  <c r="I212" i="2"/>
  <c r="H212" i="2"/>
  <c r="J212" i="2" s="1"/>
  <c r="L212" i="2" s="1"/>
  <c r="D212" i="2"/>
  <c r="N211" i="2"/>
  <c r="M211" i="2"/>
  <c r="I211" i="2"/>
  <c r="H211" i="2"/>
  <c r="J211" i="2" s="1"/>
  <c r="L211" i="2" s="1"/>
  <c r="D211" i="2"/>
  <c r="N210" i="2"/>
  <c r="M210" i="2"/>
  <c r="J210" i="2"/>
  <c r="L210" i="2" s="1"/>
  <c r="I210" i="2"/>
  <c r="H210" i="2"/>
  <c r="D210" i="2"/>
  <c r="N209" i="2"/>
  <c r="M209" i="2"/>
  <c r="I209" i="2"/>
  <c r="J209" i="2" s="1"/>
  <c r="L209" i="2" s="1"/>
  <c r="H209" i="2"/>
  <c r="D209" i="2"/>
  <c r="N208" i="2"/>
  <c r="M208" i="2"/>
  <c r="I208" i="2"/>
  <c r="H208" i="2"/>
  <c r="J208" i="2" s="1"/>
  <c r="L208" i="2" s="1"/>
  <c r="D208" i="2"/>
  <c r="N207" i="2"/>
  <c r="M207" i="2"/>
  <c r="I207" i="2"/>
  <c r="H207" i="2"/>
  <c r="J207" i="2" s="1"/>
  <c r="L207" i="2" s="1"/>
  <c r="D207" i="2"/>
  <c r="N206" i="2"/>
  <c r="M206" i="2"/>
  <c r="J206" i="2"/>
  <c r="L206" i="2" s="1"/>
  <c r="I206" i="2"/>
  <c r="H206" i="2"/>
  <c r="D206" i="2"/>
  <c r="N205" i="2"/>
  <c r="M205" i="2"/>
  <c r="I205" i="2"/>
  <c r="J205" i="2" s="1"/>
  <c r="L205" i="2" s="1"/>
  <c r="H205" i="2"/>
  <c r="D205" i="2"/>
  <c r="N204" i="2"/>
  <c r="M204" i="2"/>
  <c r="I204" i="2"/>
  <c r="H204" i="2"/>
  <c r="J204" i="2" s="1"/>
  <c r="L204" i="2" s="1"/>
  <c r="D204" i="2"/>
  <c r="N203" i="2"/>
  <c r="M203" i="2"/>
  <c r="L203" i="2"/>
  <c r="I203" i="2"/>
  <c r="H203" i="2"/>
  <c r="J203" i="2" s="1"/>
  <c r="D203" i="2"/>
  <c r="N202" i="2"/>
  <c r="M202" i="2"/>
  <c r="J202" i="2"/>
  <c r="L202" i="2" s="1"/>
  <c r="I202" i="2"/>
  <c r="H202" i="2"/>
  <c r="D202" i="2"/>
  <c r="N201" i="2"/>
  <c r="M201" i="2"/>
  <c r="I201" i="2"/>
  <c r="J201" i="2" s="1"/>
  <c r="L201" i="2" s="1"/>
  <c r="H201" i="2"/>
  <c r="D201" i="2"/>
  <c r="N200" i="2"/>
  <c r="M200" i="2"/>
  <c r="I200" i="2"/>
  <c r="H200" i="2"/>
  <c r="J200" i="2" s="1"/>
  <c r="L200" i="2" s="1"/>
  <c r="D200" i="2"/>
  <c r="N199" i="2"/>
  <c r="M199" i="2"/>
  <c r="I199" i="2"/>
  <c r="H199" i="2"/>
  <c r="J199" i="2" s="1"/>
  <c r="L199" i="2" s="1"/>
  <c r="D199" i="2"/>
  <c r="N198" i="2"/>
  <c r="M198" i="2"/>
  <c r="J198" i="2"/>
  <c r="L198" i="2" s="1"/>
  <c r="I198" i="2"/>
  <c r="H198" i="2"/>
  <c r="D198" i="2"/>
  <c r="N197" i="2"/>
  <c r="M197" i="2"/>
  <c r="I197" i="2"/>
  <c r="J197" i="2" s="1"/>
  <c r="L197" i="2" s="1"/>
  <c r="H197" i="2"/>
  <c r="D197" i="2"/>
  <c r="N196" i="2"/>
  <c r="M196" i="2"/>
  <c r="I196" i="2"/>
  <c r="H196" i="2"/>
  <c r="J196" i="2" s="1"/>
  <c r="L196" i="2" s="1"/>
  <c r="D196" i="2"/>
  <c r="N195" i="2"/>
  <c r="M195" i="2"/>
  <c r="L195" i="2"/>
  <c r="I195" i="2"/>
  <c r="H195" i="2"/>
  <c r="J195" i="2" s="1"/>
  <c r="D195" i="2"/>
  <c r="N194" i="2"/>
  <c r="M194" i="2"/>
  <c r="J194" i="2"/>
  <c r="L194" i="2" s="1"/>
  <c r="I194" i="2"/>
  <c r="H194" i="2"/>
  <c r="D194" i="2"/>
  <c r="N193" i="2"/>
  <c r="M193" i="2"/>
  <c r="I193" i="2"/>
  <c r="J193" i="2" s="1"/>
  <c r="L193" i="2" s="1"/>
  <c r="H193" i="2"/>
  <c r="D193" i="2"/>
  <c r="N192" i="2"/>
  <c r="M192" i="2"/>
  <c r="I192" i="2"/>
  <c r="H192" i="2"/>
  <c r="J192" i="2" s="1"/>
  <c r="L192" i="2" s="1"/>
  <c r="D192" i="2"/>
  <c r="N191" i="2"/>
  <c r="M191" i="2"/>
  <c r="I191" i="2"/>
  <c r="H191" i="2"/>
  <c r="J191" i="2" s="1"/>
  <c r="L191" i="2" s="1"/>
  <c r="D191" i="2"/>
  <c r="N190" i="2"/>
  <c r="M190" i="2"/>
  <c r="J190" i="2"/>
  <c r="L190" i="2" s="1"/>
  <c r="I190" i="2"/>
  <c r="H190" i="2"/>
  <c r="D190" i="2"/>
  <c r="N189" i="2"/>
  <c r="M189" i="2"/>
  <c r="I189" i="2"/>
  <c r="J189" i="2" s="1"/>
  <c r="L189" i="2" s="1"/>
  <c r="H189" i="2"/>
  <c r="D189" i="2"/>
  <c r="N188" i="2"/>
  <c r="M188" i="2"/>
  <c r="I188" i="2"/>
  <c r="H188" i="2"/>
  <c r="J188" i="2" s="1"/>
  <c r="L188" i="2" s="1"/>
  <c r="D188" i="2"/>
  <c r="N187" i="2"/>
  <c r="M187" i="2"/>
  <c r="L187" i="2"/>
  <c r="I187" i="2"/>
  <c r="H187" i="2"/>
  <c r="J187" i="2" s="1"/>
  <c r="D187" i="2"/>
  <c r="N186" i="2"/>
  <c r="M186" i="2"/>
  <c r="J186" i="2"/>
  <c r="L186" i="2" s="1"/>
  <c r="I186" i="2"/>
  <c r="H186" i="2"/>
  <c r="D186" i="2"/>
  <c r="N185" i="2"/>
  <c r="M185" i="2"/>
  <c r="I185" i="2"/>
  <c r="J185" i="2" s="1"/>
  <c r="L185" i="2" s="1"/>
  <c r="H185" i="2"/>
  <c r="D185" i="2"/>
  <c r="N184" i="2"/>
  <c r="M184" i="2"/>
  <c r="I184" i="2"/>
  <c r="H184" i="2"/>
  <c r="J184" i="2" s="1"/>
  <c r="L184" i="2" s="1"/>
  <c r="D184" i="2"/>
  <c r="N183" i="2"/>
  <c r="M183" i="2"/>
  <c r="I183" i="2"/>
  <c r="H183" i="2"/>
  <c r="J183" i="2" s="1"/>
  <c r="L183" i="2" s="1"/>
  <c r="D183" i="2"/>
  <c r="N182" i="2"/>
  <c r="M182" i="2"/>
  <c r="J182" i="2"/>
  <c r="L182" i="2" s="1"/>
  <c r="I182" i="2"/>
  <c r="H182" i="2"/>
  <c r="D182" i="2"/>
  <c r="N181" i="2"/>
  <c r="M181" i="2"/>
  <c r="I181" i="2"/>
  <c r="J181" i="2" s="1"/>
  <c r="L181" i="2" s="1"/>
  <c r="H181" i="2"/>
  <c r="D181" i="2"/>
  <c r="N180" i="2"/>
  <c r="M180" i="2"/>
  <c r="I180" i="2"/>
  <c r="H180" i="2"/>
  <c r="J180" i="2" s="1"/>
  <c r="L180" i="2" s="1"/>
  <c r="D180" i="2"/>
  <c r="N179" i="2"/>
  <c r="M179" i="2"/>
  <c r="L179" i="2"/>
  <c r="I179" i="2"/>
  <c r="H179" i="2"/>
  <c r="J179" i="2" s="1"/>
  <c r="D179" i="2"/>
  <c r="N178" i="2"/>
  <c r="M178" i="2"/>
  <c r="J178" i="2"/>
  <c r="L178" i="2" s="1"/>
  <c r="I178" i="2"/>
  <c r="H178" i="2"/>
  <c r="D178" i="2"/>
  <c r="N177" i="2"/>
  <c r="M177" i="2"/>
  <c r="I177" i="2"/>
  <c r="J177" i="2" s="1"/>
  <c r="L177" i="2" s="1"/>
  <c r="H177" i="2"/>
  <c r="D177" i="2"/>
  <c r="N176" i="2"/>
  <c r="M176" i="2"/>
  <c r="I176" i="2"/>
  <c r="H176" i="2"/>
  <c r="J176" i="2" s="1"/>
  <c r="L176" i="2" s="1"/>
  <c r="D176" i="2"/>
  <c r="N175" i="2"/>
  <c r="M175" i="2"/>
  <c r="I175" i="2"/>
  <c r="H175" i="2"/>
  <c r="J175" i="2" s="1"/>
  <c r="L175" i="2" s="1"/>
  <c r="D175" i="2"/>
  <c r="N174" i="2"/>
  <c r="M174" i="2"/>
  <c r="J174" i="2"/>
  <c r="L174" i="2" s="1"/>
  <c r="I174" i="2"/>
  <c r="H174" i="2"/>
  <c r="D174" i="2"/>
  <c r="N173" i="2"/>
  <c r="M173" i="2"/>
  <c r="I173" i="2"/>
  <c r="J173" i="2" s="1"/>
  <c r="L173" i="2" s="1"/>
  <c r="H173" i="2"/>
  <c r="D173" i="2"/>
  <c r="N172" i="2"/>
  <c r="M172" i="2"/>
  <c r="I172" i="2"/>
  <c r="H172" i="2"/>
  <c r="J172" i="2" s="1"/>
  <c r="L172" i="2" s="1"/>
  <c r="D172" i="2"/>
  <c r="N171" i="2"/>
  <c r="M171" i="2"/>
  <c r="L171" i="2"/>
  <c r="I171" i="2"/>
  <c r="H171" i="2"/>
  <c r="J171" i="2" s="1"/>
  <c r="D171" i="2"/>
  <c r="N170" i="2"/>
  <c r="M170" i="2"/>
  <c r="J170" i="2"/>
  <c r="L170" i="2" s="1"/>
  <c r="I170" i="2"/>
  <c r="H170" i="2"/>
  <c r="D170" i="2"/>
  <c r="N169" i="2"/>
  <c r="M169" i="2"/>
  <c r="I169" i="2"/>
  <c r="J169" i="2" s="1"/>
  <c r="L169" i="2" s="1"/>
  <c r="H169" i="2"/>
  <c r="D169" i="2"/>
  <c r="N168" i="2"/>
  <c r="M168" i="2"/>
  <c r="I168" i="2"/>
  <c r="H168" i="2"/>
  <c r="D168" i="2"/>
  <c r="N167" i="2"/>
  <c r="M167" i="2"/>
  <c r="I167" i="2"/>
  <c r="H167" i="2"/>
  <c r="J167" i="2" s="1"/>
  <c r="L167" i="2" s="1"/>
  <c r="D167" i="2"/>
  <c r="N166" i="2"/>
  <c r="M166" i="2"/>
  <c r="L166" i="2"/>
  <c r="J166" i="2"/>
  <c r="I166" i="2"/>
  <c r="H166" i="2"/>
  <c r="D166" i="2"/>
  <c r="N165" i="2"/>
  <c r="M165" i="2"/>
  <c r="I165" i="2"/>
  <c r="J165" i="2" s="1"/>
  <c r="L165" i="2" s="1"/>
  <c r="H165" i="2"/>
  <c r="D165" i="2"/>
  <c r="N164" i="2"/>
  <c r="M164" i="2"/>
  <c r="I164" i="2"/>
  <c r="H164" i="2"/>
  <c r="D164" i="2"/>
  <c r="N163" i="2"/>
  <c r="M163" i="2"/>
  <c r="I163" i="2"/>
  <c r="H163" i="2"/>
  <c r="J163" i="2" s="1"/>
  <c r="L163" i="2" s="1"/>
  <c r="D163" i="2"/>
  <c r="N162" i="2"/>
  <c r="M162" i="2"/>
  <c r="L162" i="2"/>
  <c r="J162" i="2"/>
  <c r="I162" i="2"/>
  <c r="H162" i="2"/>
  <c r="D162" i="2"/>
  <c r="N161" i="2"/>
  <c r="M161" i="2"/>
  <c r="I161" i="2"/>
  <c r="J161" i="2" s="1"/>
  <c r="L161" i="2" s="1"/>
  <c r="H161" i="2"/>
  <c r="D161" i="2"/>
  <c r="N160" i="2"/>
  <c r="M160" i="2"/>
  <c r="I160" i="2"/>
  <c r="H160" i="2"/>
  <c r="D160" i="2"/>
  <c r="N159" i="2"/>
  <c r="M159" i="2"/>
  <c r="I159" i="2"/>
  <c r="H159" i="2"/>
  <c r="J159" i="2" s="1"/>
  <c r="L159" i="2" s="1"/>
  <c r="D159" i="2"/>
  <c r="N158" i="2"/>
  <c r="M158" i="2"/>
  <c r="L158" i="2"/>
  <c r="J158" i="2"/>
  <c r="I158" i="2"/>
  <c r="H158" i="2"/>
  <c r="D158" i="2"/>
  <c r="N157" i="2"/>
  <c r="M157" i="2"/>
  <c r="I157" i="2"/>
  <c r="J157" i="2" s="1"/>
  <c r="L157" i="2" s="1"/>
  <c r="H157" i="2"/>
  <c r="D157" i="2"/>
  <c r="N156" i="2"/>
  <c r="M156" i="2"/>
  <c r="I156" i="2"/>
  <c r="H156" i="2"/>
  <c r="D156" i="2"/>
  <c r="N155" i="2"/>
  <c r="M155" i="2"/>
  <c r="I155" i="2"/>
  <c r="H155" i="2"/>
  <c r="J155" i="2" s="1"/>
  <c r="L155" i="2" s="1"/>
  <c r="D155" i="2"/>
  <c r="N154" i="2"/>
  <c r="M154" i="2"/>
  <c r="L154" i="2"/>
  <c r="J154" i="2"/>
  <c r="I154" i="2"/>
  <c r="H154" i="2"/>
  <c r="D154" i="2"/>
  <c r="N153" i="2"/>
  <c r="M153" i="2"/>
  <c r="I153" i="2"/>
  <c r="J153" i="2" s="1"/>
  <c r="L153" i="2" s="1"/>
  <c r="H153" i="2"/>
  <c r="D153" i="2"/>
  <c r="N152" i="2"/>
  <c r="M152" i="2"/>
  <c r="I152" i="2"/>
  <c r="H152" i="2"/>
  <c r="D152" i="2"/>
  <c r="N151" i="2"/>
  <c r="M151" i="2"/>
  <c r="I151" i="2"/>
  <c r="H151" i="2"/>
  <c r="J151" i="2" s="1"/>
  <c r="L151" i="2" s="1"/>
  <c r="D151" i="2"/>
  <c r="N150" i="2"/>
  <c r="M150" i="2"/>
  <c r="L150" i="2"/>
  <c r="J150" i="2"/>
  <c r="I150" i="2"/>
  <c r="H150" i="2"/>
  <c r="D150" i="2"/>
  <c r="N149" i="2"/>
  <c r="M149" i="2"/>
  <c r="I149" i="2"/>
  <c r="H149" i="2"/>
  <c r="J149" i="2" s="1"/>
  <c r="L149" i="2" s="1"/>
  <c r="D149" i="2"/>
  <c r="N148" i="2"/>
  <c r="M148" i="2"/>
  <c r="L148" i="2"/>
  <c r="I148" i="2"/>
  <c r="H148" i="2"/>
  <c r="J148" i="2" s="1"/>
  <c r="D148" i="2"/>
  <c r="N147" i="2"/>
  <c r="M147" i="2"/>
  <c r="J147" i="2"/>
  <c r="L147" i="2" s="1"/>
  <c r="I147" i="2"/>
  <c r="H147" i="2"/>
  <c r="D147" i="2"/>
  <c r="N146" i="2"/>
  <c r="M146" i="2"/>
  <c r="I146" i="2"/>
  <c r="J146" i="2" s="1"/>
  <c r="L146" i="2" s="1"/>
  <c r="H146" i="2"/>
  <c r="D146" i="2"/>
  <c r="N145" i="2"/>
  <c r="M145" i="2"/>
  <c r="J145" i="2"/>
  <c r="L145" i="2" s="1"/>
  <c r="I145" i="2"/>
  <c r="H145" i="2"/>
  <c r="D145" i="2"/>
  <c r="N144" i="2"/>
  <c r="M144" i="2"/>
  <c r="I144" i="2"/>
  <c r="H144" i="2"/>
  <c r="D144" i="2"/>
  <c r="N143" i="2"/>
  <c r="M143" i="2"/>
  <c r="I143" i="2"/>
  <c r="H143" i="2"/>
  <c r="J143" i="2" s="1"/>
  <c r="L143" i="2" s="1"/>
  <c r="D143" i="2"/>
  <c r="N142" i="2"/>
  <c r="M142" i="2"/>
  <c r="L142" i="2"/>
  <c r="J142" i="2"/>
  <c r="I142" i="2"/>
  <c r="H142" i="2"/>
  <c r="D142" i="2"/>
  <c r="N141" i="2"/>
  <c r="M141" i="2"/>
  <c r="I141" i="2"/>
  <c r="H141" i="2"/>
  <c r="J141" i="2" s="1"/>
  <c r="L141" i="2" s="1"/>
  <c r="D141" i="2"/>
  <c r="N140" i="2"/>
  <c r="M140" i="2"/>
  <c r="L140" i="2"/>
  <c r="I140" i="2"/>
  <c r="H140" i="2"/>
  <c r="J140" i="2" s="1"/>
  <c r="D140" i="2"/>
  <c r="N139" i="2"/>
  <c r="M139" i="2"/>
  <c r="J139" i="2"/>
  <c r="L139" i="2" s="1"/>
  <c r="I139" i="2"/>
  <c r="H139" i="2"/>
  <c r="D139" i="2"/>
  <c r="N138" i="2"/>
  <c r="M138" i="2"/>
  <c r="I138" i="2"/>
  <c r="J138" i="2" s="1"/>
  <c r="L138" i="2" s="1"/>
  <c r="H138" i="2"/>
  <c r="D138" i="2"/>
  <c r="N137" i="2"/>
  <c r="M137" i="2"/>
  <c r="J137" i="2"/>
  <c r="L137" i="2" s="1"/>
  <c r="I137" i="2"/>
  <c r="H137" i="2"/>
  <c r="D137" i="2"/>
  <c r="N136" i="2"/>
  <c r="M136" i="2"/>
  <c r="I136" i="2"/>
  <c r="H136" i="2"/>
  <c r="D136" i="2"/>
  <c r="N135" i="2"/>
  <c r="M135" i="2"/>
  <c r="I135" i="2"/>
  <c r="H135" i="2"/>
  <c r="J135" i="2" s="1"/>
  <c r="L135" i="2" s="1"/>
  <c r="D135" i="2"/>
  <c r="N134" i="2"/>
  <c r="M134" i="2"/>
  <c r="L134" i="2"/>
  <c r="J134" i="2"/>
  <c r="I134" i="2"/>
  <c r="H134" i="2"/>
  <c r="D134" i="2"/>
  <c r="N133" i="2"/>
  <c r="M133" i="2"/>
  <c r="I133" i="2"/>
  <c r="H133" i="2"/>
  <c r="J133" i="2" s="1"/>
  <c r="L133" i="2" s="1"/>
  <c r="D133" i="2"/>
  <c r="N132" i="2"/>
  <c r="M132" i="2"/>
  <c r="L132" i="2"/>
  <c r="I132" i="2"/>
  <c r="H132" i="2"/>
  <c r="J132" i="2" s="1"/>
  <c r="D132" i="2"/>
  <c r="N131" i="2"/>
  <c r="M131" i="2"/>
  <c r="J131" i="2"/>
  <c r="L131" i="2" s="1"/>
  <c r="I131" i="2"/>
  <c r="H131" i="2"/>
  <c r="D131" i="2"/>
  <c r="N130" i="2"/>
  <c r="M130" i="2"/>
  <c r="I130" i="2"/>
  <c r="J130" i="2" s="1"/>
  <c r="L130" i="2" s="1"/>
  <c r="H130" i="2"/>
  <c r="D130" i="2"/>
  <c r="N129" i="2"/>
  <c r="M129" i="2"/>
  <c r="J129" i="2"/>
  <c r="L129" i="2" s="1"/>
  <c r="I129" i="2"/>
  <c r="H129" i="2"/>
  <c r="D129" i="2"/>
  <c r="N128" i="2"/>
  <c r="M128" i="2"/>
  <c r="I128" i="2"/>
  <c r="H128" i="2"/>
  <c r="D128" i="2"/>
  <c r="N127" i="2"/>
  <c r="M127" i="2"/>
  <c r="I127" i="2"/>
  <c r="H127" i="2"/>
  <c r="J127" i="2" s="1"/>
  <c r="L127" i="2" s="1"/>
  <c r="D127" i="2"/>
  <c r="N126" i="2"/>
  <c r="M126" i="2"/>
  <c r="L126" i="2"/>
  <c r="J126" i="2"/>
  <c r="I126" i="2"/>
  <c r="H126" i="2"/>
  <c r="D126" i="2"/>
  <c r="N125" i="2"/>
  <c r="M125" i="2"/>
  <c r="J125" i="2"/>
  <c r="L125" i="2" s="1"/>
  <c r="I125" i="2"/>
  <c r="H125" i="2"/>
  <c r="D125" i="2"/>
  <c r="N124" i="2"/>
  <c r="M124" i="2"/>
  <c r="I124" i="2"/>
  <c r="H124" i="2"/>
  <c r="J124" i="2" s="1"/>
  <c r="L124" i="2" s="1"/>
  <c r="D124" i="2"/>
  <c r="N123" i="2"/>
  <c r="M123" i="2"/>
  <c r="I123" i="2"/>
  <c r="H123" i="2"/>
  <c r="J123" i="2" s="1"/>
  <c r="L123" i="2" s="1"/>
  <c r="D123" i="2"/>
  <c r="N122" i="2"/>
  <c r="M122" i="2"/>
  <c r="L122" i="2"/>
  <c r="J122" i="2"/>
  <c r="I122" i="2"/>
  <c r="H122" i="2"/>
  <c r="D122" i="2"/>
  <c r="N121" i="2"/>
  <c r="M121" i="2"/>
  <c r="J121" i="2"/>
  <c r="L121" i="2" s="1"/>
  <c r="I121" i="2"/>
  <c r="H121" i="2"/>
  <c r="D121" i="2"/>
  <c r="N120" i="2"/>
  <c r="M120" i="2"/>
  <c r="I120" i="2"/>
  <c r="H120" i="2"/>
  <c r="J120" i="2" s="1"/>
  <c r="L120" i="2" s="1"/>
  <c r="D120" i="2"/>
  <c r="N119" i="2"/>
  <c r="M119" i="2"/>
  <c r="I119" i="2"/>
  <c r="H119" i="2"/>
  <c r="J119" i="2" s="1"/>
  <c r="L119" i="2" s="1"/>
  <c r="D119" i="2"/>
  <c r="N118" i="2"/>
  <c r="M118" i="2"/>
  <c r="L118" i="2"/>
  <c r="J118" i="2"/>
  <c r="I118" i="2"/>
  <c r="H118" i="2"/>
  <c r="D118" i="2"/>
  <c r="N117" i="2"/>
  <c r="M117" i="2"/>
  <c r="J117" i="2"/>
  <c r="L117" i="2" s="1"/>
  <c r="I117" i="2"/>
  <c r="H117" i="2"/>
  <c r="D117" i="2"/>
  <c r="N116" i="2"/>
  <c r="M116" i="2"/>
  <c r="I116" i="2"/>
  <c r="H116" i="2"/>
  <c r="J116" i="2" s="1"/>
  <c r="L116" i="2" s="1"/>
  <c r="D116" i="2"/>
  <c r="N115" i="2"/>
  <c r="M115" i="2"/>
  <c r="I115" i="2"/>
  <c r="H115" i="2"/>
  <c r="J115" i="2" s="1"/>
  <c r="L115" i="2" s="1"/>
  <c r="D115" i="2"/>
  <c r="N114" i="2"/>
  <c r="M114" i="2"/>
  <c r="L114" i="2"/>
  <c r="J114" i="2"/>
  <c r="I114" i="2"/>
  <c r="H114" i="2"/>
  <c r="D114" i="2"/>
  <c r="N113" i="2"/>
  <c r="M113" i="2"/>
  <c r="J113" i="2"/>
  <c r="L113" i="2" s="1"/>
  <c r="I113" i="2"/>
  <c r="H113" i="2"/>
  <c r="D113" i="2"/>
  <c r="N112" i="2"/>
  <c r="M112" i="2"/>
  <c r="I112" i="2"/>
  <c r="H112" i="2"/>
  <c r="J112" i="2" s="1"/>
  <c r="L112" i="2" s="1"/>
  <c r="D112" i="2"/>
  <c r="N111" i="2"/>
  <c r="M111" i="2"/>
  <c r="I111" i="2"/>
  <c r="H111" i="2"/>
  <c r="J111" i="2" s="1"/>
  <c r="L111" i="2" s="1"/>
  <c r="D111" i="2"/>
  <c r="N110" i="2"/>
  <c r="M110" i="2"/>
  <c r="L110" i="2"/>
  <c r="J110" i="2"/>
  <c r="I110" i="2"/>
  <c r="H110" i="2"/>
  <c r="D110" i="2"/>
  <c r="N109" i="2"/>
  <c r="M109" i="2"/>
  <c r="J109" i="2"/>
  <c r="L109" i="2" s="1"/>
  <c r="I109" i="2"/>
  <c r="H109" i="2"/>
  <c r="D109" i="2"/>
  <c r="N108" i="2"/>
  <c r="M108" i="2"/>
  <c r="I108" i="2"/>
  <c r="H108" i="2"/>
  <c r="J108" i="2" s="1"/>
  <c r="L108" i="2" s="1"/>
  <c r="D108" i="2"/>
  <c r="N107" i="2"/>
  <c r="M107" i="2"/>
  <c r="I107" i="2"/>
  <c r="H107" i="2"/>
  <c r="J107" i="2" s="1"/>
  <c r="L107" i="2" s="1"/>
  <c r="D107" i="2"/>
  <c r="N106" i="2"/>
  <c r="M106" i="2"/>
  <c r="L106" i="2"/>
  <c r="J106" i="2"/>
  <c r="I106" i="2"/>
  <c r="H106" i="2"/>
  <c r="D106" i="2"/>
  <c r="N105" i="2"/>
  <c r="M105" i="2"/>
  <c r="J105" i="2"/>
  <c r="L105" i="2" s="1"/>
  <c r="I105" i="2"/>
  <c r="H105" i="2"/>
  <c r="D105" i="2"/>
  <c r="N104" i="2"/>
  <c r="M104" i="2"/>
  <c r="I104" i="2"/>
  <c r="H104" i="2"/>
  <c r="J104" i="2" s="1"/>
  <c r="L104" i="2" s="1"/>
  <c r="D104" i="2"/>
  <c r="N103" i="2"/>
  <c r="M103" i="2"/>
  <c r="I103" i="2"/>
  <c r="H103" i="2"/>
  <c r="J103" i="2" s="1"/>
  <c r="L103" i="2" s="1"/>
  <c r="D103" i="2"/>
  <c r="N102" i="2"/>
  <c r="M102" i="2"/>
  <c r="L102" i="2"/>
  <c r="J102" i="2"/>
  <c r="I102" i="2"/>
  <c r="H102" i="2"/>
  <c r="D102" i="2"/>
  <c r="N101" i="2"/>
  <c r="M101" i="2"/>
  <c r="J101" i="2"/>
  <c r="L101" i="2" s="1"/>
  <c r="I101" i="2"/>
  <c r="H101" i="2"/>
  <c r="D101" i="2"/>
  <c r="N100" i="2"/>
  <c r="M100" i="2"/>
  <c r="I100" i="2"/>
  <c r="H100" i="2"/>
  <c r="J100" i="2" s="1"/>
  <c r="L100" i="2" s="1"/>
  <c r="D100" i="2"/>
  <c r="N99" i="2"/>
  <c r="M99" i="2"/>
  <c r="I99" i="2"/>
  <c r="H99" i="2"/>
  <c r="J99" i="2" s="1"/>
  <c r="L99" i="2" s="1"/>
  <c r="D99" i="2"/>
  <c r="N98" i="2"/>
  <c r="M98" i="2"/>
  <c r="L98" i="2"/>
  <c r="J98" i="2"/>
  <c r="I98" i="2"/>
  <c r="H98" i="2"/>
  <c r="D98" i="2"/>
  <c r="N97" i="2"/>
  <c r="M97" i="2"/>
  <c r="J97" i="2"/>
  <c r="L97" i="2" s="1"/>
  <c r="I97" i="2"/>
  <c r="H97" i="2"/>
  <c r="D97" i="2"/>
  <c r="N96" i="2"/>
  <c r="M96" i="2"/>
  <c r="I96" i="2"/>
  <c r="H96" i="2"/>
  <c r="J96" i="2" s="1"/>
  <c r="L96" i="2" s="1"/>
  <c r="D96" i="2"/>
  <c r="N95" i="2"/>
  <c r="M95" i="2"/>
  <c r="I95" i="2"/>
  <c r="H95" i="2"/>
  <c r="J95" i="2" s="1"/>
  <c r="L95" i="2" s="1"/>
  <c r="D95" i="2"/>
  <c r="N94" i="2"/>
  <c r="M94" i="2"/>
  <c r="L94" i="2"/>
  <c r="J94" i="2"/>
  <c r="I94" i="2"/>
  <c r="H94" i="2"/>
  <c r="D94" i="2"/>
  <c r="N93" i="2"/>
  <c r="M93" i="2"/>
  <c r="J93" i="2"/>
  <c r="L93" i="2" s="1"/>
  <c r="I93" i="2"/>
  <c r="H93" i="2"/>
  <c r="D93" i="2"/>
  <c r="N92" i="2"/>
  <c r="M92" i="2"/>
  <c r="I92" i="2"/>
  <c r="H92" i="2"/>
  <c r="J92" i="2" s="1"/>
  <c r="L92" i="2" s="1"/>
  <c r="D92" i="2"/>
  <c r="N91" i="2"/>
  <c r="M91" i="2"/>
  <c r="I91" i="2"/>
  <c r="H91" i="2"/>
  <c r="J91" i="2" s="1"/>
  <c r="L91" i="2" s="1"/>
  <c r="D91" i="2"/>
  <c r="N90" i="2"/>
  <c r="M90" i="2"/>
  <c r="L90" i="2"/>
  <c r="J90" i="2"/>
  <c r="I90" i="2"/>
  <c r="H90" i="2"/>
  <c r="D90" i="2"/>
  <c r="N89" i="2"/>
  <c r="M89" i="2"/>
  <c r="J89" i="2"/>
  <c r="L89" i="2" s="1"/>
  <c r="I89" i="2"/>
  <c r="H89" i="2"/>
  <c r="D89" i="2"/>
  <c r="N88" i="2"/>
  <c r="M88" i="2"/>
  <c r="I88" i="2"/>
  <c r="H88" i="2"/>
  <c r="J88" i="2" s="1"/>
  <c r="L88" i="2" s="1"/>
  <c r="D88" i="2"/>
  <c r="N87" i="2"/>
  <c r="M87" i="2"/>
  <c r="I87" i="2"/>
  <c r="H87" i="2"/>
  <c r="J87" i="2" s="1"/>
  <c r="L87" i="2" s="1"/>
  <c r="D87" i="2"/>
  <c r="N86" i="2"/>
  <c r="M86" i="2"/>
  <c r="L86" i="2"/>
  <c r="J86" i="2"/>
  <c r="I86" i="2"/>
  <c r="H86" i="2"/>
  <c r="D86" i="2"/>
  <c r="N85" i="2"/>
  <c r="M85" i="2"/>
  <c r="J85" i="2"/>
  <c r="L85" i="2" s="1"/>
  <c r="I85" i="2"/>
  <c r="H85" i="2"/>
  <c r="D85" i="2"/>
  <c r="N84" i="2"/>
  <c r="M84" i="2"/>
  <c r="I84" i="2"/>
  <c r="H84" i="2"/>
  <c r="J84" i="2" s="1"/>
  <c r="L84" i="2" s="1"/>
  <c r="D84" i="2"/>
  <c r="N83" i="2"/>
  <c r="M83" i="2"/>
  <c r="I83" i="2"/>
  <c r="H83" i="2"/>
  <c r="J83" i="2" s="1"/>
  <c r="L83" i="2" s="1"/>
  <c r="D83" i="2"/>
  <c r="N82" i="2"/>
  <c r="M82" i="2"/>
  <c r="L82" i="2"/>
  <c r="J82" i="2"/>
  <c r="I82" i="2"/>
  <c r="H82" i="2"/>
  <c r="D82" i="2"/>
  <c r="N81" i="2"/>
  <c r="M81" i="2"/>
  <c r="J81" i="2"/>
  <c r="L81" i="2" s="1"/>
  <c r="I81" i="2"/>
  <c r="H81" i="2"/>
  <c r="D81" i="2"/>
  <c r="N80" i="2"/>
  <c r="M80" i="2"/>
  <c r="I80" i="2"/>
  <c r="H80" i="2"/>
  <c r="J80" i="2" s="1"/>
  <c r="L80" i="2" s="1"/>
  <c r="D80" i="2"/>
  <c r="N79" i="2"/>
  <c r="M79" i="2"/>
  <c r="I79" i="2"/>
  <c r="H79" i="2"/>
  <c r="J79" i="2" s="1"/>
  <c r="L79" i="2" s="1"/>
  <c r="D79" i="2"/>
  <c r="N78" i="2"/>
  <c r="M78" i="2"/>
  <c r="L78" i="2"/>
  <c r="J78" i="2"/>
  <c r="I78" i="2"/>
  <c r="H78" i="2"/>
  <c r="D78" i="2"/>
  <c r="N77" i="2"/>
  <c r="M77" i="2"/>
  <c r="J77" i="2"/>
  <c r="L77" i="2" s="1"/>
  <c r="I77" i="2"/>
  <c r="H77" i="2"/>
  <c r="D77" i="2"/>
  <c r="N76" i="2"/>
  <c r="M76" i="2"/>
  <c r="I76" i="2"/>
  <c r="H76" i="2"/>
  <c r="J76" i="2" s="1"/>
  <c r="L76" i="2" s="1"/>
  <c r="D76" i="2"/>
  <c r="N75" i="2"/>
  <c r="M75" i="2"/>
  <c r="I75" i="2"/>
  <c r="H75" i="2"/>
  <c r="J75" i="2" s="1"/>
  <c r="L75" i="2" s="1"/>
  <c r="D75" i="2"/>
  <c r="N74" i="2"/>
  <c r="M74" i="2"/>
  <c r="L74" i="2"/>
  <c r="J74" i="2"/>
  <c r="I74" i="2"/>
  <c r="H74" i="2"/>
  <c r="D74" i="2"/>
  <c r="N73" i="2"/>
  <c r="M73" i="2"/>
  <c r="J73" i="2"/>
  <c r="L73" i="2" s="1"/>
  <c r="I73" i="2"/>
  <c r="H73" i="2"/>
  <c r="D73" i="2"/>
  <c r="N72" i="2"/>
  <c r="M72" i="2"/>
  <c r="I72" i="2"/>
  <c r="H72" i="2"/>
  <c r="J72" i="2" s="1"/>
  <c r="L72" i="2" s="1"/>
  <c r="D72" i="2"/>
  <c r="N71" i="2"/>
  <c r="M71" i="2"/>
  <c r="I71" i="2"/>
  <c r="H71" i="2"/>
  <c r="J71" i="2" s="1"/>
  <c r="L71" i="2" s="1"/>
  <c r="D71" i="2"/>
  <c r="N70" i="2"/>
  <c r="M70" i="2"/>
  <c r="L70" i="2"/>
  <c r="J70" i="2"/>
  <c r="I70" i="2"/>
  <c r="H70" i="2"/>
  <c r="D70" i="2"/>
  <c r="N69" i="2"/>
  <c r="M69" i="2"/>
  <c r="J69" i="2"/>
  <c r="L69" i="2" s="1"/>
  <c r="I69" i="2"/>
  <c r="H69" i="2"/>
  <c r="D69" i="2"/>
  <c r="N68" i="2"/>
  <c r="M68" i="2"/>
  <c r="I68" i="2"/>
  <c r="H68" i="2"/>
  <c r="J68" i="2" s="1"/>
  <c r="L68" i="2" s="1"/>
  <c r="D68" i="2"/>
  <c r="N67" i="2"/>
  <c r="M67" i="2"/>
  <c r="I67" i="2"/>
  <c r="H67" i="2"/>
  <c r="J67" i="2" s="1"/>
  <c r="L67" i="2" s="1"/>
  <c r="D67" i="2"/>
  <c r="N66" i="2"/>
  <c r="M66" i="2"/>
  <c r="L66" i="2"/>
  <c r="J66" i="2"/>
  <c r="I66" i="2"/>
  <c r="H66" i="2"/>
  <c r="D66" i="2"/>
  <c r="N65" i="2"/>
  <c r="M65" i="2"/>
  <c r="J65" i="2"/>
  <c r="L65" i="2" s="1"/>
  <c r="I65" i="2"/>
  <c r="H65" i="2"/>
  <c r="D65" i="2"/>
  <c r="N64" i="2"/>
  <c r="M64" i="2"/>
  <c r="I64" i="2"/>
  <c r="H64" i="2"/>
  <c r="J64" i="2" s="1"/>
  <c r="L64" i="2" s="1"/>
  <c r="D64" i="2"/>
  <c r="N63" i="2"/>
  <c r="M63" i="2"/>
  <c r="I63" i="2"/>
  <c r="H63" i="2"/>
  <c r="J63" i="2" s="1"/>
  <c r="L63" i="2" s="1"/>
  <c r="D63" i="2"/>
  <c r="N62" i="2"/>
  <c r="M62" i="2"/>
  <c r="L62" i="2"/>
  <c r="J62" i="2"/>
  <c r="I62" i="2"/>
  <c r="H62" i="2"/>
  <c r="D62" i="2"/>
  <c r="N61" i="2"/>
  <c r="M61" i="2"/>
  <c r="J61" i="2"/>
  <c r="L61" i="2" s="1"/>
  <c r="I61" i="2"/>
  <c r="H61" i="2"/>
  <c r="D61" i="2"/>
  <c r="N60" i="2"/>
  <c r="M60" i="2"/>
  <c r="I60" i="2"/>
  <c r="H60" i="2"/>
  <c r="J60" i="2" s="1"/>
  <c r="L60" i="2" s="1"/>
  <c r="D60" i="2"/>
  <c r="N59" i="2"/>
  <c r="M59" i="2"/>
  <c r="I59" i="2"/>
  <c r="H59" i="2"/>
  <c r="J59" i="2" s="1"/>
  <c r="L59" i="2" s="1"/>
  <c r="D59" i="2"/>
  <c r="N58" i="2"/>
  <c r="M58" i="2"/>
  <c r="L58" i="2"/>
  <c r="J58" i="2"/>
  <c r="I58" i="2"/>
  <c r="H58" i="2"/>
  <c r="D58" i="2"/>
  <c r="N57" i="2"/>
  <c r="M57" i="2"/>
  <c r="J57" i="2"/>
  <c r="L57" i="2" s="1"/>
  <c r="I57" i="2"/>
  <c r="H57" i="2"/>
  <c r="D57" i="2"/>
  <c r="N56" i="2"/>
  <c r="M56" i="2"/>
  <c r="I56" i="2"/>
  <c r="H56" i="2"/>
  <c r="J56" i="2" s="1"/>
  <c r="L56" i="2" s="1"/>
  <c r="D56" i="2"/>
  <c r="N55" i="2"/>
  <c r="M55" i="2"/>
  <c r="I55" i="2"/>
  <c r="H55" i="2"/>
  <c r="J55" i="2" s="1"/>
  <c r="L55" i="2" s="1"/>
  <c r="D55" i="2"/>
  <c r="N54" i="2"/>
  <c r="M54" i="2"/>
  <c r="L54" i="2"/>
  <c r="J54" i="2"/>
  <c r="I54" i="2"/>
  <c r="H54" i="2"/>
  <c r="D54" i="2"/>
  <c r="N53" i="2"/>
  <c r="M53" i="2"/>
  <c r="J53" i="2"/>
  <c r="L53" i="2" s="1"/>
  <c r="I53" i="2"/>
  <c r="H53" i="2"/>
  <c r="D53" i="2"/>
  <c r="N52" i="2"/>
  <c r="M52" i="2"/>
  <c r="I52" i="2"/>
  <c r="H52" i="2"/>
  <c r="J52" i="2" s="1"/>
  <c r="L52" i="2" s="1"/>
  <c r="D52" i="2"/>
  <c r="N51" i="2"/>
  <c r="M51" i="2"/>
  <c r="I51" i="2"/>
  <c r="H51" i="2"/>
  <c r="J51" i="2" s="1"/>
  <c r="L51" i="2" s="1"/>
  <c r="D51" i="2"/>
  <c r="N50" i="2"/>
  <c r="M50" i="2"/>
  <c r="L50" i="2"/>
  <c r="J50" i="2"/>
  <c r="I50" i="2"/>
  <c r="H50" i="2"/>
  <c r="D50" i="2"/>
  <c r="N49" i="2"/>
  <c r="M49" i="2"/>
  <c r="J49" i="2"/>
  <c r="L49" i="2" s="1"/>
  <c r="I49" i="2"/>
  <c r="H49" i="2"/>
  <c r="D49" i="2"/>
  <c r="N48" i="2"/>
  <c r="M48" i="2"/>
  <c r="I48" i="2"/>
  <c r="H48" i="2"/>
  <c r="J48" i="2" s="1"/>
  <c r="L48" i="2" s="1"/>
  <c r="D48" i="2"/>
  <c r="N47" i="2"/>
  <c r="M47" i="2"/>
  <c r="I47" i="2"/>
  <c r="H47" i="2"/>
  <c r="J47" i="2" s="1"/>
  <c r="L47" i="2" s="1"/>
  <c r="D47" i="2"/>
  <c r="N46" i="2"/>
  <c r="M46" i="2"/>
  <c r="L46" i="2"/>
  <c r="J46" i="2"/>
  <c r="I46" i="2"/>
  <c r="H46" i="2"/>
  <c r="D46" i="2"/>
  <c r="N45" i="2"/>
  <c r="M45" i="2"/>
  <c r="J45" i="2"/>
  <c r="L45" i="2" s="1"/>
  <c r="I45" i="2"/>
  <c r="H45" i="2"/>
  <c r="D45" i="2"/>
  <c r="N44" i="2"/>
  <c r="M44" i="2"/>
  <c r="I44" i="2"/>
  <c r="H44" i="2"/>
  <c r="J44" i="2" s="1"/>
  <c r="L44" i="2" s="1"/>
  <c r="D44" i="2"/>
  <c r="N43" i="2"/>
  <c r="M43" i="2"/>
  <c r="I43" i="2"/>
  <c r="H43" i="2"/>
  <c r="J43" i="2" s="1"/>
  <c r="L43" i="2" s="1"/>
  <c r="D43" i="2"/>
  <c r="N42" i="2"/>
  <c r="M42" i="2"/>
  <c r="L42" i="2"/>
  <c r="J42" i="2"/>
  <c r="I42" i="2"/>
  <c r="H42" i="2"/>
  <c r="D42" i="2"/>
  <c r="N41" i="2"/>
  <c r="M41" i="2"/>
  <c r="J41" i="2"/>
  <c r="L41" i="2" s="1"/>
  <c r="I41" i="2"/>
  <c r="H41" i="2"/>
  <c r="D41" i="2"/>
  <c r="N40" i="2"/>
  <c r="M40" i="2"/>
  <c r="I40" i="2"/>
  <c r="H40" i="2"/>
  <c r="J40" i="2" s="1"/>
  <c r="L40" i="2" s="1"/>
  <c r="D40" i="2"/>
  <c r="N39" i="2"/>
  <c r="M39" i="2"/>
  <c r="I39" i="2"/>
  <c r="H39" i="2"/>
  <c r="J39" i="2" s="1"/>
  <c r="L39" i="2" s="1"/>
  <c r="D39" i="2"/>
  <c r="N38" i="2"/>
  <c r="M38" i="2"/>
  <c r="L38" i="2"/>
  <c r="J38" i="2"/>
  <c r="I38" i="2"/>
  <c r="H38" i="2"/>
  <c r="D38" i="2"/>
  <c r="N37" i="2"/>
  <c r="M37" i="2"/>
  <c r="J37" i="2"/>
  <c r="L37" i="2" s="1"/>
  <c r="I37" i="2"/>
  <c r="H37" i="2"/>
  <c r="D37" i="2"/>
  <c r="N36" i="2"/>
  <c r="M36" i="2"/>
  <c r="I36" i="2"/>
  <c r="H36" i="2"/>
  <c r="J36" i="2" s="1"/>
  <c r="L36" i="2" s="1"/>
  <c r="D36" i="2"/>
  <c r="N35" i="2"/>
  <c r="M35" i="2"/>
  <c r="I35" i="2"/>
  <c r="H35" i="2"/>
  <c r="J35" i="2" s="1"/>
  <c r="L35" i="2" s="1"/>
  <c r="D35" i="2"/>
  <c r="N34" i="2"/>
  <c r="M34" i="2"/>
  <c r="L34" i="2"/>
  <c r="J34" i="2"/>
  <c r="I34" i="2"/>
  <c r="H34" i="2"/>
  <c r="D34" i="2"/>
  <c r="N33" i="2"/>
  <c r="M33" i="2"/>
  <c r="J33" i="2"/>
  <c r="L33" i="2" s="1"/>
  <c r="I33" i="2"/>
  <c r="H33" i="2"/>
  <c r="D33" i="2"/>
  <c r="N32" i="2"/>
  <c r="M32" i="2"/>
  <c r="I32" i="2"/>
  <c r="H32" i="2"/>
  <c r="J32" i="2" s="1"/>
  <c r="L32" i="2" s="1"/>
  <c r="D32" i="2"/>
  <c r="N31" i="2"/>
  <c r="M31" i="2"/>
  <c r="I31" i="2"/>
  <c r="H31" i="2"/>
  <c r="J31" i="2" s="1"/>
  <c r="L31" i="2" s="1"/>
  <c r="D31" i="2"/>
  <c r="N30" i="2"/>
  <c r="M30" i="2"/>
  <c r="L30" i="2"/>
  <c r="J30" i="2"/>
  <c r="I30" i="2"/>
  <c r="H30" i="2"/>
  <c r="D30" i="2"/>
  <c r="N29" i="2"/>
  <c r="M29" i="2"/>
  <c r="J29" i="2"/>
  <c r="L29" i="2" s="1"/>
  <c r="I29" i="2"/>
  <c r="H29" i="2"/>
  <c r="D29" i="2"/>
  <c r="N28" i="2"/>
  <c r="M28" i="2"/>
  <c r="I28" i="2"/>
  <c r="H28" i="2"/>
  <c r="J28" i="2" s="1"/>
  <c r="L28" i="2" s="1"/>
  <c r="D28" i="2"/>
  <c r="N27" i="2"/>
  <c r="M27" i="2"/>
  <c r="I27" i="2"/>
  <c r="H27" i="2"/>
  <c r="J27" i="2" s="1"/>
  <c r="L27" i="2" s="1"/>
  <c r="D27" i="2"/>
  <c r="N26" i="2"/>
  <c r="M26" i="2"/>
  <c r="L26" i="2"/>
  <c r="J26" i="2"/>
  <c r="I26" i="2"/>
  <c r="H26" i="2"/>
  <c r="D26" i="2"/>
  <c r="N25" i="2"/>
  <c r="M25" i="2"/>
  <c r="J25" i="2"/>
  <c r="L25" i="2" s="1"/>
  <c r="I25" i="2"/>
  <c r="H25" i="2"/>
  <c r="D25" i="2"/>
  <c r="N24" i="2"/>
  <c r="M24" i="2"/>
  <c r="I24" i="2"/>
  <c r="H24" i="2"/>
  <c r="J24" i="2" s="1"/>
  <c r="L24" i="2" s="1"/>
  <c r="D24" i="2"/>
  <c r="N23" i="2"/>
  <c r="M23" i="2"/>
  <c r="I23" i="2"/>
  <c r="H23" i="2"/>
  <c r="J23" i="2" s="1"/>
  <c r="L23" i="2" s="1"/>
  <c r="D23" i="2"/>
  <c r="N22" i="2"/>
  <c r="M22" i="2"/>
  <c r="L22" i="2"/>
  <c r="J22" i="2"/>
  <c r="I22" i="2"/>
  <c r="H22" i="2"/>
  <c r="D22" i="2"/>
  <c r="N21" i="2"/>
  <c r="M21" i="2"/>
  <c r="J21" i="2"/>
  <c r="L21" i="2" s="1"/>
  <c r="I21" i="2"/>
  <c r="H21" i="2"/>
  <c r="D21" i="2"/>
  <c r="N20" i="2"/>
  <c r="M20" i="2"/>
  <c r="I20" i="2"/>
  <c r="H20" i="2"/>
  <c r="J20" i="2" s="1"/>
  <c r="L20" i="2" s="1"/>
  <c r="D20" i="2"/>
  <c r="N19" i="2"/>
  <c r="M19" i="2"/>
  <c r="I19" i="2"/>
  <c r="H19" i="2"/>
  <c r="J19" i="2" s="1"/>
  <c r="L19" i="2" s="1"/>
  <c r="D19" i="2"/>
  <c r="N18" i="2"/>
  <c r="M18" i="2"/>
  <c r="L18" i="2"/>
  <c r="J18" i="2"/>
  <c r="I18" i="2"/>
  <c r="H18" i="2"/>
  <c r="D18" i="2"/>
  <c r="N17" i="2"/>
  <c r="M17" i="2"/>
  <c r="J17" i="2"/>
  <c r="L17" i="2" s="1"/>
  <c r="I17" i="2"/>
  <c r="H17" i="2"/>
  <c r="D17" i="2"/>
  <c r="N16" i="2"/>
  <c r="M16" i="2"/>
  <c r="I16" i="2"/>
  <c r="H16" i="2"/>
  <c r="J16" i="2" s="1"/>
  <c r="L16" i="2" s="1"/>
  <c r="D16" i="2"/>
  <c r="N15" i="2"/>
  <c r="M15" i="2"/>
  <c r="I15" i="2"/>
  <c r="H15" i="2"/>
  <c r="J15" i="2" s="1"/>
  <c r="L15" i="2" s="1"/>
  <c r="D15" i="2"/>
  <c r="N14" i="2"/>
  <c r="M14" i="2"/>
  <c r="L14" i="2"/>
  <c r="J14" i="2"/>
  <c r="I14" i="2"/>
  <c r="H14" i="2"/>
  <c r="D14" i="2"/>
  <c r="N13" i="2"/>
  <c r="M13" i="2"/>
  <c r="J13" i="2"/>
  <c r="L13" i="2" s="1"/>
  <c r="I13" i="2"/>
  <c r="H13" i="2"/>
  <c r="D13" i="2"/>
  <c r="N12" i="2"/>
  <c r="M12" i="2"/>
  <c r="I12" i="2"/>
  <c r="H12" i="2"/>
  <c r="J12" i="2" s="1"/>
  <c r="L12" i="2" s="1"/>
  <c r="D12" i="2"/>
  <c r="N11" i="2"/>
  <c r="M11" i="2"/>
  <c r="I11" i="2"/>
  <c r="H11" i="2"/>
  <c r="J11" i="2" s="1"/>
  <c r="L11" i="2" s="1"/>
  <c r="D11" i="2"/>
  <c r="N10" i="2"/>
  <c r="M10" i="2"/>
  <c r="J10" i="2"/>
  <c r="L10" i="2" s="1"/>
  <c r="I10" i="2"/>
  <c r="H10" i="2"/>
  <c r="D10" i="2"/>
  <c r="N9" i="2"/>
  <c r="M9" i="2"/>
  <c r="I9" i="2"/>
  <c r="J9" i="2" s="1"/>
  <c r="L9" i="2" s="1"/>
  <c r="H9" i="2"/>
  <c r="D9" i="2"/>
  <c r="N8" i="2"/>
  <c r="M8" i="2"/>
  <c r="I8" i="2"/>
  <c r="H8" i="2"/>
  <c r="J8" i="2" s="1"/>
  <c r="L8" i="2" s="1"/>
  <c r="D8" i="2"/>
  <c r="N7" i="2"/>
  <c r="M7" i="2"/>
  <c r="I7" i="2"/>
  <c r="H7" i="2"/>
  <c r="J7" i="2" s="1"/>
  <c r="L7" i="2" s="1"/>
  <c r="D7" i="2"/>
  <c r="N6" i="2"/>
  <c r="M6" i="2"/>
  <c r="J6" i="2"/>
  <c r="L6" i="2" s="1"/>
  <c r="I6" i="2"/>
  <c r="H6" i="2"/>
  <c r="D6" i="2"/>
  <c r="N5" i="2"/>
  <c r="M5" i="2"/>
  <c r="I5" i="2"/>
  <c r="J5" i="2" s="1"/>
  <c r="L5" i="2" s="1"/>
  <c r="H5" i="2"/>
  <c r="D5" i="2"/>
  <c r="N4" i="2"/>
  <c r="M4" i="2"/>
  <c r="I4" i="2"/>
  <c r="H4" i="2"/>
  <c r="J4" i="2" s="1"/>
  <c r="L4" i="2" s="1"/>
  <c r="D4" i="2"/>
  <c r="N3" i="2"/>
  <c r="M3" i="2"/>
  <c r="I3" i="2"/>
  <c r="A1" i="2" s="1"/>
  <c r="H3" i="2"/>
  <c r="J3" i="2" s="1"/>
  <c r="L3" i="2" s="1"/>
  <c r="D3" i="2"/>
  <c r="J152" i="2" l="1"/>
  <c r="L152" i="2" s="1"/>
  <c r="J156" i="2"/>
  <c r="L156" i="2" s="1"/>
  <c r="J160" i="2"/>
  <c r="L160" i="2" s="1"/>
  <c r="J164" i="2"/>
  <c r="L164" i="2" s="1"/>
  <c r="J168" i="2"/>
  <c r="L168" i="2" s="1"/>
  <c r="J128" i="2"/>
  <c r="L128" i="2" s="1"/>
  <c r="J136" i="2"/>
  <c r="L136" i="2" s="1"/>
  <c r="J144" i="2"/>
  <c r="L144" i="2" s="1"/>
  <c r="J710" i="2"/>
  <c r="L710" i="2" s="1"/>
  <c r="J718" i="2"/>
  <c r="L718" i="2" s="1"/>
  <c r="J726" i="2"/>
  <c r="L726" i="2" s="1"/>
  <c r="J734" i="2"/>
  <c r="L734" i="2" s="1"/>
  <c r="J1308" i="2"/>
  <c r="L1308" i="2" s="1"/>
  <c r="J1316" i="2"/>
  <c r="L1316" i="2" s="1"/>
  <c r="J1324" i="2"/>
  <c r="L1324" i="2" s="1"/>
  <c r="J1332" i="2"/>
  <c r="L1332" i="2" s="1"/>
  <c r="J1340" i="2"/>
  <c r="L1340" i="2" s="1"/>
  <c r="J1344" i="2"/>
  <c r="L1344" i="2" s="1"/>
  <c r="J1348" i="2"/>
  <c r="L1348" i="2" s="1"/>
  <c r="J1352" i="2"/>
  <c r="L1352" i="2" s="1"/>
  <c r="J1356" i="2"/>
  <c r="L1356" i="2" s="1"/>
  <c r="J1304" i="2"/>
  <c r="L1304" i="2" s="1"/>
  <c r="J1312" i="2"/>
  <c r="L1312" i="2" s="1"/>
  <c r="J1320" i="2"/>
  <c r="L1320" i="2" s="1"/>
  <c r="J1328" i="2"/>
  <c r="L1328" i="2" s="1"/>
  <c r="J1336" i="2"/>
  <c r="L1336" i="2" s="1"/>
  <c r="J1765" i="2"/>
  <c r="L1765" i="2" s="1"/>
  <c r="J1777" i="2"/>
  <c r="L1777" i="2" s="1"/>
  <c r="J1793" i="2"/>
  <c r="L1793" i="2" s="1"/>
  <c r="J1809" i="2"/>
  <c r="L1809" i="2" s="1"/>
  <c r="J1825" i="2"/>
  <c r="L1825" i="2" s="1"/>
  <c r="J1841" i="2"/>
  <c r="L1841" i="2" s="1"/>
  <c r="J1857" i="2"/>
  <c r="L1857" i="2" s="1"/>
  <c r="J2019" i="2"/>
  <c r="L2019" i="2" s="1"/>
  <c r="J2023" i="2"/>
  <c r="L2023" i="2" s="1"/>
  <c r="J2355" i="2"/>
  <c r="L2355" i="2" s="1"/>
  <c r="J2359" i="2"/>
  <c r="L2359" i="2" s="1"/>
  <c r="J2686" i="2"/>
  <c r="L2686" i="2" s="1"/>
  <c r="J2845" i="2"/>
  <c r="L2845" i="2" s="1"/>
  <c r="J2850" i="2"/>
  <c r="L2850" i="2" s="1"/>
  <c r="J2854" i="2"/>
  <c r="L2854" i="2" s="1"/>
  <c r="J2858" i="2"/>
  <c r="L2858" i="2" s="1"/>
  <c r="J2862" i="2"/>
  <c r="L2862" i="2" s="1"/>
  <c r="J2866" i="2"/>
  <c r="L2866" i="2" s="1"/>
  <c r="J2870" i="2"/>
  <c r="L2870" i="2" s="1"/>
  <c r="J2971" i="2"/>
  <c r="L2971" i="2" s="1"/>
  <c r="J2976" i="2"/>
  <c r="L2976" i="2" s="1"/>
  <c r="J2980" i="2"/>
  <c r="L2980" i="2" s="1"/>
  <c r="J2984" i="2"/>
  <c r="L2984" i="2" s="1"/>
  <c r="J2988" i="2"/>
  <c r="L2988" i="2" s="1"/>
  <c r="J2992" i="2"/>
  <c r="L2992" i="2" s="1"/>
  <c r="J2996" i="2"/>
  <c r="L2996" i="2" s="1"/>
  <c r="J3000" i="2"/>
  <c r="L3000" i="2" s="1"/>
  <c r="J3087" i="2"/>
  <c r="L3087" i="2" s="1"/>
  <c r="J3091" i="2"/>
  <c r="L3091" i="2" s="1"/>
  <c r="J3095" i="2"/>
  <c r="L3095" i="2" s="1"/>
  <c r="J3099" i="2"/>
  <c r="L3099" i="2" s="1"/>
  <c r="J3103" i="2"/>
  <c r="L3103" i="2" s="1"/>
  <c r="J3107" i="2"/>
  <c r="L3107" i="2" s="1"/>
  <c r="J3111" i="2"/>
  <c r="L3111" i="2" s="1"/>
  <c r="J3115" i="2"/>
  <c r="L3115" i="2" s="1"/>
  <c r="J3119" i="2"/>
  <c r="L3119" i="2" s="1"/>
  <c r="J3123" i="2"/>
  <c r="L3123" i="2" s="1"/>
  <c r="J3127" i="2"/>
  <c r="L3127" i="2" s="1"/>
  <c r="J3131" i="2"/>
  <c r="L3131" i="2" s="1"/>
  <c r="J3135" i="2"/>
  <c r="L3135" i="2" s="1"/>
  <c r="J3139" i="2"/>
  <c r="L3139" i="2" s="1"/>
  <c r="J3143" i="2"/>
  <c r="L3143" i="2" s="1"/>
  <c r="J3147" i="2"/>
  <c r="L3147" i="2" s="1"/>
  <c r="J3163" i="2"/>
  <c r="L3163" i="2" s="1"/>
  <c r="J3179" i="2"/>
  <c r="L3179" i="2" s="1"/>
  <c r="J3195" i="2"/>
  <c r="L3195" i="2" s="1"/>
  <c r="J3211" i="2"/>
  <c r="L3211" i="2" s="1"/>
  <c r="J3155" i="2"/>
  <c r="L3155" i="2" s="1"/>
  <c r="J3171" i="2"/>
  <c r="L3171" i="2" s="1"/>
  <c r="J3187" i="2"/>
  <c r="L3187" i="2" s="1"/>
  <c r="J3203" i="2"/>
  <c r="L3203" i="2" s="1"/>
  <c r="J3219" i="2"/>
  <c r="L3219" i="2" s="1"/>
  <c r="J3151" i="2"/>
  <c r="L3151" i="2" s="1"/>
  <c r="J3167" i="2"/>
  <c r="L3167" i="2" s="1"/>
</calcChain>
</file>

<file path=xl/sharedStrings.xml><?xml version="1.0" encoding="utf-8"?>
<sst xmlns="http://schemas.openxmlformats.org/spreadsheetml/2006/main" count="12184" uniqueCount="2745">
  <si>
    <t>Account No</t>
  </si>
  <si>
    <t>اسم الحساب</t>
  </si>
  <si>
    <t>اجمالى 1</t>
  </si>
  <si>
    <t>اجمالى نهائى</t>
  </si>
  <si>
    <t>الأصول ثابتة</t>
  </si>
  <si>
    <t>الاصول</t>
  </si>
  <si>
    <t>اثاث مكتبى</t>
  </si>
  <si>
    <t>اجهزة كمبيوتر واجهزة المقر</t>
  </si>
  <si>
    <t>معدات موقع</t>
  </si>
  <si>
    <t>101-1</t>
  </si>
  <si>
    <t xml:space="preserve">الاصول المتدوالة </t>
  </si>
  <si>
    <t xml:space="preserve">الخزينة </t>
  </si>
  <si>
    <t xml:space="preserve">أصول متداوله -النقدية ومافي حكمها </t>
  </si>
  <si>
    <t xml:space="preserve">بنك cib شخصي </t>
  </si>
  <si>
    <t xml:space="preserve">بنك cib شركة </t>
  </si>
  <si>
    <t xml:space="preserve">كريدي انستا </t>
  </si>
  <si>
    <t xml:space="preserve">المخزن </t>
  </si>
  <si>
    <t xml:space="preserve">اصول متدواله </t>
  </si>
  <si>
    <t xml:space="preserve">البضاعة الغير مباعة </t>
  </si>
  <si>
    <t>اوراق دفع</t>
  </si>
  <si>
    <t>مصروفات</t>
  </si>
  <si>
    <t xml:space="preserve">تكاليف التشغيل </t>
  </si>
  <si>
    <t xml:space="preserve">مشتريات بضاعة </t>
  </si>
  <si>
    <t xml:space="preserve">مصروفات </t>
  </si>
  <si>
    <t xml:space="preserve">مصروفات شحن </t>
  </si>
  <si>
    <t xml:space="preserve">مصروفات جمارك </t>
  </si>
  <si>
    <t xml:space="preserve">تكاليف ادارية وعمومية </t>
  </si>
  <si>
    <t>99-1</t>
  </si>
  <si>
    <t>مصاريف بنكية</t>
  </si>
  <si>
    <t>99-2</t>
  </si>
  <si>
    <t>الايجار</t>
  </si>
  <si>
    <t>99-3</t>
  </si>
  <si>
    <t>كهرباء ومياه وغاز وانترنت وموبيل مرافق</t>
  </si>
  <si>
    <t>99-4</t>
  </si>
  <si>
    <t>مرتبات</t>
  </si>
  <si>
    <t>99-5</t>
  </si>
  <si>
    <t>فروق تحويل</t>
  </si>
  <si>
    <t>99-6</t>
  </si>
  <si>
    <t xml:space="preserve">تليفون ومحمول و انترنت </t>
  </si>
  <si>
    <t>99-7</t>
  </si>
  <si>
    <t xml:space="preserve">اكراميات ومكافأت </t>
  </si>
  <si>
    <t>99-8</t>
  </si>
  <si>
    <t>نظافه و بوفيه</t>
  </si>
  <si>
    <t>99-9</t>
  </si>
  <si>
    <t>مصاريف و صيانه كمبيوتر  / طابعه</t>
  </si>
  <si>
    <t>99-10</t>
  </si>
  <si>
    <t>ادوات مكتبية ومطبوعات</t>
  </si>
  <si>
    <t>99-11</t>
  </si>
  <si>
    <t>حراسه عقار</t>
  </si>
  <si>
    <t>99-12</t>
  </si>
  <si>
    <t>صيانة واصلاح</t>
  </si>
  <si>
    <t>99-13</t>
  </si>
  <si>
    <t>مصاريف شحن و اشتراكات</t>
  </si>
  <si>
    <t>99-14</t>
  </si>
  <si>
    <t>تامينات اجتماعية</t>
  </si>
  <si>
    <t>99-15</t>
  </si>
  <si>
    <t>اتعاب مهنية</t>
  </si>
  <si>
    <t>99-16</t>
  </si>
  <si>
    <t>انتقالات</t>
  </si>
  <si>
    <t>99-17</t>
  </si>
  <si>
    <t>مصاريف نظافة</t>
  </si>
  <si>
    <t>99-18</t>
  </si>
  <si>
    <t>مصاريف فوائد</t>
  </si>
  <si>
    <t>99-19</t>
  </si>
  <si>
    <t>مصاريف تمويلية</t>
  </si>
  <si>
    <t>99-20</t>
  </si>
  <si>
    <t>تكاليف تسويق</t>
  </si>
  <si>
    <t>99-21</t>
  </si>
  <si>
    <t>تكاليف معاينات</t>
  </si>
  <si>
    <t>99-22</t>
  </si>
  <si>
    <t>تكاليف مشروع سوديك  341</t>
  </si>
  <si>
    <t xml:space="preserve">تكاليف مشروع سوديك </t>
  </si>
  <si>
    <t xml:space="preserve">تكاليف العمليات </t>
  </si>
  <si>
    <t>341-1</t>
  </si>
  <si>
    <t xml:space="preserve">تكلفة  المعاينة </t>
  </si>
  <si>
    <t>341-2</t>
  </si>
  <si>
    <t xml:space="preserve"> تكلفة الثري دي </t>
  </si>
  <si>
    <t>341-3</t>
  </si>
  <si>
    <t xml:space="preserve">اعمال التكسير والهدم والنظافة والتشوينات من مواد </t>
  </si>
  <si>
    <t>341-4</t>
  </si>
  <si>
    <t xml:space="preserve">اعمال انزال ونقل الراتش ونقل المخلفات </t>
  </si>
  <si>
    <t>341-5</t>
  </si>
  <si>
    <t>خامات ومصنعية أعمال المباني</t>
  </si>
  <si>
    <t>341-6</t>
  </si>
  <si>
    <t>خامات ومصنعية أعمال المحارة</t>
  </si>
  <si>
    <t>341-7</t>
  </si>
  <si>
    <t>خامات ومصنعية أعمال الجبس والديكورات</t>
  </si>
  <si>
    <t>341-8</t>
  </si>
  <si>
    <t>خامات ومصنعية أعمال الدهانات</t>
  </si>
  <si>
    <t>341-9</t>
  </si>
  <si>
    <t>خامات ومصنعية أعمال السيراميك</t>
  </si>
  <si>
    <t>341-10</t>
  </si>
  <si>
    <t>خامات ومصنعية أعمال الرخام</t>
  </si>
  <si>
    <t>341-11</t>
  </si>
  <si>
    <t>خامات ومصنعية بند الكهرباء</t>
  </si>
  <si>
    <t>341-12</t>
  </si>
  <si>
    <t>خامات ومصنعية بند السباكة والصحي</t>
  </si>
  <si>
    <t>341-13</t>
  </si>
  <si>
    <t>خامات ومصنعية أعمال التكييف</t>
  </si>
  <si>
    <t>341-14</t>
  </si>
  <si>
    <t>خامات ومصنعية أعمال النجارة والأبواب</t>
  </si>
  <si>
    <t>341-15</t>
  </si>
  <si>
    <t>خامات ومصنعية أعمال المطابخ</t>
  </si>
  <si>
    <t>341-16</t>
  </si>
  <si>
    <t>خامات ومصنعية أعمال الألوميتال</t>
  </si>
  <si>
    <t>341-17</t>
  </si>
  <si>
    <t>خامات ومصنعية أعمال الزجاج والسكوريت</t>
  </si>
  <si>
    <t>341-18</t>
  </si>
  <si>
    <t>خامات ومصنعية أعمال الشاتر</t>
  </si>
  <si>
    <t>341-19</t>
  </si>
  <si>
    <t>خامات ومصنعية أعمال المرايات</t>
  </si>
  <si>
    <t>341-20</t>
  </si>
  <si>
    <t>خامات ومصنعية أعمال العزل</t>
  </si>
  <si>
    <t>341-21</t>
  </si>
  <si>
    <t>خامات ومصنعية أعمال الشفاطات</t>
  </si>
  <si>
    <t>341-22</t>
  </si>
  <si>
    <t>خامات ومصنعية أعمال النجف والإضاءة</t>
  </si>
  <si>
    <t>341-23</t>
  </si>
  <si>
    <t>خامات ومصنعية أعمال اللاند سكيب</t>
  </si>
  <si>
    <t>341-24</t>
  </si>
  <si>
    <t>خامات ومصنعية أعمال الأرضيات الخشبية</t>
  </si>
  <si>
    <t>341-25</t>
  </si>
  <si>
    <t>خامات ومصنعية أعمال الستائر</t>
  </si>
  <si>
    <t>341-26</t>
  </si>
  <si>
    <t>خامات ومصنعية أعمال الأثاث</t>
  </si>
  <si>
    <t>341-27</t>
  </si>
  <si>
    <t>خامات ومصنعية أعمال النقل والتشوين</t>
  </si>
  <si>
    <t>341-28</t>
  </si>
  <si>
    <t>رسوم وتصاريح المشروع واكراميات</t>
  </si>
  <si>
    <t>341-29</t>
  </si>
  <si>
    <t>عمالة ويوميات مباشرة</t>
  </si>
  <si>
    <t>341-30</t>
  </si>
  <si>
    <t>انتقالات اخري</t>
  </si>
  <si>
    <t>341-31</t>
  </si>
  <si>
    <t>341-32</t>
  </si>
  <si>
    <t>341-33</t>
  </si>
  <si>
    <t>341-34</t>
  </si>
  <si>
    <t>تكاليف مشروع بيت الوطن  149</t>
  </si>
  <si>
    <t>149-1</t>
  </si>
  <si>
    <t>149-2</t>
  </si>
  <si>
    <t>149-3</t>
  </si>
  <si>
    <t>اعمال التكسير والهدم والنظافة</t>
  </si>
  <si>
    <t>149-4</t>
  </si>
  <si>
    <t>149-5</t>
  </si>
  <si>
    <t>149-6</t>
  </si>
  <si>
    <t>149-7</t>
  </si>
  <si>
    <t>149-8</t>
  </si>
  <si>
    <t>149-9</t>
  </si>
  <si>
    <t>149-10</t>
  </si>
  <si>
    <t>149-11</t>
  </si>
  <si>
    <t>149-12</t>
  </si>
  <si>
    <t>149-13</t>
  </si>
  <si>
    <t>149-14</t>
  </si>
  <si>
    <t>149-15</t>
  </si>
  <si>
    <t>149-16</t>
  </si>
  <si>
    <t>149-17</t>
  </si>
  <si>
    <t>149-18</t>
  </si>
  <si>
    <t>149-19</t>
  </si>
  <si>
    <t>149-20</t>
  </si>
  <si>
    <t>149-21</t>
  </si>
  <si>
    <t>149-22</t>
  </si>
  <si>
    <t>149-23</t>
  </si>
  <si>
    <t>149-24</t>
  </si>
  <si>
    <t>149-25</t>
  </si>
  <si>
    <t>149-26</t>
  </si>
  <si>
    <t>149-27</t>
  </si>
  <si>
    <t>149-28</t>
  </si>
  <si>
    <t>149-29</t>
  </si>
  <si>
    <t>149-30</t>
  </si>
  <si>
    <t>149-31</t>
  </si>
  <si>
    <t>149-32</t>
  </si>
  <si>
    <t>149-33</t>
  </si>
  <si>
    <t>149-34</t>
  </si>
  <si>
    <t>تكاليف مشروع الباتيو 235</t>
  </si>
  <si>
    <t>235-1</t>
  </si>
  <si>
    <t>235-2</t>
  </si>
  <si>
    <t>235-3</t>
  </si>
  <si>
    <t>235-4</t>
  </si>
  <si>
    <t>235-5</t>
  </si>
  <si>
    <t>235-6</t>
  </si>
  <si>
    <t>235-7</t>
  </si>
  <si>
    <t>235-8</t>
  </si>
  <si>
    <t>235-9</t>
  </si>
  <si>
    <t>235-10</t>
  </si>
  <si>
    <t>235-11</t>
  </si>
  <si>
    <t>235-12</t>
  </si>
  <si>
    <t>235-13</t>
  </si>
  <si>
    <t>235-14</t>
  </si>
  <si>
    <t>235-15</t>
  </si>
  <si>
    <t>235-16</t>
  </si>
  <si>
    <t>235-17</t>
  </si>
  <si>
    <t>235-18</t>
  </si>
  <si>
    <t>235-19</t>
  </si>
  <si>
    <t>235-20</t>
  </si>
  <si>
    <t>235-21</t>
  </si>
  <si>
    <t>235-22</t>
  </si>
  <si>
    <t>235-23</t>
  </si>
  <si>
    <t>235-24</t>
  </si>
  <si>
    <t>235-25</t>
  </si>
  <si>
    <t>235-26</t>
  </si>
  <si>
    <t>235-27</t>
  </si>
  <si>
    <t>235-28</t>
  </si>
  <si>
    <t>235-29</t>
  </si>
  <si>
    <t>235-30</t>
  </si>
  <si>
    <t>235-31</t>
  </si>
  <si>
    <t>235-32</t>
  </si>
  <si>
    <t>235-33</t>
  </si>
  <si>
    <t>235-34</t>
  </si>
  <si>
    <t>تكاليف مشروع كناريا  273</t>
  </si>
  <si>
    <t>273-1</t>
  </si>
  <si>
    <t>273-2</t>
  </si>
  <si>
    <t>273-3</t>
  </si>
  <si>
    <t>273-4</t>
  </si>
  <si>
    <t>273-5</t>
  </si>
  <si>
    <t>273-6</t>
  </si>
  <si>
    <t>273-7</t>
  </si>
  <si>
    <t>273-8</t>
  </si>
  <si>
    <t>273-9</t>
  </si>
  <si>
    <t>273-10</t>
  </si>
  <si>
    <t>273-11</t>
  </si>
  <si>
    <t>273-12</t>
  </si>
  <si>
    <t>273-13</t>
  </si>
  <si>
    <t>273-14</t>
  </si>
  <si>
    <t>273-15</t>
  </si>
  <si>
    <t>273-16</t>
  </si>
  <si>
    <t>273-17</t>
  </si>
  <si>
    <t>273-18</t>
  </si>
  <si>
    <t>273-19</t>
  </si>
  <si>
    <t>273-20</t>
  </si>
  <si>
    <t>273-21</t>
  </si>
  <si>
    <t>273-22</t>
  </si>
  <si>
    <t>273-23</t>
  </si>
  <si>
    <t>273-24</t>
  </si>
  <si>
    <t>273-25</t>
  </si>
  <si>
    <t>273-26</t>
  </si>
  <si>
    <t>273-27</t>
  </si>
  <si>
    <t>273-28</t>
  </si>
  <si>
    <t>273-29</t>
  </si>
  <si>
    <t>273-30</t>
  </si>
  <si>
    <t>273-31</t>
  </si>
  <si>
    <t>273-32</t>
  </si>
  <si>
    <t>273-33</t>
  </si>
  <si>
    <t>273-34</t>
  </si>
  <si>
    <t>تكاليف مشروع الاندلس 280</t>
  </si>
  <si>
    <t>280-1</t>
  </si>
  <si>
    <t>280-2</t>
  </si>
  <si>
    <t>280-3</t>
  </si>
  <si>
    <t>280-4</t>
  </si>
  <si>
    <t>280-5</t>
  </si>
  <si>
    <t>280-6</t>
  </si>
  <si>
    <t>280-7</t>
  </si>
  <si>
    <t>280-8</t>
  </si>
  <si>
    <t>280-9</t>
  </si>
  <si>
    <t>280-10</t>
  </si>
  <si>
    <t>280-11</t>
  </si>
  <si>
    <t>280-12</t>
  </si>
  <si>
    <t>280-13</t>
  </si>
  <si>
    <t>280-14</t>
  </si>
  <si>
    <t>280-15</t>
  </si>
  <si>
    <t>280-16</t>
  </si>
  <si>
    <t>280-17</t>
  </si>
  <si>
    <t>280-18</t>
  </si>
  <si>
    <t>280-19</t>
  </si>
  <si>
    <t>280-20</t>
  </si>
  <si>
    <t>280-21</t>
  </si>
  <si>
    <t>280-22</t>
  </si>
  <si>
    <t>280-23</t>
  </si>
  <si>
    <t>280-24</t>
  </si>
  <si>
    <t>280-25</t>
  </si>
  <si>
    <t>280-26</t>
  </si>
  <si>
    <t>280-27</t>
  </si>
  <si>
    <t>280-28</t>
  </si>
  <si>
    <t>280-29</t>
  </si>
  <si>
    <t>280-30</t>
  </si>
  <si>
    <t>280-31</t>
  </si>
  <si>
    <t>280-32</t>
  </si>
  <si>
    <t>280-33</t>
  </si>
  <si>
    <t>280-34</t>
  </si>
  <si>
    <t>287 تكاليف مشروع المعادي فيو</t>
  </si>
  <si>
    <t>287-1</t>
  </si>
  <si>
    <t>287-2</t>
  </si>
  <si>
    <t>287-3</t>
  </si>
  <si>
    <t>287-4</t>
  </si>
  <si>
    <t>287-5</t>
  </si>
  <si>
    <t>287-6</t>
  </si>
  <si>
    <t>287-7</t>
  </si>
  <si>
    <t>287-8</t>
  </si>
  <si>
    <t>287-9</t>
  </si>
  <si>
    <t>287-10</t>
  </si>
  <si>
    <t>287-11</t>
  </si>
  <si>
    <t>287-12</t>
  </si>
  <si>
    <t>287-13</t>
  </si>
  <si>
    <t>287-14</t>
  </si>
  <si>
    <t>287-15</t>
  </si>
  <si>
    <t>287-16</t>
  </si>
  <si>
    <t>287-17</t>
  </si>
  <si>
    <t>287-18</t>
  </si>
  <si>
    <t>287-19</t>
  </si>
  <si>
    <t>287-20</t>
  </si>
  <si>
    <t>287-21</t>
  </si>
  <si>
    <t>287-22</t>
  </si>
  <si>
    <t>287-23</t>
  </si>
  <si>
    <t>287-24</t>
  </si>
  <si>
    <t>287-25</t>
  </si>
  <si>
    <t>287-26</t>
  </si>
  <si>
    <t>287-27</t>
  </si>
  <si>
    <t>287-28</t>
  </si>
  <si>
    <t>287-29</t>
  </si>
  <si>
    <t>287-30</t>
  </si>
  <si>
    <t>287-31</t>
  </si>
  <si>
    <t>287-32</t>
  </si>
  <si>
    <t>287-33</t>
  </si>
  <si>
    <t>287-34</t>
  </si>
  <si>
    <t>تكاليف مشروع العبور 306</t>
  </si>
  <si>
    <t>306-1</t>
  </si>
  <si>
    <t>306-2</t>
  </si>
  <si>
    <t>306-3</t>
  </si>
  <si>
    <t>306-4</t>
  </si>
  <si>
    <t>306-5</t>
  </si>
  <si>
    <t>306-6</t>
  </si>
  <si>
    <t>306-7</t>
  </si>
  <si>
    <t>306-8</t>
  </si>
  <si>
    <t>306-9</t>
  </si>
  <si>
    <t>306-10</t>
  </si>
  <si>
    <t>306-11</t>
  </si>
  <si>
    <t>306-12</t>
  </si>
  <si>
    <t>306-13</t>
  </si>
  <si>
    <t>306-14</t>
  </si>
  <si>
    <t>306-15</t>
  </si>
  <si>
    <t>306-16</t>
  </si>
  <si>
    <t>306-17</t>
  </si>
  <si>
    <t>306-18</t>
  </si>
  <si>
    <t>306-19</t>
  </si>
  <si>
    <t>306-20</t>
  </si>
  <si>
    <t>306-21</t>
  </si>
  <si>
    <t>306-22</t>
  </si>
  <si>
    <t>306-23</t>
  </si>
  <si>
    <t>306-24</t>
  </si>
  <si>
    <t>306-25</t>
  </si>
  <si>
    <t>306-26</t>
  </si>
  <si>
    <t>306-27</t>
  </si>
  <si>
    <t>306-28</t>
  </si>
  <si>
    <t>306-29</t>
  </si>
  <si>
    <t>306-30</t>
  </si>
  <si>
    <t>306-31</t>
  </si>
  <si>
    <t>306-32</t>
  </si>
  <si>
    <t>306-33</t>
  </si>
  <si>
    <t>306-34</t>
  </si>
  <si>
    <t>318 تكاليف مشروع  المعادي ديونز</t>
  </si>
  <si>
    <t>318-1</t>
  </si>
  <si>
    <t>318-2</t>
  </si>
  <si>
    <t>318-3</t>
  </si>
  <si>
    <t>318-4</t>
  </si>
  <si>
    <t>318-5</t>
  </si>
  <si>
    <t>318-6</t>
  </si>
  <si>
    <t>318-7</t>
  </si>
  <si>
    <t>318-8</t>
  </si>
  <si>
    <t>318-9</t>
  </si>
  <si>
    <t>318-10</t>
  </si>
  <si>
    <t>318-11</t>
  </si>
  <si>
    <t>318-12</t>
  </si>
  <si>
    <t>318-13</t>
  </si>
  <si>
    <t>318-14</t>
  </si>
  <si>
    <t>318-15</t>
  </si>
  <si>
    <t>318-16</t>
  </si>
  <si>
    <t>318-17</t>
  </si>
  <si>
    <t>318-18</t>
  </si>
  <si>
    <t>318-19</t>
  </si>
  <si>
    <t>318-20</t>
  </si>
  <si>
    <t>318-21</t>
  </si>
  <si>
    <t>318-22</t>
  </si>
  <si>
    <t>318-23</t>
  </si>
  <si>
    <t>318-24</t>
  </si>
  <si>
    <t>318-25</t>
  </si>
  <si>
    <t>318-26</t>
  </si>
  <si>
    <t>318-27</t>
  </si>
  <si>
    <t>318-28</t>
  </si>
  <si>
    <t>318-29</t>
  </si>
  <si>
    <t>318-30</t>
  </si>
  <si>
    <t>318-31</t>
  </si>
  <si>
    <t>318-32</t>
  </si>
  <si>
    <t>318-33</t>
  </si>
  <si>
    <t>318-34</t>
  </si>
  <si>
    <t>تكاليف مشروع عمرو العبور 336</t>
  </si>
  <si>
    <t>336-1</t>
  </si>
  <si>
    <t>336-2</t>
  </si>
  <si>
    <t>336-3</t>
  </si>
  <si>
    <t>336-4</t>
  </si>
  <si>
    <t>336-5</t>
  </si>
  <si>
    <t>336-6</t>
  </si>
  <si>
    <t>336-7</t>
  </si>
  <si>
    <t>336-8</t>
  </si>
  <si>
    <t>336-9</t>
  </si>
  <si>
    <t>336-10</t>
  </si>
  <si>
    <t>336-11</t>
  </si>
  <si>
    <t>336-12</t>
  </si>
  <si>
    <t>336-13</t>
  </si>
  <si>
    <t>336-14</t>
  </si>
  <si>
    <t>336-15</t>
  </si>
  <si>
    <t>336-16</t>
  </si>
  <si>
    <t>336-17</t>
  </si>
  <si>
    <t>336-18</t>
  </si>
  <si>
    <t>336-19</t>
  </si>
  <si>
    <t>336-20</t>
  </si>
  <si>
    <t>336-21</t>
  </si>
  <si>
    <t>336-22</t>
  </si>
  <si>
    <t>336-23</t>
  </si>
  <si>
    <t>336-24</t>
  </si>
  <si>
    <t>336-25</t>
  </si>
  <si>
    <t>336-26</t>
  </si>
  <si>
    <t>336-27</t>
  </si>
  <si>
    <t>336-28</t>
  </si>
  <si>
    <t>336-29</t>
  </si>
  <si>
    <t>336-30</t>
  </si>
  <si>
    <t>336-31</t>
  </si>
  <si>
    <t>336-32</t>
  </si>
  <si>
    <t>336-33</t>
  </si>
  <si>
    <t>336-34</t>
  </si>
  <si>
    <t>345 تكاليف مشروع بالم هيلز</t>
  </si>
  <si>
    <t>345-1</t>
  </si>
  <si>
    <t>345-2</t>
  </si>
  <si>
    <t>345-3</t>
  </si>
  <si>
    <t>345-4</t>
  </si>
  <si>
    <t>345-5</t>
  </si>
  <si>
    <t>345-6</t>
  </si>
  <si>
    <t>345-7</t>
  </si>
  <si>
    <t>345-8</t>
  </si>
  <si>
    <t>345-9</t>
  </si>
  <si>
    <t>345-10</t>
  </si>
  <si>
    <t>345-11</t>
  </si>
  <si>
    <t>345-12</t>
  </si>
  <si>
    <t>345-13</t>
  </si>
  <si>
    <t>345-14</t>
  </si>
  <si>
    <t>345-15</t>
  </si>
  <si>
    <t>345-16</t>
  </si>
  <si>
    <t>345-17</t>
  </si>
  <si>
    <t>345-18</t>
  </si>
  <si>
    <t>345-19</t>
  </si>
  <si>
    <t>345-20</t>
  </si>
  <si>
    <t>345-21</t>
  </si>
  <si>
    <t>345-22</t>
  </si>
  <si>
    <t>345-23</t>
  </si>
  <si>
    <t>345-24</t>
  </si>
  <si>
    <t>345-25</t>
  </si>
  <si>
    <t>345-26</t>
  </si>
  <si>
    <t>345-27</t>
  </si>
  <si>
    <t>345-28</t>
  </si>
  <si>
    <t>345-29</t>
  </si>
  <si>
    <t>345-30</t>
  </si>
  <si>
    <t>345-31</t>
  </si>
  <si>
    <t>345-32</t>
  </si>
  <si>
    <t>345-33</t>
  </si>
  <si>
    <t>345-34</t>
  </si>
  <si>
    <t>350 تكاليف مشروع شفيق</t>
  </si>
  <si>
    <t>350-1</t>
  </si>
  <si>
    <t>350-2</t>
  </si>
  <si>
    <t>350-3</t>
  </si>
  <si>
    <t>350-4</t>
  </si>
  <si>
    <t>350-5</t>
  </si>
  <si>
    <t>350-6</t>
  </si>
  <si>
    <t>350-7</t>
  </si>
  <si>
    <t>350-8</t>
  </si>
  <si>
    <t>350-9</t>
  </si>
  <si>
    <t>350-10</t>
  </si>
  <si>
    <t>350-11</t>
  </si>
  <si>
    <t>350-12</t>
  </si>
  <si>
    <t>350-13</t>
  </si>
  <si>
    <t>350-14</t>
  </si>
  <si>
    <t>350-15</t>
  </si>
  <si>
    <t>350-16</t>
  </si>
  <si>
    <t>350-17</t>
  </si>
  <si>
    <t>350-18</t>
  </si>
  <si>
    <t>350-19</t>
  </si>
  <si>
    <t>350-20</t>
  </si>
  <si>
    <t>350-21</t>
  </si>
  <si>
    <t>350-22</t>
  </si>
  <si>
    <t>350-23</t>
  </si>
  <si>
    <t>350-24</t>
  </si>
  <si>
    <t>350-25</t>
  </si>
  <si>
    <t>350-26</t>
  </si>
  <si>
    <t>350-27</t>
  </si>
  <si>
    <t>350-28</t>
  </si>
  <si>
    <t>350-29</t>
  </si>
  <si>
    <t>350-30</t>
  </si>
  <si>
    <t>350-31</t>
  </si>
  <si>
    <t>350-32</t>
  </si>
  <si>
    <t>350-33</t>
  </si>
  <si>
    <t>350-34</t>
  </si>
  <si>
    <t>تكاليف مشروع ياسر القرنفل 354</t>
  </si>
  <si>
    <t>354-1</t>
  </si>
  <si>
    <t>354-2</t>
  </si>
  <si>
    <t>354-3</t>
  </si>
  <si>
    <t>354-4</t>
  </si>
  <si>
    <t>354-5</t>
  </si>
  <si>
    <t>354-6</t>
  </si>
  <si>
    <t>354-7</t>
  </si>
  <si>
    <t>354-8</t>
  </si>
  <si>
    <t>354-9</t>
  </si>
  <si>
    <t>354-10</t>
  </si>
  <si>
    <t>354-11</t>
  </si>
  <si>
    <t>354-12</t>
  </si>
  <si>
    <t>354-13</t>
  </si>
  <si>
    <t>354-14</t>
  </si>
  <si>
    <t>354-15</t>
  </si>
  <si>
    <t>354-16</t>
  </si>
  <si>
    <t>354-17</t>
  </si>
  <si>
    <t>354-18</t>
  </si>
  <si>
    <t>354-19</t>
  </si>
  <si>
    <t>354-20</t>
  </si>
  <si>
    <t>354-21</t>
  </si>
  <si>
    <t>354-22</t>
  </si>
  <si>
    <t>354-23</t>
  </si>
  <si>
    <t>354-24</t>
  </si>
  <si>
    <t>354-25</t>
  </si>
  <si>
    <t>354-26</t>
  </si>
  <si>
    <t>354-27</t>
  </si>
  <si>
    <t>354-28</t>
  </si>
  <si>
    <t>354-29</t>
  </si>
  <si>
    <t>354-30</t>
  </si>
  <si>
    <t>354-31</t>
  </si>
  <si>
    <t>354-32</t>
  </si>
  <si>
    <t>354-33</t>
  </si>
  <si>
    <t>354-34</t>
  </si>
  <si>
    <t>تكاليف مشروع هاني القرنفل 355</t>
  </si>
  <si>
    <t>355-1</t>
  </si>
  <si>
    <t>355-2</t>
  </si>
  <si>
    <t>355-3</t>
  </si>
  <si>
    <t>355-4</t>
  </si>
  <si>
    <t>355-5</t>
  </si>
  <si>
    <t>355-6</t>
  </si>
  <si>
    <t>355-7</t>
  </si>
  <si>
    <t>355-8</t>
  </si>
  <si>
    <t>355-9</t>
  </si>
  <si>
    <t>355-10</t>
  </si>
  <si>
    <t>355-11</t>
  </si>
  <si>
    <t>355-12</t>
  </si>
  <si>
    <t>355-13</t>
  </si>
  <si>
    <t>355-14</t>
  </si>
  <si>
    <t>355-15</t>
  </si>
  <si>
    <t>355-16</t>
  </si>
  <si>
    <t>355-17</t>
  </si>
  <si>
    <t>355-18</t>
  </si>
  <si>
    <t>355-19</t>
  </si>
  <si>
    <t>355-20</t>
  </si>
  <si>
    <t>355-21</t>
  </si>
  <si>
    <t>355-22</t>
  </si>
  <si>
    <t>355-23</t>
  </si>
  <si>
    <t>355-24</t>
  </si>
  <si>
    <t>355-25</t>
  </si>
  <si>
    <t>355-26</t>
  </si>
  <si>
    <t>355-27</t>
  </si>
  <si>
    <t>355-28</t>
  </si>
  <si>
    <t>355-29</t>
  </si>
  <si>
    <t>355-30</t>
  </si>
  <si>
    <t>355-31</t>
  </si>
  <si>
    <t>355-32</t>
  </si>
  <si>
    <t>355-33</t>
  </si>
  <si>
    <t>355-34</t>
  </si>
  <si>
    <t>تكاليف مشروع مصطفي مدينتي 356</t>
  </si>
  <si>
    <t>356-1</t>
  </si>
  <si>
    <t>356-2</t>
  </si>
  <si>
    <t>356-3</t>
  </si>
  <si>
    <t>356-4</t>
  </si>
  <si>
    <t>356-5</t>
  </si>
  <si>
    <t>356-6</t>
  </si>
  <si>
    <t>356-7</t>
  </si>
  <si>
    <t>356-8</t>
  </si>
  <si>
    <t>356-9</t>
  </si>
  <si>
    <t>356-10</t>
  </si>
  <si>
    <t>356-11</t>
  </si>
  <si>
    <t>356-12</t>
  </si>
  <si>
    <t>356-13</t>
  </si>
  <si>
    <t>356-14</t>
  </si>
  <si>
    <t>356-15</t>
  </si>
  <si>
    <t>356-16</t>
  </si>
  <si>
    <t>356-17</t>
  </si>
  <si>
    <t>356-18</t>
  </si>
  <si>
    <t>356-19</t>
  </si>
  <si>
    <t>356-20</t>
  </si>
  <si>
    <t>356-21</t>
  </si>
  <si>
    <t>356-22</t>
  </si>
  <si>
    <t>356-23</t>
  </si>
  <si>
    <t>356-24</t>
  </si>
  <si>
    <t>356-25</t>
  </si>
  <si>
    <t>356-26</t>
  </si>
  <si>
    <t>356-27</t>
  </si>
  <si>
    <t>356-28</t>
  </si>
  <si>
    <t>356-29</t>
  </si>
  <si>
    <t>356-30</t>
  </si>
  <si>
    <t>356-31</t>
  </si>
  <si>
    <t>356-32</t>
  </si>
  <si>
    <t>356-33</t>
  </si>
  <si>
    <t>356-34</t>
  </si>
  <si>
    <t>تكاليف مشروع اللوتس 361</t>
  </si>
  <si>
    <t>361-1</t>
  </si>
  <si>
    <t>361-2</t>
  </si>
  <si>
    <t>361-3</t>
  </si>
  <si>
    <t>361-4</t>
  </si>
  <si>
    <t>361-5</t>
  </si>
  <si>
    <t>361-6</t>
  </si>
  <si>
    <t>361-7</t>
  </si>
  <si>
    <t>361-8</t>
  </si>
  <si>
    <t>361-9</t>
  </si>
  <si>
    <t>361-10</t>
  </si>
  <si>
    <t>361-11</t>
  </si>
  <si>
    <t>361-12</t>
  </si>
  <si>
    <t>361-13</t>
  </si>
  <si>
    <t>361-14</t>
  </si>
  <si>
    <t>361-15</t>
  </si>
  <si>
    <t>361-16</t>
  </si>
  <si>
    <t>361-17</t>
  </si>
  <si>
    <t>361-18</t>
  </si>
  <si>
    <t>361-19</t>
  </si>
  <si>
    <t>361-20</t>
  </si>
  <si>
    <t>361-21</t>
  </si>
  <si>
    <t>361-22</t>
  </si>
  <si>
    <t>361-23</t>
  </si>
  <si>
    <t>361-24</t>
  </si>
  <si>
    <t>361-25</t>
  </si>
  <si>
    <t>361-26</t>
  </si>
  <si>
    <t>361-27</t>
  </si>
  <si>
    <t>361-28</t>
  </si>
  <si>
    <t>361-29</t>
  </si>
  <si>
    <t>361-30</t>
  </si>
  <si>
    <t>361-31</t>
  </si>
  <si>
    <t>361-32</t>
  </si>
  <si>
    <t>361-33</t>
  </si>
  <si>
    <t>361-34</t>
  </si>
  <si>
    <t>تكاليف مشروع الاندلس 364</t>
  </si>
  <si>
    <t>364-1</t>
  </si>
  <si>
    <t>364-2</t>
  </si>
  <si>
    <t>364-3</t>
  </si>
  <si>
    <t>364-4</t>
  </si>
  <si>
    <t>364-5</t>
  </si>
  <si>
    <t>364-6</t>
  </si>
  <si>
    <t>364-7</t>
  </si>
  <si>
    <t>364-8</t>
  </si>
  <si>
    <t>364-9</t>
  </si>
  <si>
    <t>364-10</t>
  </si>
  <si>
    <t>364-11</t>
  </si>
  <si>
    <t>364-12</t>
  </si>
  <si>
    <t>364-13</t>
  </si>
  <si>
    <t>364-14</t>
  </si>
  <si>
    <t>364-15</t>
  </si>
  <si>
    <t>364-16</t>
  </si>
  <si>
    <t>364-17</t>
  </si>
  <si>
    <t>364-18</t>
  </si>
  <si>
    <t>364-19</t>
  </si>
  <si>
    <t>364-20</t>
  </si>
  <si>
    <t>364-21</t>
  </si>
  <si>
    <t>364-22</t>
  </si>
  <si>
    <t>364-23</t>
  </si>
  <si>
    <t>364-24</t>
  </si>
  <si>
    <t>364-25</t>
  </si>
  <si>
    <t>364-26</t>
  </si>
  <si>
    <t>364-27</t>
  </si>
  <si>
    <t>364-28</t>
  </si>
  <si>
    <t>364-29</t>
  </si>
  <si>
    <t>364-30</t>
  </si>
  <si>
    <t>364-31</t>
  </si>
  <si>
    <t>364-32</t>
  </si>
  <si>
    <t>364-33</t>
  </si>
  <si>
    <t>364-34</t>
  </si>
  <si>
    <t>تكاليف مشروع هاني العبور 365</t>
  </si>
  <si>
    <t>365-1</t>
  </si>
  <si>
    <t>365-2</t>
  </si>
  <si>
    <t>365-3</t>
  </si>
  <si>
    <t>365-4</t>
  </si>
  <si>
    <t>365-5</t>
  </si>
  <si>
    <t>365-6</t>
  </si>
  <si>
    <t>365-7</t>
  </si>
  <si>
    <t>365-8</t>
  </si>
  <si>
    <t>365-9</t>
  </si>
  <si>
    <t>365-10</t>
  </si>
  <si>
    <t>365-11</t>
  </si>
  <si>
    <t>365-12</t>
  </si>
  <si>
    <t>365-13</t>
  </si>
  <si>
    <t>365-14</t>
  </si>
  <si>
    <t>365-15</t>
  </si>
  <si>
    <t>365-16</t>
  </si>
  <si>
    <t>365-17</t>
  </si>
  <si>
    <t>365-18</t>
  </si>
  <si>
    <t>365-19</t>
  </si>
  <si>
    <t>365-20</t>
  </si>
  <si>
    <t>365-21</t>
  </si>
  <si>
    <t>365-22</t>
  </si>
  <si>
    <t>365-23</t>
  </si>
  <si>
    <t>365-24</t>
  </si>
  <si>
    <t>365-25</t>
  </si>
  <si>
    <t>365-26</t>
  </si>
  <si>
    <t>365-27</t>
  </si>
  <si>
    <t>365-28</t>
  </si>
  <si>
    <t>365-29</t>
  </si>
  <si>
    <t>365-30</t>
  </si>
  <si>
    <t>365-31</t>
  </si>
  <si>
    <t>365-32</t>
  </si>
  <si>
    <t>365-33</t>
  </si>
  <si>
    <t>365-34</t>
  </si>
  <si>
    <t>تكاليف مشروع اشرف الشروق 372</t>
  </si>
  <si>
    <t>372-1</t>
  </si>
  <si>
    <t>372-2</t>
  </si>
  <si>
    <t>372-3</t>
  </si>
  <si>
    <t>372-4</t>
  </si>
  <si>
    <t>372-5</t>
  </si>
  <si>
    <t>372-6</t>
  </si>
  <si>
    <t>372-7</t>
  </si>
  <si>
    <t>372-8</t>
  </si>
  <si>
    <t>372-9</t>
  </si>
  <si>
    <t>372-10</t>
  </si>
  <si>
    <t>372-11</t>
  </si>
  <si>
    <t>372-12</t>
  </si>
  <si>
    <t>372-13</t>
  </si>
  <si>
    <t>372-14</t>
  </si>
  <si>
    <t>372-15</t>
  </si>
  <si>
    <t>372-16</t>
  </si>
  <si>
    <t>372-17</t>
  </si>
  <si>
    <t>372-18</t>
  </si>
  <si>
    <t>372-19</t>
  </si>
  <si>
    <t>372-20</t>
  </si>
  <si>
    <t>372-21</t>
  </si>
  <si>
    <t>372-22</t>
  </si>
  <si>
    <t>372-23</t>
  </si>
  <si>
    <t>372-24</t>
  </si>
  <si>
    <t>372-25</t>
  </si>
  <si>
    <t>372-26</t>
  </si>
  <si>
    <t>372-27</t>
  </si>
  <si>
    <t>372-28</t>
  </si>
  <si>
    <t>372-29</t>
  </si>
  <si>
    <t>372-30</t>
  </si>
  <si>
    <t>372-31</t>
  </si>
  <si>
    <t>372-32</t>
  </si>
  <si>
    <t>372-33</t>
  </si>
  <si>
    <t>372-34</t>
  </si>
  <si>
    <t>تكاليف مشروع القصر 380</t>
  </si>
  <si>
    <t>380-1</t>
  </si>
  <si>
    <t>380-2</t>
  </si>
  <si>
    <t>380-3</t>
  </si>
  <si>
    <t>380-4</t>
  </si>
  <si>
    <t>380-5</t>
  </si>
  <si>
    <t>380-6</t>
  </si>
  <si>
    <t>380-7</t>
  </si>
  <si>
    <t>380-8</t>
  </si>
  <si>
    <t>380-9</t>
  </si>
  <si>
    <t>380-10</t>
  </si>
  <si>
    <t>380-11</t>
  </si>
  <si>
    <t>380-12</t>
  </si>
  <si>
    <t>380-13</t>
  </si>
  <si>
    <t>380-14</t>
  </si>
  <si>
    <t>380-15</t>
  </si>
  <si>
    <t>380-16</t>
  </si>
  <si>
    <t>380-17</t>
  </si>
  <si>
    <t>380-18</t>
  </si>
  <si>
    <t>380-19</t>
  </si>
  <si>
    <t>380-20</t>
  </si>
  <si>
    <t>380-21</t>
  </si>
  <si>
    <t>380-22</t>
  </si>
  <si>
    <t>380-23</t>
  </si>
  <si>
    <t>380-24</t>
  </si>
  <si>
    <t>380-25</t>
  </si>
  <si>
    <t>380-26</t>
  </si>
  <si>
    <t>380-27</t>
  </si>
  <si>
    <t>380-28</t>
  </si>
  <si>
    <t>380-29</t>
  </si>
  <si>
    <t>380-30</t>
  </si>
  <si>
    <t>380-31</t>
  </si>
  <si>
    <t>380-32</t>
  </si>
  <si>
    <t>380-33</t>
  </si>
  <si>
    <t>380-34</t>
  </si>
  <si>
    <t>388 تكاليف مشروع الدقي</t>
  </si>
  <si>
    <t>388-1</t>
  </si>
  <si>
    <t>388-2</t>
  </si>
  <si>
    <t>388-3</t>
  </si>
  <si>
    <t>388-4</t>
  </si>
  <si>
    <t>388-5</t>
  </si>
  <si>
    <t>388-6</t>
  </si>
  <si>
    <t>388-7</t>
  </si>
  <si>
    <t>388-8</t>
  </si>
  <si>
    <t>388-9</t>
  </si>
  <si>
    <t>388-10</t>
  </si>
  <si>
    <t>388-11</t>
  </si>
  <si>
    <t>388-12</t>
  </si>
  <si>
    <t>388-13</t>
  </si>
  <si>
    <t>388-14</t>
  </si>
  <si>
    <t>388-15</t>
  </si>
  <si>
    <t>388-16</t>
  </si>
  <si>
    <t>388-17</t>
  </si>
  <si>
    <t>388-18</t>
  </si>
  <si>
    <t>388-19</t>
  </si>
  <si>
    <t>388-20</t>
  </si>
  <si>
    <t>388-21</t>
  </si>
  <si>
    <t>388-22</t>
  </si>
  <si>
    <t>388-23</t>
  </si>
  <si>
    <t>388-24</t>
  </si>
  <si>
    <t>388-25</t>
  </si>
  <si>
    <t>388-26</t>
  </si>
  <si>
    <t>388-27</t>
  </si>
  <si>
    <t>388-28</t>
  </si>
  <si>
    <t>388-29</t>
  </si>
  <si>
    <t>388-30</t>
  </si>
  <si>
    <t>388-31</t>
  </si>
  <si>
    <t>388-32</t>
  </si>
  <si>
    <t>388-33</t>
  </si>
  <si>
    <t>388-34</t>
  </si>
  <si>
    <t>تكاليف مشروع احمد زايد 401</t>
  </si>
  <si>
    <t>401-1</t>
  </si>
  <si>
    <t>401-2</t>
  </si>
  <si>
    <t>401-3</t>
  </si>
  <si>
    <t>401-4</t>
  </si>
  <si>
    <t>401-5</t>
  </si>
  <si>
    <t>401-6</t>
  </si>
  <si>
    <t>401-7</t>
  </si>
  <si>
    <t>401-8</t>
  </si>
  <si>
    <t>401-9</t>
  </si>
  <si>
    <t>401-10</t>
  </si>
  <si>
    <t>401-11</t>
  </si>
  <si>
    <t>401-12</t>
  </si>
  <si>
    <t>401-13</t>
  </si>
  <si>
    <t>401-14</t>
  </si>
  <si>
    <t>401-15</t>
  </si>
  <si>
    <t>401-16</t>
  </si>
  <si>
    <t>401-17</t>
  </si>
  <si>
    <t>401-18</t>
  </si>
  <si>
    <t>401-19</t>
  </si>
  <si>
    <t>401-20</t>
  </si>
  <si>
    <t>401-21</t>
  </si>
  <si>
    <t>401-22</t>
  </si>
  <si>
    <t>401-23</t>
  </si>
  <si>
    <t>401-24</t>
  </si>
  <si>
    <t>401-25</t>
  </si>
  <si>
    <t>401-26</t>
  </si>
  <si>
    <t>401-27</t>
  </si>
  <si>
    <t>401-28</t>
  </si>
  <si>
    <t>401-29</t>
  </si>
  <si>
    <t>401-30</t>
  </si>
  <si>
    <t>401-31</t>
  </si>
  <si>
    <t>401-32</t>
  </si>
  <si>
    <t>401-33</t>
  </si>
  <si>
    <t>401-34</t>
  </si>
  <si>
    <t>تكاليف مشروع رأس الحكمة</t>
  </si>
  <si>
    <t>5100-1</t>
  </si>
  <si>
    <t>5100-2</t>
  </si>
  <si>
    <t>5100-3</t>
  </si>
  <si>
    <t>5100-4</t>
  </si>
  <si>
    <t>5100-5</t>
  </si>
  <si>
    <t>5100-6</t>
  </si>
  <si>
    <t>5100-7</t>
  </si>
  <si>
    <t>5100-8</t>
  </si>
  <si>
    <t>5100-9</t>
  </si>
  <si>
    <t>5100-10</t>
  </si>
  <si>
    <t>5100-11</t>
  </si>
  <si>
    <t>5100-12</t>
  </si>
  <si>
    <t>5100-13</t>
  </si>
  <si>
    <t>5100-14</t>
  </si>
  <si>
    <t>5100-15</t>
  </si>
  <si>
    <t>5100-16</t>
  </si>
  <si>
    <t>5100-17</t>
  </si>
  <si>
    <t>5100-18</t>
  </si>
  <si>
    <t>5100-19</t>
  </si>
  <si>
    <t>5100-20</t>
  </si>
  <si>
    <t>5100-21</t>
  </si>
  <si>
    <t>5100-22</t>
  </si>
  <si>
    <t>5100-23</t>
  </si>
  <si>
    <t>5100-24</t>
  </si>
  <si>
    <t>5100-25</t>
  </si>
  <si>
    <t>5100-26</t>
  </si>
  <si>
    <t>5100-27</t>
  </si>
  <si>
    <t>5100-28</t>
  </si>
  <si>
    <t>5100-29</t>
  </si>
  <si>
    <t>5100-30</t>
  </si>
  <si>
    <t>5100-31</t>
  </si>
  <si>
    <t>5100-32</t>
  </si>
  <si>
    <t>5100-33</t>
  </si>
  <si>
    <t>5100-34</t>
  </si>
  <si>
    <t>تكاليف مشروع شقة هليوبوليس</t>
  </si>
  <si>
    <t>5200-1</t>
  </si>
  <si>
    <t>5200-2</t>
  </si>
  <si>
    <t>5200-3</t>
  </si>
  <si>
    <t>5200-4</t>
  </si>
  <si>
    <t>5200-5</t>
  </si>
  <si>
    <t>5200-6</t>
  </si>
  <si>
    <t>5200-7</t>
  </si>
  <si>
    <t>5200-8</t>
  </si>
  <si>
    <t>5200-9</t>
  </si>
  <si>
    <t>5200-10</t>
  </si>
  <si>
    <t>5200-11</t>
  </si>
  <si>
    <t>5200-12</t>
  </si>
  <si>
    <t>5200-13</t>
  </si>
  <si>
    <t>5200-14</t>
  </si>
  <si>
    <t>5200-15</t>
  </si>
  <si>
    <t>5200-16</t>
  </si>
  <si>
    <t>خامات ومصنعية أعمال الألوميتال والكيريتال</t>
  </si>
  <si>
    <t>5200-17</t>
  </si>
  <si>
    <t>5200-18</t>
  </si>
  <si>
    <t>5200-19</t>
  </si>
  <si>
    <t>5200-20</t>
  </si>
  <si>
    <t>5200-21</t>
  </si>
  <si>
    <t>5200-22</t>
  </si>
  <si>
    <t>5200-23</t>
  </si>
  <si>
    <t>5200-24</t>
  </si>
  <si>
    <t>5200-25</t>
  </si>
  <si>
    <t>5200-26</t>
  </si>
  <si>
    <t>5200-27</t>
  </si>
  <si>
    <t>5200-28</t>
  </si>
  <si>
    <t>5200-29</t>
  </si>
  <si>
    <t>5200-30</t>
  </si>
  <si>
    <t>5200-31</t>
  </si>
  <si>
    <t>5200-32</t>
  </si>
  <si>
    <t>5200-33</t>
  </si>
  <si>
    <t>5200-34</t>
  </si>
  <si>
    <t>تكاليف مشروع وصال العشري 398</t>
  </si>
  <si>
    <t>398-1</t>
  </si>
  <si>
    <t>398-2</t>
  </si>
  <si>
    <t>398-3</t>
  </si>
  <si>
    <t>398-4</t>
  </si>
  <si>
    <t>398-5</t>
  </si>
  <si>
    <t>398-6</t>
  </si>
  <si>
    <t>398-7</t>
  </si>
  <si>
    <t>398-8</t>
  </si>
  <si>
    <t>398-9</t>
  </si>
  <si>
    <t>398-10</t>
  </si>
  <si>
    <t>398-11</t>
  </si>
  <si>
    <t>398-12</t>
  </si>
  <si>
    <t>398-13</t>
  </si>
  <si>
    <t>398-14</t>
  </si>
  <si>
    <t>398-15</t>
  </si>
  <si>
    <t>398-16</t>
  </si>
  <si>
    <t>398-17</t>
  </si>
  <si>
    <t>398-18</t>
  </si>
  <si>
    <t>398-19</t>
  </si>
  <si>
    <t>398-20</t>
  </si>
  <si>
    <t>398-21</t>
  </si>
  <si>
    <t>398-22</t>
  </si>
  <si>
    <t>398-23</t>
  </si>
  <si>
    <t>398-24</t>
  </si>
  <si>
    <t>398-25</t>
  </si>
  <si>
    <t>398-26</t>
  </si>
  <si>
    <t>398-27</t>
  </si>
  <si>
    <t>398-28</t>
  </si>
  <si>
    <t>398-29</t>
  </si>
  <si>
    <t>398-30</t>
  </si>
  <si>
    <t>398-31</t>
  </si>
  <si>
    <t>398-32</t>
  </si>
  <si>
    <t>398-33</t>
  </si>
  <si>
    <t>398-34</t>
  </si>
  <si>
    <t xml:space="preserve">اعمال التكسير والهدم </t>
  </si>
  <si>
    <t>رسوم وتصاريح المشروع</t>
  </si>
  <si>
    <t xml:space="preserve">تكاليف مشروع خاص </t>
  </si>
  <si>
    <t>مشروع خاص المهندسة ايه واحمد الميري</t>
  </si>
  <si>
    <t xml:space="preserve">مصروفات رأس مالية </t>
  </si>
  <si>
    <t>598-1</t>
  </si>
  <si>
    <t xml:space="preserve">صيانات اصول </t>
  </si>
  <si>
    <t>598-2</t>
  </si>
  <si>
    <t xml:space="preserve">صيانة اي اصل تزيد عمرة الانتاجي </t>
  </si>
  <si>
    <t>598-3</t>
  </si>
  <si>
    <t>598-4</t>
  </si>
  <si>
    <t>598-5</t>
  </si>
  <si>
    <t>598-6</t>
  </si>
  <si>
    <t>598-7</t>
  </si>
  <si>
    <t>598-8</t>
  </si>
  <si>
    <t>598-9</t>
  </si>
  <si>
    <t>598-10</t>
  </si>
  <si>
    <t>مصروفات اخري</t>
  </si>
  <si>
    <t>570-1</t>
  </si>
  <si>
    <t>570-2</t>
  </si>
  <si>
    <t>اهلاك العام</t>
  </si>
  <si>
    <t>508-1</t>
  </si>
  <si>
    <t xml:space="preserve">مصروف اهلاك - الاثاث </t>
  </si>
  <si>
    <t>508-2</t>
  </si>
  <si>
    <t xml:space="preserve">مصروف اهلاك - اجهزه كمبيوتر </t>
  </si>
  <si>
    <t>508-3</t>
  </si>
  <si>
    <t xml:space="preserve">مصروف اهلاك -اجهزه كهربائيه و معدات </t>
  </si>
  <si>
    <t>508-4</t>
  </si>
  <si>
    <t>مصروف اهلاك -ديكورات و تجيهزات</t>
  </si>
  <si>
    <t>508-5</t>
  </si>
  <si>
    <t>مصروف اهلاك - برامج حاسب الى</t>
  </si>
  <si>
    <t xml:space="preserve">أرصدة مدينة </t>
  </si>
  <si>
    <t>المدينون والأرصدة المدينة الأخرى</t>
  </si>
  <si>
    <t>م.مدفوعات مقدمة</t>
  </si>
  <si>
    <t>عملاء</t>
  </si>
  <si>
    <t>1-372</t>
  </si>
  <si>
    <t>عميل اشرف الشروق 372</t>
  </si>
  <si>
    <t>1-388</t>
  </si>
  <si>
    <t>عميل الدقي 388</t>
  </si>
  <si>
    <t>1-341</t>
  </si>
  <si>
    <t>عميل سوديك 341</t>
  </si>
  <si>
    <t>1-336</t>
  </si>
  <si>
    <t>عميل عمرو العبور 336</t>
  </si>
  <si>
    <t>1-354</t>
  </si>
  <si>
    <t>عميل ياسر القرنفل 354</t>
  </si>
  <si>
    <t>1-355</t>
  </si>
  <si>
    <t>عميل هاني القرنفل 355</t>
  </si>
  <si>
    <t>1-318</t>
  </si>
  <si>
    <t>عميل احمد معادي ديونز 318</t>
  </si>
  <si>
    <t>1-380</t>
  </si>
  <si>
    <t>عميل عمرو القصر 380</t>
  </si>
  <si>
    <t>1-345</t>
  </si>
  <si>
    <t>عميل بالم هيلز 345</t>
  </si>
  <si>
    <t>1-398</t>
  </si>
  <si>
    <t>عميل العشري وصال 398</t>
  </si>
  <si>
    <t>1-401</t>
  </si>
  <si>
    <t>عميل احمد زايد جرين 401</t>
  </si>
  <si>
    <t>1-280</t>
  </si>
  <si>
    <t>عميل الاندلس 280</t>
  </si>
  <si>
    <t>1-365</t>
  </si>
  <si>
    <t>عميل هاني العبور 365</t>
  </si>
  <si>
    <t>1-364</t>
  </si>
  <si>
    <t>عميل الاندلس 364</t>
  </si>
  <si>
    <t>1-235</t>
  </si>
  <si>
    <t>عميل الباتيو 235</t>
  </si>
  <si>
    <t>1-400</t>
  </si>
  <si>
    <t>عميل مشروع السويس 400</t>
  </si>
  <si>
    <t>1-306</t>
  </si>
  <si>
    <t>عميل محمد العبور 306</t>
  </si>
  <si>
    <t>1-361</t>
  </si>
  <si>
    <t>عميل اللوتس 361</t>
  </si>
  <si>
    <t>1-350</t>
  </si>
  <si>
    <t>عميل شفيق مدينتي 350</t>
  </si>
  <si>
    <t>1-273</t>
  </si>
  <si>
    <t>عميل كناريا 273</t>
  </si>
  <si>
    <t>عميل مشروع خاص هليوبوليس م ايه واحمد الميري</t>
  </si>
  <si>
    <t>1-287</t>
  </si>
  <si>
    <t>عميل مشروع المعادي فيو 287</t>
  </si>
  <si>
    <t xml:space="preserve">عميل نيو جيزة </t>
  </si>
  <si>
    <t>عميل ايمن مدينتي</t>
  </si>
  <si>
    <t xml:space="preserve">عميل دجلة مني المجنونة </t>
  </si>
  <si>
    <t>2-372</t>
  </si>
  <si>
    <t>عميل ثري دي اشرف الشروق 372</t>
  </si>
  <si>
    <t>عملاء الثري دي</t>
  </si>
  <si>
    <t>2-388</t>
  </si>
  <si>
    <t>عميل ثري دي الدقي 388</t>
  </si>
  <si>
    <t>2-341</t>
  </si>
  <si>
    <t>عميل ثري دي سوديك 341</t>
  </si>
  <si>
    <t>2-336</t>
  </si>
  <si>
    <t>عميل ثري دي عمرو العبور 336</t>
  </si>
  <si>
    <t>2-354</t>
  </si>
  <si>
    <t>عميل ثري دي ياسر القرنفل 354</t>
  </si>
  <si>
    <t>2-355</t>
  </si>
  <si>
    <t>عميل ثري دي هاني القرنفل 355</t>
  </si>
  <si>
    <t>2-318</t>
  </si>
  <si>
    <t>عميل ثري دي احمد معادي ديونز 318</t>
  </si>
  <si>
    <t>2-380</t>
  </si>
  <si>
    <t>عميل ثري دي عمرو القصر 380</t>
  </si>
  <si>
    <t>2-345</t>
  </si>
  <si>
    <t>عميل ثري دي بالم هيلز 345</t>
  </si>
  <si>
    <t>2-398</t>
  </si>
  <si>
    <t>عميل ثري دي العشري وصال 398</t>
  </si>
  <si>
    <t>2-401</t>
  </si>
  <si>
    <t>عميل ثري دي احمد زايد جرين 401</t>
  </si>
  <si>
    <t>2-280</t>
  </si>
  <si>
    <t>عميل ثري دي الاندلس 280</t>
  </si>
  <si>
    <t>2-365</t>
  </si>
  <si>
    <t>عميل ثري دي هاني العبور 365</t>
  </si>
  <si>
    <t>2-364</t>
  </si>
  <si>
    <t>عميل ثري دي الاندلس 364</t>
  </si>
  <si>
    <t>2-235</t>
  </si>
  <si>
    <t>عميل ثري دي الباتيو 235</t>
  </si>
  <si>
    <t>2-400</t>
  </si>
  <si>
    <t>عميل ثري دي مشروع السويس 400</t>
  </si>
  <si>
    <t>2-306</t>
  </si>
  <si>
    <t>عميل ثري دي محمد العبور 306</t>
  </si>
  <si>
    <t>2-361</t>
  </si>
  <si>
    <t>عميل ثري دي اللوتس 361</t>
  </si>
  <si>
    <t>2-350</t>
  </si>
  <si>
    <t>عميل ثري دي شفيق مدينتي 350</t>
  </si>
  <si>
    <t>2-273</t>
  </si>
  <si>
    <t>عميل ثري دي كناريا 273</t>
  </si>
  <si>
    <t>عميل ثري دي مشروع المعادي فيو 287</t>
  </si>
  <si>
    <t>2-404</t>
  </si>
  <si>
    <t>عميل ثري دي احمد الدقي 404</t>
  </si>
  <si>
    <t>2-288</t>
  </si>
  <si>
    <t>عميل ثري دي الاندلس 288</t>
  </si>
  <si>
    <t>عميل ثري دي جراندا</t>
  </si>
  <si>
    <t>2-408</t>
  </si>
  <si>
    <t>عميل ثري دي ديستراكت 408</t>
  </si>
  <si>
    <t>عهد وسلف</t>
  </si>
  <si>
    <t>50-1</t>
  </si>
  <si>
    <t>عهدة م ايه</t>
  </si>
  <si>
    <t>عهد</t>
  </si>
  <si>
    <t>50-2</t>
  </si>
  <si>
    <t>عهدة سامح مشتريات</t>
  </si>
  <si>
    <t>50-3</t>
  </si>
  <si>
    <t>50-4</t>
  </si>
  <si>
    <t>50-5</t>
  </si>
  <si>
    <t>50-6</t>
  </si>
  <si>
    <t>سلفة اسلام اسامة</t>
  </si>
  <si>
    <t>سلف</t>
  </si>
  <si>
    <t>50-7</t>
  </si>
  <si>
    <t>سلفة منير بوفيه</t>
  </si>
  <si>
    <t>50-8</t>
  </si>
  <si>
    <t>سلفة احمد يونس</t>
  </si>
  <si>
    <t>50-9</t>
  </si>
  <si>
    <t>سلفة عبدالرحمن</t>
  </si>
  <si>
    <t>50-10</t>
  </si>
  <si>
    <t>سلفة احمد علي</t>
  </si>
  <si>
    <t>50-11</t>
  </si>
  <si>
    <t>50-12</t>
  </si>
  <si>
    <t>تأمين مقر</t>
  </si>
  <si>
    <t>تأمينات لدي الغير</t>
  </si>
  <si>
    <t xml:space="preserve">حقوق الملكية </t>
  </si>
  <si>
    <t xml:space="preserve">رأس المال المستثمر اول المدة </t>
  </si>
  <si>
    <t>رأس المال</t>
  </si>
  <si>
    <t>2000-1</t>
  </si>
  <si>
    <t xml:space="preserve">جارى شركاء دكتور احمد </t>
  </si>
  <si>
    <t>جاري الشركاء</t>
  </si>
  <si>
    <t xml:space="preserve">خسارة مرحلة </t>
  </si>
  <si>
    <t xml:space="preserve">خسائر مرحلة </t>
  </si>
  <si>
    <t xml:space="preserve">ارباح محتجزة </t>
  </si>
  <si>
    <t xml:space="preserve">الايرادات </t>
  </si>
  <si>
    <t>ايراد مشروع بيت الوطن 149</t>
  </si>
  <si>
    <t>ايراد التشغيل ( مستخلصات )</t>
  </si>
  <si>
    <t>ايراد مشروع الباتيو 235</t>
  </si>
  <si>
    <t>ايراد مشروع كناريا 273</t>
  </si>
  <si>
    <t>ايراد مشروع الاندلس 280</t>
  </si>
  <si>
    <t>ايراد مشروع المعادي فيو 287</t>
  </si>
  <si>
    <t>ايراد مشروع العبور 306</t>
  </si>
  <si>
    <t>ايراد مشروع المعادي ديونز 318</t>
  </si>
  <si>
    <t>ايراد مشروع عمرو العبور 336</t>
  </si>
  <si>
    <t>ايراد مشروع سوديك 341</t>
  </si>
  <si>
    <t>ايراد مشروع بالم هيلز 345</t>
  </si>
  <si>
    <t>ايراد مشروع شفيق 350</t>
  </si>
  <si>
    <t>ايراد مشروع ياسر القرنفل 354</t>
  </si>
  <si>
    <t>ايراد مشروع هاني القرنفل 355</t>
  </si>
  <si>
    <t>ايراد مشروع مصطفي مدينتي 356</t>
  </si>
  <si>
    <t>ايراد مشروع اللوتس 361</t>
  </si>
  <si>
    <t>ايراد مشروع الاندلس 364</t>
  </si>
  <si>
    <t>ايراد مشروع هاني العبور 365</t>
  </si>
  <si>
    <t>ايراد مشروع اشرف الشروق 372</t>
  </si>
  <si>
    <t>ايراد مشروع القصر 380</t>
  </si>
  <si>
    <t>ايراد مشروع الدقي 388</t>
  </si>
  <si>
    <t>ايراد مشروع وصال العشري 398</t>
  </si>
  <si>
    <t>ايراد مشروع السويس 400</t>
  </si>
  <si>
    <t>ايراد مشروع احمد زايد 401</t>
  </si>
  <si>
    <t>ايراد مشروع وصال شحتوت</t>
  </si>
  <si>
    <t>ايراد مشروع رأس الحكمة</t>
  </si>
  <si>
    <t>ايراد مشروع شقة هليوبوليس</t>
  </si>
  <si>
    <t>2012-5</t>
  </si>
  <si>
    <t xml:space="preserve">ايراد معاينات </t>
  </si>
  <si>
    <t>ايراد ثري دي</t>
  </si>
  <si>
    <t>2012-9</t>
  </si>
  <si>
    <t xml:space="preserve">ايراد خامات </t>
  </si>
  <si>
    <t xml:space="preserve">الدائنون </t>
  </si>
  <si>
    <t>موردين</t>
  </si>
  <si>
    <t xml:space="preserve">الدائنون والأرصدة الدائنة الأخرى </t>
  </si>
  <si>
    <t>عبدالشكور محارة</t>
  </si>
  <si>
    <t xml:space="preserve">مقاولين </t>
  </si>
  <si>
    <t>محمد بدر الكهربائي</t>
  </si>
  <si>
    <t>سامي رخام</t>
  </si>
  <si>
    <t>دائنون 2024</t>
  </si>
  <si>
    <t>ناصر الهدم</t>
  </si>
  <si>
    <t>جورج الكهربائي</t>
  </si>
  <si>
    <t>حاتم سيراميك</t>
  </si>
  <si>
    <t>حامد النقاش</t>
  </si>
  <si>
    <t>خالد المحارة</t>
  </si>
  <si>
    <t>شاهين سيراميك</t>
  </si>
  <si>
    <t>صابر الكهربائي</t>
  </si>
  <si>
    <t>عمرو ريحان</t>
  </si>
  <si>
    <t>محمد السيد كهربائي مقاول</t>
  </si>
  <si>
    <t>محمد السباك</t>
  </si>
  <si>
    <t>مينا السيراميك</t>
  </si>
  <si>
    <t>ياسر النجار</t>
  </si>
  <si>
    <t>مقاول بوابة رأس الحكمة</t>
  </si>
  <si>
    <t>احمد كيريتال</t>
  </si>
  <si>
    <t>هاني السباك</t>
  </si>
  <si>
    <t>محمد النقاش</t>
  </si>
  <si>
    <t>عبدالرحيم استنالس</t>
  </si>
  <si>
    <t>عمرو النقاش</t>
  </si>
  <si>
    <t>عمرو السباك</t>
  </si>
  <si>
    <t>مصطفي الكهربائي</t>
  </si>
  <si>
    <t>عاطف النجار</t>
  </si>
  <si>
    <t>كريم النجار</t>
  </si>
  <si>
    <t>اشرف تكييف</t>
  </si>
  <si>
    <t>محمد امين</t>
  </si>
  <si>
    <t>اسلام سكوريت</t>
  </si>
  <si>
    <t>محمود الجبس</t>
  </si>
  <si>
    <t>محمد سعيد نقاش</t>
  </si>
  <si>
    <t>سباك القرنفل</t>
  </si>
  <si>
    <t>حسان luxery</t>
  </si>
  <si>
    <t>عادل معماري</t>
  </si>
  <si>
    <t xml:space="preserve">عمر الحداد </t>
  </si>
  <si>
    <t>علي معماري</t>
  </si>
  <si>
    <t xml:space="preserve">كرم العزل </t>
  </si>
  <si>
    <t>مقاول الفيوتك 306</t>
  </si>
  <si>
    <t xml:space="preserve">حسن الكهرباء </t>
  </si>
  <si>
    <t>محمد السيد توريدات كهرباء</t>
  </si>
  <si>
    <t>ابو الحسن التجمع</t>
  </si>
  <si>
    <t>لمباية للادوات الكهربائية</t>
  </si>
  <si>
    <t>عرباوي الشروق</t>
  </si>
  <si>
    <t>الامل صحي</t>
  </si>
  <si>
    <t>موان القرنفل</t>
  </si>
  <si>
    <t>بيت الخامة</t>
  </si>
  <si>
    <t>القبيصي</t>
  </si>
  <si>
    <t>الترا للكهرباء</t>
  </si>
  <si>
    <t>شريف تنجيد</t>
  </si>
  <si>
    <t>نجيب سليم</t>
  </si>
  <si>
    <t>كايرو لايت</t>
  </si>
  <si>
    <t>ايليت للمطابخ ( الميري)</t>
  </si>
  <si>
    <t>جنرال للتكيفيات جيسيك</t>
  </si>
  <si>
    <t>شوسة للاثاث</t>
  </si>
  <si>
    <t>السلاب</t>
  </si>
  <si>
    <t>محجوب</t>
  </si>
  <si>
    <t>بن للاحواض</t>
  </si>
  <si>
    <t>ايجي تند</t>
  </si>
  <si>
    <t>م / نسرين</t>
  </si>
  <si>
    <t xml:space="preserve">الامل احمد سعيد </t>
  </si>
  <si>
    <t xml:space="preserve">شركة الرواد للحمامات السباحة </t>
  </si>
  <si>
    <t>م.مستحقه</t>
  </si>
  <si>
    <t>عمولة التسويق</t>
  </si>
  <si>
    <t>عمولة المشتريات</t>
  </si>
  <si>
    <t>المهندس باسل ثري دي</t>
  </si>
  <si>
    <t>احمد عرباوى - بالم 7A</t>
  </si>
  <si>
    <t xml:space="preserve">مجدى أنور - كور </t>
  </si>
  <si>
    <t xml:space="preserve">يوسف نايل - مقاول دهانات </t>
  </si>
  <si>
    <t xml:space="preserve">حامد دياب - البنا </t>
  </si>
  <si>
    <t xml:space="preserve">الصدقات </t>
  </si>
  <si>
    <t xml:space="preserve">محمود الدهب محاسب قانوني </t>
  </si>
  <si>
    <t xml:space="preserve">شهرية حراس العقار </t>
  </si>
  <si>
    <t xml:space="preserve">عرب المخازن </t>
  </si>
  <si>
    <t xml:space="preserve">ضريبه خصم المنبع </t>
  </si>
  <si>
    <t xml:space="preserve">ضريبة القيمه المضافه </t>
  </si>
  <si>
    <t>الهيئة العامة للتامينات الاجتماعية</t>
  </si>
  <si>
    <t>ضرائب كسب عمل</t>
  </si>
  <si>
    <t>دائنون اتعاب قانونية ومحاماة</t>
  </si>
  <si>
    <t xml:space="preserve">غفير ريفال  </t>
  </si>
  <si>
    <t>م.مستحقه(مرتبات)</t>
  </si>
  <si>
    <t xml:space="preserve">عرب ريفال </t>
  </si>
  <si>
    <t>ضريبه الدخل</t>
  </si>
  <si>
    <t>مساهمه تكافليه</t>
  </si>
  <si>
    <t xml:space="preserve">أوراق دفع </t>
  </si>
  <si>
    <t>مجمع الاهلاك</t>
  </si>
  <si>
    <t>صافي الربح او صافى خساره</t>
  </si>
  <si>
    <t>ارباح وخسائر مرحلة</t>
  </si>
  <si>
    <t>مخصص ضرائب</t>
  </si>
  <si>
    <t>مخصص ضرائب الدخل</t>
  </si>
  <si>
    <t>مخصص ديون مشكوك فى تحصيلها</t>
  </si>
  <si>
    <t>ضريبة ارباح شركات</t>
  </si>
  <si>
    <t>احتياطى قانونى</t>
  </si>
  <si>
    <t>بالجنيه المصرى</t>
  </si>
  <si>
    <t>رقم القيد</t>
  </si>
  <si>
    <t>تاريخ</t>
  </si>
  <si>
    <t>رقم الحساب</t>
  </si>
  <si>
    <t>العملة</t>
  </si>
  <si>
    <t>مدين</t>
  </si>
  <si>
    <t>دائن</t>
  </si>
  <si>
    <t>Debit</t>
  </si>
  <si>
    <t>Credit</t>
  </si>
  <si>
    <t>Balance</t>
  </si>
  <si>
    <t>الشهر</t>
  </si>
  <si>
    <t>نوع</t>
  </si>
  <si>
    <t>التوجية المحاسبي الاول</t>
  </si>
  <si>
    <t>التوجيه المحاسبي الاخير</t>
  </si>
  <si>
    <t>الشرح</t>
  </si>
  <si>
    <t xml:space="preserve">مشروع </t>
  </si>
  <si>
    <t>قيد افتتاحي 2026 واقفال 2025</t>
  </si>
  <si>
    <t>رصيد اول مدة 2026</t>
  </si>
  <si>
    <t>رصيد اول مدة 2027</t>
  </si>
  <si>
    <t>رصيد اول مدة 2028</t>
  </si>
  <si>
    <t>رصيد اول مدة 2029</t>
  </si>
  <si>
    <t>رصيد اول مدة 2030</t>
  </si>
  <si>
    <t>رصيد اول مدة 2031</t>
  </si>
  <si>
    <t>رصيد اول مدة 2032</t>
  </si>
  <si>
    <t>رصيد اول مدة 2033</t>
  </si>
  <si>
    <t>رصيد اول مدة 2034</t>
  </si>
  <si>
    <t>رصيد اول مدة 2035</t>
  </si>
  <si>
    <t>رصيد اول مدة 2036</t>
  </si>
  <si>
    <t>رصيد اول مدة 2037</t>
  </si>
  <si>
    <t>رصيد اول مدة 2038</t>
  </si>
  <si>
    <t>رصيد اول مدة 2039</t>
  </si>
  <si>
    <t>رصيد اول مدة 2040</t>
  </si>
  <si>
    <t>رصيد اول مدة 2041</t>
  </si>
  <si>
    <t>رصيد اول مدة 2042</t>
  </si>
  <si>
    <t>رصيد اول مدة 2043</t>
  </si>
  <si>
    <t>رصيد اول مدة 2044</t>
  </si>
  <si>
    <t>رصيد اول مدة 2045</t>
  </si>
  <si>
    <t>رصيد اول مدة 2046</t>
  </si>
  <si>
    <t>رصيد اول مدة 2047</t>
  </si>
  <si>
    <t>رصيد اول مدة 2048</t>
  </si>
  <si>
    <t>رصيد اول مدة 2049</t>
  </si>
  <si>
    <t>رصيد اول مدة 2050</t>
  </si>
  <si>
    <t>رصيد اول مدة 2051</t>
  </si>
  <si>
    <t>رصيد اول مدة 2052</t>
  </si>
  <si>
    <t>رصيد اول مدة 2053</t>
  </si>
  <si>
    <t>رصيد اول مدة 2054</t>
  </si>
  <si>
    <t>رصيد اول مدة 2055</t>
  </si>
  <si>
    <t>رصيد اول مدة 2056</t>
  </si>
  <si>
    <t>رصيد اول مدة 2057</t>
  </si>
  <si>
    <t>رصيد اول مدة 2058</t>
  </si>
  <si>
    <t>رصيد اول مدة 2059</t>
  </si>
  <si>
    <t>رصيد اول مدة 2060</t>
  </si>
  <si>
    <t>رصيد اول مدة 2061</t>
  </si>
  <si>
    <t xml:space="preserve">دفعه من حساب توريد وتركيب الرخام   ( الواصل 300000ج ) </t>
  </si>
  <si>
    <t xml:space="preserve">سوديك </t>
  </si>
  <si>
    <t xml:space="preserve">دفعه من حساب توريد وتركيب الرخام  </t>
  </si>
  <si>
    <t>العبور 306</t>
  </si>
  <si>
    <t xml:space="preserve">دفعه من حساب اعمال توريد وتركيب الرخام ( اجمالي المقاوله 617650ج ) </t>
  </si>
  <si>
    <t xml:space="preserve">دفعه من اعمال توريد وتركيب رخام اللوتس </t>
  </si>
  <si>
    <t>اللوتس 361</t>
  </si>
  <si>
    <t xml:space="preserve">دفعه من حساب سامي الرخام ( حساب قديم ) </t>
  </si>
  <si>
    <t xml:space="preserve">عمرو العبور </t>
  </si>
  <si>
    <t xml:space="preserve">دفعه من حساب سامي الرخام  ( باقي 1000ج ) </t>
  </si>
  <si>
    <t>الاندلس 364</t>
  </si>
  <si>
    <t xml:space="preserve">دفعه من حساب توريد وتركيب الرخام </t>
  </si>
  <si>
    <t xml:space="preserve">دفعه من حساب الاحواض ( 2 حوض*15 الف +2حوض *7 الاف + 18درجه * 2200) </t>
  </si>
  <si>
    <t xml:space="preserve">دفعه من اعمال توريد وتركيب الرخام </t>
  </si>
  <si>
    <t xml:space="preserve">دفعه من حساب اعمال توريد وتركيب الرخام </t>
  </si>
  <si>
    <t xml:space="preserve">الباتيو </t>
  </si>
  <si>
    <t xml:space="preserve">باقي حساب رخام الباتيو </t>
  </si>
  <si>
    <t xml:space="preserve">دفعه من اعمال توريد وتركيب رخام </t>
  </si>
  <si>
    <t xml:space="preserve">اجمالي مقاوله رخام مدخل العبور 306 </t>
  </si>
  <si>
    <t xml:space="preserve">دفعه من توريد وتركيب الرخام </t>
  </si>
  <si>
    <t>دفعه مقدمه من اعمال كيريتال الاندلس 280</t>
  </si>
  <si>
    <t>الاندلس 280</t>
  </si>
  <si>
    <t xml:space="preserve">دفعه من اعمال كيريتال سوديك  ( المقاوله 60000ج ) </t>
  </si>
  <si>
    <t>دفعه من اعمال كيريتال اعمرو لعبور</t>
  </si>
  <si>
    <t xml:space="preserve">باقي حساب كيريتال العبور </t>
  </si>
  <si>
    <t xml:space="preserve">50% مقاوله 2شباك مفصلي + حديد حمايه الليفنج   (  المقاوله 18500ج ) </t>
  </si>
  <si>
    <t>طارق الدقي 388</t>
  </si>
  <si>
    <t xml:space="preserve">50% توريد وتركيب دهان كمرة تقويه السلم  +فك وتعديل باب 2000ج( المقاوله 17500ج ) </t>
  </si>
  <si>
    <t>هاني العبور 365</t>
  </si>
  <si>
    <t xml:space="preserve">باقي  مقاوله 2شباك مفصلي + حديد حمايه الليفنج   (  المقاوله 18500ج ) </t>
  </si>
  <si>
    <t xml:space="preserve">باقي توريد وتركيب دهان كمرة تقويه السلم  +فك وتعديل باب 2000ج( المقاوله 17500ج ) </t>
  </si>
  <si>
    <t xml:space="preserve">دفعه من اعمال كيريتال سوديك  ( المقاوله 60000ج )  باقي 24000ج </t>
  </si>
  <si>
    <t xml:space="preserve">رد قيمه باقي اعمال الحداد في الاندلس 280 لعدم استكمال المشروع ( </t>
  </si>
  <si>
    <t>دفعه مقدمه من اعمال كباين وباتشين الاندلس  ( المقاوله 30540 ج ) - 15015 واصل</t>
  </si>
  <si>
    <t xml:space="preserve">توريد وتركيب مرايا المدخل ( خالص المقاوله 6000ج ) </t>
  </si>
  <si>
    <t xml:space="preserve">دفعه من سيكوريت ومرايات وارفف مدينتي 350 ( اجمالي المقاوله  13250ج )  </t>
  </si>
  <si>
    <t xml:space="preserve">مدينتي 350 </t>
  </si>
  <si>
    <t xml:space="preserve">دفعه 50% من توريد وتركيب 2قاطع شاور ( 9700ج ) </t>
  </si>
  <si>
    <t>بالم هيلز 345</t>
  </si>
  <si>
    <t xml:space="preserve">باقي حساب بارتيشن وارفف مدينتي </t>
  </si>
  <si>
    <t xml:space="preserve">باقي حساب توريد وتركيب السيكوريت والمرايات </t>
  </si>
  <si>
    <t xml:space="preserve">دفعه مقدمه من اعمال زجاج اللوتس + انستا   ( اجمالي المقاوله 14950ج ) </t>
  </si>
  <si>
    <t xml:space="preserve">حساب شاسيه مدينتي ( 2500ج ) </t>
  </si>
  <si>
    <t xml:space="preserve">باقي حساب 2 قاطع شاور  بالم هيلز باقي 350ج </t>
  </si>
  <si>
    <t xml:space="preserve">دفعه من سيكوريت اللوتس </t>
  </si>
  <si>
    <t xml:space="preserve">دفعه مقدمه من اعمال كباين الشاور ( اجمالي المقاوله 69000ج ) </t>
  </si>
  <si>
    <t xml:space="preserve">دفعه من اعمال سيكوريت بيت الوطن  ( 13850 ج ) </t>
  </si>
  <si>
    <t xml:space="preserve">بيت الوطن </t>
  </si>
  <si>
    <t xml:space="preserve">دفعه مقدمه من سيكوريت الدقي  ( 17650 ج ) </t>
  </si>
  <si>
    <t xml:space="preserve">دفعه من اعمال زجاج الرووف في سوديك  ( اجمالي 79560ج  ) </t>
  </si>
  <si>
    <t xml:space="preserve">دفعه من اعمال تكييف </t>
  </si>
  <si>
    <t>اشرف الشروق 372</t>
  </si>
  <si>
    <t xml:space="preserve">باقي حساب اشرف تكييفات </t>
  </si>
  <si>
    <t xml:space="preserve">مواقع </t>
  </si>
  <si>
    <t xml:space="preserve">فاتورة طلبات سباكه </t>
  </si>
  <si>
    <t xml:space="preserve">دفعه من توريدات السباكه ( من فاتورة زايد 401 ) </t>
  </si>
  <si>
    <t>احمد زايد 401</t>
  </si>
  <si>
    <t xml:space="preserve">باقي فاتورة تاسيس السباكه  ( 16081 جرين 6 + 11379  سوديك ) </t>
  </si>
  <si>
    <t xml:space="preserve">حساب توريدات الدهانات </t>
  </si>
  <si>
    <t xml:space="preserve">دفعه من توريدات الدهانات القبيصي </t>
  </si>
  <si>
    <t xml:space="preserve">دفعه من توريدات الدهانات ( الفاتورتين ب 15882 ج ) </t>
  </si>
  <si>
    <t xml:space="preserve">دفعه مقدمه من اعمال تند خارجي </t>
  </si>
  <si>
    <t xml:space="preserve">من حساب تجاليد اللوتس 361 </t>
  </si>
  <si>
    <t xml:space="preserve">من حساب تجاليد الاندلس 364 </t>
  </si>
  <si>
    <t xml:space="preserve">دفعه من اعمال التجاليد </t>
  </si>
  <si>
    <t xml:space="preserve">من تجاليد الاندلس 364  ( نقدي ) </t>
  </si>
  <si>
    <t>دفعه من تجاليد اللوتس 361</t>
  </si>
  <si>
    <t>دفعه من حساب مرايات الاندلس 364</t>
  </si>
  <si>
    <t xml:space="preserve">شاسيه حديد التجاليد </t>
  </si>
  <si>
    <t xml:space="preserve">خشب وحدات الحمام </t>
  </si>
  <si>
    <t xml:space="preserve">عهده تحت حساب الابواب في اللوتس 361 </t>
  </si>
  <si>
    <t xml:space="preserve">باقي حساب الوحدات في الاندلس </t>
  </si>
  <si>
    <t xml:space="preserve">فاتورة اكر وكوالين وصدادات ابواب </t>
  </si>
  <si>
    <t xml:space="preserve">24 عود تجاليد </t>
  </si>
  <si>
    <t xml:space="preserve">دفعه من حساب تجاليد  الاندلس 364  ( هاشم ) </t>
  </si>
  <si>
    <t xml:space="preserve">دفعه من تجاليد الاندلس 364 </t>
  </si>
  <si>
    <t>نقل ابواب اللوتس المرفوضه الي المخزن + عامل ترتيب المخزن 300ج</t>
  </si>
  <si>
    <t xml:space="preserve">انتقالات أ/ احمد الميري </t>
  </si>
  <si>
    <t xml:space="preserve">فاتورة خامات سيراميك سوديك </t>
  </si>
  <si>
    <t xml:space="preserve">فاتورة خامات رخام الباتيو </t>
  </si>
  <si>
    <t>الباتيو</t>
  </si>
  <si>
    <t>فاتورة ( 18500 رخام + 3390ج سيراميك ) سوديك بعد مرتجع400ج</t>
  </si>
  <si>
    <t xml:space="preserve">فاتورة كهرباء الباتيو </t>
  </si>
  <si>
    <t xml:space="preserve">دفعه من فاتورة ماده لاصق سيراميك ( باقي 4200ج ) عرباوي الشروق </t>
  </si>
  <si>
    <t xml:space="preserve">من حساب بر الوالدين عرباوي الشروق توريدات متنوعه </t>
  </si>
  <si>
    <t xml:space="preserve">دفعه من توريدات عرباوي الشروق </t>
  </si>
  <si>
    <t xml:space="preserve">فواتير تشوينات عرباوي الشروق </t>
  </si>
  <si>
    <t xml:space="preserve">باقي حساب الاحواض البورسلين القديم والجديد ( </t>
  </si>
  <si>
    <t xml:space="preserve">دفعه مقدمه من حساب احواض بورسلين  ( الباقي 15000ج ) </t>
  </si>
  <si>
    <t xml:space="preserve">باقي حساب احواض  بورسلين </t>
  </si>
  <si>
    <t xml:space="preserve">50% من حوض بورسلين حمام الضيوف </t>
  </si>
  <si>
    <t xml:space="preserve">باقي حساب احواض البورسلين في الدقي </t>
  </si>
  <si>
    <t xml:space="preserve">فاتورة  سباكه سوديك </t>
  </si>
  <si>
    <t xml:space="preserve">فاتورة سباكه تأسيس </t>
  </si>
  <si>
    <t>معادي ديونز 318</t>
  </si>
  <si>
    <t xml:space="preserve">دفعه من حساب تكييفات سوديك  ( 212000ج ) الباقي 12000ج ) </t>
  </si>
  <si>
    <t xml:space="preserve">اجمالي حساب تاسيس تكيفات الدقي </t>
  </si>
  <si>
    <t>من حساب جريلات سوديك ( اجمالي 33300ج - 3025) الباقي 30275 ج</t>
  </si>
  <si>
    <t xml:space="preserve">باقي حساب تكييفات سوديك  ( 212000) </t>
  </si>
  <si>
    <t>من حساب جريلات سوديك ( اجمالي 33300ج - 64045 ) الباقي 7255  ج</t>
  </si>
  <si>
    <t xml:space="preserve">دفعه مقدمه من اعمال تكييف معادي ديونز ( اجمالي المقاوله 44795ج ) </t>
  </si>
  <si>
    <t xml:space="preserve">استكمال 75 % من دفعه مقدمه من تكيفات معادي ديونز </t>
  </si>
  <si>
    <t xml:space="preserve">دفعه من اعمال تكييف سوديك </t>
  </si>
  <si>
    <t xml:space="preserve">دفعه مقدمه من اعمال تكييفات ياسر القرنفل </t>
  </si>
  <si>
    <t>ياسر القرنفل 354</t>
  </si>
  <si>
    <t>دفعه مقدمه من اعمال تكييفات هاني القرنفل</t>
  </si>
  <si>
    <t>هاني القرنفل 355</t>
  </si>
  <si>
    <t>دفعه مقدمه من اعمال زجاج العبور 306</t>
  </si>
  <si>
    <t xml:space="preserve">حساب حوامل تكييف الدقي ( 6300ج ) </t>
  </si>
  <si>
    <t xml:space="preserve">باقي حساب معادي ديونز ( 5600ج ) </t>
  </si>
  <si>
    <t xml:space="preserve">يوميه سباكه في الدقي بالخصم علي جيسك </t>
  </si>
  <si>
    <t>دفعه من اعمال التكيفات في القرنفل 354</t>
  </si>
  <si>
    <t xml:space="preserve">دفعه من حساب تجهيز تكييفات القرنفل  تقفيل حساب النحاس 59160ج </t>
  </si>
  <si>
    <t>دفعه من حساب تجهيز تكييفات القرنفل ( 78723 100% نحاس+75% صاج )</t>
  </si>
  <si>
    <t>دفعه مقدمه من اعمال تكييف جرين 6</t>
  </si>
  <si>
    <t xml:space="preserve">باقي حساب تشطيب كهرباء كناريا </t>
  </si>
  <si>
    <t xml:space="preserve">كناريا </t>
  </si>
  <si>
    <t xml:space="preserve">يوميه تعديلات + تركيب ساوند سيستم </t>
  </si>
  <si>
    <t xml:space="preserve">يوميه كهربائي في بالم هيلز </t>
  </si>
  <si>
    <t xml:space="preserve">دفعه من حساب اعمال السيراميك </t>
  </si>
  <si>
    <t xml:space="preserve">دفعه من تركيب بورسيلين وسيراميك الشروق372  الدور العلوي ( اجمالي 35025 ج ) </t>
  </si>
  <si>
    <t xml:space="preserve">دفعه من اعمال سيراميك الشروق ( 227م*150ج ) +3 بوكسات *500ج ) </t>
  </si>
  <si>
    <t xml:space="preserve">دفعه من حساب اعمال سيراميك ( 97م *150ج + 3 بوكسات*500ج ) 16050 ج </t>
  </si>
  <si>
    <t xml:space="preserve">يوميه اعمال سيراميك في بالم هيلز </t>
  </si>
  <si>
    <t xml:space="preserve">يوميه اعمال سيراميك في اللوتس </t>
  </si>
  <si>
    <t xml:space="preserve">يوميه اعمال سيراميك في معادي فيو </t>
  </si>
  <si>
    <t xml:space="preserve">معادي فيو </t>
  </si>
  <si>
    <t>دفعه من حساب مصنعيات الدهانات في مدينتي 350</t>
  </si>
  <si>
    <t xml:space="preserve">يوميه عمل عينه دهانات </t>
  </si>
  <si>
    <t xml:space="preserve">دفعه من اعمال الدهانات في الاندلس </t>
  </si>
  <si>
    <t xml:space="preserve">دفعه من حساب حامد النقاش في الاندلس </t>
  </si>
  <si>
    <t xml:space="preserve">دفعه من اعمال دهانات  مدينتي </t>
  </si>
  <si>
    <t xml:space="preserve">باقي حساب اعمال الدهانات </t>
  </si>
  <si>
    <t>دفعه من حساب حامد النقاش في مدينتي 350</t>
  </si>
  <si>
    <t xml:space="preserve">دفعه من حساب دهانات بالم هيلز  ( الباقي علي 100% =  3572 ج ) </t>
  </si>
  <si>
    <t xml:space="preserve">دفعه من حساب دهانات مدينتي 350 </t>
  </si>
  <si>
    <t xml:space="preserve">دفعه من حساب دهانات </t>
  </si>
  <si>
    <t xml:space="preserve">باقي حساب  دهانات مدينتي </t>
  </si>
  <si>
    <t xml:space="preserve">دفعه من حساب الدهانات </t>
  </si>
  <si>
    <t xml:space="preserve">30% من اعمال السباكه القرنفل ( المقاوله 30500ج ) </t>
  </si>
  <si>
    <t xml:space="preserve">دفعه من اعمال السباكه في الفرنفل ( المقاوله 30500ج ) واصل 16157ج </t>
  </si>
  <si>
    <t xml:space="preserve">دفعه من اعمال السباكه في الفرنفل ( المقاوله 30500ج ) واصل 24657 ج </t>
  </si>
  <si>
    <t xml:space="preserve">دفعه مقدمه من تجاليد باب الشقه ( اجمالي المقاوله 12500ج ) </t>
  </si>
  <si>
    <t xml:space="preserve">دفعه من اعمال تجاليد وفرش سوديك </t>
  </si>
  <si>
    <t xml:space="preserve">دفعه ثانيه من خشب سوديك </t>
  </si>
  <si>
    <t>دفعه 20%من اعمال المحارة ( 335م *90ج ) + يوميه اعاده تاسيس وبؤج1300ج</t>
  </si>
  <si>
    <t xml:space="preserve">دفعه من حساب اعمال محارة الدقي </t>
  </si>
  <si>
    <t xml:space="preserve">دفعه من باقي حساب خالد المحارة في الدقي ( تقفيل الحساب 11700ج) </t>
  </si>
  <si>
    <t xml:space="preserve">تقفيل حساب خالد محارة في الدقي </t>
  </si>
  <si>
    <t>باقي حساب شاهين المبلط في الاندلس 364</t>
  </si>
  <si>
    <t>دفعه من حساب شاهين سيراميك في العبور 306</t>
  </si>
  <si>
    <t xml:space="preserve">دفعه من اعمال سيراميك </t>
  </si>
  <si>
    <t>دفعه من اعمال سيراميك عبور306</t>
  </si>
  <si>
    <t xml:space="preserve">باقي حساب  مصنعيات شاهين سيراميك العبور </t>
  </si>
  <si>
    <t xml:space="preserve">دفعه من اعمال السيراميك في الدقي  ( 41100ج  الاجمالي ) </t>
  </si>
  <si>
    <t xml:space="preserve">دفعه من اعمال سيراميك الدقي </t>
  </si>
  <si>
    <t xml:space="preserve">دفعه من اعمال تركيب السيراميك ( باقي 4295 لتعديل الملاحظات ) </t>
  </si>
  <si>
    <t xml:space="preserve">يوميه اعمال سيراميك  في سوديك </t>
  </si>
  <si>
    <t xml:space="preserve">دفعه من اعمال تنجيد سوديك </t>
  </si>
  <si>
    <t xml:space="preserve">دفعه من اعمال التنجيد في سوديك </t>
  </si>
  <si>
    <t xml:space="preserve">دفعه من تنجيد الدقي </t>
  </si>
  <si>
    <t xml:space="preserve">20% من اعمال تفتيح اسبوتات وسحب خراطيم السقف  ( اجمالي المقاوله 40000ج ) </t>
  </si>
  <si>
    <t xml:space="preserve">استكمال 50% من اعمال تفتيح اسبوتات وسحب خراطيم </t>
  </si>
  <si>
    <t xml:space="preserve">دفعه من حساب تشطيب الدرج  </t>
  </si>
  <si>
    <t>دفعه من اعمال كهرباء سوديك (</t>
  </si>
  <si>
    <t>باقي حساب تشطيب درج السلم(3000ج ) + نسبه من اعمال تشطيب التجاليد والديكور</t>
  </si>
  <si>
    <t xml:space="preserve">دفعه من اعمال تأسيس و سحب سلك داخلي وخارجي </t>
  </si>
  <si>
    <t xml:space="preserve">تقفيل اللوحات </t>
  </si>
  <si>
    <t xml:space="preserve">دفعه من مقطوعيه نجارة+حداده وصب خرسانه مسلحه ( اجمالي المقاوله 28000ج ) </t>
  </si>
  <si>
    <t xml:space="preserve">دفعه ثانيه من مقاوله صب الخسانات وسمل الجار وطبليه للسيارة </t>
  </si>
  <si>
    <t xml:space="preserve">باقي حساب الصبه في هاني العبور </t>
  </si>
  <si>
    <t xml:space="preserve">دفعه مقدمه من توريد وتركيب  نجفه ستانلس العبور 306 ( باقي 12000ج ) </t>
  </si>
  <si>
    <t xml:space="preserve">دفعه مقدمه من اعمال كريتال سوديك ( المقاوله 141000ج )  بدون الباب </t>
  </si>
  <si>
    <t xml:space="preserve">دفعه من اعمال شاسيه التلفزيون ( الاجمالي 7500ج ) </t>
  </si>
  <si>
    <t xml:space="preserve">دفعه  ثانيه  من اعمال كريتال سوديك ( المقاوله 141000ج )  بدون الباب  باقي 41000ج </t>
  </si>
  <si>
    <t xml:space="preserve">دفعه مقدمه من اعمال ستانلس العبور ( اجمالي المقاوله 110800ج ) </t>
  </si>
  <si>
    <t xml:space="preserve">دفعه مقدمه من اعمال اكسسورات في سوديك ( علبه مناديل+عمود +كوبيسته (55000ج) </t>
  </si>
  <si>
    <t xml:space="preserve">دفعه  من اعمال ستانلس العبور ( اجمالي المقاوله 110800ج ) </t>
  </si>
  <si>
    <t xml:space="preserve">دفعه من اعمال الواجهات في وصال </t>
  </si>
  <si>
    <t xml:space="preserve">وصال </t>
  </si>
  <si>
    <t xml:space="preserve">دفعه من حساب اعمال المحارة </t>
  </si>
  <si>
    <t>دفعه من اعمال محارة العبور 306</t>
  </si>
  <si>
    <t xml:space="preserve">دفعه من حساب المحارة </t>
  </si>
  <si>
    <t xml:space="preserve">باقي حساب المحارة في سوديك </t>
  </si>
  <si>
    <t xml:space="preserve">يوميه بياض  في اللوتس </t>
  </si>
  <si>
    <t xml:space="preserve">كامل مقاوله عبد الشكور في الدقي </t>
  </si>
  <si>
    <t>تقفيل حساب محارة الشروق 372</t>
  </si>
  <si>
    <t>تقفيل حساب محارة العبور 306</t>
  </si>
  <si>
    <t>دفعه من حساب محارة القرنفل 355 ( 238 * 85ج ) = 20300</t>
  </si>
  <si>
    <t>دفعه من حساب محارة القرنفل 354 ( 316.5*85ج ) = 26900 ج</t>
  </si>
  <si>
    <t xml:space="preserve">دفعه من اعمال محارة القصر </t>
  </si>
  <si>
    <t>القصر 380</t>
  </si>
  <si>
    <t>يوميه مرمه محارة بلكونه800ج+50% اعمال دهان بلكونه خارجي 1250</t>
  </si>
  <si>
    <t xml:space="preserve">استكمال دهانات خارجي لبلكونه  والشبابيك </t>
  </si>
  <si>
    <t xml:space="preserve">دفعه من اعمال محارة معادي ديونز   ( الاجمالي 30700 ج ) </t>
  </si>
  <si>
    <t xml:space="preserve">دفعه من اعمال المحارة في المدخل  العبور 306( 1000 مدخل + 6000 دوبلكس جديد) </t>
  </si>
  <si>
    <t xml:space="preserve">يوميه اعمال مرمات داخلي وخارجي في سوديك </t>
  </si>
  <si>
    <t xml:space="preserve">دفعه من اعمال محارة المدخل  دوبلكس الجديد </t>
  </si>
  <si>
    <t xml:space="preserve">دفعه من اعمال صب خرسانه+مرمات داخليه وخارجيه +تاميم باب الفيلا </t>
  </si>
  <si>
    <t xml:space="preserve">دفعه من اعمال المحارة </t>
  </si>
  <si>
    <t>عشري وصال 398</t>
  </si>
  <si>
    <t xml:space="preserve">دفعه من اعمال محارة دوبلكس جديد </t>
  </si>
  <si>
    <t xml:space="preserve">كامل مقاوله مرمات داخليه وخارجيه وصب ارضيه الجراج في سوديك </t>
  </si>
  <si>
    <t xml:space="preserve">دفعه مقدمه من اعمال بوابه الجاردن ( المقاوله 13000ج ) </t>
  </si>
  <si>
    <t xml:space="preserve">راس الحكمه </t>
  </si>
  <si>
    <t xml:space="preserve">باقي حساب  بوابه خشب الجاردن </t>
  </si>
  <si>
    <t xml:space="preserve">50 % من اعمال جلسات الشاور في دوبلكس العبور </t>
  </si>
  <si>
    <t xml:space="preserve">باقي حساب جلسات الشاور في دوبلكس العبور </t>
  </si>
  <si>
    <t xml:space="preserve">تقفيل سباكه شلال الرووف </t>
  </si>
  <si>
    <t xml:space="preserve">دفعه من تشطيب سباكه الاندلس  ( اجمالي المقاوله 8500ج ) </t>
  </si>
  <si>
    <t xml:space="preserve">فاتورة تطويل محبس دفن في مدينتي 350 تخصم علي عمرو السباك </t>
  </si>
  <si>
    <t xml:space="preserve">مصنعيه تركيب حوض وخلاط بالخصم علي عمرو السباك </t>
  </si>
  <si>
    <t xml:space="preserve">مصنعيه تشطيب الصحي في مدينتي ( بعد خصم غرفه الغسيل ) </t>
  </si>
  <si>
    <t xml:space="preserve">باقي حساب  عمرو السباك في  مدينتي </t>
  </si>
  <si>
    <t xml:space="preserve">باقي حساب  عمرو السباك في الاندلس </t>
  </si>
  <si>
    <t>نظافه كامله و حفر خارجي للسلم ( المقاوله 10000 ج )</t>
  </si>
  <si>
    <t xml:space="preserve">50% من مقاوله تكسير وتخليع بلاط  ( المقاوله 10000ج )    م/ اسلام </t>
  </si>
  <si>
    <t>باقي مقاوله التكسير في وصال5000ج + تنزيل 3نقلات رتش3000ج +80ش فارغه*600ج</t>
  </si>
  <si>
    <t>تنزيل 2 نقله رتش*2000ج+ش فارغه550ج+ 5000ج دفعه من مقاوله تكسير الرووف (7000ج</t>
  </si>
  <si>
    <t xml:space="preserve">باقي حساب مقاوله النظافه في وصال + 1450 نظافه وتعبئه رتش </t>
  </si>
  <si>
    <t>باقي مقالوه نظافه كامله و حفر خارجي للسلم ( المقاوله 10000 ج )</t>
  </si>
  <si>
    <t xml:space="preserve"> من اعمال دهانات العبور306 ( 700م*85ج  + 137*40ج  جنب دهانات ) 65500 ج</t>
  </si>
  <si>
    <t xml:space="preserve">دفعه من حساب عمرو النقاش في العبور </t>
  </si>
  <si>
    <t>دفعه من حساب دهانات العبور 306</t>
  </si>
  <si>
    <t xml:space="preserve">يوميه دهانات مرمات في الباتيو </t>
  </si>
  <si>
    <t xml:space="preserve">دفعه من اعمال دهانات العبور 306 ( الواصل 41035ج ) </t>
  </si>
  <si>
    <t>دفعه من اعمال دهانات الدقي ( 537م * 105ج ) = 56385  ج + تجاليد 60م*300ج=18000ج</t>
  </si>
  <si>
    <t xml:space="preserve">يوميه تغليف الارضيات لعمل ملاحظات التجاليد </t>
  </si>
  <si>
    <t xml:space="preserve">يوميه عزل الارضيه وجنب الحوائط قبل الردم </t>
  </si>
  <si>
    <t xml:space="preserve">دفعه من حساب اعمال الدهانات </t>
  </si>
  <si>
    <t xml:space="preserve">يوميه مرمات دهان في الباتيو </t>
  </si>
  <si>
    <t xml:space="preserve">يوميات دهانات السقف في مدخل العبور </t>
  </si>
  <si>
    <t xml:space="preserve">دفعه عمرو ريحان من اعمال دهانات عمرو العبور </t>
  </si>
  <si>
    <t xml:space="preserve">8 يوميات دهانات مقطوعيه </t>
  </si>
  <si>
    <t xml:space="preserve">يوميه دهانات الباتيو عمرو ريحان </t>
  </si>
  <si>
    <t xml:space="preserve">دفعه من حساب اعمال دهانات </t>
  </si>
  <si>
    <t xml:space="preserve">دفعه من حساب دهانات تاسيس سوديك </t>
  </si>
  <si>
    <t>دفعه من اعمال دهانات اللوتس (383*105) +(114*80)بانوهات+(13.5*170) تجاليد</t>
  </si>
  <si>
    <t xml:space="preserve">دفعه من اعمال دهانات سوديك </t>
  </si>
  <si>
    <t>دفعه من حساب دهانات اللوتس 361</t>
  </si>
  <si>
    <t xml:space="preserve">2 يوميه اعمال دهانات بعد الحداده </t>
  </si>
  <si>
    <t xml:space="preserve">باقي دهانات الباتيو ( 6655 داخلي +5000 خارجي </t>
  </si>
  <si>
    <t xml:space="preserve">2 يوميه دهانات في عمرو العبور </t>
  </si>
  <si>
    <t xml:space="preserve">دفعه من اعمال دهانات و تشطيب البانوهات  ( الباقي 9500ج ) </t>
  </si>
  <si>
    <t xml:space="preserve">دفعه من اعمال دهانات داخلي معادي فيو  ( الباقي 3000ج ) </t>
  </si>
  <si>
    <t xml:space="preserve">دفعه من اعمال دهانات كناريا </t>
  </si>
  <si>
    <t xml:space="preserve">دفعه من اعمال دهانات سوديك ( 5500 باقي التاسيس + 4500 دفعه اولي من التشطيب ) </t>
  </si>
  <si>
    <t xml:space="preserve">50% من اعمال دوكو وتاسيس تجاليد وسور الحديد في سوديك (5400+4524+26700 ) </t>
  </si>
  <si>
    <t xml:space="preserve">خصم من حساب نيو جيزة  </t>
  </si>
  <si>
    <t xml:space="preserve">نيو جيزة </t>
  </si>
  <si>
    <t xml:space="preserve">50% من اعمال العزل </t>
  </si>
  <si>
    <t xml:space="preserve">باقي حساب العزل في القصر </t>
  </si>
  <si>
    <t xml:space="preserve">خامات ونقل ومصنعيه عزل سوديك </t>
  </si>
  <si>
    <t xml:space="preserve">باقي حساب عزل معادي ديونز </t>
  </si>
  <si>
    <t xml:space="preserve">دفعه من حساب توريدات الكهرباء كايرو لايت </t>
  </si>
  <si>
    <t xml:space="preserve">دفعه من حساب كايرو لايت </t>
  </si>
  <si>
    <t xml:space="preserve">دفعه من اعمال توريد الكهرباء </t>
  </si>
  <si>
    <t xml:space="preserve">دفعه من حساب توريدات الكهرباء </t>
  </si>
  <si>
    <t xml:space="preserve">دفعه من توريد كهرباء </t>
  </si>
  <si>
    <t xml:space="preserve">فاتورة مقبض باب مصفح  بالخصم علي كريم النجار </t>
  </si>
  <si>
    <t xml:space="preserve">دفعه من حساب تجاليد ونجارة شفيق مدينتي </t>
  </si>
  <si>
    <t xml:space="preserve">حساب الباب الجديد في مدينتي </t>
  </si>
  <si>
    <t xml:space="preserve">دفعه من شغل الباتيو لكريم النجار  من م / ايه </t>
  </si>
  <si>
    <t xml:space="preserve">دفعه كريم النجار </t>
  </si>
  <si>
    <t xml:space="preserve">دفعه من حساب كريم النجار  في الباتيو </t>
  </si>
  <si>
    <t>من حساب ابواب اللوتس 341</t>
  </si>
  <si>
    <t xml:space="preserve">دفعه مقدمه من تجاليد سوديك </t>
  </si>
  <si>
    <t>من حساب كريم النجار ( 40500 مدينتي +3000الاندلس +6500 الباتيو باقي 9500ج)</t>
  </si>
  <si>
    <t xml:space="preserve">دفعه  ابواب تجاليد ساده  في سوديك </t>
  </si>
  <si>
    <t xml:space="preserve">دفعه مطبخ سوديك </t>
  </si>
  <si>
    <t>سوديك</t>
  </si>
  <si>
    <t xml:space="preserve">دفعه دولايب سوديك </t>
  </si>
  <si>
    <t xml:space="preserve">دفعه تجاليد عالفه العبور </t>
  </si>
  <si>
    <t xml:space="preserve">دفعه تجاليد عالفه الدقي </t>
  </si>
  <si>
    <t xml:space="preserve">دفعه مطبخ الدقي </t>
  </si>
  <si>
    <t xml:space="preserve">دفعه من اعمال تجاليد سوديك كريم النجار </t>
  </si>
  <si>
    <t xml:space="preserve">دفعه من اعمال تجاليد عالفه العبور كريم النجار </t>
  </si>
  <si>
    <t xml:space="preserve">نقل مرتجع الاخشاب من كريم النجار الي المخزن </t>
  </si>
  <si>
    <t xml:space="preserve">انتقالات الي كريم النجار لاستلام الاخشاب </t>
  </si>
  <si>
    <t xml:space="preserve">دفعه من اعمال تجاليد </t>
  </si>
  <si>
    <t xml:space="preserve">نقل اخشاب من المخزن الي مصنع حسان في بدر + عامل تحميل </t>
  </si>
  <si>
    <t xml:space="preserve">نقل مرتجعات من كريم النجار الي المخزن والي مصنع بدر </t>
  </si>
  <si>
    <t xml:space="preserve">فاتورة كهرباء اللوتس </t>
  </si>
  <si>
    <t xml:space="preserve">فاتورة كهرباء مدينتي </t>
  </si>
  <si>
    <t xml:space="preserve">من حساب لمبايه ياسر السيد توريدات كهرباء </t>
  </si>
  <si>
    <t>دفعه 75% من اعمال تجاليد وابواب العبور 306</t>
  </si>
  <si>
    <t xml:space="preserve">باقي حساب اعمال كهرباء راس الحكمه </t>
  </si>
  <si>
    <t xml:space="preserve">دفعه من حساب اعمال كهرباء الباتيو </t>
  </si>
  <si>
    <t>دفعه من حساب تشطيب كهرباء الاندلس ( اجمالي مقاوله التشطيب 20000ج)</t>
  </si>
  <si>
    <t xml:space="preserve">دفعه من حساب اعمال الكهرباء محمد السيد في مدينتي </t>
  </si>
  <si>
    <t>دفعه من حساب اعمال الكهرباء محمد السيد في العبور 306 ( اجمالي المقاوله 48000ج )</t>
  </si>
  <si>
    <t xml:space="preserve">دفعه من حساب تأسيس  الكهرباء محمد السيد في الدقي  ( اجمالي المقاوله 45000ج) </t>
  </si>
  <si>
    <t xml:space="preserve">باقي حساب اعمال تشطيب الكهرباء </t>
  </si>
  <si>
    <t xml:space="preserve">دفعه من حساب اعمال الكهرباء </t>
  </si>
  <si>
    <t>دفعه من حساب اعمال تشطيب كهرباء العبور 306</t>
  </si>
  <si>
    <t xml:space="preserve">باقي حساب محمد السيد في مدينتي </t>
  </si>
  <si>
    <t xml:space="preserve">باقي حساب  محمد السيد عمرو العبور </t>
  </si>
  <si>
    <t xml:space="preserve">دفعه من اعمال كهرباء محمد السيد في الدقي </t>
  </si>
  <si>
    <t xml:space="preserve">دفعه من اعمال تاسيس الكهرباء ( 45000ج)  + السقف (17000ج) </t>
  </si>
  <si>
    <t xml:space="preserve">تقفيل حساب الباتيو </t>
  </si>
  <si>
    <t xml:space="preserve">تقفيل حساب دوبلكس الشروق </t>
  </si>
  <si>
    <t>دوبلكس الشروق</t>
  </si>
  <si>
    <t xml:space="preserve">يوميه في عمرو العبور شاسيهات ولقم </t>
  </si>
  <si>
    <t xml:space="preserve">دفعه من اعمال كهرباء الدقي </t>
  </si>
  <si>
    <t xml:space="preserve">دفعه من اعمال كهرباء معادي ديونز  (( 70000ج ) تاسيس وتشطيب واسقف ) </t>
  </si>
  <si>
    <t xml:space="preserve">دفعه من اعمال كهرباء معادي فيو </t>
  </si>
  <si>
    <t xml:space="preserve">دفعه من اعمال  تاسيس كهرباء معادي ديونز  (( 70000ج ) تاسيس وتشطيب واسقف ) </t>
  </si>
  <si>
    <t xml:space="preserve">دفعه من اعمال تشطيب كهرباء الدقي </t>
  </si>
  <si>
    <t xml:space="preserve">تعديلات كهرباء في معادي ديونز </t>
  </si>
  <si>
    <t xml:space="preserve">دفعه من اعمال تاسيس دهانات العبور </t>
  </si>
  <si>
    <t xml:space="preserve">حساب توريد وتركيب الالومونيوم </t>
  </si>
  <si>
    <t xml:space="preserve">من حساب توريد وتركيب الالومونيوم </t>
  </si>
  <si>
    <t xml:space="preserve">تصليح تند هالجار تحسب كدفعه من اللوتس </t>
  </si>
  <si>
    <t xml:space="preserve">حساب شاتر بدون موتور  الدقي </t>
  </si>
  <si>
    <t>دفعه من حساب اعمال الشاتر</t>
  </si>
  <si>
    <t xml:space="preserve">دفعه من اعمال الشاتر </t>
  </si>
  <si>
    <t xml:space="preserve">دفعه من اعمال شاتر الدقي </t>
  </si>
  <si>
    <t xml:space="preserve">دفعه من اعمال توريد وتركيب الشاتر محمد امين </t>
  </si>
  <si>
    <t xml:space="preserve">دفعه من حساب توريد وتركيب الشاتر </t>
  </si>
  <si>
    <t xml:space="preserve">دفعه من اعمال تشطيب كهرباء بالم هيلز </t>
  </si>
  <si>
    <t xml:space="preserve">دفعه من اعمال توريدات الكهرباء </t>
  </si>
  <si>
    <t xml:space="preserve">باقي حساب توريدات الكهرباء </t>
  </si>
  <si>
    <t xml:space="preserve">فاتورة توريد كهرباء الباتيو </t>
  </si>
  <si>
    <t xml:space="preserve">فاتورة توريد كهرباء الدقي </t>
  </si>
  <si>
    <t xml:space="preserve">دفعه من اعمال تاسيس السباكه  ( اجمالي المقاوله 21000ج ) </t>
  </si>
  <si>
    <t xml:space="preserve">باقي حساب محمد السباك في الدقي </t>
  </si>
  <si>
    <t xml:space="preserve">دفعه من اعمال السباكه في جرين 6  ( اجمالي المقاوله 25600ج ) </t>
  </si>
  <si>
    <t>دفعه من حساب محمود الجبس في العبور 306</t>
  </si>
  <si>
    <t xml:space="preserve">دفعه من حساب اعمال الجبس في سوديك </t>
  </si>
  <si>
    <t xml:space="preserve">دفعه من حساب توريد وتركيب الجبس </t>
  </si>
  <si>
    <t xml:space="preserve">دفعه من اعمال توريد وتركيب الجبس </t>
  </si>
  <si>
    <t xml:space="preserve">دفعه من حساب اعمال توريد وتركيب الجبس </t>
  </si>
  <si>
    <t xml:space="preserve">يوميه ملاحظات في الاندلس من العميل </t>
  </si>
  <si>
    <t xml:space="preserve">دفعه من حساب تشطيب كهرباء اللوتس + يوميه تعديلات 1000ج </t>
  </si>
  <si>
    <t xml:space="preserve">دفعه من حساب اعمال سيراميك </t>
  </si>
  <si>
    <t xml:space="preserve">دفعه من اعمال السيراميك في سوديك ( 200ج*330 م )  الواصل 22422ج ) </t>
  </si>
  <si>
    <t xml:space="preserve">دفعه من اعمال سيراميك سوديك </t>
  </si>
  <si>
    <t xml:space="preserve">يوميه تركيب وزر+سقيه البورسلين  ( مينا ) </t>
  </si>
  <si>
    <t xml:space="preserve">يوميات سقيه بلكونه+غرفه ونظافه فواصل بورسلين وتركيب وزر  ( مينا ) </t>
  </si>
  <si>
    <t xml:space="preserve">يوميه تركيب بورسلين الحمام  ( مينا ) </t>
  </si>
  <si>
    <t xml:space="preserve">دفعه من حساب سيراميك سوديك </t>
  </si>
  <si>
    <t xml:space="preserve">دفعه من حساب مينا سيراميك في سوديك </t>
  </si>
  <si>
    <t xml:space="preserve">دفعه من حساب ناصر المقاول </t>
  </si>
  <si>
    <t xml:space="preserve">مديونيه قديمه </t>
  </si>
  <si>
    <t xml:space="preserve">دفعه من مديونيه قديمه ( الباقي  19100ج ) </t>
  </si>
  <si>
    <t xml:space="preserve">دفعه من مديونيه قديمه ( الباقي  14100ج ) </t>
  </si>
  <si>
    <t xml:space="preserve">دفعه من حساب ناصر المقاول ( الباقي 7100ج ) </t>
  </si>
  <si>
    <t>مديونيه قديمه</t>
  </si>
  <si>
    <t xml:space="preserve">باقي حساب ناصر المقاول </t>
  </si>
  <si>
    <t xml:space="preserve">حساب قماش تنجيد سوديك  ( 34592+26565 ) + 40 انستا </t>
  </si>
  <si>
    <t xml:space="preserve">دفعه من حساب قماش ستائر سوديك </t>
  </si>
  <si>
    <t xml:space="preserve">باقي  حساب قماش ستائر سوديك </t>
  </si>
  <si>
    <t xml:space="preserve">قماش الدقي </t>
  </si>
  <si>
    <t xml:space="preserve">قماش سوديك </t>
  </si>
  <si>
    <t xml:space="preserve">اعمال سباكه في وصال </t>
  </si>
  <si>
    <t xml:space="preserve">تنظيف 4 بيبه من الاسمنت +تعديل خلاط شاور </t>
  </si>
  <si>
    <t xml:space="preserve">تعديل 4صرف تكييف+2سيفون عادم الريحه+ تركيب خزان فوق سطح الفيلا </t>
  </si>
  <si>
    <t xml:space="preserve">مقاوله اعمال نظافه غرف تفتيش +تمديد التغذيه والصرف لحمام السباحه </t>
  </si>
  <si>
    <t xml:space="preserve">اكامل مقاوله اعمال تشطيب السباكه  2حمام+ مطبخ </t>
  </si>
  <si>
    <t xml:space="preserve">باقي حساب السباكه تشطيب في بالم هيلز </t>
  </si>
  <si>
    <t xml:space="preserve">يوميه تعديل صرف جريله شاور </t>
  </si>
  <si>
    <t xml:space="preserve">يوميه تجهيز الموقع وتركيب حنفيه </t>
  </si>
  <si>
    <t xml:space="preserve">2 يوميه تعديل ماسورة </t>
  </si>
  <si>
    <t>دفعه من اعمال سباكه القصر 67% تاسيس 5خزاناتوخلاطات دفن و 5حمامات  ومطبخ BR</t>
  </si>
  <si>
    <t xml:space="preserve">دفعه من اعمال السباكه في القصر </t>
  </si>
  <si>
    <t xml:space="preserve">الانتهاء من 50 % من اعمال تاسيس سباكه معادي ديونز </t>
  </si>
  <si>
    <t xml:space="preserve">2 يوميه فك وتركيب الصحي الحمام الرئيسي في بالم هيلز </t>
  </si>
  <si>
    <t xml:space="preserve">تركيب مجري تحت باب الفيلا+مواسير صرف للمجري+تركيب 2جيليتراب </t>
  </si>
  <si>
    <t xml:space="preserve">دفعه من اعمال سباكه في معادي ديونز </t>
  </si>
  <si>
    <t xml:space="preserve">اعمال صرف في المشروع القصر </t>
  </si>
  <si>
    <t xml:space="preserve">دفعه من اعمال السباكه </t>
  </si>
  <si>
    <t xml:space="preserve">باقي حساب سباكه معادي ديونز </t>
  </si>
  <si>
    <t xml:space="preserve">دفعه من حساب تجاليد و نجارة معادي فيو </t>
  </si>
  <si>
    <t xml:space="preserve">دفعه من حساب ياسر النجار </t>
  </si>
  <si>
    <t xml:space="preserve">زيارات صيانه الحاسبات ( 4 زيارات *750ج ) + شاحن لاب توب المشتريات </t>
  </si>
  <si>
    <t xml:space="preserve">م. عموميه واداريه </t>
  </si>
  <si>
    <t xml:space="preserve">فاتورة طلبات البوفيه </t>
  </si>
  <si>
    <t xml:space="preserve">اشتراك موقع بورديو </t>
  </si>
  <si>
    <t xml:space="preserve">مصاريف الانستا </t>
  </si>
  <si>
    <t xml:space="preserve">اكراميه فتحي البواب  ( تخصم من راتب منير ) نظافه المكتب والبوفيه </t>
  </si>
  <si>
    <t xml:space="preserve">2.75 كجم  بن للمكتب </t>
  </si>
  <si>
    <t xml:space="preserve">حساب مطبوعات الايصالات و الاختام </t>
  </si>
  <si>
    <t xml:space="preserve">سيستم الحضور والانصراف </t>
  </si>
  <si>
    <t xml:space="preserve">فاتورة تليفون الارضي </t>
  </si>
  <si>
    <t xml:space="preserve">فاتورة تليفون وسلك لزوم تعديل شبكه التليفون في المكتب </t>
  </si>
  <si>
    <t xml:space="preserve">فاتورة تليفون مشتريات </t>
  </si>
  <si>
    <t xml:space="preserve">فاتورة طلبات البوفيه  + النقل </t>
  </si>
  <si>
    <t xml:space="preserve">طلبات ضيافه لعميل </t>
  </si>
  <si>
    <t xml:space="preserve">تفعيل برنامج سكتش اب أ/ احمد الميري </t>
  </si>
  <si>
    <t xml:space="preserve">فاتورة طلبات زينه رمضان </t>
  </si>
  <si>
    <t xml:space="preserve">8 حجارة ريموت تكييفات </t>
  </si>
  <si>
    <t xml:space="preserve">مصاريف فتح حساب ال CIB </t>
  </si>
  <si>
    <t xml:space="preserve">كشاف توتال + حجارة </t>
  </si>
  <si>
    <t xml:space="preserve">طلبات زينه رمضان وفوانيس </t>
  </si>
  <si>
    <t xml:space="preserve">صدقه رمضان ل منير </t>
  </si>
  <si>
    <t xml:space="preserve">صدقات </t>
  </si>
  <si>
    <t xml:space="preserve">المحاسب القانوني  ( الاشتراك في المنظومه + الاستراك في التوكين + اتعاب 2000ج ) </t>
  </si>
  <si>
    <t xml:space="preserve">2 انبوبه سيليكون في المكتب اخدتهم المهندسه منه  ودفعت ثمنهم </t>
  </si>
  <si>
    <t xml:space="preserve">اشتراكات اون لاين </t>
  </si>
  <si>
    <t xml:space="preserve">حجز  عزومه رمضان </t>
  </si>
  <si>
    <t xml:space="preserve">مليء حبر ماكينه الطباعه وتغير رول شحم </t>
  </si>
  <si>
    <t xml:space="preserve">باقي حساب عزومه رمضان </t>
  </si>
  <si>
    <t xml:space="preserve">1/4 ك بن 250ج + اكراميه عزومه رمضان </t>
  </si>
  <si>
    <t xml:space="preserve">نقل وتشوين ( سوديك المكتب المخزن ) م / ايه </t>
  </si>
  <si>
    <t>بن للمكتب</t>
  </si>
  <si>
    <t xml:space="preserve">منظفات للمكتب </t>
  </si>
  <si>
    <t xml:space="preserve">مشروبات للبوفيه </t>
  </si>
  <si>
    <t xml:space="preserve">2 رزمه ورق تصوير </t>
  </si>
  <si>
    <t xml:space="preserve">انتقلات مشتريات البوفيه </t>
  </si>
  <si>
    <t>طلبات ضيافه  ( لبن ونسكافيه للعملاء ) سامح</t>
  </si>
  <si>
    <t xml:space="preserve">سيستم ال HR </t>
  </si>
  <si>
    <t>10فيست*230+10هيلمت*350+2يونيفورم*240+2فيست مدير مواقع*315</t>
  </si>
  <si>
    <t xml:space="preserve">حجارة قلم لريموتات التكييف </t>
  </si>
  <si>
    <t xml:space="preserve">طلبات منظفات للمكتب </t>
  </si>
  <si>
    <t xml:space="preserve">5 كشكول سلك </t>
  </si>
  <si>
    <t xml:space="preserve">نقل بضاعه من مخزن المكتب الي المخزن الرئيسي </t>
  </si>
  <si>
    <t xml:space="preserve">رسوم استخراج سجل تجاري المكتب أ/ احمد اسماعيل </t>
  </si>
  <si>
    <t xml:space="preserve">م. انتقالات  أ.عبد الرحمن محاسب  لزوم استلام شيك </t>
  </si>
  <si>
    <t xml:space="preserve">نقل خامات الكهرباء من المخزن  و تشوينها بالموقع+ توضيب المخزن  مع أ/ سامح </t>
  </si>
  <si>
    <t xml:space="preserve">من حساب ال IT </t>
  </si>
  <si>
    <t xml:space="preserve">سكيت نوت م / ايه </t>
  </si>
  <si>
    <t xml:space="preserve">حساب صيانه سوفت وير الكاميرات </t>
  </si>
  <si>
    <t xml:space="preserve">فاتورة موبايلات المكتب </t>
  </si>
  <si>
    <t>اشتراك الدومين</t>
  </si>
  <si>
    <t xml:space="preserve">شراء كابلات تشغيل كاميرات المكتب </t>
  </si>
  <si>
    <t xml:space="preserve">ايجار سيارة + بنزين الذهاب والعوده  كريم النجار مع م/ ايه </t>
  </si>
  <si>
    <t xml:space="preserve">فاتورة مناديل للمكتب </t>
  </si>
  <si>
    <t xml:space="preserve">2 فاتورة منظفات و طلبات بوفيه </t>
  </si>
  <si>
    <t xml:space="preserve">م. انتقالات سامح لاستلام دفعه من ايرادات هاني العبور </t>
  </si>
  <si>
    <t xml:space="preserve">طلبات بوفيه لزوم ضيافه علي العميل </t>
  </si>
  <si>
    <t xml:space="preserve">شراء وتصنيع ستائر بلكونه للمكتب الفني </t>
  </si>
  <si>
    <t xml:space="preserve">نقل مرتجعات بالم هيلز  الي المخزن </t>
  </si>
  <si>
    <t xml:space="preserve">ايجار سيارة استلام مشتريات الكهرباء </t>
  </si>
  <si>
    <t xml:space="preserve">علبه شيكولاته هديه تشطيب الباتيو </t>
  </si>
  <si>
    <t xml:space="preserve">سباك لزوم تصليح حماما المكتب وشراء كوعه جديده </t>
  </si>
  <si>
    <t xml:space="preserve">عمل 2 نسخه مفتاح للمكتب +5 شفرة مصعد </t>
  </si>
  <si>
    <t xml:space="preserve">ميموري لزوم تصوير الباتيو </t>
  </si>
  <si>
    <t xml:space="preserve">شراء شاي وكرتونه مياه </t>
  </si>
  <si>
    <t xml:space="preserve">بن للمكتب   م/ ايه </t>
  </si>
  <si>
    <t xml:space="preserve">2 فاتورة انترنت المكتب </t>
  </si>
  <si>
    <t xml:space="preserve">عينه ( عود1متر+باور ماجنتيك+ سماعه ماجنتيك ) </t>
  </si>
  <si>
    <t xml:space="preserve">انتقالات الي البنك واستلام عينات الدقي </t>
  </si>
  <si>
    <t xml:space="preserve">اكراميه موظف السنترال لفحص مشكله النت بالمكتب </t>
  </si>
  <si>
    <t xml:space="preserve">طلبات ملبس ونسكافيه للضيافه </t>
  </si>
  <si>
    <t xml:space="preserve">نظافه وصيانه التكييفات </t>
  </si>
  <si>
    <t xml:space="preserve">رسوم تجديد اشتراك المنظومه لشركه ايليت لحين الغلق او البيع </t>
  </si>
  <si>
    <t xml:space="preserve">شاي + ينسون+ كرتونه مياه للبوفيه </t>
  </si>
  <si>
    <t xml:space="preserve">فلاشه يو اس بي للمكتب </t>
  </si>
  <si>
    <t xml:space="preserve">3 فواتير طلبات البوفيه ( نظافه ومياه وشاي وسكر ) </t>
  </si>
  <si>
    <t xml:space="preserve">ماسورة لزوم ستارة المكتب الفني </t>
  </si>
  <si>
    <t xml:space="preserve">نقل خامات البارتشن+ وحده الادراج للمكتب </t>
  </si>
  <si>
    <t xml:space="preserve">حساب سباك للمكتب </t>
  </si>
  <si>
    <t xml:space="preserve">سوسته باب لزوم مكتب </t>
  </si>
  <si>
    <t xml:space="preserve">حجر قلم للريموت والماوسات </t>
  </si>
  <si>
    <t xml:space="preserve">راوتر للمكتب </t>
  </si>
  <si>
    <t xml:space="preserve">سيارة لزوم تسليم طلبات الكهرباء الدقي +المخزن+ الفجاله </t>
  </si>
  <si>
    <t>سيارة انتقالات الي القصروسوديك والعبور 306 والعبور365</t>
  </si>
  <si>
    <t xml:space="preserve"> 4 رزمه ورق A4</t>
  </si>
  <si>
    <t xml:space="preserve">دفعه مقدمه من عمل كوفي كورنر مكتب م/ ايه </t>
  </si>
  <si>
    <t xml:space="preserve">بن للمكتب  م/ ايه </t>
  </si>
  <si>
    <t>فاتورة الغاز</t>
  </si>
  <si>
    <t xml:space="preserve">يوميه نظافه في المكتب تخصم علي منير البوفيه </t>
  </si>
  <si>
    <t xml:space="preserve">باقي حساب الكوفي كورنر بالنقل </t>
  </si>
  <si>
    <t xml:space="preserve">مشترك كهرباء للمكتب م /ايه </t>
  </si>
  <si>
    <t xml:space="preserve">انتقالات مشتريات </t>
  </si>
  <si>
    <t xml:space="preserve">طلبات نظافه البوفيه </t>
  </si>
  <si>
    <t xml:space="preserve">اعلانات تعينات </t>
  </si>
  <si>
    <t xml:space="preserve">انتقالات لزوم  صرف الشيك </t>
  </si>
  <si>
    <t xml:space="preserve">سيستم AI  م/ احمد الميري     ( شهرين ) </t>
  </si>
  <si>
    <t xml:space="preserve">مرتب م / سما محمد ( اسبوع من المنزل ) </t>
  </si>
  <si>
    <t xml:space="preserve">سلف ومرتبات </t>
  </si>
  <si>
    <t xml:space="preserve">مرتب بيتر اتش ار </t>
  </si>
  <si>
    <t xml:space="preserve">سلفه منير البوفيه </t>
  </si>
  <si>
    <t xml:space="preserve">مكافاه مواقع م / محمود اشرف ( اسلام العبور+مصطفي مدينتي + عمرو مدينتي ) </t>
  </si>
  <si>
    <t xml:space="preserve">مرتب م / هشام </t>
  </si>
  <si>
    <t xml:space="preserve">سلفه م/ اسلام اسامه </t>
  </si>
  <si>
    <t xml:space="preserve">مكافاه م / اسلام زكريا في بدر دوبلكس </t>
  </si>
  <si>
    <t xml:space="preserve">سلفه حسن حمدي </t>
  </si>
  <si>
    <t xml:space="preserve">سلفه أ احمد الميري </t>
  </si>
  <si>
    <t xml:space="preserve">من المرتبات </t>
  </si>
  <si>
    <t xml:space="preserve">باقي مرتبات </t>
  </si>
  <si>
    <t xml:space="preserve">من بونص المشتريات </t>
  </si>
  <si>
    <t xml:space="preserve">تحت حساب عموله أ / احمد الميري </t>
  </si>
  <si>
    <t xml:space="preserve">سلفه م / اسلام اسامه </t>
  </si>
  <si>
    <t xml:space="preserve">سلفه أحمد الميري </t>
  </si>
  <si>
    <t xml:space="preserve">مرتبات شهر فبراير 2026 </t>
  </si>
  <si>
    <t xml:space="preserve">مرتب م / ايه شهرين يناير + فبراير </t>
  </si>
  <si>
    <t xml:space="preserve">باقي مرتب م/ محمد محمود مكتب فني </t>
  </si>
  <si>
    <t xml:space="preserve">باقي مرتب م/ محمود امين  مكتب فني </t>
  </si>
  <si>
    <t xml:space="preserve">باقي بونص المشتريات </t>
  </si>
  <si>
    <t xml:space="preserve">من عمولات احمد الميري </t>
  </si>
  <si>
    <t xml:space="preserve">سلفه أ/ عبد الرحمن محاسب </t>
  </si>
  <si>
    <t xml:space="preserve">سلفه سامح مشتريات </t>
  </si>
  <si>
    <t xml:space="preserve">مرتبات شهر مارس 2026 +م. انستا +  مرتب م/ ايه </t>
  </si>
  <si>
    <t xml:space="preserve">مرتب 15 يوم شعيب مشرف النجارة </t>
  </si>
  <si>
    <t xml:space="preserve">فرق مرتب م/ ايه </t>
  </si>
  <si>
    <t xml:space="preserve">سلفه م/ محمود سيد </t>
  </si>
  <si>
    <t xml:space="preserve">مرتبات شهر ابريل 2026 </t>
  </si>
  <si>
    <t xml:space="preserve">مرتب محمود امين  المكتب الفني </t>
  </si>
  <si>
    <t xml:space="preserve">مرتب محمم محمود   المكتب الفني </t>
  </si>
  <si>
    <t xml:space="preserve">مرتب  سما   المكتب الفني </t>
  </si>
  <si>
    <t xml:space="preserve">سلفه م / محمود سيد </t>
  </si>
  <si>
    <t xml:space="preserve">سلفه م/ احمد يونس ( تقسم علي 20 شهر ) </t>
  </si>
  <si>
    <t xml:space="preserve">من المرتبات +م/ ايه 50 الف و  ماعدا المكتب الفني </t>
  </si>
  <si>
    <t xml:space="preserve">مرتب محمود اشرف+ اسراء </t>
  </si>
  <si>
    <t xml:space="preserve">من مرتبات المكتب الفني </t>
  </si>
  <si>
    <t>فرق راتب م / ياسمين عن شهر مايو 2026</t>
  </si>
  <si>
    <t xml:space="preserve">بونص 4 معاينات أ/ هدير </t>
  </si>
  <si>
    <t>مرتب م/ جمانه شهر مايو 2026</t>
  </si>
  <si>
    <t xml:space="preserve">سلفه منير  البوفيه </t>
  </si>
  <si>
    <t xml:space="preserve">فاتورة سباكه تاسيس </t>
  </si>
  <si>
    <t xml:space="preserve">فاتورة جلبه وحنفيه تجهيز موقع </t>
  </si>
  <si>
    <t xml:space="preserve">تشوين خامات السباكه والعزل + اكراميه السائق </t>
  </si>
  <si>
    <t xml:space="preserve">فاتورة صفايه ومجري شاور </t>
  </si>
  <si>
    <t xml:space="preserve">فاتورة سباكه تشطيب بالتنكيل </t>
  </si>
  <si>
    <t xml:space="preserve">يوميه سباكه تركيب خلاط الحوض+ بيبه </t>
  </si>
  <si>
    <t xml:space="preserve">فاتورة سباكه  + انستا </t>
  </si>
  <si>
    <t xml:space="preserve">يوميه سباكه + انبوبه سليكون </t>
  </si>
  <si>
    <t xml:space="preserve">2 فاتورة طلبات سباكه </t>
  </si>
  <si>
    <t xml:space="preserve">3 فواتير سباكه  م / محمود </t>
  </si>
  <si>
    <t xml:space="preserve">يوميه تركيب محبس دفن الشلال   ( هاني السباك ) </t>
  </si>
  <si>
    <t xml:space="preserve">2 فاتورة سباكه الباتيو </t>
  </si>
  <si>
    <t xml:space="preserve">مصنعيه سباك تركيب وصلات ومحابس سخان وتغيير محبس دفن </t>
  </si>
  <si>
    <t xml:space="preserve">2 لاي اسباني + فوطه +سيليكون ابيض </t>
  </si>
  <si>
    <t>يوميه سباكه تركيب وصلات الغسالهوتركيب مقبض شطاف الحمام</t>
  </si>
  <si>
    <t xml:space="preserve">2 عمال تنزيل بضاعه السباكه + اكراميه السائق </t>
  </si>
  <si>
    <t xml:space="preserve">تنكيل وش خلاطات </t>
  </si>
  <si>
    <t xml:space="preserve">فاتورة سباكه تشطيب  +النقل </t>
  </si>
  <si>
    <t>فواتير سباكه بالم هيلز  م/ هشام</t>
  </si>
  <si>
    <t xml:space="preserve">فاتورة تشطيب سباكه بالم هيلز ( مجموعه دفن ) </t>
  </si>
  <si>
    <t xml:space="preserve">فاتورة سباكه لزوم تصليح ماسورة العمومي </t>
  </si>
  <si>
    <t xml:space="preserve">يوميه سباكه </t>
  </si>
  <si>
    <t xml:space="preserve">فاتورة خزان سوديك </t>
  </si>
  <si>
    <t xml:space="preserve">فاتورة خامات سباكه  عرباوي الشروق </t>
  </si>
  <si>
    <t xml:space="preserve">فاتورة سباكه ( كوع بسن معزول وطبه حديد وجلب ) </t>
  </si>
  <si>
    <t xml:space="preserve">جلبه لحام 20ج +2 مقشه *75ج  م/ محمود اشرف </t>
  </si>
  <si>
    <t xml:space="preserve">جلبه بسن داخلي +كيس كلبسات م/ اسلام </t>
  </si>
  <si>
    <t xml:space="preserve">10 ش اسمنت +1.5نقله رتش +250 طوبه اسمنتي </t>
  </si>
  <si>
    <t xml:space="preserve">2 يوميه سباكه خلع مواسير تغذيه+ اصلاح كسر </t>
  </si>
  <si>
    <t>فاتورة طلبات سباكه بر الوالدين</t>
  </si>
  <si>
    <t xml:space="preserve">فاتورة تاسيس سباكه دفن جروهي </t>
  </si>
  <si>
    <t xml:space="preserve">فاتورة استكمال سباكه تاسيس الدقي </t>
  </si>
  <si>
    <t xml:space="preserve">2 فاتورة طلبات سباكه تاسيس + النقل والتشوين 300ج </t>
  </si>
  <si>
    <t xml:space="preserve">2 فاتورة سباكه الدقي </t>
  </si>
  <si>
    <t xml:space="preserve">فاتورة سباكه تشطيب  ماقبل السيراميك  + النقل </t>
  </si>
  <si>
    <t xml:space="preserve">تنكيل فلاش تانك +خلاط+ مشتملات محبس دفن بالتوصيل </t>
  </si>
  <si>
    <t xml:space="preserve">عربون حجز تشطيب الصحي من السلاب كناريا </t>
  </si>
  <si>
    <t xml:space="preserve">فاتورة تنكيل وشوش تشطيب السباكه </t>
  </si>
  <si>
    <t xml:space="preserve">نقل خامات تشطيب السباكه مدينتي </t>
  </si>
  <si>
    <t xml:space="preserve">فواتير تشطيب سباكه  مدينتي 350 ( م/ محمود + سامح مشتريات ) </t>
  </si>
  <si>
    <t xml:space="preserve">وش نيكل عموله بالتوصيل + فاتورة استكمال سباكه تشطيب </t>
  </si>
  <si>
    <t xml:space="preserve">يوميه تغير وصله حووض وتسليك بلاعات </t>
  </si>
  <si>
    <t>طلبات سباكه تجهيز موقع 275+مصنعيه سباك 250</t>
  </si>
  <si>
    <t xml:space="preserve">عمل 4 فتحات كور   م/ احمد يونس  لزوم عمل السباك </t>
  </si>
  <si>
    <t xml:space="preserve">كوع عاده+8 م بولي   م/ احمد يونس </t>
  </si>
  <si>
    <t xml:space="preserve">طقم تطويل دفن </t>
  </si>
  <si>
    <t xml:space="preserve">فاتورة سباكه تجهيز موقع </t>
  </si>
  <si>
    <t xml:space="preserve">2 وش خزان دفن جروهي روز جولد + الانتقالات </t>
  </si>
  <si>
    <t xml:space="preserve">فاتورة طلبات سباكه 365  م/ عبد الرحمن </t>
  </si>
  <si>
    <t xml:space="preserve">دفعه من حساب اعمال السباكه وتم طرده </t>
  </si>
  <si>
    <t xml:space="preserve">2 فواتير طلبات سباكه ياسر القرنفل </t>
  </si>
  <si>
    <t>دفعه 50% من تصنيع حوض بورسلين اضافي مدينتي 350</t>
  </si>
  <si>
    <t xml:space="preserve">مصنعيه تركيب سخان فوري </t>
  </si>
  <si>
    <t xml:space="preserve">سخان فوري الاندلس </t>
  </si>
  <si>
    <t xml:space="preserve">باقي فاتورة الصحي كناريا (  87809 اجمالي الفاتورة - 5000 حجز سابق ) </t>
  </si>
  <si>
    <t xml:space="preserve">2 فاتورة صحي الاندلس ( وش نيكل+وصله+نبل نيكل ) </t>
  </si>
  <si>
    <t>فاتورة تنكيل + توصيل 2 خلاط \</t>
  </si>
  <si>
    <t xml:space="preserve">تركيب السخان الفوري </t>
  </si>
  <si>
    <t xml:space="preserve">مصنعيه تركيب حوض بورسلين </t>
  </si>
  <si>
    <t xml:space="preserve">موتور سوديك بمشتملاته </t>
  </si>
  <si>
    <t>تركيب السخان الفوري  2</t>
  </si>
  <si>
    <t xml:space="preserve">تشوين صحي بالم هيلز </t>
  </si>
  <si>
    <t xml:space="preserve">تركيب سخان فوري  في الباتيو  م/ محمود </t>
  </si>
  <si>
    <t xml:space="preserve">احواض صيني ديورافيت </t>
  </si>
  <si>
    <t xml:space="preserve">فاتورة تشطيب نواكل كناريا </t>
  </si>
  <si>
    <t xml:space="preserve">سيلكون عزل شريط    م/ منه </t>
  </si>
  <si>
    <t xml:space="preserve">سوسته وراق مناديل    م/ منه </t>
  </si>
  <si>
    <t xml:space="preserve">2طن اسمنت*5800+تشوين 1000ج +12م رمل*1200ج+تشوين 3600ج </t>
  </si>
  <si>
    <t xml:space="preserve">فاتورة جاولن مقاوم لزوم دهانات البلكونه </t>
  </si>
  <si>
    <t xml:space="preserve">نص طن اسمنت لزوم المحارة2100ج + 300 نقل وتشوين </t>
  </si>
  <si>
    <t xml:space="preserve">نص طن اسمنت بالتشوين لزوم المحارة </t>
  </si>
  <si>
    <t xml:space="preserve"> نقله رمله 850ج + 2500طوبه4125ج+2طن اسمنت8200ج</t>
  </si>
  <si>
    <t>2 طن اسمنت8400+3نقله رمل2550</t>
  </si>
  <si>
    <t xml:space="preserve">5طن اسمنت+4نقله رمل +150طوبه احمر بالتشوين </t>
  </si>
  <si>
    <t xml:space="preserve">1/2طن اسمنت بالتشوين+اكراميه الغفير  م/ احمد يونس </t>
  </si>
  <si>
    <t xml:space="preserve">2نقله رمل + طن اسمنت +التشوين  </t>
  </si>
  <si>
    <t xml:space="preserve">خراطيم وسلك كهرباء </t>
  </si>
  <si>
    <t xml:space="preserve">ايجار هيلتي تكسير المحارة </t>
  </si>
  <si>
    <t xml:space="preserve">فاتورة طلبات محارة </t>
  </si>
  <si>
    <t xml:space="preserve">6 يوميات مباني </t>
  </si>
  <si>
    <t xml:space="preserve">2 يوميه مباني </t>
  </si>
  <si>
    <t>فاتورة بانوهات ( 43 عود+2جالون ماده+التركيب )</t>
  </si>
  <si>
    <t xml:space="preserve">فاتورة الطوب الزجاجي بالتركيب </t>
  </si>
  <si>
    <t xml:space="preserve">فاتورة دهانات الاندلس بالنقل </t>
  </si>
  <si>
    <t xml:space="preserve">فاتورة معجون شروخ </t>
  </si>
  <si>
    <t xml:space="preserve">فاتورة دهانات الاندلس 364 </t>
  </si>
  <si>
    <t xml:space="preserve">5 فواتير خامات دهانات الاندلس 364 </t>
  </si>
  <si>
    <t xml:space="preserve">بستله دهانات جرانيت </t>
  </si>
  <si>
    <t xml:space="preserve">فاتورة روله+غيار + سكينه   م/ احمد علي </t>
  </si>
  <si>
    <t xml:space="preserve">فاتورة عيناات دهانات م/ احمد علي </t>
  </si>
  <si>
    <t xml:space="preserve">مجموعه ايبوكسي </t>
  </si>
  <si>
    <t xml:space="preserve">جركن اديبوند  العرباوي </t>
  </si>
  <si>
    <t xml:space="preserve">فواتير دهانات لزوم مرمات ( م / اسلام ) </t>
  </si>
  <si>
    <t xml:space="preserve">طلبات دهانات للباتيو  م/ اسلام </t>
  </si>
  <si>
    <t xml:space="preserve">فاتورة دهانات تاسيس العبور 306 من عرباوي الشروق ( الباقي 6960ج ) </t>
  </si>
  <si>
    <t xml:space="preserve">باقي فاتورة تأسيس  الدهانات من عرباوي الشروق 6960 + فاتورة 3915 </t>
  </si>
  <si>
    <t>فاتورة دهانات العبور 306  ( عرباوي الشروق (</t>
  </si>
  <si>
    <t xml:space="preserve">2فاتورة   2معجون شروخ امريكي +بكرة تيب عريض +15فرخ صنفرة </t>
  </si>
  <si>
    <t xml:space="preserve">فاتورة مشمع+ تيب قبل الدهانات </t>
  </si>
  <si>
    <t>طلبات دهانات للعبور مشمع   م/ عبد الرحمن  بيد عمرو النقاش</t>
  </si>
  <si>
    <t xml:space="preserve">فاتورة توريد الفيوتيك  ( باقي التركيبات ) </t>
  </si>
  <si>
    <t xml:space="preserve">مصنعيه تركيب فيوتيك الاندلس 291*15ج + 135ج بدل يوم عطله بسبب الجار </t>
  </si>
  <si>
    <t xml:space="preserve">فاتورة عينه دهانات </t>
  </si>
  <si>
    <t xml:space="preserve">فاتورة دهانات سوديك </t>
  </si>
  <si>
    <t xml:space="preserve">فواتير دهانات اللوتس  م / هشام </t>
  </si>
  <si>
    <t xml:space="preserve">عينات دهانات اللوتس </t>
  </si>
  <si>
    <t xml:space="preserve">حساب اعمال توريد وتركيب فيوتك استكمال </t>
  </si>
  <si>
    <t xml:space="preserve">فاتورة طلبات دهانات ( صنفرة ومشمع ولاصق  م/ هشام </t>
  </si>
  <si>
    <t xml:space="preserve">تشوين خامات دهانات اللوتس + 1/2 ش سيتوكس يو </t>
  </si>
  <si>
    <t xml:space="preserve">فاتورة دهانات تشطيب  بالم هيلز ( عند العميل 14637 ) </t>
  </si>
  <si>
    <t xml:space="preserve">تشوين خامات دهانات بالم هيلز </t>
  </si>
  <si>
    <t xml:space="preserve">فاتورة لفه كرتون </t>
  </si>
  <si>
    <t xml:space="preserve">3 فواتير دهانات بالم هيلز ( م/ هشام ) </t>
  </si>
  <si>
    <t xml:space="preserve">فاتورة ماده وجهات </t>
  </si>
  <si>
    <t xml:space="preserve">لفه كرتون تغليف الارضيات  م/ هشام </t>
  </si>
  <si>
    <t xml:space="preserve">2 فاتورة  تيب عريض+علبه لاصق +دايتون+مشمع </t>
  </si>
  <si>
    <t xml:space="preserve">طلبات دهانات ( سينتال+برايمر نفط ) م / محمود سيد </t>
  </si>
  <si>
    <t xml:space="preserve">يوميه عامل +2عبوه دهان سور+2زجاجه نفط+فرشه </t>
  </si>
  <si>
    <t xml:space="preserve">فاتورة تاسيس دهانات سوديك </t>
  </si>
  <si>
    <t xml:space="preserve">2 فاتورة طلبات دهانات تاسيس  عرباوي الشروق </t>
  </si>
  <si>
    <t>فاتورة دهانات سوديك ( عرباوي الشروق )</t>
  </si>
  <si>
    <t>فاتورة طلبات دهانات بر الوالدين</t>
  </si>
  <si>
    <t xml:space="preserve">بستله جوتشيلد ديكور </t>
  </si>
  <si>
    <t xml:space="preserve">فاتورة دهانات ( صنفرة + معجون روخ ) </t>
  </si>
  <si>
    <t xml:space="preserve">انتقالات من المكتب للقبيصي والعوده عينات دهانات سوديك </t>
  </si>
  <si>
    <t xml:space="preserve">معجون شروخ امريكي </t>
  </si>
  <si>
    <t xml:space="preserve">فاتورة 4ش معجون كريلك+معجون دايتون+صنفرة </t>
  </si>
  <si>
    <t xml:space="preserve">سيلر مائي + 15 فرخ صنفرة </t>
  </si>
  <si>
    <t xml:space="preserve">يوميه تغليف الارضيات  </t>
  </si>
  <si>
    <t xml:space="preserve">2 ش جبس ممتاز  بالتوصيل </t>
  </si>
  <si>
    <t xml:space="preserve">روله صغيره + سكينه معجون </t>
  </si>
  <si>
    <t xml:space="preserve">فاتورة دهانات عمرو العبور </t>
  </si>
  <si>
    <t xml:space="preserve">3 بكرة تين + زجاجه تنر  م / اسلام </t>
  </si>
  <si>
    <t xml:space="preserve">فاتورة دهانات تشطيب مدخل العبور </t>
  </si>
  <si>
    <t xml:space="preserve">فاتورة خامات دهانات كناريا بيد عمرو ريحان </t>
  </si>
  <si>
    <t xml:space="preserve">فاتورة طلبات دهانات  بيد عمرو ريحان بعلم م/ احمد يونس </t>
  </si>
  <si>
    <t xml:space="preserve">لفه كرتون+15م مشمع*60ج </t>
  </si>
  <si>
    <t xml:space="preserve">فاتورة عينات دهانات كناريا </t>
  </si>
  <si>
    <t xml:space="preserve">فاتورة بانوهات توريد وتركيب </t>
  </si>
  <si>
    <t xml:space="preserve">عينه بلاستيك + صنفرة+ خامات دهانات </t>
  </si>
  <si>
    <t xml:space="preserve">فاتورة دهانات تشطيب مدينتي 350 </t>
  </si>
  <si>
    <t xml:space="preserve">فاتورة استكمال دهانات </t>
  </si>
  <si>
    <t xml:space="preserve">فاتورة دهانات تشطيب بستله دهانات مدينتي 350 </t>
  </si>
  <si>
    <t xml:space="preserve">فواتير دهانات تشطيب في مدينتي </t>
  </si>
  <si>
    <t xml:space="preserve">فاتورة استكمال دهانات تشطيب  م/ اسلام زكريا </t>
  </si>
  <si>
    <t xml:space="preserve">2 فاتورة فيلوماستيك مذهل تشطيب دهانات+ طلبات نظافه ) م / اسلام </t>
  </si>
  <si>
    <t xml:space="preserve">فاتورة تشطيب دهانات   م/ اسلام </t>
  </si>
  <si>
    <t xml:space="preserve">فاتورة عينه دهانات الاندلس 364 </t>
  </si>
  <si>
    <t xml:space="preserve">نقل بضاعه تجهيز الموقع الي اكتوبر + استكمالات السلك </t>
  </si>
  <si>
    <t xml:space="preserve">اوبر توصيل فاتورة كهرباء من الترا لايت </t>
  </si>
  <si>
    <t xml:space="preserve">نقل فاتورة كهرباء الشروق 372 من وسط البلد للمخزن </t>
  </si>
  <si>
    <t xml:space="preserve">نقل مرتجعات من الاندلس الي الموقع </t>
  </si>
  <si>
    <t xml:space="preserve">توصيل استكمال كهرباء الاندلس </t>
  </si>
  <si>
    <t xml:space="preserve">نقل بواقي مرتجعات الاندلس للمخزن + عامل تشوين وتحميل </t>
  </si>
  <si>
    <t xml:space="preserve">نقله رتش </t>
  </si>
  <si>
    <t xml:space="preserve">توصيل ابليك الباتيو </t>
  </si>
  <si>
    <t xml:space="preserve">يوميه عامل تنزيل الزلط من المكتب وتشوينه الي الباتيو </t>
  </si>
  <si>
    <t xml:space="preserve">ايجار سيارة نقل استكمال طلبات الباتيو </t>
  </si>
  <si>
    <t xml:space="preserve">نقل مرتجعات الباتيو + عامل </t>
  </si>
  <si>
    <t xml:space="preserve">نقل فاتورة مفاتيح كهرباء تشطيب </t>
  </si>
  <si>
    <t xml:space="preserve">يوميه عامل نظافه وتشوين الفيوتيك </t>
  </si>
  <si>
    <t xml:space="preserve">تشوين احواض الحمامات </t>
  </si>
  <si>
    <t xml:space="preserve">تشوين الصحي في اللوتس  م/ هشام </t>
  </si>
  <si>
    <t>نقله رتش دوبل     م/ هشام</t>
  </si>
  <si>
    <t xml:space="preserve">نقل نجفه من التجمع  للمكتب </t>
  </si>
  <si>
    <t>راس الحكمه</t>
  </si>
  <si>
    <t xml:space="preserve">باقي حساب شوشه للاثاث ( النقل ) </t>
  </si>
  <si>
    <t xml:space="preserve">يوميه عامل تشوين الماده + اكراميه الامن و سائق الماده </t>
  </si>
  <si>
    <t xml:space="preserve">نقل الفوم لسوديك </t>
  </si>
  <si>
    <t xml:space="preserve">نقل سيراميك و سقالات + عمال تحميل وتشوين ل سوديك </t>
  </si>
  <si>
    <t xml:space="preserve">تشوين سيراميك الرووف في سوديك 43 كرتونه </t>
  </si>
  <si>
    <t xml:space="preserve">عمال تحميل مرتجع الفوم </t>
  </si>
  <si>
    <t xml:space="preserve">توصيل برميل لسوديك + هانيمكس </t>
  </si>
  <si>
    <t xml:space="preserve">2 نقله رتش </t>
  </si>
  <si>
    <t xml:space="preserve">2 نقله رتش  + تشوين م رمل </t>
  </si>
  <si>
    <t xml:space="preserve">نقل سلك سوديك </t>
  </si>
  <si>
    <t xml:space="preserve">عامل تنزيل مرتجع سوديك </t>
  </si>
  <si>
    <t xml:space="preserve">نقل مرتجع من سوديك + تسليم العتب لوصال </t>
  </si>
  <si>
    <t xml:space="preserve">2.5 نقله رتش   ضمن اعمال اللاند سكيب </t>
  </si>
  <si>
    <t xml:space="preserve">نقل ماده لاصق من المخزن الي سوديك + عامل تحميل وتنزيل </t>
  </si>
  <si>
    <t xml:space="preserve">نقل مشتريات سوديك </t>
  </si>
  <si>
    <t xml:space="preserve">اوبر نقل طلبات من المخزن الي سوديك </t>
  </si>
  <si>
    <t xml:space="preserve">نقل  فاتورة تشطيب الكهرباء سوديك من وسط البلد الي المخزن </t>
  </si>
  <si>
    <t>نقل الحداد الي هليوبوليس تركيب الشباك</t>
  </si>
  <si>
    <t>شقه هليوبوليس 1</t>
  </si>
  <si>
    <t xml:space="preserve">ونش لزوم تشوين الطوب والاسمنت والرمل </t>
  </si>
  <si>
    <t xml:space="preserve">نقل طلبات سباكه الدقي + عامل </t>
  </si>
  <si>
    <t xml:space="preserve">ونش لزوم تنزيل الرتش + تشوين خامات المحارة </t>
  </si>
  <si>
    <t>5 عربيات رتش4250+ ونش تشوين الرتش والاسمنت5000ج+عماله نظافه1000</t>
  </si>
  <si>
    <t xml:space="preserve">توصيل استكمال كهرباء الدقي </t>
  </si>
  <si>
    <t xml:space="preserve">نقل خامات الكهرباء </t>
  </si>
  <si>
    <t xml:space="preserve">نقل مرتجع الدقي +تسليم ماده اللزق </t>
  </si>
  <si>
    <t xml:space="preserve">اوبر نقل حامل شاشه و مشترك </t>
  </si>
  <si>
    <t xml:space="preserve">نقل عفش قديم وصال </t>
  </si>
  <si>
    <t xml:space="preserve">2 نقله رتش     م/ اسلام  </t>
  </si>
  <si>
    <t xml:space="preserve">تشوين متر سن+2طن اسمنت + 2000 مصمط </t>
  </si>
  <si>
    <t xml:space="preserve">تشوين صحي كناريا+100ج تصريح الامن+50 اكراميه السائق </t>
  </si>
  <si>
    <t xml:space="preserve">ايجار سيارة نقل استكمال طلبات مدينتي </t>
  </si>
  <si>
    <t xml:space="preserve">نقله رتش + عامل تنزيل الرتش </t>
  </si>
  <si>
    <t xml:space="preserve">رسوم تشوين </t>
  </si>
  <si>
    <t xml:space="preserve">نقل مرتجع الالومونيوم الي المخزن </t>
  </si>
  <si>
    <t xml:space="preserve">يوميه تشوين خامات سباكه وكهرباء </t>
  </si>
  <si>
    <t xml:space="preserve">ونش الكمباوند للتشوينات </t>
  </si>
  <si>
    <t xml:space="preserve">نقل البضاعه من المردين للمواقع ( اللوتس+كناريا +الباتيو ) </t>
  </si>
  <si>
    <t xml:space="preserve">نقل الحمام المتنقل من سوديك الي هاني العبور </t>
  </si>
  <si>
    <t xml:space="preserve">عماله تشوين وتنزيل طلبيه سباكه  هاني العبور </t>
  </si>
  <si>
    <t xml:space="preserve">تشوين ( 6م رمل + 1.5طن اسمنت + 0.5 م سن + 250 طوبه + رتش ) </t>
  </si>
  <si>
    <t xml:space="preserve">تشوين وتوزيع خامات التشوينات </t>
  </si>
  <si>
    <t>تشوين ( 6م رمل + 1.5طن اسمنت + 0.5 م سن + 250 طوبه + رتش )</t>
  </si>
  <si>
    <t xml:space="preserve">4 يوميات مباني * 1700ج </t>
  </si>
  <si>
    <t xml:space="preserve">مصنعيه مباني في الدقي </t>
  </si>
  <si>
    <t xml:space="preserve">2000طوبه * 1650ج </t>
  </si>
  <si>
    <t xml:space="preserve">باقي حساب مباني الدقي </t>
  </si>
  <si>
    <t xml:space="preserve">2 جركن اديبوند + 2 عتب </t>
  </si>
  <si>
    <t xml:space="preserve">طن اسمنت لزوم المباني </t>
  </si>
  <si>
    <t xml:space="preserve">1500 طوبه لزوم المباني </t>
  </si>
  <si>
    <t xml:space="preserve">باقي مصنعيه المباني </t>
  </si>
  <si>
    <t>مباني شغل ٦ ايام</t>
  </si>
  <si>
    <t xml:space="preserve">1/2 طن اسمنت+300ج مشال </t>
  </si>
  <si>
    <t xml:space="preserve">2500طوبه+طن اسمنت+عتب+نقله رمل +التشوين </t>
  </si>
  <si>
    <t xml:space="preserve">مصنعيه مباني </t>
  </si>
  <si>
    <t xml:space="preserve">متر سن*770+2طن اسمنت*10400+2000مصمط*8000ج </t>
  </si>
  <si>
    <t xml:space="preserve">2 عتب ابواب </t>
  </si>
  <si>
    <t xml:space="preserve">طن اسمنت+500طوبه + نقله رمل  لزوم مباني </t>
  </si>
  <si>
    <t xml:space="preserve">2ش اسمنت بالنقل </t>
  </si>
  <si>
    <t xml:space="preserve">500طوبه احمر 1100ج + 2100 طوبه اسمنتي 8800ج </t>
  </si>
  <si>
    <t xml:space="preserve">استكمال بند مباني1500ج+ مباني اسفل قلبه السلم 1500ج </t>
  </si>
  <si>
    <t xml:space="preserve">يوميه استكمال مباني </t>
  </si>
  <si>
    <t xml:space="preserve">تصنيع 2 شباك حمام+ مطبخ </t>
  </si>
  <si>
    <t>يوميات خدمه كهرباء وسباكه 1200ج + طلبات سيلكون ومسامير +مسلوب</t>
  </si>
  <si>
    <t xml:space="preserve"> الاندلس 364</t>
  </si>
  <si>
    <t xml:space="preserve">فاتورة تاسيس كهرباء </t>
  </si>
  <si>
    <t xml:space="preserve">فاتورة سلك ثرمو تجهيز الموقع </t>
  </si>
  <si>
    <t>فاتورة تشطيب كهرباء الشروق372 ( 68050 مدفوع نقدي + 11096ج )مرتجع سلك من المخزن</t>
  </si>
  <si>
    <t>فاتورة كهرباء تشطيب  الاندلس 364</t>
  </si>
  <si>
    <t xml:space="preserve">فاتورة كهرباء تشطيب نوفا ساس </t>
  </si>
  <si>
    <t xml:space="preserve">فاتورة تشطيب كهرباء </t>
  </si>
  <si>
    <t xml:space="preserve">اعواد بروفايل </t>
  </si>
  <si>
    <t xml:space="preserve">فاتورة استكمال تشطيب كهرباء </t>
  </si>
  <si>
    <t xml:space="preserve">2 فاتورة كهرباء </t>
  </si>
  <si>
    <t xml:space="preserve">فاتورة طلبات لزوم مرمات محارة بعد الكهرباء  م/ هشام </t>
  </si>
  <si>
    <t xml:space="preserve">فاتورة جلوب مربع كهرباء تشطيب </t>
  </si>
  <si>
    <t xml:space="preserve">خامات كهرباء لتشطيب ليد المطبخ </t>
  </si>
  <si>
    <t xml:space="preserve">لقمه نت ايمجراند </t>
  </si>
  <si>
    <t xml:space="preserve">فاتورة كشلف غرفه الولد+ اسبوتات البلكونات ( م/ منه ) </t>
  </si>
  <si>
    <t xml:space="preserve">تركيب قاطع ثلاثي قبل العداد في الباتيو ( م/ اسلام ) </t>
  </si>
  <si>
    <t>فاتورة كهرباء ما قبل الجبس العبور 306</t>
  </si>
  <si>
    <t>دفعه مقدمه من فاتورة ليد بروفايل العبور 306</t>
  </si>
  <si>
    <t>فاتورة تشطيب كهرباء العبور 306</t>
  </si>
  <si>
    <t xml:space="preserve">فرق استبدال سبوتات كهرباء العبور </t>
  </si>
  <si>
    <t xml:space="preserve">موصل كهرباء سيزا </t>
  </si>
  <si>
    <t xml:space="preserve">باور + سارينه مضيئه </t>
  </si>
  <si>
    <t xml:space="preserve">فاتورة كهرباء تشطيب اللوتس </t>
  </si>
  <si>
    <t xml:space="preserve">فاتورة مفاتيح كهرباء+ اسمنت </t>
  </si>
  <si>
    <t xml:space="preserve">فاتورة كهرباء في الموقع  م/ هشام </t>
  </si>
  <si>
    <t xml:space="preserve">فاتورة استكمال كهرباء </t>
  </si>
  <si>
    <t xml:space="preserve">فاتورة كهرباء (سلك دسش+غطاء وتر بروف+باور ماجنتيك ) </t>
  </si>
  <si>
    <t>فاتورة طلبات تشطيب كهرباء ( بروفايل+ليد</t>
  </si>
  <si>
    <t xml:space="preserve">كهربائي راس الحكمه </t>
  </si>
  <si>
    <t xml:space="preserve">بارة نحاس +التوصيل </t>
  </si>
  <si>
    <t xml:space="preserve">فني دش </t>
  </si>
  <si>
    <t xml:space="preserve">طلبات+ يوميه صيانه في شقه زهراء المعادي م/ سمر </t>
  </si>
  <si>
    <t xml:space="preserve">زهراء المعادي </t>
  </si>
  <si>
    <t xml:space="preserve">عينات كهرباء ( وش وشاسيه ولقمه مفتاح ) </t>
  </si>
  <si>
    <t xml:space="preserve">فاتورة ماجنتيك ما قبل الجبس </t>
  </si>
  <si>
    <t xml:space="preserve">فاتورة كهرباء سوديك </t>
  </si>
  <si>
    <t xml:space="preserve">فاتورة كهرباء بروفايل وليد </t>
  </si>
  <si>
    <t xml:space="preserve">فاتورة كهرباء سوديك سلك+ قواطع </t>
  </si>
  <si>
    <t xml:space="preserve">فاتورة تشطيب كهرباء سوديك </t>
  </si>
  <si>
    <t xml:space="preserve">فاتورة عينه بكرة ليد ازرق </t>
  </si>
  <si>
    <t xml:space="preserve">فرق استبدال فاتورة كهرباء سلك سوديك </t>
  </si>
  <si>
    <t xml:space="preserve">فاتورة استكمال كهرباء (باور 200واط اي  لوك ) </t>
  </si>
  <si>
    <t xml:space="preserve">بولر 60سم اسود 10 واط ( 2300ج - 450ج خصم ) </t>
  </si>
  <si>
    <t xml:space="preserve">حربه7 واط +خليه ضوئيه 25امبير </t>
  </si>
  <si>
    <t xml:space="preserve">فاتورة  استكمال كهرباء سوديك </t>
  </si>
  <si>
    <t xml:space="preserve">حجز فاتورة كهرباء الاعمده في سوديك </t>
  </si>
  <si>
    <t xml:space="preserve">فاتورة لوحه30*40+حزام بلاستيك+مسامير+تيب+قوس محمل  صابر الكهربائي </t>
  </si>
  <si>
    <t>فاتورة طلبات كهرباء بر الوالدين</t>
  </si>
  <si>
    <t xml:space="preserve">فاتورة فرق قواطع سوديك </t>
  </si>
  <si>
    <t xml:space="preserve">فاتورة استكمال كهرباء سوديك </t>
  </si>
  <si>
    <t xml:space="preserve">مجموعه ارقام لزوم ترقيم سلوك الكهرباء </t>
  </si>
  <si>
    <t xml:space="preserve">فاتورة  لفه سلك سماعات </t>
  </si>
  <si>
    <t>فاتورة كهرباء تشطيب سوديك ( بولر+اباليك+اب لايت+حربه +ابليك محفظه)</t>
  </si>
  <si>
    <t xml:space="preserve">فاتورة كهرباء تشطيب  هليوبوليس </t>
  </si>
  <si>
    <t xml:space="preserve">شقه هليوبوليس 1 </t>
  </si>
  <si>
    <t xml:space="preserve">فاتورة استكمال بلاستيكات كهرباء </t>
  </si>
  <si>
    <t xml:space="preserve">فاتورة بواط سقف 4 مخرج </t>
  </si>
  <si>
    <t xml:space="preserve">فاتورة كهرباء ماقبل الجبس </t>
  </si>
  <si>
    <t>فاتورة كهرباء الدقي سلك</t>
  </si>
  <si>
    <t xml:space="preserve">فاتورة استكمال ساسيس كهرباء </t>
  </si>
  <si>
    <t xml:space="preserve">فاتورة كهرباء بيد فرج الكهربائي </t>
  </si>
  <si>
    <t xml:space="preserve">فاتورة استكمال تكهرباء تشطيب الدقي </t>
  </si>
  <si>
    <t xml:space="preserve">لفه سلك سماعات استكمال </t>
  </si>
  <si>
    <t xml:space="preserve">تشوين خامات الكهرباء في الدقي الي كانت بالمخزن </t>
  </si>
  <si>
    <t xml:space="preserve">بلاستيك تغليف اوشاش الكهرباء م /اسلام </t>
  </si>
  <si>
    <t xml:space="preserve">فاتورة استكما كهرباء تشطيب الدقي </t>
  </si>
  <si>
    <t xml:space="preserve">فاتورة تأسيس كهرباء دوبلكس وصال </t>
  </si>
  <si>
    <t xml:space="preserve">فاتورة خامات (15ليد+15دوايه+ شريط لحام) بيد فرج كهربائي تجهيز موقع </t>
  </si>
  <si>
    <t xml:space="preserve">فاتورة كهرباء عمرو العبور 8طبق 50سم </t>
  </si>
  <si>
    <t xml:space="preserve">اصلاح وصيانه عدد 2 كشاف مدخل العبور </t>
  </si>
  <si>
    <t xml:space="preserve">فاتورة استكمال كهرباء كناريا </t>
  </si>
  <si>
    <t xml:space="preserve">فاتورة ساوند سيستم </t>
  </si>
  <si>
    <t xml:space="preserve">فاتورة طلبات كهرباء لزوم التعديلات </t>
  </si>
  <si>
    <t>فاتورة كهرباء تشطيب مدينتي 350</t>
  </si>
  <si>
    <t xml:space="preserve">نقل فواتير الكهرباء الي الموقع </t>
  </si>
  <si>
    <t xml:space="preserve">فاتورة كهرباء  سلك  المعادي ديونز </t>
  </si>
  <si>
    <t xml:space="preserve">فرق فاتورة استبدال لوحه كهرباء وقواطع </t>
  </si>
  <si>
    <t xml:space="preserve">سبراي لزوم تعليم نقاط الكهرباء </t>
  </si>
  <si>
    <t xml:space="preserve">نقل طلبيه الكهرباء </t>
  </si>
  <si>
    <t xml:space="preserve">5 لفه فليكسبل   م/ احمد يونس </t>
  </si>
  <si>
    <t xml:space="preserve">7 لفه فلكسبل 16مم  م / احمد يونس </t>
  </si>
  <si>
    <t xml:space="preserve">لفه فلكسبل + علبه فليشر </t>
  </si>
  <si>
    <t xml:space="preserve">فاتورة طلبات كهرباء + خرطوم مياه ( م/ احمد يونس </t>
  </si>
  <si>
    <t xml:space="preserve">5 لفه فلكسبل+3علبه فيشر +كلبسات ومسامير  م/ احمد يونس </t>
  </si>
  <si>
    <t xml:space="preserve">موظف كهرباء توصيل العداد + اكراميه الامن </t>
  </si>
  <si>
    <t xml:space="preserve">فاتورة تشطيب كهرباء معادي فيو </t>
  </si>
  <si>
    <t xml:space="preserve">فاتورة استكمال كهربباء ( 4 بانل  30سم ) </t>
  </si>
  <si>
    <t xml:space="preserve">فاتورة وصلات و حوامل شاشات </t>
  </si>
  <si>
    <t xml:space="preserve">فاتورة تجهيز الموقع كهرباء </t>
  </si>
  <si>
    <t xml:space="preserve">10لفه فلكسبل+20 علبه ماجيك </t>
  </si>
  <si>
    <t xml:space="preserve">اجمالي  اعمال الكهرباء في ششقتين القرنفل </t>
  </si>
  <si>
    <t xml:space="preserve">3 نقله رتش *1300ج+83ش*10ج + مقاوله تكسير وتعبئه 3500ج </t>
  </si>
  <si>
    <t xml:space="preserve">يوميه عامل نظافه </t>
  </si>
  <si>
    <t xml:space="preserve">لودر و نقله رتش </t>
  </si>
  <si>
    <t xml:space="preserve">عامل نظافه الموقع </t>
  </si>
  <si>
    <t xml:space="preserve">فاتورة دهانات ونظافه </t>
  </si>
  <si>
    <t xml:space="preserve">شركه النظافه في الاندلس 364  ( خصم 500ج تجريح خشب التجاليد  ) </t>
  </si>
  <si>
    <t xml:space="preserve">فاتورة طلبات نظافه  م / محمود </t>
  </si>
  <si>
    <t xml:space="preserve">شركه النظافه في الباتيو </t>
  </si>
  <si>
    <t xml:space="preserve">يوميه نظافه + ش فارغه للتشوين  م/ هشام  + 2 نقله رتش 2000ج </t>
  </si>
  <si>
    <t xml:space="preserve">نقله رتش+ عامل نظافه وجمع الرتش </t>
  </si>
  <si>
    <t>يوميه عامل نظافه   م / هشام</t>
  </si>
  <si>
    <t xml:space="preserve">يوميه نظافه + ش فارغه للتشوين  م/ هشام </t>
  </si>
  <si>
    <t>يوميه عامل نظافه وتشوين الرتش  م/ هشام</t>
  </si>
  <si>
    <t xml:space="preserve">طلبات نظافه ( مساحات+ شرشوبه+روله +فوط ) </t>
  </si>
  <si>
    <t xml:space="preserve">نقله رتش بالم هيلز </t>
  </si>
  <si>
    <t xml:space="preserve">طلبات نظافه  بالم هيلز </t>
  </si>
  <si>
    <t xml:space="preserve">شركه النظافه في راس الحكمه </t>
  </si>
  <si>
    <t xml:space="preserve">عماله شيل رتش ماقبل النظافه </t>
  </si>
  <si>
    <t xml:space="preserve">نقله رتش دوبل </t>
  </si>
  <si>
    <t xml:space="preserve">نقله رتش سوديك </t>
  </si>
  <si>
    <t xml:space="preserve">1.5 نقله رتش  محمود اشرف </t>
  </si>
  <si>
    <t xml:space="preserve">1.5 نقله رتش  م/اسلام </t>
  </si>
  <si>
    <t xml:space="preserve">نيب عريض +ادوات نظافه  م/اسلام </t>
  </si>
  <si>
    <t xml:space="preserve">2 يوميه نظافه وتغطيه ارضيات </t>
  </si>
  <si>
    <t xml:space="preserve">يوميه نظافه + ش فارغه    م/ اسلام </t>
  </si>
  <si>
    <t xml:space="preserve">يوميه عامل + ايجار صاروخ 100ج </t>
  </si>
  <si>
    <t xml:space="preserve">4 يوميات نظافه في سوديك + الهيلتي  م/ اسلام </t>
  </si>
  <si>
    <t xml:space="preserve">يوميه نظافه في سوديك </t>
  </si>
  <si>
    <t xml:space="preserve">2 نقله تشوين  م / محمود اشرف </t>
  </si>
  <si>
    <t xml:space="preserve">3 يوميات نظافه في سوديك م / محمود اشرف </t>
  </si>
  <si>
    <t xml:space="preserve">يوميه نظافه ولم رتش  م/ محمود اشرف </t>
  </si>
  <si>
    <t xml:space="preserve">4 يوميات سوديك نظافه وتشوين   م /محمود </t>
  </si>
  <si>
    <t xml:space="preserve">5 عربيات نقل رتش  * 850ج </t>
  </si>
  <si>
    <t>5نقله رتش4250ج + يوميتن نظافه 1000ج</t>
  </si>
  <si>
    <t xml:space="preserve">ش اسمنت ابيض </t>
  </si>
  <si>
    <t xml:space="preserve">نظافع موقع + ترويق الموقع  م/ احمد يونس </t>
  </si>
  <si>
    <t xml:space="preserve">2 نقله رتش + نظافه </t>
  </si>
  <si>
    <t xml:space="preserve">عامل تشوين خامات الفيوتك+ تروسيكل نقل المخلفات + عامل نظافه </t>
  </si>
  <si>
    <t xml:space="preserve">يوميه نظافه بالموقع </t>
  </si>
  <si>
    <t xml:space="preserve">عامل ترتيب المخزن </t>
  </si>
  <si>
    <t xml:space="preserve">5 نقلات رتش + اكراميه الامن+ اكراميه السائق لتحيل زياده    محمود اشرف </t>
  </si>
  <si>
    <t xml:space="preserve">4 نقلات رتش  الاكراميه </t>
  </si>
  <si>
    <t xml:space="preserve">تشوين 4 نقلات رتش </t>
  </si>
  <si>
    <t xml:space="preserve">4  نقله رتش  م/ اسلام </t>
  </si>
  <si>
    <t xml:space="preserve">نظافه وتحميل 4 نقلات رتش </t>
  </si>
  <si>
    <t xml:space="preserve">تشوين 2 نقلات رتش </t>
  </si>
  <si>
    <t xml:space="preserve">نقله رتش  </t>
  </si>
  <si>
    <t xml:space="preserve">تنزيل نقله رتش 1000ج +ش فارغه 100ج + تشوين طوب وتزريع سياخ حديد مباني </t>
  </si>
  <si>
    <t xml:space="preserve">يوميات عماله في وصال  ( التشوين لو يتم ) </t>
  </si>
  <si>
    <t xml:space="preserve">2 عمال نظافه وتنزيل الرتش </t>
  </si>
  <si>
    <t>شركه النظافه في مدينتي 350</t>
  </si>
  <si>
    <t xml:space="preserve">2 عماله نظافه موقع </t>
  </si>
  <si>
    <t xml:space="preserve">2 يوميه نظافه رتش ارضيات الحمامات وتجهيز العزل + 20 ش فارغه </t>
  </si>
  <si>
    <t xml:space="preserve">فوط ومساحه وسكينه لزوم نظافه </t>
  </si>
  <si>
    <t xml:space="preserve">2 يوميه نظافه   م/ اسلام </t>
  </si>
  <si>
    <t>تشوين6م سن+10الاف طوبه احمر +5طن اسمنت+400ك حديد</t>
  </si>
  <si>
    <t xml:space="preserve">جرار ولودر لتحميل التكسير + اكراميه الغفير + 7 كانات +مسمار 3سم </t>
  </si>
  <si>
    <t xml:space="preserve">ردم وحفر جزء قبل السلم+تشوين 3600طوبه </t>
  </si>
  <si>
    <t xml:space="preserve"> يوميه نظافه و 10  ش فارغه </t>
  </si>
  <si>
    <t xml:space="preserve">2 يوميه تكسير جلسه حمام الماستر+تنظيف الموقع ولم الرتش </t>
  </si>
  <si>
    <t xml:space="preserve">2 يوميه عماله نظافه بالموقع </t>
  </si>
  <si>
    <t xml:space="preserve">يوميه عامل خدمه موقع </t>
  </si>
  <si>
    <t xml:space="preserve">3 يوميات لم رتش وتنزيل </t>
  </si>
  <si>
    <t xml:space="preserve">فاتورة 3 سيكا لزوم العزل </t>
  </si>
  <si>
    <t xml:space="preserve">فاتورة عزل </t>
  </si>
  <si>
    <t xml:space="preserve">تشوين خامات العزل </t>
  </si>
  <si>
    <t xml:space="preserve">فاتورة عزل البدروم + التوصيل </t>
  </si>
  <si>
    <t xml:space="preserve">فاتورة عزل 3 محموعه عزل 107*1350ج +فرشه عزل بالنقل </t>
  </si>
  <si>
    <t>2 ش عازل 107 + النقل 100ج</t>
  </si>
  <si>
    <t>عامل اعمال تشوين سيراميك و تنظيف و خدمة موقع</t>
  </si>
  <si>
    <t>موقع الباتيو و موقع الشروق ا اشرف عدد 1 عامل اعمال تنظيف</t>
  </si>
  <si>
    <t>عمال تكسير و هدد</t>
  </si>
  <si>
    <t>تنظيف الغرفة و صب خرسانة الارضية</t>
  </si>
  <si>
    <t>اعمال تنظيف وجمع مخلفات و تنزيله</t>
  </si>
  <si>
    <t>اعمال تنظيف و جمع رتش و نقل مون</t>
  </si>
  <si>
    <t xml:space="preserve">اعمال تنظيف و جمع رتش و تنزيله و نقل مون </t>
  </si>
  <si>
    <t>عمال خدمة موقع</t>
  </si>
  <si>
    <t xml:space="preserve">اعمال تنظيف </t>
  </si>
  <si>
    <t xml:space="preserve">2 عامل خدمة موقع و تنظيف +50 ش فارغه </t>
  </si>
  <si>
    <t xml:space="preserve">خدمة موقع و تنظيف </t>
  </si>
  <si>
    <t>عمال تنظيف و خدمة موقع و تنزيل رتش و تشوين غسالة و تنزيل العدد و الاخشاب</t>
  </si>
  <si>
    <t>اعمال خدمة موقع و تنظيف في الباتيو ثم انتقل العامل الي البي 12 مدينتي اعمال</t>
  </si>
  <si>
    <t>موقع اللوتس اعمال تنظيف و جمع رتش و تشوين الرتش</t>
  </si>
  <si>
    <t xml:space="preserve">عامل خدمه موقع   ( قبل العيد ) </t>
  </si>
  <si>
    <t>عمال تنظيف وجمع رتش و تنزيل الرتش</t>
  </si>
  <si>
    <t>اعمال تنظيف وجمع رتش و تنزيل الرتش</t>
  </si>
  <si>
    <t>اعمال خدمة موقع و تنظيف</t>
  </si>
  <si>
    <t>خدمة موقع و تنظيف</t>
  </si>
  <si>
    <t xml:space="preserve">5 يوميات نظافه وخدمه موقع  ( يومين ) </t>
  </si>
  <si>
    <t>عمال زنبرة الحمام و تشوين سيراميك و رمال</t>
  </si>
  <si>
    <t xml:space="preserve">تكسير و نقل رمال </t>
  </si>
  <si>
    <t xml:space="preserve">اعمال تكسير و جمع رتش و نقل رمال و سيراميك و اسمنت </t>
  </si>
  <si>
    <t>اعمال تكسير و تشوين سيراميك و نقل مون و رمال و تشوين مادة</t>
  </si>
  <si>
    <t>اعمال تشوين مواد العزل و نقل رمال و تنظيف</t>
  </si>
  <si>
    <t xml:space="preserve">اعمال تكسير و نقل مون و جمع رتش و اعمال خدمة موقع </t>
  </si>
  <si>
    <t xml:space="preserve">اعمال نقل مون و رمال و خدمة الموقع </t>
  </si>
  <si>
    <t xml:space="preserve">اعمال تكسير و جمع رتش و تنزيله و خدمة الموقع </t>
  </si>
  <si>
    <t xml:space="preserve">اعمال تكسير و جمع رتش و نقل رمال و نقل سيراميك </t>
  </si>
  <si>
    <t>تشوين 12 متر رمال+نص طن اسمنت+ 30ك سيراميك</t>
  </si>
  <si>
    <t>عمال تشوين سيراميك و رمال و سيتوكس علي الشخشيخة و خدمة موقع</t>
  </si>
  <si>
    <t>عمال نقل مون وتسليك عمل الصنايعية و خدمة موقع</t>
  </si>
  <si>
    <t xml:space="preserve">اعمال تشوين رمال و خدمة موقع </t>
  </si>
  <si>
    <t xml:space="preserve">اعمال تشوين رمال و نقل مون و جمع رتش وتنظيف و خدمة موقع </t>
  </si>
  <si>
    <t>اعمال تشوين رمال و تشوين سيراميك و تنظيف و نقل مون و تغليف الارضيات</t>
  </si>
  <si>
    <t xml:space="preserve">تشوين 5ش اسمنت + تغليف حوائط و ارضيات الحمام+وتشوين 100 طوبة مسمط </t>
  </si>
  <si>
    <t xml:space="preserve">اعمال تشوين رمال و نقل سيراميك و بناء و تنظيف للوحدة </t>
  </si>
  <si>
    <t xml:space="preserve"> تشوين مون النقاشة +و تكسير و اعمال قشط زوائد محارة باستخدام الصاروخ</t>
  </si>
  <si>
    <t>اعمال تنظيف و تغطية الارضيات</t>
  </si>
  <si>
    <t>عمال تنظيف و تغليف السلم و خدمة موقع</t>
  </si>
  <si>
    <t>تنظيف و خدمة موقع و نقل سيراميك و رمال</t>
  </si>
  <si>
    <t>4 عمال نتظيف الوحدة و تغليف الارضيات و السلم + عامل خدمه يوم تالي</t>
  </si>
  <si>
    <t xml:space="preserve">خدمة موقع و تنظيف  ( يومين ) </t>
  </si>
  <si>
    <t>اعمال تشوين رمال و اسمنت و مادة و نقل سيراميك و تسليك عمل صنايعي السيراميك</t>
  </si>
  <si>
    <t>عمال تشوين رمال و اسمنت وتنظيف الدور الأرضي</t>
  </si>
  <si>
    <t>اعمال تشوين رمال و تشوين اسمنت و خدمة موقع</t>
  </si>
  <si>
    <t>اعمال خدمة موقع و تنظيف و جمع رتش و تغليف الارضيات</t>
  </si>
  <si>
    <t>3 يوميات عبد الرحمن معماري سوديك ( خدمه موقع+نقل خشب + ازاله مشمع )</t>
  </si>
  <si>
    <t xml:space="preserve">موقع سوديك عدد 1 عامل اعمال خدمة موقع و تنظيف ( يومين ) + ش فارغه </t>
  </si>
  <si>
    <t>خدمة موقع و تنظيف و تكسير و سقية بلاط الجزء المعدل من الشاور و لم رتش +ش فارغه</t>
  </si>
  <si>
    <t xml:space="preserve">3 يوميات سوديك خدمه موقع </t>
  </si>
  <si>
    <t xml:space="preserve">يوميه نظافه وخدمه موقع </t>
  </si>
  <si>
    <t xml:space="preserve">تنظيف و جمع رتش </t>
  </si>
  <si>
    <t xml:space="preserve">2 عامل اعمال جمع رتش و نقل مون وتنظيف + يوميه خدمه موقع ( يومين ) </t>
  </si>
  <si>
    <t xml:space="preserve">يوميه نظافه وتغطيه السلم وتشوين خامات </t>
  </si>
  <si>
    <t xml:space="preserve">7 يوميات في سوديك *550ج منهم يوميه تكسير زياده 100ج </t>
  </si>
  <si>
    <t xml:space="preserve">دفعه من مقاوله اعمال معماري ( المقاوله 32000ج ) </t>
  </si>
  <si>
    <t xml:space="preserve">دفعه ثانيه من مقاوله عبد الرحمن معماري في وصال ( 32000ج - 12000ج ) </t>
  </si>
  <si>
    <t xml:space="preserve">دفعه ثالثه  من مقاوله عبد الرحمن معماري في وصال (   الواصل  17000ج ) </t>
  </si>
  <si>
    <t>4 عامل اعمال تعبئة و تنزيل رتش</t>
  </si>
  <si>
    <t>4 عمال فك و تحميل الحمام من سوديك ثم الإنتقال إلى وصال للتعبئة و تنزيل الرتش</t>
  </si>
  <si>
    <t>اعمال تنظيف</t>
  </si>
  <si>
    <t xml:space="preserve">يوميه نظافه </t>
  </si>
  <si>
    <t>عمال تنظيف و جمع مخلفات</t>
  </si>
  <si>
    <t>عمال تنظيف و جمع المخلفات +عمال تنظيف و تنزيل الرتش و المخلفات الي العربة</t>
  </si>
  <si>
    <t>1 عامل اعمال تنظيف و خدمة موقع المطلوب</t>
  </si>
  <si>
    <t>اعمال زنبرة المطبخ</t>
  </si>
  <si>
    <t xml:space="preserve">مقاوله تكسير ونظافه عبد الرحمن معماري </t>
  </si>
  <si>
    <t>جمع رتش ونقله في الجزء الخارجي من الوحدة</t>
  </si>
  <si>
    <t xml:space="preserve">باقي مقاوله التكسير في هامي العبور لزياده في حائط وكتف وزياده 10سم في التكسير </t>
  </si>
  <si>
    <t xml:space="preserve">8 متر رمل*400ج+ التشوين 8متر*300ج </t>
  </si>
  <si>
    <t>2ط.اسمنت*11600ج+3عتب*1500+8م رمل*3200+2000دوبل*9200+1000مصمط*3400ج</t>
  </si>
  <si>
    <t xml:space="preserve">فاتورة تجهيز موقع ( خرطوم + سلم +تجهيز باب مخزن </t>
  </si>
  <si>
    <t>متر سن 1200 بالتشوين 400ج+ اكراميه الامن100+10م مشمع 100ج +يوميه عمل تشوين خامات</t>
  </si>
  <si>
    <t xml:space="preserve">نسخ مفاتيح   م/ اسلام </t>
  </si>
  <si>
    <t xml:space="preserve">يوميات عماله + سهرات عمل +شكاير فارغه </t>
  </si>
  <si>
    <t xml:space="preserve">تركيب شباك المطبخ + اكسسوارات باب مصفح </t>
  </si>
  <si>
    <t xml:space="preserve">مقشه واسطوانه بسكوته+مسمار6سم   م/ اسلام </t>
  </si>
  <si>
    <t xml:space="preserve">طلبات كهرباء + اسمنت + التوصيل </t>
  </si>
  <si>
    <t xml:space="preserve">طباعه لوحه فارمه للعبور </t>
  </si>
  <si>
    <t xml:space="preserve">طلبات سباكه تجهيز موقع </t>
  </si>
  <si>
    <t xml:space="preserve">يوميه عامل نظافه+ايجار سلم </t>
  </si>
  <si>
    <t xml:space="preserve">يوميه عامل + شكاير </t>
  </si>
  <si>
    <t xml:space="preserve">شحن عداد مياه سوديك </t>
  </si>
  <si>
    <t xml:space="preserve">شحن عداد الكهرباء في سوديك </t>
  </si>
  <si>
    <t xml:space="preserve">شراء سقالات استكمال + دبلاق تربيط </t>
  </si>
  <si>
    <t xml:space="preserve">سلبه + عامل نظافه+ 2 مقشه </t>
  </si>
  <si>
    <t xml:space="preserve">شحن كارت المياه </t>
  </si>
  <si>
    <t>6ش اسمنت1700ج +5ش سيتوكس يو2100+20طوبه مصمط100ج</t>
  </si>
  <si>
    <t xml:space="preserve">نسخه مفتاح كمبيوتر </t>
  </si>
  <si>
    <t xml:space="preserve">شحن كارت مياه سوديك </t>
  </si>
  <si>
    <t xml:space="preserve">يوميه عامل تكسير في درج المدخل+وزر رخام قديم </t>
  </si>
  <si>
    <t xml:space="preserve">شحن كارت مياه سوديك  م/ اسلام </t>
  </si>
  <si>
    <t xml:space="preserve">فاتورة طلبات تغليف ارضيه </t>
  </si>
  <si>
    <t xml:space="preserve">3 يوميات عماله تكسير ونظافه </t>
  </si>
  <si>
    <t xml:space="preserve">يوميه عامل + ايجار هيلتي 150ج </t>
  </si>
  <si>
    <t xml:space="preserve">نقله رمل + 10 ش اسمنت </t>
  </si>
  <si>
    <t xml:space="preserve">12 ش اسمنت  م/ محمود </t>
  </si>
  <si>
    <t xml:space="preserve">تيب+ اديبوند  م/ محمود </t>
  </si>
  <si>
    <t xml:space="preserve">دكاك لتسويه </t>
  </si>
  <si>
    <t xml:space="preserve">1.5نقله رتش+0.5م سن+3م رمل </t>
  </si>
  <si>
    <t xml:space="preserve">قلب كالون + مصنعيه التركيب </t>
  </si>
  <si>
    <t xml:space="preserve">3 نقله رمل لزوم المباني و المحارة </t>
  </si>
  <si>
    <t xml:space="preserve">فواتير تجهيز موقع ( خرطوم+مسامير+سلك شريط+كهرباء ) </t>
  </si>
  <si>
    <t xml:space="preserve">قفل باب مخزن الدقي </t>
  </si>
  <si>
    <t xml:space="preserve">تركيب باب المخزن والفوم </t>
  </si>
  <si>
    <t xml:space="preserve">يوميات تكسير المحارة المطبله + زنبرة </t>
  </si>
  <si>
    <t xml:space="preserve">تكسير مابين القديمه والجديده والربط بينهم </t>
  </si>
  <si>
    <t xml:space="preserve">نقله رتش800ج+ تشوين دهانات ونظافه </t>
  </si>
  <si>
    <t>نسخه مفاتيح160ج + فاتورة المياه فبراير 200ج  + اوراق اعتماد برجوله 200ج  م/اسلام</t>
  </si>
  <si>
    <t xml:space="preserve">فاتورة مياه شهر 3+4 وصال 398 </t>
  </si>
  <si>
    <t xml:space="preserve">ايصال المياه </t>
  </si>
  <si>
    <t xml:space="preserve">2 ش اسمنت+نقله رمل بالنقل </t>
  </si>
  <si>
    <t xml:space="preserve">مقاوله هدم الحوائط </t>
  </si>
  <si>
    <t>5طن اسمنت*4250ج+2000دوبل*3600ج+12م رمل*250ج+1500مصمت*3000ج</t>
  </si>
  <si>
    <t>7عتب*300ج+تشوينهم1400ج+ايجار مسدس كانات 250+مترسن 500+تشوينه800ج</t>
  </si>
  <si>
    <t>تكسير حائط+تنزيل الرتش+ نظافه وترتيب الطوب +2شفرة مصعد80ج</t>
  </si>
  <si>
    <t xml:space="preserve">تكسير حوائط </t>
  </si>
  <si>
    <t>1300مصمت*4700+700احمر*2800+طن اسمنت*4250+12م رمل*3000+0.5م سن*300</t>
  </si>
  <si>
    <t>2 يوميه مباني *1700</t>
  </si>
  <si>
    <t xml:space="preserve">ايجار2 برميل+عامل تكسير+ اكراميه </t>
  </si>
  <si>
    <t>100ش فارغه لتعبئه الرتش700ج+500طوبه*1800ج+ تشوين السباكه والطوب2500ج</t>
  </si>
  <si>
    <t xml:space="preserve">يوميه تكسير محارة+ايجار هيلتي + ترتيب موقع </t>
  </si>
  <si>
    <t xml:space="preserve">فاتورة شراء برويطه عموله </t>
  </si>
  <si>
    <t xml:space="preserve">عمل نسخ مفاتيح للمواقع </t>
  </si>
  <si>
    <t xml:space="preserve">نقل تجهيزات للموقع من المخزن الي العبور ( الواح بلطي + برميل ) </t>
  </si>
  <si>
    <t xml:space="preserve">5طن اسمنت*4150 +2000طوبه اسمنتي*4100 </t>
  </si>
  <si>
    <t xml:space="preserve">فاتورة حديد تسليح لزوم صبه خرسانه </t>
  </si>
  <si>
    <t>5000طوبه*10750ج + 6 م سن *3300ج</t>
  </si>
  <si>
    <t xml:space="preserve">نقله رمل </t>
  </si>
  <si>
    <t xml:space="preserve">نقل طلبات تجهيز الموقع </t>
  </si>
  <si>
    <t xml:space="preserve"> 6م رمل + 1.5طن اسمنت + 0.5 م سن + 250 طوبه + رتش )</t>
  </si>
  <si>
    <t xml:space="preserve">حساب البنا + ايجار مسدس كانات </t>
  </si>
  <si>
    <t xml:space="preserve">فواتير طلبات حنفيات وخرطوم لزوم تجهيز الموقع ( بيد عبد الشكور ) </t>
  </si>
  <si>
    <t>4 يوميات خدمه موقع+نقل بورسلين + صب عتب 3.36م3</t>
  </si>
  <si>
    <t xml:space="preserve">يوميه تشوين طوب+يوميه تفتيح جريلات+يوميه مباني كتف حمام+ ش فارغه </t>
  </si>
  <si>
    <t xml:space="preserve">اكراميه امن الباتيو </t>
  </si>
  <si>
    <t xml:space="preserve">اكراميات سائق البورسلين و الغفير </t>
  </si>
  <si>
    <t xml:space="preserve">اكراميه الغفير ( م / عبد الرحمن ) </t>
  </si>
  <si>
    <t>اكراميه غفير العبور 306</t>
  </si>
  <si>
    <t xml:space="preserve">اكراميه سائق السلاب    م/ اسلام </t>
  </si>
  <si>
    <t xml:space="preserve">اكراميه الغفير </t>
  </si>
  <si>
    <t xml:space="preserve">اكراميه الامن في وصال م/ محمود اشرف </t>
  </si>
  <si>
    <t xml:space="preserve"> 100ج اكراميه الامن </t>
  </si>
  <si>
    <t xml:space="preserve">اكراميه عمال التشوين </t>
  </si>
  <si>
    <t xml:space="preserve">اكراميه سائق سيراميك معادي فيو </t>
  </si>
  <si>
    <t xml:space="preserve">اكراميه الامن لعدم ايقاف الاعمال </t>
  </si>
  <si>
    <t xml:space="preserve">هديه أ مصطفي مبيعات السلاب </t>
  </si>
  <si>
    <t>عمومية وادارية</t>
  </si>
  <si>
    <t xml:space="preserve">اكراميه ابو خالد العرباوي </t>
  </si>
  <si>
    <t xml:space="preserve">اكراميه عمال تنزيل التكييف </t>
  </si>
  <si>
    <t xml:space="preserve">صداد باب </t>
  </si>
  <si>
    <t xml:space="preserve">طلبات نجارة باب مصفح وابواب الغرف + عمل نسخ مفاتيح </t>
  </si>
  <si>
    <t xml:space="preserve">دفعه من الباب المصفح في 306 + الحداده الخاصه بالباب ( 28500+8000ج ) </t>
  </si>
  <si>
    <t>من حساب ابواب مصفحه العبور 306</t>
  </si>
  <si>
    <t xml:space="preserve">باقي دفعه الباب المصفح في العبور306 ( اتبعت 11000ج بالغلط بدل 13000ج ) </t>
  </si>
  <si>
    <t xml:space="preserve">طلبات ابواب داخليه ( كوالين ) </t>
  </si>
  <si>
    <t xml:space="preserve">فاتورة صدادات باب الغرفه </t>
  </si>
  <si>
    <t xml:space="preserve">تنزيل الابواب من الموقع لتشوينها الي المخزن </t>
  </si>
  <si>
    <t xml:space="preserve">صداده باب الغرف </t>
  </si>
  <si>
    <t xml:space="preserve">دفعه مقدمه باب مصفح سوديك ( 20500ج الاجمالي ) </t>
  </si>
  <si>
    <t xml:space="preserve">باقي حساب الباب المصفح في سوديك </t>
  </si>
  <si>
    <t xml:space="preserve">2 فوم   م/ اسلام </t>
  </si>
  <si>
    <t xml:space="preserve">باب مصفح الدقي </t>
  </si>
  <si>
    <t xml:space="preserve">خراط تعديل مقبض باب المطبخ </t>
  </si>
  <si>
    <t>فاتورة من سوفت كلوز</t>
  </si>
  <si>
    <t xml:space="preserve">فرق استبدال مكنه سوفت كلوز بدل من سوسته </t>
  </si>
  <si>
    <t xml:space="preserve">تشوين سيراميك الشروق 372 </t>
  </si>
  <si>
    <t xml:space="preserve">12م رمل ( 2000ج ) + التشوين + نقل السيراميك </t>
  </si>
  <si>
    <t xml:space="preserve">فاتورة خامات سيراميك </t>
  </si>
  <si>
    <t xml:space="preserve">2 يوميه تشوين وفرش سيراميك </t>
  </si>
  <si>
    <t xml:space="preserve">6م رمل + 10ش اسمنت + التشوين </t>
  </si>
  <si>
    <t xml:space="preserve">ش سيتوفيل + الوان سقيه  م/ محمود </t>
  </si>
  <si>
    <t xml:space="preserve">7 ش اسمنت بالتشوين </t>
  </si>
  <si>
    <t>فاتورة سيراميك الشروق 372</t>
  </si>
  <si>
    <t xml:space="preserve">تكمله سيراميك الشروق </t>
  </si>
  <si>
    <t xml:space="preserve">فاتورة خامات سيراميك سيتوكس 10ش بالنقل 100ج  ( عرباوي الشروق ) </t>
  </si>
  <si>
    <t>2 فواتير خامات دهانات  ( مشمع +تيب +معجون شروخ) + انستا</t>
  </si>
  <si>
    <t xml:space="preserve">فاتورة خامات سيراميك سيلكون عظم </t>
  </si>
  <si>
    <t xml:space="preserve">يوميه تركيب ال hdf + سليكون </t>
  </si>
  <si>
    <t xml:space="preserve">2 ك ماده قبل السيراميك + التوصيل </t>
  </si>
  <si>
    <t xml:space="preserve">80 ش جراي جروث+كلبسات </t>
  </si>
  <si>
    <t xml:space="preserve">فاتورة خامات لاصق السيراميك ( السلاب ) + النقل </t>
  </si>
  <si>
    <t>نقل كرتونه سيراميك من السلاب الي العبور 306</t>
  </si>
  <si>
    <t xml:space="preserve">فاتورة خامات سيراميك سيتوفيل+سلك مواعين+الوان +لاسمنت ابيض </t>
  </si>
  <si>
    <t xml:space="preserve">فاتورة الوان مركزة 9+ اسمنت ابيض لزوم سيراميك </t>
  </si>
  <si>
    <t xml:space="preserve">ش سيتوكس290ج+3طبه اختبار+عبوه مركز الوان +5ك اسمنت </t>
  </si>
  <si>
    <t xml:space="preserve">كرتونه سيراميك بيت الوطن </t>
  </si>
  <si>
    <t xml:space="preserve">نقل كرتونه سيراميك من السلاب الي بيت الوطن </t>
  </si>
  <si>
    <t xml:space="preserve">1/2 ش سيتوكس يو + جردل </t>
  </si>
  <si>
    <t xml:space="preserve">يوميه مبلط + قارورة مياه للتخمير لعدم وجود مصدر ماء </t>
  </si>
  <si>
    <t xml:space="preserve">مبلط راس الحكمه </t>
  </si>
  <si>
    <t xml:space="preserve">تصننيع زوايا استانلس لزوم السيراميك </t>
  </si>
  <si>
    <t xml:space="preserve">طن اسمنت لزوم السيراميك </t>
  </si>
  <si>
    <t xml:space="preserve">طن اسمنت + 6 نقله رمل لزوم السيراميك </t>
  </si>
  <si>
    <t xml:space="preserve">فاتورة استكمل سيراميك سوديك </t>
  </si>
  <si>
    <t xml:space="preserve">يوميه تشوينات رمل لزوم السيراميك </t>
  </si>
  <si>
    <t xml:space="preserve">طن اسمنت+3نقله رمل+ش اسمنت ابيض + نقله رتش </t>
  </si>
  <si>
    <t xml:space="preserve">فاتورة سيراميك الرووف في سوديك +انستا </t>
  </si>
  <si>
    <t xml:space="preserve">فاتورة نواقص سيراميك الرووف سوديك </t>
  </si>
  <si>
    <t xml:space="preserve">1.25طن اسمنت+2 نقله رمل +200 طوبه </t>
  </si>
  <si>
    <t xml:space="preserve"> 2فاتورة بستله عزل + خامات سيراميك </t>
  </si>
  <si>
    <t xml:space="preserve">كرتونه سيراميك رووف سوديك </t>
  </si>
  <si>
    <t xml:space="preserve">2 نقله رمل لزوم سيراميك الرووف </t>
  </si>
  <si>
    <t xml:space="preserve">ش ماده سقيه </t>
  </si>
  <si>
    <t xml:space="preserve">كيس كلبسات+مشابك +سلك مواعين </t>
  </si>
  <si>
    <t xml:space="preserve">نقله رمل لزوم السيراميك </t>
  </si>
  <si>
    <t xml:space="preserve">فاتورة خامات سيراميك  عرباوي الشروق </t>
  </si>
  <si>
    <t xml:space="preserve">فاتورة كرتونه سيراميك استكمال سوديك (انستا) </t>
  </si>
  <si>
    <t xml:space="preserve">نقله رتش+3نقله رمل+طن اسمنت+3 ش ماده سيراميك </t>
  </si>
  <si>
    <t xml:space="preserve">5 ش اسمنت </t>
  </si>
  <si>
    <t xml:space="preserve">فاتورة استكمال سيراميك </t>
  </si>
  <si>
    <t xml:space="preserve">بلاطه استكمال سيراميك سوديك </t>
  </si>
  <si>
    <t xml:space="preserve">عربون حجز سيراميك الدقي </t>
  </si>
  <si>
    <t xml:space="preserve">مشتريات سيراميك الدقي 388 ( 10000 حجز+210637 )= 220637ج </t>
  </si>
  <si>
    <t xml:space="preserve">4 طن اسمنت </t>
  </si>
  <si>
    <t xml:space="preserve">30م رمل ( 10 عربيات*850ج للعربيه ) </t>
  </si>
  <si>
    <t xml:space="preserve">4 نقله رتش *850ج </t>
  </si>
  <si>
    <t xml:space="preserve">نظافه </t>
  </si>
  <si>
    <t>تشوين 2طن ماده+4طن اسمنت *500ج</t>
  </si>
  <si>
    <t xml:space="preserve">تشوين 30م رمل *300ج للمتر </t>
  </si>
  <si>
    <t xml:space="preserve">215 كرتونه سيراميك * 10ج للكرتونه </t>
  </si>
  <si>
    <t xml:space="preserve">فاتورة طلبات خامات سيراميك ( صلايبو كلبسات ومشابك </t>
  </si>
  <si>
    <t xml:space="preserve">2 يوميه عماله توزيع السيراميك والرمل والاسمنت </t>
  </si>
  <si>
    <t xml:space="preserve">6م رمل+طن اسمنت بالتشوين + اكراميه الغفير </t>
  </si>
  <si>
    <t xml:space="preserve">فاتورة ماده سقيه الدقي </t>
  </si>
  <si>
    <t xml:space="preserve">تشوين ماده السيراميك +3ك سيراميك م/ احمد يونس </t>
  </si>
  <si>
    <t xml:space="preserve">10 ش اسمنت *220  + نقله رمل 850ج + التشوين    م/ احمد يونس </t>
  </si>
  <si>
    <t xml:space="preserve">حساب مصنعيات 7م وزر *150ج  ( مينا ) </t>
  </si>
  <si>
    <t xml:space="preserve">يوميه سيراميك في مدينتي 350   ( مينا ) </t>
  </si>
  <si>
    <t>فاتورة وزر سبيرو+ كويك ستي HDF</t>
  </si>
  <si>
    <t xml:space="preserve">كرتونه سيراميك </t>
  </si>
  <si>
    <t>مصطفي مدينتي 356</t>
  </si>
  <si>
    <t xml:space="preserve">فاتورة استكمال سيراميك  بين وحدات المطبخ </t>
  </si>
  <si>
    <t xml:space="preserve">مون لزوم تركيب سيراميك الباك سبلاش </t>
  </si>
  <si>
    <t xml:space="preserve">يوميه سيراميك ومساعد تقفيل البلاك سبلاش م / اسلام </t>
  </si>
  <si>
    <t xml:space="preserve">حساب توريد وتركيب فيوتك </t>
  </si>
  <si>
    <t xml:space="preserve">سلك مواعين+ سيتوفيل </t>
  </si>
  <si>
    <t>250طوبه اسمنتي *310</t>
  </si>
  <si>
    <t>فاتورة ماده لاصق رخام + النقل والتشوين</t>
  </si>
  <si>
    <t xml:space="preserve">نقله رمل +5ش اسمنت+ش سيتوكس يو+ش سيفوتيل </t>
  </si>
  <si>
    <t xml:space="preserve">لفه كرتون تتغليف الارضيات م / اسلام </t>
  </si>
  <si>
    <t xml:space="preserve">15ش اسمنت +3م رمل +50طوبه اسمنتي اعمال رخام </t>
  </si>
  <si>
    <t xml:space="preserve">حامل شاشه </t>
  </si>
  <si>
    <t xml:space="preserve">تصنيع حامل بوت زراعه في حمام الضيوف </t>
  </si>
  <si>
    <t xml:space="preserve">حامل شاشه متحرك </t>
  </si>
  <si>
    <t xml:space="preserve">فاتورة فوم سوديك </t>
  </si>
  <si>
    <t xml:space="preserve">نقل  مرتجع الفوم لمصنع العاشر </t>
  </si>
  <si>
    <t xml:space="preserve">مرتجع الفوم </t>
  </si>
  <si>
    <t xml:space="preserve">فاتورة شفاطات تجهيز بالنقل </t>
  </si>
  <si>
    <t xml:space="preserve">7فتحات كور*300+تركيب 3شفاطات+البلاور+اكراميه مشرف الصيانه +5 لفه فلسكبل </t>
  </si>
  <si>
    <t xml:space="preserve">جريله مطبخ5" + شفاط اسباني </t>
  </si>
  <si>
    <t xml:space="preserve">2فتحه كور8" + 4 فتحه كور 6" </t>
  </si>
  <si>
    <t>صاج شفاطات6"  4 حمامات1600ج+ صاج شفاطات 8" حمام كبير+مطبخ 1400</t>
  </si>
  <si>
    <t xml:space="preserve">فاتورة استكمال شفاطات اللوتس + النقل </t>
  </si>
  <si>
    <t xml:space="preserve">فاتورة تاسيس شفاطات </t>
  </si>
  <si>
    <t>تاسيس 4 نقط شفاطات*250ج + تركيب بلاور خارجي *700ج</t>
  </si>
  <si>
    <t xml:space="preserve">فاتورة شفاطات الدقي </t>
  </si>
  <si>
    <t xml:space="preserve">عمل 4 فتحات كور   م/ احمد يونس </t>
  </si>
  <si>
    <t xml:space="preserve">مصنعيه تركيب الشفاطات + البلاور </t>
  </si>
  <si>
    <t xml:space="preserve">فاتورة شفاطات </t>
  </si>
  <si>
    <t xml:space="preserve">عمل فتاحات كور </t>
  </si>
  <si>
    <t xml:space="preserve">6 فتحات كور </t>
  </si>
  <si>
    <t xml:space="preserve">معاينه ا/ ايمان التجمع  ( م/ اسلام + م / حسام ) </t>
  </si>
  <si>
    <t xml:space="preserve">ايمان التجمع </t>
  </si>
  <si>
    <t>اوبر انتقال للسويس والعوده ( 1500ج ) + 2 مهندسين ( 300ج )</t>
  </si>
  <si>
    <t xml:space="preserve">السويس </t>
  </si>
  <si>
    <t xml:space="preserve">انتقالات معاينه موقع ترو مدينه نصر م / محمود امين </t>
  </si>
  <si>
    <t xml:space="preserve">مصطفي ترو </t>
  </si>
  <si>
    <t xml:space="preserve">معاينات م/ احمد يونس + م/ محمود سيد </t>
  </si>
  <si>
    <t xml:space="preserve">شيماء ابني بيتك </t>
  </si>
  <si>
    <t xml:space="preserve">معاينات م / اسلام ( 5 معاينات *150ج ) </t>
  </si>
  <si>
    <t xml:space="preserve">معاينه حلوان و اكتوبر م / محمود سيد </t>
  </si>
  <si>
    <t xml:space="preserve">حلوان </t>
  </si>
  <si>
    <t xml:space="preserve">معاينه شقه حدائق القبه م/ احمد يونس + م/محمود سيد </t>
  </si>
  <si>
    <t xml:space="preserve">حدائق القبه </t>
  </si>
  <si>
    <t xml:space="preserve">معاينه م/ اسلام  أ/شيماءبدر + أ/علياء التجمع </t>
  </si>
  <si>
    <t xml:space="preserve">معاينه م/ محمود اشرف أ/شيماء بدر + الرحاب </t>
  </si>
  <si>
    <t xml:space="preserve">انتقالات م/ محمود امين معاينه التجمع مع م/ اسلام </t>
  </si>
  <si>
    <t xml:space="preserve">علياء التجمع </t>
  </si>
  <si>
    <t xml:space="preserve">معاينه زهراء المعادي ( م/ محمود سيد + م/ احمد يونس ) </t>
  </si>
  <si>
    <t xml:space="preserve">معاينه بينت هاوس اكتوبر م/ احمد يونس+م/ اسلام </t>
  </si>
  <si>
    <t xml:space="preserve">اكتوبر </t>
  </si>
  <si>
    <t xml:space="preserve">معاينه الاداري      في المعادي م/ احمد يونس </t>
  </si>
  <si>
    <t xml:space="preserve">معاينه مكتب اداري     في ازايد  م/ احمد يونس </t>
  </si>
  <si>
    <t>سهر زايد</t>
  </si>
  <si>
    <t xml:space="preserve">من تكاليف مشروع م/ ايه مع أ/ احمد الميري </t>
  </si>
  <si>
    <t xml:space="preserve">مشروع خاص </t>
  </si>
  <si>
    <t>اعمال توريد وتركيب الجاردن في الباتيو اجمالي المقاوله 39300ج ( الباقي 22600 ج )</t>
  </si>
  <si>
    <t xml:space="preserve">باقي حساب البوتس في الباتيو </t>
  </si>
  <si>
    <t xml:space="preserve">شراء زلط ديكوري + الموجود بالمكتب </t>
  </si>
  <si>
    <t xml:space="preserve">اوبر ارسال عينه النجيله الصناعي   سامح مشتريات </t>
  </si>
  <si>
    <t xml:space="preserve">دفعه مقدمه من  اعمال تاسيس ( شبكه الري)  اللاند سكيب ( اجمالي مقاوله 35400ج ) </t>
  </si>
  <si>
    <t xml:space="preserve">دفعه مقدمه من  اعمال تشطيب ( التشجير)  اللاند سكيب ( اجمالي مقاوله 46495ج ) </t>
  </si>
  <si>
    <t xml:space="preserve">10ش اسمنت لاعمال كهرباء وسباكه محارة  في اللاند سكيب </t>
  </si>
  <si>
    <t xml:space="preserve">اكراميه الامن لتفادي مشكله وتحمل علي شركه الرواد اللاند سكيب </t>
  </si>
  <si>
    <t xml:space="preserve">2جركن اديبوند   م/ اسلام   تخصم علي شركه الرواد </t>
  </si>
  <si>
    <t xml:space="preserve">6م رمل+10ش اسمنت خرسانه وردم اللاند سكيب </t>
  </si>
  <si>
    <t xml:space="preserve">باقي حساب م/ باسل ( يحدد تكلفه المواقع لاحقا ) </t>
  </si>
  <si>
    <t xml:space="preserve">دفعه من حساب ثري دقي الدقي    م/ باسل </t>
  </si>
  <si>
    <t>احمد الدقي 404</t>
  </si>
  <si>
    <t xml:space="preserve">من حساب ثري دي 408   م/ باسل </t>
  </si>
  <si>
    <t>ديستركت 408</t>
  </si>
  <si>
    <t xml:space="preserve">من حساب تصميم فيلا 225 </t>
  </si>
  <si>
    <t>فيلا 225</t>
  </si>
  <si>
    <t xml:space="preserve">اكراميه تركيب  الغاز </t>
  </si>
  <si>
    <t xml:space="preserve">مصروف ممارسه الكهرباء والمياه </t>
  </si>
  <si>
    <t xml:space="preserve">تجديد ترخيص معماري حي الدقي </t>
  </si>
  <si>
    <t xml:space="preserve">ايجار سيارة من المكتب للباتيو والاندلس </t>
  </si>
  <si>
    <t xml:space="preserve">مصاريف انتقالات مشتريات من مصر الجديده الي الباتيو  </t>
  </si>
  <si>
    <t xml:space="preserve">انتقال الي العبور لاستلام بضاعه تشطيب السباكه </t>
  </si>
  <si>
    <t xml:space="preserve">انتقالات مشتريات  نقل طلبات الموقع </t>
  </si>
  <si>
    <t xml:space="preserve">انتقالات مرتجعات من سوديك للمخزن </t>
  </si>
  <si>
    <t xml:space="preserve">انتقالات مشتريات  لاستلام المفاتيح </t>
  </si>
  <si>
    <t xml:space="preserve">انتقالات وسط البلد الفيستات+ نواكل كناريا </t>
  </si>
  <si>
    <t>ايجار سيارة المشتريات  ( اليوم كله شغل مدينتي 350</t>
  </si>
  <si>
    <t xml:space="preserve">م. انتقالات  لزوم استلام شيك ومفتاح الموقع+ التفويضات </t>
  </si>
  <si>
    <t xml:space="preserve">ايجار سيارة مشتريات ( عمرو العبور- سوديك - معادي فيو ) </t>
  </si>
  <si>
    <t xml:space="preserve">مصاريف انتقالات مشتريات ( معادي فيو+كناريا+ سوديك ) </t>
  </si>
  <si>
    <t xml:space="preserve">ايجار سيارة مشتريات ( الاندلس 364 +  الدقي 388  ) </t>
  </si>
  <si>
    <t xml:space="preserve">انتقالات للمواقع </t>
  </si>
  <si>
    <t xml:space="preserve">ميزان قامه </t>
  </si>
  <si>
    <t xml:space="preserve">اصول متداوله </t>
  </si>
  <si>
    <t xml:space="preserve">قسط الميكرويف الثاني </t>
  </si>
  <si>
    <t xml:space="preserve">قسط الميكرويف الثالث  ( الاخير ) </t>
  </si>
  <si>
    <t xml:space="preserve">لاب توب لادارة المتابعه والتنفيذ </t>
  </si>
  <si>
    <t xml:space="preserve">حساب كراسي قاعه الاجتماعات ( 7* 2500ج) +500 نقل </t>
  </si>
  <si>
    <t xml:space="preserve">شراء ترابيزة+ كرسي ( ليصبح اجمالي المواقع 5 اطقم بخلاف بوفيه المكتب ) </t>
  </si>
  <si>
    <t xml:space="preserve">طلبات تركيب التكييف ( مفتاح + خرطوم+عود دكت+ سلك ثرمو </t>
  </si>
  <si>
    <t xml:space="preserve">دفعه مقدمه من اعمال مكاتب ووحدات للمكتب  ( الاجمالي 6000ج ) </t>
  </si>
  <si>
    <t xml:space="preserve">باقي من اعمال مكاتب ووحدات للمكتب  ( الاجمالي 6000ج ) </t>
  </si>
  <si>
    <t xml:space="preserve">القسط الاول لتكيف التسويق </t>
  </si>
  <si>
    <t>اعمال حصر وتسعير نجف العبور306</t>
  </si>
  <si>
    <t xml:space="preserve">ايجار المخزن </t>
  </si>
  <si>
    <t xml:space="preserve">ايجارات </t>
  </si>
  <si>
    <t>ايجار شهر فبراير 2026</t>
  </si>
  <si>
    <t xml:space="preserve">ايجار المكتب </t>
  </si>
  <si>
    <t>ايجار المكتب عن شهر ابريل 2026</t>
  </si>
  <si>
    <t>ايجار المكتب مايو 2026</t>
  </si>
  <si>
    <t>ايجار المكتب يونيو 2026</t>
  </si>
  <si>
    <t xml:space="preserve">فاتورة الارضي </t>
  </si>
  <si>
    <t>مرافق</t>
  </si>
  <si>
    <t xml:space="preserve">فاتورة النت </t>
  </si>
  <si>
    <t xml:space="preserve">فاتورة مياه  المكتب + شهريه الغفير 400ج </t>
  </si>
  <si>
    <t>شهريه النظافه في المكتب 150ج + الغاز 20ج</t>
  </si>
  <si>
    <t xml:space="preserve">فاتورة تليفون المشتريات </t>
  </si>
  <si>
    <t xml:space="preserve">فاتورة كهرباء المكتب </t>
  </si>
  <si>
    <t>فاتورة النت والتليفون الارضي</t>
  </si>
  <si>
    <t xml:space="preserve">شهريه نظافه للمكتب </t>
  </si>
  <si>
    <t xml:space="preserve">فواتير موبايلات المكتب </t>
  </si>
  <si>
    <t xml:space="preserve">مرافق </t>
  </si>
  <si>
    <t xml:space="preserve">شهريه الغفير400ج + فاتورة المياه 960 ج + 100ج  نظافه البوفيه </t>
  </si>
  <si>
    <t xml:space="preserve">فاتورة غاز </t>
  </si>
  <si>
    <t xml:space="preserve">شهريه النظافه في المكتب </t>
  </si>
  <si>
    <t xml:space="preserve">الصيانه السنويه عن سنه 2025 </t>
  </si>
  <si>
    <t xml:space="preserve">فاتورة الغاز </t>
  </si>
  <si>
    <t xml:space="preserve">شهريه الغفير 400ج + فاتورة مياه 1000ج </t>
  </si>
  <si>
    <t xml:space="preserve">شحن كهرباء المخزن </t>
  </si>
  <si>
    <t>فاتورة كهرباء مارس 2026</t>
  </si>
  <si>
    <t xml:space="preserve">شهريه النظافه بالمكتب </t>
  </si>
  <si>
    <t xml:space="preserve">2 فاتورة تسويق ( م / احمد الميري ) </t>
  </si>
  <si>
    <t xml:space="preserve">م / التسويق </t>
  </si>
  <si>
    <t xml:space="preserve">فاتورة تسويق </t>
  </si>
  <si>
    <t xml:space="preserve">سيستم المبيعات </t>
  </si>
  <si>
    <t xml:space="preserve">فاتورة التسويق </t>
  </si>
  <si>
    <t xml:space="preserve">تصوير الباتيو </t>
  </si>
  <si>
    <t xml:space="preserve">ايجار سيارة + مصروف طريق لزوم الذهاب تصوير الباتيو </t>
  </si>
  <si>
    <t>برنامج المبيعات CRM</t>
  </si>
  <si>
    <t>سيستم اونلاين AI</t>
  </si>
  <si>
    <t xml:space="preserve">شحن موبايل المبيعات </t>
  </si>
  <si>
    <t xml:space="preserve">تسويق الانستجرام </t>
  </si>
  <si>
    <t>دفعه مقدمه من تصنيع الاعلام لزوم التسويق والدعايه ( 27600ج - 15000ج )</t>
  </si>
  <si>
    <t xml:space="preserve">دفعه ثانيه من حساب الاعلام والبانرات ( الواصل 35000ج ) </t>
  </si>
  <si>
    <t xml:space="preserve">35م ماسورة + لفه حبل لزوم الاعلام </t>
  </si>
  <si>
    <t xml:space="preserve">باقي حساب الاعلام والبانرات </t>
  </si>
  <si>
    <t xml:space="preserve">فرق فاتورة التسويق ( 15000من م/ ايه ) الفاتورة كانت ب 15185ج </t>
  </si>
  <si>
    <t xml:space="preserve">سيستم المبيعات + نظام الواتساب </t>
  </si>
  <si>
    <t>اعمال حصر وتسعير نجف سوديك 341</t>
  </si>
  <si>
    <t xml:space="preserve">دفعه من ايرادات احمد زايد 401 </t>
  </si>
  <si>
    <t>وارد دفعه ايرادات من جرين 6  زايد 401</t>
  </si>
  <si>
    <t>وارد دفعه من ايرادات جرين 6</t>
  </si>
  <si>
    <t>وارد دفعه من ايرادات الشروق 372</t>
  </si>
  <si>
    <t>دفعه من ايرادات الشروق 372</t>
  </si>
  <si>
    <t xml:space="preserve">وارد دفعه من ايرادات اشرف الشروق </t>
  </si>
  <si>
    <t xml:space="preserve">دفعه من ايرادات الاندلس 280 </t>
  </si>
  <si>
    <t xml:space="preserve">دفعه من ايرادات الاندلس 364 </t>
  </si>
  <si>
    <t xml:space="preserve">وارد دفعه من ايرادات الاندلس 364 + م. انستا من حسام </t>
  </si>
  <si>
    <t xml:space="preserve">وارد دفعه ايرادات من الباتيو </t>
  </si>
  <si>
    <t xml:space="preserve">دفعه من ايرادات الباتيو </t>
  </si>
  <si>
    <t xml:space="preserve">وارد تقفيل ايرادات الباتيو </t>
  </si>
  <si>
    <t>وارد دفعه ايراد من محمد العبور 306</t>
  </si>
  <si>
    <t>دفعه من ايرادات العبور 306</t>
  </si>
  <si>
    <t>دفعه من ايرادات محمد العبور 306</t>
  </si>
  <si>
    <t xml:space="preserve">دفعه من ايرادات العبور 306 </t>
  </si>
  <si>
    <t xml:space="preserve">وارد دفعه من ايرادات العبور 306 </t>
  </si>
  <si>
    <t>دفعه من ايرادات القصر 380</t>
  </si>
  <si>
    <t>وارد دفعه من ايرادات القصر 380</t>
  </si>
  <si>
    <t>وارد دفعه ايراد من اللوتس 361</t>
  </si>
  <si>
    <t xml:space="preserve">دفعه من ايرادات اللوتس </t>
  </si>
  <si>
    <t xml:space="preserve">وارد دفعه ايرادات من بالم هيلز </t>
  </si>
  <si>
    <t>دفعه من ايرادات بالم هيلز 345</t>
  </si>
  <si>
    <t xml:space="preserve">وارد دفعه ايراد من سوديك </t>
  </si>
  <si>
    <t xml:space="preserve">وارد دفعه من ايرادات سوديك </t>
  </si>
  <si>
    <t xml:space="preserve">وارد مبيعات الالوميتال الشبابيك القديمه </t>
  </si>
  <si>
    <t xml:space="preserve">دفعه من ايرادات سوديك </t>
  </si>
  <si>
    <t xml:space="preserve">دفعه من ايرادات الدقي 388 </t>
  </si>
  <si>
    <t>وارد دفعه من ايرادات طارق الدقي 388</t>
  </si>
  <si>
    <t>واد دفعه من ايراد الدقي 388</t>
  </si>
  <si>
    <t xml:space="preserve">وارد دفعه ايرادات من الدقي </t>
  </si>
  <si>
    <t xml:space="preserve">دفعه من ايرادات طارق الدقي ( اجمالي  659107 ج ) </t>
  </si>
  <si>
    <t xml:space="preserve">وارد دفعه ايرادات من طارق الدقي </t>
  </si>
  <si>
    <t xml:space="preserve">وارد دفعه من ايرادات الدقي 388 </t>
  </si>
  <si>
    <t xml:space="preserve">دفعه من ايرادات طارق الدقي </t>
  </si>
  <si>
    <t xml:space="preserve">دفعه من ايرادات عشري وصال 398   </t>
  </si>
  <si>
    <t>دفعه من ايرادات عشري وصال 398</t>
  </si>
  <si>
    <t xml:space="preserve">دفعه من ايرادات عشري وصال </t>
  </si>
  <si>
    <t xml:space="preserve">دفعه من ايرادات عشري وصال 398 ( 2000دولار*53.5566ج)  107113ج </t>
  </si>
  <si>
    <t xml:space="preserve">عشري وصال 398 </t>
  </si>
  <si>
    <t xml:space="preserve">وارد دفعه ايرادات من عمرو العبور </t>
  </si>
  <si>
    <t xml:space="preserve">وارد دفعه من ايرادات عمرو العبور    </t>
  </si>
  <si>
    <t xml:space="preserve">دفعه من ايرادات عمرو العبور </t>
  </si>
  <si>
    <t xml:space="preserve">وارد دفعه من ايرادات كناريا </t>
  </si>
  <si>
    <t xml:space="preserve">وارد دفعه ايرادا من شفيق مدينتي ( 2 تحويل ) </t>
  </si>
  <si>
    <t xml:space="preserve">وارد دفعه من ايرادات مدينتي 350 </t>
  </si>
  <si>
    <t xml:space="preserve">دفعه من ايرادات شفيق 350 </t>
  </si>
  <si>
    <t xml:space="preserve">واد دفعه ايرادات من مدينتي 350  ( شيك في الحساب ) </t>
  </si>
  <si>
    <t xml:space="preserve">من ايرادات  مشروع م/ ايه مع أ/ احمد الميري </t>
  </si>
  <si>
    <t xml:space="preserve">دفعه من ايرادات معادي ديونز  ( شيك بنكي ) </t>
  </si>
  <si>
    <t xml:space="preserve">ايداع شيك معادي ديونز </t>
  </si>
  <si>
    <t xml:space="preserve">دفعه من ايرادات معادي ديونز ( تقفيل مرحله اولي ) </t>
  </si>
  <si>
    <t xml:space="preserve">دفعه من ايرادات معادي فيو </t>
  </si>
  <si>
    <t xml:space="preserve">وارد دفعه ايرادات من نيو جيزة </t>
  </si>
  <si>
    <t>وارد دفعه من ايرادات هاني العبور 365</t>
  </si>
  <si>
    <t xml:space="preserve">دفعه من ايرادات هاني العبور 365 </t>
  </si>
  <si>
    <t>دفعه من ايرادات هاني القرنفل 355</t>
  </si>
  <si>
    <t xml:space="preserve">وارد دفعه من ايرادات هاني القرنفل </t>
  </si>
  <si>
    <t>دفعه من ايرادات ياسر القرنفل 354</t>
  </si>
  <si>
    <t xml:space="preserve">وارد دفعه من ايرادات ياسر القرنفل </t>
  </si>
  <si>
    <t xml:space="preserve">دفعه من ايرادات ياسر القرنفل </t>
  </si>
  <si>
    <t xml:space="preserve">ايراد معاينه اكتوبر  م/اسلام+م/احمد يونس </t>
  </si>
  <si>
    <t xml:space="preserve">ايراد معاينه موقع السويس </t>
  </si>
  <si>
    <t>وارد ايراد معاينه أ / محمد ابراهيم العبور 2</t>
  </si>
  <si>
    <t xml:space="preserve">العبور 2 </t>
  </si>
  <si>
    <t xml:space="preserve">وارد ايراد معاينه </t>
  </si>
  <si>
    <t>ايمان الشروق</t>
  </si>
  <si>
    <t>وارد ايراد معاينه م/ جيهان ديستركت 5</t>
  </si>
  <si>
    <t xml:space="preserve">ايراد معاينه و رسم </t>
  </si>
  <si>
    <t>رغده 420</t>
  </si>
  <si>
    <t xml:space="preserve">ايراد معاينه زهراء المعادي </t>
  </si>
  <si>
    <t xml:space="preserve">ايراد معاينه أ/ سهر اكتوبر </t>
  </si>
  <si>
    <t xml:space="preserve">سهر زايد </t>
  </si>
  <si>
    <t xml:space="preserve">ايراد معاينه </t>
  </si>
  <si>
    <t xml:space="preserve">شيماء بدر </t>
  </si>
  <si>
    <t xml:space="preserve">عمرو اكتوبر </t>
  </si>
  <si>
    <t xml:space="preserve">وارد معاينه أ/ مصطفي احمد موقع ترو مدينه نصر </t>
  </si>
  <si>
    <t xml:space="preserve">رد  باقي ايراد الاندلس 280 </t>
  </si>
  <si>
    <t xml:space="preserve">رد ايراد من ايمن مدينتي </t>
  </si>
  <si>
    <t xml:space="preserve">ايمن مدينتي </t>
  </si>
  <si>
    <t xml:space="preserve">رد باقي ايراد دجله جاردنز </t>
  </si>
  <si>
    <t xml:space="preserve">دجله جاردنز </t>
  </si>
  <si>
    <t xml:space="preserve">بونص من السلاب </t>
  </si>
  <si>
    <t xml:space="preserve">وارد ايراد ثري دي </t>
  </si>
  <si>
    <t xml:space="preserve">50%  من ايراد ثري دي أ/ احمد زايد 401  (   الباقي 13900ج ) </t>
  </si>
  <si>
    <t xml:space="preserve">50 % من ايراد ثري دي مشروع الاندلس 228  ( 27400ج ) </t>
  </si>
  <si>
    <t>الاندلس 228</t>
  </si>
  <si>
    <t xml:space="preserve">باقي حساب ايرادات ثري دي </t>
  </si>
  <si>
    <t xml:space="preserve">دفعه من ايراد ثري دي القصر 380 ( اجمالي الواصل 70000ج ) باقي 30000ج </t>
  </si>
  <si>
    <t xml:space="preserve">باقي ايرادات ثري دي عمرو هليوبوليس 380  ( الاجمالي 100000ج ) </t>
  </si>
  <si>
    <t xml:space="preserve">وارد 50 % من ايراد ثري دي جراندا </t>
  </si>
  <si>
    <t xml:space="preserve">جراندا </t>
  </si>
  <si>
    <t xml:space="preserve">وارد دفعه من ايراد ثري دي  م/ جيهان ديستركت 5  ( الباقي  8760ج ) </t>
  </si>
  <si>
    <t>باقي حساب ثري دي  م/ جيهان ديستركت 5</t>
  </si>
  <si>
    <t xml:space="preserve">باقي ايرادات الثري دي في الدقي </t>
  </si>
  <si>
    <t xml:space="preserve">50 % من ايراد ثري دي عشري وصال 398 ( الباقي 17500ج ) </t>
  </si>
  <si>
    <t xml:space="preserve">وارد ايراد ثري دي معادي ديونز ( 12500ج ) الباقي 12500ج </t>
  </si>
  <si>
    <t xml:space="preserve">باقي ايراد ثري دي معادي ديونز ( اجمالي 25000ج ) </t>
  </si>
  <si>
    <t xml:space="preserve">ايراد ثري دي من هاني العبور </t>
  </si>
  <si>
    <t xml:space="preserve">فرق عهدة لسامح مشتريات </t>
  </si>
  <si>
    <t xml:space="preserve">دفعه من توريدات السباكه   </t>
  </si>
  <si>
    <t>دفعه من اعمال سباكه في جرين 6</t>
  </si>
  <si>
    <t xml:space="preserve">3 فواتير طلبات سباكه استكمال بيد م/ احمد يونس </t>
  </si>
  <si>
    <t xml:space="preserve">يوميه عامل تكسير ارضيات تسليك عمل السباك </t>
  </si>
  <si>
    <t xml:space="preserve">3 مجموعه عزل سيكا 107 + النقل </t>
  </si>
  <si>
    <t>دفعه مقدمه من حساب مواسير فريون القصر 380</t>
  </si>
  <si>
    <t xml:space="preserve">9 فتحات كور لزوم مواسير الفريون </t>
  </si>
  <si>
    <t xml:space="preserve">م. انتقالات الساحل  (م/ هشام+م/ اسلام )  ايجار السيارة </t>
  </si>
  <si>
    <t xml:space="preserve">حساب عمرو النقاش في راس الحكمه </t>
  </si>
  <si>
    <t xml:space="preserve">يوميات نظافه وتشوين في راس الحكمه </t>
  </si>
  <si>
    <t xml:space="preserve">باقي حساب مبلط راس الحكمه </t>
  </si>
  <si>
    <t xml:space="preserve">فواتير طلبات نظافه وفوط </t>
  </si>
  <si>
    <t xml:space="preserve">طلبات كهرباء +مسامير </t>
  </si>
  <si>
    <t xml:space="preserve">طلبات دهانات </t>
  </si>
  <si>
    <t xml:space="preserve">كارتات ذهاب وعوده </t>
  </si>
  <si>
    <t xml:space="preserve">صيانه الشاتر  ( مرتين ) </t>
  </si>
  <si>
    <t xml:space="preserve">بنزين ذهاب وعوده </t>
  </si>
  <si>
    <t xml:space="preserve">اكل ومياه </t>
  </si>
  <si>
    <t xml:space="preserve">نجار للابواب + مسامير </t>
  </si>
  <si>
    <t xml:space="preserve">مرتب م / حسن  شهر مايو 2026 </t>
  </si>
  <si>
    <t xml:space="preserve">سلفه عبد الرحمن محاسب </t>
  </si>
  <si>
    <t xml:space="preserve">4 يوميات سوديك نظافه وتشوين + ايجار صاروخ   م /محمود </t>
  </si>
  <si>
    <t xml:space="preserve">دفعه ثالثه  من اعمال النجارة في سوديك </t>
  </si>
  <si>
    <t xml:space="preserve">فرق فاتورة ماده اللاصق + كرتونه سيراميك لسوديك ( 1461ج + 900ج ) - 1794 مرتجع الدقي </t>
  </si>
  <si>
    <t xml:space="preserve">سيارة نقل من المكتب لسوديك للسلاب لبر الوالدين </t>
  </si>
  <si>
    <t xml:space="preserve">اكراميه عامل تشوين مرتجعات سوديك </t>
  </si>
  <si>
    <t xml:space="preserve">دفعه من اعمال كريتال سوديك ( المقاوله 60000ج  ) الباقي 12000ج </t>
  </si>
  <si>
    <t xml:space="preserve">3م رمل + 15ش اسمنت </t>
  </si>
  <si>
    <t>تعديلات كهرباء في سوديك (شاتر +متضرر من اللاند سكيب ) خصم 1500 علي شركه اللاند سكيب</t>
  </si>
  <si>
    <t xml:space="preserve">دفعه من اعمال دهانات السور+الدوكو+تجاليد </t>
  </si>
  <si>
    <t xml:space="preserve">دفعه من اعمال دهانات الحوائط والاسقف تشطيب </t>
  </si>
  <si>
    <t xml:space="preserve">2 يوميه نظافه وتكسير بالموقع ونقل رمل + ايجار صاروخ </t>
  </si>
  <si>
    <t xml:space="preserve">2 نقله رتش في سوديك </t>
  </si>
  <si>
    <t xml:space="preserve">فاتورة طلبات دهانات السقف في الدقي بالخصم علي محمود الجبس </t>
  </si>
  <si>
    <t>فاتورة  صنفرة 150+180</t>
  </si>
  <si>
    <t xml:space="preserve">دفعه من حساب دهانات الدقي </t>
  </si>
  <si>
    <t xml:space="preserve">فاتورة دهانات ( بستله سيلر مائي  بيد عمرو النقاش </t>
  </si>
  <si>
    <t>من اعمال تشطيب كهرباء الدقي ( 45000ج)  + السقف (17000ج) +تجاليد10000+تعديل6000</t>
  </si>
  <si>
    <t xml:space="preserve">دفعه من اعمال التنجيد في الدقي </t>
  </si>
  <si>
    <t xml:space="preserve">طرمبه باب +فرشه سلك وفرشه 2"  م / اسلام </t>
  </si>
  <si>
    <t xml:space="preserve">يوميه تكشيف في الخرسانات + ايجار هيلتي </t>
  </si>
  <si>
    <t xml:space="preserve">عهده مشتريات سامح </t>
  </si>
  <si>
    <t xml:space="preserve">رسوم  تسويق علي التليجرام ( 2 شهر ) مم احمد الميري </t>
  </si>
  <si>
    <t xml:space="preserve">شاي وسكر للمكتب </t>
  </si>
  <si>
    <t xml:space="preserve">1 كيلو بن -880ج + 45 توصيل </t>
  </si>
  <si>
    <t xml:space="preserve">فاتورة تليفون ارضي  + فاتورة النت الارضي </t>
  </si>
  <si>
    <t xml:space="preserve">باقي حساب فواتير السباكه </t>
  </si>
  <si>
    <t xml:space="preserve">يوميه مباني في معادي ديونز </t>
  </si>
  <si>
    <t xml:space="preserve">اوبر انتقالات عبد الرحمن محاسب استلام شيكات  ذهاب وعوده المقطم </t>
  </si>
  <si>
    <t xml:space="preserve">دفعه من حساب كريم النجار  من مواقع لحين التقفيل للموقع الخاص به </t>
  </si>
  <si>
    <t xml:space="preserve">دفعه من توريدات الدهانات    </t>
  </si>
  <si>
    <t>دفعه من اعمال السباكه في العبور 365</t>
  </si>
  <si>
    <t xml:space="preserve">2 يوميه عماله رفع ردم من احرف الدور الارضي استعداد للكهرباء </t>
  </si>
  <si>
    <t xml:space="preserve">اعمال هدم وتعديلات معماريه ونقل الرتش خارج الوحده </t>
  </si>
  <si>
    <t>نقله رتش *800ج  + تنزيل الرتش  45 ش *1600ج +10ش فارغه*100</t>
  </si>
  <si>
    <t xml:space="preserve">باقي حساب تاسيس سباكه القرنفل ( 30500ج ) </t>
  </si>
  <si>
    <t>200طوبه دوبل*1100ج+ يوميه بنا ومساعد *1600ج +10كانات ربط -100 +8كانه حلوق150</t>
  </si>
  <si>
    <t>3 نقله رتش *2400ج  + تنزيل الرتش 48 ش *1600ج</t>
  </si>
  <si>
    <t xml:space="preserve">2 حلق توريد وتركيب </t>
  </si>
  <si>
    <t xml:space="preserve">يوميه عامل نظافه وتشوين </t>
  </si>
  <si>
    <t xml:space="preserve">تصفيه عهده م / اسلام </t>
  </si>
  <si>
    <t xml:space="preserve">تصفيه عهده </t>
  </si>
  <si>
    <t xml:space="preserve">تصفيه عهده مشتريات سامح </t>
  </si>
  <si>
    <t>مقاولة تشطيب محمد السيد في 364 تشطيب</t>
  </si>
  <si>
    <t>مقاولة تشطيب محمد السيد في 306 تشطيب</t>
  </si>
  <si>
    <t xml:space="preserve">مقاولة تأسيس الكهرباء في الدقي محمد السيد </t>
  </si>
  <si>
    <t xml:space="preserve">مقاولة تشطيب السقف الكهرباء في الدقي محمد السيد </t>
  </si>
  <si>
    <t xml:space="preserve">مقاولة تشطيب التجاليد الكهرباء في الدقي محمد السيد </t>
  </si>
  <si>
    <t xml:space="preserve">تعدبلات محمد السيد في الدقي </t>
  </si>
  <si>
    <t xml:space="preserve">اعمال محمد السيد في 336 تعديلات </t>
  </si>
  <si>
    <t>مقاولة اعمال تأسيس وتشطيب واسقف 318</t>
  </si>
  <si>
    <t>دفعه مقدمه من اعمال تورد وتركب فيوتك</t>
  </si>
  <si>
    <t xml:space="preserve">دفعة الي محمود الجبس </t>
  </si>
  <si>
    <t>طل ات ضافه ) لمون نعناع لعمل (</t>
  </si>
  <si>
    <t>دفعه من اعمال السا ه العبور 3</t>
  </si>
  <si>
    <t>العبور 365</t>
  </si>
  <si>
    <t>تغي شمعات الفل + مصنعه وانتقال</t>
  </si>
  <si>
    <t>تقفيل المفاتيح فوق وتحت  والمدخل7000 والمعلقات الداخليه10000 واللندسكيب 8000والسلم البيانو 1500 والجراج15000 والبروفيل الخارجى للرووف5000 مع سحب الأسلاك الغير مكتمله أن شاء الله آخر تحديث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</si>
</sst>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_ ;\-#,##0.00\ "/>
    <numFmt numFmtId="165" formatCode="yyyy\-mm\-dd;@"/>
    <numFmt numFmtId="166" formatCode="#,##0.00;[Red]#,##0.00"/>
    <numFmt numFmtId="167" formatCode="[$-409]d\-mmm\-yy;@"/>
  </numFmts>
  <fonts count="22">
    <font>
      <sz val="11"/>
      <color theme="1"/>
      <name val="Calibri"/>
      <family val="2"/>
      <scheme val="minor"/>
    </font>
    <font>
      <sz val="14"/>
      <color theme="0"/>
      <name val="Arial"/>
      <family val="2"/>
    </font>
    <font>
      <b/>
      <sz val="11"/>
      <name val="Arial"/>
      <family val="2"/>
    </font>
    <font>
      <sz val="14"/>
      <name val="Inter"/>
    </font>
    <font>
      <b/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0"/>
      <color rgb="FFFF0000"/>
      <name val="Arial"/>
      <family val="2"/>
    </font>
    <font>
      <sz val="14"/>
      <color rgb="FFFF0000"/>
      <name val="Arial"/>
      <family val="2"/>
    </font>
    <font>
      <sz val="14"/>
      <color rgb="FFED0000"/>
      <name val="Arial"/>
      <family val="2"/>
    </font>
    <font>
      <b/>
      <sz val="10"/>
      <color theme="0"/>
      <name val="Arial"/>
      <family val="2"/>
    </font>
    <font>
      <b/>
      <sz val="10"/>
      <color indexed="9"/>
      <name val="Arial"/>
      <family val="2"/>
    </font>
    <font>
      <b/>
      <sz val="10"/>
      <color theme="1"/>
      <name val="Arial"/>
      <family val="2"/>
    </font>
    <font>
      <b/>
      <sz val="11"/>
      <color rgb="FFFF0000"/>
      <name val="Arial"/>
      <family val="2"/>
    </font>
    <font>
      <b/>
      <sz val="10"/>
      <color indexed="12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0"/>
      <color rgb="FFFF0000"/>
      <name val="Arial"/>
      <family val="2"/>
    </font>
    <font>
      <b/>
      <sz val="12"/>
      <color rgb="FF000000"/>
      <name val="Calibri"/>
      <family val="2"/>
    </font>
    <font>
      <sz val="10"/>
      <color theme="1"/>
      <name val="Arial"/>
      <charset val="178"/>
    </font>
  </fonts>
  <fills count="1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11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theme="8" tint="0.79998168889431442"/>
      </top>
      <bottom style="thin">
        <color theme="8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16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2" fillId="0" borderId="5" xfId="0" applyFont="1" applyBorder="1" applyAlignment="1">
      <alignment horizontal="left"/>
    </xf>
    <xf numFmtId="0" fontId="2" fillId="0" borderId="4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/>
    </xf>
    <xf numFmtId="0" fontId="3" fillId="0" borderId="0" xfId="0" applyFont="1"/>
    <xf numFmtId="0" fontId="2" fillId="0" borderId="6" xfId="0" applyFont="1" applyBorder="1" applyAlignment="1">
      <alignment horizontal="left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/>
    </xf>
    <xf numFmtId="0" fontId="2" fillId="4" borderId="7" xfId="0" applyFont="1" applyFill="1" applyBorder="1" applyAlignment="1">
      <alignment horizontal="left"/>
    </xf>
    <xf numFmtId="0" fontId="2" fillId="4" borderId="8" xfId="0" applyFont="1" applyFill="1" applyBorder="1" applyAlignment="1">
      <alignment horizontal="right" vertical="center" wrapText="1"/>
    </xf>
    <xf numFmtId="0" fontId="2" fillId="4" borderId="9" xfId="0" applyFont="1" applyFill="1" applyBorder="1" applyAlignment="1">
      <alignment horizontal="right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right" vertical="center" wrapText="1"/>
    </xf>
    <xf numFmtId="0" fontId="2" fillId="0" borderId="11" xfId="0" applyFont="1" applyBorder="1" applyAlignment="1">
      <alignment horizontal="right"/>
    </xf>
    <xf numFmtId="0" fontId="4" fillId="5" borderId="7" xfId="0" applyFont="1" applyFill="1" applyBorder="1" applyAlignment="1">
      <alignment horizontal="left"/>
    </xf>
    <xf numFmtId="0" fontId="4" fillId="5" borderId="8" xfId="0" applyFont="1" applyFill="1" applyBorder="1" applyAlignment="1">
      <alignment horizontal="right" vertical="center" wrapText="1"/>
    </xf>
    <xf numFmtId="0" fontId="0" fillId="0" borderId="10" xfId="0" applyBorder="1" applyAlignment="1">
      <alignment horizontal="left"/>
    </xf>
    <xf numFmtId="0" fontId="5" fillId="0" borderId="11" xfId="0" applyFont="1" applyBorder="1" applyAlignment="1">
      <alignment horizontal="right" vertical="center" wrapText="1"/>
    </xf>
    <xf numFmtId="0" fontId="5" fillId="0" borderId="12" xfId="0" applyFont="1" applyBorder="1" applyAlignment="1">
      <alignment horizontal="right" vertical="center" wrapText="1"/>
    </xf>
    <xf numFmtId="0" fontId="0" fillId="0" borderId="5" xfId="0" applyBorder="1" applyAlignment="1">
      <alignment horizontal="left"/>
    </xf>
    <xf numFmtId="0" fontId="5" fillId="0" borderId="4" xfId="0" applyFont="1" applyBorder="1" applyAlignment="1">
      <alignment horizontal="right" vertical="center" wrapText="1"/>
    </xf>
    <xf numFmtId="0" fontId="7" fillId="0" borderId="4" xfId="0" applyFont="1" applyBorder="1" applyAlignment="1">
      <alignment horizontal="right" vertical="center" wrapText="1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right" vertical="center" wrapText="1"/>
    </xf>
    <xf numFmtId="0" fontId="0" fillId="0" borderId="4" xfId="0" applyBorder="1" applyAlignment="1">
      <alignment horizontal="left"/>
    </xf>
    <xf numFmtId="0" fontId="0" fillId="0" borderId="13" xfId="0" applyBorder="1" applyAlignment="1">
      <alignment horizontal="left"/>
    </xf>
    <xf numFmtId="0" fontId="7" fillId="0" borderId="14" xfId="0" applyFont="1" applyBorder="1" applyAlignment="1">
      <alignment horizontal="right" vertical="center" wrapText="1"/>
    </xf>
    <xf numFmtId="0" fontId="8" fillId="3" borderId="7" xfId="0" applyFont="1" applyFill="1" applyBorder="1" applyAlignment="1">
      <alignment horizontal="left"/>
    </xf>
    <xf numFmtId="0" fontId="8" fillId="3" borderId="8" xfId="0" applyFont="1" applyFill="1" applyBorder="1" applyAlignment="1">
      <alignment horizontal="right" vertical="center" wrapText="1"/>
    </xf>
    <xf numFmtId="0" fontId="8" fillId="3" borderId="9" xfId="0" applyFont="1" applyFill="1" applyBorder="1" applyAlignment="1">
      <alignment horizontal="right" vertical="center" wrapText="1"/>
    </xf>
    <xf numFmtId="0" fontId="8" fillId="0" borderId="10" xfId="0" applyFont="1" applyBorder="1" applyAlignment="1">
      <alignment horizontal="left"/>
    </xf>
    <xf numFmtId="0" fontId="8" fillId="0" borderId="0" xfId="0" applyFont="1" applyAlignment="1">
      <alignment horizontal="right" vertical="center" wrapText="1"/>
    </xf>
    <xf numFmtId="0" fontId="8" fillId="0" borderId="11" xfId="0" applyFont="1" applyBorder="1" applyAlignment="1">
      <alignment horizontal="right" vertical="center" wrapText="1"/>
    </xf>
    <xf numFmtId="0" fontId="8" fillId="0" borderId="12" xfId="0" applyFont="1" applyBorder="1" applyAlignment="1">
      <alignment horizontal="right" vertical="center" wrapText="1"/>
    </xf>
    <xf numFmtId="0" fontId="8" fillId="0" borderId="4" xfId="0" applyFont="1" applyBorder="1" applyAlignment="1">
      <alignment horizontal="right" vertical="center" wrapText="1"/>
    </xf>
    <xf numFmtId="0" fontId="8" fillId="0" borderId="1" xfId="0" applyFont="1" applyBorder="1" applyAlignment="1">
      <alignment horizontal="right" vertical="center" wrapText="1"/>
    </xf>
    <xf numFmtId="0" fontId="8" fillId="3" borderId="8" xfId="0" applyFont="1" applyFill="1" applyBorder="1" applyAlignment="1">
      <alignment horizontal="left" vertical="center" wrapText="1"/>
    </xf>
    <xf numFmtId="0" fontId="8" fillId="0" borderId="5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3" borderId="13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 vertical="center" wrapText="1"/>
    </xf>
    <xf numFmtId="0" fontId="8" fillId="3" borderId="15" xfId="0" applyFont="1" applyFill="1" applyBorder="1" applyAlignment="1">
      <alignment horizontal="right" vertical="center" wrapText="1"/>
    </xf>
    <xf numFmtId="0" fontId="8" fillId="5" borderId="7" xfId="0" applyFont="1" applyFill="1" applyBorder="1" applyAlignment="1">
      <alignment horizontal="left"/>
    </xf>
    <xf numFmtId="0" fontId="8" fillId="5" borderId="9" xfId="0" applyFont="1" applyFill="1" applyBorder="1" applyAlignment="1">
      <alignment horizontal="right" vertical="center" wrapText="1"/>
    </xf>
    <xf numFmtId="0" fontId="8" fillId="0" borderId="8" xfId="0" applyFont="1" applyBorder="1" applyAlignment="1">
      <alignment horizontal="right" vertical="center" wrapText="1"/>
    </xf>
    <xf numFmtId="0" fontId="4" fillId="3" borderId="16" xfId="0" applyFont="1" applyFill="1" applyBorder="1" applyAlignment="1">
      <alignment horizontal="left"/>
    </xf>
    <xf numFmtId="0" fontId="5" fillId="3" borderId="17" xfId="0" applyFont="1" applyFill="1" applyBorder="1" applyAlignment="1">
      <alignment horizontal="right" vertical="center" wrapText="1"/>
    </xf>
    <xf numFmtId="0" fontId="5" fillId="3" borderId="17" xfId="0" applyFont="1" applyFill="1" applyBorder="1" applyAlignment="1">
      <alignment horizontal="right"/>
    </xf>
    <xf numFmtId="0" fontId="5" fillId="3" borderId="18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/>
    </xf>
    <xf numFmtId="0" fontId="7" fillId="0" borderId="12" xfId="0" applyFont="1" applyBorder="1" applyAlignment="1">
      <alignment horizontal="right" vertical="center" wrapText="1"/>
    </xf>
    <xf numFmtId="0" fontId="0" fillId="3" borderId="16" xfId="0" applyFill="1" applyBorder="1" applyAlignment="1">
      <alignment horizontal="left"/>
    </xf>
    <xf numFmtId="0" fontId="6" fillId="3" borderId="19" xfId="0" applyFont="1" applyFill="1" applyBorder="1" applyAlignment="1">
      <alignment horizontal="right" vertical="center" wrapText="1"/>
    </xf>
    <xf numFmtId="0" fontId="6" fillId="3" borderId="17" xfId="0" applyFont="1" applyFill="1" applyBorder="1" applyAlignment="1">
      <alignment horizontal="right" vertical="center" wrapText="1"/>
    </xf>
    <xf numFmtId="0" fontId="6" fillId="3" borderId="18" xfId="0" applyFont="1" applyFill="1" applyBorder="1" applyAlignment="1">
      <alignment horizontal="right"/>
    </xf>
    <xf numFmtId="16" fontId="0" fillId="0" borderId="0" xfId="0" applyNumberFormat="1" applyAlignment="1">
      <alignment horizontal="left"/>
    </xf>
    <xf numFmtId="0" fontId="0" fillId="6" borderId="16" xfId="0" applyFill="1" applyBorder="1" applyAlignment="1">
      <alignment horizontal="left"/>
    </xf>
    <xf numFmtId="0" fontId="6" fillId="6" borderId="20" xfId="0" applyFont="1" applyFill="1" applyBorder="1" applyAlignment="1">
      <alignment horizontal="right"/>
    </xf>
    <xf numFmtId="0" fontId="6" fillId="6" borderId="17" xfId="0" applyFont="1" applyFill="1" applyBorder="1" applyAlignment="1">
      <alignment horizontal="right"/>
    </xf>
    <xf numFmtId="0" fontId="6" fillId="6" borderId="18" xfId="0" applyFont="1" applyFill="1" applyBorder="1" applyAlignment="1">
      <alignment horizontal="right"/>
    </xf>
    <xf numFmtId="0" fontId="7" fillId="0" borderId="0" xfId="0" applyFont="1" applyAlignment="1">
      <alignment horizontal="left"/>
    </xf>
    <xf numFmtId="0" fontId="6" fillId="4" borderId="0" xfId="0" applyFont="1" applyFill="1" applyAlignment="1">
      <alignment horizontal="right" vertical="center" wrapText="1"/>
    </xf>
    <xf numFmtId="0" fontId="6" fillId="0" borderId="0" xfId="0" applyFont="1" applyAlignment="1">
      <alignment horizontal="right" vertical="center"/>
    </xf>
    <xf numFmtId="0" fontId="4" fillId="6" borderId="16" xfId="0" applyFont="1" applyFill="1" applyBorder="1" applyAlignment="1">
      <alignment horizontal="left"/>
    </xf>
    <xf numFmtId="0" fontId="5" fillId="6" borderId="17" xfId="0" applyFont="1" applyFill="1" applyBorder="1" applyAlignment="1">
      <alignment horizontal="right" vertical="center" wrapText="1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right" vertical="center" wrapText="1"/>
    </xf>
    <xf numFmtId="0" fontId="9" fillId="4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11" fillId="0" borderId="0" xfId="0" applyFont="1" applyAlignment="1">
      <alignment horizontal="right" vertical="center" wrapText="1"/>
    </xf>
    <xf numFmtId="0" fontId="6" fillId="6" borderId="17" xfId="0" applyFont="1" applyFill="1" applyBorder="1" applyAlignment="1">
      <alignment horizontal="right" vertical="center" wrapText="1"/>
    </xf>
    <xf numFmtId="164" fontId="12" fillId="7" borderId="21" xfId="0" applyNumberFormat="1" applyFont="1" applyFill="1" applyBorder="1" applyAlignment="1">
      <alignment horizontal="center" readingOrder="2"/>
    </xf>
    <xf numFmtId="164" fontId="12" fillId="7" borderId="22" xfId="0" applyNumberFormat="1" applyFont="1" applyFill="1" applyBorder="1" applyAlignment="1">
      <alignment horizontal="center" readingOrder="2"/>
    </xf>
    <xf numFmtId="164" fontId="12" fillId="7" borderId="23" xfId="0" applyNumberFormat="1" applyFont="1" applyFill="1" applyBorder="1" applyAlignment="1">
      <alignment horizontal="center" readingOrder="2"/>
    </xf>
    <xf numFmtId="0" fontId="12" fillId="2" borderId="21" xfId="0" applyFont="1" applyFill="1" applyBorder="1" applyAlignment="1">
      <alignment horizontal="center" readingOrder="1"/>
    </xf>
    <xf numFmtId="0" fontId="12" fillId="2" borderId="22" xfId="0" applyFont="1" applyFill="1" applyBorder="1" applyAlignment="1">
      <alignment horizontal="center" readingOrder="1"/>
    </xf>
    <xf numFmtId="0" fontId="12" fillId="2" borderId="23" xfId="0" applyFont="1" applyFill="1" applyBorder="1" applyAlignment="1">
      <alignment horizontal="center" readingOrder="1"/>
    </xf>
    <xf numFmtId="0" fontId="4" fillId="0" borderId="0" xfId="0" applyFont="1" applyAlignment="1">
      <alignment readingOrder="2"/>
    </xf>
    <xf numFmtId="0" fontId="13" fillId="0" borderId="0" xfId="0" applyFont="1" applyAlignment="1">
      <alignment readingOrder="2"/>
    </xf>
    <xf numFmtId="0" fontId="12" fillId="2" borderId="24" xfId="0" applyFont="1" applyFill="1" applyBorder="1" applyAlignment="1">
      <alignment horizontal="center" readingOrder="1"/>
    </xf>
    <xf numFmtId="0" fontId="12" fillId="2" borderId="25" xfId="0" applyFont="1" applyFill="1" applyBorder="1" applyAlignment="1">
      <alignment horizontal="center" vertical="center" readingOrder="1"/>
    </xf>
    <xf numFmtId="0" fontId="12" fillId="2" borderId="25" xfId="0" applyFont="1" applyFill="1" applyBorder="1" applyAlignment="1">
      <alignment horizontal="right" readingOrder="2"/>
    </xf>
    <xf numFmtId="4" fontId="12" fillId="2" borderId="24" xfId="0" applyNumberFormat="1" applyFont="1" applyFill="1" applyBorder="1" applyAlignment="1">
      <alignment horizontal="center" readingOrder="1"/>
    </xf>
    <xf numFmtId="0" fontId="12" fillId="2" borderId="25" xfId="0" applyFont="1" applyFill="1" applyBorder="1" applyAlignment="1">
      <alignment horizontal="center" readingOrder="1"/>
    </xf>
    <xf numFmtId="0" fontId="12" fillId="2" borderId="26" xfId="0" applyFont="1" applyFill="1" applyBorder="1" applyAlignment="1">
      <alignment horizontal="center" readingOrder="2"/>
    </xf>
    <xf numFmtId="0" fontId="14" fillId="0" borderId="26" xfId="0" applyFont="1" applyBorder="1" applyAlignment="1">
      <alignment horizontal="center" readingOrder="1"/>
    </xf>
    <xf numFmtId="165" fontId="14" fillId="0" borderId="24" xfId="0" applyNumberFormat="1" applyFont="1" applyBorder="1" applyAlignment="1">
      <alignment readingOrder="1"/>
    </xf>
    <xf numFmtId="0" fontId="15" fillId="0" borderId="5" xfId="0" applyFont="1" applyBorder="1" applyAlignment="1">
      <alignment horizontal="center" vertical="center"/>
    </xf>
    <xf numFmtId="0" fontId="16" fillId="0" borderId="24" xfId="0" applyFont="1" applyBorder="1" applyAlignment="1">
      <alignment horizontal="right" readingOrder="2"/>
    </xf>
    <xf numFmtId="0" fontId="14" fillId="0" borderId="24" xfId="0" applyFont="1" applyBorder="1" applyAlignment="1">
      <alignment readingOrder="1"/>
    </xf>
    <xf numFmtId="166" fontId="14" fillId="0" borderId="24" xfId="0" applyNumberFormat="1" applyFont="1" applyBorder="1" applyAlignment="1">
      <alignment readingOrder="1"/>
    </xf>
    <xf numFmtId="2" fontId="16" fillId="0" borderId="24" xfId="0" applyNumberFormat="1" applyFont="1" applyBorder="1" applyAlignment="1">
      <alignment readingOrder="1"/>
    </xf>
    <xf numFmtId="167" fontId="17" fillId="0" borderId="24" xfId="0" applyNumberFormat="1" applyFont="1" applyBorder="1" applyAlignment="1">
      <alignment horizontal="center" readingOrder="2"/>
    </xf>
    <xf numFmtId="0" fontId="18" fillId="0" borderId="24" xfId="1" applyFill="1" applyBorder="1" applyAlignment="1">
      <alignment horizontal="center" readingOrder="2"/>
    </xf>
    <xf numFmtId="0" fontId="16" fillId="0" borderId="24" xfId="0" applyFont="1" applyBorder="1" applyAlignment="1">
      <alignment readingOrder="2"/>
    </xf>
    <xf numFmtId="4" fontId="17" fillId="0" borderId="24" xfId="0" applyNumberFormat="1" applyFont="1" applyBorder="1" applyAlignment="1">
      <alignment readingOrder="2"/>
    </xf>
    <xf numFmtId="0" fontId="14" fillId="0" borderId="24" xfId="0" applyFont="1" applyBorder="1" applyAlignment="1">
      <alignment readingOrder="2"/>
    </xf>
    <xf numFmtId="0" fontId="14" fillId="0" borderId="0" xfId="0" applyFont="1" applyAlignment="1">
      <alignment horizontal="center" readingOrder="1"/>
    </xf>
    <xf numFmtId="0" fontId="19" fillId="0" borderId="24" xfId="0" applyFont="1" applyBorder="1" applyAlignment="1">
      <alignment horizontal="center" vertical="center" readingOrder="1"/>
    </xf>
    <xf numFmtId="167" fontId="14" fillId="0" borderId="24" xfId="0" applyNumberFormat="1" applyFont="1" applyBorder="1" applyAlignment="1">
      <alignment readingOrder="1"/>
    </xf>
    <xf numFmtId="166" fontId="14" fillId="0" borderId="21" xfId="0" applyNumberFormat="1" applyFont="1" applyBorder="1" applyAlignment="1">
      <alignment readingOrder="1"/>
    </xf>
    <xf numFmtId="167" fontId="14" fillId="0" borderId="21" xfId="0" applyNumberFormat="1" applyFont="1" applyBorder="1" applyAlignment="1">
      <alignment readingOrder="1"/>
    </xf>
    <xf numFmtId="0" fontId="16" fillId="0" borderId="21" xfId="0" applyFont="1" applyBorder="1" applyAlignment="1">
      <alignment horizontal="right" readingOrder="2"/>
    </xf>
    <xf numFmtId="0" fontId="14" fillId="0" borderId="21" xfId="0" applyFont="1" applyBorder="1" applyAlignment="1">
      <alignment readingOrder="1"/>
    </xf>
    <xf numFmtId="2" fontId="16" fillId="0" borderId="21" xfId="0" applyNumberFormat="1" applyFont="1" applyBorder="1" applyAlignment="1">
      <alignment readingOrder="1"/>
    </xf>
    <xf numFmtId="167" fontId="17" fillId="0" borderId="21" xfId="0" applyNumberFormat="1" applyFont="1" applyBorder="1" applyAlignment="1">
      <alignment horizontal="center" readingOrder="2"/>
    </xf>
    <xf numFmtId="0" fontId="16" fillId="0" borderId="21" xfId="0" applyFont="1" applyBorder="1" applyAlignment="1">
      <alignment readingOrder="2"/>
    </xf>
    <xf numFmtId="4" fontId="17" fillId="0" borderId="21" xfId="0" applyNumberFormat="1" applyFont="1" applyBorder="1" applyAlignment="1">
      <alignment readingOrder="2"/>
    </xf>
    <xf numFmtId="0" fontId="14" fillId="0" borderId="21" xfId="0" applyFont="1" applyBorder="1" applyAlignment="1">
      <alignment readingOrder="2"/>
    </xf>
    <xf numFmtId="165" fontId="4" fillId="0" borderId="4" xfId="0" applyNumberFormat="1" applyFont="1" applyBorder="1" applyAlignment="1">
      <alignment readingOrder="1"/>
    </xf>
    <xf numFmtId="0" fontId="4" fillId="0" borderId="4" xfId="0" applyFont="1" applyBorder="1" applyAlignment="1">
      <alignment readingOrder="1"/>
    </xf>
    <xf numFmtId="166" fontId="14" fillId="0" borderId="4" xfId="0" applyNumberFormat="1" applyFont="1" applyBorder="1" applyAlignment="1">
      <alignment readingOrder="1"/>
    </xf>
    <xf numFmtId="2" fontId="16" fillId="0" borderId="4" xfId="0" applyNumberFormat="1" applyFont="1" applyBorder="1" applyAlignment="1">
      <alignment readingOrder="1"/>
    </xf>
    <xf numFmtId="167" fontId="7" fillId="0" borderId="4" xfId="0" applyNumberFormat="1" applyFont="1" applyBorder="1" applyAlignment="1">
      <alignment horizontal="center" readingOrder="2"/>
    </xf>
    <xf numFmtId="0" fontId="16" fillId="0" borderId="4" xfId="0" applyFont="1" applyBorder="1" applyAlignment="1">
      <alignment readingOrder="2"/>
    </xf>
    <xf numFmtId="4" fontId="7" fillId="0" borderId="4" xfId="0" applyNumberFormat="1" applyFont="1" applyBorder="1" applyAlignment="1">
      <alignment readingOrder="2"/>
    </xf>
    <xf numFmtId="0" fontId="4" fillId="0" borderId="4" xfId="0" applyFont="1" applyBorder="1" applyAlignment="1">
      <alignment readingOrder="2"/>
    </xf>
    <xf numFmtId="0" fontId="4" fillId="8" borderId="4" xfId="0" applyFont="1" applyFill="1" applyBorder="1" applyAlignment="1">
      <alignment readingOrder="1"/>
    </xf>
    <xf numFmtId="0" fontId="4" fillId="8" borderId="4" xfId="0" applyFont="1" applyFill="1" applyBorder="1" applyAlignment="1">
      <alignment readingOrder="2"/>
    </xf>
    <xf numFmtId="167" fontId="4" fillId="0" borderId="4" xfId="0" applyNumberFormat="1" applyFont="1" applyBorder="1" applyAlignment="1">
      <alignment readingOrder="1"/>
    </xf>
    <xf numFmtId="0" fontId="20" fillId="9" borderId="4" xfId="0" applyFont="1" applyFill="1" applyBorder="1" applyAlignment="1">
      <alignment horizontal="right" vertical="center" readingOrder="2"/>
    </xf>
    <xf numFmtId="0" fontId="20" fillId="0" borderId="4" xfId="0" applyFont="1" applyBorder="1" applyAlignment="1">
      <alignment horizontal="center" vertical="center"/>
    </xf>
    <xf numFmtId="0" fontId="20" fillId="10" borderId="4" xfId="0" applyFont="1" applyFill="1" applyBorder="1" applyAlignment="1">
      <alignment horizontal="right" vertical="center" readingOrder="2"/>
    </xf>
    <xf numFmtId="0" fontId="19" fillId="8" borderId="4" xfId="0" applyFont="1" applyFill="1" applyBorder="1" applyAlignment="1">
      <alignment horizontal="center" vertical="center" readingOrder="1"/>
    </xf>
    <xf numFmtId="167" fontId="4" fillId="0" borderId="0" xfId="0" applyNumberFormat="1" applyFont="1" applyAlignment="1">
      <alignment readingOrder="1"/>
    </xf>
    <xf numFmtId="0" fontId="4" fillId="8" borderId="0" xfId="0" applyFont="1" applyFill="1" applyAlignment="1">
      <alignment readingOrder="1"/>
    </xf>
    <xf numFmtId="166" fontId="14" fillId="0" borderId="0" xfId="0" applyNumberFormat="1" applyFont="1" applyAlignment="1">
      <alignment readingOrder="1"/>
    </xf>
    <xf numFmtId="2" fontId="16" fillId="0" borderId="27" xfId="0" applyNumberFormat="1" applyFont="1" applyBorder="1" applyAlignment="1">
      <alignment readingOrder="1"/>
    </xf>
    <xf numFmtId="167" fontId="7" fillId="0" borderId="0" xfId="0" applyNumberFormat="1" applyFont="1" applyAlignment="1">
      <alignment horizontal="center" readingOrder="2"/>
    </xf>
    <xf numFmtId="0" fontId="18" fillId="0" borderId="0" xfId="1" applyFill="1" applyBorder="1" applyAlignment="1">
      <alignment horizontal="center" readingOrder="2"/>
    </xf>
    <xf numFmtId="0" fontId="16" fillId="0" borderId="28" xfId="0" applyFont="1" applyBorder="1" applyAlignment="1">
      <alignment readingOrder="2"/>
    </xf>
    <xf numFmtId="4" fontId="7" fillId="0" borderId="0" xfId="0" applyNumberFormat="1" applyFont="1" applyAlignment="1">
      <alignment readingOrder="2"/>
    </xf>
    <xf numFmtId="0" fontId="4" fillId="8" borderId="0" xfId="0" applyFont="1" applyFill="1" applyAlignment="1">
      <alignment readingOrder="2"/>
    </xf>
    <xf numFmtId="0" fontId="16" fillId="0" borderId="28" xfId="0" applyFont="1" applyBorder="1" applyAlignment="1">
      <alignment horizontal="right" readingOrder="2"/>
    </xf>
    <xf numFmtId="0" fontId="19" fillId="8" borderId="0" xfId="0" applyFont="1" applyFill="1" applyAlignment="1">
      <alignment horizontal="center" vertical="center" readingOrder="1"/>
    </xf>
    <xf numFmtId="0" fontId="4" fillId="0" borderId="0" xfId="0" applyFont="1" applyAlignment="1">
      <alignment readingOrder="1"/>
    </xf>
    <xf numFmtId="0" fontId="4" fillId="4" borderId="0" xfId="0" applyFont="1" applyFill="1" applyAlignment="1">
      <alignment readingOrder="1"/>
    </xf>
    <xf numFmtId="167" fontId="7" fillId="4" borderId="0" xfId="0" applyNumberFormat="1" applyFont="1" applyFill="1" applyAlignment="1">
      <alignment horizontal="center" readingOrder="2"/>
    </xf>
    <xf numFmtId="0" fontId="4" fillId="8" borderId="0" xfId="0" applyFont="1" applyFill="1" applyAlignment="1">
      <alignment horizontal="right" readingOrder="2"/>
    </xf>
    <xf numFmtId="166" fontId="4" fillId="8" borderId="0" xfId="0" applyNumberFormat="1" applyFont="1" applyFill="1" applyAlignment="1">
      <alignment readingOrder="1"/>
    </xf>
    <xf numFmtId="0" fontId="19" fillId="11" borderId="0" xfId="0" applyFont="1" applyFill="1" applyAlignment="1">
      <alignment horizontal="center" vertical="center" readingOrder="1"/>
    </xf>
    <xf numFmtId="0" fontId="4" fillId="0" borderId="0" xfId="0" applyFont="1" applyAlignment="1">
      <alignment horizontal="center" readingOrder="2"/>
    </xf>
    <xf numFmtId="0" fontId="16" fillId="4" borderId="28" xfId="0" applyFont="1" applyFill="1" applyBorder="1" applyAlignment="1">
      <alignment horizontal="right" readingOrder="2"/>
    </xf>
    <xf numFmtId="0" fontId="19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readingOrder="1"/>
    </xf>
    <xf numFmtId="2" fontId="16" fillId="4" borderId="27" xfId="0" applyNumberFormat="1" applyFont="1" applyFill="1" applyBorder="1" applyAlignment="1">
      <alignment readingOrder="1"/>
    </xf>
    <xf numFmtId="0" fontId="16" fillId="4" borderId="28" xfId="0" applyFont="1" applyFill="1" applyBorder="1" applyAlignment="1">
      <alignment readingOrder="2"/>
    </xf>
    <xf numFmtId="0" fontId="4" fillId="4" borderId="0" xfId="0" applyFont="1" applyFill="1" applyAlignment="1">
      <alignment horizontal="center" readingOrder="2"/>
    </xf>
    <xf numFmtId="4" fontId="7" fillId="4" borderId="0" xfId="0" applyNumberFormat="1" applyFont="1" applyFill="1" applyAlignment="1">
      <alignment readingOrder="2"/>
    </xf>
    <xf numFmtId="0" fontId="19" fillId="0" borderId="29" xfId="0" applyFont="1" applyBorder="1" applyAlignment="1">
      <alignment horizontal="center" vertical="center" readingOrder="1"/>
    </xf>
    <xf numFmtId="14" fontId="20" fillId="0" borderId="4" xfId="0" applyNumberFormat="1" applyFont="1" applyBorder="1" applyAlignment="1">
      <alignment horizontal="center" vertical="center"/>
    </xf>
    <xf numFmtId="0" fontId="21" fillId="12" borderId="30" xfId="0" applyFont="1" applyFill="1" applyBorder="1"/>
    <xf numFmtId="0" fontId="21" fillId="0" borderId="31" xfId="0" applyFont="1" applyBorder="1"/>
  </cellXfs>
  <cellStyles count="2">
    <cellStyle name="Hyperlink" xfId="1" builtinId="8"/>
    <cellStyle name="Normal" xfId="0" builtinId="0"/>
  </cellStyles>
  <dxfs count="7">
    <dxf>
      <border>
        <bottom style="thin">
          <color indexed="10"/>
        </bottom>
      </border>
    </dxf>
    <dxf>
      <border>
        <bottom style="thin">
          <color indexed="10"/>
        </bottom>
      </border>
    </dxf>
    <dxf>
      <border>
        <bottom style="thin">
          <color indexed="10"/>
        </bottom>
      </border>
    </dxf>
    <dxf>
      <border>
        <bottom style="thin">
          <color indexed="10"/>
        </bottom>
      </border>
    </dxf>
    <dxf>
      <border>
        <bottom style="thin">
          <color indexed="10"/>
        </bottom>
      </border>
    </dxf>
    <dxf>
      <border>
        <bottom style="thin">
          <color indexed="10"/>
        </bottom>
      </border>
    </dxf>
    <dxf>
      <font>
        <b/>
        <i val="0"/>
        <condense val="0"/>
        <extend val="0"/>
        <color indexed="11"/>
      </font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acc%20-abdelrahman\&#1575;&#1604;&#1587;&#1610;&#1587;&#1578;&#1605;\&#1587;&#1610;&#1587;&#1578;&#1605;%20&#1593;&#1576;&#1583;&#1575;&#1604;&#1585;&#1581;&#1605;&#1606;%201.xlsm" TargetMode="External"/><Relationship Id="rId1" Type="http://schemas.openxmlformats.org/officeDocument/2006/relationships/externalLinkPath" Target="acc%20-abdelrahman/&#1575;&#1604;&#1587;&#1610;&#1587;&#1578;&#1605;/&#1587;&#1610;&#1587;&#1578;&#1605;%20&#1593;&#1576;&#1583;&#1575;&#1604;&#1585;&#1581;&#1605;&#1606;%20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خريطة الحسابات"/>
      <sheetName val="دفتر اليومية"/>
      <sheetName val="Detail5"/>
      <sheetName val="Detail6"/>
      <sheetName val="كشف حساب شامل"/>
      <sheetName val="Detail1"/>
      <sheetName val="Detail2"/>
      <sheetName val="Detail3"/>
      <sheetName val="Detail4"/>
      <sheetName val="Detail7"/>
      <sheetName val="Detail8"/>
      <sheetName val="ميزان اجمالى "/>
      <sheetName val="ميزان شهرى "/>
      <sheetName val="قائمة المركز المالي "/>
      <sheetName val="قائمة الدخل "/>
      <sheetName val="قائمة التدفقات النقدية "/>
    </sheetNames>
    <definedNames>
      <definedName name="_xlnm.Print_Area" refersTo="='خريطة الحسابات'!$A$1:$E$1505"/>
    </definedNames>
    <sheetDataSet>
      <sheetData sheetId="0">
        <row r="1">
          <cell r="A1" t="str">
            <v>Account No</v>
          </cell>
          <cell r="B1" t="str">
            <v>Account Arabic Name</v>
          </cell>
          <cell r="C1" t="str">
            <v>اسم الحساب</v>
          </cell>
          <cell r="D1" t="str">
            <v>اجمالى 1</v>
          </cell>
          <cell r="E1" t="str">
            <v>اجمالى نهائى</v>
          </cell>
        </row>
        <row r="2">
          <cell r="A2">
            <v>101</v>
          </cell>
          <cell r="C2" t="str">
            <v>الأصول ثابتة</v>
          </cell>
          <cell r="D2" t="str">
            <v>الأصول ثابتة</v>
          </cell>
          <cell r="E2" t="str">
            <v>الاصول</v>
          </cell>
        </row>
        <row r="3">
          <cell r="A3">
            <v>102</v>
          </cell>
          <cell r="C3" t="str">
            <v>اثاث مكتبى</v>
          </cell>
          <cell r="D3" t="str">
            <v>الأصول ثابتة</v>
          </cell>
          <cell r="E3" t="str">
            <v>الاصول</v>
          </cell>
        </row>
        <row r="4">
          <cell r="A4">
            <v>103</v>
          </cell>
          <cell r="C4" t="str">
            <v>اجهزة كمبيوتر واجهزة المقر</v>
          </cell>
          <cell r="D4" t="str">
            <v>الأصول ثابتة</v>
          </cell>
          <cell r="E4" t="str">
            <v>الاصول</v>
          </cell>
        </row>
        <row r="5">
          <cell r="A5">
            <v>104</v>
          </cell>
          <cell r="C5" t="str">
            <v>معدات موقع</v>
          </cell>
          <cell r="D5" t="str">
            <v>الأصول ثابتة</v>
          </cell>
          <cell r="E5" t="str">
            <v>الاصول</v>
          </cell>
        </row>
        <row r="6">
          <cell r="A6">
            <v>105</v>
          </cell>
          <cell r="D6" t="str">
            <v>الأصول ثابتة</v>
          </cell>
          <cell r="E6" t="str">
            <v>الاصول</v>
          </cell>
        </row>
        <row r="7">
          <cell r="A7">
            <v>106</v>
          </cell>
          <cell r="D7" t="str">
            <v>الأصول ثابتة</v>
          </cell>
          <cell r="E7" t="str">
            <v>الاصول</v>
          </cell>
        </row>
        <row r="8">
          <cell r="A8">
            <v>107</v>
          </cell>
          <cell r="D8" t="str">
            <v>الأصول ثابتة</v>
          </cell>
          <cell r="E8" t="str">
            <v>الاصول</v>
          </cell>
        </row>
        <row r="9">
          <cell r="A9">
            <v>108</v>
          </cell>
          <cell r="D9" t="str">
            <v>الأصول ثابتة</v>
          </cell>
          <cell r="E9" t="str">
            <v>الاصول</v>
          </cell>
        </row>
        <row r="10">
          <cell r="A10">
            <v>109</v>
          </cell>
          <cell r="D10" t="str">
            <v>الأصول ثابتة</v>
          </cell>
          <cell r="E10" t="str">
            <v>الاصول</v>
          </cell>
        </row>
        <row r="11">
          <cell r="A11">
            <v>110</v>
          </cell>
          <cell r="D11" t="str">
            <v>الأصول ثابتة</v>
          </cell>
          <cell r="E11" t="str">
            <v>الاصول</v>
          </cell>
        </row>
        <row r="12">
          <cell r="A12">
            <v>111</v>
          </cell>
          <cell r="D12" t="str">
            <v>الأصول ثابتة</v>
          </cell>
          <cell r="E12" t="str">
            <v>الاصول</v>
          </cell>
        </row>
        <row r="13">
          <cell r="A13">
            <v>112</v>
          </cell>
          <cell r="D13" t="str">
            <v>الأصول ثابتة</v>
          </cell>
          <cell r="E13" t="str">
            <v>الاصول</v>
          </cell>
        </row>
        <row r="14">
          <cell r="E14" t="str">
            <v>الاصول</v>
          </cell>
        </row>
        <row r="15">
          <cell r="A15">
            <v>113</v>
          </cell>
          <cell r="D15" t="str">
            <v>الأصول ثابتة</v>
          </cell>
          <cell r="E15" t="str">
            <v>الاصول</v>
          </cell>
        </row>
        <row r="16">
          <cell r="A16">
            <v>114</v>
          </cell>
          <cell r="D16" t="str">
            <v>الأصول ثابتة</v>
          </cell>
          <cell r="E16" t="str">
            <v>الاصول</v>
          </cell>
        </row>
        <row r="17">
          <cell r="A17">
            <v>115</v>
          </cell>
          <cell r="D17" t="str">
            <v>الأصول ثابتة</v>
          </cell>
          <cell r="E17" t="str">
            <v>الاصول</v>
          </cell>
        </row>
        <row r="18">
          <cell r="A18">
            <v>116</v>
          </cell>
          <cell r="D18" t="str">
            <v>الأصول ثابتة</v>
          </cell>
          <cell r="E18" t="str">
            <v>الاصول</v>
          </cell>
        </row>
        <row r="19">
          <cell r="A19" t="str">
            <v>101-1</v>
          </cell>
          <cell r="C19" t="str">
            <v xml:space="preserve">الاصول المتدوالة </v>
          </cell>
          <cell r="D19" t="str">
            <v xml:space="preserve">الاصول المتدوالة </v>
          </cell>
          <cell r="E19" t="str">
            <v>الاصول</v>
          </cell>
        </row>
        <row r="20">
          <cell r="E20" t="str">
            <v>الاصول</v>
          </cell>
        </row>
        <row r="21">
          <cell r="A21">
            <v>20</v>
          </cell>
          <cell r="C21" t="str">
            <v xml:space="preserve">الخزينة </v>
          </cell>
          <cell r="D21" t="str">
            <v xml:space="preserve">أصول متداوله -النقدية ومافي حكمها </v>
          </cell>
          <cell r="E21" t="str">
            <v>الاصول</v>
          </cell>
        </row>
        <row r="22">
          <cell r="A22">
            <v>200</v>
          </cell>
          <cell r="D22" t="str">
            <v xml:space="preserve">أصول متداوله -النقدية ومافي حكمها </v>
          </cell>
          <cell r="E22" t="str">
            <v>الاصول</v>
          </cell>
        </row>
        <row r="23">
          <cell r="A23">
            <v>201</v>
          </cell>
          <cell r="C23" t="str">
            <v xml:space="preserve">بنك cib شخصي </v>
          </cell>
          <cell r="D23" t="str">
            <v xml:space="preserve">أصول متداوله -النقدية ومافي حكمها </v>
          </cell>
          <cell r="E23" t="str">
            <v>الاصول</v>
          </cell>
        </row>
        <row r="24">
          <cell r="A24">
            <v>202</v>
          </cell>
          <cell r="C24" t="str">
            <v xml:space="preserve">بنك cib شركة </v>
          </cell>
          <cell r="D24" t="str">
            <v xml:space="preserve">أصول متداوله -النقدية ومافي حكمها </v>
          </cell>
          <cell r="E24" t="str">
            <v>الاصول</v>
          </cell>
        </row>
        <row r="25">
          <cell r="A25">
            <v>203</v>
          </cell>
          <cell r="C25" t="str">
            <v xml:space="preserve">كريدي انستا </v>
          </cell>
          <cell r="D25" t="str">
            <v xml:space="preserve">أصول متداوله -النقدية ومافي حكمها </v>
          </cell>
          <cell r="E25" t="str">
            <v>الاصول</v>
          </cell>
        </row>
        <row r="26">
          <cell r="A26">
            <v>204</v>
          </cell>
          <cell r="D26" t="str">
            <v xml:space="preserve">أصول متداوله -النقدية ومافي حكمها </v>
          </cell>
          <cell r="E26" t="str">
            <v>الاصول</v>
          </cell>
        </row>
        <row r="27">
          <cell r="A27">
            <v>205</v>
          </cell>
          <cell r="E27" t="str">
            <v>الاصول</v>
          </cell>
        </row>
        <row r="28">
          <cell r="A28">
            <v>206</v>
          </cell>
          <cell r="C28" t="str">
            <v xml:space="preserve">المخزن </v>
          </cell>
          <cell r="D28" t="str">
            <v xml:space="preserve">اصول متدواله </v>
          </cell>
          <cell r="E28" t="str">
            <v>الاصول</v>
          </cell>
        </row>
        <row r="29">
          <cell r="A29">
            <v>207</v>
          </cell>
          <cell r="C29" t="str">
            <v xml:space="preserve">البضاعة الغير مباعة </v>
          </cell>
          <cell r="D29" t="str">
            <v xml:space="preserve">اصول متدواله </v>
          </cell>
          <cell r="E29" t="str">
            <v>الاصول</v>
          </cell>
        </row>
        <row r="30">
          <cell r="A30">
            <v>208</v>
          </cell>
          <cell r="C30" t="str">
            <v>اوراق دفع</v>
          </cell>
          <cell r="D30" t="str">
            <v xml:space="preserve">اصول متدواله </v>
          </cell>
          <cell r="E30" t="str">
            <v>الاصول</v>
          </cell>
        </row>
        <row r="31">
          <cell r="A31">
            <v>209</v>
          </cell>
          <cell r="E31" t="str">
            <v>الاصول</v>
          </cell>
        </row>
        <row r="32">
          <cell r="A32">
            <v>210</v>
          </cell>
          <cell r="E32" t="str">
            <v>الاصول</v>
          </cell>
        </row>
        <row r="33">
          <cell r="A33">
            <v>211</v>
          </cell>
          <cell r="E33" t="str">
            <v>الاصول</v>
          </cell>
        </row>
        <row r="34">
          <cell r="A34">
            <v>212</v>
          </cell>
          <cell r="E34" t="str">
            <v>الاصول</v>
          </cell>
        </row>
        <row r="35">
          <cell r="A35">
            <v>213</v>
          </cell>
          <cell r="E35" t="str">
            <v>الاصول</v>
          </cell>
        </row>
        <row r="36">
          <cell r="A36">
            <v>30</v>
          </cell>
          <cell r="C36" t="str">
            <v>مصروفات</v>
          </cell>
          <cell r="D36" t="str">
            <v xml:space="preserve">تكاليف التشغيل </v>
          </cell>
          <cell r="E36" t="str">
            <v>مصروفات</v>
          </cell>
        </row>
        <row r="37">
          <cell r="A37">
            <v>301</v>
          </cell>
          <cell r="C37" t="str">
            <v xml:space="preserve">مشتريات بضاعة </v>
          </cell>
          <cell r="D37" t="str">
            <v xml:space="preserve">تكاليف التشغيل </v>
          </cell>
          <cell r="E37" t="str">
            <v xml:space="preserve">مصروفات </v>
          </cell>
        </row>
        <row r="38">
          <cell r="A38">
            <v>302</v>
          </cell>
          <cell r="C38" t="str">
            <v xml:space="preserve">مصروفات شحن </v>
          </cell>
          <cell r="D38" t="str">
            <v xml:space="preserve">تكاليف التشغيل </v>
          </cell>
          <cell r="E38" t="str">
            <v xml:space="preserve">مصروفات </v>
          </cell>
        </row>
        <row r="39">
          <cell r="A39">
            <v>303</v>
          </cell>
          <cell r="C39" t="str">
            <v xml:space="preserve">مصروفات جمارك </v>
          </cell>
          <cell r="D39" t="str">
            <v xml:space="preserve">تكاليف التشغيل </v>
          </cell>
          <cell r="E39" t="str">
            <v xml:space="preserve">مصروفات </v>
          </cell>
        </row>
        <row r="40">
          <cell r="A40">
            <v>304</v>
          </cell>
          <cell r="D40" t="str">
            <v xml:space="preserve">تكاليف التشغيل </v>
          </cell>
          <cell r="E40" t="str">
            <v xml:space="preserve">مصروفات </v>
          </cell>
        </row>
        <row r="41">
          <cell r="A41">
            <v>305</v>
          </cell>
          <cell r="D41" t="str">
            <v xml:space="preserve">تكاليف التشغيل </v>
          </cell>
          <cell r="E41" t="str">
            <v xml:space="preserve">مصروفات </v>
          </cell>
        </row>
        <row r="42">
          <cell r="A42">
            <v>306</v>
          </cell>
          <cell r="D42" t="str">
            <v xml:space="preserve">تكاليف التشغيل </v>
          </cell>
          <cell r="E42" t="str">
            <v xml:space="preserve">مصروفات </v>
          </cell>
        </row>
        <row r="43">
          <cell r="A43">
            <v>307</v>
          </cell>
          <cell r="D43" t="str">
            <v xml:space="preserve">تكاليف التشغيل </v>
          </cell>
          <cell r="E43" t="str">
            <v xml:space="preserve">مصروفات </v>
          </cell>
        </row>
        <row r="44">
          <cell r="A44">
            <v>308</v>
          </cell>
          <cell r="D44" t="str">
            <v xml:space="preserve">تكاليف التشغيل </v>
          </cell>
          <cell r="E44" t="str">
            <v xml:space="preserve">مصروفات </v>
          </cell>
        </row>
        <row r="45">
          <cell r="A45">
            <v>309</v>
          </cell>
          <cell r="D45" t="str">
            <v xml:space="preserve">تكاليف التشغيل </v>
          </cell>
          <cell r="E45" t="str">
            <v xml:space="preserve">مصروفات </v>
          </cell>
        </row>
        <row r="46">
          <cell r="A46">
            <v>310</v>
          </cell>
          <cell r="D46" t="str">
            <v xml:space="preserve">تكاليف التشغيل </v>
          </cell>
          <cell r="E46" t="str">
            <v xml:space="preserve">مصروفات </v>
          </cell>
        </row>
        <row r="47">
          <cell r="A47">
            <v>311</v>
          </cell>
          <cell r="D47" t="str">
            <v xml:space="preserve">تكاليف التشغيل </v>
          </cell>
          <cell r="E47" t="str">
            <v xml:space="preserve">مصروفات </v>
          </cell>
        </row>
        <row r="48">
          <cell r="A48">
            <v>312</v>
          </cell>
          <cell r="D48" t="str">
            <v xml:space="preserve">تكاليف التشغيل </v>
          </cell>
          <cell r="E48" t="str">
            <v xml:space="preserve">مصروفات </v>
          </cell>
        </row>
        <row r="49">
          <cell r="A49">
            <v>313</v>
          </cell>
          <cell r="D49" t="str">
            <v xml:space="preserve">تكاليف التشغيل </v>
          </cell>
          <cell r="E49" t="str">
            <v xml:space="preserve">مصروفات </v>
          </cell>
        </row>
        <row r="50">
          <cell r="A50">
            <v>314</v>
          </cell>
          <cell r="D50" t="str">
            <v xml:space="preserve">تكاليف التشغيل </v>
          </cell>
          <cell r="E50" t="str">
            <v xml:space="preserve">مصروفات </v>
          </cell>
        </row>
        <row r="51">
          <cell r="A51">
            <v>315</v>
          </cell>
          <cell r="D51" t="str">
            <v xml:space="preserve">تكاليف التشغيل </v>
          </cell>
          <cell r="E51" t="str">
            <v xml:space="preserve">مصروفات </v>
          </cell>
        </row>
        <row r="52">
          <cell r="A52">
            <v>316</v>
          </cell>
          <cell r="D52" t="str">
            <v xml:space="preserve">تكاليف التشغيل </v>
          </cell>
          <cell r="E52" t="str">
            <v xml:space="preserve">مصروفات </v>
          </cell>
        </row>
        <row r="53">
          <cell r="A53">
            <v>317</v>
          </cell>
          <cell r="D53" t="str">
            <v xml:space="preserve">تكاليف التشغيل </v>
          </cell>
          <cell r="E53" t="str">
            <v xml:space="preserve">مصروفات </v>
          </cell>
        </row>
        <row r="54">
          <cell r="A54">
            <v>318</v>
          </cell>
          <cell r="D54" t="str">
            <v xml:space="preserve">تكاليف التشغيل </v>
          </cell>
          <cell r="E54" t="str">
            <v xml:space="preserve">مصروفات </v>
          </cell>
        </row>
        <row r="55">
          <cell r="A55">
            <v>319</v>
          </cell>
          <cell r="D55" t="str">
            <v xml:space="preserve">تكاليف التشغيل </v>
          </cell>
          <cell r="E55" t="str">
            <v xml:space="preserve">مصروفات </v>
          </cell>
        </row>
        <row r="56">
          <cell r="A56">
            <v>320</v>
          </cell>
          <cell r="D56" t="str">
            <v xml:space="preserve">تكاليف التشغيل </v>
          </cell>
          <cell r="E56" t="str">
            <v xml:space="preserve">مصروفات </v>
          </cell>
        </row>
        <row r="57">
          <cell r="A57">
            <v>321</v>
          </cell>
          <cell r="D57" t="str">
            <v xml:space="preserve">تكاليف التشغيل </v>
          </cell>
          <cell r="E57" t="str">
            <v xml:space="preserve">مصروفات </v>
          </cell>
        </row>
        <row r="58">
          <cell r="A58">
            <v>322</v>
          </cell>
          <cell r="D58" t="str">
            <v xml:space="preserve">تكاليف التشغيل </v>
          </cell>
          <cell r="E58" t="str">
            <v xml:space="preserve">مصروفات </v>
          </cell>
        </row>
        <row r="59">
          <cell r="A59">
            <v>323</v>
          </cell>
          <cell r="D59" t="str">
            <v xml:space="preserve">تكاليف التشغيل </v>
          </cell>
          <cell r="E59" t="str">
            <v xml:space="preserve">مصروفات </v>
          </cell>
        </row>
        <row r="60">
          <cell r="A60">
            <v>324</v>
          </cell>
          <cell r="D60" t="str">
            <v xml:space="preserve">تكاليف التشغيل </v>
          </cell>
          <cell r="E60" t="str">
            <v xml:space="preserve">مصروفات </v>
          </cell>
        </row>
        <row r="61">
          <cell r="A61">
            <v>325</v>
          </cell>
          <cell r="D61" t="str">
            <v xml:space="preserve">تكاليف التشغيل </v>
          </cell>
          <cell r="E61" t="str">
            <v xml:space="preserve">مصروفات </v>
          </cell>
        </row>
        <row r="62">
          <cell r="A62">
            <v>326</v>
          </cell>
          <cell r="D62" t="str">
            <v xml:space="preserve">تكاليف التشغيل </v>
          </cell>
          <cell r="E62" t="str">
            <v xml:space="preserve">مصروفات </v>
          </cell>
        </row>
        <row r="63">
          <cell r="A63">
            <v>327</v>
          </cell>
          <cell r="D63" t="str">
            <v xml:space="preserve">تكاليف التشغيل </v>
          </cell>
          <cell r="E63" t="str">
            <v xml:space="preserve">مصروفات </v>
          </cell>
        </row>
        <row r="64">
          <cell r="A64">
            <v>99</v>
          </cell>
          <cell r="C64" t="str">
            <v xml:space="preserve">تكاليف ادارية وعمومية </v>
          </cell>
          <cell r="D64" t="str">
            <v xml:space="preserve">تكاليف ادارية وعمومية </v>
          </cell>
          <cell r="E64" t="str">
            <v xml:space="preserve">مصروفات </v>
          </cell>
        </row>
        <row r="65">
          <cell r="A65" t="str">
            <v>99-1</v>
          </cell>
          <cell r="C65" t="str">
            <v>مصاريف بنكية</v>
          </cell>
          <cell r="D65" t="str">
            <v xml:space="preserve">تكاليف ادارية وعمومية </v>
          </cell>
          <cell r="E65" t="str">
            <v xml:space="preserve">مصروفات </v>
          </cell>
        </row>
        <row r="66">
          <cell r="A66" t="str">
            <v>99-2</v>
          </cell>
          <cell r="C66" t="str">
            <v>الايجار</v>
          </cell>
          <cell r="D66" t="str">
            <v xml:space="preserve">تكاليف ادارية وعمومية </v>
          </cell>
          <cell r="E66" t="str">
            <v xml:space="preserve">مصروفات </v>
          </cell>
        </row>
        <row r="67">
          <cell r="A67" t="str">
            <v>99-3</v>
          </cell>
          <cell r="C67" t="str">
            <v>كهرباء ومياه وغاز وانترنت وموبيل مرافق</v>
          </cell>
          <cell r="D67" t="str">
            <v xml:space="preserve">تكاليف ادارية وعمومية </v>
          </cell>
          <cell r="E67" t="str">
            <v xml:space="preserve">مصروفات </v>
          </cell>
        </row>
        <row r="68">
          <cell r="A68" t="str">
            <v>99-4</v>
          </cell>
          <cell r="C68" t="str">
            <v>مرتبات</v>
          </cell>
          <cell r="D68" t="str">
            <v xml:space="preserve">تكاليف ادارية وعمومية </v>
          </cell>
          <cell r="E68" t="str">
            <v xml:space="preserve">مصروفات </v>
          </cell>
        </row>
        <row r="69">
          <cell r="A69" t="str">
            <v>99-5</v>
          </cell>
          <cell r="C69" t="str">
            <v>فروق تحويل</v>
          </cell>
          <cell r="D69" t="str">
            <v xml:space="preserve">تكاليف ادارية وعمومية </v>
          </cell>
          <cell r="E69" t="str">
            <v xml:space="preserve">مصروفات </v>
          </cell>
        </row>
        <row r="70">
          <cell r="A70" t="str">
            <v>99-6</v>
          </cell>
          <cell r="C70" t="str">
            <v xml:space="preserve">تليفون ومحمول و انترنت </v>
          </cell>
          <cell r="D70" t="str">
            <v xml:space="preserve">تكاليف ادارية وعمومية </v>
          </cell>
          <cell r="E70" t="str">
            <v xml:space="preserve">مصروفات </v>
          </cell>
        </row>
        <row r="71">
          <cell r="A71" t="str">
            <v>99-7</v>
          </cell>
          <cell r="C71" t="str">
            <v xml:space="preserve">اكراميات ومكافأت </v>
          </cell>
          <cell r="D71" t="str">
            <v xml:space="preserve">تكاليف ادارية وعمومية </v>
          </cell>
          <cell r="E71" t="str">
            <v xml:space="preserve">مصروفات </v>
          </cell>
        </row>
        <row r="72">
          <cell r="A72" t="str">
            <v>99-8</v>
          </cell>
          <cell r="C72" t="str">
            <v>نظافه و بوفيه</v>
          </cell>
          <cell r="D72" t="str">
            <v xml:space="preserve">تكاليف ادارية وعمومية </v>
          </cell>
          <cell r="E72" t="str">
            <v xml:space="preserve">مصروفات </v>
          </cell>
        </row>
        <row r="73">
          <cell r="A73" t="str">
            <v>99-9</v>
          </cell>
          <cell r="C73" t="str">
            <v>مصاريف و صيانه كمبيوتر  / طابعه</v>
          </cell>
          <cell r="D73" t="str">
            <v xml:space="preserve">تكاليف ادارية وعمومية </v>
          </cell>
          <cell r="E73" t="str">
            <v xml:space="preserve">مصروفات </v>
          </cell>
        </row>
        <row r="74">
          <cell r="A74" t="str">
            <v>99-10</v>
          </cell>
          <cell r="C74" t="str">
            <v>ادوات مكتبية ومطبوعات</v>
          </cell>
          <cell r="D74" t="str">
            <v xml:space="preserve">تكاليف ادارية وعمومية </v>
          </cell>
          <cell r="E74" t="str">
            <v xml:space="preserve">مصروفات </v>
          </cell>
        </row>
        <row r="75">
          <cell r="A75" t="str">
            <v>99-11</v>
          </cell>
          <cell r="C75" t="str">
            <v>حراسه عقار</v>
          </cell>
          <cell r="D75" t="str">
            <v xml:space="preserve">تكاليف ادارية وعمومية </v>
          </cell>
          <cell r="E75" t="str">
            <v xml:space="preserve">مصروفات </v>
          </cell>
        </row>
        <row r="76">
          <cell r="A76" t="str">
            <v>99-12</v>
          </cell>
          <cell r="C76" t="str">
            <v>صيانة واصلاح</v>
          </cell>
          <cell r="D76" t="str">
            <v xml:space="preserve">تكاليف ادارية وعمومية </v>
          </cell>
          <cell r="E76" t="str">
            <v xml:space="preserve">مصروفات </v>
          </cell>
        </row>
        <row r="77">
          <cell r="A77" t="str">
            <v>99-13</v>
          </cell>
          <cell r="C77" t="str">
            <v>مصاريف شحن و اشتراكات</v>
          </cell>
          <cell r="D77" t="str">
            <v xml:space="preserve">تكاليف ادارية وعمومية </v>
          </cell>
          <cell r="E77" t="str">
            <v xml:space="preserve">مصروفات </v>
          </cell>
        </row>
        <row r="78">
          <cell r="A78" t="str">
            <v>99-14</v>
          </cell>
          <cell r="C78" t="str">
            <v>تامينات اجتماعية</v>
          </cell>
          <cell r="D78" t="str">
            <v xml:space="preserve">تكاليف ادارية وعمومية </v>
          </cell>
          <cell r="E78" t="str">
            <v xml:space="preserve">مصروفات </v>
          </cell>
        </row>
        <row r="79">
          <cell r="A79" t="str">
            <v>99-15</v>
          </cell>
          <cell r="C79" t="str">
            <v>اتعاب مهنية</v>
          </cell>
          <cell r="D79" t="str">
            <v xml:space="preserve">تكاليف ادارية وعمومية </v>
          </cell>
          <cell r="E79" t="str">
            <v xml:space="preserve">مصروفات </v>
          </cell>
        </row>
        <row r="80">
          <cell r="A80" t="str">
            <v>99-16</v>
          </cell>
          <cell r="C80" t="str">
            <v>انتقالات</v>
          </cell>
          <cell r="D80" t="str">
            <v xml:space="preserve">تكاليف ادارية وعمومية </v>
          </cell>
          <cell r="E80" t="str">
            <v xml:space="preserve">مصروفات </v>
          </cell>
        </row>
        <row r="81">
          <cell r="A81" t="str">
            <v>99-17</v>
          </cell>
          <cell r="C81" t="str">
            <v>مصاريف نظافة</v>
          </cell>
          <cell r="D81" t="str">
            <v xml:space="preserve">تكاليف ادارية وعمومية </v>
          </cell>
          <cell r="E81" t="str">
            <v xml:space="preserve">مصروفات </v>
          </cell>
        </row>
        <row r="82">
          <cell r="A82" t="str">
            <v>99-18</v>
          </cell>
          <cell r="C82" t="str">
            <v>مصاريف فوائد</v>
          </cell>
          <cell r="D82" t="str">
            <v xml:space="preserve">تكاليف ادارية وعمومية </v>
          </cell>
          <cell r="E82" t="str">
            <v xml:space="preserve">مصروفات </v>
          </cell>
        </row>
        <row r="83">
          <cell r="A83" t="str">
            <v>99-19</v>
          </cell>
          <cell r="C83" t="str">
            <v>مصاريف تمويلية</v>
          </cell>
          <cell r="D83" t="str">
            <v xml:space="preserve">تكاليف ادارية وعمومية </v>
          </cell>
          <cell r="E83" t="str">
            <v xml:space="preserve">مصروفات </v>
          </cell>
        </row>
        <row r="84">
          <cell r="A84" t="str">
            <v>99-20</v>
          </cell>
          <cell r="C84" t="str">
            <v>تكاليف تسويق</v>
          </cell>
          <cell r="D84" t="str">
            <v xml:space="preserve">تكاليف ادارية وعمومية </v>
          </cell>
          <cell r="E84" t="str">
            <v xml:space="preserve">مصروفات </v>
          </cell>
        </row>
        <row r="85">
          <cell r="A85" t="str">
            <v>99-21</v>
          </cell>
          <cell r="C85" t="str">
            <v>تكاليف معاينات</v>
          </cell>
          <cell r="D85" t="str">
            <v xml:space="preserve">تكاليف ادارية وعمومية </v>
          </cell>
          <cell r="E85" t="str">
            <v xml:space="preserve">مصروفات </v>
          </cell>
        </row>
        <row r="86">
          <cell r="A86" t="str">
            <v>99-22</v>
          </cell>
          <cell r="D86" t="str">
            <v xml:space="preserve">تكاليف ادارية وعمومية </v>
          </cell>
          <cell r="E86" t="str">
            <v xml:space="preserve">مصروفات </v>
          </cell>
        </row>
        <row r="87">
          <cell r="A87">
            <v>341</v>
          </cell>
          <cell r="C87" t="str">
            <v>تكاليف مشروع سوديك  341</v>
          </cell>
          <cell r="D87" t="str">
            <v xml:space="preserve">تكاليف مشروع سوديك </v>
          </cell>
          <cell r="E87" t="str">
            <v xml:space="preserve">تكاليف العمليات </v>
          </cell>
        </row>
        <row r="88">
          <cell r="A88" t="str">
            <v>341-1</v>
          </cell>
          <cell r="C88" t="str">
            <v xml:space="preserve">تكلفة  المعاينة </v>
          </cell>
          <cell r="D88" t="str">
            <v>تكاليف مشروع سوديك  341</v>
          </cell>
          <cell r="E88" t="str">
            <v xml:space="preserve">تكاليف العمليات </v>
          </cell>
        </row>
        <row r="89">
          <cell r="A89" t="str">
            <v>341-2</v>
          </cell>
          <cell r="C89" t="str">
            <v xml:space="preserve"> تكلفة الثري دي </v>
          </cell>
          <cell r="D89" t="str">
            <v>تكاليف مشروع سوديك  341</v>
          </cell>
          <cell r="E89" t="str">
            <v xml:space="preserve">تكاليف العمليات </v>
          </cell>
        </row>
        <row r="90">
          <cell r="A90" t="str">
            <v>341-3</v>
          </cell>
          <cell r="C90" t="str">
            <v xml:space="preserve">اعمال التكسير والهدم والنظافة والتشوينات من مواد </v>
          </cell>
          <cell r="D90" t="str">
            <v>تكاليف مشروع سوديك  341</v>
          </cell>
          <cell r="E90" t="str">
            <v xml:space="preserve">تكاليف العمليات </v>
          </cell>
        </row>
        <row r="91">
          <cell r="A91" t="str">
            <v>341-4</v>
          </cell>
          <cell r="C91" t="str">
            <v xml:space="preserve">اعمال انزال ونقل الراتش ونقل المخلفات </v>
          </cell>
          <cell r="D91" t="str">
            <v>تكاليف مشروع سوديك  341</v>
          </cell>
          <cell r="E91" t="str">
            <v xml:space="preserve">تكاليف العمليات </v>
          </cell>
        </row>
        <row r="92">
          <cell r="A92" t="str">
            <v>341-5</v>
          </cell>
          <cell r="C92" t="str">
            <v>خامات ومصنعية أعمال المباني</v>
          </cell>
          <cell r="D92" t="str">
            <v>تكاليف مشروع سوديك  341</v>
          </cell>
          <cell r="E92" t="str">
            <v xml:space="preserve">تكاليف العمليات </v>
          </cell>
        </row>
        <row r="93">
          <cell r="A93" t="str">
            <v>341-6</v>
          </cell>
          <cell r="C93" t="str">
            <v>خامات ومصنعية أعمال المحارة</v>
          </cell>
          <cell r="D93" t="str">
            <v>تكاليف مشروع سوديك  341</v>
          </cell>
          <cell r="E93" t="str">
            <v xml:space="preserve">تكاليف العمليات </v>
          </cell>
        </row>
        <row r="94">
          <cell r="A94" t="str">
            <v>341-7</v>
          </cell>
          <cell r="C94" t="str">
            <v>خامات ومصنعية أعمال الجبس والديكورات</v>
          </cell>
          <cell r="D94" t="str">
            <v>تكاليف مشروع سوديك  341</v>
          </cell>
          <cell r="E94" t="str">
            <v xml:space="preserve">تكاليف العمليات </v>
          </cell>
        </row>
        <row r="95">
          <cell r="A95" t="str">
            <v>341-8</v>
          </cell>
          <cell r="C95" t="str">
            <v>خامات ومصنعية أعمال الدهانات</v>
          </cell>
          <cell r="D95" t="str">
            <v>تكاليف مشروع سوديك  341</v>
          </cell>
          <cell r="E95" t="str">
            <v xml:space="preserve">تكاليف العمليات </v>
          </cell>
        </row>
        <row r="96">
          <cell r="A96" t="str">
            <v>341-9</v>
          </cell>
          <cell r="C96" t="str">
            <v>خامات ومصنعية أعمال السيراميك</v>
          </cell>
          <cell r="D96" t="str">
            <v>تكاليف مشروع سوديك  341</v>
          </cell>
          <cell r="E96" t="str">
            <v xml:space="preserve">تكاليف العمليات </v>
          </cell>
        </row>
        <row r="97">
          <cell r="A97" t="str">
            <v>341-10</v>
          </cell>
          <cell r="C97" t="str">
            <v>خامات ومصنعية أعمال الرخام</v>
          </cell>
          <cell r="D97" t="str">
            <v>تكاليف مشروع سوديك  341</v>
          </cell>
          <cell r="E97" t="str">
            <v xml:space="preserve">تكاليف العمليات </v>
          </cell>
        </row>
        <row r="98">
          <cell r="A98" t="str">
            <v>341-11</v>
          </cell>
          <cell r="C98" t="str">
            <v>خامات ومصنعية بند الكهرباء</v>
          </cell>
          <cell r="D98" t="str">
            <v>تكاليف مشروع سوديك  341</v>
          </cell>
          <cell r="E98" t="str">
            <v xml:space="preserve">تكاليف العمليات </v>
          </cell>
        </row>
        <row r="99">
          <cell r="A99" t="str">
            <v>341-12</v>
          </cell>
          <cell r="C99" t="str">
            <v>خامات ومصنعية بند السباكة والصحي</v>
          </cell>
          <cell r="D99" t="str">
            <v>تكاليف مشروع سوديك  341</v>
          </cell>
          <cell r="E99" t="str">
            <v xml:space="preserve">تكاليف العمليات </v>
          </cell>
        </row>
        <row r="100">
          <cell r="A100" t="str">
            <v>341-13</v>
          </cell>
          <cell r="C100" t="str">
            <v>خامات ومصنعية أعمال التكييف</v>
          </cell>
          <cell r="D100" t="str">
            <v>تكاليف مشروع سوديك  341</v>
          </cell>
          <cell r="E100" t="str">
            <v xml:space="preserve">تكاليف العمليات </v>
          </cell>
        </row>
        <row r="101">
          <cell r="A101" t="str">
            <v>341-14</v>
          </cell>
          <cell r="C101" t="str">
            <v>خامات ومصنعية أعمال النجارة والأبواب</v>
          </cell>
          <cell r="D101" t="str">
            <v>تكاليف مشروع سوديك  341</v>
          </cell>
          <cell r="E101" t="str">
            <v xml:space="preserve">تكاليف العمليات </v>
          </cell>
        </row>
        <row r="102">
          <cell r="A102" t="str">
            <v>341-15</v>
          </cell>
          <cell r="C102" t="str">
            <v>خامات ومصنعية أعمال المطابخ</v>
          </cell>
          <cell r="D102" t="str">
            <v>تكاليف مشروع سوديك  341</v>
          </cell>
          <cell r="E102" t="str">
            <v xml:space="preserve">تكاليف العمليات </v>
          </cell>
        </row>
        <row r="103">
          <cell r="A103" t="str">
            <v>341-16</v>
          </cell>
          <cell r="C103" t="str">
            <v>خامات ومصنعية أعمال الألوميتال</v>
          </cell>
          <cell r="D103" t="str">
            <v>تكاليف مشروع سوديك  341</v>
          </cell>
          <cell r="E103" t="str">
            <v xml:space="preserve">تكاليف العمليات </v>
          </cell>
        </row>
        <row r="104">
          <cell r="A104" t="str">
            <v>341-17</v>
          </cell>
          <cell r="C104" t="str">
            <v>خامات ومصنعية أعمال الزجاج والسكوريت</v>
          </cell>
          <cell r="D104" t="str">
            <v>تكاليف مشروع سوديك  341</v>
          </cell>
          <cell r="E104" t="str">
            <v xml:space="preserve">تكاليف العمليات </v>
          </cell>
        </row>
        <row r="105">
          <cell r="A105" t="str">
            <v>341-18</v>
          </cell>
          <cell r="C105" t="str">
            <v>خامات ومصنعية أعمال الشاتر</v>
          </cell>
          <cell r="D105" t="str">
            <v>تكاليف مشروع سوديك  341</v>
          </cell>
          <cell r="E105" t="str">
            <v xml:space="preserve">تكاليف العمليات </v>
          </cell>
        </row>
        <row r="106">
          <cell r="A106" t="str">
            <v>341-19</v>
          </cell>
          <cell r="C106" t="str">
            <v>خامات ومصنعية أعمال المرايات</v>
          </cell>
          <cell r="D106" t="str">
            <v>تكاليف مشروع سوديك  341</v>
          </cell>
          <cell r="E106" t="str">
            <v xml:space="preserve">تكاليف العمليات </v>
          </cell>
        </row>
        <row r="107">
          <cell r="A107" t="str">
            <v>341-20</v>
          </cell>
          <cell r="C107" t="str">
            <v>خامات ومصنعية أعمال العزل</v>
          </cell>
          <cell r="D107" t="str">
            <v>تكاليف مشروع سوديك  341</v>
          </cell>
          <cell r="E107" t="str">
            <v xml:space="preserve">تكاليف العمليات </v>
          </cell>
        </row>
        <row r="108">
          <cell r="A108" t="str">
            <v>341-21</v>
          </cell>
          <cell r="C108" t="str">
            <v>خامات ومصنعية أعمال الشفاطات</v>
          </cell>
          <cell r="D108" t="str">
            <v>تكاليف مشروع سوديك  341</v>
          </cell>
          <cell r="E108" t="str">
            <v xml:space="preserve">تكاليف العمليات </v>
          </cell>
        </row>
        <row r="109">
          <cell r="A109" t="str">
            <v>341-22</v>
          </cell>
          <cell r="C109" t="str">
            <v>خامات ومصنعية أعمال النجف والإضاءة</v>
          </cell>
          <cell r="D109" t="str">
            <v>تكاليف مشروع سوديك  341</v>
          </cell>
          <cell r="E109" t="str">
            <v xml:space="preserve">تكاليف العمليات </v>
          </cell>
        </row>
        <row r="110">
          <cell r="A110" t="str">
            <v>341-23</v>
          </cell>
          <cell r="C110" t="str">
            <v>خامات ومصنعية أعمال اللاند سكيب</v>
          </cell>
          <cell r="D110" t="str">
            <v>تكاليف مشروع سوديك  341</v>
          </cell>
          <cell r="E110" t="str">
            <v xml:space="preserve">تكاليف العمليات </v>
          </cell>
        </row>
        <row r="111">
          <cell r="A111" t="str">
            <v>341-24</v>
          </cell>
          <cell r="C111" t="str">
            <v>خامات ومصنعية أعمال الأرضيات الخشبية</v>
          </cell>
          <cell r="D111" t="str">
            <v>تكاليف مشروع سوديك  341</v>
          </cell>
          <cell r="E111" t="str">
            <v xml:space="preserve">تكاليف العمليات </v>
          </cell>
        </row>
        <row r="112">
          <cell r="A112" t="str">
            <v>341-25</v>
          </cell>
          <cell r="C112" t="str">
            <v>خامات ومصنعية أعمال الستائر</v>
          </cell>
          <cell r="D112" t="str">
            <v>تكاليف مشروع سوديك  341</v>
          </cell>
          <cell r="E112" t="str">
            <v xml:space="preserve">تكاليف العمليات </v>
          </cell>
        </row>
        <row r="113">
          <cell r="A113" t="str">
            <v>341-26</v>
          </cell>
          <cell r="C113" t="str">
            <v>خامات ومصنعية أعمال الأثاث</v>
          </cell>
          <cell r="D113" t="str">
            <v>تكاليف مشروع سوديك  341</v>
          </cell>
          <cell r="E113" t="str">
            <v xml:space="preserve">تكاليف العمليات </v>
          </cell>
        </row>
        <row r="114">
          <cell r="A114" t="str">
            <v>341-27</v>
          </cell>
          <cell r="C114" t="str">
            <v>خامات ومصنعية أعمال النقل والتشوين</v>
          </cell>
          <cell r="D114" t="str">
            <v>تكاليف مشروع سوديك  341</v>
          </cell>
          <cell r="E114" t="str">
            <v xml:space="preserve">تكاليف العمليات </v>
          </cell>
        </row>
        <row r="115">
          <cell r="A115" t="str">
            <v>341-28</v>
          </cell>
          <cell r="C115" t="str">
            <v>رسوم وتصاريح المشروع واكراميات</v>
          </cell>
          <cell r="D115" t="str">
            <v>تكاليف مشروع سوديك  341</v>
          </cell>
          <cell r="E115" t="str">
            <v xml:space="preserve">تكاليف العمليات </v>
          </cell>
        </row>
        <row r="116">
          <cell r="A116" t="str">
            <v>341-29</v>
          </cell>
          <cell r="C116" t="str">
            <v>عمالة ويوميات مباشرة</v>
          </cell>
          <cell r="D116" t="str">
            <v>تكاليف مشروع سوديك  341</v>
          </cell>
          <cell r="E116" t="str">
            <v xml:space="preserve">تكاليف العمليات </v>
          </cell>
        </row>
        <row r="117">
          <cell r="A117" t="str">
            <v>341-30</v>
          </cell>
          <cell r="C117" t="str">
            <v>انتقالات اخري</v>
          </cell>
          <cell r="D117" t="str">
            <v>تكاليف مشروع سوديك  341</v>
          </cell>
          <cell r="E117" t="str">
            <v xml:space="preserve">تكاليف العمليات </v>
          </cell>
        </row>
        <row r="118">
          <cell r="A118" t="str">
            <v>341-31</v>
          </cell>
          <cell r="D118" t="str">
            <v>تكاليف مشروع سوديك  341</v>
          </cell>
          <cell r="E118" t="str">
            <v xml:space="preserve">تكاليف العمليات </v>
          </cell>
        </row>
        <row r="119">
          <cell r="A119" t="str">
            <v>341-32</v>
          </cell>
          <cell r="D119" t="str">
            <v>تكاليف مشروع سوديك  341</v>
          </cell>
          <cell r="E119" t="str">
            <v xml:space="preserve">تكاليف العمليات </v>
          </cell>
        </row>
        <row r="120">
          <cell r="A120" t="str">
            <v>341-33</v>
          </cell>
          <cell r="D120" t="str">
            <v>تكاليف مشروع سوديك  341</v>
          </cell>
          <cell r="E120" t="str">
            <v xml:space="preserve">تكاليف العمليات </v>
          </cell>
        </row>
        <row r="121">
          <cell r="A121" t="str">
            <v>341-34</v>
          </cell>
          <cell r="D121" t="str">
            <v>تكاليف مشروع سوديك  341</v>
          </cell>
          <cell r="E121" t="str">
            <v xml:space="preserve">تكاليف العمليات </v>
          </cell>
        </row>
        <row r="122">
          <cell r="A122">
            <v>149</v>
          </cell>
          <cell r="C122" t="str">
            <v>تكاليف مشروع بيت الوطن  149</v>
          </cell>
          <cell r="D122" t="str">
            <v>تكاليف مشروع بيت الوطن  149</v>
          </cell>
          <cell r="E122" t="str">
            <v xml:space="preserve">تكاليف العمليات </v>
          </cell>
        </row>
        <row r="123">
          <cell r="A123" t="str">
            <v>149-1</v>
          </cell>
          <cell r="C123" t="str">
            <v xml:space="preserve">تكلفة  المعاينة </v>
          </cell>
          <cell r="D123" t="str">
            <v>تكاليف مشروع بيت الوطن  149</v>
          </cell>
          <cell r="E123" t="str">
            <v xml:space="preserve">تكاليف العمليات </v>
          </cell>
        </row>
        <row r="124">
          <cell r="A124" t="str">
            <v>149-2</v>
          </cell>
          <cell r="C124" t="str">
            <v xml:space="preserve"> تكلفة الثري دي </v>
          </cell>
          <cell r="D124" t="str">
            <v>تكاليف مشروع بيت الوطن  149</v>
          </cell>
          <cell r="E124" t="str">
            <v xml:space="preserve">تكاليف العمليات </v>
          </cell>
        </row>
        <row r="125">
          <cell r="A125" t="str">
            <v>149-3</v>
          </cell>
          <cell r="C125" t="str">
            <v>اعمال التكسير والهدم والنظافة</v>
          </cell>
          <cell r="D125" t="str">
            <v>تكاليف مشروع بيت الوطن  149</v>
          </cell>
          <cell r="E125" t="str">
            <v xml:space="preserve">تكاليف العمليات </v>
          </cell>
        </row>
        <row r="126">
          <cell r="A126" t="str">
            <v>149-4</v>
          </cell>
          <cell r="C126" t="str">
            <v xml:space="preserve">اعمال انزال ونقل الراتش ونقل المخلفات </v>
          </cell>
          <cell r="D126" t="str">
            <v>تكاليف مشروع بيت الوطن  149</v>
          </cell>
          <cell r="E126" t="str">
            <v xml:space="preserve">تكاليف العمليات </v>
          </cell>
        </row>
        <row r="127">
          <cell r="A127" t="str">
            <v>149-5</v>
          </cell>
          <cell r="C127" t="str">
            <v>خامات ومصنعية أعمال المباني</v>
          </cell>
          <cell r="D127" t="str">
            <v>تكاليف مشروع بيت الوطن  149</v>
          </cell>
          <cell r="E127" t="str">
            <v xml:space="preserve">تكاليف العمليات </v>
          </cell>
        </row>
        <row r="128">
          <cell r="A128" t="str">
            <v>149-6</v>
          </cell>
          <cell r="C128" t="str">
            <v>خامات ومصنعية أعمال المحارة</v>
          </cell>
          <cell r="D128" t="str">
            <v>تكاليف مشروع بيت الوطن  149</v>
          </cell>
          <cell r="E128" t="str">
            <v xml:space="preserve">تكاليف العمليات </v>
          </cell>
        </row>
        <row r="129">
          <cell r="A129" t="str">
            <v>149-7</v>
          </cell>
          <cell r="C129" t="str">
            <v>خامات ومصنعية أعمال الجبس والديكورات</v>
          </cell>
          <cell r="D129" t="str">
            <v>تكاليف مشروع بيت الوطن  149</v>
          </cell>
          <cell r="E129" t="str">
            <v xml:space="preserve">تكاليف العمليات </v>
          </cell>
        </row>
        <row r="130">
          <cell r="A130" t="str">
            <v>149-8</v>
          </cell>
          <cell r="C130" t="str">
            <v>خامات ومصنعية أعمال الدهانات</v>
          </cell>
          <cell r="D130" t="str">
            <v>تكاليف مشروع بيت الوطن  149</v>
          </cell>
          <cell r="E130" t="str">
            <v xml:space="preserve">تكاليف العمليات </v>
          </cell>
        </row>
        <row r="131">
          <cell r="A131" t="str">
            <v>149-9</v>
          </cell>
          <cell r="C131" t="str">
            <v>خامات ومصنعية أعمال السيراميك</v>
          </cell>
          <cell r="D131" t="str">
            <v>تكاليف مشروع بيت الوطن  149</v>
          </cell>
          <cell r="E131" t="str">
            <v xml:space="preserve">تكاليف العمليات </v>
          </cell>
        </row>
        <row r="132">
          <cell r="A132" t="str">
            <v>149-10</v>
          </cell>
          <cell r="C132" t="str">
            <v>خامات ومصنعية أعمال الرخام</v>
          </cell>
          <cell r="D132" t="str">
            <v>تكاليف مشروع بيت الوطن  149</v>
          </cell>
          <cell r="E132" t="str">
            <v xml:space="preserve">تكاليف العمليات </v>
          </cell>
        </row>
        <row r="133">
          <cell r="A133" t="str">
            <v>149-11</v>
          </cell>
          <cell r="C133" t="str">
            <v>خامات ومصنعية بند الكهرباء</v>
          </cell>
          <cell r="D133" t="str">
            <v>تكاليف مشروع بيت الوطن  149</v>
          </cell>
          <cell r="E133" t="str">
            <v xml:space="preserve">تكاليف العمليات </v>
          </cell>
        </row>
        <row r="134">
          <cell r="A134" t="str">
            <v>149-12</v>
          </cell>
          <cell r="C134" t="str">
            <v>خامات ومصنعية بند السباكة والصحي</v>
          </cell>
          <cell r="D134" t="str">
            <v>تكاليف مشروع بيت الوطن  149</v>
          </cell>
          <cell r="E134" t="str">
            <v xml:space="preserve">تكاليف العمليات </v>
          </cell>
        </row>
        <row r="135">
          <cell r="A135" t="str">
            <v>149-13</v>
          </cell>
          <cell r="C135" t="str">
            <v>خامات ومصنعية أعمال التكييف</v>
          </cell>
          <cell r="D135" t="str">
            <v>تكاليف مشروع بيت الوطن  149</v>
          </cell>
          <cell r="E135" t="str">
            <v xml:space="preserve">تكاليف العمليات </v>
          </cell>
        </row>
        <row r="136">
          <cell r="A136" t="str">
            <v>149-14</v>
          </cell>
          <cell r="C136" t="str">
            <v>خامات ومصنعية أعمال النجارة والأبواب</v>
          </cell>
          <cell r="D136" t="str">
            <v>تكاليف مشروع بيت الوطن  149</v>
          </cell>
          <cell r="E136" t="str">
            <v xml:space="preserve">تكاليف العمليات </v>
          </cell>
        </row>
        <row r="137">
          <cell r="A137" t="str">
            <v>149-15</v>
          </cell>
          <cell r="C137" t="str">
            <v>خامات ومصنعية أعمال المطابخ</v>
          </cell>
          <cell r="D137" t="str">
            <v>تكاليف مشروع بيت الوطن  149</v>
          </cell>
          <cell r="E137" t="str">
            <v xml:space="preserve">تكاليف العمليات </v>
          </cell>
        </row>
        <row r="138">
          <cell r="A138" t="str">
            <v>149-16</v>
          </cell>
          <cell r="C138" t="str">
            <v>خامات ومصنعية أعمال الألوميتال</v>
          </cell>
          <cell r="D138" t="str">
            <v>تكاليف مشروع بيت الوطن  149</v>
          </cell>
          <cell r="E138" t="str">
            <v xml:space="preserve">تكاليف العمليات </v>
          </cell>
        </row>
        <row r="139">
          <cell r="A139" t="str">
            <v>149-17</v>
          </cell>
          <cell r="C139" t="str">
            <v>خامات ومصنعية أعمال الزجاج والسكوريت</v>
          </cell>
          <cell r="D139" t="str">
            <v>تكاليف مشروع بيت الوطن  149</v>
          </cell>
          <cell r="E139" t="str">
            <v xml:space="preserve">تكاليف العمليات </v>
          </cell>
        </row>
        <row r="140">
          <cell r="A140" t="str">
            <v>149-18</v>
          </cell>
          <cell r="C140" t="str">
            <v>خامات ومصنعية أعمال الشاتر</v>
          </cell>
          <cell r="D140" t="str">
            <v>تكاليف مشروع بيت الوطن  149</v>
          </cell>
          <cell r="E140" t="str">
            <v xml:space="preserve">تكاليف العمليات </v>
          </cell>
        </row>
        <row r="141">
          <cell r="A141" t="str">
            <v>149-19</v>
          </cell>
          <cell r="C141" t="str">
            <v>خامات ومصنعية أعمال المرايات</v>
          </cell>
          <cell r="D141" t="str">
            <v>تكاليف مشروع بيت الوطن  149</v>
          </cell>
          <cell r="E141" t="str">
            <v xml:space="preserve">تكاليف العمليات </v>
          </cell>
        </row>
        <row r="142">
          <cell r="A142" t="str">
            <v>149-20</v>
          </cell>
          <cell r="C142" t="str">
            <v>خامات ومصنعية أعمال العزل</v>
          </cell>
          <cell r="D142" t="str">
            <v>تكاليف مشروع بيت الوطن  149</v>
          </cell>
          <cell r="E142" t="str">
            <v xml:space="preserve">تكاليف العمليات </v>
          </cell>
        </row>
        <row r="143">
          <cell r="A143" t="str">
            <v>149-21</v>
          </cell>
          <cell r="C143" t="str">
            <v>خامات ومصنعية أعمال الشفاطات</v>
          </cell>
          <cell r="D143" t="str">
            <v>تكاليف مشروع بيت الوطن  149</v>
          </cell>
          <cell r="E143" t="str">
            <v xml:space="preserve">تكاليف العمليات </v>
          </cell>
        </row>
        <row r="144">
          <cell r="A144" t="str">
            <v>149-22</v>
          </cell>
          <cell r="C144" t="str">
            <v>خامات ومصنعية أعمال النجف والإضاءة</v>
          </cell>
          <cell r="D144" t="str">
            <v>تكاليف مشروع بيت الوطن  149</v>
          </cell>
          <cell r="E144" t="str">
            <v xml:space="preserve">تكاليف العمليات </v>
          </cell>
        </row>
        <row r="145">
          <cell r="A145" t="str">
            <v>149-23</v>
          </cell>
          <cell r="C145" t="str">
            <v>خامات ومصنعية أعمال اللاند سكيب</v>
          </cell>
          <cell r="D145" t="str">
            <v>تكاليف مشروع بيت الوطن  149</v>
          </cell>
          <cell r="E145" t="str">
            <v xml:space="preserve">تكاليف العمليات </v>
          </cell>
        </row>
        <row r="146">
          <cell r="A146" t="str">
            <v>149-24</v>
          </cell>
          <cell r="C146" t="str">
            <v>خامات ومصنعية أعمال الأرضيات الخشبية</v>
          </cell>
          <cell r="D146" t="str">
            <v>تكاليف مشروع بيت الوطن  149</v>
          </cell>
          <cell r="E146" t="str">
            <v xml:space="preserve">تكاليف العمليات </v>
          </cell>
        </row>
        <row r="147">
          <cell r="A147" t="str">
            <v>149-25</v>
          </cell>
          <cell r="C147" t="str">
            <v>خامات ومصنعية أعمال الستائر</v>
          </cell>
          <cell r="D147" t="str">
            <v>تكاليف مشروع بيت الوطن  149</v>
          </cell>
          <cell r="E147" t="str">
            <v xml:space="preserve">تكاليف العمليات </v>
          </cell>
        </row>
        <row r="148">
          <cell r="A148" t="str">
            <v>149-26</v>
          </cell>
          <cell r="C148" t="str">
            <v>خامات ومصنعية أعمال الأثاث</v>
          </cell>
          <cell r="D148" t="str">
            <v>تكاليف مشروع بيت الوطن  149</v>
          </cell>
          <cell r="E148" t="str">
            <v xml:space="preserve">تكاليف العمليات </v>
          </cell>
        </row>
        <row r="149">
          <cell r="A149" t="str">
            <v>149-27</v>
          </cell>
          <cell r="C149" t="str">
            <v>خامات ومصنعية أعمال النقل والتشوين</v>
          </cell>
          <cell r="D149" t="str">
            <v>تكاليف مشروع بيت الوطن  149</v>
          </cell>
          <cell r="E149" t="str">
            <v xml:space="preserve">تكاليف العمليات </v>
          </cell>
        </row>
        <row r="150">
          <cell r="A150" t="str">
            <v>149-28</v>
          </cell>
          <cell r="C150" t="str">
            <v>رسوم وتصاريح المشروع واكراميات</v>
          </cell>
          <cell r="D150" t="str">
            <v>تكاليف مشروع بيت الوطن  149</v>
          </cell>
          <cell r="E150" t="str">
            <v xml:space="preserve">تكاليف العمليات </v>
          </cell>
        </row>
        <row r="151">
          <cell r="A151" t="str">
            <v>149-29</v>
          </cell>
          <cell r="C151" t="str">
            <v>عمالة ويوميات مباشرة</v>
          </cell>
          <cell r="D151" t="str">
            <v>تكاليف مشروع بيت الوطن  149</v>
          </cell>
          <cell r="E151" t="str">
            <v xml:space="preserve">تكاليف العمليات </v>
          </cell>
        </row>
        <row r="152">
          <cell r="A152" t="str">
            <v>149-30</v>
          </cell>
          <cell r="D152" t="str">
            <v>تكاليف مشروع بيت الوطن  149</v>
          </cell>
          <cell r="E152" t="str">
            <v xml:space="preserve">تكاليف العمليات </v>
          </cell>
        </row>
        <row r="153">
          <cell r="A153" t="str">
            <v>149-31</v>
          </cell>
          <cell r="D153" t="str">
            <v>تكاليف مشروع بيت الوطن  149</v>
          </cell>
          <cell r="E153" t="str">
            <v xml:space="preserve">تكاليف العمليات </v>
          </cell>
        </row>
        <row r="154">
          <cell r="A154" t="str">
            <v>149-32</v>
          </cell>
          <cell r="D154" t="str">
            <v>تكاليف مشروع بيت الوطن  149</v>
          </cell>
          <cell r="E154" t="str">
            <v xml:space="preserve">تكاليف العمليات </v>
          </cell>
        </row>
        <row r="155">
          <cell r="A155" t="str">
            <v>149-33</v>
          </cell>
          <cell r="D155" t="str">
            <v>تكاليف مشروع بيت الوطن  149</v>
          </cell>
          <cell r="E155" t="str">
            <v xml:space="preserve">تكاليف العمليات </v>
          </cell>
        </row>
        <row r="156">
          <cell r="A156" t="str">
            <v>149-34</v>
          </cell>
          <cell r="D156" t="str">
            <v>تكاليف مشروع بيت الوطن  149</v>
          </cell>
          <cell r="E156" t="str">
            <v xml:space="preserve">تكاليف العمليات </v>
          </cell>
        </row>
        <row r="157">
          <cell r="A157">
            <v>235</v>
          </cell>
          <cell r="C157" t="str">
            <v>تكاليف مشروع الباتيو 235</v>
          </cell>
          <cell r="D157" t="str">
            <v>تكاليف مشروع الباتيو 235</v>
          </cell>
          <cell r="E157" t="str">
            <v xml:space="preserve">تكاليف العمليات </v>
          </cell>
        </row>
        <row r="158">
          <cell r="A158" t="str">
            <v>235-1</v>
          </cell>
          <cell r="C158" t="str">
            <v xml:space="preserve">تكلفة  المعاينة </v>
          </cell>
          <cell r="D158" t="str">
            <v>تكاليف مشروع الباتيو 235</v>
          </cell>
          <cell r="E158" t="str">
            <v xml:space="preserve">تكاليف العمليات </v>
          </cell>
        </row>
        <row r="159">
          <cell r="A159" t="str">
            <v>235-2</v>
          </cell>
          <cell r="C159" t="str">
            <v xml:space="preserve"> تكلفة الثري دي </v>
          </cell>
          <cell r="D159" t="str">
            <v>تكاليف مشروع الباتيو 235</v>
          </cell>
          <cell r="E159" t="str">
            <v xml:space="preserve">تكاليف العمليات </v>
          </cell>
        </row>
        <row r="160">
          <cell r="A160" t="str">
            <v>235-3</v>
          </cell>
          <cell r="C160" t="str">
            <v>اعمال التكسير والهدم والنظافة</v>
          </cell>
          <cell r="D160" t="str">
            <v>تكاليف مشروع الباتيو 235</v>
          </cell>
          <cell r="E160" t="str">
            <v xml:space="preserve">تكاليف العمليات </v>
          </cell>
        </row>
        <row r="161">
          <cell r="A161" t="str">
            <v>235-4</v>
          </cell>
          <cell r="C161" t="str">
            <v xml:space="preserve">اعمال انزال ونقل الراتش ونقل المخلفات </v>
          </cell>
          <cell r="D161" t="str">
            <v>تكاليف مشروع الباتيو 235</v>
          </cell>
          <cell r="E161" t="str">
            <v xml:space="preserve">تكاليف العمليات </v>
          </cell>
        </row>
        <row r="162">
          <cell r="A162" t="str">
            <v>235-5</v>
          </cell>
          <cell r="C162" t="str">
            <v>خامات ومصنعية أعمال المباني</v>
          </cell>
          <cell r="D162" t="str">
            <v>تكاليف مشروع الباتيو 235</v>
          </cell>
          <cell r="E162" t="str">
            <v xml:space="preserve">تكاليف العمليات </v>
          </cell>
        </row>
        <row r="163">
          <cell r="A163" t="str">
            <v>235-6</v>
          </cell>
          <cell r="C163" t="str">
            <v>خامات ومصنعية أعمال المحارة</v>
          </cell>
          <cell r="D163" t="str">
            <v>تكاليف مشروع الباتيو 235</v>
          </cell>
          <cell r="E163" t="str">
            <v xml:space="preserve">تكاليف العمليات </v>
          </cell>
        </row>
        <row r="164">
          <cell r="A164" t="str">
            <v>235-7</v>
          </cell>
          <cell r="C164" t="str">
            <v>خامات ومصنعية أعمال الجبس والديكورات</v>
          </cell>
          <cell r="D164" t="str">
            <v>تكاليف مشروع الباتيو 235</v>
          </cell>
          <cell r="E164" t="str">
            <v xml:space="preserve">تكاليف العمليات </v>
          </cell>
        </row>
        <row r="165">
          <cell r="A165" t="str">
            <v>235-8</v>
          </cell>
          <cell r="C165" t="str">
            <v>خامات ومصنعية أعمال الدهانات</v>
          </cell>
          <cell r="D165" t="str">
            <v>تكاليف مشروع الباتيو 235</v>
          </cell>
          <cell r="E165" t="str">
            <v xml:space="preserve">تكاليف العمليات </v>
          </cell>
        </row>
        <row r="166">
          <cell r="A166" t="str">
            <v>235-9</v>
          </cell>
          <cell r="C166" t="str">
            <v>خامات ومصنعية أعمال السيراميك</v>
          </cell>
          <cell r="D166" t="str">
            <v>تكاليف مشروع الباتيو 235</v>
          </cell>
          <cell r="E166" t="str">
            <v xml:space="preserve">تكاليف العمليات </v>
          </cell>
        </row>
        <row r="167">
          <cell r="A167" t="str">
            <v>235-10</v>
          </cell>
          <cell r="C167" t="str">
            <v>خامات ومصنعية أعمال الرخام</v>
          </cell>
          <cell r="D167" t="str">
            <v>تكاليف مشروع الباتيو 235</v>
          </cell>
          <cell r="E167" t="str">
            <v xml:space="preserve">تكاليف العمليات </v>
          </cell>
        </row>
        <row r="168">
          <cell r="A168" t="str">
            <v>235-11</v>
          </cell>
          <cell r="C168" t="str">
            <v>خامات ومصنعية بند الكهرباء</v>
          </cell>
          <cell r="D168" t="str">
            <v>تكاليف مشروع الباتيو 235</v>
          </cell>
          <cell r="E168" t="str">
            <v xml:space="preserve">تكاليف العمليات </v>
          </cell>
        </row>
        <row r="169">
          <cell r="A169" t="str">
            <v>235-12</v>
          </cell>
          <cell r="C169" t="str">
            <v>خامات ومصنعية بند السباكة والصحي</v>
          </cell>
          <cell r="D169" t="str">
            <v>تكاليف مشروع الباتيو 235</v>
          </cell>
          <cell r="E169" t="str">
            <v xml:space="preserve">تكاليف العمليات </v>
          </cell>
        </row>
        <row r="170">
          <cell r="A170" t="str">
            <v>235-13</v>
          </cell>
          <cell r="C170" t="str">
            <v>خامات ومصنعية أعمال التكييف</v>
          </cell>
          <cell r="D170" t="str">
            <v>تكاليف مشروع الباتيو 235</v>
          </cell>
          <cell r="E170" t="str">
            <v xml:space="preserve">تكاليف العمليات </v>
          </cell>
        </row>
        <row r="171">
          <cell r="A171" t="str">
            <v>235-14</v>
          </cell>
          <cell r="C171" t="str">
            <v>خامات ومصنعية أعمال النجارة والأبواب</v>
          </cell>
          <cell r="D171" t="str">
            <v>تكاليف مشروع الباتيو 235</v>
          </cell>
          <cell r="E171" t="str">
            <v xml:space="preserve">تكاليف العمليات </v>
          </cell>
        </row>
        <row r="172">
          <cell r="A172" t="str">
            <v>235-15</v>
          </cell>
          <cell r="C172" t="str">
            <v>خامات ومصنعية أعمال المطابخ</v>
          </cell>
          <cell r="D172" t="str">
            <v>تكاليف مشروع الباتيو 235</v>
          </cell>
          <cell r="E172" t="str">
            <v xml:space="preserve">تكاليف العمليات </v>
          </cell>
        </row>
        <row r="173">
          <cell r="A173" t="str">
            <v>235-16</v>
          </cell>
          <cell r="C173" t="str">
            <v>خامات ومصنعية أعمال الألوميتال</v>
          </cell>
          <cell r="D173" t="str">
            <v>تكاليف مشروع الباتيو 235</v>
          </cell>
          <cell r="E173" t="str">
            <v xml:space="preserve">تكاليف العمليات </v>
          </cell>
        </row>
        <row r="174">
          <cell r="A174" t="str">
            <v>235-17</v>
          </cell>
          <cell r="C174" t="str">
            <v>خامات ومصنعية أعمال الزجاج والسكوريت</v>
          </cell>
          <cell r="D174" t="str">
            <v>تكاليف مشروع الباتيو 235</v>
          </cell>
          <cell r="E174" t="str">
            <v xml:space="preserve">تكاليف العمليات </v>
          </cell>
        </row>
        <row r="175">
          <cell r="A175" t="str">
            <v>235-18</v>
          </cell>
          <cell r="C175" t="str">
            <v>خامات ومصنعية أعمال الشاتر</v>
          </cell>
          <cell r="D175" t="str">
            <v>تكاليف مشروع الباتيو 235</v>
          </cell>
          <cell r="E175" t="str">
            <v xml:space="preserve">تكاليف العمليات </v>
          </cell>
        </row>
        <row r="176">
          <cell r="A176" t="str">
            <v>235-19</v>
          </cell>
          <cell r="C176" t="str">
            <v>خامات ومصنعية أعمال المرايات</v>
          </cell>
          <cell r="D176" t="str">
            <v>تكاليف مشروع الباتيو 235</v>
          </cell>
          <cell r="E176" t="str">
            <v xml:space="preserve">تكاليف العمليات </v>
          </cell>
        </row>
        <row r="177">
          <cell r="A177" t="str">
            <v>235-20</v>
          </cell>
          <cell r="C177" t="str">
            <v>خامات ومصنعية أعمال العزل</v>
          </cell>
          <cell r="D177" t="str">
            <v>تكاليف مشروع الباتيو 235</v>
          </cell>
          <cell r="E177" t="str">
            <v xml:space="preserve">تكاليف العمليات </v>
          </cell>
        </row>
        <row r="178">
          <cell r="A178" t="str">
            <v>235-21</v>
          </cell>
          <cell r="C178" t="str">
            <v>خامات ومصنعية أعمال الشفاطات</v>
          </cell>
          <cell r="D178" t="str">
            <v>تكاليف مشروع الباتيو 235</v>
          </cell>
          <cell r="E178" t="str">
            <v xml:space="preserve">تكاليف العمليات </v>
          </cell>
        </row>
        <row r="179">
          <cell r="A179" t="str">
            <v>235-22</v>
          </cell>
          <cell r="C179" t="str">
            <v>خامات ومصنعية أعمال النجف والإضاءة</v>
          </cell>
          <cell r="D179" t="str">
            <v>تكاليف مشروع الباتيو 235</v>
          </cell>
          <cell r="E179" t="str">
            <v xml:space="preserve">تكاليف العمليات </v>
          </cell>
        </row>
        <row r="180">
          <cell r="A180" t="str">
            <v>235-23</v>
          </cell>
          <cell r="C180" t="str">
            <v>خامات ومصنعية أعمال اللاند سكيب</v>
          </cell>
          <cell r="D180" t="str">
            <v>تكاليف مشروع الباتيو 235</v>
          </cell>
          <cell r="E180" t="str">
            <v xml:space="preserve">تكاليف العمليات </v>
          </cell>
        </row>
        <row r="181">
          <cell r="A181" t="str">
            <v>235-24</v>
          </cell>
          <cell r="C181" t="str">
            <v>خامات ومصنعية أعمال الأرضيات الخشبية</v>
          </cell>
          <cell r="D181" t="str">
            <v>تكاليف مشروع الباتيو 235</v>
          </cell>
          <cell r="E181" t="str">
            <v xml:space="preserve">تكاليف العمليات </v>
          </cell>
        </row>
        <row r="182">
          <cell r="A182" t="str">
            <v>235-25</v>
          </cell>
          <cell r="C182" t="str">
            <v>خامات ومصنعية أعمال الستائر</v>
          </cell>
          <cell r="D182" t="str">
            <v>تكاليف مشروع الباتيو 235</v>
          </cell>
          <cell r="E182" t="str">
            <v xml:space="preserve">تكاليف العمليات </v>
          </cell>
        </row>
        <row r="183">
          <cell r="A183" t="str">
            <v>235-26</v>
          </cell>
          <cell r="C183" t="str">
            <v>خامات ومصنعية أعمال الأثاث</v>
          </cell>
          <cell r="D183" t="str">
            <v>تكاليف مشروع الباتيو 235</v>
          </cell>
          <cell r="E183" t="str">
            <v xml:space="preserve">تكاليف العمليات </v>
          </cell>
        </row>
        <row r="184">
          <cell r="A184" t="str">
            <v>235-27</v>
          </cell>
          <cell r="C184" t="str">
            <v>خامات ومصنعية أعمال النقل والتشوين</v>
          </cell>
          <cell r="D184" t="str">
            <v>تكاليف مشروع الباتيو 235</v>
          </cell>
          <cell r="E184" t="str">
            <v xml:space="preserve">تكاليف العمليات </v>
          </cell>
        </row>
        <row r="185">
          <cell r="A185" t="str">
            <v>235-28</v>
          </cell>
          <cell r="C185" t="str">
            <v>رسوم وتصاريح المشروع واكراميات</v>
          </cell>
          <cell r="D185" t="str">
            <v>تكاليف مشروع الباتيو 235</v>
          </cell>
          <cell r="E185" t="str">
            <v xml:space="preserve">تكاليف العمليات </v>
          </cell>
        </row>
        <row r="186">
          <cell r="A186" t="str">
            <v>235-29</v>
          </cell>
          <cell r="C186" t="str">
            <v>عمالة ويوميات مباشرة</v>
          </cell>
          <cell r="D186" t="str">
            <v>تكاليف مشروع الباتيو 235</v>
          </cell>
          <cell r="E186" t="str">
            <v xml:space="preserve">تكاليف العمليات </v>
          </cell>
        </row>
        <row r="187">
          <cell r="A187" t="str">
            <v>235-30</v>
          </cell>
          <cell r="D187" t="str">
            <v>تكاليف مشروع الباتيو 235</v>
          </cell>
          <cell r="E187" t="str">
            <v xml:space="preserve">تكاليف العمليات </v>
          </cell>
        </row>
        <row r="188">
          <cell r="A188" t="str">
            <v>235-31</v>
          </cell>
          <cell r="D188" t="str">
            <v>تكاليف مشروع الباتيو 235</v>
          </cell>
          <cell r="E188" t="str">
            <v xml:space="preserve">تكاليف العمليات </v>
          </cell>
        </row>
        <row r="189">
          <cell r="A189" t="str">
            <v>235-32</v>
          </cell>
          <cell r="D189" t="str">
            <v>تكاليف مشروع الباتيو 235</v>
          </cell>
          <cell r="E189" t="str">
            <v xml:space="preserve">تكاليف العمليات </v>
          </cell>
        </row>
        <row r="190">
          <cell r="A190" t="str">
            <v>235-33</v>
          </cell>
          <cell r="D190" t="str">
            <v>تكاليف مشروع الباتيو 235</v>
          </cell>
          <cell r="E190" t="str">
            <v xml:space="preserve">تكاليف العمليات </v>
          </cell>
        </row>
        <row r="191">
          <cell r="A191" t="str">
            <v>235-34</v>
          </cell>
          <cell r="D191" t="str">
            <v>تكاليف مشروع الباتيو 235</v>
          </cell>
          <cell r="E191" t="str">
            <v xml:space="preserve">تكاليف العمليات </v>
          </cell>
        </row>
        <row r="192">
          <cell r="A192">
            <v>273</v>
          </cell>
          <cell r="C192" t="str">
            <v>تكاليف مشروع كناريا  273</v>
          </cell>
          <cell r="D192" t="str">
            <v>تكاليف مشروع كناريا  273</v>
          </cell>
          <cell r="E192" t="str">
            <v xml:space="preserve">تكاليف العمليات </v>
          </cell>
        </row>
        <row r="193">
          <cell r="A193" t="str">
            <v>273-1</v>
          </cell>
          <cell r="C193" t="str">
            <v xml:space="preserve">تكلفة  المعاينة </v>
          </cell>
          <cell r="D193" t="str">
            <v>تكاليف مشروع كناريا  273</v>
          </cell>
          <cell r="E193" t="str">
            <v xml:space="preserve">تكاليف العمليات </v>
          </cell>
        </row>
        <row r="194">
          <cell r="A194" t="str">
            <v>273-2</v>
          </cell>
          <cell r="C194" t="str">
            <v xml:space="preserve"> تكلفة الثري دي </v>
          </cell>
          <cell r="D194" t="str">
            <v>تكاليف مشروع كناريا  273</v>
          </cell>
          <cell r="E194" t="str">
            <v xml:space="preserve">تكاليف العمليات </v>
          </cell>
        </row>
        <row r="195">
          <cell r="A195" t="str">
            <v>273-3</v>
          </cell>
          <cell r="C195" t="str">
            <v>اعمال التكسير والهدم والنظافة</v>
          </cell>
          <cell r="D195" t="str">
            <v>تكاليف مشروع كناريا  273</v>
          </cell>
          <cell r="E195" t="str">
            <v xml:space="preserve">تكاليف العمليات </v>
          </cell>
        </row>
        <row r="196">
          <cell r="A196" t="str">
            <v>273-4</v>
          </cell>
          <cell r="C196" t="str">
            <v xml:space="preserve">اعمال انزال ونقل الراتش ونقل المخلفات </v>
          </cell>
          <cell r="D196" t="str">
            <v>تكاليف مشروع كناريا  273</v>
          </cell>
          <cell r="E196" t="str">
            <v xml:space="preserve">تكاليف العمليات </v>
          </cell>
        </row>
        <row r="197">
          <cell r="A197" t="str">
            <v>273-5</v>
          </cell>
          <cell r="C197" t="str">
            <v>خامات ومصنعية أعمال المباني</v>
          </cell>
          <cell r="D197" t="str">
            <v>تكاليف مشروع كناريا  273</v>
          </cell>
          <cell r="E197" t="str">
            <v xml:space="preserve">تكاليف العمليات </v>
          </cell>
        </row>
        <row r="198">
          <cell r="A198" t="str">
            <v>273-6</v>
          </cell>
          <cell r="C198" t="str">
            <v>خامات ومصنعية أعمال المحارة</v>
          </cell>
          <cell r="D198" t="str">
            <v>تكاليف مشروع كناريا  273</v>
          </cell>
          <cell r="E198" t="str">
            <v xml:space="preserve">تكاليف العمليات </v>
          </cell>
        </row>
        <row r="199">
          <cell r="A199" t="str">
            <v>273-7</v>
          </cell>
          <cell r="C199" t="str">
            <v>خامات ومصنعية أعمال الجبس والديكورات</v>
          </cell>
          <cell r="D199" t="str">
            <v>تكاليف مشروع كناريا  273</v>
          </cell>
          <cell r="E199" t="str">
            <v xml:space="preserve">تكاليف العمليات </v>
          </cell>
        </row>
        <row r="200">
          <cell r="A200" t="str">
            <v>273-8</v>
          </cell>
          <cell r="C200" t="str">
            <v>خامات ومصنعية أعمال الدهانات</v>
          </cell>
          <cell r="D200" t="str">
            <v>تكاليف مشروع كناريا  273</v>
          </cell>
          <cell r="E200" t="str">
            <v xml:space="preserve">تكاليف العمليات </v>
          </cell>
        </row>
        <row r="201">
          <cell r="A201" t="str">
            <v>273-9</v>
          </cell>
          <cell r="C201" t="str">
            <v>خامات ومصنعية أعمال السيراميك</v>
          </cell>
          <cell r="D201" t="str">
            <v>تكاليف مشروع كناريا  273</v>
          </cell>
          <cell r="E201" t="str">
            <v xml:space="preserve">تكاليف العمليات </v>
          </cell>
        </row>
        <row r="202">
          <cell r="A202" t="str">
            <v>273-10</v>
          </cell>
          <cell r="C202" t="str">
            <v>خامات ومصنعية أعمال الرخام</v>
          </cell>
          <cell r="D202" t="str">
            <v>تكاليف مشروع كناريا  273</v>
          </cell>
          <cell r="E202" t="str">
            <v xml:space="preserve">تكاليف العمليات </v>
          </cell>
        </row>
        <row r="203">
          <cell r="A203" t="str">
            <v>273-11</v>
          </cell>
          <cell r="C203" t="str">
            <v>خامات ومصنعية بند الكهرباء</v>
          </cell>
          <cell r="D203" t="str">
            <v>تكاليف مشروع كناريا  273</v>
          </cell>
          <cell r="E203" t="str">
            <v xml:space="preserve">تكاليف العمليات </v>
          </cell>
        </row>
        <row r="204">
          <cell r="A204" t="str">
            <v>273-12</v>
          </cell>
          <cell r="C204" t="str">
            <v>خامات ومصنعية بند السباكة والصحي</v>
          </cell>
          <cell r="D204" t="str">
            <v>تكاليف مشروع كناريا  273</v>
          </cell>
          <cell r="E204" t="str">
            <v xml:space="preserve">تكاليف العمليات </v>
          </cell>
        </row>
        <row r="205">
          <cell r="A205" t="str">
            <v>273-13</v>
          </cell>
          <cell r="C205" t="str">
            <v>خامات ومصنعية أعمال التكييف</v>
          </cell>
          <cell r="D205" t="str">
            <v>تكاليف مشروع كناريا  273</v>
          </cell>
          <cell r="E205" t="str">
            <v xml:space="preserve">تكاليف العمليات </v>
          </cell>
        </row>
        <row r="206">
          <cell r="A206" t="str">
            <v>273-14</v>
          </cell>
          <cell r="C206" t="str">
            <v>خامات ومصنعية أعمال النجارة والأبواب</v>
          </cell>
          <cell r="D206" t="str">
            <v>تكاليف مشروع كناريا  273</v>
          </cell>
          <cell r="E206" t="str">
            <v xml:space="preserve">تكاليف العمليات </v>
          </cell>
        </row>
        <row r="207">
          <cell r="A207" t="str">
            <v>273-15</v>
          </cell>
          <cell r="C207" t="str">
            <v>خامات ومصنعية أعمال المطابخ</v>
          </cell>
          <cell r="D207" t="str">
            <v>تكاليف مشروع كناريا  273</v>
          </cell>
          <cell r="E207" t="str">
            <v xml:space="preserve">تكاليف العمليات </v>
          </cell>
        </row>
        <row r="208">
          <cell r="A208" t="str">
            <v>273-16</v>
          </cell>
          <cell r="C208" t="str">
            <v>خامات ومصنعية أعمال الألوميتال</v>
          </cell>
          <cell r="D208" t="str">
            <v>تكاليف مشروع كناريا  273</v>
          </cell>
          <cell r="E208" t="str">
            <v xml:space="preserve">تكاليف العمليات </v>
          </cell>
        </row>
        <row r="209">
          <cell r="A209" t="str">
            <v>273-17</v>
          </cell>
          <cell r="C209" t="str">
            <v>خامات ومصنعية أعمال الزجاج والسكوريت</v>
          </cell>
          <cell r="D209" t="str">
            <v>تكاليف مشروع كناريا  273</v>
          </cell>
          <cell r="E209" t="str">
            <v xml:space="preserve">تكاليف العمليات </v>
          </cell>
        </row>
        <row r="210">
          <cell r="A210" t="str">
            <v>273-18</v>
          </cell>
          <cell r="C210" t="str">
            <v>خامات ومصنعية أعمال الشاتر</v>
          </cell>
          <cell r="D210" t="str">
            <v>تكاليف مشروع كناريا  273</v>
          </cell>
          <cell r="E210" t="str">
            <v xml:space="preserve">تكاليف العمليات </v>
          </cell>
        </row>
        <row r="211">
          <cell r="A211" t="str">
            <v>273-19</v>
          </cell>
          <cell r="C211" t="str">
            <v>خامات ومصنعية أعمال المرايات</v>
          </cell>
          <cell r="D211" t="str">
            <v>تكاليف مشروع كناريا  273</v>
          </cell>
          <cell r="E211" t="str">
            <v xml:space="preserve">تكاليف العمليات </v>
          </cell>
        </row>
        <row r="212">
          <cell r="A212" t="str">
            <v>273-20</v>
          </cell>
          <cell r="C212" t="str">
            <v>خامات ومصنعية أعمال العزل</v>
          </cell>
          <cell r="D212" t="str">
            <v>تكاليف مشروع كناريا  273</v>
          </cell>
          <cell r="E212" t="str">
            <v xml:space="preserve">تكاليف العمليات </v>
          </cell>
        </row>
        <row r="213">
          <cell r="A213" t="str">
            <v>273-21</v>
          </cell>
          <cell r="C213" t="str">
            <v>خامات ومصنعية أعمال الشفاطات</v>
          </cell>
          <cell r="D213" t="str">
            <v>تكاليف مشروع كناريا  273</v>
          </cell>
          <cell r="E213" t="str">
            <v xml:space="preserve">تكاليف العمليات </v>
          </cell>
        </row>
        <row r="214">
          <cell r="A214" t="str">
            <v>273-22</v>
          </cell>
          <cell r="C214" t="str">
            <v>خامات ومصنعية أعمال النجف والإضاءة</v>
          </cell>
          <cell r="D214" t="str">
            <v>تكاليف مشروع كناريا  273</v>
          </cell>
          <cell r="E214" t="str">
            <v xml:space="preserve">تكاليف العمليات </v>
          </cell>
        </row>
        <row r="215">
          <cell r="A215" t="str">
            <v>273-23</v>
          </cell>
          <cell r="C215" t="str">
            <v>خامات ومصنعية أعمال اللاند سكيب</v>
          </cell>
          <cell r="D215" t="str">
            <v>تكاليف مشروع كناريا  273</v>
          </cell>
          <cell r="E215" t="str">
            <v xml:space="preserve">تكاليف العمليات </v>
          </cell>
        </row>
        <row r="216">
          <cell r="A216" t="str">
            <v>273-24</v>
          </cell>
          <cell r="C216" t="str">
            <v>خامات ومصنعية أعمال الأرضيات الخشبية</v>
          </cell>
          <cell r="D216" t="str">
            <v>تكاليف مشروع كناريا  273</v>
          </cell>
          <cell r="E216" t="str">
            <v xml:space="preserve">تكاليف العمليات </v>
          </cell>
        </row>
        <row r="217">
          <cell r="A217" t="str">
            <v>273-25</v>
          </cell>
          <cell r="C217" t="str">
            <v>خامات ومصنعية أعمال الستائر</v>
          </cell>
          <cell r="D217" t="str">
            <v>تكاليف مشروع كناريا  273</v>
          </cell>
          <cell r="E217" t="str">
            <v xml:space="preserve">تكاليف العمليات </v>
          </cell>
        </row>
        <row r="218">
          <cell r="A218" t="str">
            <v>273-26</v>
          </cell>
          <cell r="C218" t="str">
            <v>خامات ومصنعية أعمال الأثاث</v>
          </cell>
          <cell r="D218" t="str">
            <v>تكاليف مشروع كناريا  273</v>
          </cell>
          <cell r="E218" t="str">
            <v xml:space="preserve">تكاليف العمليات </v>
          </cell>
        </row>
        <row r="219">
          <cell r="A219" t="str">
            <v>273-27</v>
          </cell>
          <cell r="C219" t="str">
            <v>خامات ومصنعية أعمال النقل والتشوين</v>
          </cell>
          <cell r="D219" t="str">
            <v>تكاليف مشروع كناريا  273</v>
          </cell>
          <cell r="E219" t="str">
            <v xml:space="preserve">تكاليف العمليات </v>
          </cell>
        </row>
        <row r="220">
          <cell r="A220" t="str">
            <v>273-28</v>
          </cell>
          <cell r="C220" t="str">
            <v>رسوم وتصاريح المشروع واكراميات</v>
          </cell>
          <cell r="D220" t="str">
            <v>تكاليف مشروع كناريا  273</v>
          </cell>
          <cell r="E220" t="str">
            <v xml:space="preserve">تكاليف العمليات </v>
          </cell>
        </row>
        <row r="221">
          <cell r="A221" t="str">
            <v>273-29</v>
          </cell>
          <cell r="C221" t="str">
            <v>عمالة ويوميات مباشرة</v>
          </cell>
          <cell r="D221" t="str">
            <v>تكاليف مشروع كناريا  273</v>
          </cell>
          <cell r="E221" t="str">
            <v xml:space="preserve">تكاليف العمليات </v>
          </cell>
        </row>
        <row r="222">
          <cell r="A222" t="str">
            <v>273-30</v>
          </cell>
          <cell r="D222" t="str">
            <v>تكاليف مشروع كناريا  273</v>
          </cell>
          <cell r="E222" t="str">
            <v xml:space="preserve">تكاليف العمليات </v>
          </cell>
        </row>
        <row r="223">
          <cell r="A223" t="str">
            <v>273-31</v>
          </cell>
          <cell r="D223" t="str">
            <v>تكاليف مشروع كناريا  273</v>
          </cell>
          <cell r="E223" t="str">
            <v xml:space="preserve">تكاليف العمليات </v>
          </cell>
        </row>
        <row r="224">
          <cell r="A224" t="str">
            <v>273-32</v>
          </cell>
          <cell r="D224" t="str">
            <v>تكاليف مشروع كناريا  273</v>
          </cell>
          <cell r="E224" t="str">
            <v xml:space="preserve">تكاليف العمليات </v>
          </cell>
        </row>
        <row r="225">
          <cell r="A225" t="str">
            <v>273-33</v>
          </cell>
          <cell r="D225" t="str">
            <v>تكاليف مشروع كناريا  273</v>
          </cell>
          <cell r="E225" t="str">
            <v xml:space="preserve">تكاليف العمليات </v>
          </cell>
        </row>
        <row r="226">
          <cell r="A226" t="str">
            <v>273-34</v>
          </cell>
          <cell r="D226" t="str">
            <v>تكاليف مشروع كناريا  273</v>
          </cell>
          <cell r="E226" t="str">
            <v xml:space="preserve">تكاليف العمليات </v>
          </cell>
        </row>
        <row r="227">
          <cell r="A227">
            <v>280</v>
          </cell>
          <cell r="C227" t="str">
            <v>تكاليف مشروع الاندلس 280</v>
          </cell>
          <cell r="D227" t="str">
            <v>تكاليف مشروع الاندلس 280</v>
          </cell>
          <cell r="E227" t="str">
            <v xml:space="preserve">تكاليف العمليات </v>
          </cell>
        </row>
        <row r="228">
          <cell r="A228" t="str">
            <v>280-1</v>
          </cell>
          <cell r="C228" t="str">
            <v xml:space="preserve">تكلفة  المعاينة </v>
          </cell>
          <cell r="D228" t="str">
            <v>تكاليف مشروع الاندلس 280</v>
          </cell>
          <cell r="E228" t="str">
            <v xml:space="preserve">تكاليف العمليات </v>
          </cell>
        </row>
        <row r="229">
          <cell r="A229" t="str">
            <v>280-2</v>
          </cell>
          <cell r="C229" t="str">
            <v xml:space="preserve"> تكلفة الثري دي </v>
          </cell>
          <cell r="D229" t="str">
            <v>تكاليف مشروع الاندلس 280</v>
          </cell>
          <cell r="E229" t="str">
            <v xml:space="preserve">تكاليف العمليات </v>
          </cell>
        </row>
        <row r="230">
          <cell r="A230" t="str">
            <v>280-3</v>
          </cell>
          <cell r="C230" t="str">
            <v>اعمال التكسير والهدم والنظافة</v>
          </cell>
          <cell r="D230" t="str">
            <v>تكاليف مشروع الاندلس 280</v>
          </cell>
          <cell r="E230" t="str">
            <v xml:space="preserve">تكاليف العمليات </v>
          </cell>
        </row>
        <row r="231">
          <cell r="A231" t="str">
            <v>280-4</v>
          </cell>
          <cell r="C231" t="str">
            <v xml:space="preserve">اعمال انزال ونقل الراتش ونقل المخلفات </v>
          </cell>
          <cell r="D231" t="str">
            <v>تكاليف مشروع الاندلس 280</v>
          </cell>
          <cell r="E231" t="str">
            <v xml:space="preserve">تكاليف العمليات </v>
          </cell>
        </row>
        <row r="232">
          <cell r="A232" t="str">
            <v>280-5</v>
          </cell>
          <cell r="C232" t="str">
            <v>خامات ومصنعية أعمال المباني</v>
          </cell>
          <cell r="D232" t="str">
            <v>تكاليف مشروع الاندلس 280</v>
          </cell>
          <cell r="E232" t="str">
            <v xml:space="preserve">تكاليف العمليات </v>
          </cell>
        </row>
        <row r="233">
          <cell r="A233" t="str">
            <v>280-6</v>
          </cell>
          <cell r="C233" t="str">
            <v>خامات ومصنعية أعمال المحارة</v>
          </cell>
          <cell r="D233" t="str">
            <v>تكاليف مشروع الاندلس 280</v>
          </cell>
          <cell r="E233" t="str">
            <v xml:space="preserve">تكاليف العمليات </v>
          </cell>
        </row>
        <row r="234">
          <cell r="A234" t="str">
            <v>280-7</v>
          </cell>
          <cell r="C234" t="str">
            <v>خامات ومصنعية أعمال الجبس والديكورات</v>
          </cell>
          <cell r="D234" t="str">
            <v>تكاليف مشروع الاندلس 280</v>
          </cell>
          <cell r="E234" t="str">
            <v xml:space="preserve">تكاليف العمليات </v>
          </cell>
        </row>
        <row r="235">
          <cell r="A235" t="str">
            <v>280-8</v>
          </cell>
          <cell r="C235" t="str">
            <v>خامات ومصنعية أعمال الدهانات</v>
          </cell>
          <cell r="D235" t="str">
            <v>تكاليف مشروع الاندلس 280</v>
          </cell>
          <cell r="E235" t="str">
            <v xml:space="preserve">تكاليف العمليات </v>
          </cell>
        </row>
        <row r="236">
          <cell r="A236" t="str">
            <v>280-9</v>
          </cell>
          <cell r="C236" t="str">
            <v>خامات ومصنعية أعمال السيراميك</v>
          </cell>
          <cell r="D236" t="str">
            <v>تكاليف مشروع الاندلس 280</v>
          </cell>
          <cell r="E236" t="str">
            <v xml:space="preserve">تكاليف العمليات </v>
          </cell>
        </row>
        <row r="237">
          <cell r="A237" t="str">
            <v>280-10</v>
          </cell>
          <cell r="C237" t="str">
            <v>خامات ومصنعية أعمال الرخام</v>
          </cell>
          <cell r="D237" t="str">
            <v>تكاليف مشروع الاندلس 280</v>
          </cell>
          <cell r="E237" t="str">
            <v xml:space="preserve">تكاليف العمليات </v>
          </cell>
        </row>
        <row r="238">
          <cell r="A238" t="str">
            <v>280-11</v>
          </cell>
          <cell r="C238" t="str">
            <v>خامات ومصنعية بند الكهرباء</v>
          </cell>
          <cell r="D238" t="str">
            <v>تكاليف مشروع الاندلس 280</v>
          </cell>
          <cell r="E238" t="str">
            <v xml:space="preserve">تكاليف العمليات </v>
          </cell>
        </row>
        <row r="239">
          <cell r="A239" t="str">
            <v>280-12</v>
          </cell>
          <cell r="C239" t="str">
            <v>خامات ومصنعية بند السباكة والصحي</v>
          </cell>
          <cell r="D239" t="str">
            <v>تكاليف مشروع الاندلس 280</v>
          </cell>
          <cell r="E239" t="str">
            <v xml:space="preserve">تكاليف العمليات </v>
          </cell>
        </row>
        <row r="240">
          <cell r="A240" t="str">
            <v>280-13</v>
          </cell>
          <cell r="C240" t="str">
            <v>خامات ومصنعية أعمال التكييف</v>
          </cell>
          <cell r="D240" t="str">
            <v>تكاليف مشروع الاندلس 280</v>
          </cell>
          <cell r="E240" t="str">
            <v xml:space="preserve">تكاليف العمليات </v>
          </cell>
        </row>
        <row r="241">
          <cell r="A241" t="str">
            <v>280-14</v>
          </cell>
          <cell r="C241" t="str">
            <v>خامات ومصنعية أعمال النجارة والأبواب</v>
          </cell>
          <cell r="D241" t="str">
            <v>تكاليف مشروع الاندلس 280</v>
          </cell>
          <cell r="E241" t="str">
            <v xml:space="preserve">تكاليف العمليات </v>
          </cell>
        </row>
        <row r="242">
          <cell r="A242" t="str">
            <v>280-15</v>
          </cell>
          <cell r="C242" t="str">
            <v>خامات ومصنعية أعمال المطابخ</v>
          </cell>
          <cell r="D242" t="str">
            <v>تكاليف مشروع الاندلس 280</v>
          </cell>
          <cell r="E242" t="str">
            <v xml:space="preserve">تكاليف العمليات </v>
          </cell>
        </row>
        <row r="243">
          <cell r="A243" t="str">
            <v>280-16</v>
          </cell>
          <cell r="C243" t="str">
            <v>خامات ومصنعية أعمال الألوميتال</v>
          </cell>
          <cell r="D243" t="str">
            <v>تكاليف مشروع الاندلس 280</v>
          </cell>
          <cell r="E243" t="str">
            <v xml:space="preserve">تكاليف العمليات </v>
          </cell>
        </row>
        <row r="244">
          <cell r="A244" t="str">
            <v>280-17</v>
          </cell>
          <cell r="C244" t="str">
            <v>خامات ومصنعية أعمال الزجاج والسكوريت</v>
          </cell>
          <cell r="D244" t="str">
            <v>تكاليف مشروع الاندلس 280</v>
          </cell>
          <cell r="E244" t="str">
            <v xml:space="preserve">تكاليف العمليات </v>
          </cell>
        </row>
        <row r="245">
          <cell r="A245" t="str">
            <v>280-18</v>
          </cell>
          <cell r="C245" t="str">
            <v>خامات ومصنعية أعمال الشاتر</v>
          </cell>
          <cell r="D245" t="str">
            <v>تكاليف مشروع الاندلس 280</v>
          </cell>
          <cell r="E245" t="str">
            <v xml:space="preserve">تكاليف العمليات </v>
          </cell>
        </row>
        <row r="246">
          <cell r="A246" t="str">
            <v>280-19</v>
          </cell>
          <cell r="C246" t="str">
            <v>خامات ومصنعية أعمال المرايات</v>
          </cell>
          <cell r="D246" t="str">
            <v>تكاليف مشروع الاندلس 280</v>
          </cell>
          <cell r="E246" t="str">
            <v xml:space="preserve">تكاليف العمليات </v>
          </cell>
        </row>
        <row r="247">
          <cell r="A247" t="str">
            <v>280-20</v>
          </cell>
          <cell r="C247" t="str">
            <v>خامات ومصنعية أعمال العزل</v>
          </cell>
          <cell r="D247" t="str">
            <v>تكاليف مشروع الاندلس 280</v>
          </cell>
          <cell r="E247" t="str">
            <v xml:space="preserve">تكاليف العمليات </v>
          </cell>
        </row>
        <row r="248">
          <cell r="A248" t="str">
            <v>280-21</v>
          </cell>
          <cell r="C248" t="str">
            <v>خامات ومصنعية أعمال الشفاطات</v>
          </cell>
          <cell r="D248" t="str">
            <v>تكاليف مشروع الاندلس 280</v>
          </cell>
          <cell r="E248" t="str">
            <v xml:space="preserve">تكاليف العمليات </v>
          </cell>
        </row>
        <row r="249">
          <cell r="A249" t="str">
            <v>280-22</v>
          </cell>
          <cell r="C249" t="str">
            <v>خامات ومصنعية أعمال النجف والإضاءة</v>
          </cell>
          <cell r="D249" t="str">
            <v>تكاليف مشروع الاندلس 280</v>
          </cell>
          <cell r="E249" t="str">
            <v xml:space="preserve">تكاليف العمليات </v>
          </cell>
        </row>
        <row r="250">
          <cell r="A250" t="str">
            <v>280-23</v>
          </cell>
          <cell r="C250" t="str">
            <v>خامات ومصنعية أعمال اللاند سكيب</v>
          </cell>
          <cell r="D250" t="str">
            <v>تكاليف مشروع الاندلس 280</v>
          </cell>
          <cell r="E250" t="str">
            <v xml:space="preserve">تكاليف العمليات </v>
          </cell>
        </row>
        <row r="251">
          <cell r="A251" t="str">
            <v>280-24</v>
          </cell>
          <cell r="C251" t="str">
            <v>خامات ومصنعية أعمال الأرضيات الخشبية</v>
          </cell>
          <cell r="D251" t="str">
            <v>تكاليف مشروع الاندلس 280</v>
          </cell>
          <cell r="E251" t="str">
            <v xml:space="preserve">تكاليف العمليات </v>
          </cell>
        </row>
        <row r="252">
          <cell r="A252" t="str">
            <v>280-25</v>
          </cell>
          <cell r="C252" t="str">
            <v>خامات ومصنعية أعمال الستائر</v>
          </cell>
          <cell r="D252" t="str">
            <v>تكاليف مشروع الاندلس 280</v>
          </cell>
          <cell r="E252" t="str">
            <v xml:space="preserve">تكاليف العمليات </v>
          </cell>
        </row>
        <row r="253">
          <cell r="A253" t="str">
            <v>280-26</v>
          </cell>
          <cell r="C253" t="str">
            <v>خامات ومصنعية أعمال الأثاث</v>
          </cell>
          <cell r="D253" t="str">
            <v>تكاليف مشروع الاندلس 280</v>
          </cell>
          <cell r="E253" t="str">
            <v xml:space="preserve">تكاليف العمليات </v>
          </cell>
        </row>
        <row r="254">
          <cell r="A254" t="str">
            <v>280-27</v>
          </cell>
          <cell r="C254" t="str">
            <v>خامات ومصنعية أعمال النقل والتشوين</v>
          </cell>
          <cell r="D254" t="str">
            <v>تكاليف مشروع الاندلس 280</v>
          </cell>
          <cell r="E254" t="str">
            <v xml:space="preserve">تكاليف العمليات </v>
          </cell>
        </row>
        <row r="255">
          <cell r="A255" t="str">
            <v>280-28</v>
          </cell>
          <cell r="C255" t="str">
            <v>رسوم وتصاريح المشروع واكراميات</v>
          </cell>
          <cell r="D255" t="str">
            <v>تكاليف مشروع الاندلس 280</v>
          </cell>
          <cell r="E255" t="str">
            <v xml:space="preserve">تكاليف العمليات </v>
          </cell>
        </row>
        <row r="256">
          <cell r="A256" t="str">
            <v>280-29</v>
          </cell>
          <cell r="C256" t="str">
            <v>عمالة ويوميات مباشرة</v>
          </cell>
          <cell r="D256" t="str">
            <v>تكاليف مشروع الاندلس 280</v>
          </cell>
          <cell r="E256" t="str">
            <v xml:space="preserve">تكاليف العمليات </v>
          </cell>
        </row>
        <row r="257">
          <cell r="A257" t="str">
            <v>280-30</v>
          </cell>
          <cell r="D257" t="str">
            <v>تكاليف مشروع الاندلس 280</v>
          </cell>
          <cell r="E257" t="str">
            <v xml:space="preserve">تكاليف العمليات </v>
          </cell>
        </row>
        <row r="258">
          <cell r="A258" t="str">
            <v>280-31</v>
          </cell>
          <cell r="D258" t="str">
            <v>تكاليف مشروع الاندلس 280</v>
          </cell>
          <cell r="E258" t="str">
            <v xml:space="preserve">تكاليف العمليات </v>
          </cell>
        </row>
        <row r="259">
          <cell r="A259" t="str">
            <v>280-32</v>
          </cell>
          <cell r="D259" t="str">
            <v>تكاليف مشروع الاندلس 280</v>
          </cell>
          <cell r="E259" t="str">
            <v xml:space="preserve">تكاليف العمليات </v>
          </cell>
        </row>
        <row r="260">
          <cell r="A260" t="str">
            <v>280-33</v>
          </cell>
          <cell r="D260" t="str">
            <v>تكاليف مشروع الاندلس 280</v>
          </cell>
          <cell r="E260" t="str">
            <v xml:space="preserve">تكاليف العمليات </v>
          </cell>
        </row>
        <row r="261">
          <cell r="A261" t="str">
            <v>280-34</v>
          </cell>
          <cell r="D261" t="str">
            <v>تكاليف مشروع الاندلس 280</v>
          </cell>
          <cell r="E261" t="str">
            <v xml:space="preserve">تكاليف العمليات </v>
          </cell>
        </row>
        <row r="262">
          <cell r="A262">
            <v>287</v>
          </cell>
          <cell r="C262" t="str">
            <v>287 تكاليف مشروع المعادي فيو</v>
          </cell>
          <cell r="D262" t="str">
            <v>287 تكاليف مشروع المعادي فيو</v>
          </cell>
          <cell r="E262" t="str">
            <v xml:space="preserve">تكاليف العمليات </v>
          </cell>
        </row>
        <row r="263">
          <cell r="A263" t="str">
            <v>287-1</v>
          </cell>
          <cell r="C263" t="str">
            <v xml:space="preserve">تكلفة  المعاينة </v>
          </cell>
          <cell r="D263" t="str">
            <v>287 تكاليف مشروع المعادي فيو</v>
          </cell>
          <cell r="E263" t="str">
            <v xml:space="preserve">تكاليف العمليات </v>
          </cell>
        </row>
        <row r="264">
          <cell r="A264" t="str">
            <v>287-2</v>
          </cell>
          <cell r="C264" t="str">
            <v xml:space="preserve"> تكلفة الثري دي </v>
          </cell>
          <cell r="D264" t="str">
            <v>287 تكاليف مشروع المعادي فيو</v>
          </cell>
          <cell r="E264" t="str">
            <v xml:space="preserve">تكاليف العمليات </v>
          </cell>
        </row>
        <row r="265">
          <cell r="A265" t="str">
            <v>287-3</v>
          </cell>
          <cell r="C265" t="str">
            <v>اعمال التكسير والهدم والنظافة</v>
          </cell>
          <cell r="D265" t="str">
            <v>287 تكاليف مشروع المعادي فيو</v>
          </cell>
          <cell r="E265" t="str">
            <v xml:space="preserve">تكاليف العمليات </v>
          </cell>
        </row>
        <row r="266">
          <cell r="A266" t="str">
            <v>287-4</v>
          </cell>
          <cell r="C266" t="str">
            <v xml:space="preserve">اعمال انزال ونقل الراتش ونقل المخلفات </v>
          </cell>
          <cell r="D266" t="str">
            <v>287 تكاليف مشروع المعادي فيو</v>
          </cell>
          <cell r="E266" t="str">
            <v xml:space="preserve">تكاليف العمليات </v>
          </cell>
        </row>
        <row r="267">
          <cell r="A267" t="str">
            <v>287-5</v>
          </cell>
          <cell r="C267" t="str">
            <v>خامات ومصنعية أعمال المباني</v>
          </cell>
          <cell r="D267" t="str">
            <v>287 تكاليف مشروع المعادي فيو</v>
          </cell>
          <cell r="E267" t="str">
            <v xml:space="preserve">تكاليف العمليات </v>
          </cell>
        </row>
        <row r="268">
          <cell r="A268" t="str">
            <v>287-6</v>
          </cell>
          <cell r="C268" t="str">
            <v>خامات ومصنعية أعمال المحارة</v>
          </cell>
          <cell r="D268" t="str">
            <v>287 تكاليف مشروع المعادي فيو</v>
          </cell>
          <cell r="E268" t="str">
            <v xml:space="preserve">تكاليف العمليات </v>
          </cell>
        </row>
        <row r="269">
          <cell r="A269" t="str">
            <v>287-7</v>
          </cell>
          <cell r="C269" t="str">
            <v>خامات ومصنعية أعمال الجبس والديكورات</v>
          </cell>
          <cell r="D269" t="str">
            <v>287 تكاليف مشروع المعادي فيو</v>
          </cell>
          <cell r="E269" t="str">
            <v xml:space="preserve">تكاليف العمليات </v>
          </cell>
        </row>
        <row r="270">
          <cell r="A270" t="str">
            <v>287-8</v>
          </cell>
          <cell r="C270" t="str">
            <v>خامات ومصنعية أعمال الدهانات</v>
          </cell>
          <cell r="D270" t="str">
            <v>287 تكاليف مشروع المعادي فيو</v>
          </cell>
          <cell r="E270" t="str">
            <v xml:space="preserve">تكاليف العمليات </v>
          </cell>
        </row>
        <row r="271">
          <cell r="A271" t="str">
            <v>287-9</v>
          </cell>
          <cell r="C271" t="str">
            <v>خامات ومصنعية أعمال السيراميك</v>
          </cell>
          <cell r="D271" t="str">
            <v>287 تكاليف مشروع المعادي فيو</v>
          </cell>
          <cell r="E271" t="str">
            <v xml:space="preserve">تكاليف العمليات </v>
          </cell>
        </row>
        <row r="272">
          <cell r="A272" t="str">
            <v>287-10</v>
          </cell>
          <cell r="C272" t="str">
            <v>خامات ومصنعية أعمال الرخام</v>
          </cell>
          <cell r="D272" t="str">
            <v>287 تكاليف مشروع المعادي فيو</v>
          </cell>
          <cell r="E272" t="str">
            <v xml:space="preserve">تكاليف العمليات </v>
          </cell>
        </row>
        <row r="273">
          <cell r="A273" t="str">
            <v>287-11</v>
          </cell>
          <cell r="C273" t="str">
            <v>خامات ومصنعية بند الكهرباء</v>
          </cell>
          <cell r="D273" t="str">
            <v>287 تكاليف مشروع المعادي فيو</v>
          </cell>
          <cell r="E273" t="str">
            <v xml:space="preserve">تكاليف العمليات </v>
          </cell>
        </row>
        <row r="274">
          <cell r="A274" t="str">
            <v>287-12</v>
          </cell>
          <cell r="C274" t="str">
            <v>خامات ومصنعية بند السباكة والصحي</v>
          </cell>
          <cell r="D274" t="str">
            <v>287 تكاليف مشروع المعادي فيو</v>
          </cell>
          <cell r="E274" t="str">
            <v xml:space="preserve">تكاليف العمليات </v>
          </cell>
        </row>
        <row r="275">
          <cell r="A275" t="str">
            <v>287-13</v>
          </cell>
          <cell r="C275" t="str">
            <v>خامات ومصنعية أعمال التكييف</v>
          </cell>
          <cell r="D275" t="str">
            <v>287 تكاليف مشروع المعادي فيو</v>
          </cell>
          <cell r="E275" t="str">
            <v xml:space="preserve">تكاليف العمليات </v>
          </cell>
        </row>
        <row r="276">
          <cell r="A276" t="str">
            <v>287-14</v>
          </cell>
          <cell r="C276" t="str">
            <v>خامات ومصنعية أعمال النجارة والأبواب</v>
          </cell>
          <cell r="D276" t="str">
            <v>287 تكاليف مشروع المعادي فيو</v>
          </cell>
          <cell r="E276" t="str">
            <v xml:space="preserve">تكاليف العمليات </v>
          </cell>
        </row>
        <row r="277">
          <cell r="A277" t="str">
            <v>287-15</v>
          </cell>
          <cell r="C277" t="str">
            <v>خامات ومصنعية أعمال المطابخ</v>
          </cell>
          <cell r="D277" t="str">
            <v>287 تكاليف مشروع المعادي فيو</v>
          </cell>
          <cell r="E277" t="str">
            <v xml:space="preserve">تكاليف العمليات </v>
          </cell>
        </row>
        <row r="278">
          <cell r="A278" t="str">
            <v>287-16</v>
          </cell>
          <cell r="C278" t="str">
            <v>خامات ومصنعية أعمال الألوميتال</v>
          </cell>
          <cell r="D278" t="str">
            <v>287 تكاليف مشروع المعادي فيو</v>
          </cell>
          <cell r="E278" t="str">
            <v xml:space="preserve">تكاليف العمليات </v>
          </cell>
        </row>
        <row r="279">
          <cell r="A279" t="str">
            <v>287-17</v>
          </cell>
          <cell r="C279" t="str">
            <v>خامات ومصنعية أعمال الزجاج والسكوريت</v>
          </cell>
          <cell r="D279" t="str">
            <v>287 تكاليف مشروع المعادي فيو</v>
          </cell>
          <cell r="E279" t="str">
            <v xml:space="preserve">تكاليف العمليات </v>
          </cell>
        </row>
        <row r="280">
          <cell r="A280" t="str">
            <v>287-18</v>
          </cell>
          <cell r="C280" t="str">
            <v>خامات ومصنعية أعمال الشاتر</v>
          </cell>
          <cell r="D280" t="str">
            <v>287 تكاليف مشروع المعادي فيو</v>
          </cell>
          <cell r="E280" t="str">
            <v xml:space="preserve">تكاليف العمليات </v>
          </cell>
        </row>
        <row r="281">
          <cell r="A281" t="str">
            <v>287-19</v>
          </cell>
          <cell r="C281" t="str">
            <v>خامات ومصنعية أعمال المرايات</v>
          </cell>
          <cell r="D281" t="str">
            <v>287 تكاليف مشروع المعادي فيو</v>
          </cell>
          <cell r="E281" t="str">
            <v xml:space="preserve">تكاليف العمليات </v>
          </cell>
        </row>
        <row r="282">
          <cell r="A282" t="str">
            <v>287-20</v>
          </cell>
          <cell r="C282" t="str">
            <v>خامات ومصنعية أعمال العزل</v>
          </cell>
          <cell r="D282" t="str">
            <v>287 تكاليف مشروع المعادي فيو</v>
          </cell>
          <cell r="E282" t="str">
            <v xml:space="preserve">تكاليف العمليات </v>
          </cell>
        </row>
        <row r="283">
          <cell r="A283" t="str">
            <v>287-21</v>
          </cell>
          <cell r="C283" t="str">
            <v>خامات ومصنعية أعمال الشفاطات</v>
          </cell>
          <cell r="D283" t="str">
            <v>287 تكاليف مشروع المعادي فيو</v>
          </cell>
          <cell r="E283" t="str">
            <v xml:space="preserve">تكاليف العمليات </v>
          </cell>
        </row>
        <row r="284">
          <cell r="A284" t="str">
            <v>287-22</v>
          </cell>
          <cell r="C284" t="str">
            <v>خامات ومصنعية أعمال النجف والإضاءة</v>
          </cell>
          <cell r="D284" t="str">
            <v>287 تكاليف مشروع المعادي فيو</v>
          </cell>
          <cell r="E284" t="str">
            <v xml:space="preserve">تكاليف العمليات </v>
          </cell>
        </row>
        <row r="285">
          <cell r="A285" t="str">
            <v>287-23</v>
          </cell>
          <cell r="C285" t="str">
            <v>خامات ومصنعية أعمال اللاند سكيب</v>
          </cell>
          <cell r="D285" t="str">
            <v>287 تكاليف مشروع المعادي فيو</v>
          </cell>
          <cell r="E285" t="str">
            <v xml:space="preserve">تكاليف العمليات </v>
          </cell>
        </row>
        <row r="286">
          <cell r="A286" t="str">
            <v>287-24</v>
          </cell>
          <cell r="C286" t="str">
            <v>خامات ومصنعية أعمال الأرضيات الخشبية</v>
          </cell>
          <cell r="D286" t="str">
            <v>287 تكاليف مشروع المعادي فيو</v>
          </cell>
          <cell r="E286" t="str">
            <v xml:space="preserve">تكاليف العمليات </v>
          </cell>
        </row>
        <row r="287">
          <cell r="A287" t="str">
            <v>287-25</v>
          </cell>
          <cell r="C287" t="str">
            <v>خامات ومصنعية أعمال الستائر</v>
          </cell>
          <cell r="D287" t="str">
            <v>287 تكاليف مشروع المعادي فيو</v>
          </cell>
          <cell r="E287" t="str">
            <v xml:space="preserve">تكاليف العمليات </v>
          </cell>
        </row>
        <row r="288">
          <cell r="A288" t="str">
            <v>287-26</v>
          </cell>
          <cell r="C288" t="str">
            <v>خامات ومصنعية أعمال الأثاث</v>
          </cell>
          <cell r="D288" t="str">
            <v>287 تكاليف مشروع المعادي فيو</v>
          </cell>
          <cell r="E288" t="str">
            <v xml:space="preserve">تكاليف العمليات </v>
          </cell>
        </row>
        <row r="289">
          <cell r="A289" t="str">
            <v>287-27</v>
          </cell>
          <cell r="C289" t="str">
            <v>خامات ومصنعية أعمال النقل والتشوين</v>
          </cell>
          <cell r="D289" t="str">
            <v>287 تكاليف مشروع المعادي فيو</v>
          </cell>
          <cell r="E289" t="str">
            <v xml:space="preserve">تكاليف العمليات </v>
          </cell>
        </row>
        <row r="290">
          <cell r="A290" t="str">
            <v>287-28</v>
          </cell>
          <cell r="C290" t="str">
            <v>رسوم وتصاريح المشروع واكراميات</v>
          </cell>
          <cell r="D290" t="str">
            <v>287 تكاليف مشروع المعادي فيو</v>
          </cell>
          <cell r="E290" t="str">
            <v xml:space="preserve">تكاليف العمليات </v>
          </cell>
        </row>
        <row r="291">
          <cell r="A291" t="str">
            <v>287-29</v>
          </cell>
          <cell r="C291" t="str">
            <v>عمالة ويوميات مباشرة</v>
          </cell>
          <cell r="D291" t="str">
            <v>287 تكاليف مشروع المعادي فيو</v>
          </cell>
          <cell r="E291" t="str">
            <v xml:space="preserve">تكاليف العمليات </v>
          </cell>
        </row>
        <row r="292">
          <cell r="A292" t="str">
            <v>287-30</v>
          </cell>
          <cell r="D292" t="str">
            <v>287 تكاليف مشروع المعادي فيو</v>
          </cell>
          <cell r="E292" t="str">
            <v xml:space="preserve">تكاليف العمليات </v>
          </cell>
        </row>
        <row r="293">
          <cell r="A293" t="str">
            <v>287-31</v>
          </cell>
          <cell r="D293" t="str">
            <v>287 تكاليف مشروع المعادي فيو</v>
          </cell>
          <cell r="E293" t="str">
            <v xml:space="preserve">تكاليف العمليات </v>
          </cell>
        </row>
        <row r="294">
          <cell r="A294" t="str">
            <v>287-32</v>
          </cell>
          <cell r="D294" t="str">
            <v>287 تكاليف مشروع المعادي فيو</v>
          </cell>
          <cell r="E294" t="str">
            <v xml:space="preserve">تكاليف العمليات </v>
          </cell>
        </row>
        <row r="295">
          <cell r="A295" t="str">
            <v>287-33</v>
          </cell>
          <cell r="D295" t="str">
            <v>287 تكاليف مشروع المعادي فيو</v>
          </cell>
          <cell r="E295" t="str">
            <v xml:space="preserve">تكاليف العمليات </v>
          </cell>
        </row>
        <row r="296">
          <cell r="A296" t="str">
            <v>287-34</v>
          </cell>
          <cell r="D296" t="str">
            <v>287 تكاليف مشروع المعادي فيو</v>
          </cell>
          <cell r="E296" t="str">
            <v xml:space="preserve">تكاليف العمليات </v>
          </cell>
        </row>
        <row r="297">
          <cell r="A297">
            <v>306</v>
          </cell>
          <cell r="C297" t="str">
            <v>تكاليف مشروع العبور 306</v>
          </cell>
          <cell r="D297" t="str">
            <v>تكاليف مشروع العبور 306</v>
          </cell>
          <cell r="E297" t="str">
            <v xml:space="preserve">تكاليف العمليات </v>
          </cell>
        </row>
        <row r="298">
          <cell r="A298" t="str">
            <v>306-1</v>
          </cell>
          <cell r="C298" t="str">
            <v xml:space="preserve">تكلفة  المعاينة </v>
          </cell>
          <cell r="D298" t="str">
            <v>تكاليف مشروع العبور 306</v>
          </cell>
          <cell r="E298" t="str">
            <v xml:space="preserve">تكاليف العمليات </v>
          </cell>
        </row>
        <row r="299">
          <cell r="A299" t="str">
            <v>306-2</v>
          </cell>
          <cell r="C299" t="str">
            <v xml:space="preserve"> تكلفة الثري دي </v>
          </cell>
          <cell r="D299" t="str">
            <v>تكاليف مشروع العبور 306</v>
          </cell>
          <cell r="E299" t="str">
            <v xml:space="preserve">تكاليف العمليات </v>
          </cell>
        </row>
        <row r="300">
          <cell r="A300" t="str">
            <v>306-3</v>
          </cell>
          <cell r="C300" t="str">
            <v>اعمال التكسير والهدم والنظافة</v>
          </cell>
          <cell r="D300" t="str">
            <v>تكاليف مشروع العبور 306</v>
          </cell>
          <cell r="E300" t="str">
            <v xml:space="preserve">تكاليف العمليات </v>
          </cell>
        </row>
        <row r="301">
          <cell r="A301" t="str">
            <v>306-4</v>
          </cell>
          <cell r="C301" t="str">
            <v xml:space="preserve">اعمال انزال ونقل الراتش ونقل المخلفات </v>
          </cell>
          <cell r="D301" t="str">
            <v>تكاليف مشروع العبور 306</v>
          </cell>
          <cell r="E301" t="str">
            <v xml:space="preserve">تكاليف العمليات </v>
          </cell>
        </row>
        <row r="302">
          <cell r="A302" t="str">
            <v>306-5</v>
          </cell>
          <cell r="C302" t="str">
            <v>خامات ومصنعية أعمال المباني</v>
          </cell>
          <cell r="D302" t="str">
            <v>تكاليف مشروع العبور 306</v>
          </cell>
          <cell r="E302" t="str">
            <v xml:space="preserve">تكاليف العمليات </v>
          </cell>
        </row>
        <row r="303">
          <cell r="A303" t="str">
            <v>306-6</v>
          </cell>
          <cell r="C303" t="str">
            <v>خامات ومصنعية أعمال المحارة</v>
          </cell>
          <cell r="D303" t="str">
            <v>تكاليف مشروع العبور 306</v>
          </cell>
          <cell r="E303" t="str">
            <v xml:space="preserve">تكاليف العمليات </v>
          </cell>
        </row>
        <row r="304">
          <cell r="A304" t="str">
            <v>306-7</v>
          </cell>
          <cell r="C304" t="str">
            <v>خامات ومصنعية أعمال الجبس والديكورات</v>
          </cell>
          <cell r="D304" t="str">
            <v>تكاليف مشروع العبور 306</v>
          </cell>
          <cell r="E304" t="str">
            <v xml:space="preserve">تكاليف العمليات </v>
          </cell>
        </row>
        <row r="305">
          <cell r="A305" t="str">
            <v>306-8</v>
          </cell>
          <cell r="C305" t="str">
            <v>خامات ومصنعية أعمال الدهانات</v>
          </cell>
          <cell r="D305" t="str">
            <v>تكاليف مشروع العبور 306</v>
          </cell>
          <cell r="E305" t="str">
            <v xml:space="preserve">تكاليف العمليات </v>
          </cell>
        </row>
        <row r="306">
          <cell r="A306" t="str">
            <v>306-9</v>
          </cell>
          <cell r="C306" t="str">
            <v>خامات ومصنعية أعمال السيراميك</v>
          </cell>
          <cell r="D306" t="str">
            <v>تكاليف مشروع العبور 306</v>
          </cell>
          <cell r="E306" t="str">
            <v xml:space="preserve">تكاليف العمليات </v>
          </cell>
        </row>
        <row r="307">
          <cell r="A307" t="str">
            <v>306-10</v>
          </cell>
          <cell r="C307" t="str">
            <v>خامات ومصنعية أعمال الرخام</v>
          </cell>
          <cell r="D307" t="str">
            <v>تكاليف مشروع العبور 306</v>
          </cell>
          <cell r="E307" t="str">
            <v xml:space="preserve">تكاليف العمليات </v>
          </cell>
        </row>
        <row r="308">
          <cell r="A308" t="str">
            <v>306-11</v>
          </cell>
          <cell r="C308" t="str">
            <v>خامات ومصنعية بند الكهرباء</v>
          </cell>
          <cell r="D308" t="str">
            <v>تكاليف مشروع العبور 306</v>
          </cell>
          <cell r="E308" t="str">
            <v xml:space="preserve">تكاليف العمليات </v>
          </cell>
        </row>
        <row r="309">
          <cell r="A309" t="str">
            <v>306-12</v>
          </cell>
          <cell r="C309" t="str">
            <v>خامات ومصنعية بند السباكة والصحي</v>
          </cell>
          <cell r="D309" t="str">
            <v>تكاليف مشروع العبور 306</v>
          </cell>
          <cell r="E309" t="str">
            <v xml:space="preserve">تكاليف العمليات </v>
          </cell>
        </row>
        <row r="310">
          <cell r="A310" t="str">
            <v>306-13</v>
          </cell>
          <cell r="C310" t="str">
            <v>خامات ومصنعية أعمال التكييف</v>
          </cell>
          <cell r="D310" t="str">
            <v>تكاليف مشروع العبور 306</v>
          </cell>
          <cell r="E310" t="str">
            <v xml:space="preserve">تكاليف العمليات </v>
          </cell>
        </row>
        <row r="311">
          <cell r="A311" t="str">
            <v>306-14</v>
          </cell>
          <cell r="C311" t="str">
            <v>خامات ومصنعية أعمال النجارة والأبواب</v>
          </cell>
          <cell r="D311" t="str">
            <v>تكاليف مشروع العبور 306</v>
          </cell>
          <cell r="E311" t="str">
            <v xml:space="preserve">تكاليف العمليات </v>
          </cell>
        </row>
        <row r="312">
          <cell r="A312" t="str">
            <v>306-15</v>
          </cell>
          <cell r="C312" t="str">
            <v>خامات ومصنعية أعمال المطابخ</v>
          </cell>
          <cell r="D312" t="str">
            <v>تكاليف مشروع العبور 306</v>
          </cell>
          <cell r="E312" t="str">
            <v xml:space="preserve">تكاليف العمليات </v>
          </cell>
        </row>
        <row r="313">
          <cell r="A313" t="str">
            <v>306-16</v>
          </cell>
          <cell r="C313" t="str">
            <v>خامات ومصنعية أعمال الألوميتال</v>
          </cell>
          <cell r="D313" t="str">
            <v>تكاليف مشروع العبور 306</v>
          </cell>
          <cell r="E313" t="str">
            <v xml:space="preserve">تكاليف العمليات </v>
          </cell>
        </row>
        <row r="314">
          <cell r="A314" t="str">
            <v>306-17</v>
          </cell>
          <cell r="C314" t="str">
            <v>خامات ومصنعية أعمال الزجاج والسكوريت</v>
          </cell>
          <cell r="D314" t="str">
            <v>تكاليف مشروع العبور 306</v>
          </cell>
          <cell r="E314" t="str">
            <v xml:space="preserve">تكاليف العمليات </v>
          </cell>
        </row>
        <row r="315">
          <cell r="A315" t="str">
            <v>306-18</v>
          </cell>
          <cell r="C315" t="str">
            <v>خامات ومصنعية أعمال الشاتر</v>
          </cell>
          <cell r="D315" t="str">
            <v>تكاليف مشروع العبور 306</v>
          </cell>
          <cell r="E315" t="str">
            <v xml:space="preserve">تكاليف العمليات </v>
          </cell>
        </row>
        <row r="316">
          <cell r="A316" t="str">
            <v>306-19</v>
          </cell>
          <cell r="C316" t="str">
            <v>خامات ومصنعية أعمال المرايات</v>
          </cell>
          <cell r="D316" t="str">
            <v>تكاليف مشروع العبور 306</v>
          </cell>
          <cell r="E316" t="str">
            <v xml:space="preserve">تكاليف العمليات </v>
          </cell>
        </row>
        <row r="317">
          <cell r="A317" t="str">
            <v>306-20</v>
          </cell>
          <cell r="C317" t="str">
            <v>خامات ومصنعية أعمال العزل</v>
          </cell>
          <cell r="D317" t="str">
            <v>تكاليف مشروع العبور 306</v>
          </cell>
          <cell r="E317" t="str">
            <v xml:space="preserve">تكاليف العمليات </v>
          </cell>
        </row>
        <row r="318">
          <cell r="A318" t="str">
            <v>306-21</v>
          </cell>
          <cell r="C318" t="str">
            <v>خامات ومصنعية أعمال الشفاطات</v>
          </cell>
          <cell r="D318" t="str">
            <v>تكاليف مشروع العبور 306</v>
          </cell>
          <cell r="E318" t="str">
            <v xml:space="preserve">تكاليف العمليات </v>
          </cell>
        </row>
        <row r="319">
          <cell r="A319" t="str">
            <v>306-22</v>
          </cell>
          <cell r="C319" t="str">
            <v>خامات ومصنعية أعمال النجف والإضاءة</v>
          </cell>
          <cell r="D319" t="str">
            <v>تكاليف مشروع العبور 306</v>
          </cell>
          <cell r="E319" t="str">
            <v xml:space="preserve">تكاليف العمليات </v>
          </cell>
        </row>
        <row r="320">
          <cell r="A320" t="str">
            <v>306-23</v>
          </cell>
          <cell r="C320" t="str">
            <v>خامات ومصنعية أعمال اللاند سكيب</v>
          </cell>
          <cell r="D320" t="str">
            <v>تكاليف مشروع العبور 306</v>
          </cell>
          <cell r="E320" t="str">
            <v xml:space="preserve">تكاليف العمليات </v>
          </cell>
        </row>
        <row r="321">
          <cell r="A321" t="str">
            <v>306-24</v>
          </cell>
          <cell r="C321" t="str">
            <v>خامات ومصنعية أعمال الأرضيات الخشبية</v>
          </cell>
          <cell r="D321" t="str">
            <v>تكاليف مشروع العبور 306</v>
          </cell>
          <cell r="E321" t="str">
            <v xml:space="preserve">تكاليف العمليات </v>
          </cell>
        </row>
        <row r="322">
          <cell r="A322" t="str">
            <v>306-25</v>
          </cell>
          <cell r="C322" t="str">
            <v>خامات ومصنعية أعمال الستائر</v>
          </cell>
          <cell r="D322" t="str">
            <v>تكاليف مشروع العبور 306</v>
          </cell>
          <cell r="E322" t="str">
            <v xml:space="preserve">تكاليف العمليات </v>
          </cell>
        </row>
        <row r="323">
          <cell r="A323" t="str">
            <v>306-26</v>
          </cell>
          <cell r="C323" t="str">
            <v>خامات ومصنعية أعمال الأثاث</v>
          </cell>
          <cell r="D323" t="str">
            <v>تكاليف مشروع العبور 306</v>
          </cell>
          <cell r="E323" t="str">
            <v xml:space="preserve">تكاليف العمليات </v>
          </cell>
        </row>
        <row r="324">
          <cell r="A324" t="str">
            <v>306-27</v>
          </cell>
          <cell r="C324" t="str">
            <v>خامات ومصنعية أعمال النقل والتشوين</v>
          </cell>
          <cell r="D324" t="str">
            <v>تكاليف مشروع العبور 306</v>
          </cell>
          <cell r="E324" t="str">
            <v xml:space="preserve">تكاليف العمليات </v>
          </cell>
        </row>
        <row r="325">
          <cell r="A325" t="str">
            <v>306-28</v>
          </cell>
          <cell r="C325" t="str">
            <v>رسوم وتصاريح المشروع واكراميات</v>
          </cell>
          <cell r="D325" t="str">
            <v>تكاليف مشروع العبور 306</v>
          </cell>
          <cell r="E325" t="str">
            <v xml:space="preserve">تكاليف العمليات </v>
          </cell>
        </row>
        <row r="326">
          <cell r="A326" t="str">
            <v>306-29</v>
          </cell>
          <cell r="C326" t="str">
            <v>عمالة ويوميات مباشرة</v>
          </cell>
          <cell r="D326" t="str">
            <v>تكاليف مشروع العبور 306</v>
          </cell>
          <cell r="E326" t="str">
            <v xml:space="preserve">تكاليف العمليات </v>
          </cell>
        </row>
        <row r="327">
          <cell r="A327" t="str">
            <v>306-30</v>
          </cell>
          <cell r="D327" t="str">
            <v>تكاليف مشروع العبور 306</v>
          </cell>
          <cell r="E327" t="str">
            <v xml:space="preserve">تكاليف العمليات </v>
          </cell>
        </row>
        <row r="328">
          <cell r="A328" t="str">
            <v>306-31</v>
          </cell>
          <cell r="D328" t="str">
            <v>تكاليف مشروع العبور 306</v>
          </cell>
          <cell r="E328" t="str">
            <v xml:space="preserve">تكاليف العمليات </v>
          </cell>
        </row>
        <row r="329">
          <cell r="A329" t="str">
            <v>306-32</v>
          </cell>
          <cell r="D329" t="str">
            <v>تكاليف مشروع العبور 306</v>
          </cell>
          <cell r="E329" t="str">
            <v xml:space="preserve">تكاليف العمليات </v>
          </cell>
        </row>
        <row r="330">
          <cell r="A330" t="str">
            <v>306-33</v>
          </cell>
          <cell r="D330" t="str">
            <v>تكاليف مشروع العبور 306</v>
          </cell>
          <cell r="E330" t="str">
            <v xml:space="preserve">تكاليف العمليات </v>
          </cell>
        </row>
        <row r="331">
          <cell r="A331" t="str">
            <v>306-34</v>
          </cell>
          <cell r="D331" t="str">
            <v>تكاليف مشروع العبور 306</v>
          </cell>
          <cell r="E331" t="str">
            <v xml:space="preserve">تكاليف العمليات </v>
          </cell>
        </row>
        <row r="332">
          <cell r="A332">
            <v>318</v>
          </cell>
          <cell r="C332" t="str">
            <v>318 تكاليف مشروع  المعادي ديونز</v>
          </cell>
          <cell r="D332" t="str">
            <v>318 تكاليف مشروع  المعادي ديونز</v>
          </cell>
          <cell r="E332" t="str">
            <v xml:space="preserve">تكاليف العمليات </v>
          </cell>
        </row>
        <row r="333">
          <cell r="A333" t="str">
            <v>318-1</v>
          </cell>
          <cell r="C333" t="str">
            <v xml:space="preserve">تكلفة  المعاينة </v>
          </cell>
          <cell r="D333" t="str">
            <v>318 تكاليف مشروع  المعادي ديونز</v>
          </cell>
          <cell r="E333" t="str">
            <v xml:space="preserve">تكاليف العمليات </v>
          </cell>
        </row>
        <row r="334">
          <cell r="A334" t="str">
            <v>318-2</v>
          </cell>
          <cell r="C334" t="str">
            <v xml:space="preserve"> تكلفة الثري دي </v>
          </cell>
          <cell r="D334" t="str">
            <v>318 تكاليف مشروع  المعادي ديونز</v>
          </cell>
          <cell r="E334" t="str">
            <v xml:space="preserve">تكاليف العمليات </v>
          </cell>
        </row>
        <row r="335">
          <cell r="A335" t="str">
            <v>318-3</v>
          </cell>
          <cell r="C335" t="str">
            <v>اعمال التكسير والهدم والنظافة</v>
          </cell>
          <cell r="D335" t="str">
            <v>318 تكاليف مشروع  المعادي ديونز</v>
          </cell>
          <cell r="E335" t="str">
            <v xml:space="preserve">تكاليف العمليات </v>
          </cell>
        </row>
        <row r="336">
          <cell r="A336" t="str">
            <v>318-4</v>
          </cell>
          <cell r="C336" t="str">
            <v xml:space="preserve">اعمال انزال ونقل الراتش ونقل المخلفات </v>
          </cell>
          <cell r="D336" t="str">
            <v>318 تكاليف مشروع  المعادي ديونز</v>
          </cell>
          <cell r="E336" t="str">
            <v xml:space="preserve">تكاليف العمليات </v>
          </cell>
        </row>
        <row r="337">
          <cell r="A337" t="str">
            <v>318-5</v>
          </cell>
          <cell r="C337" t="str">
            <v>خامات ومصنعية أعمال المباني</v>
          </cell>
          <cell r="D337" t="str">
            <v>318 تكاليف مشروع  المعادي ديونز</v>
          </cell>
          <cell r="E337" t="str">
            <v xml:space="preserve">تكاليف العمليات </v>
          </cell>
        </row>
        <row r="338">
          <cell r="A338" t="str">
            <v>318-6</v>
          </cell>
          <cell r="C338" t="str">
            <v>خامات ومصنعية أعمال المحارة</v>
          </cell>
          <cell r="D338" t="str">
            <v>318 تكاليف مشروع  المعادي ديونز</v>
          </cell>
          <cell r="E338" t="str">
            <v xml:space="preserve">تكاليف العمليات </v>
          </cell>
        </row>
        <row r="339">
          <cell r="A339" t="str">
            <v>318-7</v>
          </cell>
          <cell r="C339" t="str">
            <v>خامات ومصنعية أعمال الجبس والديكورات</v>
          </cell>
          <cell r="D339" t="str">
            <v>318 تكاليف مشروع  المعادي ديونز</v>
          </cell>
          <cell r="E339" t="str">
            <v xml:space="preserve">تكاليف العمليات </v>
          </cell>
        </row>
        <row r="340">
          <cell r="A340" t="str">
            <v>318-8</v>
          </cell>
          <cell r="C340" t="str">
            <v>خامات ومصنعية أعمال الدهانات</v>
          </cell>
          <cell r="D340" t="str">
            <v>318 تكاليف مشروع  المعادي ديونز</v>
          </cell>
          <cell r="E340" t="str">
            <v xml:space="preserve">تكاليف العمليات </v>
          </cell>
        </row>
        <row r="341">
          <cell r="A341" t="str">
            <v>318-9</v>
          </cell>
          <cell r="C341" t="str">
            <v>خامات ومصنعية أعمال السيراميك</v>
          </cell>
          <cell r="D341" t="str">
            <v>318 تكاليف مشروع  المعادي ديونز</v>
          </cell>
          <cell r="E341" t="str">
            <v xml:space="preserve">تكاليف العمليات </v>
          </cell>
        </row>
        <row r="342">
          <cell r="A342" t="str">
            <v>318-10</v>
          </cell>
          <cell r="C342" t="str">
            <v>خامات ومصنعية أعمال الرخام</v>
          </cell>
          <cell r="D342" t="str">
            <v>318 تكاليف مشروع  المعادي ديونز</v>
          </cell>
          <cell r="E342" t="str">
            <v xml:space="preserve">تكاليف العمليات </v>
          </cell>
        </row>
        <row r="343">
          <cell r="A343" t="str">
            <v>318-11</v>
          </cell>
          <cell r="C343" t="str">
            <v>خامات ومصنعية بند الكهرباء</v>
          </cell>
          <cell r="D343" t="str">
            <v>318 تكاليف مشروع  المعادي ديونز</v>
          </cell>
          <cell r="E343" t="str">
            <v xml:space="preserve">تكاليف العمليات </v>
          </cell>
        </row>
        <row r="344">
          <cell r="A344" t="str">
            <v>318-12</v>
          </cell>
          <cell r="C344" t="str">
            <v>خامات ومصنعية بند السباكة والصحي</v>
          </cell>
          <cell r="D344" t="str">
            <v>318 تكاليف مشروع  المعادي ديونز</v>
          </cell>
          <cell r="E344" t="str">
            <v xml:space="preserve">تكاليف العمليات </v>
          </cell>
        </row>
        <row r="345">
          <cell r="A345" t="str">
            <v>318-13</v>
          </cell>
          <cell r="C345" t="str">
            <v>خامات ومصنعية أعمال التكييف</v>
          </cell>
          <cell r="D345" t="str">
            <v>318 تكاليف مشروع  المعادي ديونز</v>
          </cell>
          <cell r="E345" t="str">
            <v xml:space="preserve">تكاليف العمليات </v>
          </cell>
        </row>
        <row r="346">
          <cell r="A346" t="str">
            <v>318-14</v>
          </cell>
          <cell r="C346" t="str">
            <v>خامات ومصنعية أعمال النجارة والأبواب</v>
          </cell>
          <cell r="D346" t="str">
            <v>318 تكاليف مشروع  المعادي ديونز</v>
          </cell>
          <cell r="E346" t="str">
            <v xml:space="preserve">تكاليف العمليات </v>
          </cell>
        </row>
        <row r="347">
          <cell r="A347" t="str">
            <v>318-15</v>
          </cell>
          <cell r="C347" t="str">
            <v>خامات ومصنعية أعمال المطابخ</v>
          </cell>
          <cell r="D347" t="str">
            <v>318 تكاليف مشروع  المعادي ديونز</v>
          </cell>
          <cell r="E347" t="str">
            <v xml:space="preserve">تكاليف العمليات </v>
          </cell>
        </row>
        <row r="348">
          <cell r="A348" t="str">
            <v>318-16</v>
          </cell>
          <cell r="C348" t="str">
            <v>خامات ومصنعية أعمال الألوميتال</v>
          </cell>
          <cell r="D348" t="str">
            <v>318 تكاليف مشروع  المعادي ديونز</v>
          </cell>
          <cell r="E348" t="str">
            <v xml:space="preserve">تكاليف العمليات </v>
          </cell>
        </row>
        <row r="349">
          <cell r="A349" t="str">
            <v>318-17</v>
          </cell>
          <cell r="C349" t="str">
            <v>خامات ومصنعية أعمال الزجاج والسكوريت</v>
          </cell>
          <cell r="D349" t="str">
            <v>318 تكاليف مشروع  المعادي ديونز</v>
          </cell>
          <cell r="E349" t="str">
            <v xml:space="preserve">تكاليف العمليات </v>
          </cell>
        </row>
        <row r="350">
          <cell r="A350" t="str">
            <v>318-18</v>
          </cell>
          <cell r="C350" t="str">
            <v>خامات ومصنعية أعمال الشاتر</v>
          </cell>
          <cell r="D350" t="str">
            <v>318 تكاليف مشروع  المعادي ديونز</v>
          </cell>
          <cell r="E350" t="str">
            <v xml:space="preserve">تكاليف العمليات </v>
          </cell>
        </row>
        <row r="351">
          <cell r="A351" t="str">
            <v>318-19</v>
          </cell>
          <cell r="C351" t="str">
            <v>خامات ومصنعية أعمال المرايات</v>
          </cell>
          <cell r="D351" t="str">
            <v>318 تكاليف مشروع  المعادي ديونز</v>
          </cell>
          <cell r="E351" t="str">
            <v xml:space="preserve">تكاليف العمليات </v>
          </cell>
        </row>
        <row r="352">
          <cell r="A352" t="str">
            <v>318-20</v>
          </cell>
          <cell r="C352" t="str">
            <v>خامات ومصنعية أعمال العزل</v>
          </cell>
          <cell r="D352" t="str">
            <v>318 تكاليف مشروع  المعادي ديونز</v>
          </cell>
          <cell r="E352" t="str">
            <v xml:space="preserve">تكاليف العمليات </v>
          </cell>
        </row>
        <row r="353">
          <cell r="A353" t="str">
            <v>318-21</v>
          </cell>
          <cell r="C353" t="str">
            <v>خامات ومصنعية أعمال الشفاطات</v>
          </cell>
          <cell r="D353" t="str">
            <v>318 تكاليف مشروع  المعادي ديونز</v>
          </cell>
          <cell r="E353" t="str">
            <v xml:space="preserve">تكاليف العمليات </v>
          </cell>
        </row>
        <row r="354">
          <cell r="A354" t="str">
            <v>318-22</v>
          </cell>
          <cell r="C354" t="str">
            <v>خامات ومصنعية أعمال النجف والإضاءة</v>
          </cell>
          <cell r="D354" t="str">
            <v>318 تكاليف مشروع  المعادي ديونز</v>
          </cell>
          <cell r="E354" t="str">
            <v xml:space="preserve">تكاليف العمليات </v>
          </cell>
        </row>
        <row r="355">
          <cell r="A355" t="str">
            <v>318-23</v>
          </cell>
          <cell r="C355" t="str">
            <v>خامات ومصنعية أعمال اللاند سكيب</v>
          </cell>
          <cell r="D355" t="str">
            <v>318 تكاليف مشروع  المعادي ديونز</v>
          </cell>
          <cell r="E355" t="str">
            <v xml:space="preserve">تكاليف العمليات </v>
          </cell>
        </row>
        <row r="356">
          <cell r="A356" t="str">
            <v>318-24</v>
          </cell>
          <cell r="C356" t="str">
            <v>خامات ومصنعية أعمال الأرضيات الخشبية</v>
          </cell>
          <cell r="D356" t="str">
            <v>318 تكاليف مشروع  المعادي ديونز</v>
          </cell>
          <cell r="E356" t="str">
            <v xml:space="preserve">تكاليف العمليات </v>
          </cell>
        </row>
        <row r="357">
          <cell r="A357" t="str">
            <v>318-25</v>
          </cell>
          <cell r="C357" t="str">
            <v>خامات ومصنعية أعمال الستائر</v>
          </cell>
          <cell r="D357" t="str">
            <v>318 تكاليف مشروع  المعادي ديونز</v>
          </cell>
          <cell r="E357" t="str">
            <v xml:space="preserve">تكاليف العمليات </v>
          </cell>
        </row>
        <row r="358">
          <cell r="A358" t="str">
            <v>318-26</v>
          </cell>
          <cell r="C358" t="str">
            <v>خامات ومصنعية أعمال الأثاث</v>
          </cell>
          <cell r="D358" t="str">
            <v>318 تكاليف مشروع  المعادي ديونز</v>
          </cell>
          <cell r="E358" t="str">
            <v xml:space="preserve">تكاليف العمليات </v>
          </cell>
        </row>
        <row r="359">
          <cell r="A359" t="str">
            <v>318-27</v>
          </cell>
          <cell r="C359" t="str">
            <v>خامات ومصنعية أعمال النقل والتشوين</v>
          </cell>
          <cell r="D359" t="str">
            <v>318 تكاليف مشروع  المعادي ديونز</v>
          </cell>
          <cell r="E359" t="str">
            <v xml:space="preserve">تكاليف العمليات </v>
          </cell>
        </row>
        <row r="360">
          <cell r="A360" t="str">
            <v>318-28</v>
          </cell>
          <cell r="C360" t="str">
            <v>رسوم وتصاريح المشروع واكراميات</v>
          </cell>
          <cell r="D360" t="str">
            <v>318 تكاليف مشروع  المعادي ديونز</v>
          </cell>
          <cell r="E360" t="str">
            <v xml:space="preserve">تكاليف العمليات </v>
          </cell>
        </row>
        <row r="361">
          <cell r="A361" t="str">
            <v>318-29</v>
          </cell>
          <cell r="C361" t="str">
            <v>عمالة ويوميات مباشرة</v>
          </cell>
          <cell r="D361" t="str">
            <v>318 تكاليف مشروع  المعادي ديونز</v>
          </cell>
          <cell r="E361" t="str">
            <v xml:space="preserve">تكاليف العمليات </v>
          </cell>
        </row>
        <row r="362">
          <cell r="A362" t="str">
            <v>318-30</v>
          </cell>
          <cell r="C362" t="str">
            <v>انتقالات اخري</v>
          </cell>
          <cell r="D362" t="str">
            <v>318 تكاليف مشروع  المعادي ديونز</v>
          </cell>
          <cell r="E362" t="str">
            <v xml:space="preserve">تكاليف العمليات </v>
          </cell>
        </row>
        <row r="363">
          <cell r="A363" t="str">
            <v>318-31</v>
          </cell>
          <cell r="D363" t="str">
            <v>318 تكاليف مشروع  المعادي ديونز</v>
          </cell>
          <cell r="E363" t="str">
            <v xml:space="preserve">تكاليف العمليات </v>
          </cell>
        </row>
        <row r="364">
          <cell r="A364" t="str">
            <v>318-32</v>
          </cell>
          <cell r="D364" t="str">
            <v>318 تكاليف مشروع  المعادي ديونز</v>
          </cell>
          <cell r="E364" t="str">
            <v xml:space="preserve">تكاليف العمليات </v>
          </cell>
        </row>
        <row r="365">
          <cell r="A365" t="str">
            <v>318-33</v>
          </cell>
          <cell r="D365" t="str">
            <v>318 تكاليف مشروع  المعادي ديونز</v>
          </cell>
          <cell r="E365" t="str">
            <v xml:space="preserve">تكاليف العمليات </v>
          </cell>
        </row>
        <row r="366">
          <cell r="A366" t="str">
            <v>318-34</v>
          </cell>
          <cell r="D366" t="str">
            <v>318 تكاليف مشروع  المعادي ديونز</v>
          </cell>
          <cell r="E366" t="str">
            <v xml:space="preserve">تكاليف العمليات </v>
          </cell>
        </row>
        <row r="367">
          <cell r="A367">
            <v>336</v>
          </cell>
          <cell r="C367" t="str">
            <v>تكاليف مشروع عمرو العبور 336</v>
          </cell>
          <cell r="D367" t="str">
            <v>تكاليف مشروع عمرو العبور 336</v>
          </cell>
          <cell r="E367" t="str">
            <v xml:space="preserve">تكاليف العمليات </v>
          </cell>
        </row>
        <row r="368">
          <cell r="A368" t="str">
            <v>336-1</v>
          </cell>
          <cell r="C368" t="str">
            <v xml:space="preserve">تكلفة  المعاينة </v>
          </cell>
          <cell r="D368" t="str">
            <v>تكاليف مشروع عمرو العبور 336</v>
          </cell>
          <cell r="E368" t="str">
            <v xml:space="preserve">تكاليف العمليات </v>
          </cell>
        </row>
        <row r="369">
          <cell r="A369" t="str">
            <v>336-2</v>
          </cell>
          <cell r="C369" t="str">
            <v xml:space="preserve"> تكلفة الثري دي </v>
          </cell>
          <cell r="D369" t="str">
            <v>تكاليف مشروع عمرو العبور 336</v>
          </cell>
          <cell r="E369" t="str">
            <v xml:space="preserve">تكاليف العمليات </v>
          </cell>
        </row>
        <row r="370">
          <cell r="A370" t="str">
            <v>336-3</v>
          </cell>
          <cell r="C370" t="str">
            <v>اعمال التكسير والهدم والنظافة</v>
          </cell>
          <cell r="D370" t="str">
            <v>تكاليف مشروع عمرو العبور 336</v>
          </cell>
          <cell r="E370" t="str">
            <v xml:space="preserve">تكاليف العمليات </v>
          </cell>
        </row>
        <row r="371">
          <cell r="A371" t="str">
            <v>336-4</v>
          </cell>
          <cell r="C371" t="str">
            <v xml:space="preserve">اعمال انزال ونقل الراتش ونقل المخلفات </v>
          </cell>
          <cell r="D371" t="str">
            <v>تكاليف مشروع عمرو العبور 336</v>
          </cell>
          <cell r="E371" t="str">
            <v xml:space="preserve">تكاليف العمليات </v>
          </cell>
        </row>
        <row r="372">
          <cell r="A372" t="str">
            <v>336-5</v>
          </cell>
          <cell r="C372" t="str">
            <v>خامات ومصنعية أعمال المباني</v>
          </cell>
          <cell r="D372" t="str">
            <v>تكاليف مشروع عمرو العبور 336</v>
          </cell>
          <cell r="E372" t="str">
            <v xml:space="preserve">تكاليف العمليات </v>
          </cell>
        </row>
        <row r="373">
          <cell r="A373" t="str">
            <v>336-6</v>
          </cell>
          <cell r="C373" t="str">
            <v>خامات ومصنعية أعمال المحارة</v>
          </cell>
          <cell r="D373" t="str">
            <v>تكاليف مشروع عمرو العبور 336</v>
          </cell>
          <cell r="E373" t="str">
            <v xml:space="preserve">تكاليف العمليات </v>
          </cell>
        </row>
        <row r="374">
          <cell r="A374" t="str">
            <v>336-7</v>
          </cell>
          <cell r="C374" t="str">
            <v>خامات ومصنعية أعمال الجبس والديكورات</v>
          </cell>
          <cell r="D374" t="str">
            <v>تكاليف مشروع عمرو العبور 336</v>
          </cell>
          <cell r="E374" t="str">
            <v xml:space="preserve">تكاليف العمليات </v>
          </cell>
        </row>
        <row r="375">
          <cell r="A375" t="str">
            <v>336-8</v>
          </cell>
          <cell r="C375" t="str">
            <v>خامات ومصنعية أعمال الدهانات</v>
          </cell>
          <cell r="D375" t="str">
            <v>تكاليف مشروع عمرو العبور 336</v>
          </cell>
          <cell r="E375" t="str">
            <v xml:space="preserve">تكاليف العمليات </v>
          </cell>
        </row>
        <row r="376">
          <cell r="A376" t="str">
            <v>336-9</v>
          </cell>
          <cell r="C376" t="str">
            <v>خامات ومصنعية أعمال السيراميك</v>
          </cell>
          <cell r="D376" t="str">
            <v>تكاليف مشروع عمرو العبور 336</v>
          </cell>
          <cell r="E376" t="str">
            <v xml:space="preserve">تكاليف العمليات </v>
          </cell>
        </row>
        <row r="377">
          <cell r="A377" t="str">
            <v>336-10</v>
          </cell>
          <cell r="C377" t="str">
            <v>خامات ومصنعية أعمال الرخام</v>
          </cell>
          <cell r="D377" t="str">
            <v>تكاليف مشروع عمرو العبور 336</v>
          </cell>
          <cell r="E377" t="str">
            <v xml:space="preserve">تكاليف العمليات </v>
          </cell>
        </row>
        <row r="378">
          <cell r="A378" t="str">
            <v>336-11</v>
          </cell>
          <cell r="C378" t="str">
            <v>خامات ومصنعية بند الكهرباء</v>
          </cell>
          <cell r="D378" t="str">
            <v>تكاليف مشروع عمرو العبور 336</v>
          </cell>
          <cell r="E378" t="str">
            <v xml:space="preserve">تكاليف العمليات </v>
          </cell>
        </row>
        <row r="379">
          <cell r="A379" t="str">
            <v>336-12</v>
          </cell>
          <cell r="C379" t="str">
            <v>خامات ومصنعية بند السباكة والصحي</v>
          </cell>
          <cell r="D379" t="str">
            <v>تكاليف مشروع عمرو العبور 336</v>
          </cell>
          <cell r="E379" t="str">
            <v xml:space="preserve">تكاليف العمليات </v>
          </cell>
        </row>
        <row r="380">
          <cell r="A380" t="str">
            <v>336-13</v>
          </cell>
          <cell r="C380" t="str">
            <v>خامات ومصنعية أعمال التكييف</v>
          </cell>
          <cell r="D380" t="str">
            <v>تكاليف مشروع عمرو العبور 336</v>
          </cell>
          <cell r="E380" t="str">
            <v xml:space="preserve">تكاليف العمليات </v>
          </cell>
        </row>
        <row r="381">
          <cell r="A381" t="str">
            <v>336-14</v>
          </cell>
          <cell r="C381" t="str">
            <v>خامات ومصنعية أعمال النجارة والأبواب</v>
          </cell>
          <cell r="D381" t="str">
            <v>تكاليف مشروع عمرو العبور 336</v>
          </cell>
          <cell r="E381" t="str">
            <v xml:space="preserve">تكاليف العمليات </v>
          </cell>
        </row>
        <row r="382">
          <cell r="A382" t="str">
            <v>336-15</v>
          </cell>
          <cell r="C382" t="str">
            <v>خامات ومصنعية أعمال المطابخ</v>
          </cell>
          <cell r="D382" t="str">
            <v>تكاليف مشروع عمرو العبور 336</v>
          </cell>
          <cell r="E382" t="str">
            <v xml:space="preserve">تكاليف العمليات </v>
          </cell>
        </row>
        <row r="383">
          <cell r="A383" t="str">
            <v>336-16</v>
          </cell>
          <cell r="C383" t="str">
            <v>خامات ومصنعية أعمال الألوميتال</v>
          </cell>
          <cell r="D383" t="str">
            <v>تكاليف مشروع عمرو العبور 336</v>
          </cell>
          <cell r="E383" t="str">
            <v xml:space="preserve">تكاليف العمليات </v>
          </cell>
        </row>
        <row r="384">
          <cell r="A384" t="str">
            <v>336-17</v>
          </cell>
          <cell r="C384" t="str">
            <v>خامات ومصنعية أعمال الزجاج والسكوريت</v>
          </cell>
          <cell r="D384" t="str">
            <v>تكاليف مشروع عمرو العبور 336</v>
          </cell>
          <cell r="E384" t="str">
            <v xml:space="preserve">تكاليف العمليات </v>
          </cell>
        </row>
        <row r="385">
          <cell r="A385" t="str">
            <v>336-18</v>
          </cell>
          <cell r="C385" t="str">
            <v>خامات ومصنعية أعمال الشاتر</v>
          </cell>
          <cell r="D385" t="str">
            <v>تكاليف مشروع عمرو العبور 336</v>
          </cell>
          <cell r="E385" t="str">
            <v xml:space="preserve">تكاليف العمليات </v>
          </cell>
        </row>
        <row r="386">
          <cell r="A386" t="str">
            <v>336-19</v>
          </cell>
          <cell r="C386" t="str">
            <v>خامات ومصنعية أعمال المرايات</v>
          </cell>
          <cell r="D386" t="str">
            <v>تكاليف مشروع عمرو العبور 336</v>
          </cell>
          <cell r="E386" t="str">
            <v xml:space="preserve">تكاليف العمليات </v>
          </cell>
        </row>
        <row r="387">
          <cell r="A387" t="str">
            <v>336-20</v>
          </cell>
          <cell r="C387" t="str">
            <v>خامات ومصنعية أعمال العزل</v>
          </cell>
          <cell r="D387" t="str">
            <v>تكاليف مشروع عمرو العبور 336</v>
          </cell>
          <cell r="E387" t="str">
            <v xml:space="preserve">تكاليف العمليات </v>
          </cell>
        </row>
        <row r="388">
          <cell r="A388" t="str">
            <v>336-21</v>
          </cell>
          <cell r="C388" t="str">
            <v>خامات ومصنعية أعمال الشفاطات</v>
          </cell>
          <cell r="D388" t="str">
            <v>تكاليف مشروع عمرو العبور 336</v>
          </cell>
          <cell r="E388" t="str">
            <v xml:space="preserve">تكاليف العمليات </v>
          </cell>
        </row>
        <row r="389">
          <cell r="A389" t="str">
            <v>336-22</v>
          </cell>
          <cell r="C389" t="str">
            <v>خامات ومصنعية أعمال النجف والإضاءة</v>
          </cell>
          <cell r="D389" t="str">
            <v>تكاليف مشروع عمرو العبور 336</v>
          </cell>
          <cell r="E389" t="str">
            <v xml:space="preserve">تكاليف العمليات </v>
          </cell>
        </row>
        <row r="390">
          <cell r="A390" t="str">
            <v>336-23</v>
          </cell>
          <cell r="C390" t="str">
            <v>خامات ومصنعية أعمال اللاند سكيب</v>
          </cell>
          <cell r="D390" t="str">
            <v>تكاليف مشروع عمرو العبور 336</v>
          </cell>
          <cell r="E390" t="str">
            <v xml:space="preserve">تكاليف العمليات </v>
          </cell>
        </row>
        <row r="391">
          <cell r="A391" t="str">
            <v>336-24</v>
          </cell>
          <cell r="C391" t="str">
            <v>خامات ومصنعية أعمال الأرضيات الخشبية</v>
          </cell>
          <cell r="D391" t="str">
            <v>تكاليف مشروع عمرو العبور 336</v>
          </cell>
          <cell r="E391" t="str">
            <v xml:space="preserve">تكاليف العمليات </v>
          </cell>
        </row>
        <row r="392">
          <cell r="A392" t="str">
            <v>336-25</v>
          </cell>
          <cell r="C392" t="str">
            <v>خامات ومصنعية أعمال الستائر</v>
          </cell>
          <cell r="D392" t="str">
            <v>تكاليف مشروع عمرو العبور 336</v>
          </cell>
          <cell r="E392" t="str">
            <v xml:space="preserve">تكاليف العمليات </v>
          </cell>
        </row>
        <row r="393">
          <cell r="A393" t="str">
            <v>336-26</v>
          </cell>
          <cell r="C393" t="str">
            <v>خامات ومصنعية أعمال الأثاث</v>
          </cell>
          <cell r="D393" t="str">
            <v>تكاليف مشروع عمرو العبور 336</v>
          </cell>
          <cell r="E393" t="str">
            <v xml:space="preserve">تكاليف العمليات </v>
          </cell>
        </row>
        <row r="394">
          <cell r="A394" t="str">
            <v>336-27</v>
          </cell>
          <cell r="C394" t="str">
            <v>خامات ومصنعية أعمال النقل والتشوين</v>
          </cell>
          <cell r="D394" t="str">
            <v>تكاليف مشروع عمرو العبور 336</v>
          </cell>
          <cell r="E394" t="str">
            <v xml:space="preserve">تكاليف العمليات </v>
          </cell>
        </row>
        <row r="395">
          <cell r="A395" t="str">
            <v>336-28</v>
          </cell>
          <cell r="C395" t="str">
            <v>رسوم وتصاريح المشروع واكراميات</v>
          </cell>
          <cell r="D395" t="str">
            <v>تكاليف مشروع عمرو العبور 336</v>
          </cell>
          <cell r="E395" t="str">
            <v xml:space="preserve">تكاليف العمليات </v>
          </cell>
        </row>
        <row r="396">
          <cell r="A396" t="str">
            <v>336-29</v>
          </cell>
          <cell r="C396" t="str">
            <v>عمالة ويوميات مباشرة</v>
          </cell>
          <cell r="D396" t="str">
            <v>تكاليف مشروع عمرو العبور 336</v>
          </cell>
          <cell r="E396" t="str">
            <v xml:space="preserve">تكاليف العمليات </v>
          </cell>
        </row>
        <row r="397">
          <cell r="A397" t="str">
            <v>336-30</v>
          </cell>
          <cell r="D397" t="str">
            <v>تكاليف مشروع عمرو العبور 336</v>
          </cell>
          <cell r="E397" t="str">
            <v xml:space="preserve">تكاليف العمليات </v>
          </cell>
        </row>
        <row r="398">
          <cell r="A398" t="str">
            <v>336-31</v>
          </cell>
          <cell r="D398" t="str">
            <v>تكاليف مشروع عمرو العبور 336</v>
          </cell>
          <cell r="E398" t="str">
            <v xml:space="preserve">تكاليف العمليات </v>
          </cell>
        </row>
        <row r="399">
          <cell r="A399" t="str">
            <v>336-32</v>
          </cell>
          <cell r="D399" t="str">
            <v>تكاليف مشروع عمرو العبور 336</v>
          </cell>
          <cell r="E399" t="str">
            <v xml:space="preserve">تكاليف العمليات </v>
          </cell>
        </row>
        <row r="400">
          <cell r="A400" t="str">
            <v>336-33</v>
          </cell>
          <cell r="D400" t="str">
            <v>تكاليف مشروع عمرو العبور 336</v>
          </cell>
          <cell r="E400" t="str">
            <v xml:space="preserve">تكاليف العمليات </v>
          </cell>
        </row>
        <row r="401">
          <cell r="A401" t="str">
            <v>336-34</v>
          </cell>
          <cell r="D401" t="str">
            <v>تكاليف مشروع عمرو العبور 336</v>
          </cell>
          <cell r="E401" t="str">
            <v xml:space="preserve">تكاليف العمليات </v>
          </cell>
        </row>
        <row r="402">
          <cell r="A402">
            <v>345</v>
          </cell>
          <cell r="C402" t="str">
            <v>345 تكاليف مشروع بالم هيلز</v>
          </cell>
          <cell r="D402" t="str">
            <v>345 تكاليف مشروع بالم هيلز</v>
          </cell>
          <cell r="E402" t="str">
            <v xml:space="preserve">تكاليف العمليات </v>
          </cell>
        </row>
        <row r="403">
          <cell r="A403" t="str">
            <v>345-1</v>
          </cell>
          <cell r="C403" t="str">
            <v xml:space="preserve">تكلفة  المعاينة </v>
          </cell>
          <cell r="D403" t="str">
            <v>345 تكاليف مشروع بالم هيلز</v>
          </cell>
          <cell r="E403" t="str">
            <v xml:space="preserve">تكاليف العمليات </v>
          </cell>
        </row>
        <row r="404">
          <cell r="A404" t="str">
            <v>345-2</v>
          </cell>
          <cell r="C404" t="str">
            <v xml:space="preserve"> تكلفة الثري دي </v>
          </cell>
          <cell r="D404" t="str">
            <v>345 تكاليف مشروع بالم هيلز</v>
          </cell>
          <cell r="E404" t="str">
            <v xml:space="preserve">تكاليف العمليات </v>
          </cell>
        </row>
        <row r="405">
          <cell r="A405" t="str">
            <v>345-3</v>
          </cell>
          <cell r="C405" t="str">
            <v>اعمال التكسير والهدم والنظافة</v>
          </cell>
          <cell r="D405" t="str">
            <v>345 تكاليف مشروع بالم هيلز</v>
          </cell>
          <cell r="E405" t="str">
            <v xml:space="preserve">تكاليف العمليات </v>
          </cell>
        </row>
        <row r="406">
          <cell r="A406" t="str">
            <v>345-4</v>
          </cell>
          <cell r="C406" t="str">
            <v xml:space="preserve">اعمال انزال ونقل الراتش ونقل المخلفات </v>
          </cell>
          <cell r="D406" t="str">
            <v>345 تكاليف مشروع بالم هيلز</v>
          </cell>
          <cell r="E406" t="str">
            <v xml:space="preserve">تكاليف العمليات </v>
          </cell>
        </row>
        <row r="407">
          <cell r="A407" t="str">
            <v>345-5</v>
          </cell>
          <cell r="C407" t="str">
            <v>خامات ومصنعية أعمال المباني</v>
          </cell>
          <cell r="D407" t="str">
            <v>345 تكاليف مشروع بالم هيلز</v>
          </cell>
          <cell r="E407" t="str">
            <v xml:space="preserve">تكاليف العمليات </v>
          </cell>
        </row>
        <row r="408">
          <cell r="A408" t="str">
            <v>345-6</v>
          </cell>
          <cell r="C408" t="str">
            <v>خامات ومصنعية أعمال المحارة</v>
          </cell>
          <cell r="D408" t="str">
            <v>345 تكاليف مشروع بالم هيلز</v>
          </cell>
          <cell r="E408" t="str">
            <v xml:space="preserve">تكاليف العمليات </v>
          </cell>
        </row>
        <row r="409">
          <cell r="A409" t="str">
            <v>345-7</v>
          </cell>
          <cell r="C409" t="str">
            <v>خامات ومصنعية أعمال الجبس والديكورات</v>
          </cell>
          <cell r="D409" t="str">
            <v>345 تكاليف مشروع بالم هيلز</v>
          </cell>
          <cell r="E409" t="str">
            <v xml:space="preserve">تكاليف العمليات </v>
          </cell>
        </row>
        <row r="410">
          <cell r="A410" t="str">
            <v>345-8</v>
          </cell>
          <cell r="C410" t="str">
            <v>خامات ومصنعية أعمال الدهانات</v>
          </cell>
          <cell r="D410" t="str">
            <v>345 تكاليف مشروع بالم هيلز</v>
          </cell>
          <cell r="E410" t="str">
            <v xml:space="preserve">تكاليف العمليات </v>
          </cell>
        </row>
        <row r="411">
          <cell r="A411" t="str">
            <v>345-9</v>
          </cell>
          <cell r="C411" t="str">
            <v>خامات ومصنعية أعمال السيراميك</v>
          </cell>
          <cell r="D411" t="str">
            <v>345 تكاليف مشروع بالم هيلز</v>
          </cell>
          <cell r="E411" t="str">
            <v xml:space="preserve">تكاليف العمليات </v>
          </cell>
        </row>
        <row r="412">
          <cell r="A412" t="str">
            <v>345-10</v>
          </cell>
          <cell r="C412" t="str">
            <v>خامات ومصنعية أعمال الرخام</v>
          </cell>
          <cell r="D412" t="str">
            <v>345 تكاليف مشروع بالم هيلز</v>
          </cell>
          <cell r="E412" t="str">
            <v xml:space="preserve">تكاليف العمليات </v>
          </cell>
        </row>
        <row r="413">
          <cell r="A413" t="str">
            <v>345-11</v>
          </cell>
          <cell r="C413" t="str">
            <v>خامات ومصنعية بند الكهرباء</v>
          </cell>
          <cell r="D413" t="str">
            <v>345 تكاليف مشروع بالم هيلز</v>
          </cell>
          <cell r="E413" t="str">
            <v xml:space="preserve">تكاليف العمليات </v>
          </cell>
        </row>
        <row r="414">
          <cell r="A414" t="str">
            <v>345-12</v>
          </cell>
          <cell r="C414" t="str">
            <v>خامات ومصنعية بند السباكة والصحي</v>
          </cell>
          <cell r="D414" t="str">
            <v>345 تكاليف مشروع بالم هيلز</v>
          </cell>
          <cell r="E414" t="str">
            <v xml:space="preserve">تكاليف العمليات </v>
          </cell>
        </row>
        <row r="415">
          <cell r="A415" t="str">
            <v>345-13</v>
          </cell>
          <cell r="C415" t="str">
            <v>خامات ومصنعية أعمال التكييف</v>
          </cell>
          <cell r="D415" t="str">
            <v>345 تكاليف مشروع بالم هيلز</v>
          </cell>
          <cell r="E415" t="str">
            <v xml:space="preserve">تكاليف العمليات </v>
          </cell>
        </row>
        <row r="416">
          <cell r="A416" t="str">
            <v>345-14</v>
          </cell>
          <cell r="C416" t="str">
            <v>خامات ومصنعية أعمال النجارة والأبواب</v>
          </cell>
          <cell r="D416" t="str">
            <v>345 تكاليف مشروع بالم هيلز</v>
          </cell>
          <cell r="E416" t="str">
            <v xml:space="preserve">تكاليف العمليات </v>
          </cell>
        </row>
        <row r="417">
          <cell r="A417" t="str">
            <v>345-15</v>
          </cell>
          <cell r="C417" t="str">
            <v>خامات ومصنعية أعمال المطابخ</v>
          </cell>
          <cell r="D417" t="str">
            <v>345 تكاليف مشروع بالم هيلز</v>
          </cell>
          <cell r="E417" t="str">
            <v xml:space="preserve">تكاليف العمليات </v>
          </cell>
        </row>
        <row r="418">
          <cell r="A418" t="str">
            <v>345-16</v>
          </cell>
          <cell r="C418" t="str">
            <v>خامات ومصنعية أعمال الألوميتال</v>
          </cell>
          <cell r="D418" t="str">
            <v>345 تكاليف مشروع بالم هيلز</v>
          </cell>
          <cell r="E418" t="str">
            <v xml:space="preserve">تكاليف العمليات </v>
          </cell>
        </row>
        <row r="419">
          <cell r="A419" t="str">
            <v>345-17</v>
          </cell>
          <cell r="C419" t="str">
            <v>خامات ومصنعية أعمال الزجاج والسكوريت</v>
          </cell>
          <cell r="D419" t="str">
            <v>345 تكاليف مشروع بالم هيلز</v>
          </cell>
          <cell r="E419" t="str">
            <v xml:space="preserve">تكاليف العمليات </v>
          </cell>
        </row>
        <row r="420">
          <cell r="A420" t="str">
            <v>345-18</v>
          </cell>
          <cell r="C420" t="str">
            <v>خامات ومصنعية أعمال الشاتر</v>
          </cell>
          <cell r="D420" t="str">
            <v>345 تكاليف مشروع بالم هيلز</v>
          </cell>
          <cell r="E420" t="str">
            <v xml:space="preserve">تكاليف العمليات </v>
          </cell>
        </row>
        <row r="421">
          <cell r="A421" t="str">
            <v>345-19</v>
          </cell>
          <cell r="C421" t="str">
            <v>خامات ومصنعية أعمال المرايات</v>
          </cell>
          <cell r="D421" t="str">
            <v>345 تكاليف مشروع بالم هيلز</v>
          </cell>
          <cell r="E421" t="str">
            <v xml:space="preserve">تكاليف العمليات </v>
          </cell>
        </row>
        <row r="422">
          <cell r="A422" t="str">
            <v>345-20</v>
          </cell>
          <cell r="C422" t="str">
            <v>خامات ومصنعية أعمال العزل</v>
          </cell>
          <cell r="D422" t="str">
            <v>345 تكاليف مشروع بالم هيلز</v>
          </cell>
          <cell r="E422" t="str">
            <v xml:space="preserve">تكاليف العمليات </v>
          </cell>
        </row>
        <row r="423">
          <cell r="A423" t="str">
            <v>345-21</v>
          </cell>
          <cell r="C423" t="str">
            <v>خامات ومصنعية أعمال الشفاطات</v>
          </cell>
          <cell r="D423" t="str">
            <v>345 تكاليف مشروع بالم هيلز</v>
          </cell>
          <cell r="E423" t="str">
            <v xml:space="preserve">تكاليف العمليات </v>
          </cell>
        </row>
        <row r="424">
          <cell r="A424" t="str">
            <v>345-22</v>
          </cell>
          <cell r="C424" t="str">
            <v>خامات ومصنعية أعمال النجف والإضاءة</v>
          </cell>
          <cell r="D424" t="str">
            <v>345 تكاليف مشروع بالم هيلز</v>
          </cell>
          <cell r="E424" t="str">
            <v xml:space="preserve">تكاليف العمليات </v>
          </cell>
        </row>
        <row r="425">
          <cell r="A425" t="str">
            <v>345-23</v>
          </cell>
          <cell r="C425" t="str">
            <v>خامات ومصنعية أعمال اللاند سكيب</v>
          </cell>
          <cell r="D425" t="str">
            <v>345 تكاليف مشروع بالم هيلز</v>
          </cell>
          <cell r="E425" t="str">
            <v xml:space="preserve">تكاليف العمليات </v>
          </cell>
        </row>
        <row r="426">
          <cell r="A426" t="str">
            <v>345-24</v>
          </cell>
          <cell r="C426" t="str">
            <v>خامات ومصنعية أعمال الأرضيات الخشبية</v>
          </cell>
          <cell r="D426" t="str">
            <v>345 تكاليف مشروع بالم هيلز</v>
          </cell>
          <cell r="E426" t="str">
            <v xml:space="preserve">تكاليف العمليات </v>
          </cell>
        </row>
        <row r="427">
          <cell r="A427" t="str">
            <v>345-25</v>
          </cell>
          <cell r="C427" t="str">
            <v>خامات ومصنعية أعمال الستائر</v>
          </cell>
          <cell r="D427" t="str">
            <v>345 تكاليف مشروع بالم هيلز</v>
          </cell>
          <cell r="E427" t="str">
            <v xml:space="preserve">تكاليف العمليات </v>
          </cell>
        </row>
        <row r="428">
          <cell r="A428" t="str">
            <v>345-26</v>
          </cell>
          <cell r="C428" t="str">
            <v>خامات ومصنعية أعمال الأثاث</v>
          </cell>
          <cell r="D428" t="str">
            <v>345 تكاليف مشروع بالم هيلز</v>
          </cell>
          <cell r="E428" t="str">
            <v xml:space="preserve">تكاليف العمليات </v>
          </cell>
        </row>
        <row r="429">
          <cell r="A429" t="str">
            <v>345-27</v>
          </cell>
          <cell r="C429" t="str">
            <v>خامات ومصنعية أعمال النقل والتشوين</v>
          </cell>
          <cell r="D429" t="str">
            <v>345 تكاليف مشروع بالم هيلز</v>
          </cell>
          <cell r="E429" t="str">
            <v xml:space="preserve">تكاليف العمليات </v>
          </cell>
        </row>
        <row r="430">
          <cell r="A430" t="str">
            <v>345-28</v>
          </cell>
          <cell r="C430" t="str">
            <v>رسوم وتصاريح المشروع واكراميات</v>
          </cell>
          <cell r="D430" t="str">
            <v>345 تكاليف مشروع بالم هيلز</v>
          </cell>
          <cell r="E430" t="str">
            <v xml:space="preserve">تكاليف العمليات </v>
          </cell>
        </row>
        <row r="431">
          <cell r="A431" t="str">
            <v>345-29</v>
          </cell>
          <cell r="C431" t="str">
            <v>عمالة ويوميات مباشرة</v>
          </cell>
          <cell r="D431" t="str">
            <v>345 تكاليف مشروع بالم هيلز</v>
          </cell>
          <cell r="E431" t="str">
            <v xml:space="preserve">تكاليف العمليات </v>
          </cell>
        </row>
        <row r="432">
          <cell r="A432" t="str">
            <v>345-30</v>
          </cell>
          <cell r="D432" t="str">
            <v>345 تكاليف مشروع بالم هيلز</v>
          </cell>
          <cell r="E432" t="str">
            <v xml:space="preserve">تكاليف العمليات </v>
          </cell>
        </row>
        <row r="433">
          <cell r="A433" t="str">
            <v>345-31</v>
          </cell>
          <cell r="D433" t="str">
            <v>345 تكاليف مشروع بالم هيلز</v>
          </cell>
          <cell r="E433" t="str">
            <v xml:space="preserve">تكاليف العمليات </v>
          </cell>
        </row>
        <row r="434">
          <cell r="A434" t="str">
            <v>345-32</v>
          </cell>
          <cell r="D434" t="str">
            <v>345 تكاليف مشروع بالم هيلز</v>
          </cell>
          <cell r="E434" t="str">
            <v xml:space="preserve">تكاليف العمليات </v>
          </cell>
        </row>
        <row r="435">
          <cell r="A435" t="str">
            <v>345-33</v>
          </cell>
          <cell r="D435" t="str">
            <v>345 تكاليف مشروع بالم هيلز</v>
          </cell>
          <cell r="E435" t="str">
            <v xml:space="preserve">تكاليف العمليات </v>
          </cell>
        </row>
        <row r="436">
          <cell r="A436" t="str">
            <v>345-34</v>
          </cell>
          <cell r="D436" t="str">
            <v>345 تكاليف مشروع بالم هيلز</v>
          </cell>
          <cell r="E436" t="str">
            <v xml:space="preserve">تكاليف العمليات </v>
          </cell>
        </row>
        <row r="437">
          <cell r="A437">
            <v>350</v>
          </cell>
          <cell r="C437" t="str">
            <v>350 تكاليف مشروع شفيق</v>
          </cell>
          <cell r="D437" t="str">
            <v>350 تكاليف مشروع شفيق</v>
          </cell>
          <cell r="E437" t="str">
            <v xml:space="preserve">تكاليف العمليات </v>
          </cell>
        </row>
        <row r="438">
          <cell r="A438" t="str">
            <v>350-1</v>
          </cell>
          <cell r="C438" t="str">
            <v xml:space="preserve">تكلفة  المعاينة </v>
          </cell>
          <cell r="D438" t="str">
            <v>350 تكاليف مشروع شفيق</v>
          </cell>
          <cell r="E438" t="str">
            <v xml:space="preserve">تكاليف العمليات </v>
          </cell>
        </row>
        <row r="439">
          <cell r="A439" t="str">
            <v>350-2</v>
          </cell>
          <cell r="C439" t="str">
            <v xml:space="preserve"> تكلفة الثري دي </v>
          </cell>
          <cell r="D439" t="str">
            <v>350 تكاليف مشروع شفيق</v>
          </cell>
          <cell r="E439" t="str">
            <v xml:space="preserve">تكاليف العمليات </v>
          </cell>
        </row>
        <row r="440">
          <cell r="A440" t="str">
            <v>350-3</v>
          </cell>
          <cell r="C440" t="str">
            <v>اعمال التكسير والهدم والنظافة</v>
          </cell>
          <cell r="D440" t="str">
            <v>350 تكاليف مشروع شفيق</v>
          </cell>
          <cell r="E440" t="str">
            <v xml:space="preserve">تكاليف العمليات </v>
          </cell>
        </row>
        <row r="441">
          <cell r="A441" t="str">
            <v>350-4</v>
          </cell>
          <cell r="C441" t="str">
            <v xml:space="preserve">اعمال انزال ونقل الراتش ونقل المخلفات </v>
          </cell>
          <cell r="D441" t="str">
            <v>350 تكاليف مشروع شفيق</v>
          </cell>
          <cell r="E441" t="str">
            <v xml:space="preserve">تكاليف العمليات </v>
          </cell>
        </row>
        <row r="442">
          <cell r="A442" t="str">
            <v>350-5</v>
          </cell>
          <cell r="C442" t="str">
            <v>خامات ومصنعية أعمال المباني</v>
          </cell>
          <cell r="D442" t="str">
            <v>350 تكاليف مشروع شفيق</v>
          </cell>
          <cell r="E442" t="str">
            <v xml:space="preserve">تكاليف العمليات </v>
          </cell>
        </row>
        <row r="443">
          <cell r="A443" t="str">
            <v>350-6</v>
          </cell>
          <cell r="C443" t="str">
            <v>خامات ومصنعية أعمال المحارة</v>
          </cell>
          <cell r="D443" t="str">
            <v>350 تكاليف مشروع شفيق</v>
          </cell>
          <cell r="E443" t="str">
            <v xml:space="preserve">تكاليف العمليات </v>
          </cell>
        </row>
        <row r="444">
          <cell r="A444" t="str">
            <v>350-7</v>
          </cell>
          <cell r="C444" t="str">
            <v>خامات ومصنعية أعمال الجبس والديكورات</v>
          </cell>
          <cell r="D444" t="str">
            <v>350 تكاليف مشروع شفيق</v>
          </cell>
          <cell r="E444" t="str">
            <v xml:space="preserve">تكاليف العمليات </v>
          </cell>
        </row>
        <row r="445">
          <cell r="A445" t="str">
            <v>350-8</v>
          </cell>
          <cell r="C445" t="str">
            <v>خامات ومصنعية أعمال الدهانات</v>
          </cell>
          <cell r="D445" t="str">
            <v>350 تكاليف مشروع شفيق</v>
          </cell>
          <cell r="E445" t="str">
            <v xml:space="preserve">تكاليف العمليات </v>
          </cell>
        </row>
        <row r="446">
          <cell r="A446" t="str">
            <v>350-9</v>
          </cell>
          <cell r="C446" t="str">
            <v>خامات ومصنعية أعمال السيراميك</v>
          </cell>
          <cell r="D446" t="str">
            <v>350 تكاليف مشروع شفيق</v>
          </cell>
          <cell r="E446" t="str">
            <v xml:space="preserve">تكاليف العمليات </v>
          </cell>
        </row>
        <row r="447">
          <cell r="A447" t="str">
            <v>350-10</v>
          </cell>
          <cell r="C447" t="str">
            <v>خامات ومصنعية أعمال الرخام</v>
          </cell>
          <cell r="D447" t="str">
            <v>350 تكاليف مشروع شفيق</v>
          </cell>
          <cell r="E447" t="str">
            <v xml:space="preserve">تكاليف العمليات </v>
          </cell>
        </row>
        <row r="448">
          <cell r="A448" t="str">
            <v>350-11</v>
          </cell>
          <cell r="C448" t="str">
            <v>خامات ومصنعية بند الكهرباء</v>
          </cell>
          <cell r="D448" t="str">
            <v>350 تكاليف مشروع شفيق</v>
          </cell>
          <cell r="E448" t="str">
            <v xml:space="preserve">تكاليف العمليات </v>
          </cell>
        </row>
        <row r="449">
          <cell r="A449" t="str">
            <v>350-12</v>
          </cell>
          <cell r="C449" t="str">
            <v>خامات ومصنعية بند السباكة والصحي</v>
          </cell>
          <cell r="D449" t="str">
            <v>350 تكاليف مشروع شفيق</v>
          </cell>
          <cell r="E449" t="str">
            <v xml:space="preserve">تكاليف العمليات </v>
          </cell>
        </row>
        <row r="450">
          <cell r="A450" t="str">
            <v>350-13</v>
          </cell>
          <cell r="C450" t="str">
            <v>خامات ومصنعية أعمال التكييف</v>
          </cell>
          <cell r="D450" t="str">
            <v>350 تكاليف مشروع شفيق</v>
          </cell>
          <cell r="E450" t="str">
            <v xml:space="preserve">تكاليف العمليات </v>
          </cell>
        </row>
        <row r="451">
          <cell r="A451" t="str">
            <v>350-14</v>
          </cell>
          <cell r="C451" t="str">
            <v>خامات ومصنعية أعمال النجارة والأبواب</v>
          </cell>
          <cell r="D451" t="str">
            <v>350 تكاليف مشروع شفيق</v>
          </cell>
          <cell r="E451" t="str">
            <v xml:space="preserve">تكاليف العمليات </v>
          </cell>
        </row>
        <row r="452">
          <cell r="A452" t="str">
            <v>350-15</v>
          </cell>
          <cell r="C452" t="str">
            <v>خامات ومصنعية أعمال المطابخ</v>
          </cell>
          <cell r="D452" t="str">
            <v>350 تكاليف مشروع شفيق</v>
          </cell>
          <cell r="E452" t="str">
            <v xml:space="preserve">تكاليف العمليات </v>
          </cell>
        </row>
        <row r="453">
          <cell r="A453" t="str">
            <v>350-16</v>
          </cell>
          <cell r="C453" t="str">
            <v>خامات ومصنعية أعمال الألوميتال</v>
          </cell>
          <cell r="D453" t="str">
            <v>350 تكاليف مشروع شفيق</v>
          </cell>
          <cell r="E453" t="str">
            <v xml:space="preserve">تكاليف العمليات </v>
          </cell>
        </row>
        <row r="454">
          <cell r="A454" t="str">
            <v>350-17</v>
          </cell>
          <cell r="C454" t="str">
            <v>خامات ومصنعية أعمال الزجاج والسكوريت</v>
          </cell>
          <cell r="D454" t="str">
            <v>350 تكاليف مشروع شفيق</v>
          </cell>
          <cell r="E454" t="str">
            <v xml:space="preserve">تكاليف العمليات </v>
          </cell>
        </row>
        <row r="455">
          <cell r="A455" t="str">
            <v>350-18</v>
          </cell>
          <cell r="C455" t="str">
            <v>خامات ومصنعية أعمال الشاتر</v>
          </cell>
          <cell r="D455" t="str">
            <v>350 تكاليف مشروع شفيق</v>
          </cell>
          <cell r="E455" t="str">
            <v xml:space="preserve">تكاليف العمليات </v>
          </cell>
        </row>
        <row r="456">
          <cell r="A456" t="str">
            <v>350-19</v>
          </cell>
          <cell r="C456" t="str">
            <v>خامات ومصنعية أعمال المرايات</v>
          </cell>
          <cell r="D456" t="str">
            <v>350 تكاليف مشروع شفيق</v>
          </cell>
          <cell r="E456" t="str">
            <v xml:space="preserve">تكاليف العمليات </v>
          </cell>
        </row>
        <row r="457">
          <cell r="A457" t="str">
            <v>350-20</v>
          </cell>
          <cell r="C457" t="str">
            <v>خامات ومصنعية أعمال العزل</v>
          </cell>
          <cell r="D457" t="str">
            <v>350 تكاليف مشروع شفيق</v>
          </cell>
          <cell r="E457" t="str">
            <v xml:space="preserve">تكاليف العمليات </v>
          </cell>
        </row>
        <row r="458">
          <cell r="A458" t="str">
            <v>350-21</v>
          </cell>
          <cell r="C458" t="str">
            <v>خامات ومصنعية أعمال الشفاطات</v>
          </cell>
          <cell r="D458" t="str">
            <v>350 تكاليف مشروع شفيق</v>
          </cell>
          <cell r="E458" t="str">
            <v xml:space="preserve">تكاليف العمليات </v>
          </cell>
        </row>
        <row r="459">
          <cell r="A459" t="str">
            <v>350-22</v>
          </cell>
          <cell r="C459" t="str">
            <v>خامات ومصنعية أعمال النجف والإضاءة</v>
          </cell>
          <cell r="D459" t="str">
            <v>350 تكاليف مشروع شفيق</v>
          </cell>
          <cell r="E459" t="str">
            <v xml:space="preserve">تكاليف العمليات </v>
          </cell>
        </row>
        <row r="460">
          <cell r="A460" t="str">
            <v>350-23</v>
          </cell>
          <cell r="C460" t="str">
            <v>خامات ومصنعية أعمال اللاند سكيب</v>
          </cell>
          <cell r="D460" t="str">
            <v>350 تكاليف مشروع شفيق</v>
          </cell>
          <cell r="E460" t="str">
            <v xml:space="preserve">تكاليف العمليات </v>
          </cell>
        </row>
        <row r="461">
          <cell r="A461" t="str">
            <v>350-24</v>
          </cell>
          <cell r="C461" t="str">
            <v>خامات ومصنعية أعمال الأرضيات الخشبية</v>
          </cell>
          <cell r="D461" t="str">
            <v>350 تكاليف مشروع شفيق</v>
          </cell>
          <cell r="E461" t="str">
            <v xml:space="preserve">تكاليف العمليات </v>
          </cell>
        </row>
        <row r="462">
          <cell r="A462" t="str">
            <v>350-25</v>
          </cell>
          <cell r="C462" t="str">
            <v>خامات ومصنعية أعمال الستائر</v>
          </cell>
          <cell r="D462" t="str">
            <v>350 تكاليف مشروع شفيق</v>
          </cell>
          <cell r="E462" t="str">
            <v xml:space="preserve">تكاليف العمليات </v>
          </cell>
        </row>
        <row r="463">
          <cell r="A463" t="str">
            <v>350-26</v>
          </cell>
          <cell r="C463" t="str">
            <v>خامات ومصنعية أعمال الأثاث</v>
          </cell>
          <cell r="D463" t="str">
            <v>350 تكاليف مشروع شفيق</v>
          </cell>
          <cell r="E463" t="str">
            <v xml:space="preserve">تكاليف العمليات </v>
          </cell>
        </row>
        <row r="464">
          <cell r="A464" t="str">
            <v>350-27</v>
          </cell>
          <cell r="C464" t="str">
            <v>خامات ومصنعية أعمال النقل والتشوين</v>
          </cell>
          <cell r="D464" t="str">
            <v>350 تكاليف مشروع شفيق</v>
          </cell>
          <cell r="E464" t="str">
            <v xml:space="preserve">تكاليف العمليات </v>
          </cell>
        </row>
        <row r="465">
          <cell r="A465" t="str">
            <v>350-28</v>
          </cell>
          <cell r="C465" t="str">
            <v>رسوم وتصاريح المشروع واكراميات</v>
          </cell>
          <cell r="D465" t="str">
            <v>350 تكاليف مشروع شفيق</v>
          </cell>
          <cell r="E465" t="str">
            <v xml:space="preserve">تكاليف العمليات </v>
          </cell>
        </row>
        <row r="466">
          <cell r="A466" t="str">
            <v>350-29</v>
          </cell>
          <cell r="C466" t="str">
            <v>عمالة ويوميات مباشرة</v>
          </cell>
          <cell r="D466" t="str">
            <v>350 تكاليف مشروع شفيق</v>
          </cell>
          <cell r="E466" t="str">
            <v xml:space="preserve">تكاليف العمليات </v>
          </cell>
        </row>
        <row r="467">
          <cell r="A467" t="str">
            <v>350-30</v>
          </cell>
          <cell r="D467" t="str">
            <v>350 تكاليف مشروع شفيق</v>
          </cell>
          <cell r="E467" t="str">
            <v xml:space="preserve">تكاليف العمليات </v>
          </cell>
        </row>
        <row r="468">
          <cell r="A468" t="str">
            <v>350-31</v>
          </cell>
          <cell r="D468" t="str">
            <v>350 تكاليف مشروع شفيق</v>
          </cell>
          <cell r="E468" t="str">
            <v xml:space="preserve">تكاليف العمليات </v>
          </cell>
        </row>
        <row r="469">
          <cell r="A469" t="str">
            <v>350-32</v>
          </cell>
          <cell r="D469" t="str">
            <v>350 تكاليف مشروع شفيق</v>
          </cell>
          <cell r="E469" t="str">
            <v xml:space="preserve">تكاليف العمليات </v>
          </cell>
        </row>
        <row r="470">
          <cell r="A470" t="str">
            <v>350-33</v>
          </cell>
          <cell r="D470" t="str">
            <v>350 تكاليف مشروع شفيق</v>
          </cell>
          <cell r="E470" t="str">
            <v xml:space="preserve">تكاليف العمليات </v>
          </cell>
        </row>
        <row r="471">
          <cell r="A471" t="str">
            <v>350-34</v>
          </cell>
          <cell r="D471" t="str">
            <v>350 تكاليف مشروع شفيق</v>
          </cell>
          <cell r="E471" t="str">
            <v xml:space="preserve">تكاليف العمليات </v>
          </cell>
        </row>
        <row r="472">
          <cell r="A472">
            <v>354</v>
          </cell>
          <cell r="C472" t="str">
            <v>تكاليف مشروع ياسر القرنفل 354</v>
          </cell>
          <cell r="D472" t="str">
            <v>تكاليف مشروع ياسر القرنفل 354</v>
          </cell>
          <cell r="E472" t="str">
            <v xml:space="preserve">تكاليف العمليات </v>
          </cell>
        </row>
        <row r="473">
          <cell r="A473" t="str">
            <v>354-1</v>
          </cell>
          <cell r="C473" t="str">
            <v xml:space="preserve">تكلفة  المعاينة </v>
          </cell>
          <cell r="D473" t="str">
            <v>تكاليف مشروع ياسر القرنفل 354</v>
          </cell>
          <cell r="E473" t="str">
            <v xml:space="preserve">تكاليف العمليات </v>
          </cell>
        </row>
        <row r="474">
          <cell r="A474" t="str">
            <v>354-2</v>
          </cell>
          <cell r="C474" t="str">
            <v xml:space="preserve"> تكلفة الثري دي </v>
          </cell>
          <cell r="D474" t="str">
            <v>تكاليف مشروع ياسر القرنفل 354</v>
          </cell>
          <cell r="E474" t="str">
            <v xml:space="preserve">تكاليف العمليات </v>
          </cell>
        </row>
        <row r="475">
          <cell r="A475" t="str">
            <v>354-3</v>
          </cell>
          <cell r="C475" t="str">
            <v>اعمال التكسير والهدم والنظافة</v>
          </cell>
          <cell r="D475" t="str">
            <v>تكاليف مشروع ياسر القرنفل 354</v>
          </cell>
          <cell r="E475" t="str">
            <v xml:space="preserve">تكاليف العمليات </v>
          </cell>
        </row>
        <row r="476">
          <cell r="A476" t="str">
            <v>354-4</v>
          </cell>
          <cell r="C476" t="str">
            <v xml:space="preserve">اعمال انزال ونقل الراتش ونقل المخلفات </v>
          </cell>
          <cell r="D476" t="str">
            <v>تكاليف مشروع ياسر القرنفل 354</v>
          </cell>
          <cell r="E476" t="str">
            <v xml:space="preserve">تكاليف العمليات </v>
          </cell>
        </row>
        <row r="477">
          <cell r="A477" t="str">
            <v>354-5</v>
          </cell>
          <cell r="C477" t="str">
            <v>خامات ومصنعية أعمال المباني</v>
          </cell>
          <cell r="D477" t="str">
            <v>تكاليف مشروع ياسر القرنفل 354</v>
          </cell>
          <cell r="E477" t="str">
            <v xml:space="preserve">تكاليف العمليات </v>
          </cell>
        </row>
        <row r="478">
          <cell r="A478" t="str">
            <v>354-6</v>
          </cell>
          <cell r="C478" t="str">
            <v>خامات ومصنعية أعمال المحارة</v>
          </cell>
          <cell r="D478" t="str">
            <v>تكاليف مشروع ياسر القرنفل 354</v>
          </cell>
          <cell r="E478" t="str">
            <v xml:space="preserve">تكاليف العمليات </v>
          </cell>
        </row>
        <row r="479">
          <cell r="A479" t="str">
            <v>354-7</v>
          </cell>
          <cell r="C479" t="str">
            <v>خامات ومصنعية أعمال الجبس والديكورات</v>
          </cell>
          <cell r="D479" t="str">
            <v>تكاليف مشروع ياسر القرنفل 354</v>
          </cell>
          <cell r="E479" t="str">
            <v xml:space="preserve">تكاليف العمليات </v>
          </cell>
        </row>
        <row r="480">
          <cell r="A480" t="str">
            <v>354-8</v>
          </cell>
          <cell r="C480" t="str">
            <v>خامات ومصنعية أعمال الدهانات</v>
          </cell>
          <cell r="D480" t="str">
            <v>تكاليف مشروع ياسر القرنفل 354</v>
          </cell>
          <cell r="E480" t="str">
            <v xml:space="preserve">تكاليف العمليات </v>
          </cell>
        </row>
        <row r="481">
          <cell r="A481" t="str">
            <v>354-9</v>
          </cell>
          <cell r="C481" t="str">
            <v>خامات ومصنعية أعمال السيراميك</v>
          </cell>
          <cell r="D481" t="str">
            <v>تكاليف مشروع ياسر القرنفل 354</v>
          </cell>
          <cell r="E481" t="str">
            <v xml:space="preserve">تكاليف العمليات </v>
          </cell>
        </row>
        <row r="482">
          <cell r="A482" t="str">
            <v>354-10</v>
          </cell>
          <cell r="C482" t="str">
            <v>خامات ومصنعية أعمال الرخام</v>
          </cell>
          <cell r="D482" t="str">
            <v>تكاليف مشروع ياسر القرنفل 354</v>
          </cell>
          <cell r="E482" t="str">
            <v xml:space="preserve">تكاليف العمليات </v>
          </cell>
        </row>
        <row r="483">
          <cell r="A483" t="str">
            <v>354-11</v>
          </cell>
          <cell r="C483" t="str">
            <v>خامات ومصنعية بند الكهرباء</v>
          </cell>
          <cell r="D483" t="str">
            <v>تكاليف مشروع ياسر القرنفل 354</v>
          </cell>
          <cell r="E483" t="str">
            <v xml:space="preserve">تكاليف العمليات </v>
          </cell>
        </row>
        <row r="484">
          <cell r="A484" t="str">
            <v>354-12</v>
          </cell>
          <cell r="C484" t="str">
            <v>خامات ومصنعية بند السباكة والصحي</v>
          </cell>
          <cell r="D484" t="str">
            <v>تكاليف مشروع ياسر القرنفل 354</v>
          </cell>
          <cell r="E484" t="str">
            <v xml:space="preserve">تكاليف العمليات </v>
          </cell>
        </row>
        <row r="485">
          <cell r="A485" t="str">
            <v>354-13</v>
          </cell>
          <cell r="C485" t="str">
            <v>خامات ومصنعية أعمال التكييف</v>
          </cell>
          <cell r="D485" t="str">
            <v>تكاليف مشروع ياسر القرنفل 354</v>
          </cell>
          <cell r="E485" t="str">
            <v xml:space="preserve">تكاليف العمليات </v>
          </cell>
        </row>
        <row r="486">
          <cell r="A486" t="str">
            <v>354-14</v>
          </cell>
          <cell r="C486" t="str">
            <v>خامات ومصنعية أعمال النجارة والأبواب</v>
          </cell>
          <cell r="D486" t="str">
            <v>تكاليف مشروع ياسر القرنفل 354</v>
          </cell>
          <cell r="E486" t="str">
            <v xml:space="preserve">تكاليف العمليات </v>
          </cell>
        </row>
        <row r="487">
          <cell r="A487" t="str">
            <v>354-15</v>
          </cell>
          <cell r="C487" t="str">
            <v>خامات ومصنعية أعمال المطابخ</v>
          </cell>
          <cell r="D487" t="str">
            <v>تكاليف مشروع ياسر القرنفل 354</v>
          </cell>
          <cell r="E487" t="str">
            <v xml:space="preserve">تكاليف العمليات </v>
          </cell>
        </row>
        <row r="488">
          <cell r="A488" t="str">
            <v>354-16</v>
          </cell>
          <cell r="C488" t="str">
            <v>خامات ومصنعية أعمال الألوميتال</v>
          </cell>
          <cell r="D488" t="str">
            <v>تكاليف مشروع ياسر القرنفل 354</v>
          </cell>
          <cell r="E488" t="str">
            <v xml:space="preserve">تكاليف العمليات </v>
          </cell>
        </row>
        <row r="489">
          <cell r="A489" t="str">
            <v>354-17</v>
          </cell>
          <cell r="C489" t="str">
            <v>خامات ومصنعية أعمال الزجاج والسكوريت</v>
          </cell>
          <cell r="D489" t="str">
            <v>تكاليف مشروع ياسر القرنفل 354</v>
          </cell>
          <cell r="E489" t="str">
            <v xml:space="preserve">تكاليف العمليات </v>
          </cell>
        </row>
        <row r="490">
          <cell r="A490" t="str">
            <v>354-18</v>
          </cell>
          <cell r="C490" t="str">
            <v>خامات ومصنعية أعمال الشاتر</v>
          </cell>
          <cell r="D490" t="str">
            <v>تكاليف مشروع ياسر القرنفل 354</v>
          </cell>
          <cell r="E490" t="str">
            <v xml:space="preserve">تكاليف العمليات </v>
          </cell>
        </row>
        <row r="491">
          <cell r="A491" t="str">
            <v>354-19</v>
          </cell>
          <cell r="C491" t="str">
            <v>خامات ومصنعية أعمال المرايات</v>
          </cell>
          <cell r="D491" t="str">
            <v>تكاليف مشروع ياسر القرنفل 354</v>
          </cell>
          <cell r="E491" t="str">
            <v xml:space="preserve">تكاليف العمليات </v>
          </cell>
        </row>
        <row r="492">
          <cell r="A492" t="str">
            <v>354-20</v>
          </cell>
          <cell r="C492" t="str">
            <v>خامات ومصنعية أعمال العزل</v>
          </cell>
          <cell r="D492" t="str">
            <v>تكاليف مشروع ياسر القرنفل 354</v>
          </cell>
          <cell r="E492" t="str">
            <v xml:space="preserve">تكاليف العمليات </v>
          </cell>
        </row>
        <row r="493">
          <cell r="A493" t="str">
            <v>354-21</v>
          </cell>
          <cell r="C493" t="str">
            <v>خامات ومصنعية أعمال الشفاطات</v>
          </cell>
          <cell r="D493" t="str">
            <v>تكاليف مشروع ياسر القرنفل 354</v>
          </cell>
          <cell r="E493" t="str">
            <v xml:space="preserve">تكاليف العمليات </v>
          </cell>
        </row>
        <row r="494">
          <cell r="A494" t="str">
            <v>354-22</v>
          </cell>
          <cell r="C494" t="str">
            <v>خامات ومصنعية أعمال النجف والإضاءة</v>
          </cell>
          <cell r="D494" t="str">
            <v>تكاليف مشروع ياسر القرنفل 354</v>
          </cell>
          <cell r="E494" t="str">
            <v xml:space="preserve">تكاليف العمليات </v>
          </cell>
        </row>
        <row r="495">
          <cell r="A495" t="str">
            <v>354-23</v>
          </cell>
          <cell r="C495" t="str">
            <v>خامات ومصنعية أعمال اللاند سكيب</v>
          </cell>
          <cell r="D495" t="str">
            <v>تكاليف مشروع ياسر القرنفل 354</v>
          </cell>
          <cell r="E495" t="str">
            <v xml:space="preserve">تكاليف العمليات </v>
          </cell>
        </row>
        <row r="496">
          <cell r="A496" t="str">
            <v>354-24</v>
          </cell>
          <cell r="C496" t="str">
            <v>خامات ومصنعية أعمال الأرضيات الخشبية</v>
          </cell>
          <cell r="D496" t="str">
            <v>تكاليف مشروع ياسر القرنفل 354</v>
          </cell>
          <cell r="E496" t="str">
            <v xml:space="preserve">تكاليف العمليات </v>
          </cell>
        </row>
        <row r="497">
          <cell r="A497" t="str">
            <v>354-25</v>
          </cell>
          <cell r="C497" t="str">
            <v>خامات ومصنعية أعمال الستائر</v>
          </cell>
          <cell r="D497" t="str">
            <v>تكاليف مشروع ياسر القرنفل 354</v>
          </cell>
          <cell r="E497" t="str">
            <v xml:space="preserve">تكاليف العمليات </v>
          </cell>
        </row>
        <row r="498">
          <cell r="A498" t="str">
            <v>354-26</v>
          </cell>
          <cell r="C498" t="str">
            <v>خامات ومصنعية أعمال الأثاث</v>
          </cell>
          <cell r="D498" t="str">
            <v>تكاليف مشروع ياسر القرنفل 354</v>
          </cell>
          <cell r="E498" t="str">
            <v xml:space="preserve">تكاليف العمليات </v>
          </cell>
        </row>
        <row r="499">
          <cell r="A499" t="str">
            <v>354-27</v>
          </cell>
          <cell r="C499" t="str">
            <v>خامات ومصنعية أعمال النقل والتشوين</v>
          </cell>
          <cell r="D499" t="str">
            <v>تكاليف مشروع ياسر القرنفل 354</v>
          </cell>
          <cell r="E499" t="str">
            <v xml:space="preserve">تكاليف العمليات </v>
          </cell>
        </row>
        <row r="500">
          <cell r="A500" t="str">
            <v>354-28</v>
          </cell>
          <cell r="C500" t="str">
            <v>رسوم وتصاريح المشروع واكراميات</v>
          </cell>
          <cell r="D500" t="str">
            <v>تكاليف مشروع ياسر القرنفل 354</v>
          </cell>
          <cell r="E500" t="str">
            <v xml:space="preserve">تكاليف العمليات </v>
          </cell>
        </row>
        <row r="501">
          <cell r="A501" t="str">
            <v>354-29</v>
          </cell>
          <cell r="C501" t="str">
            <v>عمالة ويوميات مباشرة</v>
          </cell>
          <cell r="D501" t="str">
            <v>تكاليف مشروع ياسر القرنفل 354</v>
          </cell>
          <cell r="E501" t="str">
            <v xml:space="preserve">تكاليف العمليات </v>
          </cell>
        </row>
        <row r="502">
          <cell r="A502" t="str">
            <v>354-30</v>
          </cell>
          <cell r="D502" t="str">
            <v>تكاليف مشروع ياسر القرنفل 354</v>
          </cell>
          <cell r="E502" t="str">
            <v xml:space="preserve">تكاليف العمليات </v>
          </cell>
        </row>
        <row r="503">
          <cell r="A503" t="str">
            <v>354-31</v>
          </cell>
          <cell r="D503" t="str">
            <v>تكاليف مشروع ياسر القرنفل 354</v>
          </cell>
          <cell r="E503" t="str">
            <v xml:space="preserve">تكاليف العمليات </v>
          </cell>
        </row>
        <row r="504">
          <cell r="A504" t="str">
            <v>354-32</v>
          </cell>
          <cell r="D504" t="str">
            <v>تكاليف مشروع ياسر القرنفل 354</v>
          </cell>
          <cell r="E504" t="str">
            <v xml:space="preserve">تكاليف العمليات </v>
          </cell>
        </row>
        <row r="505">
          <cell r="A505" t="str">
            <v>354-33</v>
          </cell>
          <cell r="D505" t="str">
            <v>تكاليف مشروع ياسر القرنفل 354</v>
          </cell>
          <cell r="E505" t="str">
            <v xml:space="preserve">تكاليف العمليات </v>
          </cell>
        </row>
        <row r="506">
          <cell r="A506" t="str">
            <v>354-34</v>
          </cell>
          <cell r="D506" t="str">
            <v>تكاليف مشروع ياسر القرنفل 354</v>
          </cell>
          <cell r="E506" t="str">
            <v xml:space="preserve">تكاليف العمليات </v>
          </cell>
        </row>
        <row r="507">
          <cell r="A507">
            <v>355</v>
          </cell>
          <cell r="C507" t="str">
            <v>تكاليف مشروع هاني القرنفل 355</v>
          </cell>
          <cell r="D507" t="str">
            <v>تكاليف مشروع هاني القرنفل 355</v>
          </cell>
          <cell r="E507" t="str">
            <v xml:space="preserve">تكاليف العمليات </v>
          </cell>
        </row>
        <row r="508">
          <cell r="A508" t="str">
            <v>355-1</v>
          </cell>
          <cell r="C508" t="str">
            <v xml:space="preserve">تكلفة  المعاينة </v>
          </cell>
          <cell r="D508" t="str">
            <v>تكاليف مشروع هاني القرنفل 355</v>
          </cell>
          <cell r="E508" t="str">
            <v xml:space="preserve">تكاليف العمليات </v>
          </cell>
        </row>
        <row r="509">
          <cell r="A509" t="str">
            <v>355-2</v>
          </cell>
          <cell r="C509" t="str">
            <v xml:space="preserve"> تكلفة الثري دي </v>
          </cell>
          <cell r="D509" t="str">
            <v>تكاليف مشروع هاني القرنفل 355</v>
          </cell>
          <cell r="E509" t="str">
            <v xml:space="preserve">تكاليف العمليات </v>
          </cell>
        </row>
        <row r="510">
          <cell r="A510" t="str">
            <v>355-3</v>
          </cell>
          <cell r="C510" t="str">
            <v>اعمال التكسير والهدم والنظافة</v>
          </cell>
          <cell r="D510" t="str">
            <v>تكاليف مشروع هاني القرنفل 355</v>
          </cell>
          <cell r="E510" t="str">
            <v xml:space="preserve">تكاليف العمليات </v>
          </cell>
        </row>
        <row r="511">
          <cell r="A511" t="str">
            <v>355-4</v>
          </cell>
          <cell r="C511" t="str">
            <v xml:space="preserve">اعمال انزال ونقل الراتش ونقل المخلفات </v>
          </cell>
          <cell r="D511" t="str">
            <v>تكاليف مشروع هاني القرنفل 355</v>
          </cell>
          <cell r="E511" t="str">
            <v xml:space="preserve">تكاليف العمليات </v>
          </cell>
        </row>
        <row r="512">
          <cell r="A512" t="str">
            <v>355-5</v>
          </cell>
          <cell r="C512" t="str">
            <v>خامات ومصنعية أعمال المباني</v>
          </cell>
          <cell r="D512" t="str">
            <v>تكاليف مشروع هاني القرنفل 355</v>
          </cell>
          <cell r="E512" t="str">
            <v xml:space="preserve">تكاليف العمليات </v>
          </cell>
        </row>
        <row r="513">
          <cell r="A513" t="str">
            <v>355-6</v>
          </cell>
          <cell r="C513" t="str">
            <v>خامات ومصنعية أعمال المحارة</v>
          </cell>
          <cell r="D513" t="str">
            <v>تكاليف مشروع هاني القرنفل 355</v>
          </cell>
          <cell r="E513" t="str">
            <v xml:space="preserve">تكاليف العمليات </v>
          </cell>
        </row>
        <row r="514">
          <cell r="A514" t="str">
            <v>355-7</v>
          </cell>
          <cell r="C514" t="str">
            <v>خامات ومصنعية أعمال الجبس والديكورات</v>
          </cell>
          <cell r="D514" t="str">
            <v>تكاليف مشروع هاني القرنفل 355</v>
          </cell>
          <cell r="E514" t="str">
            <v xml:space="preserve">تكاليف العمليات </v>
          </cell>
        </row>
        <row r="515">
          <cell r="A515" t="str">
            <v>355-8</v>
          </cell>
          <cell r="C515" t="str">
            <v>خامات ومصنعية أعمال الدهانات</v>
          </cell>
          <cell r="D515" t="str">
            <v>تكاليف مشروع هاني القرنفل 355</v>
          </cell>
          <cell r="E515" t="str">
            <v xml:space="preserve">تكاليف العمليات </v>
          </cell>
        </row>
        <row r="516">
          <cell r="A516" t="str">
            <v>355-9</v>
          </cell>
          <cell r="C516" t="str">
            <v>خامات ومصنعية أعمال السيراميك</v>
          </cell>
          <cell r="D516" t="str">
            <v>تكاليف مشروع هاني القرنفل 355</v>
          </cell>
          <cell r="E516" t="str">
            <v xml:space="preserve">تكاليف العمليات </v>
          </cell>
        </row>
        <row r="517">
          <cell r="A517" t="str">
            <v>355-10</v>
          </cell>
          <cell r="C517" t="str">
            <v>خامات ومصنعية أعمال الرخام</v>
          </cell>
          <cell r="D517" t="str">
            <v>تكاليف مشروع هاني القرنفل 355</v>
          </cell>
          <cell r="E517" t="str">
            <v xml:space="preserve">تكاليف العمليات </v>
          </cell>
        </row>
        <row r="518">
          <cell r="A518" t="str">
            <v>355-11</v>
          </cell>
          <cell r="C518" t="str">
            <v>خامات ومصنعية بند الكهرباء</v>
          </cell>
          <cell r="D518" t="str">
            <v>تكاليف مشروع هاني القرنفل 355</v>
          </cell>
          <cell r="E518" t="str">
            <v xml:space="preserve">تكاليف العمليات </v>
          </cell>
        </row>
        <row r="519">
          <cell r="A519" t="str">
            <v>355-12</v>
          </cell>
          <cell r="C519" t="str">
            <v>خامات ومصنعية بند السباكة والصحي</v>
          </cell>
          <cell r="D519" t="str">
            <v>تكاليف مشروع هاني القرنفل 355</v>
          </cell>
          <cell r="E519" t="str">
            <v xml:space="preserve">تكاليف العمليات </v>
          </cell>
        </row>
        <row r="520">
          <cell r="A520" t="str">
            <v>355-13</v>
          </cell>
          <cell r="C520" t="str">
            <v>خامات ومصنعية أعمال التكييف</v>
          </cell>
          <cell r="D520" t="str">
            <v>تكاليف مشروع هاني القرنفل 355</v>
          </cell>
          <cell r="E520" t="str">
            <v xml:space="preserve">تكاليف العمليات </v>
          </cell>
        </row>
        <row r="521">
          <cell r="A521" t="str">
            <v>355-14</v>
          </cell>
          <cell r="C521" t="str">
            <v>خامات ومصنعية أعمال النجارة والأبواب</v>
          </cell>
          <cell r="D521" t="str">
            <v>تكاليف مشروع هاني القرنفل 355</v>
          </cell>
          <cell r="E521" t="str">
            <v xml:space="preserve">تكاليف العمليات </v>
          </cell>
        </row>
        <row r="522">
          <cell r="A522" t="str">
            <v>355-15</v>
          </cell>
          <cell r="C522" t="str">
            <v>خامات ومصنعية أعمال المطابخ</v>
          </cell>
          <cell r="D522" t="str">
            <v>تكاليف مشروع هاني القرنفل 355</v>
          </cell>
          <cell r="E522" t="str">
            <v xml:space="preserve">تكاليف العمليات </v>
          </cell>
        </row>
        <row r="523">
          <cell r="A523" t="str">
            <v>355-16</v>
          </cell>
          <cell r="C523" t="str">
            <v>خامات ومصنعية أعمال الألوميتال</v>
          </cell>
          <cell r="D523" t="str">
            <v>تكاليف مشروع هاني القرنفل 355</v>
          </cell>
          <cell r="E523" t="str">
            <v xml:space="preserve">تكاليف العمليات </v>
          </cell>
        </row>
        <row r="524">
          <cell r="A524" t="str">
            <v>355-17</v>
          </cell>
          <cell r="C524" t="str">
            <v>خامات ومصنعية أعمال الزجاج والسكوريت</v>
          </cell>
          <cell r="D524" t="str">
            <v>تكاليف مشروع هاني القرنفل 355</v>
          </cell>
          <cell r="E524" t="str">
            <v xml:space="preserve">تكاليف العمليات </v>
          </cell>
        </row>
        <row r="525">
          <cell r="A525" t="str">
            <v>355-18</v>
          </cell>
          <cell r="C525" t="str">
            <v>خامات ومصنعية أعمال الشاتر</v>
          </cell>
          <cell r="D525" t="str">
            <v>تكاليف مشروع هاني القرنفل 355</v>
          </cell>
          <cell r="E525" t="str">
            <v xml:space="preserve">تكاليف العمليات </v>
          </cell>
        </row>
        <row r="526">
          <cell r="A526" t="str">
            <v>355-19</v>
          </cell>
          <cell r="C526" t="str">
            <v>خامات ومصنعية أعمال المرايات</v>
          </cell>
          <cell r="D526" t="str">
            <v>تكاليف مشروع هاني القرنفل 355</v>
          </cell>
          <cell r="E526" t="str">
            <v xml:space="preserve">تكاليف العمليات </v>
          </cell>
        </row>
        <row r="527">
          <cell r="A527" t="str">
            <v>355-20</v>
          </cell>
          <cell r="C527" t="str">
            <v>خامات ومصنعية أعمال العزل</v>
          </cell>
          <cell r="D527" t="str">
            <v>تكاليف مشروع هاني القرنفل 355</v>
          </cell>
          <cell r="E527" t="str">
            <v xml:space="preserve">تكاليف العمليات </v>
          </cell>
        </row>
        <row r="528">
          <cell r="A528" t="str">
            <v>355-21</v>
          </cell>
          <cell r="C528" t="str">
            <v>خامات ومصنعية أعمال الشفاطات</v>
          </cell>
          <cell r="D528" t="str">
            <v>تكاليف مشروع هاني القرنفل 355</v>
          </cell>
          <cell r="E528" t="str">
            <v xml:space="preserve">تكاليف العمليات </v>
          </cell>
        </row>
        <row r="529">
          <cell r="A529" t="str">
            <v>355-22</v>
          </cell>
          <cell r="C529" t="str">
            <v>خامات ومصنعية أعمال النجف والإضاءة</v>
          </cell>
          <cell r="D529" t="str">
            <v>تكاليف مشروع هاني القرنفل 355</v>
          </cell>
          <cell r="E529" t="str">
            <v xml:space="preserve">تكاليف العمليات </v>
          </cell>
        </row>
        <row r="530">
          <cell r="A530" t="str">
            <v>355-23</v>
          </cell>
          <cell r="C530" t="str">
            <v>خامات ومصنعية أعمال اللاند سكيب</v>
          </cell>
          <cell r="D530" t="str">
            <v>تكاليف مشروع هاني القرنفل 355</v>
          </cell>
          <cell r="E530" t="str">
            <v xml:space="preserve">تكاليف العمليات </v>
          </cell>
        </row>
        <row r="531">
          <cell r="A531" t="str">
            <v>355-24</v>
          </cell>
          <cell r="C531" t="str">
            <v>خامات ومصنعية أعمال الأرضيات الخشبية</v>
          </cell>
          <cell r="D531" t="str">
            <v>تكاليف مشروع هاني القرنفل 355</v>
          </cell>
          <cell r="E531" t="str">
            <v xml:space="preserve">تكاليف العمليات </v>
          </cell>
        </row>
        <row r="532">
          <cell r="A532" t="str">
            <v>355-25</v>
          </cell>
          <cell r="C532" t="str">
            <v>خامات ومصنعية أعمال الستائر</v>
          </cell>
          <cell r="D532" t="str">
            <v>تكاليف مشروع هاني القرنفل 355</v>
          </cell>
          <cell r="E532" t="str">
            <v xml:space="preserve">تكاليف العمليات </v>
          </cell>
        </row>
        <row r="533">
          <cell r="A533" t="str">
            <v>355-26</v>
          </cell>
          <cell r="C533" t="str">
            <v>خامات ومصنعية أعمال الأثاث</v>
          </cell>
          <cell r="D533" t="str">
            <v>تكاليف مشروع هاني القرنفل 355</v>
          </cell>
          <cell r="E533" t="str">
            <v xml:space="preserve">تكاليف العمليات </v>
          </cell>
        </row>
        <row r="534">
          <cell r="A534" t="str">
            <v>355-27</v>
          </cell>
          <cell r="C534" t="str">
            <v>خامات ومصنعية أعمال النقل والتشوين</v>
          </cell>
          <cell r="D534" t="str">
            <v>تكاليف مشروع هاني القرنفل 355</v>
          </cell>
          <cell r="E534" t="str">
            <v xml:space="preserve">تكاليف العمليات </v>
          </cell>
        </row>
        <row r="535">
          <cell r="A535" t="str">
            <v>355-28</v>
          </cell>
          <cell r="C535" t="str">
            <v>رسوم وتصاريح المشروع واكراميات</v>
          </cell>
          <cell r="D535" t="str">
            <v>تكاليف مشروع هاني القرنفل 355</v>
          </cell>
          <cell r="E535" t="str">
            <v xml:space="preserve">تكاليف العمليات </v>
          </cell>
        </row>
        <row r="536">
          <cell r="A536" t="str">
            <v>355-29</v>
          </cell>
          <cell r="C536" t="str">
            <v>عمالة ويوميات مباشرة</v>
          </cell>
          <cell r="D536" t="str">
            <v>تكاليف مشروع هاني القرنفل 355</v>
          </cell>
          <cell r="E536" t="str">
            <v xml:space="preserve">تكاليف العمليات </v>
          </cell>
        </row>
        <row r="537">
          <cell r="A537" t="str">
            <v>355-30</v>
          </cell>
          <cell r="D537" t="str">
            <v>تكاليف مشروع هاني القرنفل 355</v>
          </cell>
          <cell r="E537" t="str">
            <v xml:space="preserve">تكاليف العمليات </v>
          </cell>
        </row>
        <row r="538">
          <cell r="A538" t="str">
            <v>355-31</v>
          </cell>
          <cell r="D538" t="str">
            <v>تكاليف مشروع هاني القرنفل 355</v>
          </cell>
          <cell r="E538" t="str">
            <v xml:space="preserve">تكاليف العمليات </v>
          </cell>
        </row>
        <row r="539">
          <cell r="A539" t="str">
            <v>355-32</v>
          </cell>
          <cell r="D539" t="str">
            <v>تكاليف مشروع هاني القرنفل 355</v>
          </cell>
          <cell r="E539" t="str">
            <v xml:space="preserve">تكاليف العمليات </v>
          </cell>
        </row>
        <row r="540">
          <cell r="A540" t="str">
            <v>355-33</v>
          </cell>
          <cell r="D540" t="str">
            <v>تكاليف مشروع هاني القرنفل 355</v>
          </cell>
          <cell r="E540" t="str">
            <v xml:space="preserve">تكاليف العمليات </v>
          </cell>
        </row>
        <row r="541">
          <cell r="A541" t="str">
            <v>355-34</v>
          </cell>
          <cell r="D541" t="str">
            <v>تكاليف مشروع هاني القرنفل 355</v>
          </cell>
          <cell r="E541" t="str">
            <v xml:space="preserve">تكاليف العمليات </v>
          </cell>
        </row>
        <row r="542">
          <cell r="A542">
            <v>356</v>
          </cell>
          <cell r="C542" t="str">
            <v>تكاليف مشروع مصطفي مدينتي 356</v>
          </cell>
          <cell r="D542" t="str">
            <v>تكاليف مشروع مصطفي مدينتي 356</v>
          </cell>
          <cell r="E542" t="str">
            <v xml:space="preserve">تكاليف العمليات </v>
          </cell>
        </row>
        <row r="543">
          <cell r="A543" t="str">
            <v>356-1</v>
          </cell>
          <cell r="C543" t="str">
            <v xml:space="preserve">تكلفة  المعاينة </v>
          </cell>
          <cell r="D543" t="str">
            <v>تكاليف مشروع مصطفي مدينتي 356</v>
          </cell>
          <cell r="E543" t="str">
            <v xml:space="preserve">تكاليف العمليات </v>
          </cell>
        </row>
        <row r="544">
          <cell r="A544" t="str">
            <v>356-2</v>
          </cell>
          <cell r="C544" t="str">
            <v xml:space="preserve"> تكلفة الثري دي </v>
          </cell>
          <cell r="D544" t="str">
            <v>تكاليف مشروع مصطفي مدينتي 356</v>
          </cell>
          <cell r="E544" t="str">
            <v xml:space="preserve">تكاليف العمليات </v>
          </cell>
        </row>
        <row r="545">
          <cell r="A545" t="str">
            <v>356-3</v>
          </cell>
          <cell r="C545" t="str">
            <v>اعمال التكسير والهدم والنظافة</v>
          </cell>
          <cell r="D545" t="str">
            <v>تكاليف مشروع مصطفي مدينتي 356</v>
          </cell>
          <cell r="E545" t="str">
            <v xml:space="preserve">تكاليف العمليات </v>
          </cell>
        </row>
        <row r="546">
          <cell r="A546" t="str">
            <v>356-4</v>
          </cell>
          <cell r="C546" t="str">
            <v xml:space="preserve">اعمال انزال ونقل الراتش ونقل المخلفات </v>
          </cell>
          <cell r="D546" t="str">
            <v>تكاليف مشروع مصطفي مدينتي 356</v>
          </cell>
          <cell r="E546" t="str">
            <v xml:space="preserve">تكاليف العمليات </v>
          </cell>
        </row>
        <row r="547">
          <cell r="A547" t="str">
            <v>356-5</v>
          </cell>
          <cell r="C547" t="str">
            <v>خامات ومصنعية أعمال المباني</v>
          </cell>
          <cell r="D547" t="str">
            <v>تكاليف مشروع مصطفي مدينتي 356</v>
          </cell>
          <cell r="E547" t="str">
            <v xml:space="preserve">تكاليف العمليات </v>
          </cell>
        </row>
        <row r="548">
          <cell r="A548" t="str">
            <v>356-6</v>
          </cell>
          <cell r="C548" t="str">
            <v>خامات ومصنعية أعمال المحارة</v>
          </cell>
          <cell r="D548" t="str">
            <v>تكاليف مشروع مصطفي مدينتي 356</v>
          </cell>
          <cell r="E548" t="str">
            <v xml:space="preserve">تكاليف العمليات </v>
          </cell>
        </row>
        <row r="549">
          <cell r="A549" t="str">
            <v>356-7</v>
          </cell>
          <cell r="C549" t="str">
            <v>خامات ومصنعية أعمال الجبس والديكورات</v>
          </cell>
          <cell r="D549" t="str">
            <v>تكاليف مشروع مصطفي مدينتي 356</v>
          </cell>
          <cell r="E549" t="str">
            <v xml:space="preserve">تكاليف العمليات </v>
          </cell>
        </row>
        <row r="550">
          <cell r="A550" t="str">
            <v>356-8</v>
          </cell>
          <cell r="C550" t="str">
            <v>خامات ومصنعية أعمال الدهانات</v>
          </cell>
          <cell r="D550" t="str">
            <v>تكاليف مشروع مصطفي مدينتي 356</v>
          </cell>
          <cell r="E550" t="str">
            <v xml:space="preserve">تكاليف العمليات </v>
          </cell>
        </row>
        <row r="551">
          <cell r="A551" t="str">
            <v>356-9</v>
          </cell>
          <cell r="C551" t="str">
            <v>خامات ومصنعية أعمال السيراميك</v>
          </cell>
          <cell r="D551" t="str">
            <v>تكاليف مشروع مصطفي مدينتي 356</v>
          </cell>
          <cell r="E551" t="str">
            <v xml:space="preserve">تكاليف العمليات </v>
          </cell>
        </row>
        <row r="552">
          <cell r="A552" t="str">
            <v>356-10</v>
          </cell>
          <cell r="C552" t="str">
            <v>خامات ومصنعية أعمال الرخام</v>
          </cell>
          <cell r="D552" t="str">
            <v>تكاليف مشروع مصطفي مدينتي 356</v>
          </cell>
          <cell r="E552" t="str">
            <v xml:space="preserve">تكاليف العمليات </v>
          </cell>
        </row>
        <row r="553">
          <cell r="A553" t="str">
            <v>356-11</v>
          </cell>
          <cell r="C553" t="str">
            <v>خامات ومصنعية بند الكهرباء</v>
          </cell>
          <cell r="D553" t="str">
            <v>تكاليف مشروع مصطفي مدينتي 356</v>
          </cell>
          <cell r="E553" t="str">
            <v xml:space="preserve">تكاليف العمليات </v>
          </cell>
        </row>
        <row r="554">
          <cell r="A554" t="str">
            <v>356-12</v>
          </cell>
          <cell r="C554" t="str">
            <v>خامات ومصنعية بند السباكة والصحي</v>
          </cell>
          <cell r="D554" t="str">
            <v>تكاليف مشروع مصطفي مدينتي 356</v>
          </cell>
          <cell r="E554" t="str">
            <v xml:space="preserve">تكاليف العمليات </v>
          </cell>
        </row>
        <row r="555">
          <cell r="A555" t="str">
            <v>356-13</v>
          </cell>
          <cell r="C555" t="str">
            <v>خامات ومصنعية أعمال التكييف</v>
          </cell>
          <cell r="D555" t="str">
            <v>تكاليف مشروع مصطفي مدينتي 356</v>
          </cell>
          <cell r="E555" t="str">
            <v xml:space="preserve">تكاليف العمليات </v>
          </cell>
        </row>
        <row r="556">
          <cell r="A556" t="str">
            <v>356-14</v>
          </cell>
          <cell r="C556" t="str">
            <v>خامات ومصنعية أعمال النجارة والأبواب</v>
          </cell>
          <cell r="D556" t="str">
            <v>تكاليف مشروع مصطفي مدينتي 356</v>
          </cell>
          <cell r="E556" t="str">
            <v xml:space="preserve">تكاليف العمليات </v>
          </cell>
        </row>
        <row r="557">
          <cell r="A557" t="str">
            <v>356-15</v>
          </cell>
          <cell r="C557" t="str">
            <v>خامات ومصنعية أعمال المطابخ</v>
          </cell>
          <cell r="D557" t="str">
            <v>تكاليف مشروع مصطفي مدينتي 356</v>
          </cell>
          <cell r="E557" t="str">
            <v xml:space="preserve">تكاليف العمليات </v>
          </cell>
        </row>
        <row r="558">
          <cell r="A558" t="str">
            <v>356-16</v>
          </cell>
          <cell r="C558" t="str">
            <v>خامات ومصنعية أعمال الألوميتال</v>
          </cell>
          <cell r="D558" t="str">
            <v>تكاليف مشروع مصطفي مدينتي 356</v>
          </cell>
          <cell r="E558" t="str">
            <v xml:space="preserve">تكاليف العمليات </v>
          </cell>
        </row>
        <row r="559">
          <cell r="A559" t="str">
            <v>356-17</v>
          </cell>
          <cell r="C559" t="str">
            <v>خامات ومصنعية أعمال الزجاج والسكوريت</v>
          </cell>
          <cell r="D559" t="str">
            <v>تكاليف مشروع مصطفي مدينتي 356</v>
          </cell>
          <cell r="E559" t="str">
            <v xml:space="preserve">تكاليف العمليات </v>
          </cell>
        </row>
        <row r="560">
          <cell r="A560" t="str">
            <v>356-18</v>
          </cell>
          <cell r="C560" t="str">
            <v>خامات ومصنعية أعمال الشاتر</v>
          </cell>
          <cell r="D560" t="str">
            <v>تكاليف مشروع مصطفي مدينتي 356</v>
          </cell>
          <cell r="E560" t="str">
            <v xml:space="preserve">تكاليف العمليات </v>
          </cell>
        </row>
        <row r="561">
          <cell r="A561" t="str">
            <v>356-19</v>
          </cell>
          <cell r="C561" t="str">
            <v>خامات ومصنعية أعمال المرايات</v>
          </cell>
          <cell r="D561" t="str">
            <v>تكاليف مشروع مصطفي مدينتي 356</v>
          </cell>
          <cell r="E561" t="str">
            <v xml:space="preserve">تكاليف العمليات </v>
          </cell>
        </row>
        <row r="562">
          <cell r="A562" t="str">
            <v>356-20</v>
          </cell>
          <cell r="C562" t="str">
            <v>خامات ومصنعية أعمال العزل</v>
          </cell>
          <cell r="D562" t="str">
            <v>تكاليف مشروع مصطفي مدينتي 356</v>
          </cell>
          <cell r="E562" t="str">
            <v xml:space="preserve">تكاليف العمليات </v>
          </cell>
        </row>
        <row r="563">
          <cell r="A563" t="str">
            <v>356-21</v>
          </cell>
          <cell r="C563" t="str">
            <v>خامات ومصنعية أعمال الشفاطات</v>
          </cell>
          <cell r="D563" t="str">
            <v>تكاليف مشروع مصطفي مدينتي 356</v>
          </cell>
          <cell r="E563" t="str">
            <v xml:space="preserve">تكاليف العمليات </v>
          </cell>
        </row>
        <row r="564">
          <cell r="A564" t="str">
            <v>356-22</v>
          </cell>
          <cell r="C564" t="str">
            <v>خامات ومصنعية أعمال النجف والإضاءة</v>
          </cell>
          <cell r="D564" t="str">
            <v>تكاليف مشروع مصطفي مدينتي 356</v>
          </cell>
          <cell r="E564" t="str">
            <v xml:space="preserve">تكاليف العمليات </v>
          </cell>
        </row>
        <row r="565">
          <cell r="A565" t="str">
            <v>356-23</v>
          </cell>
          <cell r="C565" t="str">
            <v>خامات ومصنعية أعمال اللاند سكيب</v>
          </cell>
          <cell r="D565" t="str">
            <v>تكاليف مشروع مصطفي مدينتي 356</v>
          </cell>
          <cell r="E565" t="str">
            <v xml:space="preserve">تكاليف العمليات </v>
          </cell>
        </row>
        <row r="566">
          <cell r="A566" t="str">
            <v>356-24</v>
          </cell>
          <cell r="C566" t="str">
            <v>خامات ومصنعية أعمال الأرضيات الخشبية</v>
          </cell>
          <cell r="D566" t="str">
            <v>تكاليف مشروع مصطفي مدينتي 356</v>
          </cell>
          <cell r="E566" t="str">
            <v xml:space="preserve">تكاليف العمليات </v>
          </cell>
        </row>
        <row r="567">
          <cell r="A567" t="str">
            <v>356-25</v>
          </cell>
          <cell r="C567" t="str">
            <v>خامات ومصنعية أعمال الستائر</v>
          </cell>
          <cell r="D567" t="str">
            <v>تكاليف مشروع مصطفي مدينتي 356</v>
          </cell>
          <cell r="E567" t="str">
            <v xml:space="preserve">تكاليف العمليات </v>
          </cell>
        </row>
        <row r="568">
          <cell r="A568" t="str">
            <v>356-26</v>
          </cell>
          <cell r="C568" t="str">
            <v>خامات ومصنعية أعمال الأثاث</v>
          </cell>
          <cell r="D568" t="str">
            <v>تكاليف مشروع مصطفي مدينتي 356</v>
          </cell>
          <cell r="E568" t="str">
            <v xml:space="preserve">تكاليف العمليات </v>
          </cell>
        </row>
        <row r="569">
          <cell r="A569" t="str">
            <v>356-27</v>
          </cell>
          <cell r="C569" t="str">
            <v>خامات ومصنعية أعمال النقل والتشوين</v>
          </cell>
          <cell r="D569" t="str">
            <v>تكاليف مشروع مصطفي مدينتي 356</v>
          </cell>
          <cell r="E569" t="str">
            <v xml:space="preserve">تكاليف العمليات </v>
          </cell>
        </row>
        <row r="570">
          <cell r="A570" t="str">
            <v>356-28</v>
          </cell>
          <cell r="C570" t="str">
            <v>رسوم وتصاريح المشروع واكراميات</v>
          </cell>
          <cell r="D570" t="str">
            <v>تكاليف مشروع مصطفي مدينتي 356</v>
          </cell>
          <cell r="E570" t="str">
            <v xml:space="preserve">تكاليف العمليات </v>
          </cell>
        </row>
        <row r="571">
          <cell r="A571" t="str">
            <v>356-29</v>
          </cell>
          <cell r="C571" t="str">
            <v>عمالة ويوميات مباشرة</v>
          </cell>
          <cell r="D571" t="str">
            <v>تكاليف مشروع مصطفي مدينتي 356</v>
          </cell>
          <cell r="E571" t="str">
            <v xml:space="preserve">تكاليف العمليات </v>
          </cell>
        </row>
        <row r="572">
          <cell r="A572" t="str">
            <v>356-30</v>
          </cell>
          <cell r="D572" t="str">
            <v>تكاليف مشروع مصطفي مدينتي 356</v>
          </cell>
          <cell r="E572" t="str">
            <v xml:space="preserve">تكاليف العمليات </v>
          </cell>
        </row>
        <row r="573">
          <cell r="A573" t="str">
            <v>356-31</v>
          </cell>
          <cell r="D573" t="str">
            <v>تكاليف مشروع مصطفي مدينتي 356</v>
          </cell>
          <cell r="E573" t="str">
            <v xml:space="preserve">تكاليف العمليات </v>
          </cell>
        </row>
        <row r="574">
          <cell r="A574" t="str">
            <v>356-32</v>
          </cell>
          <cell r="D574" t="str">
            <v>تكاليف مشروع مصطفي مدينتي 356</v>
          </cell>
          <cell r="E574" t="str">
            <v xml:space="preserve">تكاليف العمليات </v>
          </cell>
        </row>
        <row r="575">
          <cell r="A575" t="str">
            <v>356-33</v>
          </cell>
          <cell r="D575" t="str">
            <v>تكاليف مشروع مصطفي مدينتي 356</v>
          </cell>
          <cell r="E575" t="str">
            <v xml:space="preserve">تكاليف العمليات </v>
          </cell>
        </row>
        <row r="576">
          <cell r="A576" t="str">
            <v>356-34</v>
          </cell>
          <cell r="D576" t="str">
            <v>تكاليف مشروع مصطفي مدينتي 356</v>
          </cell>
          <cell r="E576" t="str">
            <v xml:space="preserve">تكاليف العمليات </v>
          </cell>
        </row>
        <row r="577">
          <cell r="A577">
            <v>361</v>
          </cell>
          <cell r="C577" t="str">
            <v>تكاليف مشروع اللوتس 361</v>
          </cell>
          <cell r="D577" t="str">
            <v>تكاليف مشروع اللوتس 361</v>
          </cell>
          <cell r="E577" t="str">
            <v xml:space="preserve">تكاليف العمليات </v>
          </cell>
        </row>
        <row r="578">
          <cell r="A578" t="str">
            <v>361-1</v>
          </cell>
          <cell r="C578" t="str">
            <v xml:space="preserve">تكلفة  المعاينة </v>
          </cell>
          <cell r="D578" t="str">
            <v>تكاليف مشروع اللوتس 361</v>
          </cell>
          <cell r="E578" t="str">
            <v xml:space="preserve">تكاليف العمليات </v>
          </cell>
        </row>
        <row r="579">
          <cell r="A579" t="str">
            <v>361-2</v>
          </cell>
          <cell r="C579" t="str">
            <v xml:space="preserve"> تكلفة الثري دي </v>
          </cell>
          <cell r="D579" t="str">
            <v>تكاليف مشروع اللوتس 361</v>
          </cell>
          <cell r="E579" t="str">
            <v xml:space="preserve">تكاليف العمليات </v>
          </cell>
        </row>
        <row r="580">
          <cell r="A580" t="str">
            <v>361-3</v>
          </cell>
          <cell r="C580" t="str">
            <v>اعمال التكسير والهدم والنظافة</v>
          </cell>
          <cell r="D580" t="str">
            <v>تكاليف مشروع اللوتس 361</v>
          </cell>
          <cell r="E580" t="str">
            <v xml:space="preserve">تكاليف العمليات </v>
          </cell>
        </row>
        <row r="581">
          <cell r="A581" t="str">
            <v>361-4</v>
          </cell>
          <cell r="C581" t="str">
            <v xml:space="preserve">اعمال انزال ونقل الراتش ونقل المخلفات </v>
          </cell>
          <cell r="D581" t="str">
            <v>تكاليف مشروع اللوتس 361</v>
          </cell>
          <cell r="E581" t="str">
            <v xml:space="preserve">تكاليف العمليات </v>
          </cell>
        </row>
        <row r="582">
          <cell r="A582" t="str">
            <v>361-5</v>
          </cell>
          <cell r="C582" t="str">
            <v>خامات ومصنعية أعمال المباني</v>
          </cell>
          <cell r="D582" t="str">
            <v>تكاليف مشروع اللوتس 361</v>
          </cell>
          <cell r="E582" t="str">
            <v xml:space="preserve">تكاليف العمليات </v>
          </cell>
        </row>
        <row r="583">
          <cell r="A583" t="str">
            <v>361-6</v>
          </cell>
          <cell r="C583" t="str">
            <v>خامات ومصنعية أعمال المحارة</v>
          </cell>
          <cell r="D583" t="str">
            <v>تكاليف مشروع اللوتس 361</v>
          </cell>
          <cell r="E583" t="str">
            <v xml:space="preserve">تكاليف العمليات </v>
          </cell>
        </row>
        <row r="584">
          <cell r="A584" t="str">
            <v>361-7</v>
          </cell>
          <cell r="C584" t="str">
            <v>خامات ومصنعية أعمال الجبس والديكورات</v>
          </cell>
          <cell r="D584" t="str">
            <v>تكاليف مشروع اللوتس 361</v>
          </cell>
          <cell r="E584" t="str">
            <v xml:space="preserve">تكاليف العمليات </v>
          </cell>
        </row>
        <row r="585">
          <cell r="A585" t="str">
            <v>361-8</v>
          </cell>
          <cell r="C585" t="str">
            <v>خامات ومصنعية أعمال الدهانات</v>
          </cell>
          <cell r="D585" t="str">
            <v>تكاليف مشروع اللوتس 361</v>
          </cell>
          <cell r="E585" t="str">
            <v xml:space="preserve">تكاليف العمليات </v>
          </cell>
        </row>
        <row r="586">
          <cell r="A586" t="str">
            <v>361-9</v>
          </cell>
          <cell r="C586" t="str">
            <v>خامات ومصنعية أعمال السيراميك</v>
          </cell>
          <cell r="D586" t="str">
            <v>تكاليف مشروع اللوتس 361</v>
          </cell>
          <cell r="E586" t="str">
            <v xml:space="preserve">تكاليف العمليات </v>
          </cell>
        </row>
        <row r="587">
          <cell r="A587" t="str">
            <v>361-10</v>
          </cell>
          <cell r="C587" t="str">
            <v>خامات ومصنعية أعمال الرخام</v>
          </cell>
          <cell r="D587" t="str">
            <v>تكاليف مشروع اللوتس 361</v>
          </cell>
          <cell r="E587" t="str">
            <v xml:space="preserve">تكاليف العمليات </v>
          </cell>
        </row>
        <row r="588">
          <cell r="A588" t="str">
            <v>361-11</v>
          </cell>
          <cell r="C588" t="str">
            <v>خامات ومصنعية بند الكهرباء</v>
          </cell>
          <cell r="D588" t="str">
            <v>تكاليف مشروع اللوتس 361</v>
          </cell>
          <cell r="E588" t="str">
            <v xml:space="preserve">تكاليف العمليات </v>
          </cell>
        </row>
        <row r="589">
          <cell r="A589" t="str">
            <v>361-12</v>
          </cell>
          <cell r="C589" t="str">
            <v>خامات ومصنعية بند السباكة والصحي</v>
          </cell>
          <cell r="D589" t="str">
            <v>تكاليف مشروع اللوتس 361</v>
          </cell>
          <cell r="E589" t="str">
            <v xml:space="preserve">تكاليف العمليات </v>
          </cell>
        </row>
        <row r="590">
          <cell r="A590" t="str">
            <v>361-13</v>
          </cell>
          <cell r="C590" t="str">
            <v>خامات ومصنعية أعمال التكييف</v>
          </cell>
          <cell r="D590" t="str">
            <v>تكاليف مشروع اللوتس 361</v>
          </cell>
          <cell r="E590" t="str">
            <v xml:space="preserve">تكاليف العمليات </v>
          </cell>
        </row>
        <row r="591">
          <cell r="A591" t="str">
            <v>361-14</v>
          </cell>
          <cell r="C591" t="str">
            <v>خامات ومصنعية أعمال النجارة والأبواب</v>
          </cell>
          <cell r="D591" t="str">
            <v>تكاليف مشروع اللوتس 361</v>
          </cell>
          <cell r="E591" t="str">
            <v xml:space="preserve">تكاليف العمليات </v>
          </cell>
        </row>
        <row r="592">
          <cell r="A592" t="str">
            <v>361-15</v>
          </cell>
          <cell r="C592" t="str">
            <v>خامات ومصنعية أعمال المطابخ</v>
          </cell>
          <cell r="D592" t="str">
            <v>تكاليف مشروع اللوتس 361</v>
          </cell>
          <cell r="E592" t="str">
            <v xml:space="preserve">تكاليف العمليات </v>
          </cell>
        </row>
        <row r="593">
          <cell r="A593" t="str">
            <v>361-16</v>
          </cell>
          <cell r="C593" t="str">
            <v>خامات ومصنعية أعمال الألوميتال</v>
          </cell>
          <cell r="D593" t="str">
            <v>تكاليف مشروع اللوتس 361</v>
          </cell>
          <cell r="E593" t="str">
            <v xml:space="preserve">تكاليف العمليات </v>
          </cell>
        </row>
        <row r="594">
          <cell r="A594" t="str">
            <v>361-17</v>
          </cell>
          <cell r="C594" t="str">
            <v>خامات ومصنعية أعمال الزجاج والسكوريت</v>
          </cell>
          <cell r="D594" t="str">
            <v>تكاليف مشروع اللوتس 361</v>
          </cell>
          <cell r="E594" t="str">
            <v xml:space="preserve">تكاليف العمليات </v>
          </cell>
        </row>
        <row r="595">
          <cell r="A595" t="str">
            <v>361-18</v>
          </cell>
          <cell r="C595" t="str">
            <v>خامات ومصنعية أعمال الشاتر</v>
          </cell>
          <cell r="D595" t="str">
            <v>تكاليف مشروع اللوتس 361</v>
          </cell>
          <cell r="E595" t="str">
            <v xml:space="preserve">تكاليف العمليات </v>
          </cell>
        </row>
        <row r="596">
          <cell r="A596" t="str">
            <v>361-19</v>
          </cell>
          <cell r="C596" t="str">
            <v>خامات ومصنعية أعمال المرايات</v>
          </cell>
          <cell r="D596" t="str">
            <v>تكاليف مشروع اللوتس 361</v>
          </cell>
          <cell r="E596" t="str">
            <v xml:space="preserve">تكاليف العمليات </v>
          </cell>
        </row>
        <row r="597">
          <cell r="A597" t="str">
            <v>361-20</v>
          </cell>
          <cell r="C597" t="str">
            <v>خامات ومصنعية أعمال العزل</v>
          </cell>
          <cell r="D597" t="str">
            <v>تكاليف مشروع اللوتس 361</v>
          </cell>
          <cell r="E597" t="str">
            <v xml:space="preserve">تكاليف العمليات </v>
          </cell>
        </row>
        <row r="598">
          <cell r="A598" t="str">
            <v>361-21</v>
          </cell>
          <cell r="C598" t="str">
            <v>خامات ومصنعية أعمال الشفاطات</v>
          </cell>
          <cell r="D598" t="str">
            <v>تكاليف مشروع اللوتس 361</v>
          </cell>
          <cell r="E598" t="str">
            <v xml:space="preserve">تكاليف العمليات </v>
          </cell>
        </row>
        <row r="599">
          <cell r="A599" t="str">
            <v>361-22</v>
          </cell>
          <cell r="C599" t="str">
            <v>خامات ومصنعية أعمال النجف والإضاءة</v>
          </cell>
          <cell r="D599" t="str">
            <v>تكاليف مشروع اللوتس 361</v>
          </cell>
          <cell r="E599" t="str">
            <v xml:space="preserve">تكاليف العمليات </v>
          </cell>
        </row>
        <row r="600">
          <cell r="A600" t="str">
            <v>361-23</v>
          </cell>
          <cell r="C600" t="str">
            <v>خامات ومصنعية أعمال اللاند سكيب</v>
          </cell>
          <cell r="D600" t="str">
            <v>تكاليف مشروع اللوتس 361</v>
          </cell>
          <cell r="E600" t="str">
            <v xml:space="preserve">تكاليف العمليات </v>
          </cell>
        </row>
        <row r="601">
          <cell r="A601" t="str">
            <v>361-24</v>
          </cell>
          <cell r="C601" t="str">
            <v>خامات ومصنعية أعمال الأرضيات الخشبية</v>
          </cell>
          <cell r="D601" t="str">
            <v>تكاليف مشروع اللوتس 361</v>
          </cell>
          <cell r="E601" t="str">
            <v xml:space="preserve">تكاليف العمليات </v>
          </cell>
        </row>
        <row r="602">
          <cell r="A602" t="str">
            <v>361-25</v>
          </cell>
          <cell r="C602" t="str">
            <v>خامات ومصنعية أعمال الستائر</v>
          </cell>
          <cell r="D602" t="str">
            <v>تكاليف مشروع اللوتس 361</v>
          </cell>
          <cell r="E602" t="str">
            <v xml:space="preserve">تكاليف العمليات </v>
          </cell>
        </row>
        <row r="603">
          <cell r="A603" t="str">
            <v>361-26</v>
          </cell>
          <cell r="C603" t="str">
            <v>خامات ومصنعية أعمال الأثاث</v>
          </cell>
          <cell r="D603" t="str">
            <v>تكاليف مشروع اللوتس 361</v>
          </cell>
          <cell r="E603" t="str">
            <v xml:space="preserve">تكاليف العمليات </v>
          </cell>
        </row>
        <row r="604">
          <cell r="A604" t="str">
            <v>361-27</v>
          </cell>
          <cell r="C604" t="str">
            <v>خامات ومصنعية أعمال النقل والتشوين</v>
          </cell>
          <cell r="D604" t="str">
            <v>تكاليف مشروع اللوتس 361</v>
          </cell>
          <cell r="E604" t="str">
            <v xml:space="preserve">تكاليف العمليات </v>
          </cell>
        </row>
        <row r="605">
          <cell r="A605" t="str">
            <v>361-28</v>
          </cell>
          <cell r="C605" t="str">
            <v>رسوم وتصاريح المشروع واكراميات</v>
          </cell>
          <cell r="D605" t="str">
            <v>تكاليف مشروع اللوتس 361</v>
          </cell>
          <cell r="E605" t="str">
            <v xml:space="preserve">تكاليف العمليات </v>
          </cell>
        </row>
        <row r="606">
          <cell r="A606" t="str">
            <v>361-29</v>
          </cell>
          <cell r="C606" t="str">
            <v>عمالة ويوميات مباشرة</v>
          </cell>
          <cell r="D606" t="str">
            <v>تكاليف مشروع اللوتس 361</v>
          </cell>
          <cell r="E606" t="str">
            <v xml:space="preserve">تكاليف العمليات </v>
          </cell>
        </row>
        <row r="607">
          <cell r="A607" t="str">
            <v>361-30</v>
          </cell>
          <cell r="D607" t="str">
            <v>تكاليف مشروع اللوتس 361</v>
          </cell>
          <cell r="E607" t="str">
            <v xml:space="preserve">تكاليف العمليات </v>
          </cell>
        </row>
        <row r="608">
          <cell r="A608" t="str">
            <v>361-31</v>
          </cell>
          <cell r="D608" t="str">
            <v>تكاليف مشروع اللوتس 361</v>
          </cell>
          <cell r="E608" t="str">
            <v xml:space="preserve">تكاليف العمليات </v>
          </cell>
        </row>
        <row r="609">
          <cell r="A609" t="str">
            <v>361-32</v>
          </cell>
          <cell r="D609" t="str">
            <v>تكاليف مشروع اللوتس 361</v>
          </cell>
          <cell r="E609" t="str">
            <v xml:space="preserve">تكاليف العمليات </v>
          </cell>
        </row>
        <row r="610">
          <cell r="A610" t="str">
            <v>361-33</v>
          </cell>
          <cell r="D610" t="str">
            <v>تكاليف مشروع اللوتس 361</v>
          </cell>
          <cell r="E610" t="str">
            <v xml:space="preserve">تكاليف العمليات </v>
          </cell>
        </row>
        <row r="611">
          <cell r="A611" t="str">
            <v>361-34</v>
          </cell>
          <cell r="D611" t="str">
            <v>تكاليف مشروع اللوتس 361</v>
          </cell>
          <cell r="E611" t="str">
            <v xml:space="preserve">تكاليف العمليات </v>
          </cell>
        </row>
        <row r="612">
          <cell r="A612">
            <v>364</v>
          </cell>
          <cell r="C612" t="str">
            <v>تكاليف مشروع الاندلس 364</v>
          </cell>
          <cell r="D612" t="str">
            <v>تكاليف مشروع الاندلس 364</v>
          </cell>
          <cell r="E612" t="str">
            <v xml:space="preserve">تكاليف العمليات </v>
          </cell>
        </row>
        <row r="613">
          <cell r="A613" t="str">
            <v>364-1</v>
          </cell>
          <cell r="C613" t="str">
            <v xml:space="preserve">تكلفة  المعاينة </v>
          </cell>
          <cell r="D613" t="str">
            <v>تكاليف مشروع الاندلس 364</v>
          </cell>
          <cell r="E613" t="str">
            <v xml:space="preserve">تكاليف العمليات </v>
          </cell>
        </row>
        <row r="614">
          <cell r="A614" t="str">
            <v>364-2</v>
          </cell>
          <cell r="C614" t="str">
            <v xml:space="preserve"> تكلفة الثري دي </v>
          </cell>
          <cell r="D614" t="str">
            <v>تكاليف مشروع الاندلس 364</v>
          </cell>
          <cell r="E614" t="str">
            <v xml:space="preserve">تكاليف العمليات </v>
          </cell>
        </row>
        <row r="615">
          <cell r="A615" t="str">
            <v>364-3</v>
          </cell>
          <cell r="C615" t="str">
            <v>اعمال التكسير والهدم والنظافة</v>
          </cell>
          <cell r="D615" t="str">
            <v>تكاليف مشروع الاندلس 364</v>
          </cell>
          <cell r="E615" t="str">
            <v xml:space="preserve">تكاليف العمليات </v>
          </cell>
        </row>
        <row r="616">
          <cell r="A616" t="str">
            <v>364-4</v>
          </cell>
          <cell r="C616" t="str">
            <v xml:space="preserve">اعمال انزال ونقل الراتش ونقل المخلفات </v>
          </cell>
          <cell r="D616" t="str">
            <v>تكاليف مشروع الاندلس 364</v>
          </cell>
          <cell r="E616" t="str">
            <v xml:space="preserve">تكاليف العمليات </v>
          </cell>
        </row>
        <row r="617">
          <cell r="A617" t="str">
            <v>364-5</v>
          </cell>
          <cell r="C617" t="str">
            <v>خامات ومصنعية أعمال المباني</v>
          </cell>
          <cell r="D617" t="str">
            <v>تكاليف مشروع الاندلس 364</v>
          </cell>
          <cell r="E617" t="str">
            <v xml:space="preserve">تكاليف العمليات </v>
          </cell>
        </row>
        <row r="618">
          <cell r="A618" t="str">
            <v>364-6</v>
          </cell>
          <cell r="C618" t="str">
            <v>خامات ومصنعية أعمال المحارة</v>
          </cell>
          <cell r="D618" t="str">
            <v>تكاليف مشروع الاندلس 364</v>
          </cell>
          <cell r="E618" t="str">
            <v xml:space="preserve">تكاليف العمليات </v>
          </cell>
        </row>
        <row r="619">
          <cell r="A619" t="str">
            <v>364-7</v>
          </cell>
          <cell r="C619" t="str">
            <v>خامات ومصنعية أعمال الجبس والديكورات</v>
          </cell>
          <cell r="D619" t="str">
            <v>تكاليف مشروع الاندلس 364</v>
          </cell>
          <cell r="E619" t="str">
            <v xml:space="preserve">تكاليف العمليات </v>
          </cell>
        </row>
        <row r="620">
          <cell r="A620" t="str">
            <v>364-8</v>
          </cell>
          <cell r="C620" t="str">
            <v>خامات ومصنعية أعمال الدهانات</v>
          </cell>
          <cell r="D620" t="str">
            <v>تكاليف مشروع الاندلس 364</v>
          </cell>
          <cell r="E620" t="str">
            <v xml:space="preserve">تكاليف العمليات </v>
          </cell>
        </row>
        <row r="621">
          <cell r="A621" t="str">
            <v>364-9</v>
          </cell>
          <cell r="C621" t="str">
            <v>خامات ومصنعية أعمال السيراميك</v>
          </cell>
          <cell r="D621" t="str">
            <v>تكاليف مشروع الاندلس 364</v>
          </cell>
          <cell r="E621" t="str">
            <v xml:space="preserve">تكاليف العمليات </v>
          </cell>
        </row>
        <row r="622">
          <cell r="A622" t="str">
            <v>364-10</v>
          </cell>
          <cell r="C622" t="str">
            <v>خامات ومصنعية أعمال الرخام</v>
          </cell>
          <cell r="D622" t="str">
            <v>تكاليف مشروع الاندلس 364</v>
          </cell>
          <cell r="E622" t="str">
            <v xml:space="preserve">تكاليف العمليات </v>
          </cell>
        </row>
        <row r="623">
          <cell r="A623" t="str">
            <v>364-11</v>
          </cell>
          <cell r="C623" t="str">
            <v>خامات ومصنعية بند الكهرباء</v>
          </cell>
          <cell r="D623" t="str">
            <v>تكاليف مشروع الاندلس 364</v>
          </cell>
          <cell r="E623" t="str">
            <v xml:space="preserve">تكاليف العمليات </v>
          </cell>
        </row>
        <row r="624">
          <cell r="A624" t="str">
            <v>364-12</v>
          </cell>
          <cell r="C624" t="str">
            <v>خامات ومصنعية بند السباكة والصحي</v>
          </cell>
          <cell r="D624" t="str">
            <v>تكاليف مشروع الاندلس 364</v>
          </cell>
          <cell r="E624" t="str">
            <v xml:space="preserve">تكاليف العمليات </v>
          </cell>
        </row>
        <row r="625">
          <cell r="A625" t="str">
            <v>364-13</v>
          </cell>
          <cell r="C625" t="str">
            <v>خامات ومصنعية أعمال التكييف</v>
          </cell>
          <cell r="D625" t="str">
            <v>تكاليف مشروع الاندلس 364</v>
          </cell>
          <cell r="E625" t="str">
            <v xml:space="preserve">تكاليف العمليات </v>
          </cell>
        </row>
        <row r="626">
          <cell r="A626" t="str">
            <v>364-14</v>
          </cell>
          <cell r="C626" t="str">
            <v>خامات ومصنعية أعمال النجارة والأبواب</v>
          </cell>
          <cell r="D626" t="str">
            <v>تكاليف مشروع الاندلس 364</v>
          </cell>
          <cell r="E626" t="str">
            <v xml:space="preserve">تكاليف العمليات </v>
          </cell>
        </row>
        <row r="627">
          <cell r="A627" t="str">
            <v>364-15</v>
          </cell>
          <cell r="C627" t="str">
            <v>خامات ومصنعية أعمال المطابخ</v>
          </cell>
          <cell r="D627" t="str">
            <v>تكاليف مشروع الاندلس 364</v>
          </cell>
          <cell r="E627" t="str">
            <v xml:space="preserve">تكاليف العمليات </v>
          </cell>
        </row>
        <row r="628">
          <cell r="A628" t="str">
            <v>364-16</v>
          </cell>
          <cell r="C628" t="str">
            <v>خامات ومصنعية أعمال الألوميتال</v>
          </cell>
          <cell r="D628" t="str">
            <v>تكاليف مشروع الاندلس 364</v>
          </cell>
          <cell r="E628" t="str">
            <v xml:space="preserve">تكاليف العمليات </v>
          </cell>
        </row>
        <row r="629">
          <cell r="A629" t="str">
            <v>364-17</v>
          </cell>
          <cell r="C629" t="str">
            <v>خامات ومصنعية أعمال الزجاج والسكوريت</v>
          </cell>
          <cell r="D629" t="str">
            <v>تكاليف مشروع الاندلس 364</v>
          </cell>
          <cell r="E629" t="str">
            <v xml:space="preserve">تكاليف العمليات </v>
          </cell>
        </row>
        <row r="630">
          <cell r="A630" t="str">
            <v>364-18</v>
          </cell>
          <cell r="C630" t="str">
            <v>خامات ومصنعية أعمال الشاتر</v>
          </cell>
          <cell r="D630" t="str">
            <v>تكاليف مشروع الاندلس 364</v>
          </cell>
          <cell r="E630" t="str">
            <v xml:space="preserve">تكاليف العمليات </v>
          </cell>
        </row>
        <row r="631">
          <cell r="A631" t="str">
            <v>364-19</v>
          </cell>
          <cell r="C631" t="str">
            <v>خامات ومصنعية أعمال المرايات</v>
          </cell>
          <cell r="D631" t="str">
            <v>تكاليف مشروع الاندلس 364</v>
          </cell>
          <cell r="E631" t="str">
            <v xml:space="preserve">تكاليف العمليات </v>
          </cell>
        </row>
        <row r="632">
          <cell r="A632" t="str">
            <v>364-20</v>
          </cell>
          <cell r="C632" t="str">
            <v>خامات ومصنعية أعمال العزل</v>
          </cell>
          <cell r="D632" t="str">
            <v>تكاليف مشروع الاندلس 364</v>
          </cell>
          <cell r="E632" t="str">
            <v xml:space="preserve">تكاليف العمليات </v>
          </cell>
        </row>
        <row r="633">
          <cell r="A633" t="str">
            <v>364-21</v>
          </cell>
          <cell r="C633" t="str">
            <v>خامات ومصنعية أعمال الشفاطات</v>
          </cell>
          <cell r="D633" t="str">
            <v>تكاليف مشروع الاندلس 364</v>
          </cell>
          <cell r="E633" t="str">
            <v xml:space="preserve">تكاليف العمليات </v>
          </cell>
        </row>
        <row r="634">
          <cell r="A634" t="str">
            <v>364-22</v>
          </cell>
          <cell r="C634" t="str">
            <v>خامات ومصنعية أعمال النجف والإضاءة</v>
          </cell>
          <cell r="D634" t="str">
            <v>تكاليف مشروع الاندلس 364</v>
          </cell>
          <cell r="E634" t="str">
            <v xml:space="preserve">تكاليف العمليات </v>
          </cell>
        </row>
        <row r="635">
          <cell r="A635" t="str">
            <v>364-23</v>
          </cell>
          <cell r="C635" t="str">
            <v>خامات ومصنعية أعمال اللاند سكيب</v>
          </cell>
          <cell r="D635" t="str">
            <v>تكاليف مشروع الاندلس 364</v>
          </cell>
          <cell r="E635" t="str">
            <v xml:space="preserve">تكاليف العمليات </v>
          </cell>
        </row>
        <row r="636">
          <cell r="A636" t="str">
            <v>364-24</v>
          </cell>
          <cell r="C636" t="str">
            <v>خامات ومصنعية أعمال الأرضيات الخشبية</v>
          </cell>
          <cell r="D636" t="str">
            <v>تكاليف مشروع الاندلس 364</v>
          </cell>
          <cell r="E636" t="str">
            <v xml:space="preserve">تكاليف العمليات </v>
          </cell>
        </row>
        <row r="637">
          <cell r="A637" t="str">
            <v>364-25</v>
          </cell>
          <cell r="C637" t="str">
            <v>خامات ومصنعية أعمال الستائر</v>
          </cell>
          <cell r="D637" t="str">
            <v>تكاليف مشروع الاندلس 364</v>
          </cell>
          <cell r="E637" t="str">
            <v xml:space="preserve">تكاليف العمليات </v>
          </cell>
        </row>
        <row r="638">
          <cell r="A638" t="str">
            <v>364-26</v>
          </cell>
          <cell r="C638" t="str">
            <v>خامات ومصنعية أعمال الأثاث</v>
          </cell>
          <cell r="D638" t="str">
            <v>تكاليف مشروع الاندلس 364</v>
          </cell>
          <cell r="E638" t="str">
            <v xml:space="preserve">تكاليف العمليات </v>
          </cell>
        </row>
        <row r="639">
          <cell r="A639" t="str">
            <v>364-27</v>
          </cell>
          <cell r="C639" t="str">
            <v>خامات ومصنعية أعمال النقل والتشوين</v>
          </cell>
          <cell r="D639" t="str">
            <v>تكاليف مشروع الاندلس 364</v>
          </cell>
          <cell r="E639" t="str">
            <v xml:space="preserve">تكاليف العمليات </v>
          </cell>
        </row>
        <row r="640">
          <cell r="A640" t="str">
            <v>364-28</v>
          </cell>
          <cell r="C640" t="str">
            <v>رسوم وتصاريح المشروع واكراميات</v>
          </cell>
          <cell r="D640" t="str">
            <v>تكاليف مشروع الاندلس 364</v>
          </cell>
          <cell r="E640" t="str">
            <v xml:space="preserve">تكاليف العمليات </v>
          </cell>
        </row>
        <row r="641">
          <cell r="A641" t="str">
            <v>364-29</v>
          </cell>
          <cell r="C641" t="str">
            <v>عمالة ويوميات مباشرة</v>
          </cell>
          <cell r="D641" t="str">
            <v>تكاليف مشروع الاندلس 364</v>
          </cell>
          <cell r="E641" t="str">
            <v xml:space="preserve">تكاليف العمليات </v>
          </cell>
        </row>
        <row r="642">
          <cell r="A642" t="str">
            <v>364-30</v>
          </cell>
          <cell r="D642" t="str">
            <v>تكاليف مشروع الاندلس 364</v>
          </cell>
          <cell r="E642" t="str">
            <v xml:space="preserve">تكاليف العمليات </v>
          </cell>
        </row>
        <row r="643">
          <cell r="A643" t="str">
            <v>364-31</v>
          </cell>
          <cell r="D643" t="str">
            <v>تكاليف مشروع الاندلس 364</v>
          </cell>
          <cell r="E643" t="str">
            <v xml:space="preserve">تكاليف العمليات </v>
          </cell>
        </row>
        <row r="644">
          <cell r="A644" t="str">
            <v>364-32</v>
          </cell>
          <cell r="D644" t="str">
            <v>تكاليف مشروع الاندلس 364</v>
          </cell>
          <cell r="E644" t="str">
            <v xml:space="preserve">تكاليف العمليات </v>
          </cell>
        </row>
        <row r="645">
          <cell r="A645" t="str">
            <v>364-33</v>
          </cell>
          <cell r="D645" t="str">
            <v>تكاليف مشروع الاندلس 364</v>
          </cell>
          <cell r="E645" t="str">
            <v xml:space="preserve">تكاليف العمليات </v>
          </cell>
        </row>
        <row r="646">
          <cell r="A646" t="str">
            <v>364-34</v>
          </cell>
          <cell r="D646" t="str">
            <v>تكاليف مشروع الاندلس 364</v>
          </cell>
          <cell r="E646" t="str">
            <v xml:space="preserve">تكاليف العمليات </v>
          </cell>
        </row>
        <row r="647">
          <cell r="A647">
            <v>365</v>
          </cell>
          <cell r="C647" t="str">
            <v>تكاليف مشروع هاني العبور 365</v>
          </cell>
          <cell r="D647" t="str">
            <v>تكاليف مشروع هاني العبور 365</v>
          </cell>
          <cell r="E647" t="str">
            <v xml:space="preserve">تكاليف العمليات </v>
          </cell>
        </row>
        <row r="648">
          <cell r="A648" t="str">
            <v>365-1</v>
          </cell>
          <cell r="C648" t="str">
            <v xml:space="preserve">تكلفة  المعاينة </v>
          </cell>
          <cell r="D648" t="str">
            <v>تكاليف مشروع هاني العبور 365</v>
          </cell>
          <cell r="E648" t="str">
            <v xml:space="preserve">تكاليف العمليات </v>
          </cell>
        </row>
        <row r="649">
          <cell r="A649" t="str">
            <v>365-2</v>
          </cell>
          <cell r="C649" t="str">
            <v xml:space="preserve"> تكلفة الثري دي </v>
          </cell>
          <cell r="D649" t="str">
            <v>تكاليف مشروع هاني العبور 365</v>
          </cell>
          <cell r="E649" t="str">
            <v xml:space="preserve">تكاليف العمليات </v>
          </cell>
        </row>
        <row r="650">
          <cell r="A650" t="str">
            <v>365-3</v>
          </cell>
          <cell r="C650" t="str">
            <v>اعمال التكسير والهدم والنظافة</v>
          </cell>
          <cell r="D650" t="str">
            <v>تكاليف مشروع هاني العبور 365</v>
          </cell>
          <cell r="E650" t="str">
            <v xml:space="preserve">تكاليف العمليات </v>
          </cell>
        </row>
        <row r="651">
          <cell r="A651" t="str">
            <v>365-4</v>
          </cell>
          <cell r="C651" t="str">
            <v xml:space="preserve">اعمال انزال ونقل الراتش ونقل المخلفات </v>
          </cell>
          <cell r="D651" t="str">
            <v>تكاليف مشروع هاني العبور 365</v>
          </cell>
          <cell r="E651" t="str">
            <v xml:space="preserve">تكاليف العمليات </v>
          </cell>
        </row>
        <row r="652">
          <cell r="A652" t="str">
            <v>365-5</v>
          </cell>
          <cell r="C652" t="str">
            <v>خامات ومصنعية أعمال المباني</v>
          </cell>
          <cell r="D652" t="str">
            <v>تكاليف مشروع هاني العبور 365</v>
          </cell>
          <cell r="E652" t="str">
            <v xml:space="preserve">تكاليف العمليات </v>
          </cell>
        </row>
        <row r="653">
          <cell r="A653" t="str">
            <v>365-6</v>
          </cell>
          <cell r="C653" t="str">
            <v>خامات ومصنعية أعمال المحارة</v>
          </cell>
          <cell r="D653" t="str">
            <v>تكاليف مشروع هاني العبور 365</v>
          </cell>
          <cell r="E653" t="str">
            <v xml:space="preserve">تكاليف العمليات </v>
          </cell>
        </row>
        <row r="654">
          <cell r="A654" t="str">
            <v>365-7</v>
          </cell>
          <cell r="C654" t="str">
            <v>خامات ومصنعية أعمال الجبس والديكورات</v>
          </cell>
          <cell r="D654" t="str">
            <v>تكاليف مشروع هاني العبور 365</v>
          </cell>
          <cell r="E654" t="str">
            <v xml:space="preserve">تكاليف العمليات </v>
          </cell>
        </row>
        <row r="655">
          <cell r="A655" t="str">
            <v>365-8</v>
          </cell>
          <cell r="C655" t="str">
            <v>خامات ومصنعية أعمال الدهانات</v>
          </cell>
          <cell r="D655" t="str">
            <v>تكاليف مشروع هاني العبور 365</v>
          </cell>
          <cell r="E655" t="str">
            <v xml:space="preserve">تكاليف العمليات </v>
          </cell>
        </row>
        <row r="656">
          <cell r="A656" t="str">
            <v>365-9</v>
          </cell>
          <cell r="C656" t="str">
            <v>خامات ومصنعية أعمال السيراميك</v>
          </cell>
          <cell r="D656" t="str">
            <v>تكاليف مشروع هاني العبور 365</v>
          </cell>
          <cell r="E656" t="str">
            <v xml:space="preserve">تكاليف العمليات </v>
          </cell>
        </row>
        <row r="657">
          <cell r="A657" t="str">
            <v>365-10</v>
          </cell>
          <cell r="C657" t="str">
            <v>خامات ومصنعية أعمال الرخام</v>
          </cell>
          <cell r="D657" t="str">
            <v>تكاليف مشروع هاني العبور 365</v>
          </cell>
          <cell r="E657" t="str">
            <v xml:space="preserve">تكاليف العمليات </v>
          </cell>
        </row>
        <row r="658">
          <cell r="A658" t="str">
            <v>365-11</v>
          </cell>
          <cell r="C658" t="str">
            <v>خامات ومصنعية بند الكهرباء</v>
          </cell>
          <cell r="D658" t="str">
            <v>تكاليف مشروع هاني العبور 365</v>
          </cell>
          <cell r="E658" t="str">
            <v xml:space="preserve">تكاليف العمليات </v>
          </cell>
        </row>
        <row r="659">
          <cell r="A659" t="str">
            <v>365-12</v>
          </cell>
          <cell r="C659" t="str">
            <v>خامات ومصنعية بند السباكة والصحي</v>
          </cell>
          <cell r="D659" t="str">
            <v>تكاليف مشروع هاني العبور 365</v>
          </cell>
          <cell r="E659" t="str">
            <v xml:space="preserve">تكاليف العمليات </v>
          </cell>
        </row>
        <row r="660">
          <cell r="A660" t="str">
            <v>365-13</v>
          </cell>
          <cell r="C660" t="str">
            <v>خامات ومصنعية أعمال التكييف</v>
          </cell>
          <cell r="D660" t="str">
            <v>تكاليف مشروع هاني العبور 365</v>
          </cell>
          <cell r="E660" t="str">
            <v xml:space="preserve">تكاليف العمليات </v>
          </cell>
        </row>
        <row r="661">
          <cell r="A661" t="str">
            <v>365-14</v>
          </cell>
          <cell r="C661" t="str">
            <v>خامات ومصنعية أعمال النجارة والأبواب</v>
          </cell>
          <cell r="D661" t="str">
            <v>تكاليف مشروع هاني العبور 365</v>
          </cell>
          <cell r="E661" t="str">
            <v xml:space="preserve">تكاليف العمليات </v>
          </cell>
        </row>
        <row r="662">
          <cell r="A662" t="str">
            <v>365-15</v>
          </cell>
          <cell r="C662" t="str">
            <v>خامات ومصنعية أعمال المطابخ</v>
          </cell>
          <cell r="D662" t="str">
            <v>تكاليف مشروع هاني العبور 365</v>
          </cell>
          <cell r="E662" t="str">
            <v xml:space="preserve">تكاليف العمليات </v>
          </cell>
        </row>
        <row r="663">
          <cell r="A663" t="str">
            <v>365-16</v>
          </cell>
          <cell r="C663" t="str">
            <v>خامات ومصنعية أعمال الألوميتال</v>
          </cell>
          <cell r="D663" t="str">
            <v>تكاليف مشروع هاني العبور 365</v>
          </cell>
          <cell r="E663" t="str">
            <v xml:space="preserve">تكاليف العمليات </v>
          </cell>
        </row>
        <row r="664">
          <cell r="A664" t="str">
            <v>365-17</v>
          </cell>
          <cell r="C664" t="str">
            <v>خامات ومصنعية أعمال الزجاج والسكوريت</v>
          </cell>
          <cell r="D664" t="str">
            <v>تكاليف مشروع هاني العبور 365</v>
          </cell>
          <cell r="E664" t="str">
            <v xml:space="preserve">تكاليف العمليات </v>
          </cell>
        </row>
        <row r="665">
          <cell r="A665" t="str">
            <v>365-18</v>
          </cell>
          <cell r="C665" t="str">
            <v>خامات ومصنعية أعمال الشاتر</v>
          </cell>
          <cell r="D665" t="str">
            <v>تكاليف مشروع هاني العبور 365</v>
          </cell>
          <cell r="E665" t="str">
            <v xml:space="preserve">تكاليف العمليات </v>
          </cell>
        </row>
        <row r="666">
          <cell r="A666" t="str">
            <v>365-19</v>
          </cell>
          <cell r="C666" t="str">
            <v>خامات ومصنعية أعمال المرايات</v>
          </cell>
          <cell r="D666" t="str">
            <v>تكاليف مشروع هاني العبور 365</v>
          </cell>
          <cell r="E666" t="str">
            <v xml:space="preserve">تكاليف العمليات </v>
          </cell>
        </row>
        <row r="667">
          <cell r="A667" t="str">
            <v>365-20</v>
          </cell>
          <cell r="C667" t="str">
            <v>خامات ومصنعية أعمال العزل</v>
          </cell>
          <cell r="D667" t="str">
            <v>تكاليف مشروع هاني العبور 365</v>
          </cell>
          <cell r="E667" t="str">
            <v xml:space="preserve">تكاليف العمليات </v>
          </cell>
        </row>
        <row r="668">
          <cell r="A668" t="str">
            <v>365-21</v>
          </cell>
          <cell r="C668" t="str">
            <v>خامات ومصنعية أعمال الشفاطات</v>
          </cell>
          <cell r="D668" t="str">
            <v>تكاليف مشروع هاني العبور 365</v>
          </cell>
          <cell r="E668" t="str">
            <v xml:space="preserve">تكاليف العمليات </v>
          </cell>
        </row>
        <row r="669">
          <cell r="A669" t="str">
            <v>365-22</v>
          </cell>
          <cell r="C669" t="str">
            <v>خامات ومصنعية أعمال النجف والإضاءة</v>
          </cell>
          <cell r="D669" t="str">
            <v>تكاليف مشروع هاني العبور 365</v>
          </cell>
          <cell r="E669" t="str">
            <v xml:space="preserve">تكاليف العمليات </v>
          </cell>
        </row>
        <row r="670">
          <cell r="A670" t="str">
            <v>365-23</v>
          </cell>
          <cell r="C670" t="str">
            <v>خامات ومصنعية أعمال اللاند سكيب</v>
          </cell>
          <cell r="D670" t="str">
            <v>تكاليف مشروع هاني العبور 365</v>
          </cell>
          <cell r="E670" t="str">
            <v xml:space="preserve">تكاليف العمليات </v>
          </cell>
        </row>
        <row r="671">
          <cell r="A671" t="str">
            <v>365-24</v>
          </cell>
          <cell r="C671" t="str">
            <v>خامات ومصنعية أعمال الأرضيات الخشبية</v>
          </cell>
          <cell r="D671" t="str">
            <v>تكاليف مشروع هاني العبور 365</v>
          </cell>
          <cell r="E671" t="str">
            <v xml:space="preserve">تكاليف العمليات </v>
          </cell>
        </row>
        <row r="672">
          <cell r="A672" t="str">
            <v>365-25</v>
          </cell>
          <cell r="C672" t="str">
            <v>خامات ومصنعية أعمال الستائر</v>
          </cell>
          <cell r="D672" t="str">
            <v>تكاليف مشروع هاني العبور 365</v>
          </cell>
          <cell r="E672" t="str">
            <v xml:space="preserve">تكاليف العمليات </v>
          </cell>
        </row>
        <row r="673">
          <cell r="A673" t="str">
            <v>365-26</v>
          </cell>
          <cell r="C673" t="str">
            <v>خامات ومصنعية أعمال الأثاث</v>
          </cell>
          <cell r="D673" t="str">
            <v>تكاليف مشروع هاني العبور 365</v>
          </cell>
          <cell r="E673" t="str">
            <v xml:space="preserve">تكاليف العمليات </v>
          </cell>
        </row>
        <row r="674">
          <cell r="A674" t="str">
            <v>365-27</v>
          </cell>
          <cell r="C674" t="str">
            <v>خامات ومصنعية أعمال النقل والتشوين</v>
          </cell>
          <cell r="D674" t="str">
            <v>تكاليف مشروع هاني العبور 365</v>
          </cell>
          <cell r="E674" t="str">
            <v xml:space="preserve">تكاليف العمليات </v>
          </cell>
        </row>
        <row r="675">
          <cell r="A675" t="str">
            <v>365-28</v>
          </cell>
          <cell r="C675" t="str">
            <v>رسوم وتصاريح المشروع واكراميات</v>
          </cell>
          <cell r="D675" t="str">
            <v>تكاليف مشروع هاني العبور 365</v>
          </cell>
          <cell r="E675" t="str">
            <v xml:space="preserve">تكاليف العمليات </v>
          </cell>
        </row>
        <row r="676">
          <cell r="A676" t="str">
            <v>365-29</v>
          </cell>
          <cell r="C676" t="str">
            <v>عمالة ويوميات مباشرة</v>
          </cell>
          <cell r="D676" t="str">
            <v>تكاليف مشروع هاني العبور 365</v>
          </cell>
          <cell r="E676" t="str">
            <v xml:space="preserve">تكاليف العمليات </v>
          </cell>
        </row>
        <row r="677">
          <cell r="A677" t="str">
            <v>365-30</v>
          </cell>
          <cell r="D677" t="str">
            <v>تكاليف مشروع هاني العبور 365</v>
          </cell>
          <cell r="E677" t="str">
            <v xml:space="preserve">تكاليف العمليات </v>
          </cell>
        </row>
        <row r="678">
          <cell r="A678" t="str">
            <v>365-31</v>
          </cell>
          <cell r="D678" t="str">
            <v>تكاليف مشروع هاني العبور 365</v>
          </cell>
          <cell r="E678" t="str">
            <v xml:space="preserve">تكاليف العمليات </v>
          </cell>
        </row>
        <row r="679">
          <cell r="A679" t="str">
            <v>365-32</v>
          </cell>
          <cell r="D679" t="str">
            <v>تكاليف مشروع هاني العبور 365</v>
          </cell>
          <cell r="E679" t="str">
            <v xml:space="preserve">تكاليف العمليات </v>
          </cell>
        </row>
        <row r="680">
          <cell r="A680" t="str">
            <v>365-33</v>
          </cell>
          <cell r="D680" t="str">
            <v>تكاليف مشروع هاني العبور 365</v>
          </cell>
          <cell r="E680" t="str">
            <v xml:space="preserve">تكاليف العمليات </v>
          </cell>
        </row>
        <row r="681">
          <cell r="A681" t="str">
            <v>365-34</v>
          </cell>
          <cell r="D681" t="str">
            <v>تكاليف مشروع هاني العبور 365</v>
          </cell>
          <cell r="E681" t="str">
            <v xml:space="preserve">تكاليف العمليات </v>
          </cell>
        </row>
        <row r="682">
          <cell r="A682">
            <v>372</v>
          </cell>
          <cell r="C682" t="str">
            <v>تكاليف مشروع اشرف الشروق 372</v>
          </cell>
          <cell r="D682" t="str">
            <v>تكاليف مشروع اشرف الشروق 372</v>
          </cell>
          <cell r="E682" t="str">
            <v xml:space="preserve">تكاليف العمليات </v>
          </cell>
        </row>
        <row r="683">
          <cell r="A683" t="str">
            <v>372-1</v>
          </cell>
          <cell r="C683" t="str">
            <v xml:space="preserve">تكلفة  المعاينة </v>
          </cell>
          <cell r="D683" t="str">
            <v>تكاليف مشروع اشرف الشروق 372</v>
          </cell>
          <cell r="E683" t="str">
            <v xml:space="preserve">تكاليف العمليات </v>
          </cell>
        </row>
        <row r="684">
          <cell r="A684" t="str">
            <v>372-2</v>
          </cell>
          <cell r="C684" t="str">
            <v xml:space="preserve"> تكلفة الثري دي </v>
          </cell>
          <cell r="D684" t="str">
            <v>تكاليف مشروع اشرف الشروق 372</v>
          </cell>
          <cell r="E684" t="str">
            <v xml:space="preserve">تكاليف العمليات </v>
          </cell>
        </row>
        <row r="685">
          <cell r="A685" t="str">
            <v>372-3</v>
          </cell>
          <cell r="C685" t="str">
            <v>اعمال التكسير والهدم والنظافة</v>
          </cell>
          <cell r="D685" t="str">
            <v>تكاليف مشروع اشرف الشروق 372</v>
          </cell>
          <cell r="E685" t="str">
            <v xml:space="preserve">تكاليف العمليات </v>
          </cell>
        </row>
        <row r="686">
          <cell r="A686" t="str">
            <v>372-4</v>
          </cell>
          <cell r="C686" t="str">
            <v xml:space="preserve">اعمال انزال ونقل الراتش ونقل المخلفات </v>
          </cell>
          <cell r="D686" t="str">
            <v>تكاليف مشروع اشرف الشروق 372</v>
          </cell>
          <cell r="E686" t="str">
            <v xml:space="preserve">تكاليف العمليات </v>
          </cell>
        </row>
        <row r="687">
          <cell r="A687" t="str">
            <v>372-5</v>
          </cell>
          <cell r="C687" t="str">
            <v>خامات ومصنعية أعمال المباني</v>
          </cell>
          <cell r="D687" t="str">
            <v>تكاليف مشروع اشرف الشروق 372</v>
          </cell>
          <cell r="E687" t="str">
            <v xml:space="preserve">تكاليف العمليات </v>
          </cell>
        </row>
        <row r="688">
          <cell r="A688" t="str">
            <v>372-6</v>
          </cell>
          <cell r="C688" t="str">
            <v>خامات ومصنعية أعمال المحارة</v>
          </cell>
          <cell r="D688" t="str">
            <v>تكاليف مشروع اشرف الشروق 372</v>
          </cell>
          <cell r="E688" t="str">
            <v xml:space="preserve">تكاليف العمليات </v>
          </cell>
        </row>
        <row r="689">
          <cell r="A689" t="str">
            <v>372-7</v>
          </cell>
          <cell r="C689" t="str">
            <v>خامات ومصنعية أعمال الجبس والديكورات</v>
          </cell>
          <cell r="D689" t="str">
            <v>تكاليف مشروع اشرف الشروق 372</v>
          </cell>
          <cell r="E689" t="str">
            <v xml:space="preserve">تكاليف العمليات </v>
          </cell>
        </row>
        <row r="690">
          <cell r="A690" t="str">
            <v>372-8</v>
          </cell>
          <cell r="C690" t="str">
            <v>خامات ومصنعية أعمال الدهانات</v>
          </cell>
          <cell r="D690" t="str">
            <v>تكاليف مشروع اشرف الشروق 372</v>
          </cell>
          <cell r="E690" t="str">
            <v xml:space="preserve">تكاليف العمليات </v>
          </cell>
        </row>
        <row r="691">
          <cell r="A691" t="str">
            <v>372-9</v>
          </cell>
          <cell r="C691" t="str">
            <v>خامات ومصنعية أعمال السيراميك</v>
          </cell>
          <cell r="D691" t="str">
            <v>تكاليف مشروع اشرف الشروق 372</v>
          </cell>
          <cell r="E691" t="str">
            <v xml:space="preserve">تكاليف العمليات </v>
          </cell>
        </row>
        <row r="692">
          <cell r="A692" t="str">
            <v>372-10</v>
          </cell>
          <cell r="C692" t="str">
            <v>خامات ومصنعية أعمال الرخام</v>
          </cell>
          <cell r="D692" t="str">
            <v>تكاليف مشروع اشرف الشروق 372</v>
          </cell>
          <cell r="E692" t="str">
            <v xml:space="preserve">تكاليف العمليات </v>
          </cell>
        </row>
        <row r="693">
          <cell r="A693" t="str">
            <v>372-11</v>
          </cell>
          <cell r="C693" t="str">
            <v>خامات ومصنعية بند الكهرباء</v>
          </cell>
          <cell r="D693" t="str">
            <v>تكاليف مشروع اشرف الشروق 372</v>
          </cell>
          <cell r="E693" t="str">
            <v xml:space="preserve">تكاليف العمليات </v>
          </cell>
        </row>
        <row r="694">
          <cell r="A694" t="str">
            <v>372-12</v>
          </cell>
          <cell r="C694" t="str">
            <v>خامات ومصنعية بند السباكة والصحي</v>
          </cell>
          <cell r="D694" t="str">
            <v>تكاليف مشروع اشرف الشروق 372</v>
          </cell>
          <cell r="E694" t="str">
            <v xml:space="preserve">تكاليف العمليات </v>
          </cell>
        </row>
        <row r="695">
          <cell r="A695" t="str">
            <v>372-13</v>
          </cell>
          <cell r="C695" t="str">
            <v>خامات ومصنعية أعمال التكييف</v>
          </cell>
          <cell r="D695" t="str">
            <v>تكاليف مشروع اشرف الشروق 372</v>
          </cell>
          <cell r="E695" t="str">
            <v xml:space="preserve">تكاليف العمليات </v>
          </cell>
        </row>
        <row r="696">
          <cell r="A696" t="str">
            <v>372-14</v>
          </cell>
          <cell r="C696" t="str">
            <v>خامات ومصنعية أعمال النجارة والأبواب</v>
          </cell>
          <cell r="D696" t="str">
            <v>تكاليف مشروع اشرف الشروق 372</v>
          </cell>
          <cell r="E696" t="str">
            <v xml:space="preserve">تكاليف العمليات </v>
          </cell>
        </row>
        <row r="697">
          <cell r="A697" t="str">
            <v>372-15</v>
          </cell>
          <cell r="C697" t="str">
            <v>خامات ومصنعية أعمال المطابخ</v>
          </cell>
          <cell r="D697" t="str">
            <v>تكاليف مشروع اشرف الشروق 372</v>
          </cell>
          <cell r="E697" t="str">
            <v xml:space="preserve">تكاليف العمليات </v>
          </cell>
        </row>
        <row r="698">
          <cell r="A698" t="str">
            <v>372-16</v>
          </cell>
          <cell r="C698" t="str">
            <v>خامات ومصنعية أعمال الألوميتال</v>
          </cell>
          <cell r="D698" t="str">
            <v>تكاليف مشروع اشرف الشروق 372</v>
          </cell>
          <cell r="E698" t="str">
            <v xml:space="preserve">تكاليف العمليات </v>
          </cell>
        </row>
        <row r="699">
          <cell r="A699" t="str">
            <v>372-17</v>
          </cell>
          <cell r="C699" t="str">
            <v>خامات ومصنعية أعمال الزجاج والسكوريت</v>
          </cell>
          <cell r="D699" t="str">
            <v>تكاليف مشروع اشرف الشروق 372</v>
          </cell>
          <cell r="E699" t="str">
            <v xml:space="preserve">تكاليف العمليات </v>
          </cell>
        </row>
        <row r="700">
          <cell r="A700" t="str">
            <v>372-18</v>
          </cell>
          <cell r="C700" t="str">
            <v>خامات ومصنعية أعمال الشاتر</v>
          </cell>
          <cell r="D700" t="str">
            <v>تكاليف مشروع اشرف الشروق 372</v>
          </cell>
          <cell r="E700" t="str">
            <v xml:space="preserve">تكاليف العمليات </v>
          </cell>
        </row>
        <row r="701">
          <cell r="A701" t="str">
            <v>372-19</v>
          </cell>
          <cell r="C701" t="str">
            <v>خامات ومصنعية أعمال المرايات</v>
          </cell>
          <cell r="D701" t="str">
            <v>تكاليف مشروع اشرف الشروق 372</v>
          </cell>
          <cell r="E701" t="str">
            <v xml:space="preserve">تكاليف العمليات </v>
          </cell>
        </row>
        <row r="702">
          <cell r="A702" t="str">
            <v>372-20</v>
          </cell>
          <cell r="C702" t="str">
            <v>خامات ومصنعية أعمال العزل</v>
          </cell>
          <cell r="D702" t="str">
            <v>تكاليف مشروع اشرف الشروق 372</v>
          </cell>
          <cell r="E702" t="str">
            <v xml:space="preserve">تكاليف العمليات </v>
          </cell>
        </row>
        <row r="703">
          <cell r="A703" t="str">
            <v>372-21</v>
          </cell>
          <cell r="C703" t="str">
            <v>خامات ومصنعية أعمال الشفاطات</v>
          </cell>
          <cell r="D703" t="str">
            <v>تكاليف مشروع اشرف الشروق 372</v>
          </cell>
          <cell r="E703" t="str">
            <v xml:space="preserve">تكاليف العمليات </v>
          </cell>
        </row>
        <row r="704">
          <cell r="A704" t="str">
            <v>372-22</v>
          </cell>
          <cell r="C704" t="str">
            <v>خامات ومصنعية أعمال النجف والإضاءة</v>
          </cell>
          <cell r="D704" t="str">
            <v>تكاليف مشروع اشرف الشروق 372</v>
          </cell>
          <cell r="E704" t="str">
            <v xml:space="preserve">تكاليف العمليات </v>
          </cell>
        </row>
        <row r="705">
          <cell r="A705" t="str">
            <v>372-23</v>
          </cell>
          <cell r="C705" t="str">
            <v>خامات ومصنعية أعمال اللاند سكيب</v>
          </cell>
          <cell r="D705" t="str">
            <v>تكاليف مشروع اشرف الشروق 372</v>
          </cell>
          <cell r="E705" t="str">
            <v xml:space="preserve">تكاليف العمليات </v>
          </cell>
        </row>
        <row r="706">
          <cell r="A706" t="str">
            <v>372-24</v>
          </cell>
          <cell r="C706" t="str">
            <v>خامات ومصنعية أعمال الأرضيات الخشبية</v>
          </cell>
          <cell r="D706" t="str">
            <v>تكاليف مشروع اشرف الشروق 372</v>
          </cell>
          <cell r="E706" t="str">
            <v xml:space="preserve">تكاليف العمليات </v>
          </cell>
        </row>
        <row r="707">
          <cell r="A707" t="str">
            <v>372-25</v>
          </cell>
          <cell r="C707" t="str">
            <v>خامات ومصنعية أعمال الستائر</v>
          </cell>
          <cell r="D707" t="str">
            <v>تكاليف مشروع اشرف الشروق 372</v>
          </cell>
          <cell r="E707" t="str">
            <v xml:space="preserve">تكاليف العمليات </v>
          </cell>
        </row>
        <row r="708">
          <cell r="A708" t="str">
            <v>372-26</v>
          </cell>
          <cell r="C708" t="str">
            <v>خامات ومصنعية أعمال الأثاث</v>
          </cell>
          <cell r="D708" t="str">
            <v>تكاليف مشروع اشرف الشروق 372</v>
          </cell>
          <cell r="E708" t="str">
            <v xml:space="preserve">تكاليف العمليات </v>
          </cell>
        </row>
        <row r="709">
          <cell r="A709" t="str">
            <v>372-27</v>
          </cell>
          <cell r="C709" t="str">
            <v>خامات ومصنعية أعمال النقل والتشوين</v>
          </cell>
          <cell r="D709" t="str">
            <v>تكاليف مشروع اشرف الشروق 372</v>
          </cell>
          <cell r="E709" t="str">
            <v xml:space="preserve">تكاليف العمليات </v>
          </cell>
        </row>
        <row r="710">
          <cell r="A710" t="str">
            <v>372-28</v>
          </cell>
          <cell r="C710" t="str">
            <v>رسوم وتصاريح المشروع واكراميات</v>
          </cell>
          <cell r="D710" t="str">
            <v>تكاليف مشروع اشرف الشروق 372</v>
          </cell>
          <cell r="E710" t="str">
            <v xml:space="preserve">تكاليف العمليات </v>
          </cell>
        </row>
        <row r="711">
          <cell r="A711" t="str">
            <v>372-29</v>
          </cell>
          <cell r="C711" t="str">
            <v>عمالة ويوميات مباشرة</v>
          </cell>
          <cell r="D711" t="str">
            <v>تكاليف مشروع اشرف الشروق 372</v>
          </cell>
          <cell r="E711" t="str">
            <v xml:space="preserve">تكاليف العمليات </v>
          </cell>
        </row>
        <row r="712">
          <cell r="A712" t="str">
            <v>372-30</v>
          </cell>
          <cell r="D712" t="str">
            <v>تكاليف مشروع اشرف الشروق 372</v>
          </cell>
          <cell r="E712" t="str">
            <v xml:space="preserve">تكاليف العمليات </v>
          </cell>
        </row>
        <row r="713">
          <cell r="A713" t="str">
            <v>372-31</v>
          </cell>
          <cell r="D713" t="str">
            <v>تكاليف مشروع اشرف الشروق 372</v>
          </cell>
          <cell r="E713" t="str">
            <v xml:space="preserve">تكاليف العمليات </v>
          </cell>
        </row>
        <row r="714">
          <cell r="A714" t="str">
            <v>372-32</v>
          </cell>
          <cell r="D714" t="str">
            <v>تكاليف مشروع اشرف الشروق 372</v>
          </cell>
          <cell r="E714" t="str">
            <v xml:space="preserve">تكاليف العمليات </v>
          </cell>
        </row>
        <row r="715">
          <cell r="A715" t="str">
            <v>372-33</v>
          </cell>
          <cell r="D715" t="str">
            <v>تكاليف مشروع اشرف الشروق 372</v>
          </cell>
          <cell r="E715" t="str">
            <v xml:space="preserve">تكاليف العمليات </v>
          </cell>
        </row>
        <row r="716">
          <cell r="A716" t="str">
            <v>372-34</v>
          </cell>
          <cell r="D716" t="str">
            <v>تكاليف مشروع اشرف الشروق 372</v>
          </cell>
          <cell r="E716" t="str">
            <v xml:space="preserve">تكاليف العمليات </v>
          </cell>
        </row>
        <row r="717">
          <cell r="A717">
            <v>380</v>
          </cell>
          <cell r="C717" t="str">
            <v>تكاليف مشروع القصر 380</v>
          </cell>
          <cell r="D717" t="str">
            <v>تكاليف مشروع القصر 380</v>
          </cell>
          <cell r="E717" t="str">
            <v xml:space="preserve">تكاليف العمليات </v>
          </cell>
        </row>
        <row r="718">
          <cell r="A718" t="str">
            <v>380-1</v>
          </cell>
          <cell r="C718" t="str">
            <v xml:space="preserve">تكلفة  المعاينة </v>
          </cell>
          <cell r="D718" t="str">
            <v>تكاليف مشروع القصر 380</v>
          </cell>
          <cell r="E718" t="str">
            <v xml:space="preserve">تكاليف العمليات </v>
          </cell>
        </row>
        <row r="719">
          <cell r="A719" t="str">
            <v>380-2</v>
          </cell>
          <cell r="C719" t="str">
            <v xml:space="preserve"> تكلفة الثري دي </v>
          </cell>
          <cell r="D719" t="str">
            <v>تكاليف مشروع القصر 380</v>
          </cell>
          <cell r="E719" t="str">
            <v xml:space="preserve">تكاليف العمليات </v>
          </cell>
        </row>
        <row r="720">
          <cell r="A720" t="str">
            <v>380-3</v>
          </cell>
          <cell r="C720" t="str">
            <v>اعمال التكسير والهدم والنظافة</v>
          </cell>
          <cell r="D720" t="str">
            <v>تكاليف مشروع القصر 380</v>
          </cell>
          <cell r="E720" t="str">
            <v xml:space="preserve">تكاليف العمليات </v>
          </cell>
        </row>
        <row r="721">
          <cell r="A721" t="str">
            <v>380-4</v>
          </cell>
          <cell r="C721" t="str">
            <v xml:space="preserve">اعمال انزال ونقل الراتش ونقل المخلفات </v>
          </cell>
          <cell r="D721" t="str">
            <v>تكاليف مشروع القصر 380</v>
          </cell>
          <cell r="E721" t="str">
            <v xml:space="preserve">تكاليف العمليات </v>
          </cell>
        </row>
        <row r="722">
          <cell r="A722" t="str">
            <v>380-5</v>
          </cell>
          <cell r="C722" t="str">
            <v>خامات ومصنعية أعمال المباني</v>
          </cell>
          <cell r="D722" t="str">
            <v>تكاليف مشروع القصر 380</v>
          </cell>
          <cell r="E722" t="str">
            <v xml:space="preserve">تكاليف العمليات </v>
          </cell>
        </row>
        <row r="723">
          <cell r="A723" t="str">
            <v>380-6</v>
          </cell>
          <cell r="C723" t="str">
            <v>خامات ومصنعية أعمال المحارة</v>
          </cell>
          <cell r="D723" t="str">
            <v>تكاليف مشروع القصر 380</v>
          </cell>
          <cell r="E723" t="str">
            <v xml:space="preserve">تكاليف العمليات </v>
          </cell>
        </row>
        <row r="724">
          <cell r="A724" t="str">
            <v>380-7</v>
          </cell>
          <cell r="C724" t="str">
            <v>خامات ومصنعية أعمال الجبس والديكورات</v>
          </cell>
          <cell r="D724" t="str">
            <v>تكاليف مشروع القصر 380</v>
          </cell>
          <cell r="E724" t="str">
            <v xml:space="preserve">تكاليف العمليات </v>
          </cell>
        </row>
        <row r="725">
          <cell r="A725" t="str">
            <v>380-8</v>
          </cell>
          <cell r="C725" t="str">
            <v>خامات ومصنعية أعمال الدهانات</v>
          </cell>
          <cell r="D725" t="str">
            <v>تكاليف مشروع القصر 380</v>
          </cell>
          <cell r="E725" t="str">
            <v xml:space="preserve">تكاليف العمليات </v>
          </cell>
        </row>
        <row r="726">
          <cell r="A726" t="str">
            <v>380-9</v>
          </cell>
          <cell r="C726" t="str">
            <v>خامات ومصنعية أعمال السيراميك</v>
          </cell>
          <cell r="D726" t="str">
            <v>تكاليف مشروع القصر 380</v>
          </cell>
          <cell r="E726" t="str">
            <v xml:space="preserve">تكاليف العمليات </v>
          </cell>
        </row>
        <row r="727">
          <cell r="A727" t="str">
            <v>380-10</v>
          </cell>
          <cell r="C727" t="str">
            <v>خامات ومصنعية أعمال الرخام</v>
          </cell>
          <cell r="D727" t="str">
            <v>تكاليف مشروع القصر 380</v>
          </cell>
          <cell r="E727" t="str">
            <v xml:space="preserve">تكاليف العمليات </v>
          </cell>
        </row>
        <row r="728">
          <cell r="A728" t="str">
            <v>380-11</v>
          </cell>
          <cell r="C728" t="str">
            <v>خامات ومصنعية بند الكهرباء</v>
          </cell>
          <cell r="D728" t="str">
            <v>تكاليف مشروع القصر 380</v>
          </cell>
          <cell r="E728" t="str">
            <v xml:space="preserve">تكاليف العمليات </v>
          </cell>
        </row>
        <row r="729">
          <cell r="A729" t="str">
            <v>380-12</v>
          </cell>
          <cell r="C729" t="str">
            <v>خامات ومصنعية بند السباكة والصحي</v>
          </cell>
          <cell r="D729" t="str">
            <v>تكاليف مشروع القصر 380</v>
          </cell>
          <cell r="E729" t="str">
            <v xml:space="preserve">تكاليف العمليات </v>
          </cell>
        </row>
        <row r="730">
          <cell r="A730" t="str">
            <v>380-13</v>
          </cell>
          <cell r="C730" t="str">
            <v>خامات ومصنعية أعمال التكييف</v>
          </cell>
          <cell r="D730" t="str">
            <v>تكاليف مشروع القصر 380</v>
          </cell>
          <cell r="E730" t="str">
            <v xml:space="preserve">تكاليف العمليات </v>
          </cell>
        </row>
        <row r="731">
          <cell r="A731" t="str">
            <v>380-14</v>
          </cell>
          <cell r="C731" t="str">
            <v>خامات ومصنعية أعمال النجارة والأبواب</v>
          </cell>
          <cell r="D731" t="str">
            <v>تكاليف مشروع القصر 380</v>
          </cell>
          <cell r="E731" t="str">
            <v xml:space="preserve">تكاليف العمليات </v>
          </cell>
        </row>
        <row r="732">
          <cell r="A732" t="str">
            <v>380-15</v>
          </cell>
          <cell r="C732" t="str">
            <v>خامات ومصنعية أعمال المطابخ</v>
          </cell>
          <cell r="D732" t="str">
            <v>تكاليف مشروع القصر 380</v>
          </cell>
          <cell r="E732" t="str">
            <v xml:space="preserve">تكاليف العمليات </v>
          </cell>
        </row>
        <row r="733">
          <cell r="A733" t="str">
            <v>380-16</v>
          </cell>
          <cell r="C733" t="str">
            <v>خامات ومصنعية أعمال الألوميتال</v>
          </cell>
          <cell r="D733" t="str">
            <v>تكاليف مشروع القصر 380</v>
          </cell>
          <cell r="E733" t="str">
            <v xml:space="preserve">تكاليف العمليات </v>
          </cell>
        </row>
        <row r="734">
          <cell r="A734" t="str">
            <v>380-17</v>
          </cell>
          <cell r="C734" t="str">
            <v>خامات ومصنعية أعمال الزجاج والسكوريت</v>
          </cell>
          <cell r="D734" t="str">
            <v>تكاليف مشروع القصر 380</v>
          </cell>
          <cell r="E734" t="str">
            <v xml:space="preserve">تكاليف العمليات </v>
          </cell>
        </row>
        <row r="735">
          <cell r="A735" t="str">
            <v>380-18</v>
          </cell>
          <cell r="C735" t="str">
            <v>خامات ومصنعية أعمال الشاتر</v>
          </cell>
          <cell r="D735" t="str">
            <v>تكاليف مشروع القصر 380</v>
          </cell>
          <cell r="E735" t="str">
            <v xml:space="preserve">تكاليف العمليات </v>
          </cell>
        </row>
        <row r="736">
          <cell r="A736" t="str">
            <v>380-19</v>
          </cell>
          <cell r="C736" t="str">
            <v>خامات ومصنعية أعمال المرايات</v>
          </cell>
          <cell r="D736" t="str">
            <v>تكاليف مشروع القصر 380</v>
          </cell>
          <cell r="E736" t="str">
            <v xml:space="preserve">تكاليف العمليات </v>
          </cell>
        </row>
        <row r="737">
          <cell r="A737" t="str">
            <v>380-20</v>
          </cell>
          <cell r="C737" t="str">
            <v>خامات ومصنعية أعمال العزل</v>
          </cell>
          <cell r="D737" t="str">
            <v>تكاليف مشروع القصر 380</v>
          </cell>
          <cell r="E737" t="str">
            <v xml:space="preserve">تكاليف العمليات </v>
          </cell>
        </row>
        <row r="738">
          <cell r="A738" t="str">
            <v>380-21</v>
          </cell>
          <cell r="C738" t="str">
            <v>خامات ومصنعية أعمال الشفاطات</v>
          </cell>
          <cell r="D738" t="str">
            <v>تكاليف مشروع القصر 380</v>
          </cell>
          <cell r="E738" t="str">
            <v xml:space="preserve">تكاليف العمليات </v>
          </cell>
        </row>
        <row r="739">
          <cell r="A739" t="str">
            <v>380-22</v>
          </cell>
          <cell r="C739" t="str">
            <v>خامات ومصنعية أعمال النجف والإضاءة</v>
          </cell>
          <cell r="D739" t="str">
            <v>تكاليف مشروع القصر 380</v>
          </cell>
          <cell r="E739" t="str">
            <v xml:space="preserve">تكاليف العمليات </v>
          </cell>
        </row>
        <row r="740">
          <cell r="A740" t="str">
            <v>380-23</v>
          </cell>
          <cell r="C740" t="str">
            <v>خامات ومصنعية أعمال اللاند سكيب</v>
          </cell>
          <cell r="D740" t="str">
            <v>تكاليف مشروع القصر 380</v>
          </cell>
          <cell r="E740" t="str">
            <v xml:space="preserve">تكاليف العمليات </v>
          </cell>
        </row>
        <row r="741">
          <cell r="A741" t="str">
            <v>380-24</v>
          </cell>
          <cell r="C741" t="str">
            <v>خامات ومصنعية أعمال الأرضيات الخشبية</v>
          </cell>
          <cell r="D741" t="str">
            <v>تكاليف مشروع القصر 380</v>
          </cell>
          <cell r="E741" t="str">
            <v xml:space="preserve">تكاليف العمليات </v>
          </cell>
        </row>
        <row r="742">
          <cell r="A742" t="str">
            <v>380-25</v>
          </cell>
          <cell r="C742" t="str">
            <v>خامات ومصنعية أعمال الستائر</v>
          </cell>
          <cell r="D742" t="str">
            <v>تكاليف مشروع القصر 380</v>
          </cell>
          <cell r="E742" t="str">
            <v xml:space="preserve">تكاليف العمليات </v>
          </cell>
        </row>
        <row r="743">
          <cell r="A743" t="str">
            <v>380-26</v>
          </cell>
          <cell r="C743" t="str">
            <v>خامات ومصنعية أعمال الأثاث</v>
          </cell>
          <cell r="D743" t="str">
            <v>تكاليف مشروع القصر 380</v>
          </cell>
          <cell r="E743" t="str">
            <v xml:space="preserve">تكاليف العمليات </v>
          </cell>
        </row>
        <row r="744">
          <cell r="A744" t="str">
            <v>380-27</v>
          </cell>
          <cell r="C744" t="str">
            <v>خامات ومصنعية أعمال النقل والتشوين</v>
          </cell>
          <cell r="D744" t="str">
            <v>تكاليف مشروع القصر 380</v>
          </cell>
          <cell r="E744" t="str">
            <v xml:space="preserve">تكاليف العمليات </v>
          </cell>
        </row>
        <row r="745">
          <cell r="A745" t="str">
            <v>380-28</v>
          </cell>
          <cell r="C745" t="str">
            <v>رسوم وتصاريح المشروع واكراميات</v>
          </cell>
          <cell r="D745" t="str">
            <v>تكاليف مشروع القصر 380</v>
          </cell>
          <cell r="E745" t="str">
            <v xml:space="preserve">تكاليف العمليات </v>
          </cell>
        </row>
        <row r="746">
          <cell r="A746" t="str">
            <v>380-29</v>
          </cell>
          <cell r="C746" t="str">
            <v>عمالة ويوميات مباشرة</v>
          </cell>
          <cell r="D746" t="str">
            <v>تكاليف مشروع القصر 380</v>
          </cell>
          <cell r="E746" t="str">
            <v xml:space="preserve">تكاليف العمليات </v>
          </cell>
        </row>
        <row r="747">
          <cell r="A747" t="str">
            <v>380-30</v>
          </cell>
          <cell r="D747" t="str">
            <v>تكاليف مشروع القصر 380</v>
          </cell>
          <cell r="E747" t="str">
            <v xml:space="preserve">تكاليف العمليات </v>
          </cell>
        </row>
        <row r="748">
          <cell r="A748" t="str">
            <v>380-31</v>
          </cell>
          <cell r="D748" t="str">
            <v>تكاليف مشروع القصر 380</v>
          </cell>
          <cell r="E748" t="str">
            <v xml:space="preserve">تكاليف العمليات </v>
          </cell>
        </row>
        <row r="749">
          <cell r="A749" t="str">
            <v>380-32</v>
          </cell>
          <cell r="D749" t="str">
            <v>تكاليف مشروع القصر 380</v>
          </cell>
          <cell r="E749" t="str">
            <v xml:space="preserve">تكاليف العمليات </v>
          </cell>
        </row>
        <row r="750">
          <cell r="A750" t="str">
            <v>380-33</v>
          </cell>
          <cell r="D750" t="str">
            <v>تكاليف مشروع القصر 380</v>
          </cell>
          <cell r="E750" t="str">
            <v xml:space="preserve">تكاليف العمليات </v>
          </cell>
        </row>
        <row r="751">
          <cell r="A751" t="str">
            <v>380-34</v>
          </cell>
          <cell r="D751" t="str">
            <v>تكاليف مشروع القصر 380</v>
          </cell>
          <cell r="E751" t="str">
            <v xml:space="preserve">تكاليف العمليات </v>
          </cell>
        </row>
        <row r="752">
          <cell r="A752">
            <v>388</v>
          </cell>
          <cell r="C752" t="str">
            <v>388 تكاليف مشروع الدقي</v>
          </cell>
          <cell r="D752" t="str">
            <v>388 تكاليف مشروع الدقي</v>
          </cell>
          <cell r="E752" t="str">
            <v xml:space="preserve">تكاليف العمليات </v>
          </cell>
        </row>
        <row r="753">
          <cell r="A753" t="str">
            <v>388-1</v>
          </cell>
          <cell r="C753" t="str">
            <v xml:space="preserve">تكلفة  المعاينة </v>
          </cell>
          <cell r="D753" t="str">
            <v>388 تكاليف مشروع الدقي</v>
          </cell>
          <cell r="E753" t="str">
            <v xml:space="preserve">تكاليف العمليات </v>
          </cell>
        </row>
        <row r="754">
          <cell r="A754" t="str">
            <v>388-2</v>
          </cell>
          <cell r="C754" t="str">
            <v xml:space="preserve"> تكلفة الثري دي </v>
          </cell>
          <cell r="D754" t="str">
            <v>388 تكاليف مشروع الدقي</v>
          </cell>
          <cell r="E754" t="str">
            <v xml:space="preserve">تكاليف العمليات </v>
          </cell>
        </row>
        <row r="755">
          <cell r="A755" t="str">
            <v>388-3</v>
          </cell>
          <cell r="C755" t="str">
            <v>اعمال التكسير والهدم والنظافة</v>
          </cell>
          <cell r="D755" t="str">
            <v>388 تكاليف مشروع الدقي</v>
          </cell>
          <cell r="E755" t="str">
            <v xml:space="preserve">تكاليف العمليات </v>
          </cell>
        </row>
        <row r="756">
          <cell r="A756" t="str">
            <v>388-4</v>
          </cell>
          <cell r="C756" t="str">
            <v xml:space="preserve">اعمال انزال ونقل الراتش ونقل المخلفات </v>
          </cell>
          <cell r="D756" t="str">
            <v>388 تكاليف مشروع الدقي</v>
          </cell>
          <cell r="E756" t="str">
            <v xml:space="preserve">تكاليف العمليات </v>
          </cell>
        </row>
        <row r="757">
          <cell r="A757" t="str">
            <v>388-5</v>
          </cell>
          <cell r="C757" t="str">
            <v>خامات ومصنعية أعمال المباني</v>
          </cell>
          <cell r="D757" t="str">
            <v>388 تكاليف مشروع الدقي</v>
          </cell>
          <cell r="E757" t="str">
            <v xml:space="preserve">تكاليف العمليات </v>
          </cell>
        </row>
        <row r="758">
          <cell r="A758" t="str">
            <v>388-6</v>
          </cell>
          <cell r="C758" t="str">
            <v>خامات ومصنعية أعمال المحارة</v>
          </cell>
          <cell r="D758" t="str">
            <v>388 تكاليف مشروع الدقي</v>
          </cell>
          <cell r="E758" t="str">
            <v xml:space="preserve">تكاليف العمليات </v>
          </cell>
        </row>
        <row r="759">
          <cell r="A759" t="str">
            <v>388-7</v>
          </cell>
          <cell r="C759" t="str">
            <v>خامات ومصنعية أعمال الجبس والديكورات</v>
          </cell>
          <cell r="D759" t="str">
            <v>388 تكاليف مشروع الدقي</v>
          </cell>
          <cell r="E759" t="str">
            <v xml:space="preserve">تكاليف العمليات </v>
          </cell>
        </row>
        <row r="760">
          <cell r="A760" t="str">
            <v>388-8</v>
          </cell>
          <cell r="C760" t="str">
            <v>خامات ومصنعية أعمال الدهانات</v>
          </cell>
          <cell r="D760" t="str">
            <v>388 تكاليف مشروع الدقي</v>
          </cell>
          <cell r="E760" t="str">
            <v xml:space="preserve">تكاليف العمليات </v>
          </cell>
        </row>
        <row r="761">
          <cell r="A761" t="str">
            <v>388-9</v>
          </cell>
          <cell r="C761" t="str">
            <v>خامات ومصنعية أعمال السيراميك</v>
          </cell>
          <cell r="D761" t="str">
            <v>388 تكاليف مشروع الدقي</v>
          </cell>
          <cell r="E761" t="str">
            <v xml:space="preserve">تكاليف العمليات </v>
          </cell>
        </row>
        <row r="762">
          <cell r="A762" t="str">
            <v>388-10</v>
          </cell>
          <cell r="C762" t="str">
            <v>خامات ومصنعية أعمال الرخام</v>
          </cell>
          <cell r="D762" t="str">
            <v>388 تكاليف مشروع الدقي</v>
          </cell>
          <cell r="E762" t="str">
            <v xml:space="preserve">تكاليف العمليات </v>
          </cell>
        </row>
        <row r="763">
          <cell r="A763" t="str">
            <v>388-11</v>
          </cell>
          <cell r="C763" t="str">
            <v>خامات ومصنعية بند الكهرباء</v>
          </cell>
          <cell r="D763" t="str">
            <v>388 تكاليف مشروع الدقي</v>
          </cell>
          <cell r="E763" t="str">
            <v xml:space="preserve">تكاليف العمليات </v>
          </cell>
        </row>
        <row r="764">
          <cell r="A764" t="str">
            <v>388-12</v>
          </cell>
          <cell r="C764" t="str">
            <v>خامات ومصنعية بند السباكة والصحي</v>
          </cell>
          <cell r="D764" t="str">
            <v>388 تكاليف مشروع الدقي</v>
          </cell>
          <cell r="E764" t="str">
            <v xml:space="preserve">تكاليف العمليات </v>
          </cell>
        </row>
        <row r="765">
          <cell r="A765" t="str">
            <v>388-13</v>
          </cell>
          <cell r="C765" t="str">
            <v>خامات ومصنعية أعمال التكييف</v>
          </cell>
          <cell r="D765" t="str">
            <v>388 تكاليف مشروع الدقي</v>
          </cell>
          <cell r="E765" t="str">
            <v xml:space="preserve">تكاليف العمليات </v>
          </cell>
        </row>
        <row r="766">
          <cell r="A766" t="str">
            <v>388-14</v>
          </cell>
          <cell r="C766" t="str">
            <v>خامات ومصنعية أعمال النجارة والأبواب</v>
          </cell>
          <cell r="D766" t="str">
            <v>388 تكاليف مشروع الدقي</v>
          </cell>
          <cell r="E766" t="str">
            <v xml:space="preserve">تكاليف العمليات </v>
          </cell>
        </row>
        <row r="767">
          <cell r="A767" t="str">
            <v>388-15</v>
          </cell>
          <cell r="C767" t="str">
            <v>خامات ومصنعية أعمال المطابخ</v>
          </cell>
          <cell r="D767" t="str">
            <v>388 تكاليف مشروع الدقي</v>
          </cell>
          <cell r="E767" t="str">
            <v xml:space="preserve">تكاليف العمليات </v>
          </cell>
        </row>
        <row r="768">
          <cell r="A768" t="str">
            <v>388-16</v>
          </cell>
          <cell r="C768" t="str">
            <v>خامات ومصنعية أعمال الألوميتال</v>
          </cell>
          <cell r="D768" t="str">
            <v>388 تكاليف مشروع الدقي</v>
          </cell>
          <cell r="E768" t="str">
            <v xml:space="preserve">تكاليف العمليات </v>
          </cell>
        </row>
        <row r="769">
          <cell r="A769" t="str">
            <v>388-17</v>
          </cell>
          <cell r="C769" t="str">
            <v>خامات ومصنعية أعمال الزجاج والسكوريت</v>
          </cell>
          <cell r="D769" t="str">
            <v>388 تكاليف مشروع الدقي</v>
          </cell>
          <cell r="E769" t="str">
            <v xml:space="preserve">تكاليف العمليات </v>
          </cell>
        </row>
        <row r="770">
          <cell r="A770" t="str">
            <v>388-18</v>
          </cell>
          <cell r="C770" t="str">
            <v>خامات ومصنعية أعمال الشاتر</v>
          </cell>
          <cell r="D770" t="str">
            <v>388 تكاليف مشروع الدقي</v>
          </cell>
          <cell r="E770" t="str">
            <v xml:space="preserve">تكاليف العمليات </v>
          </cell>
        </row>
        <row r="771">
          <cell r="A771" t="str">
            <v>388-19</v>
          </cell>
          <cell r="C771" t="str">
            <v>خامات ومصنعية أعمال المرايات</v>
          </cell>
          <cell r="D771" t="str">
            <v>388 تكاليف مشروع الدقي</v>
          </cell>
          <cell r="E771" t="str">
            <v xml:space="preserve">تكاليف العمليات </v>
          </cell>
        </row>
        <row r="772">
          <cell r="A772" t="str">
            <v>388-20</v>
          </cell>
          <cell r="C772" t="str">
            <v>خامات ومصنعية أعمال العزل</v>
          </cell>
          <cell r="D772" t="str">
            <v>388 تكاليف مشروع الدقي</v>
          </cell>
          <cell r="E772" t="str">
            <v xml:space="preserve">تكاليف العمليات </v>
          </cell>
        </row>
        <row r="773">
          <cell r="A773" t="str">
            <v>388-21</v>
          </cell>
          <cell r="C773" t="str">
            <v>خامات ومصنعية أعمال الشفاطات</v>
          </cell>
          <cell r="D773" t="str">
            <v>388 تكاليف مشروع الدقي</v>
          </cell>
          <cell r="E773" t="str">
            <v xml:space="preserve">تكاليف العمليات </v>
          </cell>
        </row>
        <row r="774">
          <cell r="A774" t="str">
            <v>388-22</v>
          </cell>
          <cell r="C774" t="str">
            <v>خامات ومصنعية أعمال النجف والإضاءة</v>
          </cell>
          <cell r="D774" t="str">
            <v>388 تكاليف مشروع الدقي</v>
          </cell>
          <cell r="E774" t="str">
            <v xml:space="preserve">تكاليف العمليات </v>
          </cell>
        </row>
        <row r="775">
          <cell r="A775" t="str">
            <v>388-23</v>
          </cell>
          <cell r="C775" t="str">
            <v>خامات ومصنعية أعمال اللاند سكيب</v>
          </cell>
          <cell r="D775" t="str">
            <v>388 تكاليف مشروع الدقي</v>
          </cell>
          <cell r="E775" t="str">
            <v xml:space="preserve">تكاليف العمليات </v>
          </cell>
        </row>
        <row r="776">
          <cell r="A776" t="str">
            <v>388-24</v>
          </cell>
          <cell r="C776" t="str">
            <v>خامات ومصنعية أعمال الأرضيات الخشبية</v>
          </cell>
          <cell r="D776" t="str">
            <v>388 تكاليف مشروع الدقي</v>
          </cell>
          <cell r="E776" t="str">
            <v xml:space="preserve">تكاليف العمليات </v>
          </cell>
        </row>
        <row r="777">
          <cell r="A777" t="str">
            <v>388-25</v>
          </cell>
          <cell r="C777" t="str">
            <v>خامات ومصنعية أعمال الستائر</v>
          </cell>
          <cell r="D777" t="str">
            <v>388 تكاليف مشروع الدقي</v>
          </cell>
          <cell r="E777" t="str">
            <v xml:space="preserve">تكاليف العمليات </v>
          </cell>
        </row>
        <row r="778">
          <cell r="A778" t="str">
            <v>388-26</v>
          </cell>
          <cell r="C778" t="str">
            <v>خامات ومصنعية أعمال الأثاث</v>
          </cell>
          <cell r="D778" t="str">
            <v>388 تكاليف مشروع الدقي</v>
          </cell>
          <cell r="E778" t="str">
            <v xml:space="preserve">تكاليف العمليات </v>
          </cell>
        </row>
        <row r="779">
          <cell r="A779" t="str">
            <v>388-27</v>
          </cell>
          <cell r="C779" t="str">
            <v>خامات ومصنعية أعمال النقل والتشوين</v>
          </cell>
          <cell r="D779" t="str">
            <v>388 تكاليف مشروع الدقي</v>
          </cell>
          <cell r="E779" t="str">
            <v xml:space="preserve">تكاليف العمليات </v>
          </cell>
        </row>
        <row r="780">
          <cell r="A780" t="str">
            <v>388-28</v>
          </cell>
          <cell r="C780" t="str">
            <v>رسوم وتصاريح المشروع واكراميات</v>
          </cell>
          <cell r="D780" t="str">
            <v>388 تكاليف مشروع الدقي</v>
          </cell>
          <cell r="E780" t="str">
            <v xml:space="preserve">تكاليف العمليات </v>
          </cell>
        </row>
        <row r="781">
          <cell r="A781" t="str">
            <v>388-29</v>
          </cell>
          <cell r="C781" t="str">
            <v>عمالة ويوميات مباشرة</v>
          </cell>
          <cell r="D781" t="str">
            <v>388 تكاليف مشروع الدقي</v>
          </cell>
          <cell r="E781" t="str">
            <v xml:space="preserve">تكاليف العمليات </v>
          </cell>
        </row>
        <row r="782">
          <cell r="A782" t="str">
            <v>388-30</v>
          </cell>
          <cell r="D782" t="str">
            <v>388 تكاليف مشروع الدقي</v>
          </cell>
          <cell r="E782" t="str">
            <v xml:space="preserve">تكاليف العمليات </v>
          </cell>
        </row>
        <row r="783">
          <cell r="A783" t="str">
            <v>388-31</v>
          </cell>
          <cell r="D783" t="str">
            <v>388 تكاليف مشروع الدقي</v>
          </cell>
          <cell r="E783" t="str">
            <v xml:space="preserve">تكاليف العمليات </v>
          </cell>
        </row>
        <row r="784">
          <cell r="A784" t="str">
            <v>388-32</v>
          </cell>
          <cell r="D784" t="str">
            <v>388 تكاليف مشروع الدقي</v>
          </cell>
          <cell r="E784" t="str">
            <v xml:space="preserve">تكاليف العمليات </v>
          </cell>
        </row>
        <row r="785">
          <cell r="A785" t="str">
            <v>388-33</v>
          </cell>
          <cell r="D785" t="str">
            <v>388 تكاليف مشروع الدقي</v>
          </cell>
          <cell r="E785" t="str">
            <v xml:space="preserve">تكاليف العمليات </v>
          </cell>
        </row>
        <row r="786">
          <cell r="A786" t="str">
            <v>388-34</v>
          </cell>
          <cell r="D786" t="str">
            <v>388 تكاليف مشروع الدقي</v>
          </cell>
          <cell r="E786" t="str">
            <v xml:space="preserve">تكاليف العمليات </v>
          </cell>
        </row>
        <row r="787">
          <cell r="A787">
            <v>401</v>
          </cell>
          <cell r="C787" t="str">
            <v>تكاليف مشروع احمد زايد 401</v>
          </cell>
          <cell r="D787" t="str">
            <v>تكاليف مشروع احمد زايد 401</v>
          </cell>
          <cell r="E787" t="str">
            <v xml:space="preserve">تكاليف العمليات </v>
          </cell>
        </row>
        <row r="788">
          <cell r="A788" t="str">
            <v>401-1</v>
          </cell>
          <cell r="C788" t="str">
            <v xml:space="preserve">تكلفة  المعاينة </v>
          </cell>
          <cell r="D788" t="str">
            <v>تكاليف مشروع احمد زايد 401</v>
          </cell>
          <cell r="E788" t="str">
            <v xml:space="preserve">تكاليف العمليات </v>
          </cell>
        </row>
        <row r="789">
          <cell r="A789" t="str">
            <v>401-2</v>
          </cell>
          <cell r="C789" t="str">
            <v xml:space="preserve"> تكلفة الثري دي </v>
          </cell>
          <cell r="D789" t="str">
            <v>تكاليف مشروع احمد زايد 401</v>
          </cell>
          <cell r="E789" t="str">
            <v xml:space="preserve">تكاليف العمليات </v>
          </cell>
        </row>
        <row r="790">
          <cell r="A790" t="str">
            <v>401-3</v>
          </cell>
          <cell r="C790" t="str">
            <v>اعمال التكسير والهدم والنظافة</v>
          </cell>
          <cell r="D790" t="str">
            <v>تكاليف مشروع احمد زايد 401</v>
          </cell>
          <cell r="E790" t="str">
            <v xml:space="preserve">تكاليف العمليات </v>
          </cell>
        </row>
        <row r="791">
          <cell r="A791" t="str">
            <v>401-4</v>
          </cell>
          <cell r="C791" t="str">
            <v xml:space="preserve">اعمال انزال ونقل الراتش ونقل المخلفات </v>
          </cell>
          <cell r="D791" t="str">
            <v>تكاليف مشروع احمد زايد 401</v>
          </cell>
          <cell r="E791" t="str">
            <v xml:space="preserve">تكاليف العمليات </v>
          </cell>
        </row>
        <row r="792">
          <cell r="A792" t="str">
            <v>401-5</v>
          </cell>
          <cell r="C792" t="str">
            <v>خامات ومصنعية أعمال المباني</v>
          </cell>
          <cell r="D792" t="str">
            <v>تكاليف مشروع احمد زايد 401</v>
          </cell>
          <cell r="E792" t="str">
            <v xml:space="preserve">تكاليف العمليات </v>
          </cell>
        </row>
        <row r="793">
          <cell r="A793" t="str">
            <v>401-6</v>
          </cell>
          <cell r="C793" t="str">
            <v>خامات ومصنعية أعمال المحارة</v>
          </cell>
          <cell r="D793" t="str">
            <v>تكاليف مشروع احمد زايد 401</v>
          </cell>
          <cell r="E793" t="str">
            <v xml:space="preserve">تكاليف العمليات </v>
          </cell>
        </row>
        <row r="794">
          <cell r="A794" t="str">
            <v>401-7</v>
          </cell>
          <cell r="C794" t="str">
            <v>خامات ومصنعية أعمال الجبس والديكورات</v>
          </cell>
          <cell r="D794" t="str">
            <v>تكاليف مشروع احمد زايد 401</v>
          </cell>
          <cell r="E794" t="str">
            <v xml:space="preserve">تكاليف العمليات </v>
          </cell>
        </row>
        <row r="795">
          <cell r="A795" t="str">
            <v>401-8</v>
          </cell>
          <cell r="C795" t="str">
            <v>خامات ومصنعية أعمال الدهانات</v>
          </cell>
          <cell r="D795" t="str">
            <v>تكاليف مشروع احمد زايد 401</v>
          </cell>
          <cell r="E795" t="str">
            <v xml:space="preserve">تكاليف العمليات </v>
          </cell>
        </row>
        <row r="796">
          <cell r="A796" t="str">
            <v>401-9</v>
          </cell>
          <cell r="C796" t="str">
            <v>خامات ومصنعية أعمال السيراميك</v>
          </cell>
          <cell r="D796" t="str">
            <v>تكاليف مشروع احمد زايد 401</v>
          </cell>
          <cell r="E796" t="str">
            <v xml:space="preserve">تكاليف العمليات </v>
          </cell>
        </row>
        <row r="797">
          <cell r="A797" t="str">
            <v>401-10</v>
          </cell>
          <cell r="C797" t="str">
            <v>خامات ومصنعية أعمال الرخام</v>
          </cell>
          <cell r="D797" t="str">
            <v>تكاليف مشروع احمد زايد 401</v>
          </cell>
          <cell r="E797" t="str">
            <v xml:space="preserve">تكاليف العمليات </v>
          </cell>
        </row>
        <row r="798">
          <cell r="A798" t="str">
            <v>401-11</v>
          </cell>
          <cell r="C798" t="str">
            <v>خامات ومصنعية بند الكهرباء</v>
          </cell>
          <cell r="D798" t="str">
            <v>تكاليف مشروع احمد زايد 401</v>
          </cell>
          <cell r="E798" t="str">
            <v xml:space="preserve">تكاليف العمليات </v>
          </cell>
        </row>
        <row r="799">
          <cell r="A799" t="str">
            <v>401-12</v>
          </cell>
          <cell r="C799" t="str">
            <v>خامات ومصنعية بند السباكة والصحي</v>
          </cell>
          <cell r="D799" t="str">
            <v>تكاليف مشروع احمد زايد 401</v>
          </cell>
          <cell r="E799" t="str">
            <v xml:space="preserve">تكاليف العمليات </v>
          </cell>
        </row>
        <row r="800">
          <cell r="A800" t="str">
            <v>401-13</v>
          </cell>
          <cell r="C800" t="str">
            <v>خامات ومصنعية أعمال التكييف</v>
          </cell>
          <cell r="D800" t="str">
            <v>تكاليف مشروع احمد زايد 401</v>
          </cell>
          <cell r="E800" t="str">
            <v xml:space="preserve">تكاليف العمليات </v>
          </cell>
        </row>
        <row r="801">
          <cell r="A801" t="str">
            <v>401-14</v>
          </cell>
          <cell r="C801" t="str">
            <v>خامات ومصنعية أعمال النجارة والأبواب</v>
          </cell>
          <cell r="D801" t="str">
            <v>تكاليف مشروع احمد زايد 401</v>
          </cell>
          <cell r="E801" t="str">
            <v xml:space="preserve">تكاليف العمليات </v>
          </cell>
        </row>
        <row r="802">
          <cell r="A802" t="str">
            <v>401-15</v>
          </cell>
          <cell r="C802" t="str">
            <v>خامات ومصنعية أعمال المطابخ</v>
          </cell>
          <cell r="D802" t="str">
            <v>تكاليف مشروع احمد زايد 401</v>
          </cell>
          <cell r="E802" t="str">
            <v xml:space="preserve">تكاليف العمليات </v>
          </cell>
        </row>
        <row r="803">
          <cell r="A803" t="str">
            <v>401-16</v>
          </cell>
          <cell r="C803" t="str">
            <v>خامات ومصنعية أعمال الألوميتال</v>
          </cell>
          <cell r="D803" t="str">
            <v>تكاليف مشروع احمد زايد 401</v>
          </cell>
          <cell r="E803" t="str">
            <v xml:space="preserve">تكاليف العمليات </v>
          </cell>
        </row>
        <row r="804">
          <cell r="A804" t="str">
            <v>401-17</v>
          </cell>
          <cell r="C804" t="str">
            <v>خامات ومصنعية أعمال الزجاج والسكوريت</v>
          </cell>
          <cell r="D804" t="str">
            <v>تكاليف مشروع احمد زايد 401</v>
          </cell>
          <cell r="E804" t="str">
            <v xml:space="preserve">تكاليف العمليات </v>
          </cell>
        </row>
        <row r="805">
          <cell r="A805" t="str">
            <v>401-18</v>
          </cell>
          <cell r="C805" t="str">
            <v>خامات ومصنعية أعمال الشاتر</v>
          </cell>
          <cell r="D805" t="str">
            <v>تكاليف مشروع احمد زايد 401</v>
          </cell>
          <cell r="E805" t="str">
            <v xml:space="preserve">تكاليف العمليات </v>
          </cell>
        </row>
        <row r="806">
          <cell r="A806" t="str">
            <v>401-19</v>
          </cell>
          <cell r="C806" t="str">
            <v>خامات ومصنعية أعمال المرايات</v>
          </cell>
          <cell r="D806" t="str">
            <v>تكاليف مشروع احمد زايد 401</v>
          </cell>
          <cell r="E806" t="str">
            <v xml:space="preserve">تكاليف العمليات </v>
          </cell>
        </row>
        <row r="807">
          <cell r="A807" t="str">
            <v>401-20</v>
          </cell>
          <cell r="C807" t="str">
            <v>خامات ومصنعية أعمال العزل</v>
          </cell>
          <cell r="D807" t="str">
            <v>تكاليف مشروع احمد زايد 401</v>
          </cell>
          <cell r="E807" t="str">
            <v xml:space="preserve">تكاليف العمليات </v>
          </cell>
        </row>
        <row r="808">
          <cell r="A808" t="str">
            <v>401-21</v>
          </cell>
          <cell r="C808" t="str">
            <v>خامات ومصنعية أعمال الشفاطات</v>
          </cell>
          <cell r="D808" t="str">
            <v>تكاليف مشروع احمد زايد 401</v>
          </cell>
          <cell r="E808" t="str">
            <v xml:space="preserve">تكاليف العمليات </v>
          </cell>
        </row>
        <row r="809">
          <cell r="A809" t="str">
            <v>401-22</v>
          </cell>
          <cell r="C809" t="str">
            <v>خامات ومصنعية أعمال النجف والإضاءة</v>
          </cell>
          <cell r="D809" t="str">
            <v>تكاليف مشروع احمد زايد 401</v>
          </cell>
          <cell r="E809" t="str">
            <v xml:space="preserve">تكاليف العمليات </v>
          </cell>
        </row>
        <row r="810">
          <cell r="A810" t="str">
            <v>401-23</v>
          </cell>
          <cell r="C810" t="str">
            <v>خامات ومصنعية أعمال اللاند سكيب</v>
          </cell>
          <cell r="D810" t="str">
            <v>تكاليف مشروع احمد زايد 401</v>
          </cell>
          <cell r="E810" t="str">
            <v xml:space="preserve">تكاليف العمليات </v>
          </cell>
        </row>
        <row r="811">
          <cell r="A811" t="str">
            <v>401-24</v>
          </cell>
          <cell r="C811" t="str">
            <v>خامات ومصنعية أعمال الأرضيات الخشبية</v>
          </cell>
          <cell r="D811" t="str">
            <v>تكاليف مشروع احمد زايد 401</v>
          </cell>
          <cell r="E811" t="str">
            <v xml:space="preserve">تكاليف العمليات </v>
          </cell>
        </row>
        <row r="812">
          <cell r="A812" t="str">
            <v>401-25</v>
          </cell>
          <cell r="C812" t="str">
            <v>خامات ومصنعية أعمال الستائر</v>
          </cell>
          <cell r="D812" t="str">
            <v>تكاليف مشروع احمد زايد 401</v>
          </cell>
          <cell r="E812" t="str">
            <v xml:space="preserve">تكاليف العمليات </v>
          </cell>
        </row>
        <row r="813">
          <cell r="A813" t="str">
            <v>401-26</v>
          </cell>
          <cell r="C813" t="str">
            <v>خامات ومصنعية أعمال الأثاث</v>
          </cell>
          <cell r="D813" t="str">
            <v>تكاليف مشروع احمد زايد 401</v>
          </cell>
          <cell r="E813" t="str">
            <v xml:space="preserve">تكاليف العمليات </v>
          </cell>
        </row>
        <row r="814">
          <cell r="A814" t="str">
            <v>401-27</v>
          </cell>
          <cell r="C814" t="str">
            <v>خامات ومصنعية أعمال النقل والتشوين</v>
          </cell>
          <cell r="D814" t="str">
            <v>تكاليف مشروع احمد زايد 401</v>
          </cell>
          <cell r="E814" t="str">
            <v xml:space="preserve">تكاليف العمليات </v>
          </cell>
        </row>
        <row r="815">
          <cell r="A815" t="str">
            <v>401-28</v>
          </cell>
          <cell r="C815" t="str">
            <v>رسوم وتصاريح المشروع واكراميات</v>
          </cell>
          <cell r="D815" t="str">
            <v>تكاليف مشروع احمد زايد 401</v>
          </cell>
          <cell r="E815" t="str">
            <v xml:space="preserve">تكاليف العمليات </v>
          </cell>
        </row>
        <row r="816">
          <cell r="A816" t="str">
            <v>401-29</v>
          </cell>
          <cell r="C816" t="str">
            <v>عمالة ويوميات مباشرة</v>
          </cell>
          <cell r="D816" t="str">
            <v>تكاليف مشروع احمد زايد 401</v>
          </cell>
          <cell r="E816" t="str">
            <v xml:space="preserve">تكاليف العمليات </v>
          </cell>
        </row>
        <row r="817">
          <cell r="A817" t="str">
            <v>401-30</v>
          </cell>
          <cell r="D817" t="str">
            <v>تكاليف مشروع احمد زايد 401</v>
          </cell>
          <cell r="E817" t="str">
            <v xml:space="preserve">تكاليف العمليات </v>
          </cell>
        </row>
        <row r="818">
          <cell r="A818" t="str">
            <v>401-31</v>
          </cell>
          <cell r="D818" t="str">
            <v>تكاليف مشروع احمد زايد 401</v>
          </cell>
          <cell r="E818" t="str">
            <v xml:space="preserve">تكاليف العمليات </v>
          </cell>
        </row>
        <row r="819">
          <cell r="A819" t="str">
            <v>401-32</v>
          </cell>
          <cell r="D819" t="str">
            <v>تكاليف مشروع احمد زايد 401</v>
          </cell>
          <cell r="E819" t="str">
            <v xml:space="preserve">تكاليف العمليات </v>
          </cell>
        </row>
        <row r="820">
          <cell r="A820" t="str">
            <v>401-33</v>
          </cell>
          <cell r="D820" t="str">
            <v>تكاليف مشروع احمد زايد 401</v>
          </cell>
          <cell r="E820" t="str">
            <v xml:space="preserve">تكاليف العمليات </v>
          </cell>
        </row>
        <row r="821">
          <cell r="A821" t="str">
            <v>401-34</v>
          </cell>
          <cell r="D821" t="str">
            <v>تكاليف مشروع احمد زايد 401</v>
          </cell>
          <cell r="E821" t="str">
            <v xml:space="preserve">تكاليف العمليات </v>
          </cell>
        </row>
        <row r="822">
          <cell r="A822">
            <v>5100</v>
          </cell>
          <cell r="C822" t="str">
            <v>تكاليف مشروع رأس الحكمة</v>
          </cell>
          <cell r="D822" t="str">
            <v>تكاليف مشروع رأس الحكمة</v>
          </cell>
          <cell r="E822" t="str">
            <v xml:space="preserve">تكاليف العمليات </v>
          </cell>
        </row>
        <row r="823">
          <cell r="A823" t="str">
            <v>5100-1</v>
          </cell>
          <cell r="C823" t="str">
            <v xml:space="preserve">تكلفة  المعاينة </v>
          </cell>
          <cell r="D823" t="str">
            <v>تكاليف مشروع رأس الحكمة</v>
          </cell>
          <cell r="E823" t="str">
            <v xml:space="preserve">تكاليف العمليات </v>
          </cell>
        </row>
        <row r="824">
          <cell r="A824" t="str">
            <v>5100-2</v>
          </cell>
          <cell r="C824" t="str">
            <v xml:space="preserve"> تكلفة الثري دي </v>
          </cell>
          <cell r="D824" t="str">
            <v>تكاليف مشروع رأس الحكمة</v>
          </cell>
          <cell r="E824" t="str">
            <v xml:space="preserve">تكاليف العمليات </v>
          </cell>
        </row>
        <row r="825">
          <cell r="A825" t="str">
            <v>5100-3</v>
          </cell>
          <cell r="C825" t="str">
            <v>اعمال التكسير والهدم والنظافة</v>
          </cell>
          <cell r="D825" t="str">
            <v>تكاليف مشروع رأس الحكمة</v>
          </cell>
          <cell r="E825" t="str">
            <v xml:space="preserve">تكاليف العمليات </v>
          </cell>
        </row>
        <row r="826">
          <cell r="A826" t="str">
            <v>5100-4</v>
          </cell>
          <cell r="C826" t="str">
            <v xml:space="preserve">اعمال انزال ونقل الراتش ونقل المخلفات </v>
          </cell>
          <cell r="D826" t="str">
            <v>تكاليف مشروع رأس الحكمة</v>
          </cell>
          <cell r="E826" t="str">
            <v xml:space="preserve">تكاليف العمليات </v>
          </cell>
        </row>
        <row r="827">
          <cell r="A827" t="str">
            <v>5100-5</v>
          </cell>
          <cell r="C827" t="str">
            <v>خامات ومصنعية أعمال المباني</v>
          </cell>
          <cell r="D827" t="str">
            <v>تكاليف مشروع رأس الحكمة</v>
          </cell>
          <cell r="E827" t="str">
            <v xml:space="preserve">تكاليف العمليات </v>
          </cell>
        </row>
        <row r="828">
          <cell r="A828" t="str">
            <v>5100-6</v>
          </cell>
          <cell r="C828" t="str">
            <v>خامات ومصنعية أعمال المحارة</v>
          </cell>
          <cell r="D828" t="str">
            <v>تكاليف مشروع رأس الحكمة</v>
          </cell>
          <cell r="E828" t="str">
            <v xml:space="preserve">تكاليف العمليات </v>
          </cell>
        </row>
        <row r="829">
          <cell r="A829" t="str">
            <v>5100-7</v>
          </cell>
          <cell r="C829" t="str">
            <v>خامات ومصنعية أعمال الجبس والديكورات</v>
          </cell>
          <cell r="D829" t="str">
            <v>تكاليف مشروع رأس الحكمة</v>
          </cell>
          <cell r="E829" t="str">
            <v xml:space="preserve">تكاليف العمليات </v>
          </cell>
        </row>
        <row r="830">
          <cell r="A830" t="str">
            <v>5100-8</v>
          </cell>
          <cell r="C830" t="str">
            <v>خامات ومصنعية أعمال الدهانات</v>
          </cell>
          <cell r="D830" t="str">
            <v>تكاليف مشروع رأس الحكمة</v>
          </cell>
          <cell r="E830" t="str">
            <v xml:space="preserve">تكاليف العمليات </v>
          </cell>
        </row>
        <row r="831">
          <cell r="A831" t="str">
            <v>5100-9</v>
          </cell>
          <cell r="C831" t="str">
            <v>خامات ومصنعية أعمال السيراميك</v>
          </cell>
          <cell r="D831" t="str">
            <v>تكاليف مشروع رأس الحكمة</v>
          </cell>
          <cell r="E831" t="str">
            <v xml:space="preserve">تكاليف العمليات </v>
          </cell>
        </row>
        <row r="832">
          <cell r="A832" t="str">
            <v>5100-10</v>
          </cell>
          <cell r="C832" t="str">
            <v>خامات ومصنعية أعمال الرخام</v>
          </cell>
          <cell r="D832" t="str">
            <v>تكاليف مشروع رأس الحكمة</v>
          </cell>
          <cell r="E832" t="str">
            <v xml:space="preserve">تكاليف العمليات </v>
          </cell>
        </row>
        <row r="833">
          <cell r="A833" t="str">
            <v>5100-11</v>
          </cell>
          <cell r="C833" t="str">
            <v>خامات ومصنعية بند الكهرباء</v>
          </cell>
          <cell r="D833" t="str">
            <v>تكاليف مشروع رأس الحكمة</v>
          </cell>
          <cell r="E833" t="str">
            <v xml:space="preserve">تكاليف العمليات </v>
          </cell>
        </row>
        <row r="834">
          <cell r="A834" t="str">
            <v>5100-12</v>
          </cell>
          <cell r="C834" t="str">
            <v>خامات ومصنعية بند السباكة والصحي</v>
          </cell>
          <cell r="D834" t="str">
            <v>تكاليف مشروع رأس الحكمة</v>
          </cell>
          <cell r="E834" t="str">
            <v xml:space="preserve">تكاليف العمليات </v>
          </cell>
        </row>
        <row r="835">
          <cell r="A835" t="str">
            <v>5100-13</v>
          </cell>
          <cell r="C835" t="str">
            <v>خامات ومصنعية أعمال التكييف</v>
          </cell>
          <cell r="D835" t="str">
            <v>تكاليف مشروع رأس الحكمة</v>
          </cell>
          <cell r="E835" t="str">
            <v xml:space="preserve">تكاليف العمليات </v>
          </cell>
        </row>
        <row r="836">
          <cell r="A836" t="str">
            <v>5100-14</v>
          </cell>
          <cell r="C836" t="str">
            <v>خامات ومصنعية أعمال النجارة والأبواب</v>
          </cell>
          <cell r="D836" t="str">
            <v>تكاليف مشروع رأس الحكمة</v>
          </cell>
          <cell r="E836" t="str">
            <v xml:space="preserve">تكاليف العمليات </v>
          </cell>
        </row>
        <row r="837">
          <cell r="A837" t="str">
            <v>5100-15</v>
          </cell>
          <cell r="C837" t="str">
            <v>خامات ومصنعية أعمال المطابخ</v>
          </cell>
          <cell r="D837" t="str">
            <v>تكاليف مشروع رأس الحكمة</v>
          </cell>
          <cell r="E837" t="str">
            <v xml:space="preserve">تكاليف العمليات </v>
          </cell>
        </row>
        <row r="838">
          <cell r="A838" t="str">
            <v>5100-16</v>
          </cell>
          <cell r="C838" t="str">
            <v>خامات ومصنعية أعمال الألوميتال</v>
          </cell>
          <cell r="D838" t="str">
            <v>تكاليف مشروع رأس الحكمة</v>
          </cell>
          <cell r="E838" t="str">
            <v xml:space="preserve">تكاليف العمليات </v>
          </cell>
        </row>
        <row r="839">
          <cell r="A839" t="str">
            <v>5100-17</v>
          </cell>
          <cell r="C839" t="str">
            <v>خامات ومصنعية أعمال الزجاج والسكوريت</v>
          </cell>
          <cell r="D839" t="str">
            <v>تكاليف مشروع رأس الحكمة</v>
          </cell>
          <cell r="E839" t="str">
            <v xml:space="preserve">تكاليف العمليات </v>
          </cell>
        </row>
        <row r="840">
          <cell r="A840" t="str">
            <v>5100-18</v>
          </cell>
          <cell r="C840" t="str">
            <v>خامات ومصنعية أعمال الشاتر</v>
          </cell>
          <cell r="D840" t="str">
            <v>تكاليف مشروع رأس الحكمة</v>
          </cell>
          <cell r="E840" t="str">
            <v xml:space="preserve">تكاليف العمليات </v>
          </cell>
        </row>
        <row r="841">
          <cell r="A841" t="str">
            <v>5100-19</v>
          </cell>
          <cell r="C841" t="str">
            <v>خامات ومصنعية أعمال المرايات</v>
          </cell>
          <cell r="D841" t="str">
            <v>تكاليف مشروع رأس الحكمة</v>
          </cell>
          <cell r="E841" t="str">
            <v xml:space="preserve">تكاليف العمليات </v>
          </cell>
        </row>
        <row r="842">
          <cell r="A842" t="str">
            <v>5100-20</v>
          </cell>
          <cell r="C842" t="str">
            <v>خامات ومصنعية أعمال العزل</v>
          </cell>
          <cell r="D842" t="str">
            <v>تكاليف مشروع رأس الحكمة</v>
          </cell>
          <cell r="E842" t="str">
            <v xml:space="preserve">تكاليف العمليات </v>
          </cell>
        </row>
        <row r="843">
          <cell r="A843" t="str">
            <v>5100-21</v>
          </cell>
          <cell r="C843" t="str">
            <v>خامات ومصنعية أعمال الشفاطات</v>
          </cell>
          <cell r="D843" t="str">
            <v>تكاليف مشروع رأس الحكمة</v>
          </cell>
          <cell r="E843" t="str">
            <v xml:space="preserve">تكاليف العمليات </v>
          </cell>
        </row>
        <row r="844">
          <cell r="A844" t="str">
            <v>5100-22</v>
          </cell>
          <cell r="C844" t="str">
            <v>خامات ومصنعية أعمال النجف والإضاءة</v>
          </cell>
          <cell r="D844" t="str">
            <v>تكاليف مشروع رأس الحكمة</v>
          </cell>
          <cell r="E844" t="str">
            <v xml:space="preserve">تكاليف العمليات </v>
          </cell>
        </row>
        <row r="845">
          <cell r="A845" t="str">
            <v>5100-23</v>
          </cell>
          <cell r="C845" t="str">
            <v>خامات ومصنعية أعمال اللاند سكيب</v>
          </cell>
          <cell r="D845" t="str">
            <v>تكاليف مشروع رأس الحكمة</v>
          </cell>
          <cell r="E845" t="str">
            <v xml:space="preserve">تكاليف العمليات </v>
          </cell>
        </row>
        <row r="846">
          <cell r="A846" t="str">
            <v>5100-24</v>
          </cell>
          <cell r="C846" t="str">
            <v>خامات ومصنعية أعمال الأرضيات الخشبية</v>
          </cell>
          <cell r="D846" t="str">
            <v>تكاليف مشروع رأس الحكمة</v>
          </cell>
          <cell r="E846" t="str">
            <v xml:space="preserve">تكاليف العمليات </v>
          </cell>
        </row>
        <row r="847">
          <cell r="A847" t="str">
            <v>5100-25</v>
          </cell>
          <cell r="C847" t="str">
            <v>خامات ومصنعية أعمال الستائر</v>
          </cell>
          <cell r="D847" t="str">
            <v>تكاليف مشروع رأس الحكمة</v>
          </cell>
          <cell r="E847" t="str">
            <v xml:space="preserve">تكاليف العمليات </v>
          </cell>
        </row>
        <row r="848">
          <cell r="A848" t="str">
            <v>5100-26</v>
          </cell>
          <cell r="C848" t="str">
            <v>خامات ومصنعية أعمال الأثاث</v>
          </cell>
          <cell r="D848" t="str">
            <v>تكاليف مشروع رأس الحكمة</v>
          </cell>
          <cell r="E848" t="str">
            <v xml:space="preserve">تكاليف العمليات </v>
          </cell>
        </row>
        <row r="849">
          <cell r="A849" t="str">
            <v>5100-27</v>
          </cell>
          <cell r="C849" t="str">
            <v>خامات ومصنعية أعمال النقل والتشوين</v>
          </cell>
          <cell r="D849" t="str">
            <v>تكاليف مشروع رأس الحكمة</v>
          </cell>
          <cell r="E849" t="str">
            <v xml:space="preserve">تكاليف العمليات </v>
          </cell>
        </row>
        <row r="850">
          <cell r="A850" t="str">
            <v>5100-28</v>
          </cell>
          <cell r="C850" t="str">
            <v>رسوم وتصاريح المشروع واكراميات</v>
          </cell>
          <cell r="D850" t="str">
            <v>تكاليف مشروع رأس الحكمة</v>
          </cell>
          <cell r="E850" t="str">
            <v xml:space="preserve">تكاليف العمليات </v>
          </cell>
        </row>
        <row r="851">
          <cell r="A851" t="str">
            <v>5100-29</v>
          </cell>
          <cell r="C851" t="str">
            <v>عمالة ويوميات مباشرة</v>
          </cell>
          <cell r="D851" t="str">
            <v>تكاليف مشروع رأس الحكمة</v>
          </cell>
          <cell r="E851" t="str">
            <v xml:space="preserve">تكاليف العمليات </v>
          </cell>
        </row>
        <row r="852">
          <cell r="A852" t="str">
            <v>5100-30</v>
          </cell>
          <cell r="D852" t="str">
            <v>تكاليف مشروع رأس الحكمة</v>
          </cell>
          <cell r="E852" t="str">
            <v xml:space="preserve">تكاليف العمليات </v>
          </cell>
        </row>
        <row r="853">
          <cell r="A853" t="str">
            <v>5100-31</v>
          </cell>
          <cell r="D853" t="str">
            <v>تكاليف مشروع رأس الحكمة</v>
          </cell>
          <cell r="E853" t="str">
            <v xml:space="preserve">تكاليف العمليات </v>
          </cell>
        </row>
        <row r="854">
          <cell r="A854" t="str">
            <v>5100-32</v>
          </cell>
          <cell r="D854" t="str">
            <v>تكاليف مشروع رأس الحكمة</v>
          </cell>
          <cell r="E854" t="str">
            <v xml:space="preserve">تكاليف العمليات </v>
          </cell>
        </row>
        <row r="855">
          <cell r="A855" t="str">
            <v>5100-33</v>
          </cell>
          <cell r="D855" t="str">
            <v>تكاليف مشروع رأس الحكمة</v>
          </cell>
          <cell r="E855" t="str">
            <v xml:space="preserve">تكاليف العمليات </v>
          </cell>
        </row>
        <row r="856">
          <cell r="A856" t="str">
            <v>5100-34</v>
          </cell>
          <cell r="D856" t="str">
            <v>تكاليف مشروع رأس الحكمة</v>
          </cell>
          <cell r="E856" t="str">
            <v xml:space="preserve">تكاليف العمليات </v>
          </cell>
        </row>
        <row r="857">
          <cell r="A857">
            <v>5200</v>
          </cell>
          <cell r="C857" t="str">
            <v>تكاليف مشروع شقة هليوبوليس</v>
          </cell>
          <cell r="D857" t="str">
            <v>تكاليف مشروع شقة هليوبوليس</v>
          </cell>
          <cell r="E857" t="str">
            <v xml:space="preserve">تكاليف العمليات </v>
          </cell>
        </row>
        <row r="858">
          <cell r="A858" t="str">
            <v>5200-1</v>
          </cell>
          <cell r="C858" t="str">
            <v xml:space="preserve">تكلفة  المعاينة </v>
          </cell>
          <cell r="D858" t="str">
            <v>تكاليف مشروع شقة هليوبوليس</v>
          </cell>
          <cell r="E858" t="str">
            <v xml:space="preserve">تكاليف العمليات </v>
          </cell>
        </row>
        <row r="859">
          <cell r="A859" t="str">
            <v>5200-2</v>
          </cell>
          <cell r="C859" t="str">
            <v xml:space="preserve"> تكلفة الثري دي </v>
          </cell>
          <cell r="D859" t="str">
            <v>تكاليف مشروع شقة هليوبوليس</v>
          </cell>
          <cell r="E859" t="str">
            <v xml:space="preserve">تكاليف العمليات </v>
          </cell>
        </row>
        <row r="860">
          <cell r="A860" t="str">
            <v>5200-3</v>
          </cell>
          <cell r="C860" t="str">
            <v>اعمال التكسير والهدم والنظافة</v>
          </cell>
          <cell r="D860" t="str">
            <v>تكاليف مشروع شقة هليوبوليس</v>
          </cell>
          <cell r="E860" t="str">
            <v xml:space="preserve">تكاليف العمليات </v>
          </cell>
        </row>
        <row r="861">
          <cell r="A861" t="str">
            <v>5200-4</v>
          </cell>
          <cell r="C861" t="str">
            <v xml:space="preserve">اعمال انزال ونقل الراتش ونقل المخلفات </v>
          </cell>
          <cell r="D861" t="str">
            <v>تكاليف مشروع شقة هليوبوليس</v>
          </cell>
          <cell r="E861" t="str">
            <v xml:space="preserve">تكاليف العمليات </v>
          </cell>
        </row>
        <row r="862">
          <cell r="A862" t="str">
            <v>5200-5</v>
          </cell>
          <cell r="C862" t="str">
            <v>خامات ومصنعية أعمال المباني</v>
          </cell>
          <cell r="D862" t="str">
            <v>تكاليف مشروع شقة هليوبوليس</v>
          </cell>
          <cell r="E862" t="str">
            <v xml:space="preserve">تكاليف العمليات </v>
          </cell>
        </row>
        <row r="863">
          <cell r="A863" t="str">
            <v>5200-6</v>
          </cell>
          <cell r="C863" t="str">
            <v>خامات ومصنعية أعمال المحارة</v>
          </cell>
          <cell r="D863" t="str">
            <v>تكاليف مشروع شقة هليوبوليس</v>
          </cell>
          <cell r="E863" t="str">
            <v xml:space="preserve">تكاليف العمليات </v>
          </cell>
        </row>
        <row r="864">
          <cell r="A864" t="str">
            <v>5200-7</v>
          </cell>
          <cell r="C864" t="str">
            <v>خامات ومصنعية أعمال الجبس والديكورات</v>
          </cell>
          <cell r="D864" t="str">
            <v>تكاليف مشروع شقة هليوبوليس</v>
          </cell>
          <cell r="E864" t="str">
            <v xml:space="preserve">تكاليف العمليات </v>
          </cell>
        </row>
        <row r="865">
          <cell r="A865" t="str">
            <v>5200-8</v>
          </cell>
          <cell r="C865" t="str">
            <v>خامات ومصنعية أعمال الدهانات</v>
          </cell>
          <cell r="D865" t="str">
            <v>تكاليف مشروع شقة هليوبوليس</v>
          </cell>
          <cell r="E865" t="str">
            <v xml:space="preserve">تكاليف العمليات </v>
          </cell>
        </row>
        <row r="866">
          <cell r="A866" t="str">
            <v>5200-9</v>
          </cell>
          <cell r="C866" t="str">
            <v>خامات ومصنعية أعمال السيراميك</v>
          </cell>
          <cell r="D866" t="str">
            <v>تكاليف مشروع شقة هليوبوليس</v>
          </cell>
          <cell r="E866" t="str">
            <v xml:space="preserve">تكاليف العمليات </v>
          </cell>
        </row>
        <row r="867">
          <cell r="A867" t="str">
            <v>5200-10</v>
          </cell>
          <cell r="C867" t="str">
            <v>خامات ومصنعية أعمال الرخام</v>
          </cell>
          <cell r="D867" t="str">
            <v>تكاليف مشروع شقة هليوبوليس</v>
          </cell>
          <cell r="E867" t="str">
            <v xml:space="preserve">تكاليف العمليات </v>
          </cell>
        </row>
        <row r="868">
          <cell r="A868" t="str">
            <v>5200-11</v>
          </cell>
          <cell r="C868" t="str">
            <v>خامات ومصنعية بند الكهرباء</v>
          </cell>
          <cell r="D868" t="str">
            <v>تكاليف مشروع شقة هليوبوليس</v>
          </cell>
          <cell r="E868" t="str">
            <v xml:space="preserve">تكاليف العمليات </v>
          </cell>
        </row>
        <row r="869">
          <cell r="A869" t="str">
            <v>5200-12</v>
          </cell>
          <cell r="C869" t="str">
            <v>خامات ومصنعية بند السباكة والصحي</v>
          </cell>
          <cell r="D869" t="str">
            <v>تكاليف مشروع شقة هليوبوليس</v>
          </cell>
          <cell r="E869" t="str">
            <v xml:space="preserve">تكاليف العمليات </v>
          </cell>
        </row>
        <row r="870">
          <cell r="A870" t="str">
            <v>5200-13</v>
          </cell>
          <cell r="C870" t="str">
            <v>خامات ومصنعية أعمال التكييف</v>
          </cell>
          <cell r="D870" t="str">
            <v>تكاليف مشروع شقة هليوبوليس</v>
          </cell>
          <cell r="E870" t="str">
            <v xml:space="preserve">تكاليف العمليات </v>
          </cell>
        </row>
        <row r="871">
          <cell r="A871" t="str">
            <v>5200-14</v>
          </cell>
          <cell r="C871" t="str">
            <v>خامات ومصنعية أعمال النجارة والأبواب</v>
          </cell>
          <cell r="D871" t="str">
            <v>تكاليف مشروع شقة هليوبوليس</v>
          </cell>
          <cell r="E871" t="str">
            <v xml:space="preserve">تكاليف العمليات </v>
          </cell>
        </row>
        <row r="872">
          <cell r="A872" t="str">
            <v>5200-15</v>
          </cell>
          <cell r="C872" t="str">
            <v>خامات ومصنعية أعمال المطابخ</v>
          </cell>
          <cell r="D872" t="str">
            <v>تكاليف مشروع شقة هليوبوليس</v>
          </cell>
          <cell r="E872" t="str">
            <v xml:space="preserve">تكاليف العمليات </v>
          </cell>
        </row>
        <row r="873">
          <cell r="A873" t="str">
            <v>5200-16</v>
          </cell>
          <cell r="C873" t="str">
            <v>خامات ومصنعية أعمال الألوميتال والكيريتال</v>
          </cell>
          <cell r="D873" t="str">
            <v>تكاليف مشروع شقة هليوبوليس</v>
          </cell>
          <cell r="E873" t="str">
            <v xml:space="preserve">تكاليف العمليات </v>
          </cell>
        </row>
        <row r="874">
          <cell r="A874" t="str">
            <v>5200-17</v>
          </cell>
          <cell r="C874" t="str">
            <v>خامات ومصنعية أعمال الزجاج والسكوريت</v>
          </cell>
          <cell r="D874" t="str">
            <v>تكاليف مشروع شقة هليوبوليس</v>
          </cell>
          <cell r="E874" t="str">
            <v xml:space="preserve">تكاليف العمليات </v>
          </cell>
        </row>
        <row r="875">
          <cell r="A875" t="str">
            <v>5200-18</v>
          </cell>
          <cell r="C875" t="str">
            <v>خامات ومصنعية أعمال الشاتر</v>
          </cell>
          <cell r="D875" t="str">
            <v>تكاليف مشروع شقة هليوبوليس</v>
          </cell>
          <cell r="E875" t="str">
            <v xml:space="preserve">تكاليف العمليات </v>
          </cell>
        </row>
        <row r="876">
          <cell r="A876" t="str">
            <v>5200-19</v>
          </cell>
          <cell r="C876" t="str">
            <v>خامات ومصنعية أعمال المرايات</v>
          </cell>
          <cell r="D876" t="str">
            <v>تكاليف مشروع شقة هليوبوليس</v>
          </cell>
          <cell r="E876" t="str">
            <v xml:space="preserve">تكاليف العمليات </v>
          </cell>
        </row>
        <row r="877">
          <cell r="A877" t="str">
            <v>5200-20</v>
          </cell>
          <cell r="C877" t="str">
            <v>خامات ومصنعية أعمال العزل</v>
          </cell>
          <cell r="D877" t="str">
            <v>تكاليف مشروع شقة هليوبوليس</v>
          </cell>
          <cell r="E877" t="str">
            <v xml:space="preserve">تكاليف العمليات </v>
          </cell>
        </row>
        <row r="878">
          <cell r="A878" t="str">
            <v>5200-21</v>
          </cell>
          <cell r="C878" t="str">
            <v>خامات ومصنعية أعمال الشفاطات</v>
          </cell>
          <cell r="D878" t="str">
            <v>تكاليف مشروع شقة هليوبوليس</v>
          </cell>
          <cell r="E878" t="str">
            <v xml:space="preserve">تكاليف العمليات </v>
          </cell>
        </row>
        <row r="879">
          <cell r="A879" t="str">
            <v>5200-22</v>
          </cell>
          <cell r="C879" t="str">
            <v>خامات ومصنعية أعمال النجف والإضاءة</v>
          </cell>
          <cell r="D879" t="str">
            <v>تكاليف مشروع شقة هليوبوليس</v>
          </cell>
          <cell r="E879" t="str">
            <v xml:space="preserve">تكاليف العمليات </v>
          </cell>
        </row>
        <row r="880">
          <cell r="A880" t="str">
            <v>5200-23</v>
          </cell>
          <cell r="C880" t="str">
            <v>خامات ومصنعية أعمال اللاند سكيب</v>
          </cell>
          <cell r="D880" t="str">
            <v>تكاليف مشروع شقة هليوبوليس</v>
          </cell>
          <cell r="E880" t="str">
            <v xml:space="preserve">تكاليف العمليات </v>
          </cell>
        </row>
        <row r="881">
          <cell r="A881" t="str">
            <v>5200-24</v>
          </cell>
          <cell r="C881" t="str">
            <v>خامات ومصنعية أعمال الأرضيات الخشبية</v>
          </cell>
          <cell r="D881" t="str">
            <v>تكاليف مشروع شقة هليوبوليس</v>
          </cell>
          <cell r="E881" t="str">
            <v xml:space="preserve">تكاليف العمليات </v>
          </cell>
        </row>
        <row r="882">
          <cell r="A882" t="str">
            <v>5200-25</v>
          </cell>
          <cell r="C882" t="str">
            <v>خامات ومصنعية أعمال الستائر</v>
          </cell>
          <cell r="D882" t="str">
            <v>تكاليف مشروع شقة هليوبوليس</v>
          </cell>
          <cell r="E882" t="str">
            <v xml:space="preserve">تكاليف العمليات </v>
          </cell>
        </row>
        <row r="883">
          <cell r="A883" t="str">
            <v>5200-26</v>
          </cell>
          <cell r="C883" t="str">
            <v>خامات ومصنعية أعمال الأثاث</v>
          </cell>
          <cell r="D883" t="str">
            <v>تكاليف مشروع شقة هليوبوليس</v>
          </cell>
          <cell r="E883" t="str">
            <v xml:space="preserve">تكاليف العمليات </v>
          </cell>
        </row>
        <row r="884">
          <cell r="A884" t="str">
            <v>5200-27</v>
          </cell>
          <cell r="C884" t="str">
            <v>خامات ومصنعية أعمال النقل والتشوين</v>
          </cell>
          <cell r="D884" t="str">
            <v>تكاليف مشروع شقة هليوبوليس</v>
          </cell>
          <cell r="E884" t="str">
            <v xml:space="preserve">تكاليف العمليات </v>
          </cell>
        </row>
        <row r="885">
          <cell r="A885" t="str">
            <v>5200-28</v>
          </cell>
          <cell r="C885" t="str">
            <v>رسوم وتصاريح المشروع واكراميات</v>
          </cell>
          <cell r="D885" t="str">
            <v>تكاليف مشروع شقة هليوبوليس</v>
          </cell>
          <cell r="E885" t="str">
            <v xml:space="preserve">تكاليف العمليات </v>
          </cell>
        </row>
        <row r="886">
          <cell r="A886" t="str">
            <v>5200-29</v>
          </cell>
          <cell r="C886" t="str">
            <v>عمالة ويوميات مباشرة</v>
          </cell>
          <cell r="D886" t="str">
            <v>تكاليف مشروع شقة هليوبوليس</v>
          </cell>
          <cell r="E886" t="str">
            <v xml:space="preserve">تكاليف العمليات </v>
          </cell>
        </row>
        <row r="887">
          <cell r="A887" t="str">
            <v>5200-30</v>
          </cell>
          <cell r="D887" t="str">
            <v>تكاليف مشروع شقة هليوبوليس</v>
          </cell>
          <cell r="E887" t="str">
            <v xml:space="preserve">تكاليف العمليات </v>
          </cell>
        </row>
        <row r="888">
          <cell r="A888" t="str">
            <v>5200-31</v>
          </cell>
          <cell r="D888" t="str">
            <v>تكاليف مشروع شقة هليوبوليس</v>
          </cell>
          <cell r="E888" t="str">
            <v xml:space="preserve">تكاليف العمليات </v>
          </cell>
        </row>
        <row r="889">
          <cell r="A889" t="str">
            <v>5200-32</v>
          </cell>
          <cell r="D889" t="str">
            <v>تكاليف مشروع شقة هليوبوليس</v>
          </cell>
          <cell r="E889" t="str">
            <v xml:space="preserve">تكاليف العمليات </v>
          </cell>
        </row>
        <row r="890">
          <cell r="A890" t="str">
            <v>5200-33</v>
          </cell>
          <cell r="D890" t="str">
            <v>تكاليف مشروع شقة هليوبوليس</v>
          </cell>
          <cell r="E890" t="str">
            <v xml:space="preserve">تكاليف العمليات </v>
          </cell>
        </row>
        <row r="891">
          <cell r="A891" t="str">
            <v>5200-34</v>
          </cell>
          <cell r="D891" t="str">
            <v>تكاليف مشروع شقة هليوبوليس</v>
          </cell>
          <cell r="E891" t="str">
            <v xml:space="preserve">تكاليف العمليات </v>
          </cell>
        </row>
        <row r="892">
          <cell r="A892">
            <v>398</v>
          </cell>
          <cell r="C892" t="str">
            <v>تكاليف مشروع وصال العشري 398</v>
          </cell>
          <cell r="D892" t="str">
            <v>تكاليف مشروع وصال العشري 398</v>
          </cell>
          <cell r="E892" t="str">
            <v xml:space="preserve">تكاليف العمليات </v>
          </cell>
        </row>
        <row r="893">
          <cell r="A893" t="str">
            <v>398-1</v>
          </cell>
          <cell r="C893" t="str">
            <v xml:space="preserve">تكلفة  المعاينة </v>
          </cell>
          <cell r="D893" t="str">
            <v>تكاليف مشروع وصال العشري 398</v>
          </cell>
          <cell r="E893" t="str">
            <v xml:space="preserve">تكاليف العمليات </v>
          </cell>
        </row>
        <row r="894">
          <cell r="A894" t="str">
            <v>398-2</v>
          </cell>
          <cell r="C894" t="str">
            <v xml:space="preserve"> تكلفة الثري دي </v>
          </cell>
          <cell r="D894" t="str">
            <v>تكاليف مشروع وصال العشري 398</v>
          </cell>
          <cell r="E894" t="str">
            <v xml:space="preserve">تكاليف العمليات </v>
          </cell>
        </row>
        <row r="895">
          <cell r="A895" t="str">
            <v>398-3</v>
          </cell>
          <cell r="C895" t="str">
            <v>اعمال التكسير والهدم والنظافة</v>
          </cell>
          <cell r="D895" t="str">
            <v>تكاليف مشروع وصال العشري 398</v>
          </cell>
          <cell r="E895" t="str">
            <v xml:space="preserve">تكاليف العمليات </v>
          </cell>
        </row>
        <row r="896">
          <cell r="A896" t="str">
            <v>398-4</v>
          </cell>
          <cell r="C896" t="str">
            <v xml:space="preserve">اعمال انزال ونقل الراتش ونقل المخلفات </v>
          </cell>
          <cell r="D896" t="str">
            <v>تكاليف مشروع وصال العشري 398</v>
          </cell>
          <cell r="E896" t="str">
            <v xml:space="preserve">تكاليف العمليات </v>
          </cell>
        </row>
        <row r="897">
          <cell r="A897" t="str">
            <v>398-5</v>
          </cell>
          <cell r="C897" t="str">
            <v>خامات ومصنعية أعمال المباني</v>
          </cell>
          <cell r="D897" t="str">
            <v>تكاليف مشروع وصال العشري 398</v>
          </cell>
          <cell r="E897" t="str">
            <v xml:space="preserve">تكاليف العمليات </v>
          </cell>
        </row>
        <row r="898">
          <cell r="A898" t="str">
            <v>398-6</v>
          </cell>
          <cell r="C898" t="str">
            <v>خامات ومصنعية أعمال المحارة</v>
          </cell>
          <cell r="D898" t="str">
            <v>تكاليف مشروع وصال العشري 398</v>
          </cell>
          <cell r="E898" t="str">
            <v xml:space="preserve">تكاليف العمليات </v>
          </cell>
        </row>
        <row r="899">
          <cell r="A899" t="str">
            <v>398-7</v>
          </cell>
          <cell r="C899" t="str">
            <v>خامات ومصنعية أعمال الجبس والديكورات</v>
          </cell>
          <cell r="D899" t="str">
            <v>تكاليف مشروع وصال العشري 398</v>
          </cell>
          <cell r="E899" t="str">
            <v xml:space="preserve">تكاليف العمليات </v>
          </cell>
        </row>
        <row r="900">
          <cell r="A900" t="str">
            <v>398-8</v>
          </cell>
          <cell r="C900" t="str">
            <v>خامات ومصنعية أعمال الدهانات</v>
          </cell>
          <cell r="D900" t="str">
            <v>تكاليف مشروع وصال العشري 398</v>
          </cell>
          <cell r="E900" t="str">
            <v xml:space="preserve">تكاليف العمليات </v>
          </cell>
        </row>
        <row r="901">
          <cell r="A901" t="str">
            <v>398-9</v>
          </cell>
          <cell r="C901" t="str">
            <v>خامات ومصنعية أعمال السيراميك</v>
          </cell>
          <cell r="D901" t="str">
            <v>تكاليف مشروع وصال العشري 398</v>
          </cell>
          <cell r="E901" t="str">
            <v xml:space="preserve">تكاليف العمليات </v>
          </cell>
        </row>
        <row r="902">
          <cell r="A902" t="str">
            <v>398-10</v>
          </cell>
          <cell r="C902" t="str">
            <v>خامات ومصنعية أعمال الرخام</v>
          </cell>
          <cell r="D902" t="str">
            <v>تكاليف مشروع وصال العشري 398</v>
          </cell>
          <cell r="E902" t="str">
            <v xml:space="preserve">تكاليف العمليات </v>
          </cell>
        </row>
        <row r="903">
          <cell r="A903" t="str">
            <v>398-11</v>
          </cell>
          <cell r="C903" t="str">
            <v>خامات ومصنعية بند الكهرباء</v>
          </cell>
          <cell r="D903" t="str">
            <v>تكاليف مشروع وصال العشري 398</v>
          </cell>
          <cell r="E903" t="str">
            <v xml:space="preserve">تكاليف العمليات </v>
          </cell>
        </row>
        <row r="904">
          <cell r="A904" t="str">
            <v>398-12</v>
          </cell>
          <cell r="C904" t="str">
            <v>خامات ومصنعية بند السباكة والصحي</v>
          </cell>
          <cell r="D904" t="str">
            <v>تكاليف مشروع وصال العشري 398</v>
          </cell>
          <cell r="E904" t="str">
            <v xml:space="preserve">تكاليف العمليات </v>
          </cell>
        </row>
        <row r="905">
          <cell r="A905" t="str">
            <v>398-13</v>
          </cell>
          <cell r="C905" t="str">
            <v>خامات ومصنعية أعمال التكييف</v>
          </cell>
          <cell r="D905" t="str">
            <v>تكاليف مشروع وصال العشري 398</v>
          </cell>
          <cell r="E905" t="str">
            <v xml:space="preserve">تكاليف العمليات </v>
          </cell>
        </row>
        <row r="906">
          <cell r="A906" t="str">
            <v>398-14</v>
          </cell>
          <cell r="C906" t="str">
            <v>خامات ومصنعية أعمال النجارة والأبواب</v>
          </cell>
          <cell r="D906" t="str">
            <v>تكاليف مشروع وصال العشري 398</v>
          </cell>
          <cell r="E906" t="str">
            <v xml:space="preserve">تكاليف العمليات </v>
          </cell>
        </row>
        <row r="907">
          <cell r="A907" t="str">
            <v>398-15</v>
          </cell>
          <cell r="C907" t="str">
            <v>خامات ومصنعية أعمال المطابخ</v>
          </cell>
          <cell r="D907" t="str">
            <v>تكاليف مشروع وصال العشري 398</v>
          </cell>
          <cell r="E907" t="str">
            <v xml:space="preserve">تكاليف العمليات </v>
          </cell>
        </row>
        <row r="908">
          <cell r="A908" t="str">
            <v>398-16</v>
          </cell>
          <cell r="C908" t="str">
            <v>خامات ومصنعية أعمال الألوميتال</v>
          </cell>
          <cell r="D908" t="str">
            <v>تكاليف مشروع وصال العشري 398</v>
          </cell>
          <cell r="E908" t="str">
            <v xml:space="preserve">تكاليف العمليات </v>
          </cell>
        </row>
        <row r="909">
          <cell r="A909" t="str">
            <v>398-17</v>
          </cell>
          <cell r="C909" t="str">
            <v>خامات ومصنعية أعمال الزجاج والسكوريت</v>
          </cell>
          <cell r="D909" t="str">
            <v>تكاليف مشروع وصال العشري 398</v>
          </cell>
          <cell r="E909" t="str">
            <v xml:space="preserve">تكاليف العمليات </v>
          </cell>
        </row>
        <row r="910">
          <cell r="A910" t="str">
            <v>398-18</v>
          </cell>
          <cell r="C910" t="str">
            <v>خامات ومصنعية أعمال الشاتر</v>
          </cell>
          <cell r="D910" t="str">
            <v>تكاليف مشروع وصال العشري 398</v>
          </cell>
          <cell r="E910" t="str">
            <v xml:space="preserve">تكاليف العمليات </v>
          </cell>
        </row>
        <row r="911">
          <cell r="A911" t="str">
            <v>398-19</v>
          </cell>
          <cell r="C911" t="str">
            <v>خامات ومصنعية أعمال المرايات</v>
          </cell>
          <cell r="D911" t="str">
            <v>تكاليف مشروع وصال العشري 398</v>
          </cell>
          <cell r="E911" t="str">
            <v xml:space="preserve">تكاليف العمليات </v>
          </cell>
        </row>
        <row r="912">
          <cell r="A912" t="str">
            <v>398-20</v>
          </cell>
          <cell r="C912" t="str">
            <v>خامات ومصنعية أعمال العزل</v>
          </cell>
          <cell r="D912" t="str">
            <v>تكاليف مشروع وصال العشري 398</v>
          </cell>
          <cell r="E912" t="str">
            <v xml:space="preserve">تكاليف العمليات </v>
          </cell>
        </row>
        <row r="913">
          <cell r="A913" t="str">
            <v>398-21</v>
          </cell>
          <cell r="C913" t="str">
            <v>خامات ومصنعية أعمال الشفاطات</v>
          </cell>
          <cell r="D913" t="str">
            <v>تكاليف مشروع وصال العشري 398</v>
          </cell>
          <cell r="E913" t="str">
            <v xml:space="preserve">تكاليف العمليات </v>
          </cell>
        </row>
        <row r="914">
          <cell r="A914" t="str">
            <v>398-22</v>
          </cell>
          <cell r="C914" t="str">
            <v>خامات ومصنعية أعمال النجف والإضاءة</v>
          </cell>
          <cell r="D914" t="str">
            <v>تكاليف مشروع وصال العشري 398</v>
          </cell>
          <cell r="E914" t="str">
            <v xml:space="preserve">تكاليف العمليات </v>
          </cell>
        </row>
        <row r="915">
          <cell r="A915" t="str">
            <v>398-23</v>
          </cell>
          <cell r="C915" t="str">
            <v>خامات ومصنعية أعمال اللاند سكيب</v>
          </cell>
          <cell r="D915" t="str">
            <v>تكاليف مشروع وصال العشري 398</v>
          </cell>
          <cell r="E915" t="str">
            <v xml:space="preserve">تكاليف العمليات </v>
          </cell>
        </row>
        <row r="916">
          <cell r="A916" t="str">
            <v>398-24</v>
          </cell>
          <cell r="C916" t="str">
            <v>خامات ومصنعية أعمال الأرضيات الخشبية</v>
          </cell>
          <cell r="D916" t="str">
            <v>تكاليف مشروع وصال العشري 398</v>
          </cell>
          <cell r="E916" t="str">
            <v xml:space="preserve">تكاليف العمليات </v>
          </cell>
        </row>
        <row r="917">
          <cell r="A917" t="str">
            <v>398-25</v>
          </cell>
          <cell r="C917" t="str">
            <v>خامات ومصنعية أعمال الستائر</v>
          </cell>
          <cell r="D917" t="str">
            <v>تكاليف مشروع وصال العشري 398</v>
          </cell>
          <cell r="E917" t="str">
            <v xml:space="preserve">تكاليف العمليات </v>
          </cell>
        </row>
        <row r="918">
          <cell r="A918" t="str">
            <v>398-26</v>
          </cell>
          <cell r="C918" t="str">
            <v>خامات ومصنعية أعمال الأثاث</v>
          </cell>
          <cell r="D918" t="str">
            <v>تكاليف مشروع وصال العشري 398</v>
          </cell>
          <cell r="E918" t="str">
            <v xml:space="preserve">تكاليف العمليات </v>
          </cell>
        </row>
        <row r="919">
          <cell r="A919" t="str">
            <v>398-27</v>
          </cell>
          <cell r="C919" t="str">
            <v>خامات ومصنعية أعمال النقل والتشوين</v>
          </cell>
          <cell r="D919" t="str">
            <v>تكاليف مشروع وصال العشري 398</v>
          </cell>
          <cell r="E919" t="str">
            <v xml:space="preserve">تكاليف العمليات </v>
          </cell>
        </row>
        <row r="920">
          <cell r="A920" t="str">
            <v>398-28</v>
          </cell>
          <cell r="C920" t="str">
            <v>رسوم وتصاريح المشروع واكراميات</v>
          </cell>
          <cell r="D920" t="str">
            <v>تكاليف مشروع وصال العشري 398</v>
          </cell>
          <cell r="E920" t="str">
            <v xml:space="preserve">تكاليف العمليات </v>
          </cell>
        </row>
        <row r="921">
          <cell r="A921" t="str">
            <v>398-29</v>
          </cell>
          <cell r="C921" t="str">
            <v>عمالة ويوميات مباشرة</v>
          </cell>
          <cell r="D921" t="str">
            <v>تكاليف مشروع وصال العشري 398</v>
          </cell>
          <cell r="E921" t="str">
            <v xml:space="preserve">تكاليف العمليات </v>
          </cell>
        </row>
        <row r="922">
          <cell r="A922" t="str">
            <v>398-30</v>
          </cell>
          <cell r="D922" t="str">
            <v>تكاليف مشروع وصال العشري 398</v>
          </cell>
          <cell r="E922" t="str">
            <v xml:space="preserve">تكاليف العمليات </v>
          </cell>
        </row>
        <row r="923">
          <cell r="A923" t="str">
            <v>398-31</v>
          </cell>
          <cell r="D923" t="str">
            <v>تكاليف مشروع وصال العشري 398</v>
          </cell>
          <cell r="E923" t="str">
            <v xml:space="preserve">تكاليف العمليات </v>
          </cell>
        </row>
        <row r="924">
          <cell r="A924" t="str">
            <v>398-32</v>
          </cell>
          <cell r="D924" t="str">
            <v>تكاليف مشروع وصال العشري 398</v>
          </cell>
          <cell r="E924" t="str">
            <v xml:space="preserve">تكاليف العمليات </v>
          </cell>
        </row>
        <row r="925">
          <cell r="A925" t="str">
            <v>398-33</v>
          </cell>
          <cell r="D925" t="str">
            <v>تكاليف مشروع وصال العشري 398</v>
          </cell>
          <cell r="E925" t="str">
            <v xml:space="preserve">تكاليف العمليات </v>
          </cell>
        </row>
        <row r="926">
          <cell r="A926" t="str">
            <v>398-34</v>
          </cell>
          <cell r="D926" t="str">
            <v>تكاليف مشروع وصال العشري 398</v>
          </cell>
          <cell r="E926" t="str">
            <v xml:space="preserve">تكاليف العمليات </v>
          </cell>
        </row>
        <row r="927">
          <cell r="E927" t="str">
            <v xml:space="preserve">تكاليف العمليات </v>
          </cell>
        </row>
        <row r="928">
          <cell r="C928" t="str">
            <v xml:space="preserve">تكلفة  المعاينة </v>
          </cell>
          <cell r="E928" t="str">
            <v xml:space="preserve">تكاليف العمليات </v>
          </cell>
        </row>
        <row r="929">
          <cell r="C929" t="str">
            <v xml:space="preserve"> تكلفة الثري دي </v>
          </cell>
          <cell r="E929" t="str">
            <v xml:space="preserve">تكاليف العمليات </v>
          </cell>
        </row>
        <row r="930">
          <cell r="C930" t="str">
            <v xml:space="preserve">اعمال التكسير والهدم </v>
          </cell>
          <cell r="E930" t="str">
            <v xml:space="preserve">تكاليف العمليات </v>
          </cell>
        </row>
        <row r="931">
          <cell r="C931" t="str">
            <v xml:space="preserve">اعمال انزال ونقل الراتش ونقل المخلفات </v>
          </cell>
          <cell r="E931" t="str">
            <v xml:space="preserve">تكاليف العمليات </v>
          </cell>
        </row>
        <row r="932">
          <cell r="C932" t="str">
            <v>خامات ومصنعية أعمال المباني</v>
          </cell>
          <cell r="E932" t="str">
            <v xml:space="preserve">تكاليف العمليات </v>
          </cell>
        </row>
        <row r="933">
          <cell r="C933" t="str">
            <v>خامات ومصنعية أعمال المحارة</v>
          </cell>
          <cell r="E933" t="str">
            <v xml:space="preserve">تكاليف العمليات </v>
          </cell>
        </row>
        <row r="934">
          <cell r="C934" t="str">
            <v>خامات ومصنعية أعمال الجبس والديكورات</v>
          </cell>
          <cell r="E934" t="str">
            <v xml:space="preserve">تكاليف العمليات </v>
          </cell>
        </row>
        <row r="935">
          <cell r="C935" t="str">
            <v>خامات ومصنعية أعمال الدهانات</v>
          </cell>
          <cell r="E935" t="str">
            <v xml:space="preserve">تكاليف العمليات </v>
          </cell>
        </row>
        <row r="936">
          <cell r="C936" t="str">
            <v>خامات ومصنعية أعمال السيراميك</v>
          </cell>
          <cell r="E936" t="str">
            <v xml:space="preserve">تكاليف العمليات </v>
          </cell>
        </row>
        <row r="937">
          <cell r="C937" t="str">
            <v>خامات ومصنعية أعمال الرخام</v>
          </cell>
          <cell r="E937" t="str">
            <v xml:space="preserve">تكاليف العمليات </v>
          </cell>
        </row>
        <row r="938">
          <cell r="C938" t="str">
            <v>خامات ومصنعية بند الكهرباء</v>
          </cell>
          <cell r="E938" t="str">
            <v xml:space="preserve">تكاليف العمليات </v>
          </cell>
        </row>
        <row r="939">
          <cell r="C939" t="str">
            <v>خامات ومصنعية بند السباكة والصحي</v>
          </cell>
          <cell r="E939" t="str">
            <v xml:space="preserve">تكاليف العمليات </v>
          </cell>
        </row>
        <row r="940">
          <cell r="C940" t="str">
            <v>خامات ومصنعية أعمال التكييف</v>
          </cell>
          <cell r="E940" t="str">
            <v xml:space="preserve">تكاليف العمليات </v>
          </cell>
        </row>
        <row r="941">
          <cell r="C941" t="str">
            <v>خامات ومصنعية أعمال النجارة والأبواب</v>
          </cell>
          <cell r="E941" t="str">
            <v xml:space="preserve">تكاليف العمليات </v>
          </cell>
        </row>
        <row r="942">
          <cell r="C942" t="str">
            <v>خامات ومصنعية أعمال المطابخ</v>
          </cell>
          <cell r="E942" t="str">
            <v xml:space="preserve">تكاليف العمليات </v>
          </cell>
        </row>
        <row r="943">
          <cell r="C943" t="str">
            <v>خامات ومصنعية أعمال الألوميتال</v>
          </cell>
          <cell r="E943" t="str">
            <v xml:space="preserve">تكاليف العمليات </v>
          </cell>
        </row>
        <row r="944">
          <cell r="C944" t="str">
            <v>خامات ومصنعية أعمال الزجاج والسكوريت</v>
          </cell>
          <cell r="E944" t="str">
            <v xml:space="preserve">تكاليف العمليات </v>
          </cell>
        </row>
        <row r="945">
          <cell r="C945" t="str">
            <v>خامات ومصنعية أعمال الشاتر</v>
          </cell>
          <cell r="E945" t="str">
            <v xml:space="preserve">تكاليف العمليات </v>
          </cell>
        </row>
        <row r="946">
          <cell r="C946" t="str">
            <v>خامات ومصنعية أعمال المرايات</v>
          </cell>
          <cell r="E946" t="str">
            <v xml:space="preserve">تكاليف العمليات </v>
          </cell>
        </row>
        <row r="947">
          <cell r="C947" t="str">
            <v>خامات ومصنعية أعمال العزل</v>
          </cell>
          <cell r="E947" t="str">
            <v xml:space="preserve">تكاليف العمليات </v>
          </cell>
        </row>
        <row r="948">
          <cell r="C948" t="str">
            <v>خامات ومصنعية أعمال الشفاطات</v>
          </cell>
          <cell r="E948" t="str">
            <v xml:space="preserve">تكاليف العمليات </v>
          </cell>
        </row>
        <row r="949">
          <cell r="C949" t="str">
            <v>خامات ومصنعية أعمال النجف والإضاءة</v>
          </cell>
          <cell r="E949" t="str">
            <v xml:space="preserve">تكاليف العمليات </v>
          </cell>
        </row>
        <row r="950">
          <cell r="C950" t="str">
            <v>خامات ومصنعية أعمال اللاند سكيب</v>
          </cell>
          <cell r="E950" t="str">
            <v xml:space="preserve">تكاليف العمليات </v>
          </cell>
        </row>
        <row r="951">
          <cell r="C951" t="str">
            <v>خامات ومصنعية أعمال الأرضيات الخشبية</v>
          </cell>
          <cell r="E951" t="str">
            <v xml:space="preserve">تكاليف العمليات </v>
          </cell>
        </row>
        <row r="952">
          <cell r="C952" t="str">
            <v>خامات ومصنعية أعمال الستائر</v>
          </cell>
          <cell r="E952" t="str">
            <v xml:space="preserve">تكاليف العمليات </v>
          </cell>
        </row>
        <row r="953">
          <cell r="C953" t="str">
            <v>خامات ومصنعية أعمال الأثاث</v>
          </cell>
          <cell r="E953" t="str">
            <v xml:space="preserve">تكاليف العمليات </v>
          </cell>
        </row>
        <row r="954">
          <cell r="C954" t="str">
            <v>خامات ومصنعية أعمال النقل والتشوين</v>
          </cell>
          <cell r="E954" t="str">
            <v xml:space="preserve">تكاليف العمليات </v>
          </cell>
        </row>
        <row r="955">
          <cell r="C955" t="str">
            <v>رسوم وتصاريح المشروع</v>
          </cell>
          <cell r="E955" t="str">
            <v xml:space="preserve">تكاليف العمليات </v>
          </cell>
        </row>
        <row r="956">
          <cell r="C956" t="str">
            <v>عمالة ويوميات مباشرة</v>
          </cell>
          <cell r="E956" t="str">
            <v xml:space="preserve">تكاليف العمليات </v>
          </cell>
        </row>
        <row r="957">
          <cell r="E957" t="str">
            <v xml:space="preserve">تكاليف العمليات </v>
          </cell>
        </row>
        <row r="958">
          <cell r="E958" t="str">
            <v xml:space="preserve">تكاليف العمليات </v>
          </cell>
        </row>
        <row r="959">
          <cell r="E959" t="str">
            <v xml:space="preserve">تكاليف العمليات </v>
          </cell>
        </row>
        <row r="960">
          <cell r="E960" t="str">
            <v xml:space="preserve">تكاليف العمليات </v>
          </cell>
        </row>
        <row r="961">
          <cell r="E961" t="str">
            <v xml:space="preserve">تكاليف العمليات </v>
          </cell>
        </row>
        <row r="962">
          <cell r="E962" t="str">
            <v xml:space="preserve">تكاليف العمليات </v>
          </cell>
        </row>
        <row r="963">
          <cell r="C963" t="str">
            <v xml:space="preserve">تكلفة  المعاينة </v>
          </cell>
          <cell r="E963" t="str">
            <v xml:space="preserve">تكاليف العمليات </v>
          </cell>
        </row>
        <row r="964">
          <cell r="C964" t="str">
            <v xml:space="preserve"> تكلفة الثري دي </v>
          </cell>
          <cell r="E964" t="str">
            <v xml:space="preserve">تكاليف العمليات </v>
          </cell>
        </row>
        <row r="965">
          <cell r="C965" t="str">
            <v xml:space="preserve">اعمال التكسير والهدم </v>
          </cell>
          <cell r="E965" t="str">
            <v xml:space="preserve">تكاليف العمليات </v>
          </cell>
        </row>
        <row r="966">
          <cell r="C966" t="str">
            <v xml:space="preserve">اعمال انزال ونقل الراتش ونقل المخلفات </v>
          </cell>
          <cell r="E966" t="str">
            <v xml:space="preserve">تكاليف العمليات </v>
          </cell>
        </row>
        <row r="967">
          <cell r="C967" t="str">
            <v>خامات ومصنعية أعمال المباني</v>
          </cell>
          <cell r="E967" t="str">
            <v xml:space="preserve">تكاليف العمليات </v>
          </cell>
        </row>
        <row r="968">
          <cell r="C968" t="str">
            <v>خامات ومصنعية أعمال المحارة</v>
          </cell>
          <cell r="E968" t="str">
            <v xml:space="preserve">تكاليف العمليات </v>
          </cell>
        </row>
        <row r="969">
          <cell r="C969" t="str">
            <v>خامات ومصنعية أعمال الجبس والديكورات</v>
          </cell>
          <cell r="E969" t="str">
            <v xml:space="preserve">تكاليف العمليات </v>
          </cell>
        </row>
        <row r="970">
          <cell r="C970" t="str">
            <v>خامات ومصنعية أعمال الدهانات</v>
          </cell>
          <cell r="E970" t="str">
            <v xml:space="preserve">تكاليف العمليات </v>
          </cell>
        </row>
        <row r="971">
          <cell r="C971" t="str">
            <v>خامات ومصنعية أعمال السيراميك</v>
          </cell>
          <cell r="E971" t="str">
            <v xml:space="preserve">تكاليف العمليات </v>
          </cell>
        </row>
        <row r="972">
          <cell r="C972" t="str">
            <v>خامات ومصنعية أعمال الرخام</v>
          </cell>
          <cell r="E972" t="str">
            <v xml:space="preserve">تكاليف العمليات </v>
          </cell>
        </row>
        <row r="973">
          <cell r="C973" t="str">
            <v>خامات ومصنعية بند الكهرباء</v>
          </cell>
          <cell r="E973" t="str">
            <v xml:space="preserve">تكاليف العمليات </v>
          </cell>
        </row>
        <row r="974">
          <cell r="C974" t="str">
            <v>خامات ومصنعية بند السباكة والصحي</v>
          </cell>
          <cell r="E974" t="str">
            <v xml:space="preserve">تكاليف العمليات </v>
          </cell>
        </row>
        <row r="975">
          <cell r="C975" t="str">
            <v>خامات ومصنعية أعمال التكييف</v>
          </cell>
          <cell r="E975" t="str">
            <v xml:space="preserve">تكاليف العمليات </v>
          </cell>
        </row>
        <row r="976">
          <cell r="C976" t="str">
            <v>خامات ومصنعية أعمال النجارة والأبواب</v>
          </cell>
          <cell r="E976" t="str">
            <v xml:space="preserve">تكاليف العمليات </v>
          </cell>
        </row>
        <row r="977">
          <cell r="C977" t="str">
            <v>خامات ومصنعية أعمال المطابخ</v>
          </cell>
          <cell r="E977" t="str">
            <v xml:space="preserve">تكاليف العمليات </v>
          </cell>
        </row>
        <row r="978">
          <cell r="C978" t="str">
            <v>خامات ومصنعية أعمال الألوميتال</v>
          </cell>
          <cell r="E978" t="str">
            <v xml:space="preserve">تكاليف العمليات </v>
          </cell>
        </row>
        <row r="979">
          <cell r="C979" t="str">
            <v>خامات ومصنعية أعمال الزجاج والسكوريت</v>
          </cell>
          <cell r="E979" t="str">
            <v xml:space="preserve">تكاليف العمليات </v>
          </cell>
        </row>
        <row r="980">
          <cell r="C980" t="str">
            <v>خامات ومصنعية أعمال الشاتر</v>
          </cell>
          <cell r="E980" t="str">
            <v xml:space="preserve">تكاليف العمليات </v>
          </cell>
        </row>
        <row r="981">
          <cell r="C981" t="str">
            <v>خامات ومصنعية أعمال المرايات</v>
          </cell>
          <cell r="E981" t="str">
            <v xml:space="preserve">تكاليف العمليات </v>
          </cell>
        </row>
        <row r="982">
          <cell r="C982" t="str">
            <v>خامات ومصنعية أعمال العزل</v>
          </cell>
          <cell r="E982" t="str">
            <v xml:space="preserve">تكاليف العمليات </v>
          </cell>
        </row>
        <row r="983">
          <cell r="C983" t="str">
            <v>خامات ومصنعية أعمال الشفاطات</v>
          </cell>
          <cell r="E983" t="str">
            <v xml:space="preserve">تكاليف العمليات </v>
          </cell>
        </row>
        <row r="984">
          <cell r="C984" t="str">
            <v>خامات ومصنعية أعمال النجف والإضاءة</v>
          </cell>
          <cell r="E984" t="str">
            <v xml:space="preserve">تكاليف العمليات </v>
          </cell>
        </row>
        <row r="985">
          <cell r="C985" t="str">
            <v>خامات ومصنعية أعمال اللاند سكيب</v>
          </cell>
          <cell r="E985" t="str">
            <v xml:space="preserve">تكاليف العمليات </v>
          </cell>
        </row>
        <row r="986">
          <cell r="C986" t="str">
            <v>خامات ومصنعية أعمال الأرضيات الخشبية</v>
          </cell>
          <cell r="E986" t="str">
            <v xml:space="preserve">تكاليف العمليات </v>
          </cell>
        </row>
        <row r="987">
          <cell r="C987" t="str">
            <v>خامات ومصنعية أعمال الستائر</v>
          </cell>
          <cell r="E987" t="str">
            <v xml:space="preserve">تكاليف العمليات </v>
          </cell>
        </row>
        <row r="988">
          <cell r="C988" t="str">
            <v>خامات ومصنعية أعمال الأثاث</v>
          </cell>
          <cell r="E988" t="str">
            <v xml:space="preserve">تكاليف العمليات </v>
          </cell>
        </row>
        <row r="989">
          <cell r="C989" t="str">
            <v>خامات ومصنعية أعمال النقل والتشوين</v>
          </cell>
          <cell r="E989" t="str">
            <v xml:space="preserve">تكاليف العمليات </v>
          </cell>
        </row>
        <row r="990">
          <cell r="C990" t="str">
            <v>رسوم وتصاريح المشروع</v>
          </cell>
          <cell r="E990" t="str">
            <v xml:space="preserve">تكاليف العمليات </v>
          </cell>
        </row>
        <row r="991">
          <cell r="C991" t="str">
            <v>عمالة ويوميات مباشرة</v>
          </cell>
          <cell r="E991" t="str">
            <v xml:space="preserve">تكاليف العمليات </v>
          </cell>
        </row>
        <row r="992">
          <cell r="E992" t="str">
            <v xml:space="preserve">تكاليف العمليات </v>
          </cell>
        </row>
        <row r="993">
          <cell r="E993" t="str">
            <v xml:space="preserve">تكاليف العمليات </v>
          </cell>
        </row>
        <row r="994">
          <cell r="E994" t="str">
            <v xml:space="preserve">تكاليف العمليات </v>
          </cell>
        </row>
        <row r="995">
          <cell r="E995" t="str">
            <v xml:space="preserve">تكاليف العمليات </v>
          </cell>
        </row>
        <row r="996">
          <cell r="E996" t="str">
            <v xml:space="preserve">تكاليف العمليات </v>
          </cell>
        </row>
        <row r="997">
          <cell r="E997" t="str">
            <v xml:space="preserve">تكاليف العمليات </v>
          </cell>
        </row>
        <row r="998">
          <cell r="C998" t="str">
            <v xml:space="preserve">تكلفة  المعاينة </v>
          </cell>
          <cell r="E998" t="str">
            <v xml:space="preserve">تكاليف العمليات </v>
          </cell>
        </row>
        <row r="999">
          <cell r="C999" t="str">
            <v xml:space="preserve"> تكلفة الثري دي </v>
          </cell>
          <cell r="E999" t="str">
            <v xml:space="preserve">تكاليف العمليات </v>
          </cell>
        </row>
        <row r="1000">
          <cell r="C1000" t="str">
            <v xml:space="preserve">اعمال التكسير والهدم </v>
          </cell>
          <cell r="E1000" t="str">
            <v xml:space="preserve">تكاليف العمليات </v>
          </cell>
        </row>
        <row r="1001">
          <cell r="C1001" t="str">
            <v xml:space="preserve">اعمال انزال ونقل الراتش ونقل المخلفات </v>
          </cell>
          <cell r="E1001" t="str">
            <v xml:space="preserve">تكاليف العمليات </v>
          </cell>
        </row>
        <row r="1002">
          <cell r="C1002" t="str">
            <v>خامات ومصنعية أعمال المباني</v>
          </cell>
          <cell r="E1002" t="str">
            <v xml:space="preserve">تكاليف العمليات </v>
          </cell>
        </row>
        <row r="1003">
          <cell r="C1003" t="str">
            <v>خامات ومصنعية أعمال المحارة</v>
          </cell>
          <cell r="E1003" t="str">
            <v xml:space="preserve">تكاليف العمليات </v>
          </cell>
        </row>
        <row r="1004">
          <cell r="C1004" t="str">
            <v>خامات ومصنعية أعمال الجبس والديكورات</v>
          </cell>
          <cell r="E1004" t="str">
            <v xml:space="preserve">تكاليف العمليات </v>
          </cell>
        </row>
        <row r="1005">
          <cell r="C1005" t="str">
            <v>خامات ومصنعية أعمال الدهانات</v>
          </cell>
          <cell r="E1005" t="str">
            <v xml:space="preserve">تكاليف العمليات </v>
          </cell>
        </row>
        <row r="1006">
          <cell r="C1006" t="str">
            <v>خامات ومصنعية أعمال السيراميك</v>
          </cell>
          <cell r="E1006" t="str">
            <v xml:space="preserve">تكاليف العمليات </v>
          </cell>
        </row>
        <row r="1007">
          <cell r="C1007" t="str">
            <v>خامات ومصنعية أعمال الرخام</v>
          </cell>
          <cell r="E1007" t="str">
            <v xml:space="preserve">تكاليف العمليات </v>
          </cell>
        </row>
        <row r="1008">
          <cell r="C1008" t="str">
            <v>خامات ومصنعية بند الكهرباء</v>
          </cell>
          <cell r="E1008" t="str">
            <v xml:space="preserve">تكاليف العمليات </v>
          </cell>
        </row>
        <row r="1009">
          <cell r="C1009" t="str">
            <v>خامات ومصنعية بند السباكة والصحي</v>
          </cell>
          <cell r="E1009" t="str">
            <v xml:space="preserve">تكاليف العمليات </v>
          </cell>
        </row>
        <row r="1010">
          <cell r="C1010" t="str">
            <v>خامات ومصنعية أعمال التكييف</v>
          </cell>
          <cell r="E1010" t="str">
            <v xml:space="preserve">تكاليف العمليات </v>
          </cell>
        </row>
        <row r="1011">
          <cell r="C1011" t="str">
            <v>خامات ومصنعية أعمال النجارة والأبواب</v>
          </cell>
          <cell r="E1011" t="str">
            <v xml:space="preserve">تكاليف العمليات </v>
          </cell>
        </row>
        <row r="1012">
          <cell r="C1012" t="str">
            <v>خامات ومصنعية أعمال المطابخ</v>
          </cell>
          <cell r="E1012" t="str">
            <v xml:space="preserve">تكاليف العمليات </v>
          </cell>
        </row>
        <row r="1013">
          <cell r="C1013" t="str">
            <v>خامات ومصنعية أعمال الألوميتال</v>
          </cell>
          <cell r="E1013" t="str">
            <v xml:space="preserve">تكاليف العمليات </v>
          </cell>
        </row>
        <row r="1014">
          <cell r="C1014" t="str">
            <v>خامات ومصنعية أعمال الزجاج والسكوريت</v>
          </cell>
          <cell r="E1014" t="str">
            <v xml:space="preserve">تكاليف العمليات </v>
          </cell>
        </row>
        <row r="1015">
          <cell r="C1015" t="str">
            <v>خامات ومصنعية أعمال الشاتر</v>
          </cell>
          <cell r="E1015" t="str">
            <v xml:space="preserve">تكاليف العمليات </v>
          </cell>
        </row>
        <row r="1016">
          <cell r="C1016" t="str">
            <v>خامات ومصنعية أعمال المرايات</v>
          </cell>
          <cell r="E1016" t="str">
            <v xml:space="preserve">تكاليف العمليات </v>
          </cell>
        </row>
        <row r="1017">
          <cell r="C1017" t="str">
            <v>خامات ومصنعية أعمال العزل</v>
          </cell>
          <cell r="E1017" t="str">
            <v xml:space="preserve">تكاليف العمليات </v>
          </cell>
        </row>
        <row r="1018">
          <cell r="C1018" t="str">
            <v>خامات ومصنعية أعمال الشفاطات</v>
          </cell>
          <cell r="E1018" t="str">
            <v xml:space="preserve">تكاليف العمليات </v>
          </cell>
        </row>
        <row r="1019">
          <cell r="C1019" t="str">
            <v>خامات ومصنعية أعمال النجف والإضاءة</v>
          </cell>
          <cell r="E1019" t="str">
            <v xml:space="preserve">تكاليف العمليات </v>
          </cell>
        </row>
        <row r="1020">
          <cell r="C1020" t="str">
            <v>خامات ومصنعية أعمال اللاند سكيب</v>
          </cell>
          <cell r="E1020" t="str">
            <v xml:space="preserve">تكاليف العمليات </v>
          </cell>
        </row>
        <row r="1021">
          <cell r="C1021" t="str">
            <v>خامات ومصنعية أعمال الأرضيات الخشبية</v>
          </cell>
          <cell r="E1021" t="str">
            <v xml:space="preserve">تكاليف العمليات </v>
          </cell>
        </row>
        <row r="1022">
          <cell r="C1022" t="str">
            <v>خامات ومصنعية أعمال الستائر</v>
          </cell>
          <cell r="E1022" t="str">
            <v xml:space="preserve">تكاليف العمليات </v>
          </cell>
        </row>
        <row r="1023">
          <cell r="C1023" t="str">
            <v>خامات ومصنعية أعمال الأثاث</v>
          </cell>
          <cell r="E1023" t="str">
            <v xml:space="preserve">تكاليف العمليات </v>
          </cell>
        </row>
        <row r="1024">
          <cell r="C1024" t="str">
            <v>خامات ومصنعية أعمال النقل والتشوين</v>
          </cell>
          <cell r="E1024" t="str">
            <v xml:space="preserve">تكاليف العمليات </v>
          </cell>
        </row>
        <row r="1025">
          <cell r="C1025" t="str">
            <v>رسوم وتصاريح المشروع</v>
          </cell>
          <cell r="E1025" t="str">
            <v xml:space="preserve">تكاليف العمليات </v>
          </cell>
        </row>
        <row r="1026">
          <cell r="C1026" t="str">
            <v>عمالة ويوميات مباشرة</v>
          </cell>
          <cell r="E1026" t="str">
            <v xml:space="preserve">تكاليف العمليات </v>
          </cell>
        </row>
        <row r="1027">
          <cell r="E1027" t="str">
            <v xml:space="preserve">تكاليف العمليات </v>
          </cell>
        </row>
        <row r="1028">
          <cell r="E1028" t="str">
            <v xml:space="preserve">تكاليف العمليات </v>
          </cell>
        </row>
        <row r="1029">
          <cell r="E1029" t="str">
            <v xml:space="preserve">تكاليف العمليات </v>
          </cell>
        </row>
        <row r="1030">
          <cell r="E1030" t="str">
            <v xml:space="preserve">تكاليف العمليات </v>
          </cell>
        </row>
        <row r="1031">
          <cell r="E1031" t="str">
            <v xml:space="preserve">تكاليف العمليات </v>
          </cell>
        </row>
        <row r="1032">
          <cell r="E1032" t="str">
            <v xml:space="preserve">تكاليف العمليات </v>
          </cell>
        </row>
        <row r="1033">
          <cell r="C1033" t="str">
            <v xml:space="preserve">تكلفة  المعاينة </v>
          </cell>
          <cell r="E1033" t="str">
            <v xml:space="preserve">تكاليف العمليات </v>
          </cell>
        </row>
        <row r="1034">
          <cell r="C1034" t="str">
            <v xml:space="preserve"> تكلفة الثري دي </v>
          </cell>
          <cell r="E1034" t="str">
            <v xml:space="preserve">تكاليف العمليات </v>
          </cell>
        </row>
        <row r="1035">
          <cell r="C1035" t="str">
            <v xml:space="preserve">اعمال التكسير والهدم </v>
          </cell>
          <cell r="E1035" t="str">
            <v xml:space="preserve">تكاليف العمليات </v>
          </cell>
        </row>
        <row r="1036">
          <cell r="C1036" t="str">
            <v xml:space="preserve">اعمال انزال ونقل الراتش ونقل المخلفات </v>
          </cell>
          <cell r="E1036" t="str">
            <v xml:space="preserve">تكاليف العمليات </v>
          </cell>
        </row>
        <row r="1037">
          <cell r="C1037" t="str">
            <v>خامات ومصنعية أعمال المباني</v>
          </cell>
          <cell r="E1037" t="str">
            <v xml:space="preserve">تكاليف العمليات </v>
          </cell>
        </row>
        <row r="1038">
          <cell r="C1038" t="str">
            <v>خامات ومصنعية أعمال المحارة</v>
          </cell>
          <cell r="E1038" t="str">
            <v xml:space="preserve">تكاليف العمليات </v>
          </cell>
        </row>
        <row r="1039">
          <cell r="C1039" t="str">
            <v>خامات ومصنعية أعمال الجبس والديكورات</v>
          </cell>
          <cell r="E1039" t="str">
            <v xml:space="preserve">تكاليف العمليات </v>
          </cell>
        </row>
        <row r="1040">
          <cell r="C1040" t="str">
            <v>خامات ومصنعية أعمال الدهانات</v>
          </cell>
          <cell r="E1040" t="str">
            <v xml:space="preserve">تكاليف العمليات </v>
          </cell>
        </row>
        <row r="1041">
          <cell r="C1041" t="str">
            <v>خامات ومصنعية أعمال السيراميك</v>
          </cell>
          <cell r="E1041" t="str">
            <v xml:space="preserve">تكاليف العمليات </v>
          </cell>
        </row>
        <row r="1042">
          <cell r="C1042" t="str">
            <v>خامات ومصنعية أعمال الرخام</v>
          </cell>
          <cell r="E1042" t="str">
            <v xml:space="preserve">تكاليف العمليات </v>
          </cell>
        </row>
        <row r="1043">
          <cell r="C1043" t="str">
            <v>خامات ومصنعية بند الكهرباء</v>
          </cell>
          <cell r="E1043" t="str">
            <v xml:space="preserve">تكاليف العمليات </v>
          </cell>
        </row>
        <row r="1044">
          <cell r="C1044" t="str">
            <v>خامات ومصنعية بند السباكة والصحي</v>
          </cell>
          <cell r="E1044" t="str">
            <v xml:space="preserve">تكاليف العمليات </v>
          </cell>
        </row>
        <row r="1045">
          <cell r="C1045" t="str">
            <v>خامات ومصنعية أعمال التكييف</v>
          </cell>
          <cell r="E1045" t="str">
            <v xml:space="preserve">تكاليف العمليات </v>
          </cell>
        </row>
        <row r="1046">
          <cell r="C1046" t="str">
            <v>خامات ومصنعية أعمال النجارة والأبواب</v>
          </cell>
          <cell r="E1046" t="str">
            <v xml:space="preserve">تكاليف العمليات </v>
          </cell>
        </row>
        <row r="1047">
          <cell r="C1047" t="str">
            <v>خامات ومصنعية أعمال المطابخ</v>
          </cell>
          <cell r="E1047" t="str">
            <v xml:space="preserve">تكاليف العمليات </v>
          </cell>
        </row>
        <row r="1048">
          <cell r="C1048" t="str">
            <v>خامات ومصنعية أعمال الألوميتال</v>
          </cell>
          <cell r="E1048" t="str">
            <v xml:space="preserve">تكاليف العمليات </v>
          </cell>
        </row>
        <row r="1049">
          <cell r="C1049" t="str">
            <v>خامات ومصنعية أعمال الزجاج والسكوريت</v>
          </cell>
          <cell r="E1049" t="str">
            <v xml:space="preserve">تكاليف العمليات </v>
          </cell>
        </row>
        <row r="1050">
          <cell r="C1050" t="str">
            <v>خامات ومصنعية أعمال الشاتر</v>
          </cell>
          <cell r="E1050" t="str">
            <v xml:space="preserve">تكاليف العمليات </v>
          </cell>
        </row>
        <row r="1051">
          <cell r="C1051" t="str">
            <v>خامات ومصنعية أعمال المرايات</v>
          </cell>
          <cell r="E1051" t="str">
            <v xml:space="preserve">تكاليف العمليات </v>
          </cell>
        </row>
        <row r="1052">
          <cell r="C1052" t="str">
            <v>خامات ومصنعية أعمال العزل</v>
          </cell>
          <cell r="E1052" t="str">
            <v xml:space="preserve">تكاليف العمليات </v>
          </cell>
        </row>
        <row r="1053">
          <cell r="C1053" t="str">
            <v>خامات ومصنعية أعمال الشفاطات</v>
          </cell>
          <cell r="E1053" t="str">
            <v xml:space="preserve">تكاليف العمليات </v>
          </cell>
        </row>
        <row r="1054">
          <cell r="C1054" t="str">
            <v>خامات ومصنعية أعمال النجف والإضاءة</v>
          </cell>
          <cell r="E1054" t="str">
            <v xml:space="preserve">تكاليف العمليات </v>
          </cell>
        </row>
        <row r="1055">
          <cell r="C1055" t="str">
            <v>خامات ومصنعية أعمال اللاند سكيب</v>
          </cell>
          <cell r="E1055" t="str">
            <v xml:space="preserve">تكاليف العمليات </v>
          </cell>
        </row>
        <row r="1056">
          <cell r="C1056" t="str">
            <v>خامات ومصنعية أعمال الأرضيات الخشبية</v>
          </cell>
          <cell r="E1056" t="str">
            <v xml:space="preserve">تكاليف العمليات </v>
          </cell>
        </row>
        <row r="1057">
          <cell r="C1057" t="str">
            <v>خامات ومصنعية أعمال الستائر</v>
          </cell>
          <cell r="E1057" t="str">
            <v xml:space="preserve">تكاليف العمليات </v>
          </cell>
        </row>
        <row r="1058">
          <cell r="C1058" t="str">
            <v>خامات ومصنعية أعمال الأثاث</v>
          </cell>
          <cell r="E1058" t="str">
            <v xml:space="preserve">تكاليف العمليات </v>
          </cell>
        </row>
        <row r="1059">
          <cell r="C1059" t="str">
            <v>خامات ومصنعية أعمال النقل والتشوين</v>
          </cell>
          <cell r="E1059" t="str">
            <v xml:space="preserve">تكاليف العمليات </v>
          </cell>
        </row>
        <row r="1060">
          <cell r="C1060" t="str">
            <v>رسوم وتصاريح المشروع</v>
          </cell>
          <cell r="E1060" t="str">
            <v xml:space="preserve">تكاليف العمليات </v>
          </cell>
        </row>
        <row r="1061">
          <cell r="C1061" t="str">
            <v>عمالة ويوميات مباشرة</v>
          </cell>
          <cell r="E1061" t="str">
            <v xml:space="preserve">تكاليف العمليات </v>
          </cell>
        </row>
        <row r="1062">
          <cell r="E1062" t="str">
            <v xml:space="preserve">تكاليف العمليات </v>
          </cell>
        </row>
        <row r="1063">
          <cell r="E1063" t="str">
            <v xml:space="preserve">تكاليف العمليات </v>
          </cell>
        </row>
        <row r="1064">
          <cell r="E1064" t="str">
            <v xml:space="preserve">تكاليف العمليات </v>
          </cell>
        </row>
        <row r="1065">
          <cell r="E1065" t="str">
            <v xml:space="preserve">تكاليف العمليات </v>
          </cell>
        </row>
        <row r="1066">
          <cell r="E1066" t="str">
            <v xml:space="preserve">تكاليف العمليات </v>
          </cell>
        </row>
        <row r="1067">
          <cell r="C1067" t="str">
            <v xml:space="preserve">تكلفة  المعاينة </v>
          </cell>
          <cell r="E1067" t="str">
            <v xml:space="preserve">تكاليف العمليات </v>
          </cell>
        </row>
        <row r="1068">
          <cell r="C1068" t="str">
            <v xml:space="preserve"> تكلفة الثري دي </v>
          </cell>
          <cell r="E1068" t="str">
            <v xml:space="preserve">تكاليف العمليات </v>
          </cell>
        </row>
        <row r="1069">
          <cell r="C1069" t="str">
            <v xml:space="preserve">اعمال التكسير والهدم </v>
          </cell>
          <cell r="E1069" t="str">
            <v xml:space="preserve">تكاليف العمليات </v>
          </cell>
        </row>
        <row r="1070">
          <cell r="C1070" t="str">
            <v xml:space="preserve">اعمال انزال ونقل الراتش ونقل المخلفات </v>
          </cell>
          <cell r="E1070" t="str">
            <v xml:space="preserve">تكاليف العمليات </v>
          </cell>
        </row>
        <row r="1071">
          <cell r="C1071" t="str">
            <v>خامات ومصنعية أعمال المباني</v>
          </cell>
          <cell r="E1071" t="str">
            <v xml:space="preserve">تكاليف العمليات </v>
          </cell>
        </row>
        <row r="1072">
          <cell r="C1072" t="str">
            <v>خامات ومصنعية أعمال المحارة</v>
          </cell>
          <cell r="E1072" t="str">
            <v xml:space="preserve">تكاليف العمليات </v>
          </cell>
        </row>
        <row r="1073">
          <cell r="C1073" t="str">
            <v>خامات ومصنعية أعمال الجبس والديكورات</v>
          </cell>
          <cell r="E1073" t="str">
            <v xml:space="preserve">تكاليف العمليات </v>
          </cell>
        </row>
        <row r="1074">
          <cell r="C1074" t="str">
            <v>خامات ومصنعية أعمال الدهانات</v>
          </cell>
          <cell r="E1074" t="str">
            <v xml:space="preserve">تكاليف العمليات </v>
          </cell>
        </row>
        <row r="1075">
          <cell r="C1075" t="str">
            <v>خامات ومصنعية أعمال السيراميك</v>
          </cell>
          <cell r="E1075" t="str">
            <v xml:space="preserve">تكاليف العمليات </v>
          </cell>
        </row>
        <row r="1076">
          <cell r="C1076" t="str">
            <v>خامات ومصنعية أعمال الرخام</v>
          </cell>
          <cell r="E1076" t="str">
            <v xml:space="preserve">تكاليف العمليات </v>
          </cell>
        </row>
        <row r="1077">
          <cell r="C1077" t="str">
            <v>خامات ومصنعية بند الكهرباء</v>
          </cell>
          <cell r="E1077" t="str">
            <v xml:space="preserve">تكاليف العمليات </v>
          </cell>
        </row>
        <row r="1078">
          <cell r="C1078" t="str">
            <v>خامات ومصنعية بند السباكة والصحي</v>
          </cell>
          <cell r="E1078" t="str">
            <v xml:space="preserve">تكاليف العمليات </v>
          </cell>
        </row>
        <row r="1079">
          <cell r="C1079" t="str">
            <v>خامات ومصنعية أعمال التكييف</v>
          </cell>
          <cell r="E1079" t="str">
            <v xml:space="preserve">تكاليف العمليات </v>
          </cell>
        </row>
        <row r="1080">
          <cell r="C1080" t="str">
            <v>خامات ومصنعية أعمال النجارة والأبواب</v>
          </cell>
          <cell r="E1080" t="str">
            <v xml:space="preserve">تكاليف العمليات </v>
          </cell>
        </row>
        <row r="1081">
          <cell r="C1081" t="str">
            <v>خامات ومصنعية أعمال المطابخ</v>
          </cell>
          <cell r="E1081" t="str">
            <v xml:space="preserve">تكاليف العمليات </v>
          </cell>
        </row>
        <row r="1082">
          <cell r="C1082" t="str">
            <v>خامات ومصنعية أعمال الألوميتال</v>
          </cell>
          <cell r="E1082" t="str">
            <v xml:space="preserve">تكاليف العمليات </v>
          </cell>
        </row>
        <row r="1083">
          <cell r="C1083" t="str">
            <v>خامات ومصنعية أعمال الزجاج والسكوريت</v>
          </cell>
          <cell r="E1083" t="str">
            <v xml:space="preserve">تكاليف العمليات </v>
          </cell>
        </row>
        <row r="1084">
          <cell r="C1084" t="str">
            <v>خامات ومصنعية أعمال الشاتر</v>
          </cell>
          <cell r="E1084" t="str">
            <v xml:space="preserve">تكاليف العمليات </v>
          </cell>
        </row>
        <row r="1085">
          <cell r="C1085" t="str">
            <v>خامات ومصنعية أعمال المرايات</v>
          </cell>
          <cell r="E1085" t="str">
            <v xml:space="preserve">تكاليف العمليات </v>
          </cell>
        </row>
        <row r="1086">
          <cell r="C1086" t="str">
            <v>خامات ومصنعية أعمال العزل</v>
          </cell>
          <cell r="E1086" t="str">
            <v xml:space="preserve">تكاليف العمليات </v>
          </cell>
        </row>
        <row r="1087">
          <cell r="C1087" t="str">
            <v>خامات ومصنعية أعمال الشفاطات</v>
          </cell>
          <cell r="E1087" t="str">
            <v xml:space="preserve">تكاليف العمليات </v>
          </cell>
        </row>
        <row r="1088">
          <cell r="C1088" t="str">
            <v>خامات ومصنعية أعمال النجف والإضاءة</v>
          </cell>
          <cell r="E1088" t="str">
            <v xml:space="preserve">تكاليف العمليات </v>
          </cell>
        </row>
        <row r="1089">
          <cell r="C1089" t="str">
            <v>خامات ومصنعية أعمال اللاند سكيب</v>
          </cell>
          <cell r="E1089" t="str">
            <v xml:space="preserve">تكاليف العمليات </v>
          </cell>
        </row>
        <row r="1090">
          <cell r="C1090" t="str">
            <v>خامات ومصنعية أعمال الأرضيات الخشبية</v>
          </cell>
          <cell r="E1090" t="str">
            <v xml:space="preserve">تكاليف العمليات </v>
          </cell>
        </row>
        <row r="1091">
          <cell r="C1091" t="str">
            <v>خامات ومصنعية أعمال الستائر</v>
          </cell>
          <cell r="E1091" t="str">
            <v xml:space="preserve">تكاليف العمليات </v>
          </cell>
        </row>
        <row r="1092">
          <cell r="C1092" t="str">
            <v>خامات ومصنعية أعمال الأثاث</v>
          </cell>
          <cell r="E1092" t="str">
            <v xml:space="preserve">تكاليف العمليات </v>
          </cell>
        </row>
        <row r="1093">
          <cell r="C1093" t="str">
            <v>خامات ومصنعية أعمال النقل والتشوين</v>
          </cell>
          <cell r="E1093" t="str">
            <v xml:space="preserve">تكاليف العمليات </v>
          </cell>
        </row>
        <row r="1094">
          <cell r="C1094" t="str">
            <v>رسوم وتصاريح المشروع</v>
          </cell>
          <cell r="E1094" t="str">
            <v xml:space="preserve">تكاليف العمليات </v>
          </cell>
        </row>
        <row r="1095">
          <cell r="C1095" t="str">
            <v>عمالة ويوميات مباشرة</v>
          </cell>
          <cell r="E1095" t="str">
            <v xml:space="preserve">تكاليف العمليات </v>
          </cell>
        </row>
        <row r="1096">
          <cell r="E1096" t="str">
            <v xml:space="preserve">تكاليف العمليات </v>
          </cell>
        </row>
        <row r="1097">
          <cell r="E1097" t="str">
            <v xml:space="preserve">تكاليف العمليات </v>
          </cell>
        </row>
        <row r="1098">
          <cell r="E1098" t="str">
            <v xml:space="preserve">تكاليف العمليات </v>
          </cell>
        </row>
        <row r="1099">
          <cell r="E1099" t="str">
            <v xml:space="preserve">تكاليف العمليات </v>
          </cell>
        </row>
        <row r="1100">
          <cell r="E1100" t="str">
            <v xml:space="preserve">تكاليف العمليات </v>
          </cell>
        </row>
        <row r="1101">
          <cell r="A1101">
            <v>5300</v>
          </cell>
          <cell r="C1101" t="str">
            <v xml:space="preserve">تكاليف مشروع خاص </v>
          </cell>
          <cell r="D1101" t="str">
            <v>مشروع خاص المهندسة ايه واحمد الميري</v>
          </cell>
          <cell r="E1101" t="str">
            <v xml:space="preserve">تكاليف العمليات </v>
          </cell>
        </row>
        <row r="1102">
          <cell r="C1102" t="str">
            <v xml:space="preserve">تكلفة  المعاينة </v>
          </cell>
          <cell r="E1102" t="str">
            <v xml:space="preserve">تكاليف العمليات </v>
          </cell>
        </row>
        <row r="1103">
          <cell r="C1103" t="str">
            <v xml:space="preserve"> تكلفة الثري دي </v>
          </cell>
          <cell r="E1103" t="str">
            <v xml:space="preserve">تكاليف العمليات </v>
          </cell>
        </row>
        <row r="1104">
          <cell r="C1104" t="str">
            <v xml:space="preserve">اعمال التكسير والهدم </v>
          </cell>
          <cell r="E1104" t="str">
            <v xml:space="preserve">تكاليف العمليات </v>
          </cell>
        </row>
        <row r="1105">
          <cell r="C1105" t="str">
            <v xml:space="preserve">اعمال انزال ونقل الراتش ونقل المخلفات </v>
          </cell>
          <cell r="E1105" t="str">
            <v xml:space="preserve">تكاليف العمليات </v>
          </cell>
        </row>
        <row r="1106">
          <cell r="C1106" t="str">
            <v>خامات ومصنعية أعمال المباني</v>
          </cell>
          <cell r="E1106" t="str">
            <v xml:space="preserve">تكاليف العمليات </v>
          </cell>
        </row>
        <row r="1107">
          <cell r="C1107" t="str">
            <v>خامات ومصنعية أعمال المحارة</v>
          </cell>
          <cell r="E1107" t="str">
            <v xml:space="preserve">تكاليف العمليات </v>
          </cell>
        </row>
        <row r="1108">
          <cell r="C1108" t="str">
            <v>خامات ومصنعية أعمال الجبس والديكورات</v>
          </cell>
          <cell r="E1108" t="str">
            <v xml:space="preserve">تكاليف العمليات </v>
          </cell>
        </row>
        <row r="1109">
          <cell r="C1109" t="str">
            <v>خامات ومصنعية أعمال الدهانات</v>
          </cell>
          <cell r="E1109" t="str">
            <v xml:space="preserve">تكاليف العمليات </v>
          </cell>
        </row>
        <row r="1110">
          <cell r="C1110" t="str">
            <v>خامات ومصنعية أعمال السيراميك</v>
          </cell>
          <cell r="E1110" t="str">
            <v xml:space="preserve">تكاليف العمليات </v>
          </cell>
        </row>
        <row r="1111">
          <cell r="C1111" t="str">
            <v>خامات ومصنعية أعمال الرخام</v>
          </cell>
          <cell r="E1111" t="str">
            <v xml:space="preserve">تكاليف العمليات </v>
          </cell>
        </row>
        <row r="1112">
          <cell r="C1112" t="str">
            <v>خامات ومصنعية بند الكهرباء</v>
          </cell>
          <cell r="E1112" t="str">
            <v xml:space="preserve">تكاليف العمليات </v>
          </cell>
        </row>
        <row r="1113">
          <cell r="C1113" t="str">
            <v>خامات ومصنعية بند السباكة والصحي</v>
          </cell>
          <cell r="E1113" t="str">
            <v xml:space="preserve">تكاليف العمليات </v>
          </cell>
        </row>
        <row r="1114">
          <cell r="C1114" t="str">
            <v>خامات ومصنعية أعمال التكييف</v>
          </cell>
          <cell r="E1114" t="str">
            <v xml:space="preserve">تكاليف العمليات </v>
          </cell>
        </row>
        <row r="1115">
          <cell r="C1115" t="str">
            <v>خامات ومصنعية أعمال النجارة والأبواب</v>
          </cell>
          <cell r="E1115" t="str">
            <v xml:space="preserve">تكاليف العمليات </v>
          </cell>
        </row>
        <row r="1116">
          <cell r="C1116" t="str">
            <v>خامات ومصنعية أعمال المطابخ</v>
          </cell>
          <cell r="E1116" t="str">
            <v xml:space="preserve">تكاليف العمليات </v>
          </cell>
        </row>
        <row r="1117">
          <cell r="C1117" t="str">
            <v>خامات ومصنعية أعمال الألوميتال</v>
          </cell>
          <cell r="E1117" t="str">
            <v xml:space="preserve">تكاليف العمليات </v>
          </cell>
        </row>
        <row r="1118">
          <cell r="C1118" t="str">
            <v>خامات ومصنعية أعمال الزجاج والسكوريت</v>
          </cell>
          <cell r="E1118" t="str">
            <v xml:space="preserve">تكاليف العمليات </v>
          </cell>
        </row>
        <row r="1119">
          <cell r="C1119" t="str">
            <v>خامات ومصنعية أعمال الشاتر</v>
          </cell>
          <cell r="E1119" t="str">
            <v xml:space="preserve">تكاليف العمليات </v>
          </cell>
        </row>
        <row r="1120">
          <cell r="C1120" t="str">
            <v>خامات ومصنعية أعمال المرايات</v>
          </cell>
          <cell r="E1120" t="str">
            <v xml:space="preserve">تكاليف العمليات </v>
          </cell>
        </row>
        <row r="1121">
          <cell r="C1121" t="str">
            <v>خامات ومصنعية أعمال العزل</v>
          </cell>
          <cell r="E1121" t="str">
            <v xml:space="preserve">تكاليف العمليات </v>
          </cell>
        </row>
        <row r="1122">
          <cell r="C1122" t="str">
            <v>خامات ومصنعية أعمال الشفاطات</v>
          </cell>
          <cell r="E1122" t="str">
            <v xml:space="preserve">تكاليف العمليات </v>
          </cell>
        </row>
        <row r="1123">
          <cell r="C1123" t="str">
            <v>خامات ومصنعية أعمال النجف والإضاءة</v>
          </cell>
          <cell r="E1123" t="str">
            <v xml:space="preserve">تكاليف العمليات </v>
          </cell>
        </row>
        <row r="1124">
          <cell r="C1124" t="str">
            <v>خامات ومصنعية أعمال اللاند سكيب</v>
          </cell>
          <cell r="E1124" t="str">
            <v xml:space="preserve">تكاليف العمليات </v>
          </cell>
        </row>
        <row r="1125">
          <cell r="C1125" t="str">
            <v>خامات ومصنعية أعمال الأرضيات الخشبية</v>
          </cell>
          <cell r="E1125" t="str">
            <v xml:space="preserve">تكاليف العمليات </v>
          </cell>
        </row>
        <row r="1126">
          <cell r="C1126" t="str">
            <v>خامات ومصنعية أعمال الستائر</v>
          </cell>
          <cell r="E1126" t="str">
            <v xml:space="preserve">تكاليف العمليات </v>
          </cell>
        </row>
        <row r="1127">
          <cell r="C1127" t="str">
            <v>خامات ومصنعية أعمال الأثاث</v>
          </cell>
          <cell r="E1127" t="str">
            <v xml:space="preserve">تكاليف العمليات </v>
          </cell>
        </row>
        <row r="1128">
          <cell r="C1128" t="str">
            <v>خامات ومصنعية أعمال النقل والتشوين</v>
          </cell>
          <cell r="E1128" t="str">
            <v xml:space="preserve">تكاليف العمليات </v>
          </cell>
        </row>
        <row r="1129">
          <cell r="C1129" t="str">
            <v>رسوم وتصاريح المشروع</v>
          </cell>
          <cell r="E1129" t="str">
            <v xml:space="preserve">تكاليف العمليات </v>
          </cell>
        </row>
        <row r="1130">
          <cell r="C1130" t="str">
            <v>عمالة ويوميات مباشرة</v>
          </cell>
          <cell r="E1130" t="str">
            <v xml:space="preserve">تكاليف العمليات </v>
          </cell>
        </row>
        <row r="1131">
          <cell r="E1131" t="str">
            <v xml:space="preserve">تكاليف العمليات </v>
          </cell>
        </row>
        <row r="1132">
          <cell r="E1132" t="str">
            <v xml:space="preserve">تكاليف العمليات </v>
          </cell>
        </row>
        <row r="1133">
          <cell r="E1133" t="str">
            <v xml:space="preserve">تكاليف العمليات </v>
          </cell>
        </row>
        <row r="1134">
          <cell r="E1134" t="str">
            <v xml:space="preserve">تكاليف العمليات </v>
          </cell>
        </row>
        <row r="1135">
          <cell r="E1135" t="str">
            <v xml:space="preserve">تكاليف العمليات </v>
          </cell>
        </row>
        <row r="1136">
          <cell r="A1136">
            <v>598</v>
          </cell>
          <cell r="D1136" t="str">
            <v xml:space="preserve">مصروفات رأس مالية </v>
          </cell>
          <cell r="E1136" t="str">
            <v xml:space="preserve">تكاليف العمليات </v>
          </cell>
        </row>
        <row r="1137">
          <cell r="A1137" t="str">
            <v>598-1</v>
          </cell>
          <cell r="C1137" t="str">
            <v xml:space="preserve">صيانات اصول </v>
          </cell>
          <cell r="D1137" t="str">
            <v xml:space="preserve">مصروفات رأس مالية </v>
          </cell>
          <cell r="E1137" t="str">
            <v xml:space="preserve">تكاليف العمليات </v>
          </cell>
        </row>
        <row r="1138">
          <cell r="A1138" t="str">
            <v>598-2</v>
          </cell>
          <cell r="C1138" t="str">
            <v xml:space="preserve">صيانة اي اصل تزيد عمرة الانتاجي </v>
          </cell>
          <cell r="D1138" t="str">
            <v xml:space="preserve">مصروفات رأس مالية </v>
          </cell>
          <cell r="E1138" t="str">
            <v xml:space="preserve">تكاليف العمليات </v>
          </cell>
        </row>
        <row r="1139">
          <cell r="A1139" t="str">
            <v>598-3</v>
          </cell>
          <cell r="D1139" t="str">
            <v xml:space="preserve">مصروفات رأس مالية </v>
          </cell>
          <cell r="E1139" t="str">
            <v xml:space="preserve">تكاليف العمليات </v>
          </cell>
        </row>
        <row r="1140">
          <cell r="A1140" t="str">
            <v>598-4</v>
          </cell>
          <cell r="D1140" t="str">
            <v xml:space="preserve">مصروفات رأس مالية </v>
          </cell>
          <cell r="E1140" t="str">
            <v xml:space="preserve">تكاليف العمليات </v>
          </cell>
        </row>
        <row r="1141">
          <cell r="A1141" t="str">
            <v>598-5</v>
          </cell>
          <cell r="D1141" t="str">
            <v xml:space="preserve">مصروفات رأس مالية </v>
          </cell>
          <cell r="E1141" t="str">
            <v xml:space="preserve">تكاليف العمليات </v>
          </cell>
        </row>
        <row r="1142">
          <cell r="A1142" t="str">
            <v>598-6</v>
          </cell>
          <cell r="D1142" t="str">
            <v xml:space="preserve">مصروفات رأس مالية </v>
          </cell>
          <cell r="E1142" t="str">
            <v xml:space="preserve">تكاليف العمليات </v>
          </cell>
        </row>
        <row r="1143">
          <cell r="A1143" t="str">
            <v>598-7</v>
          </cell>
          <cell r="D1143" t="str">
            <v xml:space="preserve">مصروفات رأس مالية </v>
          </cell>
          <cell r="E1143" t="str">
            <v xml:space="preserve">تكاليف العمليات </v>
          </cell>
        </row>
        <row r="1144">
          <cell r="A1144" t="str">
            <v>598-8</v>
          </cell>
          <cell r="D1144" t="str">
            <v xml:space="preserve">مصروفات رأس مالية </v>
          </cell>
          <cell r="E1144" t="str">
            <v xml:space="preserve">تكاليف العمليات </v>
          </cell>
        </row>
        <row r="1145">
          <cell r="A1145" t="str">
            <v>598-9</v>
          </cell>
          <cell r="D1145" t="str">
            <v xml:space="preserve">مصروفات رأس مالية </v>
          </cell>
          <cell r="E1145" t="str">
            <v xml:space="preserve">تكاليف العمليات </v>
          </cell>
        </row>
        <row r="1146">
          <cell r="A1146" t="str">
            <v>598-10</v>
          </cell>
          <cell r="D1146" t="str">
            <v xml:space="preserve">مصروفات رأس مالية </v>
          </cell>
          <cell r="E1146" t="str">
            <v xml:space="preserve">تكاليف العمليات </v>
          </cell>
        </row>
        <row r="1147">
          <cell r="A1147">
            <v>570</v>
          </cell>
          <cell r="C1147" t="str">
            <v>مصروفات اخري</v>
          </cell>
          <cell r="D1147" t="str">
            <v>مصروفات اخري</v>
          </cell>
          <cell r="E1147" t="str">
            <v xml:space="preserve">مصروفات </v>
          </cell>
        </row>
        <row r="1148">
          <cell r="A1148" t="str">
            <v>570-1</v>
          </cell>
          <cell r="D1148" t="str">
            <v>مصروفات اخري</v>
          </cell>
          <cell r="E1148" t="str">
            <v xml:space="preserve">مصروفات </v>
          </cell>
        </row>
        <row r="1149">
          <cell r="A1149" t="str">
            <v>570-2</v>
          </cell>
          <cell r="D1149" t="str">
            <v>مصروفات اخري</v>
          </cell>
          <cell r="E1149" t="str">
            <v xml:space="preserve">مصروفات </v>
          </cell>
        </row>
        <row r="1150">
          <cell r="A1150">
            <v>508</v>
          </cell>
          <cell r="C1150" t="str">
            <v>اهلاك العام</v>
          </cell>
          <cell r="D1150" t="str">
            <v>اهلاك العام</v>
          </cell>
          <cell r="E1150" t="str">
            <v xml:space="preserve">مصروفات </v>
          </cell>
        </row>
        <row r="1151">
          <cell r="A1151" t="str">
            <v>508-1</v>
          </cell>
          <cell r="C1151" t="str">
            <v xml:space="preserve">مصروف اهلاك - الاثاث </v>
          </cell>
          <cell r="D1151" t="str">
            <v>اهلاك العام</v>
          </cell>
          <cell r="E1151" t="str">
            <v xml:space="preserve">مصروفات </v>
          </cell>
        </row>
        <row r="1152">
          <cell r="A1152" t="str">
            <v>508-2</v>
          </cell>
          <cell r="C1152" t="str">
            <v xml:space="preserve">مصروف اهلاك - اجهزه كمبيوتر </v>
          </cell>
          <cell r="D1152" t="str">
            <v>اهلاك العام</v>
          </cell>
          <cell r="E1152" t="str">
            <v xml:space="preserve">مصروفات </v>
          </cell>
        </row>
        <row r="1153">
          <cell r="A1153" t="str">
            <v>508-3</v>
          </cell>
          <cell r="C1153" t="str">
            <v xml:space="preserve">مصروف اهلاك -اجهزه كهربائيه و معدات </v>
          </cell>
          <cell r="D1153" t="str">
            <v>اهلاك العام</v>
          </cell>
          <cell r="E1153" t="str">
            <v xml:space="preserve">مصروفات </v>
          </cell>
        </row>
        <row r="1154">
          <cell r="A1154" t="str">
            <v>508-4</v>
          </cell>
          <cell r="C1154" t="str">
            <v>مصروف اهلاك -ديكورات و تجيهزات</v>
          </cell>
          <cell r="D1154" t="str">
            <v>اهلاك العام</v>
          </cell>
          <cell r="E1154" t="str">
            <v xml:space="preserve">مصروفات </v>
          </cell>
        </row>
        <row r="1155">
          <cell r="A1155" t="str">
            <v>508-5</v>
          </cell>
          <cell r="C1155" t="str">
            <v>مصروف اهلاك - برامج حاسب الى</v>
          </cell>
          <cell r="D1155" t="str">
            <v>اهلاك العام</v>
          </cell>
          <cell r="E1155" t="str">
            <v xml:space="preserve">مصروفات </v>
          </cell>
        </row>
        <row r="1159">
          <cell r="A1159">
            <v>600</v>
          </cell>
          <cell r="C1159" t="str">
            <v xml:space="preserve">أرصدة مدينة </v>
          </cell>
          <cell r="D1159" t="str">
            <v>المدينون والأرصدة المدينة الأخرى</v>
          </cell>
          <cell r="E1159" t="str">
            <v>المدينون والأرصدة المدينة الأخرى</v>
          </cell>
        </row>
        <row r="1160">
          <cell r="A1160">
            <v>601</v>
          </cell>
          <cell r="C1160" t="str">
            <v>م.مدفوعات مقدمة</v>
          </cell>
          <cell r="D1160" t="str">
            <v>المدينون والأرصدة المدينة الأخرى</v>
          </cell>
          <cell r="E1160" t="str">
            <v>المدينون والأرصدة المدينة الأخرى</v>
          </cell>
        </row>
        <row r="1161">
          <cell r="A1161">
            <v>602</v>
          </cell>
          <cell r="E1161" t="str">
            <v>المدينون والأرصدة المدينة الأخرى</v>
          </cell>
        </row>
        <row r="1162">
          <cell r="A1162">
            <v>6000</v>
          </cell>
          <cell r="C1162" t="str">
            <v>عملاء</v>
          </cell>
          <cell r="D1162" t="str">
            <v>عملاء</v>
          </cell>
          <cell r="E1162" t="str">
            <v>المدينون والأرصدة المدينة الأخرى</v>
          </cell>
        </row>
        <row r="1163">
          <cell r="A1163" t="str">
            <v>1-372</v>
          </cell>
          <cell r="C1163" t="str">
            <v>عميل اشرف الشروق 372</v>
          </cell>
          <cell r="D1163" t="str">
            <v>عملاء</v>
          </cell>
          <cell r="E1163" t="str">
            <v>المدينون والأرصدة المدينة الأخرى</v>
          </cell>
        </row>
        <row r="1164">
          <cell r="A1164" t="str">
            <v>1-388</v>
          </cell>
          <cell r="C1164" t="str">
            <v>عميل الدقي 388</v>
          </cell>
          <cell r="D1164" t="str">
            <v>عملاء</v>
          </cell>
          <cell r="E1164" t="str">
            <v>المدينون والأرصدة المدينة الأخرى</v>
          </cell>
        </row>
        <row r="1165">
          <cell r="A1165" t="str">
            <v>1-341</v>
          </cell>
          <cell r="C1165" t="str">
            <v>عميل سوديك 341</v>
          </cell>
          <cell r="D1165" t="str">
            <v>عملاء</v>
          </cell>
          <cell r="E1165" t="str">
            <v>المدينون والأرصدة المدينة الأخرى</v>
          </cell>
        </row>
        <row r="1166">
          <cell r="A1166" t="str">
            <v>1-336</v>
          </cell>
          <cell r="C1166" t="str">
            <v>عميل عمرو العبور 336</v>
          </cell>
          <cell r="D1166" t="str">
            <v>عملاء</v>
          </cell>
          <cell r="E1166" t="str">
            <v>المدينون والأرصدة المدينة الأخرى</v>
          </cell>
        </row>
        <row r="1167">
          <cell r="A1167" t="str">
            <v>1-354</v>
          </cell>
          <cell r="C1167" t="str">
            <v>عميل ياسر القرنفل 354</v>
          </cell>
          <cell r="D1167" t="str">
            <v>عملاء</v>
          </cell>
          <cell r="E1167" t="str">
            <v>المدينون والأرصدة المدينة الأخرى</v>
          </cell>
        </row>
        <row r="1168">
          <cell r="A1168" t="str">
            <v>1-355</v>
          </cell>
          <cell r="C1168" t="str">
            <v>عميل هاني القرنفل 355</v>
          </cell>
          <cell r="D1168" t="str">
            <v>عملاء</v>
          </cell>
          <cell r="E1168" t="str">
            <v>المدينون والأرصدة المدينة الأخرى</v>
          </cell>
        </row>
        <row r="1169">
          <cell r="A1169" t="str">
            <v>1-318</v>
          </cell>
          <cell r="C1169" t="str">
            <v>عميل احمد معادي ديونز 318</v>
          </cell>
          <cell r="D1169" t="str">
            <v>عملاء</v>
          </cell>
          <cell r="E1169" t="str">
            <v>المدينون والأرصدة المدينة الأخرى</v>
          </cell>
        </row>
        <row r="1170">
          <cell r="A1170" t="str">
            <v>1-380</v>
          </cell>
          <cell r="C1170" t="str">
            <v>عميل عمرو القصر 380</v>
          </cell>
          <cell r="D1170" t="str">
            <v>عملاء</v>
          </cell>
          <cell r="E1170" t="str">
            <v>المدينون والأرصدة المدينة الأخرى</v>
          </cell>
        </row>
        <row r="1171">
          <cell r="A1171" t="str">
            <v>1-345</v>
          </cell>
          <cell r="C1171" t="str">
            <v>عميل بالم هيلز 345</v>
          </cell>
          <cell r="D1171" t="str">
            <v>عملاء</v>
          </cell>
          <cell r="E1171" t="str">
            <v>المدينون والأرصدة المدينة الأخرى</v>
          </cell>
        </row>
        <row r="1172">
          <cell r="A1172" t="str">
            <v>1-398</v>
          </cell>
          <cell r="C1172" t="str">
            <v>عميل العشري وصال 398</v>
          </cell>
          <cell r="D1172" t="str">
            <v>عملاء</v>
          </cell>
          <cell r="E1172" t="str">
            <v>المدينون والأرصدة المدينة الأخرى</v>
          </cell>
        </row>
        <row r="1173">
          <cell r="A1173" t="str">
            <v>1-401</v>
          </cell>
          <cell r="C1173" t="str">
            <v>عميل احمد زايد جرين 401</v>
          </cell>
          <cell r="D1173" t="str">
            <v>عملاء</v>
          </cell>
          <cell r="E1173" t="str">
            <v>المدينون والأرصدة المدينة الأخرى</v>
          </cell>
        </row>
        <row r="1174">
          <cell r="A1174" t="str">
            <v>1-280</v>
          </cell>
          <cell r="C1174" t="str">
            <v>عميل الاندلس 280</v>
          </cell>
          <cell r="D1174" t="str">
            <v>عملاء</v>
          </cell>
          <cell r="E1174" t="str">
            <v>المدينون والأرصدة المدينة الأخرى</v>
          </cell>
        </row>
        <row r="1175">
          <cell r="A1175" t="str">
            <v>1-365</v>
          </cell>
          <cell r="C1175" t="str">
            <v>عميل هاني العبور 365</v>
          </cell>
          <cell r="D1175" t="str">
            <v>عملاء</v>
          </cell>
          <cell r="E1175" t="str">
            <v>المدينون والأرصدة المدينة الأخرى</v>
          </cell>
        </row>
        <row r="1176">
          <cell r="A1176" t="str">
            <v>1-364</v>
          </cell>
          <cell r="C1176" t="str">
            <v>عميل الاندلس 364</v>
          </cell>
          <cell r="D1176" t="str">
            <v>عملاء</v>
          </cell>
          <cell r="E1176" t="str">
            <v>المدينون والأرصدة المدينة الأخرى</v>
          </cell>
        </row>
        <row r="1177">
          <cell r="A1177" t="str">
            <v>1-235</v>
          </cell>
          <cell r="C1177" t="str">
            <v>عميل الباتيو 235</v>
          </cell>
          <cell r="D1177" t="str">
            <v>عملاء</v>
          </cell>
          <cell r="E1177" t="str">
            <v>المدينون والأرصدة المدينة الأخرى</v>
          </cell>
        </row>
        <row r="1178">
          <cell r="A1178" t="str">
            <v>1-400</v>
          </cell>
          <cell r="C1178" t="str">
            <v>عميل مشروع السويس 400</v>
          </cell>
          <cell r="D1178" t="str">
            <v>عملاء</v>
          </cell>
          <cell r="E1178" t="str">
            <v>المدينون والأرصدة المدينة الأخرى</v>
          </cell>
        </row>
        <row r="1179">
          <cell r="A1179" t="str">
            <v>1-306</v>
          </cell>
          <cell r="C1179" t="str">
            <v>عميل محمد العبور 306</v>
          </cell>
          <cell r="D1179" t="str">
            <v>عملاء</v>
          </cell>
          <cell r="E1179" t="str">
            <v>المدينون والأرصدة المدينة الأخرى</v>
          </cell>
        </row>
        <row r="1180">
          <cell r="A1180" t="str">
            <v>1-361</v>
          </cell>
          <cell r="C1180" t="str">
            <v>عميل اللوتس 361</v>
          </cell>
          <cell r="D1180" t="str">
            <v>عملاء</v>
          </cell>
          <cell r="E1180" t="str">
            <v>المدينون والأرصدة المدينة الأخرى</v>
          </cell>
        </row>
        <row r="1181">
          <cell r="A1181" t="str">
            <v>1-350</v>
          </cell>
          <cell r="C1181" t="str">
            <v>عميل شفيق مدينتي 350</v>
          </cell>
          <cell r="D1181" t="str">
            <v>عملاء</v>
          </cell>
          <cell r="E1181" t="str">
            <v>المدينون والأرصدة المدينة الأخرى</v>
          </cell>
        </row>
        <row r="1182">
          <cell r="A1182" t="str">
            <v>1-273</v>
          </cell>
          <cell r="C1182" t="str">
            <v>عميل كناريا 273</v>
          </cell>
          <cell r="D1182" t="str">
            <v>عملاء</v>
          </cell>
          <cell r="E1182" t="str">
            <v>المدينون والأرصدة المدينة الأخرى</v>
          </cell>
        </row>
        <row r="1183">
          <cell r="A1183">
            <v>6031</v>
          </cell>
          <cell r="C1183" t="str">
            <v>عميل مشروع خاص هليوبوليس م ايه واحمد الميري</v>
          </cell>
          <cell r="D1183" t="str">
            <v>عملاء</v>
          </cell>
          <cell r="E1183" t="str">
            <v>المدينون والأرصدة المدينة الأخرى</v>
          </cell>
        </row>
        <row r="1184">
          <cell r="A1184" t="str">
            <v>1-287</v>
          </cell>
          <cell r="C1184" t="str">
            <v>عميل مشروع المعادي فيو 287</v>
          </cell>
          <cell r="D1184" t="str">
            <v>عملاء</v>
          </cell>
          <cell r="E1184" t="str">
            <v>المدينون والأرصدة المدينة الأخرى</v>
          </cell>
        </row>
        <row r="1185">
          <cell r="A1185">
            <v>6033</v>
          </cell>
          <cell r="C1185" t="str">
            <v xml:space="preserve">عميل نيو جيزة </v>
          </cell>
          <cell r="D1185" t="str">
            <v>عملاء</v>
          </cell>
          <cell r="E1185" t="str">
            <v>المدينون والأرصدة المدينة الأخرى</v>
          </cell>
        </row>
        <row r="1186">
          <cell r="A1186">
            <v>6034</v>
          </cell>
          <cell r="C1186" t="str">
            <v>عميل ايمن مدينتي</v>
          </cell>
          <cell r="D1186" t="str">
            <v>عملاء</v>
          </cell>
          <cell r="E1186" t="str">
            <v>المدينون والأرصدة المدينة الأخرى</v>
          </cell>
        </row>
        <row r="1187">
          <cell r="A1187">
            <v>6035</v>
          </cell>
          <cell r="C1187" t="str">
            <v xml:space="preserve">عميل دجلة مني المجنونة </v>
          </cell>
          <cell r="D1187" t="str">
            <v>عملاء</v>
          </cell>
          <cell r="E1187" t="str">
            <v>المدينون والأرصدة المدينة الأخرى</v>
          </cell>
        </row>
        <row r="1188">
          <cell r="A1188">
            <v>6036</v>
          </cell>
          <cell r="D1188" t="str">
            <v>عملاء</v>
          </cell>
          <cell r="E1188" t="str">
            <v>المدينون والأرصدة المدينة الأخرى</v>
          </cell>
        </row>
        <row r="1189">
          <cell r="A1189">
            <v>6037</v>
          </cell>
          <cell r="D1189" t="str">
            <v>عملاء</v>
          </cell>
          <cell r="E1189" t="str">
            <v>المدينون والأرصدة المدينة الأخرى</v>
          </cell>
        </row>
        <row r="1190">
          <cell r="A1190">
            <v>6038</v>
          </cell>
          <cell r="D1190" t="str">
            <v>عملاء</v>
          </cell>
          <cell r="E1190" t="str">
            <v>المدينون والأرصدة المدينة الأخرى</v>
          </cell>
        </row>
        <row r="1191">
          <cell r="A1191">
            <v>6039</v>
          </cell>
          <cell r="D1191" t="str">
            <v>عملاء</v>
          </cell>
          <cell r="E1191" t="str">
            <v>المدينون والأرصدة المدينة الأخرى</v>
          </cell>
        </row>
        <row r="1192">
          <cell r="A1192">
            <v>6040</v>
          </cell>
          <cell r="D1192" t="str">
            <v>عملاء</v>
          </cell>
          <cell r="E1192" t="str">
            <v>المدينون والأرصدة المدينة الأخرى</v>
          </cell>
        </row>
        <row r="1193">
          <cell r="A1193" t="str">
            <v>2-372</v>
          </cell>
          <cell r="C1193" t="str">
            <v>عميل ثري دي اشرف الشروق 372</v>
          </cell>
          <cell r="D1193" t="str">
            <v>عملاء الثري دي</v>
          </cell>
          <cell r="E1193" t="str">
            <v>المدينون والأرصدة المدينة الأخرى</v>
          </cell>
        </row>
        <row r="1194">
          <cell r="A1194" t="str">
            <v>2-388</v>
          </cell>
          <cell r="C1194" t="str">
            <v>عميل ثري دي الدقي 388</v>
          </cell>
          <cell r="D1194" t="str">
            <v>عملاء الثري دي</v>
          </cell>
          <cell r="E1194" t="str">
            <v>المدينون والأرصدة المدينة الأخرى</v>
          </cell>
        </row>
        <row r="1195">
          <cell r="A1195" t="str">
            <v>2-341</v>
          </cell>
          <cell r="C1195" t="str">
            <v>عميل ثري دي سوديك 341</v>
          </cell>
          <cell r="D1195" t="str">
            <v>عملاء الثري دي</v>
          </cell>
          <cell r="E1195" t="str">
            <v>المدينون والأرصدة المدينة الأخرى</v>
          </cell>
        </row>
        <row r="1196">
          <cell r="A1196" t="str">
            <v>2-336</v>
          </cell>
          <cell r="C1196" t="str">
            <v>عميل ثري دي عمرو العبور 336</v>
          </cell>
          <cell r="D1196" t="str">
            <v>عملاء الثري دي</v>
          </cell>
          <cell r="E1196" t="str">
            <v>المدينون والأرصدة المدينة الأخرى</v>
          </cell>
        </row>
        <row r="1197">
          <cell r="A1197" t="str">
            <v>2-354</v>
          </cell>
          <cell r="C1197" t="str">
            <v>عميل ثري دي ياسر القرنفل 354</v>
          </cell>
          <cell r="D1197" t="str">
            <v>عملاء الثري دي</v>
          </cell>
          <cell r="E1197" t="str">
            <v>المدينون والأرصدة المدينة الأخرى</v>
          </cell>
        </row>
        <row r="1198">
          <cell r="A1198" t="str">
            <v>2-355</v>
          </cell>
          <cell r="C1198" t="str">
            <v>عميل ثري دي هاني القرنفل 355</v>
          </cell>
          <cell r="D1198" t="str">
            <v>عملاء الثري دي</v>
          </cell>
          <cell r="E1198" t="str">
            <v>المدينون والأرصدة المدينة الأخرى</v>
          </cell>
        </row>
        <row r="1199">
          <cell r="A1199" t="str">
            <v>2-318</v>
          </cell>
          <cell r="C1199" t="str">
            <v>عميل ثري دي احمد معادي ديونز 318</v>
          </cell>
          <cell r="D1199" t="str">
            <v>عملاء الثري دي</v>
          </cell>
          <cell r="E1199" t="str">
            <v>المدينون والأرصدة المدينة الأخرى</v>
          </cell>
        </row>
        <row r="1200">
          <cell r="A1200" t="str">
            <v>2-380</v>
          </cell>
          <cell r="C1200" t="str">
            <v>عميل ثري دي عمرو القصر 380</v>
          </cell>
          <cell r="D1200" t="str">
            <v>عملاء الثري دي</v>
          </cell>
          <cell r="E1200" t="str">
            <v>المدينون والأرصدة المدينة الأخرى</v>
          </cell>
        </row>
        <row r="1201">
          <cell r="A1201" t="str">
            <v>2-345</v>
          </cell>
          <cell r="C1201" t="str">
            <v>عميل ثري دي بالم هيلز 345</v>
          </cell>
          <cell r="D1201" t="str">
            <v>عملاء الثري دي</v>
          </cell>
          <cell r="E1201" t="str">
            <v>المدينون والأرصدة المدينة الأخرى</v>
          </cell>
        </row>
        <row r="1202">
          <cell r="A1202" t="str">
            <v>2-398</v>
          </cell>
          <cell r="C1202" t="str">
            <v>عميل ثري دي العشري وصال 398</v>
          </cell>
          <cell r="D1202" t="str">
            <v>عملاء الثري دي</v>
          </cell>
          <cell r="E1202" t="str">
            <v>المدينون والأرصدة المدينة الأخرى</v>
          </cell>
        </row>
        <row r="1203">
          <cell r="A1203" t="str">
            <v>2-401</v>
          </cell>
          <cell r="C1203" t="str">
            <v>عميل ثري دي احمد زايد جرين 401</v>
          </cell>
          <cell r="D1203" t="str">
            <v>عملاء الثري دي</v>
          </cell>
          <cell r="E1203" t="str">
            <v>المدينون والأرصدة المدينة الأخرى</v>
          </cell>
        </row>
        <row r="1204">
          <cell r="A1204" t="str">
            <v>2-280</v>
          </cell>
          <cell r="C1204" t="str">
            <v>عميل ثري دي الاندلس 280</v>
          </cell>
          <cell r="D1204" t="str">
            <v>عملاء الثري دي</v>
          </cell>
          <cell r="E1204" t="str">
            <v>المدينون والأرصدة المدينة الأخرى</v>
          </cell>
        </row>
        <row r="1205">
          <cell r="A1205" t="str">
            <v>2-365</v>
          </cell>
          <cell r="C1205" t="str">
            <v>عميل ثري دي هاني العبور 365</v>
          </cell>
          <cell r="D1205" t="str">
            <v>عملاء الثري دي</v>
          </cell>
          <cell r="E1205" t="str">
            <v>المدينون والأرصدة المدينة الأخرى</v>
          </cell>
        </row>
        <row r="1206">
          <cell r="A1206" t="str">
            <v>2-364</v>
          </cell>
          <cell r="C1206" t="str">
            <v>عميل ثري دي الاندلس 364</v>
          </cell>
          <cell r="D1206" t="str">
            <v>عملاء الثري دي</v>
          </cell>
          <cell r="E1206" t="str">
            <v>المدينون والأرصدة المدينة الأخرى</v>
          </cell>
        </row>
        <row r="1207">
          <cell r="A1207" t="str">
            <v>2-235</v>
          </cell>
          <cell r="C1207" t="str">
            <v>عميل ثري دي الباتيو 235</v>
          </cell>
          <cell r="D1207" t="str">
            <v>عملاء الثري دي</v>
          </cell>
          <cell r="E1207" t="str">
            <v>المدينون والأرصدة المدينة الأخرى</v>
          </cell>
        </row>
        <row r="1208">
          <cell r="A1208" t="str">
            <v>2-400</v>
          </cell>
          <cell r="C1208" t="str">
            <v>عميل ثري دي مشروع السويس 400</v>
          </cell>
          <cell r="D1208" t="str">
            <v>عملاء الثري دي</v>
          </cell>
          <cell r="E1208" t="str">
            <v>المدينون والأرصدة المدينة الأخرى</v>
          </cell>
        </row>
        <row r="1209">
          <cell r="A1209" t="str">
            <v>2-306</v>
          </cell>
          <cell r="C1209" t="str">
            <v>عميل ثري دي محمد العبور 306</v>
          </cell>
          <cell r="D1209" t="str">
            <v>عملاء الثري دي</v>
          </cell>
          <cell r="E1209" t="str">
            <v>المدينون والأرصدة المدينة الأخرى</v>
          </cell>
        </row>
        <row r="1210">
          <cell r="A1210" t="str">
            <v>2-361</v>
          </cell>
          <cell r="C1210" t="str">
            <v>عميل ثري دي اللوتس 361</v>
          </cell>
          <cell r="D1210" t="str">
            <v>عملاء الثري دي</v>
          </cell>
          <cell r="E1210" t="str">
            <v>المدينون والأرصدة المدينة الأخرى</v>
          </cell>
        </row>
        <row r="1211">
          <cell r="A1211" t="str">
            <v>2-350</v>
          </cell>
          <cell r="C1211" t="str">
            <v>عميل ثري دي شفيق مدينتي 350</v>
          </cell>
          <cell r="D1211" t="str">
            <v>عملاء الثري دي</v>
          </cell>
          <cell r="E1211" t="str">
            <v>المدينون والأرصدة المدينة الأخرى</v>
          </cell>
        </row>
        <row r="1212">
          <cell r="A1212" t="str">
            <v>2-273</v>
          </cell>
          <cell r="C1212" t="str">
            <v>عميل ثري دي كناريا 273</v>
          </cell>
          <cell r="D1212" t="str">
            <v>عملاء الثري دي</v>
          </cell>
          <cell r="E1212" t="str">
            <v>المدينون والأرصدة المدينة الأخرى</v>
          </cell>
        </row>
        <row r="1213">
          <cell r="A1213">
            <v>6061</v>
          </cell>
          <cell r="C1213" t="str">
            <v>عميل ثري دي مشروع المعادي فيو 287</v>
          </cell>
          <cell r="D1213" t="str">
            <v>عملاء الثري دي</v>
          </cell>
          <cell r="E1213" t="str">
            <v>المدينون والأرصدة المدينة الأخرى</v>
          </cell>
        </row>
        <row r="1214">
          <cell r="A1214" t="str">
            <v>2-404</v>
          </cell>
          <cell r="C1214" t="str">
            <v>عميل ثري دي احمد الدقي 404</v>
          </cell>
          <cell r="D1214" t="str">
            <v>عملاء الثري دي</v>
          </cell>
          <cell r="E1214" t="str">
            <v>المدينون والأرصدة المدينة الأخرى</v>
          </cell>
        </row>
        <row r="1215">
          <cell r="A1215" t="str">
            <v>2-288</v>
          </cell>
          <cell r="C1215" t="str">
            <v>عميل ثري دي الاندلس 288</v>
          </cell>
          <cell r="D1215" t="str">
            <v>عملاء الثري دي</v>
          </cell>
          <cell r="E1215" t="str">
            <v>المدينون والأرصدة المدينة الأخرى</v>
          </cell>
        </row>
        <row r="1216">
          <cell r="A1216">
            <v>6041</v>
          </cell>
          <cell r="C1216" t="str">
            <v>عميل ثري دي جراندا</v>
          </cell>
          <cell r="D1216" t="str">
            <v>عملاء الثري دي</v>
          </cell>
          <cell r="E1216" t="str">
            <v>المدينون والأرصدة المدينة الأخرى</v>
          </cell>
        </row>
        <row r="1217">
          <cell r="A1217" t="str">
            <v>2-408</v>
          </cell>
          <cell r="C1217" t="str">
            <v>عميل ثري دي ديستراكت 408</v>
          </cell>
          <cell r="D1217" t="str">
            <v>عملاء الثري دي</v>
          </cell>
          <cell r="E1217" t="str">
            <v>المدينون والأرصدة المدينة الأخرى</v>
          </cell>
        </row>
        <row r="1229">
          <cell r="A1229">
            <v>50</v>
          </cell>
          <cell r="C1229" t="str">
            <v>عهد وسلف</v>
          </cell>
          <cell r="D1229" t="str">
            <v>عهد وسلف</v>
          </cell>
          <cell r="E1229" t="str">
            <v>المدينون والأرصدة المدينة الأخرى</v>
          </cell>
        </row>
        <row r="1230">
          <cell r="A1230" t="str">
            <v>50-1</v>
          </cell>
          <cell r="C1230" t="str">
            <v>عهدة م ايه</v>
          </cell>
          <cell r="D1230" t="str">
            <v>عهد</v>
          </cell>
          <cell r="E1230" t="str">
            <v>المدينون والأرصدة المدينة الأخرى</v>
          </cell>
        </row>
        <row r="1231">
          <cell r="A1231" t="str">
            <v>50-2</v>
          </cell>
          <cell r="C1231" t="str">
            <v>عهدة سامح مشتريات</v>
          </cell>
          <cell r="D1231" t="str">
            <v>عهد</v>
          </cell>
          <cell r="E1231" t="str">
            <v>المدينون والأرصدة المدينة الأخرى</v>
          </cell>
        </row>
        <row r="1232">
          <cell r="A1232" t="str">
            <v>50-3</v>
          </cell>
          <cell r="D1232" t="str">
            <v>عهد</v>
          </cell>
          <cell r="E1232" t="str">
            <v>المدينون والأرصدة المدينة الأخرى</v>
          </cell>
        </row>
        <row r="1233">
          <cell r="A1233" t="str">
            <v>50-4</v>
          </cell>
          <cell r="D1233" t="str">
            <v>عهد</v>
          </cell>
          <cell r="E1233" t="str">
            <v>المدينون والأرصدة المدينة الأخرى</v>
          </cell>
        </row>
        <row r="1234">
          <cell r="A1234" t="str">
            <v>50-5</v>
          </cell>
          <cell r="D1234" t="str">
            <v>عهد</v>
          </cell>
          <cell r="E1234" t="str">
            <v>المدينون والأرصدة المدينة الأخرى</v>
          </cell>
        </row>
        <row r="1235">
          <cell r="A1235" t="str">
            <v>50-6</v>
          </cell>
          <cell r="C1235" t="str">
            <v>سلفة اسلام اسامة</v>
          </cell>
          <cell r="D1235" t="str">
            <v>سلف</v>
          </cell>
          <cell r="E1235" t="str">
            <v>المدينون والأرصدة المدينة الأخرى</v>
          </cell>
        </row>
        <row r="1236">
          <cell r="A1236" t="str">
            <v>50-7</v>
          </cell>
          <cell r="C1236" t="str">
            <v>سلفة منير بوفيه</v>
          </cell>
          <cell r="D1236" t="str">
            <v>سلف</v>
          </cell>
          <cell r="E1236" t="str">
            <v>المدينون والأرصدة المدينة الأخرى</v>
          </cell>
        </row>
        <row r="1237">
          <cell r="A1237" t="str">
            <v>50-8</v>
          </cell>
          <cell r="C1237" t="str">
            <v>سلفة احمد يونس</v>
          </cell>
          <cell r="D1237" t="str">
            <v>سلف</v>
          </cell>
          <cell r="E1237" t="str">
            <v>المدينون والأرصدة المدينة الأخرى</v>
          </cell>
        </row>
        <row r="1238">
          <cell r="A1238" t="str">
            <v>50-9</v>
          </cell>
          <cell r="C1238" t="str">
            <v>سلفة عبدالرحمن</v>
          </cell>
          <cell r="D1238" t="str">
            <v>سلف</v>
          </cell>
          <cell r="E1238" t="str">
            <v>المدينون والأرصدة المدينة الأخرى</v>
          </cell>
        </row>
        <row r="1239">
          <cell r="A1239" t="str">
            <v>50-10</v>
          </cell>
          <cell r="C1239" t="str">
            <v>سلفة احمد علي</v>
          </cell>
          <cell r="D1239" t="str">
            <v>سلف</v>
          </cell>
          <cell r="E1239" t="str">
            <v>المدينون والأرصدة المدينة الأخرى</v>
          </cell>
        </row>
        <row r="1240">
          <cell r="A1240" t="str">
            <v>50-11</v>
          </cell>
          <cell r="D1240" t="str">
            <v>سلف</v>
          </cell>
          <cell r="E1240" t="str">
            <v>المدينون والأرصدة المدينة الأخرى</v>
          </cell>
        </row>
        <row r="1241">
          <cell r="A1241" t="str">
            <v>50-12</v>
          </cell>
          <cell r="C1241" t="str">
            <v>تأمين مقر</v>
          </cell>
          <cell r="D1241" t="str">
            <v>تأمينات لدي الغير</v>
          </cell>
          <cell r="E1241" t="str">
            <v>المدينون والأرصدة المدينة الأخرى</v>
          </cell>
        </row>
        <row r="1242">
          <cell r="A1242">
            <v>6030</v>
          </cell>
          <cell r="E1242" t="str">
            <v>المدينون والأرصدة المدينة الأخرى</v>
          </cell>
        </row>
        <row r="1243">
          <cell r="A1243">
            <v>6031</v>
          </cell>
          <cell r="E1243" t="str">
            <v>المدينون والأرصدة المدينة الأخرى</v>
          </cell>
        </row>
        <row r="1244">
          <cell r="A1244">
            <v>6032</v>
          </cell>
          <cell r="E1244" t="str">
            <v>المدينون والأرصدة المدينة الأخرى</v>
          </cell>
        </row>
        <row r="1245">
          <cell r="A1245">
            <v>6027</v>
          </cell>
          <cell r="C1245" t="str">
            <v xml:space="preserve">حقوق الملكية </v>
          </cell>
          <cell r="D1245" t="str">
            <v xml:space="preserve">حقوق الملكية </v>
          </cell>
          <cell r="E1245" t="str">
            <v xml:space="preserve">حقوق الملكية </v>
          </cell>
        </row>
        <row r="1246">
          <cell r="A1246">
            <v>1000</v>
          </cell>
          <cell r="C1246" t="str">
            <v xml:space="preserve">رأس المال المستثمر اول المدة </v>
          </cell>
          <cell r="D1246" t="str">
            <v>رأس المال</v>
          </cell>
          <cell r="E1246" t="str">
            <v xml:space="preserve">حقوق الملكية </v>
          </cell>
        </row>
        <row r="1247">
          <cell r="A1247" t="str">
            <v>2000-1</v>
          </cell>
          <cell r="C1247" t="str">
            <v xml:space="preserve">جارى شركاء دكتور احمد </v>
          </cell>
          <cell r="D1247" t="str">
            <v>جاري الشركاء</v>
          </cell>
          <cell r="E1247" t="str">
            <v xml:space="preserve">حقوق الملكية </v>
          </cell>
        </row>
        <row r="1248">
          <cell r="A1248">
            <v>2000</v>
          </cell>
          <cell r="D1248" t="str">
            <v>جاري الشركاء</v>
          </cell>
          <cell r="E1248" t="str">
            <v xml:space="preserve">حقوق الملكية </v>
          </cell>
        </row>
        <row r="1249">
          <cell r="A1249">
            <v>2001</v>
          </cell>
          <cell r="D1249" t="str">
            <v>جاري الشركاء</v>
          </cell>
          <cell r="E1249" t="str">
            <v xml:space="preserve">حقوق الملكية </v>
          </cell>
        </row>
        <row r="1250">
          <cell r="A1250">
            <v>2013</v>
          </cell>
          <cell r="D1250" t="str">
            <v>جاري الشركاء</v>
          </cell>
          <cell r="E1250" t="str">
            <v xml:space="preserve">حقوق الملكية </v>
          </cell>
        </row>
        <row r="1251">
          <cell r="A1251">
            <v>2014</v>
          </cell>
          <cell r="D1251" t="str">
            <v>جاري الشركاء</v>
          </cell>
          <cell r="E1251" t="str">
            <v xml:space="preserve">حقوق الملكية </v>
          </cell>
        </row>
        <row r="1252">
          <cell r="A1252">
            <v>2015</v>
          </cell>
          <cell r="D1252" t="str">
            <v>جاري الشركاء</v>
          </cell>
          <cell r="E1252" t="str">
            <v xml:space="preserve">حقوق الملكية </v>
          </cell>
        </row>
        <row r="1253">
          <cell r="A1253">
            <v>2016</v>
          </cell>
          <cell r="C1253" t="str">
            <v xml:space="preserve">خسارة مرحلة </v>
          </cell>
          <cell r="D1253" t="str">
            <v xml:space="preserve">خسائر مرحلة </v>
          </cell>
          <cell r="E1253" t="str">
            <v xml:space="preserve">حقوق الملكية </v>
          </cell>
        </row>
        <row r="1254">
          <cell r="A1254">
            <v>2002</v>
          </cell>
          <cell r="C1254" t="str">
            <v xml:space="preserve">ارباح محتجزة </v>
          </cell>
          <cell r="D1254" t="str">
            <v xml:space="preserve">ارباح محتجزة </v>
          </cell>
          <cell r="E1254" t="str">
            <v xml:space="preserve">حقوق الملكية </v>
          </cell>
        </row>
        <row r="1255">
          <cell r="A1255">
            <v>2003</v>
          </cell>
          <cell r="C1255" t="str">
            <v xml:space="preserve">الايرادات </v>
          </cell>
          <cell r="D1255" t="str">
            <v xml:space="preserve">الايرادات </v>
          </cell>
          <cell r="E1255" t="str">
            <v xml:space="preserve">الايرادات </v>
          </cell>
        </row>
        <row r="1256">
          <cell r="A1256">
            <v>2004</v>
          </cell>
          <cell r="C1256" t="str">
            <v>ايراد مشروع بيت الوطن 149</v>
          </cell>
          <cell r="D1256" t="str">
            <v>ايراد التشغيل ( مستخلصات )</v>
          </cell>
          <cell r="E1256" t="str">
            <v xml:space="preserve">الايرادات </v>
          </cell>
        </row>
        <row r="1257">
          <cell r="A1257">
            <v>2005</v>
          </cell>
          <cell r="C1257" t="str">
            <v>ايراد مشروع الباتيو 235</v>
          </cell>
          <cell r="D1257" t="str">
            <v>ايراد التشغيل ( مستخلصات )</v>
          </cell>
          <cell r="E1257" t="str">
            <v xml:space="preserve">الايرادات </v>
          </cell>
        </row>
        <row r="1258">
          <cell r="A1258">
            <v>2006</v>
          </cell>
          <cell r="C1258" t="str">
            <v>ايراد مشروع كناريا 273</v>
          </cell>
          <cell r="D1258" t="str">
            <v>ايراد التشغيل ( مستخلصات )</v>
          </cell>
          <cell r="E1258" t="str">
            <v xml:space="preserve">الايرادات </v>
          </cell>
        </row>
        <row r="1259">
          <cell r="A1259">
            <v>2007</v>
          </cell>
          <cell r="C1259" t="str">
            <v>ايراد مشروع الاندلس 280</v>
          </cell>
          <cell r="D1259" t="str">
            <v>ايراد التشغيل ( مستخلصات )</v>
          </cell>
          <cell r="E1259" t="str">
            <v xml:space="preserve">الايرادات </v>
          </cell>
        </row>
        <row r="1260">
          <cell r="A1260">
            <v>2008</v>
          </cell>
          <cell r="C1260" t="str">
            <v>ايراد مشروع المعادي فيو 287</v>
          </cell>
          <cell r="D1260" t="str">
            <v>ايراد التشغيل ( مستخلصات )</v>
          </cell>
          <cell r="E1260" t="str">
            <v xml:space="preserve">الايرادات </v>
          </cell>
        </row>
        <row r="1261">
          <cell r="A1261">
            <v>2009</v>
          </cell>
          <cell r="C1261" t="str">
            <v>ايراد مشروع العبور 306</v>
          </cell>
          <cell r="D1261" t="str">
            <v>ايراد التشغيل ( مستخلصات )</v>
          </cell>
          <cell r="E1261" t="str">
            <v xml:space="preserve">الايرادات </v>
          </cell>
        </row>
        <row r="1262">
          <cell r="A1262">
            <v>2010</v>
          </cell>
          <cell r="C1262" t="str">
            <v>ايراد مشروع المعادي ديونز 318</v>
          </cell>
          <cell r="D1262" t="str">
            <v>ايراد التشغيل ( مستخلصات )</v>
          </cell>
          <cell r="E1262" t="str">
            <v xml:space="preserve">الايرادات </v>
          </cell>
        </row>
        <row r="1263">
          <cell r="A1263">
            <v>2011</v>
          </cell>
          <cell r="C1263" t="str">
            <v>ايراد مشروع عمرو العبور 336</v>
          </cell>
          <cell r="D1263" t="str">
            <v>ايراد التشغيل ( مستخلصات )</v>
          </cell>
          <cell r="E1263" t="str">
            <v xml:space="preserve">الايرادات </v>
          </cell>
        </row>
        <row r="1264">
          <cell r="A1264">
            <v>2012</v>
          </cell>
          <cell r="C1264" t="str">
            <v>ايراد مشروع سوديك 341</v>
          </cell>
          <cell r="D1264" t="str">
            <v>ايراد التشغيل ( مستخلصات )</v>
          </cell>
          <cell r="E1264" t="str">
            <v xml:space="preserve">الايرادات </v>
          </cell>
        </row>
        <row r="1265">
          <cell r="A1265">
            <v>2012</v>
          </cell>
          <cell r="C1265" t="str">
            <v>ايراد مشروع بالم هيلز 345</v>
          </cell>
          <cell r="D1265" t="str">
            <v>ايراد التشغيل ( مستخلصات )</v>
          </cell>
          <cell r="E1265" t="str">
            <v xml:space="preserve">الايرادات </v>
          </cell>
        </row>
        <row r="1266">
          <cell r="A1266">
            <v>2012</v>
          </cell>
          <cell r="C1266" t="str">
            <v>ايراد مشروع شفيق 350</v>
          </cell>
          <cell r="D1266" t="str">
            <v>ايراد التشغيل ( مستخلصات )</v>
          </cell>
          <cell r="E1266" t="str">
            <v xml:space="preserve">الايرادات </v>
          </cell>
        </row>
        <row r="1267">
          <cell r="A1267">
            <v>2012</v>
          </cell>
          <cell r="C1267" t="str">
            <v>ايراد مشروع ياسر القرنفل 354</v>
          </cell>
          <cell r="D1267" t="str">
            <v>ايراد التشغيل ( مستخلصات )</v>
          </cell>
          <cell r="E1267" t="str">
            <v xml:space="preserve">الايرادات </v>
          </cell>
        </row>
        <row r="1268">
          <cell r="A1268">
            <v>2012</v>
          </cell>
          <cell r="C1268" t="str">
            <v>ايراد مشروع هاني القرنفل 355</v>
          </cell>
          <cell r="D1268" t="str">
            <v>ايراد التشغيل ( مستخلصات )</v>
          </cell>
          <cell r="E1268" t="str">
            <v xml:space="preserve">الايرادات </v>
          </cell>
        </row>
        <row r="1269">
          <cell r="A1269">
            <v>2012</v>
          </cell>
          <cell r="C1269" t="str">
            <v>ايراد مشروع مصطفي مدينتي 356</v>
          </cell>
          <cell r="D1269" t="str">
            <v>ايراد التشغيل ( مستخلصات )</v>
          </cell>
          <cell r="E1269" t="str">
            <v xml:space="preserve">الايرادات </v>
          </cell>
        </row>
        <row r="1270">
          <cell r="A1270">
            <v>2012</v>
          </cell>
          <cell r="C1270" t="str">
            <v>ايراد مشروع اللوتس 361</v>
          </cell>
          <cell r="D1270" t="str">
            <v>ايراد التشغيل ( مستخلصات )</v>
          </cell>
          <cell r="E1270" t="str">
            <v xml:space="preserve">الايرادات </v>
          </cell>
        </row>
        <row r="1271">
          <cell r="A1271">
            <v>2012</v>
          </cell>
          <cell r="C1271" t="str">
            <v>ايراد مشروع الاندلس 364</v>
          </cell>
          <cell r="D1271" t="str">
            <v>ايراد التشغيل ( مستخلصات )</v>
          </cell>
          <cell r="E1271" t="str">
            <v xml:space="preserve">الايرادات </v>
          </cell>
        </row>
        <row r="1272">
          <cell r="A1272">
            <v>2012</v>
          </cell>
          <cell r="C1272" t="str">
            <v>ايراد مشروع هاني العبور 365</v>
          </cell>
          <cell r="D1272" t="str">
            <v>ايراد التشغيل ( مستخلصات )</v>
          </cell>
          <cell r="E1272" t="str">
            <v xml:space="preserve">الايرادات </v>
          </cell>
        </row>
        <row r="1273">
          <cell r="A1273">
            <v>2012</v>
          </cell>
          <cell r="C1273" t="str">
            <v>ايراد مشروع اشرف الشروق 372</v>
          </cell>
          <cell r="D1273" t="str">
            <v>ايراد التشغيل ( مستخلصات )</v>
          </cell>
          <cell r="E1273" t="str">
            <v xml:space="preserve">الايرادات </v>
          </cell>
        </row>
        <row r="1274">
          <cell r="A1274">
            <v>2012</v>
          </cell>
          <cell r="C1274" t="str">
            <v>ايراد مشروع القصر 380</v>
          </cell>
          <cell r="D1274" t="str">
            <v>ايراد التشغيل ( مستخلصات )</v>
          </cell>
          <cell r="E1274" t="str">
            <v xml:space="preserve">الايرادات </v>
          </cell>
        </row>
        <row r="1275">
          <cell r="A1275">
            <v>2012</v>
          </cell>
          <cell r="C1275" t="str">
            <v>ايراد مشروع الدقي 388</v>
          </cell>
          <cell r="D1275" t="str">
            <v>ايراد التشغيل ( مستخلصات )</v>
          </cell>
          <cell r="E1275" t="str">
            <v xml:space="preserve">الايرادات </v>
          </cell>
        </row>
        <row r="1276">
          <cell r="A1276">
            <v>2012</v>
          </cell>
          <cell r="C1276" t="str">
            <v>ايراد مشروع وصال العشري 398</v>
          </cell>
          <cell r="D1276" t="str">
            <v>ايراد التشغيل ( مستخلصات )</v>
          </cell>
          <cell r="E1276" t="str">
            <v xml:space="preserve">الايرادات </v>
          </cell>
        </row>
        <row r="1277">
          <cell r="A1277">
            <v>2012</v>
          </cell>
          <cell r="C1277" t="str">
            <v>ايراد مشروع السويس 400</v>
          </cell>
          <cell r="D1277" t="str">
            <v>ايراد التشغيل ( مستخلصات )</v>
          </cell>
          <cell r="E1277" t="str">
            <v xml:space="preserve">الايرادات </v>
          </cell>
        </row>
        <row r="1278">
          <cell r="A1278">
            <v>2012</v>
          </cell>
          <cell r="C1278" t="str">
            <v>ايراد مشروع احمد زايد 401</v>
          </cell>
          <cell r="D1278" t="str">
            <v>ايراد التشغيل ( مستخلصات )</v>
          </cell>
          <cell r="E1278" t="str">
            <v xml:space="preserve">الايرادات </v>
          </cell>
        </row>
        <row r="1279">
          <cell r="A1279">
            <v>2012</v>
          </cell>
          <cell r="C1279" t="str">
            <v>ايراد مشروع وصال شحتوت</v>
          </cell>
          <cell r="D1279" t="str">
            <v>ايراد التشغيل ( مستخلصات )</v>
          </cell>
          <cell r="E1279" t="str">
            <v xml:space="preserve">الايرادات </v>
          </cell>
        </row>
        <row r="1280">
          <cell r="A1280">
            <v>2012</v>
          </cell>
          <cell r="C1280" t="str">
            <v>ايراد مشروع رأس الحكمة</v>
          </cell>
          <cell r="D1280" t="str">
            <v>ايراد التشغيل ( مستخلصات )</v>
          </cell>
          <cell r="E1280" t="str">
            <v xml:space="preserve">الايرادات </v>
          </cell>
        </row>
        <row r="1281">
          <cell r="A1281">
            <v>2012</v>
          </cell>
          <cell r="C1281" t="str">
            <v>ايراد مشروع شقة هليوبوليس</v>
          </cell>
          <cell r="D1281" t="str">
            <v>ايراد التشغيل ( مستخلصات )</v>
          </cell>
          <cell r="E1281" t="str">
            <v xml:space="preserve">الايرادات </v>
          </cell>
        </row>
        <row r="1282">
          <cell r="A1282">
            <v>2012</v>
          </cell>
          <cell r="D1282" t="str">
            <v>ايراد التشغيل ( مستخلصات )</v>
          </cell>
          <cell r="E1282" t="str">
            <v xml:space="preserve">الايرادات </v>
          </cell>
        </row>
        <row r="1283">
          <cell r="A1283">
            <v>2012</v>
          </cell>
          <cell r="D1283" t="str">
            <v>ايراد التشغيل ( مستخلصات )</v>
          </cell>
          <cell r="E1283" t="str">
            <v xml:space="preserve">الايرادات </v>
          </cell>
        </row>
        <row r="1284">
          <cell r="A1284">
            <v>2012</v>
          </cell>
          <cell r="D1284" t="str">
            <v>ايراد التشغيل ( مستخلصات )</v>
          </cell>
          <cell r="E1284" t="str">
            <v xml:space="preserve">الايرادات </v>
          </cell>
        </row>
        <row r="1285">
          <cell r="A1285">
            <v>2012</v>
          </cell>
          <cell r="D1285" t="str">
            <v>ايراد التشغيل ( مستخلصات )</v>
          </cell>
          <cell r="E1285" t="str">
            <v xml:space="preserve">الايرادات </v>
          </cell>
        </row>
        <row r="1286">
          <cell r="A1286">
            <v>2012</v>
          </cell>
          <cell r="D1286" t="str">
            <v>ايراد التشغيل ( مستخلصات )</v>
          </cell>
          <cell r="E1286" t="str">
            <v xml:space="preserve">الايرادات </v>
          </cell>
        </row>
        <row r="1287">
          <cell r="A1287" t="str">
            <v>2012-5</v>
          </cell>
          <cell r="C1287" t="str">
            <v xml:space="preserve">ايراد معاينات </v>
          </cell>
          <cell r="D1287" t="str">
            <v xml:space="preserve">ايراد معاينات </v>
          </cell>
          <cell r="E1287" t="str">
            <v xml:space="preserve">الايرادات </v>
          </cell>
        </row>
        <row r="1288">
          <cell r="A1288">
            <v>2012</v>
          </cell>
          <cell r="C1288" t="str">
            <v>عميل ثري دي الدقي 388</v>
          </cell>
          <cell r="D1288" t="str">
            <v>ايراد ثري دي</v>
          </cell>
          <cell r="E1288" t="str">
            <v xml:space="preserve">الايرادات </v>
          </cell>
        </row>
        <row r="1289">
          <cell r="A1289">
            <v>2012</v>
          </cell>
          <cell r="C1289" t="str">
            <v>عميل ثري دي القصر 380</v>
          </cell>
          <cell r="D1289" t="str">
            <v>ايراد ثري دي</v>
          </cell>
          <cell r="E1289" t="str">
            <v xml:space="preserve">الايرادات </v>
          </cell>
        </row>
        <row r="1290">
          <cell r="A1290">
            <v>2012</v>
          </cell>
          <cell r="C1290" t="str">
            <v>عميل ثري دي 228</v>
          </cell>
          <cell r="D1290" t="str">
            <v>ايراد ثري دي</v>
          </cell>
          <cell r="E1290" t="str">
            <v xml:space="preserve">الايرادات </v>
          </cell>
        </row>
        <row r="1291">
          <cell r="A1291">
            <v>2012</v>
          </cell>
          <cell r="C1291" t="str">
            <v>عميل ثري دي المعادي 318</v>
          </cell>
          <cell r="D1291" t="str">
            <v>ايراد ثري دي</v>
          </cell>
          <cell r="E1291" t="str">
            <v xml:space="preserve">الايرادات </v>
          </cell>
        </row>
        <row r="1292">
          <cell r="A1292">
            <v>2012</v>
          </cell>
          <cell r="C1292" t="str">
            <v>عميل ثري دي احمد الدقي 404</v>
          </cell>
          <cell r="D1292" t="str">
            <v>ايراد ثري دي</v>
          </cell>
          <cell r="E1292" t="str">
            <v xml:space="preserve">الايرادات </v>
          </cell>
        </row>
        <row r="1293">
          <cell r="A1293">
            <v>2012</v>
          </cell>
          <cell r="C1293" t="str">
            <v>عميل ثري دي احمد زايد 401</v>
          </cell>
          <cell r="D1293" t="str">
            <v>ايراد ثري دي</v>
          </cell>
          <cell r="E1293" t="str">
            <v xml:space="preserve">الايرادات </v>
          </cell>
        </row>
        <row r="1294">
          <cell r="A1294">
            <v>2012</v>
          </cell>
          <cell r="C1294" t="str">
            <v>عميل ثري دي جيهان اكتوبر</v>
          </cell>
          <cell r="D1294" t="str">
            <v>ايراد ثري دي</v>
          </cell>
          <cell r="E1294" t="str">
            <v xml:space="preserve">الايرادات </v>
          </cell>
        </row>
        <row r="1295">
          <cell r="A1295">
            <v>2012</v>
          </cell>
          <cell r="C1295" t="str">
            <v>عميل ثري دي العشري وصال 398</v>
          </cell>
          <cell r="D1295" t="str">
            <v>ايراد ثري دي</v>
          </cell>
          <cell r="E1295" t="str">
            <v xml:space="preserve">الايرادات </v>
          </cell>
        </row>
        <row r="1296">
          <cell r="A1296">
            <v>2012</v>
          </cell>
          <cell r="D1296" t="str">
            <v>ايراد ثري دي</v>
          </cell>
          <cell r="E1296" t="str">
            <v xml:space="preserve">الايرادات </v>
          </cell>
        </row>
        <row r="1297">
          <cell r="A1297">
            <v>2012</v>
          </cell>
          <cell r="D1297" t="str">
            <v>ايراد ثري دي</v>
          </cell>
          <cell r="E1297" t="str">
            <v xml:space="preserve">الايرادات </v>
          </cell>
        </row>
        <row r="1298">
          <cell r="A1298">
            <v>2012</v>
          </cell>
          <cell r="D1298" t="str">
            <v>ايراد ثري دي</v>
          </cell>
          <cell r="E1298" t="str">
            <v xml:space="preserve">الايرادات </v>
          </cell>
        </row>
        <row r="1299">
          <cell r="A1299">
            <v>2012</v>
          </cell>
          <cell r="D1299" t="str">
            <v>ايراد ثري دي</v>
          </cell>
          <cell r="E1299" t="str">
            <v xml:space="preserve">الايرادات </v>
          </cell>
        </row>
        <row r="1300">
          <cell r="A1300">
            <v>2012</v>
          </cell>
          <cell r="D1300" t="str">
            <v>ايراد ثري دي</v>
          </cell>
          <cell r="E1300" t="str">
            <v xml:space="preserve">الايرادات </v>
          </cell>
        </row>
        <row r="1301">
          <cell r="A1301">
            <v>2012</v>
          </cell>
          <cell r="D1301" t="str">
            <v>ايراد ثري دي</v>
          </cell>
          <cell r="E1301" t="str">
            <v xml:space="preserve">الايرادات </v>
          </cell>
        </row>
        <row r="1302">
          <cell r="A1302">
            <v>2012</v>
          </cell>
          <cell r="D1302" t="str">
            <v>ايراد ثري دي</v>
          </cell>
          <cell r="E1302" t="str">
            <v xml:space="preserve">الايرادات </v>
          </cell>
        </row>
        <row r="1303">
          <cell r="A1303">
            <v>2012</v>
          </cell>
          <cell r="D1303" t="str">
            <v>ايراد ثري دي</v>
          </cell>
          <cell r="E1303" t="str">
            <v xml:space="preserve">الايرادات </v>
          </cell>
        </row>
        <row r="1304">
          <cell r="A1304">
            <v>2012</v>
          </cell>
          <cell r="D1304" t="str">
            <v>ايراد ثري دي</v>
          </cell>
          <cell r="E1304" t="str">
            <v xml:space="preserve">الايرادات </v>
          </cell>
        </row>
        <row r="1305">
          <cell r="A1305">
            <v>2012</v>
          </cell>
          <cell r="D1305" t="str">
            <v>ايراد ثري دي</v>
          </cell>
          <cell r="E1305" t="str">
            <v xml:space="preserve">الايرادات </v>
          </cell>
        </row>
        <row r="1306">
          <cell r="A1306">
            <v>2012</v>
          </cell>
          <cell r="D1306" t="str">
            <v>ايراد ثري دي</v>
          </cell>
          <cell r="E1306" t="str">
            <v xml:space="preserve">الايرادات </v>
          </cell>
        </row>
        <row r="1307">
          <cell r="A1307">
            <v>2012</v>
          </cell>
          <cell r="D1307" t="str">
            <v>ايراد ثري دي</v>
          </cell>
          <cell r="E1307" t="str">
            <v xml:space="preserve">الايرادات </v>
          </cell>
        </row>
        <row r="1308">
          <cell r="A1308" t="str">
            <v>2012-9</v>
          </cell>
          <cell r="C1308" t="str">
            <v xml:space="preserve">ايراد خامات </v>
          </cell>
          <cell r="D1308" t="str">
            <v xml:space="preserve">ايراد خامات </v>
          </cell>
          <cell r="E1308" t="str">
            <v xml:space="preserve">الايرادات </v>
          </cell>
        </row>
        <row r="1310">
          <cell r="A1310">
            <v>4000</v>
          </cell>
          <cell r="C1310" t="str">
            <v xml:space="preserve">الدائنون </v>
          </cell>
          <cell r="D1310" t="str">
            <v>موردين</v>
          </cell>
          <cell r="E1310" t="str">
            <v xml:space="preserve">الدائنون والأرصدة الدائنة الأخرى </v>
          </cell>
        </row>
        <row r="1311">
          <cell r="A1311">
            <v>4001</v>
          </cell>
          <cell r="C1311" t="str">
            <v>عبدالشكور محارة</v>
          </cell>
          <cell r="D1311" t="str">
            <v xml:space="preserve">مقاولين </v>
          </cell>
          <cell r="E1311" t="str">
            <v xml:space="preserve">الدائنون والأرصدة الدائنة الأخرى </v>
          </cell>
        </row>
        <row r="1312">
          <cell r="A1312">
            <v>4002</v>
          </cell>
          <cell r="C1312" t="str">
            <v>محمد بدر الكهربائي</v>
          </cell>
          <cell r="D1312" t="str">
            <v xml:space="preserve">مقاولين </v>
          </cell>
          <cell r="E1312" t="str">
            <v xml:space="preserve">الدائنون والأرصدة الدائنة الأخرى </v>
          </cell>
        </row>
        <row r="1313">
          <cell r="A1313">
            <v>4003</v>
          </cell>
          <cell r="C1313" t="str">
            <v>سامي رخام</v>
          </cell>
          <cell r="D1313" t="str">
            <v xml:space="preserve">مقاولين </v>
          </cell>
          <cell r="E1313" t="str">
            <v xml:space="preserve">الدائنون والأرصدة الدائنة الأخرى </v>
          </cell>
        </row>
        <row r="1314">
          <cell r="A1314">
            <v>4004</v>
          </cell>
          <cell r="C1314" t="str">
            <v>دائنون 2024</v>
          </cell>
          <cell r="D1314" t="str">
            <v xml:space="preserve">مقاولين </v>
          </cell>
          <cell r="E1314" t="str">
            <v xml:space="preserve">الدائنون والأرصدة الدائنة الأخرى </v>
          </cell>
        </row>
        <row r="1315">
          <cell r="A1315">
            <v>4005</v>
          </cell>
          <cell r="C1315" t="str">
            <v>ناصر الهدم</v>
          </cell>
          <cell r="D1315" t="str">
            <v xml:space="preserve">مقاولين </v>
          </cell>
          <cell r="E1315" t="str">
            <v xml:space="preserve">الدائنون والأرصدة الدائنة الأخرى </v>
          </cell>
        </row>
        <row r="1316">
          <cell r="A1316">
            <v>4006</v>
          </cell>
          <cell r="C1316" t="str">
            <v>جورج الكهربائي</v>
          </cell>
          <cell r="D1316" t="str">
            <v xml:space="preserve">مقاولين </v>
          </cell>
          <cell r="E1316" t="str">
            <v xml:space="preserve">الدائنون والأرصدة الدائنة الأخرى </v>
          </cell>
        </row>
        <row r="1317">
          <cell r="A1317">
            <v>4007</v>
          </cell>
          <cell r="C1317" t="str">
            <v>حاتم سيراميك</v>
          </cell>
          <cell r="D1317" t="str">
            <v xml:space="preserve">مقاولين </v>
          </cell>
          <cell r="E1317" t="str">
            <v xml:space="preserve">الدائنون والأرصدة الدائنة الأخرى </v>
          </cell>
        </row>
        <row r="1318">
          <cell r="A1318">
            <v>4008</v>
          </cell>
          <cell r="C1318" t="str">
            <v>حامد النقاش</v>
          </cell>
          <cell r="D1318" t="str">
            <v xml:space="preserve">مقاولين </v>
          </cell>
          <cell r="E1318" t="str">
            <v xml:space="preserve">الدائنون والأرصدة الدائنة الأخرى </v>
          </cell>
        </row>
        <row r="1319">
          <cell r="A1319">
            <v>4009</v>
          </cell>
          <cell r="C1319" t="str">
            <v>خالد المحارة</v>
          </cell>
          <cell r="D1319" t="str">
            <v xml:space="preserve">مقاولين </v>
          </cell>
          <cell r="E1319" t="str">
            <v xml:space="preserve">الدائنون والأرصدة الدائنة الأخرى </v>
          </cell>
        </row>
        <row r="1320">
          <cell r="A1320">
            <v>4010</v>
          </cell>
          <cell r="C1320" t="str">
            <v>شاهين سيراميك</v>
          </cell>
          <cell r="D1320" t="str">
            <v xml:space="preserve">مقاولين </v>
          </cell>
          <cell r="E1320" t="str">
            <v xml:space="preserve">الدائنون والأرصدة الدائنة الأخرى </v>
          </cell>
        </row>
        <row r="1321">
          <cell r="A1321">
            <v>4011</v>
          </cell>
          <cell r="C1321" t="str">
            <v>صابر الكهربائي</v>
          </cell>
          <cell r="D1321" t="str">
            <v xml:space="preserve">مقاولين </v>
          </cell>
          <cell r="E1321" t="str">
            <v xml:space="preserve">الدائنون والأرصدة الدائنة الأخرى </v>
          </cell>
        </row>
        <row r="1322">
          <cell r="A1322">
            <v>4012</v>
          </cell>
          <cell r="C1322" t="str">
            <v>عمرو ريحان</v>
          </cell>
          <cell r="D1322" t="str">
            <v xml:space="preserve">مقاولين </v>
          </cell>
          <cell r="E1322" t="str">
            <v xml:space="preserve">الدائنون والأرصدة الدائنة الأخرى </v>
          </cell>
        </row>
        <row r="1323">
          <cell r="A1323">
            <v>4013</v>
          </cell>
          <cell r="C1323" t="str">
            <v>محمد السيد كهربائي مقاول</v>
          </cell>
          <cell r="D1323" t="str">
            <v xml:space="preserve">مقاولين </v>
          </cell>
          <cell r="E1323" t="str">
            <v xml:space="preserve">الدائنون والأرصدة الدائنة الأخرى </v>
          </cell>
        </row>
        <row r="1324">
          <cell r="A1324">
            <v>4014</v>
          </cell>
          <cell r="C1324" t="str">
            <v>محمد السباك</v>
          </cell>
          <cell r="D1324" t="str">
            <v xml:space="preserve">مقاولين </v>
          </cell>
          <cell r="E1324" t="str">
            <v xml:space="preserve">الدائنون والأرصدة الدائنة الأخرى </v>
          </cell>
        </row>
        <row r="1325">
          <cell r="A1325">
            <v>4015</v>
          </cell>
          <cell r="C1325" t="str">
            <v>مينا السيراميك</v>
          </cell>
          <cell r="D1325" t="str">
            <v xml:space="preserve">مقاولين </v>
          </cell>
          <cell r="E1325" t="str">
            <v xml:space="preserve">الدائنون والأرصدة الدائنة الأخرى </v>
          </cell>
        </row>
        <row r="1326">
          <cell r="A1326">
            <v>4016</v>
          </cell>
          <cell r="C1326" t="str">
            <v>ياسر النجار</v>
          </cell>
          <cell r="D1326" t="str">
            <v xml:space="preserve">مقاولين </v>
          </cell>
          <cell r="E1326" t="str">
            <v xml:space="preserve">الدائنون والأرصدة الدائنة الأخرى </v>
          </cell>
        </row>
        <row r="1327">
          <cell r="A1327">
            <v>4017</v>
          </cell>
          <cell r="C1327" t="str">
            <v>مقاول بوابة رأس الحكمة</v>
          </cell>
          <cell r="D1327" t="str">
            <v xml:space="preserve">مقاولين </v>
          </cell>
          <cell r="E1327" t="str">
            <v xml:space="preserve">الدائنون والأرصدة الدائنة الأخرى </v>
          </cell>
        </row>
        <row r="1328">
          <cell r="A1328">
            <v>4018</v>
          </cell>
          <cell r="C1328" t="str">
            <v>احمد كيريتال</v>
          </cell>
          <cell r="D1328" t="str">
            <v xml:space="preserve">مقاولين </v>
          </cell>
          <cell r="E1328" t="str">
            <v xml:space="preserve">الدائنون والأرصدة الدائنة الأخرى </v>
          </cell>
        </row>
        <row r="1329">
          <cell r="A1329">
            <v>4019</v>
          </cell>
          <cell r="C1329" t="str">
            <v>هاني السباك</v>
          </cell>
          <cell r="D1329" t="str">
            <v xml:space="preserve">مقاولين </v>
          </cell>
          <cell r="E1329" t="str">
            <v xml:space="preserve">الدائنون والأرصدة الدائنة الأخرى </v>
          </cell>
        </row>
        <row r="1330">
          <cell r="A1330">
            <v>4020</v>
          </cell>
          <cell r="C1330" t="str">
            <v>محمد النقاش</v>
          </cell>
          <cell r="D1330" t="str">
            <v xml:space="preserve">مقاولين </v>
          </cell>
          <cell r="E1330" t="str">
            <v xml:space="preserve">الدائنون والأرصدة الدائنة الأخرى </v>
          </cell>
        </row>
        <row r="1331">
          <cell r="A1331">
            <v>4021</v>
          </cell>
          <cell r="C1331" t="str">
            <v>عبدالرحيم استنالس</v>
          </cell>
          <cell r="D1331" t="str">
            <v xml:space="preserve">مقاولين </v>
          </cell>
          <cell r="E1331" t="str">
            <v xml:space="preserve">الدائنون والأرصدة الدائنة الأخرى </v>
          </cell>
        </row>
        <row r="1332">
          <cell r="A1332">
            <v>4022</v>
          </cell>
          <cell r="C1332" t="str">
            <v>عمرو النقاش</v>
          </cell>
          <cell r="D1332" t="str">
            <v xml:space="preserve">مقاولين </v>
          </cell>
          <cell r="E1332" t="str">
            <v xml:space="preserve">الدائنون والأرصدة الدائنة الأخرى </v>
          </cell>
        </row>
        <row r="1333">
          <cell r="A1333">
            <v>4023</v>
          </cell>
          <cell r="C1333" t="str">
            <v>عمرو السباك</v>
          </cell>
          <cell r="D1333" t="str">
            <v xml:space="preserve">مقاولين </v>
          </cell>
          <cell r="E1333" t="str">
            <v xml:space="preserve">الدائنون والأرصدة الدائنة الأخرى </v>
          </cell>
        </row>
        <row r="1334">
          <cell r="A1334">
            <v>4031</v>
          </cell>
          <cell r="C1334" t="str">
            <v>مصطفي الكهربائي</v>
          </cell>
          <cell r="D1334" t="str">
            <v xml:space="preserve">مقاولين </v>
          </cell>
          <cell r="E1334" t="str">
            <v xml:space="preserve">الدائنون والأرصدة الدائنة الأخرى </v>
          </cell>
        </row>
        <row r="1335">
          <cell r="A1335">
            <v>4032</v>
          </cell>
          <cell r="C1335" t="str">
            <v>عاطف النجار</v>
          </cell>
          <cell r="D1335" t="str">
            <v xml:space="preserve">مقاولين </v>
          </cell>
          <cell r="E1335" t="str">
            <v xml:space="preserve">الدائنون والأرصدة الدائنة الأخرى </v>
          </cell>
        </row>
        <row r="1336">
          <cell r="A1336">
            <v>4033</v>
          </cell>
          <cell r="C1336" t="str">
            <v>كريم النجار</v>
          </cell>
          <cell r="D1336" t="str">
            <v xml:space="preserve">مقاولين </v>
          </cell>
          <cell r="E1336" t="str">
            <v xml:space="preserve">الدائنون والأرصدة الدائنة الأخرى </v>
          </cell>
        </row>
        <row r="1337">
          <cell r="A1337">
            <v>4034</v>
          </cell>
          <cell r="C1337" t="str">
            <v>اشرف تكييف</v>
          </cell>
          <cell r="D1337" t="str">
            <v xml:space="preserve">مقاولين </v>
          </cell>
          <cell r="E1337" t="str">
            <v xml:space="preserve">الدائنون والأرصدة الدائنة الأخرى </v>
          </cell>
        </row>
        <row r="1338">
          <cell r="A1338">
            <v>4035</v>
          </cell>
          <cell r="C1338" t="str">
            <v>محمد امين</v>
          </cell>
          <cell r="D1338" t="str">
            <v xml:space="preserve">مقاولين </v>
          </cell>
          <cell r="E1338" t="str">
            <v xml:space="preserve">الدائنون والأرصدة الدائنة الأخرى </v>
          </cell>
        </row>
        <row r="1339">
          <cell r="A1339">
            <v>4036</v>
          </cell>
          <cell r="C1339" t="str">
            <v>اسلام سكوريت</v>
          </cell>
          <cell r="D1339" t="str">
            <v xml:space="preserve">مقاولين </v>
          </cell>
          <cell r="E1339" t="str">
            <v xml:space="preserve">الدائنون والأرصدة الدائنة الأخرى </v>
          </cell>
        </row>
        <row r="1340">
          <cell r="A1340">
            <v>4037</v>
          </cell>
          <cell r="C1340" t="str">
            <v>محمود الجبس</v>
          </cell>
          <cell r="D1340" t="str">
            <v xml:space="preserve">مقاولين </v>
          </cell>
          <cell r="E1340" t="str">
            <v xml:space="preserve">الدائنون والأرصدة الدائنة الأخرى </v>
          </cell>
        </row>
        <row r="1341">
          <cell r="A1341">
            <v>4038</v>
          </cell>
          <cell r="C1341" t="str">
            <v>محمد سعيد نقاش</v>
          </cell>
          <cell r="D1341" t="str">
            <v xml:space="preserve">مقاولين </v>
          </cell>
          <cell r="E1341" t="str">
            <v xml:space="preserve">الدائنون والأرصدة الدائنة الأخرى </v>
          </cell>
        </row>
        <row r="1342">
          <cell r="A1342">
            <v>4039</v>
          </cell>
          <cell r="C1342" t="str">
            <v>سباك القرنفل</v>
          </cell>
          <cell r="D1342" t="str">
            <v xml:space="preserve">مقاولين </v>
          </cell>
          <cell r="E1342" t="str">
            <v xml:space="preserve">الدائنون والأرصدة الدائنة الأخرى </v>
          </cell>
        </row>
        <row r="1343">
          <cell r="A1343">
            <v>4040</v>
          </cell>
          <cell r="C1343" t="str">
            <v>حسان luxery</v>
          </cell>
          <cell r="D1343" t="str">
            <v xml:space="preserve">مقاولين </v>
          </cell>
          <cell r="E1343" t="str">
            <v xml:space="preserve">الدائنون والأرصدة الدائنة الأخرى </v>
          </cell>
        </row>
        <row r="1344">
          <cell r="A1344">
            <v>4041</v>
          </cell>
          <cell r="C1344" t="str">
            <v>عادل معماري</v>
          </cell>
          <cell r="D1344" t="str">
            <v xml:space="preserve">مقاولين </v>
          </cell>
          <cell r="E1344" t="str">
            <v xml:space="preserve">الدائنون والأرصدة الدائنة الأخرى </v>
          </cell>
        </row>
        <row r="1345">
          <cell r="A1345">
            <v>4042</v>
          </cell>
          <cell r="C1345" t="str">
            <v xml:space="preserve">عمر الحداد </v>
          </cell>
          <cell r="D1345" t="str">
            <v xml:space="preserve">مقاولين </v>
          </cell>
          <cell r="E1345" t="str">
            <v xml:space="preserve">الدائنون والأرصدة الدائنة الأخرى </v>
          </cell>
        </row>
        <row r="1346">
          <cell r="A1346">
            <v>4043</v>
          </cell>
          <cell r="C1346" t="str">
            <v>علي معماري</v>
          </cell>
          <cell r="D1346" t="str">
            <v xml:space="preserve">مقاولين </v>
          </cell>
          <cell r="E1346" t="str">
            <v xml:space="preserve">الدائنون والأرصدة الدائنة الأخرى </v>
          </cell>
        </row>
        <row r="1347">
          <cell r="A1347">
            <v>4044</v>
          </cell>
          <cell r="C1347" t="str">
            <v xml:space="preserve">كرم العزل </v>
          </cell>
          <cell r="D1347" t="str">
            <v xml:space="preserve">مقاولين </v>
          </cell>
          <cell r="E1347" t="str">
            <v xml:space="preserve">الدائنون والأرصدة الدائنة الأخرى </v>
          </cell>
        </row>
        <row r="1348">
          <cell r="A1348">
            <v>4045</v>
          </cell>
          <cell r="C1348" t="str">
            <v>محمد النقاش</v>
          </cell>
          <cell r="D1348" t="str">
            <v xml:space="preserve">مقاولين </v>
          </cell>
          <cell r="E1348" t="str">
            <v xml:space="preserve">الدائنون والأرصدة الدائنة الأخرى </v>
          </cell>
        </row>
        <row r="1349">
          <cell r="A1349">
            <v>4046</v>
          </cell>
          <cell r="C1349" t="str">
            <v>مصطفي الكهربائي</v>
          </cell>
          <cell r="D1349" t="str">
            <v xml:space="preserve">مقاولين </v>
          </cell>
          <cell r="E1349" t="str">
            <v xml:space="preserve">الدائنون والأرصدة الدائنة الأخرى </v>
          </cell>
        </row>
        <row r="1350">
          <cell r="A1350">
            <v>4047</v>
          </cell>
          <cell r="C1350" t="str">
            <v>مقاول الفيوتك 306</v>
          </cell>
          <cell r="D1350" t="str">
            <v xml:space="preserve">مقاولين </v>
          </cell>
          <cell r="E1350" t="str">
            <v xml:space="preserve">الدائنون والأرصدة الدائنة الأخرى </v>
          </cell>
        </row>
        <row r="1351">
          <cell r="A1351">
            <v>4048</v>
          </cell>
          <cell r="C1351" t="str">
            <v xml:space="preserve">حسن الكهرباء </v>
          </cell>
          <cell r="D1351" t="str">
            <v xml:space="preserve">مقاولين </v>
          </cell>
          <cell r="E1351" t="str">
            <v xml:space="preserve">الدائنون والأرصدة الدائنة الأخرى </v>
          </cell>
        </row>
        <row r="1352">
          <cell r="A1352">
            <v>4049</v>
          </cell>
          <cell r="C1352" t="str">
            <v>محمد السيد توريدات كهرباء</v>
          </cell>
          <cell r="D1352" t="str">
            <v>موردين</v>
          </cell>
          <cell r="E1352" t="str">
            <v xml:space="preserve">الدائنون والأرصدة الدائنة الأخرى </v>
          </cell>
        </row>
        <row r="1353">
          <cell r="A1353">
            <v>4050</v>
          </cell>
          <cell r="C1353" t="str">
            <v>ابو الحسن التجمع</v>
          </cell>
          <cell r="D1353" t="str">
            <v>موردين</v>
          </cell>
          <cell r="E1353" t="str">
            <v xml:space="preserve">الدائنون والأرصدة الدائنة الأخرى </v>
          </cell>
        </row>
        <row r="1354">
          <cell r="A1354">
            <v>4051</v>
          </cell>
          <cell r="C1354" t="str">
            <v>لمباية للادوات الكهربائية</v>
          </cell>
          <cell r="D1354" t="str">
            <v>موردين</v>
          </cell>
          <cell r="E1354" t="str">
            <v xml:space="preserve">الدائنون والأرصدة الدائنة الأخرى </v>
          </cell>
        </row>
        <row r="1355">
          <cell r="A1355">
            <v>4052</v>
          </cell>
          <cell r="C1355" t="str">
            <v>عرباوي الشروق</v>
          </cell>
          <cell r="D1355" t="str">
            <v>موردين</v>
          </cell>
          <cell r="E1355" t="str">
            <v xml:space="preserve">الدائنون والأرصدة الدائنة الأخرى </v>
          </cell>
        </row>
        <row r="1356">
          <cell r="A1356">
            <v>4053</v>
          </cell>
          <cell r="C1356" t="str">
            <v>الامل صحي</v>
          </cell>
          <cell r="D1356" t="str">
            <v>موردين</v>
          </cell>
          <cell r="E1356" t="str">
            <v xml:space="preserve">الدائنون والأرصدة الدائنة الأخرى </v>
          </cell>
        </row>
        <row r="1357">
          <cell r="A1357">
            <v>4054</v>
          </cell>
          <cell r="C1357" t="str">
            <v>موان القرنفل</v>
          </cell>
          <cell r="D1357" t="str">
            <v>موردين</v>
          </cell>
          <cell r="E1357" t="str">
            <v xml:space="preserve">الدائنون والأرصدة الدائنة الأخرى </v>
          </cell>
        </row>
        <row r="1358">
          <cell r="A1358">
            <v>4055</v>
          </cell>
          <cell r="C1358" t="str">
            <v>بيت الخامة</v>
          </cell>
          <cell r="D1358" t="str">
            <v>موردين</v>
          </cell>
          <cell r="E1358" t="str">
            <v xml:space="preserve">الدائنون والأرصدة الدائنة الأخرى </v>
          </cell>
        </row>
        <row r="1359">
          <cell r="A1359">
            <v>4056</v>
          </cell>
          <cell r="C1359" t="str">
            <v>القبيصي</v>
          </cell>
          <cell r="D1359" t="str">
            <v>موردين</v>
          </cell>
          <cell r="E1359" t="str">
            <v xml:space="preserve">الدائنون والأرصدة الدائنة الأخرى </v>
          </cell>
        </row>
        <row r="1360">
          <cell r="A1360">
            <v>4057</v>
          </cell>
          <cell r="C1360" t="str">
            <v>الترا للكهرباء</v>
          </cell>
          <cell r="D1360" t="str">
            <v>موردين</v>
          </cell>
          <cell r="E1360" t="str">
            <v xml:space="preserve">الدائنون والأرصدة الدائنة الأخرى </v>
          </cell>
        </row>
        <row r="1361">
          <cell r="A1361">
            <v>4058</v>
          </cell>
          <cell r="C1361" t="str">
            <v>شريف تنجيد</v>
          </cell>
          <cell r="D1361" t="str">
            <v>موردين</v>
          </cell>
          <cell r="E1361" t="str">
            <v xml:space="preserve">الدائنون والأرصدة الدائنة الأخرى </v>
          </cell>
        </row>
        <row r="1362">
          <cell r="A1362">
            <v>4059</v>
          </cell>
          <cell r="C1362" t="str">
            <v>نجيب سليم</v>
          </cell>
          <cell r="D1362" t="str">
            <v>موردين</v>
          </cell>
          <cell r="E1362" t="str">
            <v xml:space="preserve">الدائنون والأرصدة الدائنة الأخرى </v>
          </cell>
        </row>
        <row r="1363">
          <cell r="A1363">
            <v>4060</v>
          </cell>
          <cell r="C1363" t="str">
            <v>كايرو لايت</v>
          </cell>
          <cell r="D1363" t="str">
            <v>موردين</v>
          </cell>
          <cell r="E1363" t="str">
            <v xml:space="preserve">الدائنون والأرصدة الدائنة الأخرى </v>
          </cell>
        </row>
        <row r="1364">
          <cell r="A1364">
            <v>4061</v>
          </cell>
          <cell r="C1364" t="str">
            <v>ايليت للمطابخ ( الميري)</v>
          </cell>
          <cell r="D1364" t="str">
            <v>موردين</v>
          </cell>
          <cell r="E1364" t="str">
            <v xml:space="preserve">الدائنون والأرصدة الدائنة الأخرى </v>
          </cell>
        </row>
        <row r="1365">
          <cell r="A1365">
            <v>4062</v>
          </cell>
          <cell r="C1365" t="str">
            <v>جنرال للتكيفيات جيسيك</v>
          </cell>
          <cell r="D1365" t="str">
            <v>موردين</v>
          </cell>
          <cell r="E1365" t="str">
            <v xml:space="preserve">الدائنون والأرصدة الدائنة الأخرى </v>
          </cell>
        </row>
        <row r="1366">
          <cell r="A1366">
            <v>4063</v>
          </cell>
          <cell r="C1366" t="str">
            <v>شوسة للاثاث</v>
          </cell>
          <cell r="D1366" t="str">
            <v>موردين</v>
          </cell>
          <cell r="E1366" t="str">
            <v xml:space="preserve">الدائنون والأرصدة الدائنة الأخرى </v>
          </cell>
        </row>
        <row r="1367">
          <cell r="A1367">
            <v>4064</v>
          </cell>
          <cell r="C1367" t="str">
            <v>السلاب</v>
          </cell>
          <cell r="D1367" t="str">
            <v>موردين</v>
          </cell>
          <cell r="E1367" t="str">
            <v xml:space="preserve">الدائنون والأرصدة الدائنة الأخرى </v>
          </cell>
        </row>
        <row r="1368">
          <cell r="A1368">
            <v>4065</v>
          </cell>
          <cell r="C1368" t="str">
            <v>محجوب</v>
          </cell>
          <cell r="D1368" t="str">
            <v>موردين</v>
          </cell>
          <cell r="E1368" t="str">
            <v xml:space="preserve">الدائنون والأرصدة الدائنة الأخرى </v>
          </cell>
        </row>
        <row r="1369">
          <cell r="A1369">
            <v>4066</v>
          </cell>
          <cell r="C1369" t="str">
            <v>بن للاحواض</v>
          </cell>
          <cell r="D1369" t="str">
            <v>موردين</v>
          </cell>
          <cell r="E1369" t="str">
            <v xml:space="preserve">الدائنون والأرصدة الدائنة الأخرى </v>
          </cell>
        </row>
        <row r="1370">
          <cell r="A1370">
            <v>4067</v>
          </cell>
          <cell r="C1370" t="str">
            <v>ايجي تند</v>
          </cell>
          <cell r="D1370" t="str">
            <v>موردين</v>
          </cell>
          <cell r="E1370" t="str">
            <v xml:space="preserve">الدائنون والأرصدة الدائنة الأخرى </v>
          </cell>
        </row>
        <row r="1371">
          <cell r="A1371">
            <v>4068</v>
          </cell>
          <cell r="C1371" t="str">
            <v>م / نسرين</v>
          </cell>
          <cell r="D1371" t="str">
            <v>موردين</v>
          </cell>
          <cell r="E1371" t="str">
            <v xml:space="preserve">الدائنون والأرصدة الدائنة الأخرى </v>
          </cell>
        </row>
        <row r="1372">
          <cell r="A1372">
            <v>4069</v>
          </cell>
          <cell r="C1372" t="str">
            <v xml:space="preserve">الامل احمد سعيد </v>
          </cell>
          <cell r="D1372" t="str">
            <v>موردين</v>
          </cell>
          <cell r="E1372" t="str">
            <v xml:space="preserve">الدائنون والأرصدة الدائنة الأخرى </v>
          </cell>
        </row>
        <row r="1373">
          <cell r="A1373">
            <v>4070</v>
          </cell>
          <cell r="C1373" t="str">
            <v xml:space="preserve">شركة الرواد للحمامات السباحة </v>
          </cell>
          <cell r="D1373" t="str">
            <v>موردين</v>
          </cell>
          <cell r="E1373" t="str">
            <v xml:space="preserve">الدائنون والأرصدة الدائنة الأخرى </v>
          </cell>
        </row>
        <row r="1374">
          <cell r="A1374">
            <v>4071</v>
          </cell>
          <cell r="D1374" t="str">
            <v>موردين</v>
          </cell>
          <cell r="E1374" t="str">
            <v xml:space="preserve">الدائنون والأرصدة الدائنة الأخرى </v>
          </cell>
        </row>
        <row r="1375">
          <cell r="A1375">
            <v>4072</v>
          </cell>
          <cell r="D1375" t="str">
            <v>موردين</v>
          </cell>
          <cell r="E1375" t="str">
            <v xml:space="preserve">الدائنون والأرصدة الدائنة الأخرى </v>
          </cell>
        </row>
        <row r="1376">
          <cell r="A1376">
            <v>4073</v>
          </cell>
          <cell r="D1376" t="str">
            <v>موردين</v>
          </cell>
          <cell r="E1376" t="str">
            <v xml:space="preserve">الدائنون والأرصدة الدائنة الأخرى </v>
          </cell>
        </row>
        <row r="1377">
          <cell r="A1377">
            <v>4074</v>
          </cell>
          <cell r="D1377" t="str">
            <v>موردين</v>
          </cell>
          <cell r="E1377" t="str">
            <v xml:space="preserve">الدائنون والأرصدة الدائنة الأخرى </v>
          </cell>
        </row>
        <row r="1378">
          <cell r="A1378">
            <v>4075</v>
          </cell>
          <cell r="D1378" t="str">
            <v>موردين</v>
          </cell>
          <cell r="E1378" t="str">
            <v xml:space="preserve">الدائنون والأرصدة الدائنة الأخرى </v>
          </cell>
        </row>
        <row r="1379">
          <cell r="A1379">
            <v>4076</v>
          </cell>
          <cell r="D1379" t="str">
            <v>موردين</v>
          </cell>
          <cell r="E1379" t="str">
            <v xml:space="preserve">الدائنون والأرصدة الدائنة الأخرى </v>
          </cell>
        </row>
        <row r="1380">
          <cell r="A1380">
            <v>4077</v>
          </cell>
          <cell r="D1380" t="str">
            <v>موردين</v>
          </cell>
          <cell r="E1380" t="str">
            <v xml:space="preserve">الدائنون والأرصدة الدائنة الأخرى </v>
          </cell>
        </row>
        <row r="1381">
          <cell r="A1381">
            <v>4078</v>
          </cell>
          <cell r="D1381" t="str">
            <v>موردين</v>
          </cell>
          <cell r="E1381" t="str">
            <v xml:space="preserve">الدائنون والأرصدة الدائنة الأخرى </v>
          </cell>
        </row>
        <row r="1382">
          <cell r="A1382">
            <v>4079</v>
          </cell>
          <cell r="D1382" t="str">
            <v>موردين</v>
          </cell>
          <cell r="E1382" t="str">
            <v xml:space="preserve">الدائنون والأرصدة الدائنة الأخرى </v>
          </cell>
        </row>
        <row r="1383">
          <cell r="A1383">
            <v>4080</v>
          </cell>
          <cell r="D1383" t="str">
            <v>موردين</v>
          </cell>
          <cell r="E1383" t="str">
            <v xml:space="preserve">الدائنون والأرصدة الدائنة الأخرى </v>
          </cell>
        </row>
        <row r="1384">
          <cell r="A1384">
            <v>4081</v>
          </cell>
          <cell r="D1384" t="str">
            <v>موردين</v>
          </cell>
          <cell r="E1384" t="str">
            <v xml:space="preserve">الدائنون والأرصدة الدائنة الأخرى </v>
          </cell>
        </row>
        <row r="1385">
          <cell r="A1385">
            <v>4082</v>
          </cell>
          <cell r="D1385" t="str">
            <v>موردين</v>
          </cell>
          <cell r="E1385" t="str">
            <v xml:space="preserve">الدائنون والأرصدة الدائنة الأخرى </v>
          </cell>
        </row>
        <row r="1386">
          <cell r="A1386">
            <v>4083</v>
          </cell>
          <cell r="D1386" t="str">
            <v>موردين</v>
          </cell>
          <cell r="E1386" t="str">
            <v xml:space="preserve">الدائنون والأرصدة الدائنة الأخرى </v>
          </cell>
        </row>
        <row r="1387">
          <cell r="A1387">
            <v>4084</v>
          </cell>
          <cell r="D1387" t="str">
            <v>موردين</v>
          </cell>
          <cell r="E1387" t="str">
            <v xml:space="preserve">الدائنون والأرصدة الدائنة الأخرى </v>
          </cell>
        </row>
        <row r="1388">
          <cell r="A1388">
            <v>4085</v>
          </cell>
          <cell r="D1388" t="str">
            <v>موردين</v>
          </cell>
          <cell r="E1388" t="str">
            <v xml:space="preserve">الدائنون والأرصدة الدائنة الأخرى </v>
          </cell>
        </row>
        <row r="1389">
          <cell r="A1389">
            <v>4086</v>
          </cell>
          <cell r="D1389" t="str">
            <v>موردين</v>
          </cell>
          <cell r="E1389" t="str">
            <v xml:space="preserve">الدائنون والأرصدة الدائنة الأخرى </v>
          </cell>
        </row>
        <row r="1390">
          <cell r="A1390">
            <v>4087</v>
          </cell>
          <cell r="D1390" t="str">
            <v>موردين</v>
          </cell>
          <cell r="E1390" t="str">
            <v xml:space="preserve">الدائنون والأرصدة الدائنة الأخرى </v>
          </cell>
        </row>
        <row r="1391">
          <cell r="A1391">
            <v>4088</v>
          </cell>
          <cell r="D1391" t="str">
            <v>موردين</v>
          </cell>
          <cell r="E1391" t="str">
            <v xml:space="preserve">الدائنون والأرصدة الدائنة الأخرى </v>
          </cell>
        </row>
        <row r="1392">
          <cell r="A1392">
            <v>4089</v>
          </cell>
          <cell r="D1392" t="str">
            <v>موردين</v>
          </cell>
          <cell r="E1392" t="str">
            <v xml:space="preserve">الدائنون والأرصدة الدائنة الأخرى </v>
          </cell>
        </row>
        <row r="1393">
          <cell r="A1393">
            <v>4090</v>
          </cell>
          <cell r="D1393" t="str">
            <v>موردين</v>
          </cell>
          <cell r="E1393" t="str">
            <v xml:space="preserve">الدائنون والأرصدة الدائنة الأخرى </v>
          </cell>
        </row>
        <row r="1394">
          <cell r="A1394">
            <v>4091</v>
          </cell>
          <cell r="D1394" t="str">
            <v>موردين</v>
          </cell>
          <cell r="E1394" t="str">
            <v xml:space="preserve">الدائنون والأرصدة الدائنة الأخرى </v>
          </cell>
        </row>
        <row r="1395">
          <cell r="A1395">
            <v>4182</v>
          </cell>
          <cell r="C1395" t="str">
            <v>م.مستحقه</v>
          </cell>
          <cell r="D1395" t="str">
            <v>م.مستحقه</v>
          </cell>
          <cell r="E1395" t="str">
            <v xml:space="preserve">الدائنون والأرصدة الدائنة الأخرى </v>
          </cell>
        </row>
        <row r="1396">
          <cell r="A1396">
            <v>4183</v>
          </cell>
          <cell r="C1396" t="str">
            <v>عمولة التسويق</v>
          </cell>
          <cell r="D1396" t="str">
            <v>م.مستحقه</v>
          </cell>
          <cell r="E1396" t="str">
            <v xml:space="preserve">الدائنون والأرصدة الدائنة الأخرى </v>
          </cell>
        </row>
        <row r="1397">
          <cell r="A1397">
            <v>4184</v>
          </cell>
          <cell r="C1397" t="str">
            <v>عمولة المشتريات</v>
          </cell>
          <cell r="D1397" t="str">
            <v>م.مستحقه</v>
          </cell>
          <cell r="E1397" t="str">
            <v xml:space="preserve">الدائنون والأرصدة الدائنة الأخرى </v>
          </cell>
        </row>
        <row r="1398">
          <cell r="A1398">
            <v>4185</v>
          </cell>
          <cell r="C1398" t="str">
            <v>المهندس باسل ثري دي</v>
          </cell>
          <cell r="D1398" t="str">
            <v>م.مستحقه</v>
          </cell>
          <cell r="E1398" t="str">
            <v xml:space="preserve">الدائنون والأرصدة الدائنة الأخرى </v>
          </cell>
        </row>
        <row r="1399">
          <cell r="A1399">
            <v>4186</v>
          </cell>
          <cell r="C1399" t="str">
            <v>احمد عرباوى - بالم 7A</v>
          </cell>
          <cell r="D1399" t="str">
            <v>م.مستحقه</v>
          </cell>
          <cell r="E1399" t="str">
            <v xml:space="preserve">الدائنون والأرصدة الدائنة الأخرى </v>
          </cell>
        </row>
        <row r="1400">
          <cell r="A1400">
            <v>4187</v>
          </cell>
          <cell r="C1400" t="str">
            <v xml:space="preserve">مجدى أنور - كور </v>
          </cell>
          <cell r="D1400" t="str">
            <v>م.مستحقه</v>
          </cell>
          <cell r="E1400" t="str">
            <v xml:space="preserve">الدائنون والأرصدة الدائنة الأخرى </v>
          </cell>
        </row>
        <row r="1401">
          <cell r="A1401">
            <v>4188</v>
          </cell>
          <cell r="C1401" t="str">
            <v xml:space="preserve">يوسف نايل - مقاول دهانات </v>
          </cell>
          <cell r="D1401" t="str">
            <v>م.مستحقه</v>
          </cell>
          <cell r="E1401" t="str">
            <v xml:space="preserve">الدائنون والأرصدة الدائنة الأخرى </v>
          </cell>
        </row>
        <row r="1402">
          <cell r="A1402">
            <v>4189</v>
          </cell>
          <cell r="C1402" t="str">
            <v xml:space="preserve">حامد دياب - البنا </v>
          </cell>
          <cell r="D1402" t="str">
            <v>م.مستحقه</v>
          </cell>
          <cell r="E1402" t="str">
            <v xml:space="preserve">الدائنون والأرصدة الدائنة الأخرى </v>
          </cell>
        </row>
        <row r="1403">
          <cell r="A1403">
            <v>4190</v>
          </cell>
          <cell r="C1403" t="str">
            <v xml:space="preserve">الصدقات </v>
          </cell>
          <cell r="D1403" t="str">
            <v>م.مستحقه</v>
          </cell>
          <cell r="E1403" t="str">
            <v xml:space="preserve">الدائنون والأرصدة الدائنة الأخرى </v>
          </cell>
        </row>
        <row r="1404">
          <cell r="A1404">
            <v>4191</v>
          </cell>
          <cell r="C1404" t="str">
            <v xml:space="preserve">محمود الدهب محاسب قانوني </v>
          </cell>
          <cell r="D1404" t="str">
            <v>م.مستحقه</v>
          </cell>
          <cell r="E1404" t="str">
            <v xml:space="preserve">الدائنون والأرصدة الدائنة الأخرى </v>
          </cell>
        </row>
        <row r="1405">
          <cell r="A1405">
            <v>4192</v>
          </cell>
          <cell r="C1405" t="str">
            <v xml:space="preserve">شهرية حراس العقار </v>
          </cell>
          <cell r="D1405" t="str">
            <v>م.مستحقه</v>
          </cell>
          <cell r="E1405" t="str">
            <v xml:space="preserve">الدائنون والأرصدة الدائنة الأخرى </v>
          </cell>
        </row>
        <row r="1406">
          <cell r="A1406">
            <v>4193</v>
          </cell>
          <cell r="C1406" t="str">
            <v xml:space="preserve">عرب المخازن </v>
          </cell>
          <cell r="D1406" t="str">
            <v>م.مستحقه</v>
          </cell>
          <cell r="E1406" t="str">
            <v xml:space="preserve">الدائنون والأرصدة الدائنة الأخرى </v>
          </cell>
        </row>
        <row r="1407">
          <cell r="A1407">
            <v>4024</v>
          </cell>
          <cell r="C1407" t="str">
            <v xml:space="preserve">ضريبه خصم المنبع </v>
          </cell>
          <cell r="D1407" t="str">
            <v xml:space="preserve">ضريبه خصم المنبع </v>
          </cell>
          <cell r="E1407" t="str">
            <v xml:space="preserve">الدائنون والأرصدة الدائنة الأخرى </v>
          </cell>
        </row>
        <row r="1408">
          <cell r="A1408">
            <v>4025</v>
          </cell>
          <cell r="C1408" t="str">
            <v xml:space="preserve">ضريبة القيمه المضافه </v>
          </cell>
          <cell r="D1408" t="str">
            <v xml:space="preserve">ضريبة القيمه المضافه </v>
          </cell>
          <cell r="E1408" t="str">
            <v xml:space="preserve">الدائنون والأرصدة الدائنة الأخرى </v>
          </cell>
        </row>
        <row r="1409">
          <cell r="A1409">
            <v>4026</v>
          </cell>
          <cell r="C1409" t="str">
            <v>الهيئة العامة للتامينات الاجتماعية</v>
          </cell>
          <cell r="D1409" t="str">
            <v>الهيئة العامة للتامينات الاجتماعية</v>
          </cell>
          <cell r="E1409" t="str">
            <v xml:space="preserve">الدائنون والأرصدة الدائنة الأخرى </v>
          </cell>
        </row>
        <row r="1410">
          <cell r="A1410">
            <v>4027</v>
          </cell>
          <cell r="C1410" t="str">
            <v>ضرائب كسب عمل</v>
          </cell>
          <cell r="D1410" t="str">
            <v>ضرائب كسب عمل</v>
          </cell>
          <cell r="E1410" t="str">
            <v xml:space="preserve">الدائنون والأرصدة الدائنة الأخرى </v>
          </cell>
        </row>
        <row r="1411">
          <cell r="A1411">
            <v>4028</v>
          </cell>
          <cell r="C1411" t="str">
            <v>دائنون اتعاب قانونية ومحاماة</v>
          </cell>
          <cell r="D1411" t="str">
            <v>دائنون اتعاب قانونية ومحاماة</v>
          </cell>
          <cell r="E1411" t="str">
            <v xml:space="preserve">الدائنون والأرصدة الدائنة الأخرى </v>
          </cell>
        </row>
        <row r="1412">
          <cell r="A1412">
            <v>4029</v>
          </cell>
          <cell r="C1412" t="str">
            <v xml:space="preserve">غفير ريفال  </v>
          </cell>
          <cell r="D1412" t="str">
            <v>م.مستحقه(مرتبات)</v>
          </cell>
          <cell r="E1412" t="str">
            <v xml:space="preserve">الدائنون والأرصدة الدائنة الأخرى </v>
          </cell>
        </row>
        <row r="1413">
          <cell r="A1413">
            <v>4030</v>
          </cell>
          <cell r="C1413" t="str">
            <v xml:space="preserve">عرب ريفال </v>
          </cell>
          <cell r="D1413" t="str">
            <v>م.مستحقه(مرتبات)</v>
          </cell>
          <cell r="E1413" t="str">
            <v xml:space="preserve">الدائنون والأرصدة الدائنة الأخرى </v>
          </cell>
        </row>
        <row r="1414">
          <cell r="A1414">
            <v>4090</v>
          </cell>
          <cell r="C1414" t="str">
            <v>ضريبه الدخل</v>
          </cell>
          <cell r="D1414" t="str">
            <v>ضريبه الدخل</v>
          </cell>
          <cell r="E1414" t="str">
            <v xml:space="preserve">الدائنون والأرصدة الدائنة الأخرى </v>
          </cell>
        </row>
        <row r="1415">
          <cell r="A1415">
            <v>4089</v>
          </cell>
          <cell r="C1415" t="str">
            <v>مساهمه تكافليه</v>
          </cell>
          <cell r="D1415" t="str">
            <v>مساهمه تكافليه</v>
          </cell>
          <cell r="E1415" t="str">
            <v xml:space="preserve">الدائنون والأرصدة الدائنة الأخرى </v>
          </cell>
        </row>
        <row r="1416">
          <cell r="A1416">
            <v>4110</v>
          </cell>
          <cell r="C1416" t="str">
            <v>م.مستحقه</v>
          </cell>
          <cell r="D1416" t="str">
            <v>م.مستحقه</v>
          </cell>
          <cell r="E1416" t="str">
            <v xml:space="preserve">الدائنون والأرصدة الدائنة الأخرى </v>
          </cell>
        </row>
        <row r="1417">
          <cell r="A1417">
            <v>4200</v>
          </cell>
          <cell r="C1417" t="str">
            <v xml:space="preserve">أوراق دفع </v>
          </cell>
          <cell r="D1417" t="str">
            <v xml:space="preserve">الدائنون والأرصدة الدائنة الأخرى </v>
          </cell>
          <cell r="E1417" t="str">
            <v xml:space="preserve">الدائنون والأرصدة الدائنة الأخرى </v>
          </cell>
        </row>
        <row r="1418">
          <cell r="A1418">
            <v>5000</v>
          </cell>
          <cell r="C1418" t="str">
            <v>مجمع الاهلاك</v>
          </cell>
          <cell r="D1418" t="str">
            <v>مجمع الاهلاك</v>
          </cell>
          <cell r="E1418" t="str">
            <v>مجمع الاهلاك</v>
          </cell>
        </row>
        <row r="1419">
          <cell r="A1419">
            <v>6000</v>
          </cell>
          <cell r="C1419" t="str">
            <v>صافي الربح او صافى خساره</v>
          </cell>
          <cell r="D1419" t="str">
            <v>ارباح وخسائر مرحلة</v>
          </cell>
          <cell r="E1419" t="str">
            <v>ارباح وخسائر مرحلة</v>
          </cell>
        </row>
        <row r="1420">
          <cell r="A1420">
            <v>7000</v>
          </cell>
          <cell r="C1420" t="str">
            <v>مخصص ضرائب</v>
          </cell>
          <cell r="D1420" t="str">
            <v>مخصص ضرائب الدخل</v>
          </cell>
          <cell r="E1420" t="str">
            <v>مخصص ضرائب الدخل</v>
          </cell>
        </row>
        <row r="1421">
          <cell r="A1421">
            <v>8000</v>
          </cell>
          <cell r="C1421" t="str">
            <v>مخصص ديون مشكوك فى تحصيلها</v>
          </cell>
          <cell r="D1421" t="str">
            <v>مخصص ديون مشكوك فى تحصيلها</v>
          </cell>
          <cell r="E1421" t="str">
            <v>مخصص ديون مشكوك فى تحصيلها</v>
          </cell>
        </row>
        <row r="1422">
          <cell r="A1422">
            <v>9000</v>
          </cell>
          <cell r="C1422" t="str">
            <v>ضريبة ارباح شركات</v>
          </cell>
          <cell r="D1422" t="str">
            <v>ضريبة ارباح شركات</v>
          </cell>
          <cell r="E1422" t="str">
            <v>ضريبة ارباح شركات</v>
          </cell>
        </row>
        <row r="1423">
          <cell r="A1423">
            <v>9500</v>
          </cell>
          <cell r="C1423" t="str">
            <v>احتياطى قانونى</v>
          </cell>
          <cell r="D1423" t="str">
            <v>احتياطى قانونى</v>
          </cell>
          <cell r="E1423" t="str">
            <v>احتياطى قانونى</v>
          </cell>
        </row>
      </sheetData>
      <sheetData sheetId="1">
        <row r="1">
          <cell r="A1">
            <v>0</v>
          </cell>
        </row>
        <row r="2">
          <cell r="A2" t="str">
            <v>رقم القيد</v>
          </cell>
          <cell r="B2" t="str">
            <v>تاريخ</v>
          </cell>
          <cell r="C2" t="str">
            <v>رقم الحساب</v>
          </cell>
          <cell r="D2" t="str">
            <v>اسم الحساب</v>
          </cell>
          <cell r="E2" t="str">
            <v>العملة</v>
          </cell>
        </row>
        <row r="3">
          <cell r="A3">
            <v>1</v>
          </cell>
          <cell r="B3">
            <v>46023</v>
          </cell>
          <cell r="C3">
            <v>102</v>
          </cell>
          <cell r="D3" t="str">
            <v>اثاث مكتبى</v>
          </cell>
        </row>
        <row r="4">
          <cell r="A4">
            <v>1</v>
          </cell>
          <cell r="B4">
            <v>46023</v>
          </cell>
          <cell r="C4">
            <v>103</v>
          </cell>
          <cell r="D4" t="str">
            <v>اجهزة كمبيوتر واجهزة المقر</v>
          </cell>
        </row>
        <row r="5">
          <cell r="A5">
            <v>1</v>
          </cell>
          <cell r="B5">
            <v>46023</v>
          </cell>
          <cell r="C5">
            <v>104</v>
          </cell>
          <cell r="D5" t="str">
            <v>معدات موقع</v>
          </cell>
        </row>
        <row r="6">
          <cell r="A6">
            <v>1</v>
          </cell>
          <cell r="B6">
            <v>46023</v>
          </cell>
          <cell r="C6">
            <v>20</v>
          </cell>
          <cell r="D6" t="str">
            <v xml:space="preserve">الخزينة </v>
          </cell>
        </row>
        <row r="7">
          <cell r="A7">
            <v>1</v>
          </cell>
          <cell r="B7">
            <v>46023</v>
          </cell>
          <cell r="C7">
            <v>201</v>
          </cell>
          <cell r="D7" t="str">
            <v xml:space="preserve">بنك cib شخصي </v>
          </cell>
        </row>
        <row r="8">
          <cell r="A8">
            <v>1</v>
          </cell>
          <cell r="B8">
            <v>46023</v>
          </cell>
          <cell r="C8">
            <v>206</v>
          </cell>
          <cell r="D8" t="str">
            <v xml:space="preserve">المخزن </v>
          </cell>
        </row>
        <row r="9">
          <cell r="A9">
            <v>1</v>
          </cell>
          <cell r="B9">
            <v>46023</v>
          </cell>
          <cell r="C9">
            <v>6000</v>
          </cell>
          <cell r="D9" t="str">
            <v>عملاء</v>
          </cell>
        </row>
        <row r="10">
          <cell r="A10">
            <v>1</v>
          </cell>
          <cell r="B10">
            <v>46023</v>
          </cell>
          <cell r="C10" t="str">
            <v>50-1</v>
          </cell>
          <cell r="D10" t="str">
            <v>عهدة م ايه</v>
          </cell>
        </row>
        <row r="11">
          <cell r="A11">
            <v>1</v>
          </cell>
          <cell r="B11">
            <v>46023</v>
          </cell>
          <cell r="C11" t="str">
            <v>50-8</v>
          </cell>
          <cell r="D11" t="str">
            <v>سلفة احمد يونس</v>
          </cell>
        </row>
        <row r="12">
          <cell r="A12">
            <v>1</v>
          </cell>
          <cell r="B12">
            <v>46023</v>
          </cell>
          <cell r="C12" t="str">
            <v>50-10</v>
          </cell>
          <cell r="D12" t="str">
            <v>سلفة احمد علي</v>
          </cell>
        </row>
        <row r="13">
          <cell r="A13">
            <v>1</v>
          </cell>
          <cell r="B13">
            <v>46023</v>
          </cell>
          <cell r="C13" t="str">
            <v>50-9</v>
          </cell>
          <cell r="D13" t="str">
            <v>سلفة عبدالرحمن</v>
          </cell>
        </row>
        <row r="14">
          <cell r="A14">
            <v>1</v>
          </cell>
          <cell r="B14">
            <v>46023</v>
          </cell>
          <cell r="C14" t="str">
            <v>50-12</v>
          </cell>
          <cell r="D14" t="str">
            <v>تأمين مقر</v>
          </cell>
        </row>
        <row r="15">
          <cell r="A15">
            <v>1</v>
          </cell>
          <cell r="B15">
            <v>46023</v>
          </cell>
          <cell r="C15" t="str">
            <v>50-2</v>
          </cell>
          <cell r="D15" t="str">
            <v>عهدة سامح مشتريات</v>
          </cell>
        </row>
        <row r="16">
          <cell r="A16">
            <v>1</v>
          </cell>
          <cell r="B16">
            <v>46023</v>
          </cell>
          <cell r="C16">
            <v>2016</v>
          </cell>
          <cell r="D16" t="str">
            <v xml:space="preserve">خسارة مرحلة </v>
          </cell>
        </row>
        <row r="17">
          <cell r="A17">
            <v>1</v>
          </cell>
          <cell r="B17">
            <v>46023</v>
          </cell>
          <cell r="C17">
            <v>5000</v>
          </cell>
          <cell r="D17" t="str">
            <v>مجمع الاهلاك</v>
          </cell>
        </row>
        <row r="18">
          <cell r="A18">
            <v>1</v>
          </cell>
          <cell r="B18">
            <v>46023</v>
          </cell>
          <cell r="C18">
            <v>8000</v>
          </cell>
          <cell r="D18" t="str">
            <v>مخصص ديون مشكوك فى تحصيلها</v>
          </cell>
        </row>
        <row r="19">
          <cell r="A19">
            <v>1</v>
          </cell>
          <cell r="B19">
            <v>46023</v>
          </cell>
          <cell r="C19">
            <v>4049</v>
          </cell>
          <cell r="D19" t="str">
            <v>محمد السيد توريدات كهرباء</v>
          </cell>
        </row>
        <row r="20">
          <cell r="A20">
            <v>1</v>
          </cell>
          <cell r="B20">
            <v>46023</v>
          </cell>
          <cell r="C20">
            <v>4056</v>
          </cell>
          <cell r="D20" t="str">
            <v>القبيصي</v>
          </cell>
        </row>
        <row r="21">
          <cell r="A21">
            <v>1</v>
          </cell>
          <cell r="B21">
            <v>46023</v>
          </cell>
          <cell r="C21">
            <v>4060</v>
          </cell>
          <cell r="D21" t="str">
            <v>كايرو لايت</v>
          </cell>
        </row>
        <row r="22">
          <cell r="A22">
            <v>1</v>
          </cell>
          <cell r="B22">
            <v>46023</v>
          </cell>
          <cell r="C22">
            <v>4003</v>
          </cell>
          <cell r="D22" t="str">
            <v>سامي رخام</v>
          </cell>
        </row>
        <row r="23">
          <cell r="A23">
            <v>1</v>
          </cell>
          <cell r="B23">
            <v>46023</v>
          </cell>
          <cell r="C23">
            <v>4034</v>
          </cell>
          <cell r="D23" t="str">
            <v>اشرف تكييف</v>
          </cell>
        </row>
        <row r="24">
          <cell r="A24">
            <v>1</v>
          </cell>
          <cell r="B24">
            <v>46023</v>
          </cell>
          <cell r="C24">
            <v>4035</v>
          </cell>
          <cell r="D24" t="str">
            <v>محمد امين</v>
          </cell>
        </row>
        <row r="25">
          <cell r="A25">
            <v>1</v>
          </cell>
          <cell r="B25">
            <v>46023</v>
          </cell>
          <cell r="C25">
            <v>4036</v>
          </cell>
          <cell r="D25" t="str">
            <v>اسلام سكوريت</v>
          </cell>
        </row>
        <row r="26">
          <cell r="A26">
            <v>1</v>
          </cell>
          <cell r="B26">
            <v>46023</v>
          </cell>
          <cell r="C26">
            <v>4037</v>
          </cell>
          <cell r="D26" t="str">
            <v>محمود الجبس</v>
          </cell>
        </row>
        <row r="27">
          <cell r="A27">
            <v>1</v>
          </cell>
          <cell r="B27">
            <v>46023</v>
          </cell>
          <cell r="C27">
            <v>4001</v>
          </cell>
          <cell r="D27" t="str">
            <v>عبدالشكور محارة</v>
          </cell>
        </row>
        <row r="28">
          <cell r="A28">
            <v>1</v>
          </cell>
          <cell r="B28">
            <v>46023</v>
          </cell>
          <cell r="C28">
            <v>4023</v>
          </cell>
          <cell r="D28" t="str">
            <v>عمرو السباك</v>
          </cell>
        </row>
        <row r="29">
          <cell r="A29">
            <v>1</v>
          </cell>
          <cell r="B29">
            <v>46023</v>
          </cell>
          <cell r="C29">
            <v>4032</v>
          </cell>
          <cell r="D29" t="str">
            <v>عاطف النجار</v>
          </cell>
        </row>
        <row r="30">
          <cell r="A30">
            <v>1</v>
          </cell>
          <cell r="B30">
            <v>46023</v>
          </cell>
          <cell r="C30">
            <v>4013</v>
          </cell>
          <cell r="D30" t="str">
            <v>محمد السيد كهربائي مقاول</v>
          </cell>
        </row>
        <row r="31">
          <cell r="A31">
            <v>1</v>
          </cell>
          <cell r="B31">
            <v>46023</v>
          </cell>
          <cell r="C31">
            <v>4033</v>
          </cell>
          <cell r="D31" t="str">
            <v>كريم النجار</v>
          </cell>
        </row>
        <row r="32">
          <cell r="A32">
            <v>1</v>
          </cell>
          <cell r="B32">
            <v>46023</v>
          </cell>
          <cell r="C32">
            <v>4005</v>
          </cell>
          <cell r="D32" t="str">
            <v>ناصر الهدم</v>
          </cell>
        </row>
        <row r="33">
          <cell r="A33">
            <v>1</v>
          </cell>
          <cell r="B33">
            <v>46023</v>
          </cell>
          <cell r="C33">
            <v>4004</v>
          </cell>
          <cell r="D33" t="str">
            <v>دائنون 2024</v>
          </cell>
        </row>
        <row r="34">
          <cell r="A34">
            <v>1</v>
          </cell>
          <cell r="B34">
            <v>46023</v>
          </cell>
          <cell r="C34">
            <v>6000</v>
          </cell>
          <cell r="D34" t="str">
            <v>عملاء</v>
          </cell>
        </row>
        <row r="35">
          <cell r="A35">
            <v>1</v>
          </cell>
          <cell r="B35">
            <v>46023</v>
          </cell>
          <cell r="C35">
            <v>4183</v>
          </cell>
          <cell r="D35" t="str">
            <v>عمولة التسويق</v>
          </cell>
        </row>
        <row r="36">
          <cell r="A36">
            <v>1</v>
          </cell>
          <cell r="B36">
            <v>46023</v>
          </cell>
          <cell r="C36">
            <v>4184</v>
          </cell>
          <cell r="D36" t="str">
            <v>عمولة المشتريات</v>
          </cell>
        </row>
        <row r="37">
          <cell r="A37">
            <v>1</v>
          </cell>
          <cell r="B37">
            <v>46023</v>
          </cell>
          <cell r="C37" t="str">
            <v>2000-1</v>
          </cell>
          <cell r="D37" t="str">
            <v xml:space="preserve">جارى شركاء دكتور احمد </v>
          </cell>
        </row>
        <row r="38">
          <cell r="A38">
            <v>1</v>
          </cell>
          <cell r="B38">
            <v>46023</v>
          </cell>
          <cell r="C38">
            <v>1000</v>
          </cell>
          <cell r="D38" t="str">
            <v xml:space="preserve">رأس المال المستثمر اول المدة </v>
          </cell>
        </row>
        <row r="39">
          <cell r="A39">
            <v>2</v>
          </cell>
          <cell r="B39">
            <v>46027</v>
          </cell>
          <cell r="C39">
            <v>4003</v>
          </cell>
          <cell r="D39" t="str">
            <v>سامي رخام</v>
          </cell>
        </row>
        <row r="40">
          <cell r="A40">
            <v>2</v>
          </cell>
          <cell r="B40">
            <v>46036</v>
          </cell>
          <cell r="C40">
            <v>4003</v>
          </cell>
          <cell r="D40" t="str">
            <v>سامي رخام</v>
          </cell>
        </row>
        <row r="41">
          <cell r="A41">
            <v>2</v>
          </cell>
          <cell r="B41">
            <v>46040</v>
          </cell>
          <cell r="C41">
            <v>4003</v>
          </cell>
          <cell r="D41" t="str">
            <v>سامي رخام</v>
          </cell>
        </row>
        <row r="42">
          <cell r="A42">
            <v>2</v>
          </cell>
          <cell r="B42">
            <v>46056</v>
          </cell>
          <cell r="C42">
            <v>4003</v>
          </cell>
          <cell r="D42" t="str">
            <v>سامي رخام</v>
          </cell>
        </row>
        <row r="43">
          <cell r="A43">
            <v>2</v>
          </cell>
          <cell r="B43">
            <v>46061</v>
          </cell>
          <cell r="C43">
            <v>4003</v>
          </cell>
          <cell r="D43" t="str">
            <v>سامي رخام</v>
          </cell>
        </row>
        <row r="44">
          <cell r="A44">
            <v>2</v>
          </cell>
          <cell r="B44">
            <v>46061</v>
          </cell>
          <cell r="C44">
            <v>4003</v>
          </cell>
          <cell r="D44" t="str">
            <v>سامي رخام</v>
          </cell>
        </row>
        <row r="45">
          <cell r="A45">
            <v>2</v>
          </cell>
          <cell r="B45">
            <v>46071</v>
          </cell>
          <cell r="C45">
            <v>4003</v>
          </cell>
          <cell r="D45" t="str">
            <v>سامي رخام</v>
          </cell>
        </row>
        <row r="46">
          <cell r="A46">
            <v>2</v>
          </cell>
          <cell r="B46">
            <v>46089</v>
          </cell>
          <cell r="C46">
            <v>4003</v>
          </cell>
          <cell r="D46" t="str">
            <v>سامي رخام</v>
          </cell>
        </row>
        <row r="47">
          <cell r="A47">
            <v>2</v>
          </cell>
          <cell r="B47">
            <v>46096</v>
          </cell>
          <cell r="C47">
            <v>4003</v>
          </cell>
          <cell r="D47" t="str">
            <v>سامي رخام</v>
          </cell>
        </row>
        <row r="48">
          <cell r="A48">
            <v>2</v>
          </cell>
          <cell r="B48">
            <v>46098</v>
          </cell>
          <cell r="C48">
            <v>4003</v>
          </cell>
          <cell r="D48" t="str">
            <v>سامي رخام</v>
          </cell>
        </row>
        <row r="49">
          <cell r="A49">
            <v>2</v>
          </cell>
          <cell r="B49">
            <v>46121</v>
          </cell>
          <cell r="C49">
            <v>4003</v>
          </cell>
          <cell r="D49" t="str">
            <v>سامي رخام</v>
          </cell>
        </row>
        <row r="50">
          <cell r="A50">
            <v>2</v>
          </cell>
          <cell r="B50">
            <v>46121</v>
          </cell>
          <cell r="C50">
            <v>4003</v>
          </cell>
          <cell r="D50" t="str">
            <v>سامي رخام</v>
          </cell>
        </row>
        <row r="51">
          <cell r="A51">
            <v>2</v>
          </cell>
          <cell r="B51">
            <v>46133</v>
          </cell>
          <cell r="C51">
            <v>4003</v>
          </cell>
          <cell r="D51" t="str">
            <v>سامي رخام</v>
          </cell>
        </row>
        <row r="52">
          <cell r="A52">
            <v>2</v>
          </cell>
          <cell r="B52">
            <v>46146</v>
          </cell>
          <cell r="C52">
            <v>4003</v>
          </cell>
          <cell r="D52" t="str">
            <v>سامي رخام</v>
          </cell>
        </row>
        <row r="53">
          <cell r="A53">
            <v>2</v>
          </cell>
          <cell r="B53">
            <v>46167</v>
          </cell>
          <cell r="C53">
            <v>4003</v>
          </cell>
          <cell r="D53" t="str">
            <v>سامي رخام</v>
          </cell>
        </row>
        <row r="54">
          <cell r="A54">
            <v>2</v>
          </cell>
          <cell r="B54">
            <v>46168</v>
          </cell>
          <cell r="C54">
            <v>4003</v>
          </cell>
          <cell r="D54" t="str">
            <v>سامي رخام</v>
          </cell>
        </row>
        <row r="55">
          <cell r="A55">
            <v>2</v>
          </cell>
          <cell r="B55">
            <v>46184</v>
          </cell>
          <cell r="C55">
            <v>4003</v>
          </cell>
          <cell r="D55" t="str">
            <v>سامي رخام</v>
          </cell>
        </row>
        <row r="56">
          <cell r="A56">
            <v>2</v>
          </cell>
          <cell r="B56">
            <v>46184</v>
          </cell>
          <cell r="C56">
            <v>4003</v>
          </cell>
          <cell r="D56" t="str">
            <v>سامي رخام</v>
          </cell>
        </row>
        <row r="57">
          <cell r="A57">
            <v>2</v>
          </cell>
          <cell r="B57">
            <v>46027</v>
          </cell>
          <cell r="C57">
            <v>20</v>
          </cell>
          <cell r="D57" t="str">
            <v xml:space="preserve">الخزينة </v>
          </cell>
        </row>
        <row r="58">
          <cell r="A58">
            <v>2</v>
          </cell>
          <cell r="B58">
            <v>46036</v>
          </cell>
          <cell r="C58">
            <v>20</v>
          </cell>
          <cell r="D58" t="str">
            <v xml:space="preserve">الخزينة </v>
          </cell>
        </row>
        <row r="59">
          <cell r="A59">
            <v>2</v>
          </cell>
          <cell r="B59">
            <v>46040</v>
          </cell>
          <cell r="C59">
            <v>20</v>
          </cell>
          <cell r="D59" t="str">
            <v xml:space="preserve">الخزينة </v>
          </cell>
        </row>
        <row r="60">
          <cell r="A60">
            <v>2</v>
          </cell>
          <cell r="B60">
            <v>46056</v>
          </cell>
          <cell r="C60">
            <v>20</v>
          </cell>
          <cell r="D60" t="str">
            <v xml:space="preserve">الخزينة </v>
          </cell>
        </row>
        <row r="61">
          <cell r="A61">
            <v>2</v>
          </cell>
          <cell r="B61">
            <v>46061</v>
          </cell>
          <cell r="C61">
            <v>20</v>
          </cell>
          <cell r="D61" t="str">
            <v xml:space="preserve">الخزينة </v>
          </cell>
        </row>
        <row r="62">
          <cell r="A62">
            <v>2</v>
          </cell>
          <cell r="B62">
            <v>46061</v>
          </cell>
          <cell r="C62">
            <v>20</v>
          </cell>
          <cell r="D62" t="str">
            <v xml:space="preserve">الخزينة </v>
          </cell>
        </row>
        <row r="63">
          <cell r="A63">
            <v>2</v>
          </cell>
          <cell r="B63">
            <v>46071</v>
          </cell>
          <cell r="C63">
            <v>20</v>
          </cell>
          <cell r="D63" t="str">
            <v xml:space="preserve">الخزينة </v>
          </cell>
        </row>
        <row r="64">
          <cell r="A64">
            <v>2</v>
          </cell>
          <cell r="B64">
            <v>46089</v>
          </cell>
          <cell r="C64">
            <v>20</v>
          </cell>
          <cell r="D64" t="str">
            <v xml:space="preserve">الخزينة </v>
          </cell>
        </row>
        <row r="65">
          <cell r="A65">
            <v>2</v>
          </cell>
          <cell r="B65">
            <v>46096</v>
          </cell>
          <cell r="C65">
            <v>20</v>
          </cell>
          <cell r="D65" t="str">
            <v xml:space="preserve">الخزينة </v>
          </cell>
        </row>
        <row r="66">
          <cell r="A66">
            <v>2</v>
          </cell>
          <cell r="B66">
            <v>46098</v>
          </cell>
          <cell r="C66">
            <v>20</v>
          </cell>
          <cell r="D66" t="str">
            <v xml:space="preserve">الخزينة </v>
          </cell>
        </row>
        <row r="67">
          <cell r="A67">
            <v>2</v>
          </cell>
          <cell r="B67">
            <v>46121</v>
          </cell>
          <cell r="C67">
            <v>20</v>
          </cell>
          <cell r="D67" t="str">
            <v xml:space="preserve">الخزينة </v>
          </cell>
        </row>
        <row r="68">
          <cell r="A68">
            <v>2</v>
          </cell>
          <cell r="B68">
            <v>46121</v>
          </cell>
          <cell r="C68">
            <v>20</v>
          </cell>
          <cell r="D68" t="str">
            <v xml:space="preserve">الخزينة </v>
          </cell>
        </row>
        <row r="69">
          <cell r="A69">
            <v>2</v>
          </cell>
          <cell r="B69">
            <v>46133</v>
          </cell>
          <cell r="C69">
            <v>20</v>
          </cell>
          <cell r="D69" t="str">
            <v xml:space="preserve">الخزينة </v>
          </cell>
        </row>
        <row r="70">
          <cell r="A70">
            <v>2</v>
          </cell>
          <cell r="B70">
            <v>46146</v>
          </cell>
          <cell r="C70">
            <v>20</v>
          </cell>
          <cell r="D70" t="str">
            <v xml:space="preserve">الخزينة </v>
          </cell>
        </row>
        <row r="71">
          <cell r="A71">
            <v>2</v>
          </cell>
          <cell r="B71">
            <v>46167</v>
          </cell>
          <cell r="C71">
            <v>20</v>
          </cell>
          <cell r="D71" t="str">
            <v xml:space="preserve">الخزينة </v>
          </cell>
        </row>
        <row r="72">
          <cell r="A72">
            <v>2</v>
          </cell>
          <cell r="B72">
            <v>46168</v>
          </cell>
          <cell r="C72">
            <v>20</v>
          </cell>
          <cell r="D72" t="str">
            <v xml:space="preserve">الخزينة </v>
          </cell>
        </row>
        <row r="73">
          <cell r="A73">
            <v>2</v>
          </cell>
          <cell r="B73">
            <v>46184</v>
          </cell>
          <cell r="C73">
            <v>20</v>
          </cell>
          <cell r="D73" t="str">
            <v xml:space="preserve">الخزينة </v>
          </cell>
        </row>
        <row r="74">
          <cell r="A74">
            <v>2</v>
          </cell>
          <cell r="B74">
            <v>46184</v>
          </cell>
          <cell r="C74">
            <v>20</v>
          </cell>
          <cell r="D74" t="str">
            <v xml:space="preserve">الخزينة </v>
          </cell>
        </row>
        <row r="75">
          <cell r="A75">
            <v>3</v>
          </cell>
          <cell r="B75">
            <v>46064</v>
          </cell>
          <cell r="C75">
            <v>4018</v>
          </cell>
          <cell r="D75" t="str">
            <v>احمد كيريتال</v>
          </cell>
        </row>
        <row r="76">
          <cell r="A76">
            <v>3</v>
          </cell>
          <cell r="B76">
            <v>46091</v>
          </cell>
          <cell r="C76">
            <v>4018</v>
          </cell>
          <cell r="D76" t="str">
            <v>احمد كيريتال</v>
          </cell>
        </row>
        <row r="77">
          <cell r="A77">
            <v>3</v>
          </cell>
          <cell r="B77">
            <v>46096</v>
          </cell>
          <cell r="C77">
            <v>4018</v>
          </cell>
          <cell r="D77" t="str">
            <v>احمد كيريتال</v>
          </cell>
        </row>
        <row r="78">
          <cell r="A78">
            <v>3</v>
          </cell>
          <cell r="B78">
            <v>46099</v>
          </cell>
          <cell r="C78">
            <v>4018</v>
          </cell>
          <cell r="D78" t="str">
            <v>احمد كيريتال</v>
          </cell>
        </row>
        <row r="79">
          <cell r="A79">
            <v>3</v>
          </cell>
          <cell r="B79">
            <v>46135</v>
          </cell>
          <cell r="C79">
            <v>4018</v>
          </cell>
          <cell r="D79" t="str">
            <v>احمد كيريتال</v>
          </cell>
        </row>
        <row r="80">
          <cell r="A80">
            <v>3</v>
          </cell>
          <cell r="B80">
            <v>46135</v>
          </cell>
          <cell r="C80">
            <v>4018</v>
          </cell>
          <cell r="D80" t="str">
            <v>احمد كيريتال</v>
          </cell>
        </row>
        <row r="81">
          <cell r="A81">
            <v>3</v>
          </cell>
          <cell r="B81">
            <v>46166</v>
          </cell>
          <cell r="C81">
            <v>4018</v>
          </cell>
          <cell r="D81" t="str">
            <v>احمد كيريتال</v>
          </cell>
        </row>
        <row r="82">
          <cell r="A82">
            <v>3</v>
          </cell>
          <cell r="B82">
            <v>46166</v>
          </cell>
          <cell r="C82">
            <v>4018</v>
          </cell>
          <cell r="D82" t="str">
            <v>احمد كيريتال</v>
          </cell>
        </row>
        <row r="83">
          <cell r="A83">
            <v>3</v>
          </cell>
          <cell r="B83">
            <v>46166</v>
          </cell>
          <cell r="C83">
            <v>4018</v>
          </cell>
          <cell r="D83" t="str">
            <v>احمد كيريتال</v>
          </cell>
        </row>
        <row r="84">
          <cell r="A84">
            <v>3</v>
          </cell>
          <cell r="B84">
            <v>46064</v>
          </cell>
          <cell r="C84">
            <v>20</v>
          </cell>
          <cell r="D84" t="str">
            <v xml:space="preserve">الخزينة </v>
          </cell>
        </row>
        <row r="85">
          <cell r="A85">
            <v>3</v>
          </cell>
          <cell r="B85">
            <v>46091</v>
          </cell>
          <cell r="C85">
            <v>20</v>
          </cell>
          <cell r="D85" t="str">
            <v xml:space="preserve">الخزينة </v>
          </cell>
        </row>
        <row r="86">
          <cell r="A86">
            <v>3</v>
          </cell>
          <cell r="B86">
            <v>46096</v>
          </cell>
          <cell r="C86">
            <v>20</v>
          </cell>
          <cell r="D86" t="str">
            <v xml:space="preserve">الخزينة </v>
          </cell>
        </row>
        <row r="87">
          <cell r="A87">
            <v>3</v>
          </cell>
          <cell r="B87">
            <v>46099</v>
          </cell>
          <cell r="C87">
            <v>20</v>
          </cell>
          <cell r="D87" t="str">
            <v xml:space="preserve">الخزينة </v>
          </cell>
        </row>
        <row r="88">
          <cell r="A88">
            <v>3</v>
          </cell>
          <cell r="B88">
            <v>46135</v>
          </cell>
          <cell r="C88">
            <v>20</v>
          </cell>
          <cell r="D88" t="str">
            <v xml:space="preserve">الخزينة </v>
          </cell>
        </row>
        <row r="89">
          <cell r="A89">
            <v>3</v>
          </cell>
          <cell r="B89">
            <v>46135</v>
          </cell>
          <cell r="C89">
            <v>20</v>
          </cell>
          <cell r="D89" t="str">
            <v xml:space="preserve">الخزينة </v>
          </cell>
        </row>
        <row r="90">
          <cell r="A90">
            <v>3</v>
          </cell>
          <cell r="B90">
            <v>46166</v>
          </cell>
          <cell r="C90">
            <v>20</v>
          </cell>
          <cell r="D90" t="str">
            <v xml:space="preserve">الخزينة </v>
          </cell>
        </row>
        <row r="91">
          <cell r="A91">
            <v>3</v>
          </cell>
          <cell r="B91">
            <v>46166</v>
          </cell>
          <cell r="C91">
            <v>20</v>
          </cell>
          <cell r="D91" t="str">
            <v xml:space="preserve">الخزينة </v>
          </cell>
        </row>
        <row r="92">
          <cell r="A92">
            <v>3</v>
          </cell>
          <cell r="B92">
            <v>46166</v>
          </cell>
          <cell r="C92">
            <v>20</v>
          </cell>
          <cell r="D92" t="str">
            <v xml:space="preserve">الخزينة </v>
          </cell>
        </row>
        <row r="93">
          <cell r="A93">
            <v>4</v>
          </cell>
          <cell r="B93">
            <v>46083</v>
          </cell>
          <cell r="C93">
            <v>20</v>
          </cell>
          <cell r="D93" t="str">
            <v xml:space="preserve">الخزينة </v>
          </cell>
        </row>
        <row r="94">
          <cell r="A94">
            <v>4</v>
          </cell>
          <cell r="B94">
            <v>46083</v>
          </cell>
          <cell r="C94">
            <v>4018</v>
          </cell>
          <cell r="D94" t="str">
            <v>احمد كيريتال</v>
          </cell>
        </row>
        <row r="95">
          <cell r="A95">
            <v>5</v>
          </cell>
          <cell r="B95">
            <v>46037</v>
          </cell>
          <cell r="C95">
            <v>4036</v>
          </cell>
          <cell r="D95" t="str">
            <v>اسلام سكوريت</v>
          </cell>
        </row>
        <row r="96">
          <cell r="A96">
            <v>5</v>
          </cell>
          <cell r="B96">
            <v>46041</v>
          </cell>
          <cell r="C96">
            <v>4036</v>
          </cell>
          <cell r="D96" t="str">
            <v>اسلام سكوريت</v>
          </cell>
        </row>
        <row r="97">
          <cell r="A97">
            <v>5</v>
          </cell>
          <cell r="B97">
            <v>46056</v>
          </cell>
          <cell r="C97">
            <v>4036</v>
          </cell>
          <cell r="D97" t="str">
            <v>اسلام سكوريت</v>
          </cell>
        </row>
        <row r="98">
          <cell r="A98">
            <v>5</v>
          </cell>
          <cell r="B98">
            <v>46065</v>
          </cell>
          <cell r="C98">
            <v>4036</v>
          </cell>
          <cell r="D98" t="str">
            <v>اسلام سكوريت</v>
          </cell>
        </row>
        <row r="99">
          <cell r="A99">
            <v>5</v>
          </cell>
          <cell r="B99">
            <v>46065</v>
          </cell>
          <cell r="C99">
            <v>4036</v>
          </cell>
          <cell r="D99" t="str">
            <v>اسلام سكوريت</v>
          </cell>
        </row>
        <row r="100">
          <cell r="A100">
            <v>5</v>
          </cell>
          <cell r="B100">
            <v>46070</v>
          </cell>
          <cell r="C100">
            <v>4036</v>
          </cell>
          <cell r="D100" t="str">
            <v>اسلام سكوريت</v>
          </cell>
        </row>
        <row r="101">
          <cell r="A101">
            <v>5</v>
          </cell>
          <cell r="B101">
            <v>46082</v>
          </cell>
          <cell r="C101">
            <v>4036</v>
          </cell>
          <cell r="D101" t="str">
            <v>اسلام سكوريت</v>
          </cell>
        </row>
        <row r="102">
          <cell r="A102">
            <v>5</v>
          </cell>
          <cell r="B102">
            <v>46093</v>
          </cell>
          <cell r="C102">
            <v>4036</v>
          </cell>
          <cell r="D102" t="str">
            <v>اسلام سكوريت</v>
          </cell>
        </row>
        <row r="103">
          <cell r="A103">
            <v>5</v>
          </cell>
          <cell r="B103">
            <v>46093</v>
          </cell>
          <cell r="C103">
            <v>4036</v>
          </cell>
          <cell r="D103" t="str">
            <v>اسلام سكوريت</v>
          </cell>
        </row>
        <row r="104">
          <cell r="A104">
            <v>5</v>
          </cell>
          <cell r="B104">
            <v>46099</v>
          </cell>
          <cell r="C104">
            <v>4036</v>
          </cell>
          <cell r="D104" t="str">
            <v>اسلام سكوريت</v>
          </cell>
        </row>
        <row r="105">
          <cell r="A105">
            <v>5</v>
          </cell>
          <cell r="B105">
            <v>46128</v>
          </cell>
          <cell r="C105">
            <v>4036</v>
          </cell>
          <cell r="D105" t="str">
            <v>اسلام سكوريت</v>
          </cell>
        </row>
        <row r="106">
          <cell r="A106">
            <v>5</v>
          </cell>
          <cell r="B106">
            <v>46148</v>
          </cell>
          <cell r="C106">
            <v>4036</v>
          </cell>
          <cell r="D106" t="str">
            <v>اسلام سكوريت</v>
          </cell>
        </row>
        <row r="107">
          <cell r="A107">
            <v>5</v>
          </cell>
          <cell r="B107">
            <v>46152</v>
          </cell>
          <cell r="C107">
            <v>4036</v>
          </cell>
          <cell r="D107" t="str">
            <v>اسلام سكوريت</v>
          </cell>
        </row>
        <row r="108">
          <cell r="A108">
            <v>5</v>
          </cell>
          <cell r="B108">
            <v>46161</v>
          </cell>
          <cell r="C108">
            <v>4036</v>
          </cell>
          <cell r="D108" t="str">
            <v>اسلام سكوريت</v>
          </cell>
        </row>
        <row r="109">
          <cell r="A109">
            <v>5</v>
          </cell>
          <cell r="B109">
            <v>46037</v>
          </cell>
          <cell r="C109">
            <v>20</v>
          </cell>
          <cell r="D109" t="str">
            <v xml:space="preserve">الخزينة </v>
          </cell>
        </row>
        <row r="110">
          <cell r="A110">
            <v>5</v>
          </cell>
          <cell r="B110">
            <v>46041</v>
          </cell>
          <cell r="C110">
            <v>20</v>
          </cell>
          <cell r="D110" t="str">
            <v xml:space="preserve">الخزينة </v>
          </cell>
        </row>
        <row r="111">
          <cell r="A111">
            <v>5</v>
          </cell>
          <cell r="B111">
            <v>46056</v>
          </cell>
          <cell r="C111">
            <v>20</v>
          </cell>
          <cell r="D111" t="str">
            <v xml:space="preserve">الخزينة </v>
          </cell>
        </row>
        <row r="112">
          <cell r="A112">
            <v>5</v>
          </cell>
          <cell r="B112">
            <v>46065</v>
          </cell>
          <cell r="C112">
            <v>20</v>
          </cell>
          <cell r="D112" t="str">
            <v xml:space="preserve">الخزينة </v>
          </cell>
        </row>
        <row r="113">
          <cell r="A113">
            <v>5</v>
          </cell>
          <cell r="B113">
            <v>46065</v>
          </cell>
          <cell r="C113">
            <v>20</v>
          </cell>
          <cell r="D113" t="str">
            <v xml:space="preserve">الخزينة </v>
          </cell>
        </row>
        <row r="114">
          <cell r="A114">
            <v>5</v>
          </cell>
          <cell r="B114">
            <v>46070</v>
          </cell>
          <cell r="C114">
            <v>20</v>
          </cell>
          <cell r="D114" t="str">
            <v xml:space="preserve">الخزينة </v>
          </cell>
        </row>
        <row r="115">
          <cell r="A115">
            <v>5</v>
          </cell>
          <cell r="B115">
            <v>46082</v>
          </cell>
          <cell r="C115">
            <v>20</v>
          </cell>
          <cell r="D115" t="str">
            <v xml:space="preserve">الخزينة </v>
          </cell>
        </row>
        <row r="116">
          <cell r="A116">
            <v>5</v>
          </cell>
          <cell r="B116">
            <v>46093</v>
          </cell>
          <cell r="C116">
            <v>20</v>
          </cell>
          <cell r="D116" t="str">
            <v xml:space="preserve">الخزينة </v>
          </cell>
        </row>
        <row r="117">
          <cell r="A117">
            <v>5</v>
          </cell>
          <cell r="B117">
            <v>46093</v>
          </cell>
          <cell r="C117">
            <v>20</v>
          </cell>
          <cell r="D117" t="str">
            <v xml:space="preserve">الخزينة </v>
          </cell>
        </row>
        <row r="118">
          <cell r="A118">
            <v>5</v>
          </cell>
          <cell r="B118">
            <v>46099</v>
          </cell>
          <cell r="C118">
            <v>20</v>
          </cell>
          <cell r="D118" t="str">
            <v xml:space="preserve">الخزينة </v>
          </cell>
        </row>
        <row r="119">
          <cell r="A119">
            <v>5</v>
          </cell>
          <cell r="B119">
            <v>46128</v>
          </cell>
          <cell r="C119">
            <v>20</v>
          </cell>
          <cell r="D119" t="str">
            <v xml:space="preserve">الخزينة </v>
          </cell>
        </row>
        <row r="120">
          <cell r="A120">
            <v>5</v>
          </cell>
          <cell r="B120">
            <v>46148</v>
          </cell>
          <cell r="C120">
            <v>20</v>
          </cell>
          <cell r="D120" t="str">
            <v xml:space="preserve">الخزينة </v>
          </cell>
        </row>
        <row r="121">
          <cell r="A121">
            <v>5</v>
          </cell>
          <cell r="B121">
            <v>46152</v>
          </cell>
          <cell r="C121">
            <v>20</v>
          </cell>
          <cell r="D121" t="str">
            <v xml:space="preserve">الخزينة </v>
          </cell>
        </row>
        <row r="122">
          <cell r="A122">
            <v>5</v>
          </cell>
          <cell r="B122">
            <v>46161</v>
          </cell>
          <cell r="C122">
            <v>20</v>
          </cell>
          <cell r="D122" t="str">
            <v xml:space="preserve">الخزينة </v>
          </cell>
        </row>
        <row r="123">
          <cell r="A123">
            <v>6</v>
          </cell>
          <cell r="B123">
            <v>46096</v>
          </cell>
          <cell r="C123">
            <v>4034</v>
          </cell>
          <cell r="D123" t="str">
            <v>اشرف تكييف</v>
          </cell>
        </row>
        <row r="124">
          <cell r="A124">
            <v>6</v>
          </cell>
          <cell r="B124">
            <v>46156</v>
          </cell>
          <cell r="C124">
            <v>4034</v>
          </cell>
          <cell r="D124" t="str">
            <v>اشرف تكييف</v>
          </cell>
        </row>
        <row r="125">
          <cell r="A125">
            <v>6</v>
          </cell>
          <cell r="B125">
            <v>46096</v>
          </cell>
          <cell r="C125">
            <v>20</v>
          </cell>
          <cell r="D125" t="str">
            <v xml:space="preserve">الخزينة </v>
          </cell>
        </row>
        <row r="126">
          <cell r="A126">
            <v>6</v>
          </cell>
          <cell r="B126">
            <v>46156</v>
          </cell>
          <cell r="C126">
            <v>20</v>
          </cell>
          <cell r="D126" t="str">
            <v xml:space="preserve">الخزينة </v>
          </cell>
        </row>
        <row r="127">
          <cell r="A127">
            <v>7</v>
          </cell>
          <cell r="B127">
            <v>46093</v>
          </cell>
          <cell r="C127">
            <v>4053</v>
          </cell>
          <cell r="D127" t="str">
            <v>الامل صحي</v>
          </cell>
        </row>
        <row r="128">
          <cell r="A128">
            <v>7</v>
          </cell>
          <cell r="B128">
            <v>46163</v>
          </cell>
          <cell r="C128">
            <v>4053</v>
          </cell>
          <cell r="D128" t="str">
            <v>الامل صحي</v>
          </cell>
        </row>
        <row r="129">
          <cell r="A129">
            <v>7</v>
          </cell>
          <cell r="B129">
            <v>46182</v>
          </cell>
          <cell r="C129">
            <v>4053</v>
          </cell>
          <cell r="D129" t="str">
            <v>الامل صحي</v>
          </cell>
        </row>
        <row r="130">
          <cell r="A130">
            <v>7</v>
          </cell>
          <cell r="B130">
            <v>46093</v>
          </cell>
          <cell r="C130">
            <v>20</v>
          </cell>
          <cell r="D130" t="str">
            <v xml:space="preserve">الخزينة </v>
          </cell>
        </row>
        <row r="131">
          <cell r="A131">
            <v>7</v>
          </cell>
          <cell r="B131">
            <v>46163</v>
          </cell>
          <cell r="C131">
            <v>20</v>
          </cell>
          <cell r="D131" t="str">
            <v xml:space="preserve">الخزينة </v>
          </cell>
        </row>
        <row r="132">
          <cell r="A132">
            <v>7</v>
          </cell>
          <cell r="B132">
            <v>46182</v>
          </cell>
          <cell r="C132">
            <v>20</v>
          </cell>
          <cell r="D132" t="str">
            <v xml:space="preserve">الخزينة </v>
          </cell>
        </row>
        <row r="133">
          <cell r="A133">
            <v>8</v>
          </cell>
          <cell r="B133">
            <v>46051</v>
          </cell>
          <cell r="C133">
            <v>4056</v>
          </cell>
          <cell r="D133" t="str">
            <v>القبيصي</v>
          </cell>
        </row>
        <row r="134">
          <cell r="A134">
            <v>8</v>
          </cell>
          <cell r="B134">
            <v>46051</v>
          </cell>
          <cell r="C134">
            <v>4056</v>
          </cell>
          <cell r="D134" t="str">
            <v>القبيصي</v>
          </cell>
        </row>
        <row r="135">
          <cell r="A135">
            <v>8</v>
          </cell>
          <cell r="B135">
            <v>46124</v>
          </cell>
          <cell r="C135">
            <v>4056</v>
          </cell>
          <cell r="D135" t="str">
            <v>القبيصي</v>
          </cell>
        </row>
        <row r="136">
          <cell r="A136">
            <v>8</v>
          </cell>
          <cell r="B136">
            <v>46135</v>
          </cell>
          <cell r="C136">
            <v>4056</v>
          </cell>
          <cell r="D136" t="str">
            <v>القبيصي</v>
          </cell>
        </row>
        <row r="137">
          <cell r="A137">
            <v>8</v>
          </cell>
          <cell r="B137">
            <v>46163</v>
          </cell>
          <cell r="C137">
            <v>4056</v>
          </cell>
          <cell r="D137" t="str">
            <v>القبيصي</v>
          </cell>
        </row>
        <row r="138">
          <cell r="A138">
            <v>8</v>
          </cell>
          <cell r="B138">
            <v>46051</v>
          </cell>
          <cell r="C138">
            <v>20</v>
          </cell>
          <cell r="D138" t="str">
            <v xml:space="preserve">الخزينة </v>
          </cell>
        </row>
        <row r="139">
          <cell r="A139">
            <v>8</v>
          </cell>
          <cell r="B139">
            <v>46051</v>
          </cell>
          <cell r="C139">
            <v>20</v>
          </cell>
          <cell r="D139" t="str">
            <v xml:space="preserve">الخزينة </v>
          </cell>
        </row>
        <row r="140">
          <cell r="A140">
            <v>8</v>
          </cell>
          <cell r="B140">
            <v>46124</v>
          </cell>
          <cell r="C140">
            <v>20</v>
          </cell>
          <cell r="D140" t="str">
            <v xml:space="preserve">الخزينة </v>
          </cell>
        </row>
        <row r="141">
          <cell r="A141">
            <v>8</v>
          </cell>
          <cell r="B141">
            <v>46135</v>
          </cell>
          <cell r="C141">
            <v>20</v>
          </cell>
          <cell r="D141" t="str">
            <v xml:space="preserve">الخزينة </v>
          </cell>
        </row>
        <row r="142">
          <cell r="A142">
            <v>8</v>
          </cell>
          <cell r="B142">
            <v>46163</v>
          </cell>
          <cell r="C142">
            <v>20</v>
          </cell>
          <cell r="D142" t="str">
            <v xml:space="preserve">الخزينة </v>
          </cell>
        </row>
        <row r="143">
          <cell r="A143">
            <v>9</v>
          </cell>
          <cell r="B143">
            <v>46146</v>
          </cell>
          <cell r="C143">
            <v>4067</v>
          </cell>
          <cell r="D143" t="str">
            <v>ايجي تند</v>
          </cell>
        </row>
        <row r="144">
          <cell r="A144">
            <v>9</v>
          </cell>
          <cell r="B144">
            <v>46146</v>
          </cell>
          <cell r="C144">
            <v>20</v>
          </cell>
          <cell r="D144" t="str">
            <v xml:space="preserve">الخزينة </v>
          </cell>
        </row>
        <row r="145">
          <cell r="A145">
            <v>10</v>
          </cell>
          <cell r="B145">
            <v>46029</v>
          </cell>
          <cell r="C145">
            <v>4061</v>
          </cell>
          <cell r="D145" t="str">
            <v>ايليت للمطابخ ( الميري)</v>
          </cell>
        </row>
        <row r="146">
          <cell r="A146">
            <v>10</v>
          </cell>
          <cell r="B146">
            <v>46033</v>
          </cell>
          <cell r="C146">
            <v>4061</v>
          </cell>
          <cell r="D146" t="str">
            <v>ايليت للمطابخ ( الميري)</v>
          </cell>
        </row>
        <row r="147">
          <cell r="A147">
            <v>10</v>
          </cell>
          <cell r="B147">
            <v>46035</v>
          </cell>
          <cell r="C147">
            <v>4061</v>
          </cell>
          <cell r="D147" t="str">
            <v>ايليت للمطابخ ( الميري)</v>
          </cell>
        </row>
        <row r="148">
          <cell r="A148">
            <v>10</v>
          </cell>
          <cell r="B148">
            <v>46040</v>
          </cell>
          <cell r="C148">
            <v>4061</v>
          </cell>
          <cell r="D148" t="str">
            <v>ايليت للمطابخ ( الميري)</v>
          </cell>
        </row>
        <row r="149">
          <cell r="A149">
            <v>10</v>
          </cell>
          <cell r="B149">
            <v>46040</v>
          </cell>
          <cell r="C149">
            <v>4061</v>
          </cell>
          <cell r="D149" t="str">
            <v>ايليت للمطابخ ( الميري)</v>
          </cell>
        </row>
        <row r="150">
          <cell r="A150">
            <v>10</v>
          </cell>
          <cell r="B150">
            <v>46048</v>
          </cell>
          <cell r="C150">
            <v>4061</v>
          </cell>
          <cell r="D150" t="str">
            <v>ايليت للمطابخ ( الميري)</v>
          </cell>
        </row>
        <row r="151">
          <cell r="A151">
            <v>10</v>
          </cell>
          <cell r="B151">
            <v>46050</v>
          </cell>
          <cell r="C151">
            <v>4061</v>
          </cell>
          <cell r="D151" t="str">
            <v>ايليت للمطابخ ( الميري)</v>
          </cell>
        </row>
        <row r="152">
          <cell r="A152">
            <v>10</v>
          </cell>
          <cell r="B152">
            <v>46054</v>
          </cell>
          <cell r="C152">
            <v>4061</v>
          </cell>
          <cell r="D152" t="str">
            <v>ايليت للمطابخ ( الميري)</v>
          </cell>
        </row>
        <row r="153">
          <cell r="A153">
            <v>10</v>
          </cell>
          <cell r="B153">
            <v>46056</v>
          </cell>
          <cell r="C153">
            <v>4061</v>
          </cell>
          <cell r="D153" t="str">
            <v>ايليت للمطابخ ( الميري)</v>
          </cell>
        </row>
        <row r="154">
          <cell r="A154">
            <v>10</v>
          </cell>
          <cell r="B154">
            <v>46056</v>
          </cell>
          <cell r="C154">
            <v>4061</v>
          </cell>
          <cell r="D154" t="str">
            <v>ايليت للمطابخ ( الميري)</v>
          </cell>
        </row>
        <row r="155">
          <cell r="A155">
            <v>10</v>
          </cell>
          <cell r="B155">
            <v>46057</v>
          </cell>
          <cell r="C155">
            <v>4061</v>
          </cell>
          <cell r="D155" t="str">
            <v>ايليت للمطابخ ( الميري)</v>
          </cell>
        </row>
        <row r="156">
          <cell r="A156">
            <v>10</v>
          </cell>
          <cell r="B156">
            <v>46057</v>
          </cell>
          <cell r="C156">
            <v>4061</v>
          </cell>
          <cell r="D156" t="str">
            <v>ايليت للمطابخ ( الميري)</v>
          </cell>
        </row>
        <row r="157">
          <cell r="A157">
            <v>10</v>
          </cell>
          <cell r="B157">
            <v>46058</v>
          </cell>
          <cell r="C157">
            <v>4061</v>
          </cell>
          <cell r="D157" t="str">
            <v>ايليت للمطابخ ( الميري)</v>
          </cell>
        </row>
        <row r="158">
          <cell r="A158">
            <v>10</v>
          </cell>
          <cell r="B158">
            <v>46061</v>
          </cell>
          <cell r="C158">
            <v>4061</v>
          </cell>
          <cell r="D158" t="str">
            <v>ايليت للمطابخ ( الميري)</v>
          </cell>
        </row>
        <row r="159">
          <cell r="A159">
            <v>10</v>
          </cell>
          <cell r="B159">
            <v>46062</v>
          </cell>
          <cell r="C159">
            <v>4061</v>
          </cell>
          <cell r="D159" t="str">
            <v>ايليت للمطابخ ( الميري)</v>
          </cell>
        </row>
        <row r="160">
          <cell r="A160">
            <v>10</v>
          </cell>
          <cell r="B160">
            <v>46063</v>
          </cell>
          <cell r="C160">
            <v>4061</v>
          </cell>
          <cell r="D160" t="str">
            <v>ايليت للمطابخ ( الميري)</v>
          </cell>
        </row>
        <row r="161">
          <cell r="A161">
            <v>10</v>
          </cell>
          <cell r="B161">
            <v>46064</v>
          </cell>
          <cell r="C161">
            <v>4061</v>
          </cell>
          <cell r="D161" t="str">
            <v>ايليت للمطابخ ( الميري)</v>
          </cell>
        </row>
        <row r="162">
          <cell r="A162">
            <v>10</v>
          </cell>
          <cell r="B162">
            <v>46065</v>
          </cell>
          <cell r="C162">
            <v>4061</v>
          </cell>
          <cell r="D162" t="str">
            <v>ايليت للمطابخ ( الميري)</v>
          </cell>
        </row>
        <row r="163">
          <cell r="A163">
            <v>10</v>
          </cell>
          <cell r="B163">
            <v>46076</v>
          </cell>
          <cell r="C163">
            <v>4061</v>
          </cell>
          <cell r="D163" t="str">
            <v>ايليت للمطابخ ( الميري)</v>
          </cell>
        </row>
        <row r="164">
          <cell r="A164">
            <v>10</v>
          </cell>
          <cell r="B164">
            <v>46097</v>
          </cell>
          <cell r="C164">
            <v>4061</v>
          </cell>
          <cell r="D164" t="str">
            <v>ايليت للمطابخ ( الميري)</v>
          </cell>
        </row>
        <row r="165">
          <cell r="A165">
            <v>10</v>
          </cell>
          <cell r="B165">
            <v>46120</v>
          </cell>
          <cell r="C165">
            <v>4061</v>
          </cell>
          <cell r="D165" t="str">
            <v>ايليت للمطابخ ( الميري)</v>
          </cell>
        </row>
        <row r="166">
          <cell r="A166">
            <v>10</v>
          </cell>
          <cell r="B166">
            <v>46029</v>
          </cell>
          <cell r="C166">
            <v>20</v>
          </cell>
          <cell r="D166" t="str">
            <v xml:space="preserve">الخزينة </v>
          </cell>
        </row>
        <row r="167">
          <cell r="A167">
            <v>10</v>
          </cell>
          <cell r="B167">
            <v>46033</v>
          </cell>
          <cell r="C167">
            <v>20</v>
          </cell>
          <cell r="D167" t="str">
            <v xml:space="preserve">الخزينة </v>
          </cell>
        </row>
        <row r="168">
          <cell r="A168">
            <v>10</v>
          </cell>
          <cell r="B168">
            <v>46035</v>
          </cell>
          <cell r="C168">
            <v>20</v>
          </cell>
          <cell r="D168" t="str">
            <v xml:space="preserve">الخزينة </v>
          </cell>
        </row>
        <row r="169">
          <cell r="A169">
            <v>10</v>
          </cell>
          <cell r="B169">
            <v>46040</v>
          </cell>
          <cell r="C169">
            <v>20</v>
          </cell>
          <cell r="D169" t="str">
            <v xml:space="preserve">الخزينة </v>
          </cell>
        </row>
        <row r="170">
          <cell r="A170">
            <v>10</v>
          </cell>
          <cell r="B170">
            <v>46040</v>
          </cell>
          <cell r="C170">
            <v>20</v>
          </cell>
          <cell r="D170" t="str">
            <v xml:space="preserve">الخزينة </v>
          </cell>
        </row>
        <row r="171">
          <cell r="A171">
            <v>10</v>
          </cell>
          <cell r="B171">
            <v>46048</v>
          </cell>
          <cell r="C171">
            <v>20</v>
          </cell>
          <cell r="D171" t="str">
            <v xml:space="preserve">الخزينة </v>
          </cell>
        </row>
        <row r="172">
          <cell r="A172">
            <v>10</v>
          </cell>
          <cell r="B172">
            <v>46050</v>
          </cell>
          <cell r="C172">
            <v>20</v>
          </cell>
          <cell r="D172" t="str">
            <v xml:space="preserve">الخزينة </v>
          </cell>
        </row>
        <row r="173">
          <cell r="A173">
            <v>10</v>
          </cell>
          <cell r="B173">
            <v>46054</v>
          </cell>
          <cell r="C173">
            <v>20</v>
          </cell>
          <cell r="D173" t="str">
            <v xml:space="preserve">الخزينة </v>
          </cell>
        </row>
        <row r="174">
          <cell r="A174">
            <v>10</v>
          </cell>
          <cell r="B174">
            <v>46056</v>
          </cell>
          <cell r="C174">
            <v>20</v>
          </cell>
          <cell r="D174" t="str">
            <v xml:space="preserve">الخزينة </v>
          </cell>
        </row>
        <row r="175">
          <cell r="A175">
            <v>10</v>
          </cell>
          <cell r="B175">
            <v>46056</v>
          </cell>
          <cell r="C175">
            <v>20</v>
          </cell>
          <cell r="D175" t="str">
            <v xml:space="preserve">الخزينة </v>
          </cell>
        </row>
        <row r="176">
          <cell r="A176">
            <v>10</v>
          </cell>
          <cell r="B176">
            <v>46057</v>
          </cell>
          <cell r="C176">
            <v>20</v>
          </cell>
          <cell r="D176" t="str">
            <v xml:space="preserve">الخزينة </v>
          </cell>
        </row>
        <row r="177">
          <cell r="A177">
            <v>10</v>
          </cell>
          <cell r="B177">
            <v>46057</v>
          </cell>
          <cell r="C177">
            <v>20</v>
          </cell>
          <cell r="D177" t="str">
            <v xml:space="preserve">الخزينة </v>
          </cell>
        </row>
        <row r="178">
          <cell r="A178">
            <v>10</v>
          </cell>
          <cell r="B178">
            <v>46058</v>
          </cell>
          <cell r="C178">
            <v>20</v>
          </cell>
          <cell r="D178" t="str">
            <v xml:space="preserve">الخزينة </v>
          </cell>
        </row>
        <row r="179">
          <cell r="A179">
            <v>10</v>
          </cell>
          <cell r="B179">
            <v>46061</v>
          </cell>
          <cell r="C179">
            <v>20</v>
          </cell>
          <cell r="D179" t="str">
            <v xml:space="preserve">الخزينة </v>
          </cell>
        </row>
        <row r="180">
          <cell r="A180">
            <v>10</v>
          </cell>
          <cell r="B180">
            <v>46062</v>
          </cell>
          <cell r="C180">
            <v>20</v>
          </cell>
          <cell r="D180" t="str">
            <v xml:space="preserve">الخزينة </v>
          </cell>
        </row>
        <row r="181">
          <cell r="A181">
            <v>10</v>
          </cell>
          <cell r="B181">
            <v>46063</v>
          </cell>
          <cell r="C181">
            <v>20</v>
          </cell>
          <cell r="D181" t="str">
            <v xml:space="preserve">الخزينة </v>
          </cell>
        </row>
        <row r="182">
          <cell r="A182">
            <v>10</v>
          </cell>
          <cell r="B182">
            <v>46064</v>
          </cell>
          <cell r="C182">
            <v>20</v>
          </cell>
          <cell r="D182" t="str">
            <v xml:space="preserve">الخزينة </v>
          </cell>
        </row>
        <row r="183">
          <cell r="A183">
            <v>10</v>
          </cell>
          <cell r="B183">
            <v>46065</v>
          </cell>
          <cell r="C183">
            <v>20</v>
          </cell>
          <cell r="D183" t="str">
            <v xml:space="preserve">الخزينة </v>
          </cell>
        </row>
        <row r="184">
          <cell r="A184">
            <v>10</v>
          </cell>
          <cell r="B184">
            <v>46076</v>
          </cell>
          <cell r="C184">
            <v>20</v>
          </cell>
          <cell r="D184" t="str">
            <v xml:space="preserve">الخزينة </v>
          </cell>
        </row>
        <row r="185">
          <cell r="A185">
            <v>10</v>
          </cell>
          <cell r="B185">
            <v>46097</v>
          </cell>
          <cell r="C185">
            <v>20</v>
          </cell>
          <cell r="D185" t="str">
            <v xml:space="preserve">الخزينة </v>
          </cell>
        </row>
        <row r="186">
          <cell r="A186">
            <v>10</v>
          </cell>
          <cell r="B186">
            <v>46120</v>
          </cell>
          <cell r="C186">
            <v>20</v>
          </cell>
          <cell r="D186" t="str">
            <v xml:space="preserve">الخزينة </v>
          </cell>
        </row>
        <row r="187">
          <cell r="A187">
            <v>11</v>
          </cell>
          <cell r="B187">
            <v>46032</v>
          </cell>
          <cell r="C187">
            <v>4052</v>
          </cell>
          <cell r="D187" t="str">
            <v>عرباوي الشروق</v>
          </cell>
        </row>
        <row r="188">
          <cell r="A188">
            <v>11</v>
          </cell>
          <cell r="B188">
            <v>46032</v>
          </cell>
          <cell r="C188">
            <v>4052</v>
          </cell>
          <cell r="D188" t="str">
            <v>عرباوي الشروق</v>
          </cell>
        </row>
        <row r="189">
          <cell r="A189">
            <v>11</v>
          </cell>
          <cell r="B189">
            <v>46032</v>
          </cell>
          <cell r="C189">
            <v>4052</v>
          </cell>
          <cell r="D189" t="str">
            <v>عرباوي الشروق</v>
          </cell>
        </row>
        <row r="190">
          <cell r="A190">
            <v>11</v>
          </cell>
          <cell r="B190">
            <v>46032</v>
          </cell>
          <cell r="C190">
            <v>4052</v>
          </cell>
          <cell r="D190" t="str">
            <v>عرباوي الشروق</v>
          </cell>
        </row>
        <row r="191">
          <cell r="A191">
            <v>11</v>
          </cell>
          <cell r="B191">
            <v>46093</v>
          </cell>
          <cell r="C191">
            <v>4052</v>
          </cell>
          <cell r="D191" t="str">
            <v>عرباوي الشروق</v>
          </cell>
        </row>
        <row r="192">
          <cell r="A192">
            <v>11</v>
          </cell>
          <cell r="B192">
            <v>46099</v>
          </cell>
          <cell r="C192">
            <v>4052</v>
          </cell>
          <cell r="D192" t="str">
            <v>عرباوي الشروق</v>
          </cell>
        </row>
        <row r="193">
          <cell r="A193">
            <v>11</v>
          </cell>
          <cell r="B193">
            <v>46123</v>
          </cell>
          <cell r="C193">
            <v>4052</v>
          </cell>
          <cell r="D193" t="str">
            <v>عرباوي الشروق</v>
          </cell>
        </row>
        <row r="194">
          <cell r="A194">
            <v>11</v>
          </cell>
          <cell r="B194">
            <v>46135</v>
          </cell>
          <cell r="C194">
            <v>4052</v>
          </cell>
          <cell r="D194" t="str">
            <v>عرباوي الشروق</v>
          </cell>
        </row>
        <row r="195">
          <cell r="A195">
            <v>11</v>
          </cell>
          <cell r="B195">
            <v>46032</v>
          </cell>
          <cell r="C195">
            <v>20</v>
          </cell>
          <cell r="D195" t="str">
            <v xml:space="preserve">الخزينة </v>
          </cell>
        </row>
        <row r="196">
          <cell r="A196">
            <v>11</v>
          </cell>
          <cell r="B196">
            <v>46032</v>
          </cell>
          <cell r="C196">
            <v>20</v>
          </cell>
          <cell r="D196" t="str">
            <v xml:space="preserve">الخزينة </v>
          </cell>
        </row>
        <row r="197">
          <cell r="A197">
            <v>11</v>
          </cell>
          <cell r="B197">
            <v>46032</v>
          </cell>
          <cell r="C197">
            <v>20</v>
          </cell>
          <cell r="D197" t="str">
            <v xml:space="preserve">الخزينة </v>
          </cell>
        </row>
        <row r="198">
          <cell r="A198">
            <v>11</v>
          </cell>
          <cell r="B198">
            <v>46032</v>
          </cell>
          <cell r="C198">
            <v>20</v>
          </cell>
          <cell r="D198" t="str">
            <v xml:space="preserve">الخزينة </v>
          </cell>
        </row>
        <row r="199">
          <cell r="A199">
            <v>11</v>
          </cell>
          <cell r="B199">
            <v>46093</v>
          </cell>
          <cell r="C199">
            <v>20</v>
          </cell>
          <cell r="D199" t="str">
            <v xml:space="preserve">الخزينة </v>
          </cell>
        </row>
        <row r="200">
          <cell r="A200">
            <v>11</v>
          </cell>
          <cell r="B200">
            <v>46099</v>
          </cell>
          <cell r="C200">
            <v>20</v>
          </cell>
          <cell r="D200" t="str">
            <v xml:space="preserve">الخزينة </v>
          </cell>
        </row>
        <row r="201">
          <cell r="A201">
            <v>11</v>
          </cell>
          <cell r="B201">
            <v>46123</v>
          </cell>
          <cell r="C201">
            <v>20</v>
          </cell>
          <cell r="D201" t="str">
            <v xml:space="preserve">الخزينة </v>
          </cell>
        </row>
        <row r="202">
          <cell r="A202">
            <v>11</v>
          </cell>
          <cell r="B202">
            <v>46135</v>
          </cell>
          <cell r="C202">
            <v>20</v>
          </cell>
          <cell r="D202" t="str">
            <v xml:space="preserve">الخزينة </v>
          </cell>
        </row>
        <row r="203">
          <cell r="A203">
            <v>12</v>
          </cell>
          <cell r="B203">
            <v>46043</v>
          </cell>
          <cell r="C203">
            <v>4066</v>
          </cell>
          <cell r="D203" t="str">
            <v>بن للاحواض</v>
          </cell>
        </row>
        <row r="204">
          <cell r="A204">
            <v>12</v>
          </cell>
          <cell r="B204">
            <v>46077</v>
          </cell>
          <cell r="C204">
            <v>4066</v>
          </cell>
          <cell r="D204" t="str">
            <v>بن للاحواض</v>
          </cell>
        </row>
        <row r="205">
          <cell r="A205">
            <v>12</v>
          </cell>
          <cell r="B205">
            <v>46086</v>
          </cell>
          <cell r="C205">
            <v>4066</v>
          </cell>
          <cell r="D205" t="str">
            <v>بن للاحواض</v>
          </cell>
        </row>
        <row r="206">
          <cell r="A206">
            <v>12</v>
          </cell>
          <cell r="B206">
            <v>46135</v>
          </cell>
          <cell r="C206">
            <v>4066</v>
          </cell>
          <cell r="D206" t="str">
            <v>بن للاحواض</v>
          </cell>
        </row>
        <row r="207">
          <cell r="A207">
            <v>12</v>
          </cell>
          <cell r="B207">
            <v>46163</v>
          </cell>
          <cell r="C207">
            <v>4066</v>
          </cell>
          <cell r="D207" t="str">
            <v>بن للاحواض</v>
          </cell>
        </row>
        <row r="208">
          <cell r="A208">
            <v>12</v>
          </cell>
          <cell r="B208">
            <v>46043</v>
          </cell>
          <cell r="C208">
            <v>20</v>
          </cell>
          <cell r="D208" t="str">
            <v xml:space="preserve">الخزينة </v>
          </cell>
        </row>
        <row r="209">
          <cell r="A209">
            <v>12</v>
          </cell>
          <cell r="B209">
            <v>46077</v>
          </cell>
          <cell r="C209">
            <v>20</v>
          </cell>
          <cell r="D209" t="str">
            <v xml:space="preserve">الخزينة </v>
          </cell>
        </row>
        <row r="210">
          <cell r="A210">
            <v>12</v>
          </cell>
          <cell r="B210">
            <v>46086</v>
          </cell>
          <cell r="C210">
            <v>20</v>
          </cell>
          <cell r="D210" t="str">
            <v xml:space="preserve">الخزينة </v>
          </cell>
        </row>
        <row r="211">
          <cell r="A211">
            <v>12</v>
          </cell>
          <cell r="B211">
            <v>46135</v>
          </cell>
          <cell r="C211">
            <v>20</v>
          </cell>
          <cell r="D211" t="str">
            <v xml:space="preserve">الخزينة </v>
          </cell>
        </row>
        <row r="212">
          <cell r="A212">
            <v>12</v>
          </cell>
          <cell r="B212">
            <v>46163</v>
          </cell>
          <cell r="C212">
            <v>20</v>
          </cell>
          <cell r="D212" t="str">
            <v xml:space="preserve">الخزينة </v>
          </cell>
        </row>
        <row r="213">
          <cell r="A213">
            <v>13</v>
          </cell>
          <cell r="B213">
            <v>46051</v>
          </cell>
          <cell r="C213">
            <v>4055</v>
          </cell>
          <cell r="D213" t="str">
            <v>بيت الخامة</v>
          </cell>
        </row>
        <row r="214">
          <cell r="A214">
            <v>13</v>
          </cell>
          <cell r="B214">
            <v>46093</v>
          </cell>
          <cell r="C214">
            <v>4055</v>
          </cell>
          <cell r="D214" t="str">
            <v>بيت الخامة</v>
          </cell>
        </row>
        <row r="215">
          <cell r="A215">
            <v>13</v>
          </cell>
          <cell r="B215">
            <v>46051</v>
          </cell>
          <cell r="C215">
            <v>20</v>
          </cell>
          <cell r="D215" t="str">
            <v xml:space="preserve">الخزينة </v>
          </cell>
        </row>
        <row r="216">
          <cell r="A216">
            <v>13</v>
          </cell>
          <cell r="B216">
            <v>46093</v>
          </cell>
          <cell r="C216">
            <v>20</v>
          </cell>
          <cell r="D216" t="str">
            <v xml:space="preserve">الخزينة </v>
          </cell>
        </row>
        <row r="217">
          <cell r="A217">
            <v>14</v>
          </cell>
          <cell r="B217">
            <v>46033</v>
          </cell>
          <cell r="C217">
            <v>4062</v>
          </cell>
          <cell r="D217" t="str">
            <v>جنرال للتكيفيات جيسيك</v>
          </cell>
        </row>
        <row r="218">
          <cell r="A218">
            <v>14</v>
          </cell>
          <cell r="B218">
            <v>46053</v>
          </cell>
          <cell r="C218">
            <v>4062</v>
          </cell>
          <cell r="D218" t="str">
            <v>جنرال للتكيفيات جيسيك</v>
          </cell>
        </row>
        <row r="219">
          <cell r="A219">
            <v>14</v>
          </cell>
          <cell r="B219">
            <v>46053</v>
          </cell>
          <cell r="C219">
            <v>4062</v>
          </cell>
          <cell r="D219" t="str">
            <v>جنرال للتكيفيات جيسيك</v>
          </cell>
        </row>
        <row r="220">
          <cell r="A220">
            <v>14</v>
          </cell>
          <cell r="B220">
            <v>46064</v>
          </cell>
          <cell r="C220">
            <v>4062</v>
          </cell>
          <cell r="D220" t="str">
            <v>جنرال للتكيفيات جيسيك</v>
          </cell>
        </row>
        <row r="221">
          <cell r="A221">
            <v>14</v>
          </cell>
          <cell r="B221">
            <v>46064</v>
          </cell>
          <cell r="C221">
            <v>4062</v>
          </cell>
          <cell r="D221" t="str">
            <v>جنرال للتكيفيات جيسيك</v>
          </cell>
        </row>
        <row r="222">
          <cell r="A222">
            <v>14</v>
          </cell>
          <cell r="B222">
            <v>46135</v>
          </cell>
          <cell r="C222">
            <v>4062</v>
          </cell>
          <cell r="D222" t="str">
            <v>جنرال للتكيفيات جيسيك</v>
          </cell>
        </row>
        <row r="223">
          <cell r="A223">
            <v>14</v>
          </cell>
          <cell r="B223">
            <v>46135</v>
          </cell>
          <cell r="C223">
            <v>4062</v>
          </cell>
          <cell r="D223" t="str">
            <v>جنرال للتكيفيات جيسيك</v>
          </cell>
        </row>
        <row r="224">
          <cell r="A224">
            <v>14</v>
          </cell>
          <cell r="B224">
            <v>46135</v>
          </cell>
          <cell r="C224">
            <v>4062</v>
          </cell>
          <cell r="D224" t="str">
            <v>جنرال للتكيفيات جيسيك</v>
          </cell>
        </row>
        <row r="225">
          <cell r="A225">
            <v>14</v>
          </cell>
          <cell r="B225">
            <v>46147</v>
          </cell>
          <cell r="C225">
            <v>4062</v>
          </cell>
          <cell r="D225" t="str">
            <v>جنرال للتكيفيات جيسيك</v>
          </cell>
        </row>
        <row r="226">
          <cell r="A226">
            <v>14</v>
          </cell>
          <cell r="B226">
            <v>46147</v>
          </cell>
          <cell r="C226">
            <v>4062</v>
          </cell>
          <cell r="D226" t="str">
            <v>جنرال للتكيفيات جيسيك</v>
          </cell>
        </row>
        <row r="227">
          <cell r="A227">
            <v>14</v>
          </cell>
          <cell r="B227">
            <v>46147</v>
          </cell>
          <cell r="C227">
            <v>4062</v>
          </cell>
          <cell r="D227" t="str">
            <v>جنرال للتكيفيات جيسيك</v>
          </cell>
        </row>
        <row r="228">
          <cell r="A228">
            <v>14</v>
          </cell>
          <cell r="B228">
            <v>46147</v>
          </cell>
          <cell r="C228">
            <v>4062</v>
          </cell>
          <cell r="D228" t="str">
            <v>جنرال للتكيفيات جيسيك</v>
          </cell>
        </row>
        <row r="229">
          <cell r="A229">
            <v>14</v>
          </cell>
          <cell r="B229">
            <v>46147</v>
          </cell>
          <cell r="C229">
            <v>4062</v>
          </cell>
          <cell r="D229" t="str">
            <v>جنرال للتكيفيات جيسيك</v>
          </cell>
        </row>
        <row r="230">
          <cell r="A230">
            <v>14</v>
          </cell>
          <cell r="B230">
            <v>46151</v>
          </cell>
          <cell r="C230">
            <v>4062</v>
          </cell>
          <cell r="D230" t="str">
            <v>جنرال للتكيفيات جيسيك</v>
          </cell>
        </row>
        <row r="231">
          <cell r="A231">
            <v>14</v>
          </cell>
          <cell r="B231">
            <v>46159</v>
          </cell>
          <cell r="C231">
            <v>4062</v>
          </cell>
          <cell r="D231" t="str">
            <v>جنرال للتكيفيات جيسيك</v>
          </cell>
        </row>
        <row r="232">
          <cell r="A232">
            <v>14</v>
          </cell>
          <cell r="B232">
            <v>46160</v>
          </cell>
          <cell r="C232">
            <v>4062</v>
          </cell>
          <cell r="D232" t="str">
            <v>جنرال للتكيفيات جيسيك</v>
          </cell>
        </row>
        <row r="233">
          <cell r="A233">
            <v>14</v>
          </cell>
          <cell r="B233">
            <v>46160</v>
          </cell>
          <cell r="C233">
            <v>4062</v>
          </cell>
          <cell r="D233" t="str">
            <v>جنرال للتكيفيات جيسيك</v>
          </cell>
        </row>
        <row r="234">
          <cell r="A234">
            <v>14</v>
          </cell>
          <cell r="B234">
            <v>46160</v>
          </cell>
          <cell r="C234">
            <v>4062</v>
          </cell>
          <cell r="D234" t="str">
            <v>جنرال للتكيفيات جيسيك</v>
          </cell>
        </row>
        <row r="235">
          <cell r="A235">
            <v>14</v>
          </cell>
          <cell r="B235">
            <v>46033</v>
          </cell>
          <cell r="C235">
            <v>20</v>
          </cell>
          <cell r="D235" t="str">
            <v xml:space="preserve">الخزينة </v>
          </cell>
        </row>
        <row r="236">
          <cell r="A236">
            <v>14</v>
          </cell>
          <cell r="B236">
            <v>46053</v>
          </cell>
          <cell r="C236">
            <v>20</v>
          </cell>
          <cell r="D236" t="str">
            <v xml:space="preserve">الخزينة </v>
          </cell>
        </row>
        <row r="237">
          <cell r="A237">
            <v>14</v>
          </cell>
          <cell r="B237">
            <v>46053</v>
          </cell>
          <cell r="C237">
            <v>20</v>
          </cell>
          <cell r="D237" t="str">
            <v xml:space="preserve">الخزينة </v>
          </cell>
        </row>
        <row r="238">
          <cell r="A238">
            <v>14</v>
          </cell>
          <cell r="B238">
            <v>46064</v>
          </cell>
          <cell r="C238">
            <v>20</v>
          </cell>
          <cell r="D238" t="str">
            <v xml:space="preserve">الخزينة </v>
          </cell>
        </row>
        <row r="239">
          <cell r="A239">
            <v>14</v>
          </cell>
          <cell r="B239">
            <v>46064</v>
          </cell>
          <cell r="C239">
            <v>20</v>
          </cell>
          <cell r="D239" t="str">
            <v xml:space="preserve">الخزينة </v>
          </cell>
        </row>
        <row r="240">
          <cell r="A240">
            <v>14</v>
          </cell>
          <cell r="B240">
            <v>46135</v>
          </cell>
          <cell r="C240">
            <v>20</v>
          </cell>
          <cell r="D240" t="str">
            <v xml:space="preserve">الخزينة </v>
          </cell>
        </row>
        <row r="241">
          <cell r="A241">
            <v>14</v>
          </cell>
          <cell r="B241">
            <v>46135</v>
          </cell>
          <cell r="C241">
            <v>20</v>
          </cell>
          <cell r="D241" t="str">
            <v xml:space="preserve">الخزينة </v>
          </cell>
        </row>
        <row r="242">
          <cell r="A242">
            <v>14</v>
          </cell>
          <cell r="B242">
            <v>46135</v>
          </cell>
          <cell r="C242">
            <v>20</v>
          </cell>
          <cell r="D242" t="str">
            <v xml:space="preserve">الخزينة </v>
          </cell>
        </row>
        <row r="243">
          <cell r="A243">
            <v>14</v>
          </cell>
          <cell r="B243">
            <v>46147</v>
          </cell>
          <cell r="C243">
            <v>20</v>
          </cell>
          <cell r="D243" t="str">
            <v xml:space="preserve">الخزينة </v>
          </cell>
        </row>
        <row r="244">
          <cell r="A244">
            <v>14</v>
          </cell>
          <cell r="B244">
            <v>46147</v>
          </cell>
          <cell r="C244">
            <v>20</v>
          </cell>
          <cell r="D244" t="str">
            <v xml:space="preserve">الخزينة </v>
          </cell>
        </row>
        <row r="245">
          <cell r="A245">
            <v>14</v>
          </cell>
          <cell r="B245">
            <v>46147</v>
          </cell>
          <cell r="C245">
            <v>20</v>
          </cell>
          <cell r="D245" t="str">
            <v xml:space="preserve">الخزينة </v>
          </cell>
        </row>
        <row r="246">
          <cell r="A246">
            <v>14</v>
          </cell>
          <cell r="B246">
            <v>46147</v>
          </cell>
          <cell r="C246">
            <v>20</v>
          </cell>
          <cell r="D246" t="str">
            <v xml:space="preserve">الخزينة </v>
          </cell>
        </row>
        <row r="247">
          <cell r="A247">
            <v>14</v>
          </cell>
          <cell r="B247">
            <v>46147</v>
          </cell>
          <cell r="C247">
            <v>20</v>
          </cell>
          <cell r="D247" t="str">
            <v xml:space="preserve">الخزينة </v>
          </cell>
        </row>
        <row r="248">
          <cell r="A248">
            <v>14</v>
          </cell>
          <cell r="B248">
            <v>46151</v>
          </cell>
          <cell r="C248">
            <v>20</v>
          </cell>
          <cell r="D248" t="str">
            <v xml:space="preserve">الخزينة </v>
          </cell>
        </row>
        <row r="249">
          <cell r="A249">
            <v>14</v>
          </cell>
          <cell r="B249">
            <v>46159</v>
          </cell>
          <cell r="C249">
            <v>20</v>
          </cell>
          <cell r="D249" t="str">
            <v xml:space="preserve">الخزينة </v>
          </cell>
        </row>
        <row r="250">
          <cell r="A250">
            <v>14</v>
          </cell>
          <cell r="B250">
            <v>46160</v>
          </cell>
          <cell r="C250">
            <v>20</v>
          </cell>
          <cell r="D250" t="str">
            <v xml:space="preserve">الخزينة </v>
          </cell>
        </row>
        <row r="251">
          <cell r="A251">
            <v>14</v>
          </cell>
          <cell r="B251">
            <v>46160</v>
          </cell>
          <cell r="C251">
            <v>20</v>
          </cell>
          <cell r="D251" t="str">
            <v xml:space="preserve">الخزينة </v>
          </cell>
        </row>
        <row r="252">
          <cell r="A252">
            <v>14</v>
          </cell>
          <cell r="B252">
            <v>46160</v>
          </cell>
          <cell r="C252">
            <v>20</v>
          </cell>
          <cell r="D252" t="str">
            <v xml:space="preserve">الخزينة </v>
          </cell>
        </row>
        <row r="253">
          <cell r="A253">
            <v>15</v>
          </cell>
          <cell r="B253">
            <v>46029</v>
          </cell>
          <cell r="C253">
            <v>4006</v>
          </cell>
          <cell r="D253" t="str">
            <v>جورج الكهربائي</v>
          </cell>
        </row>
        <row r="254">
          <cell r="A254">
            <v>15</v>
          </cell>
          <cell r="B254">
            <v>46086</v>
          </cell>
          <cell r="C254">
            <v>4006</v>
          </cell>
          <cell r="D254" t="str">
            <v>جورج الكهربائي</v>
          </cell>
        </row>
        <row r="255">
          <cell r="A255">
            <v>15</v>
          </cell>
          <cell r="B255">
            <v>46135</v>
          </cell>
          <cell r="C255">
            <v>4006</v>
          </cell>
          <cell r="D255" t="str">
            <v>جورج الكهربائي</v>
          </cell>
        </row>
        <row r="256">
          <cell r="A256">
            <v>15</v>
          </cell>
          <cell r="B256">
            <v>46029</v>
          </cell>
          <cell r="C256">
            <v>20</v>
          </cell>
          <cell r="D256" t="str">
            <v xml:space="preserve">الخزينة </v>
          </cell>
        </row>
        <row r="257">
          <cell r="A257">
            <v>15</v>
          </cell>
          <cell r="B257">
            <v>46086</v>
          </cell>
          <cell r="C257">
            <v>20</v>
          </cell>
          <cell r="D257" t="str">
            <v xml:space="preserve">الخزينة </v>
          </cell>
        </row>
        <row r="258">
          <cell r="A258">
            <v>15</v>
          </cell>
          <cell r="B258">
            <v>46135</v>
          </cell>
          <cell r="C258">
            <v>20</v>
          </cell>
          <cell r="D258" t="str">
            <v xml:space="preserve">الخزينة </v>
          </cell>
        </row>
        <row r="259">
          <cell r="A259">
            <v>16</v>
          </cell>
          <cell r="B259">
            <v>46060</v>
          </cell>
          <cell r="C259">
            <v>4007</v>
          </cell>
          <cell r="D259" t="str">
            <v>حاتم سيراميك</v>
          </cell>
        </row>
        <row r="260">
          <cell r="A260">
            <v>16</v>
          </cell>
          <cell r="B260">
            <v>46067</v>
          </cell>
          <cell r="C260">
            <v>4007</v>
          </cell>
          <cell r="D260" t="str">
            <v>حاتم سيراميك</v>
          </cell>
        </row>
        <row r="261">
          <cell r="A261">
            <v>16</v>
          </cell>
          <cell r="B261">
            <v>46070</v>
          </cell>
          <cell r="C261">
            <v>4007</v>
          </cell>
          <cell r="D261" t="str">
            <v>حاتم سيراميك</v>
          </cell>
        </row>
        <row r="262">
          <cell r="A262">
            <v>16</v>
          </cell>
          <cell r="B262">
            <v>46082</v>
          </cell>
          <cell r="C262">
            <v>4007</v>
          </cell>
          <cell r="D262" t="str">
            <v>حاتم سيراميك</v>
          </cell>
        </row>
        <row r="263">
          <cell r="A263">
            <v>16</v>
          </cell>
          <cell r="B263">
            <v>46086</v>
          </cell>
          <cell r="C263">
            <v>4007</v>
          </cell>
          <cell r="D263" t="str">
            <v>حاتم سيراميك</v>
          </cell>
        </row>
        <row r="264">
          <cell r="A264">
            <v>16</v>
          </cell>
          <cell r="B264">
            <v>46093</v>
          </cell>
          <cell r="C264">
            <v>4007</v>
          </cell>
          <cell r="D264" t="str">
            <v>حاتم سيراميك</v>
          </cell>
        </row>
        <row r="265">
          <cell r="A265">
            <v>16</v>
          </cell>
          <cell r="B265">
            <v>46117</v>
          </cell>
          <cell r="C265">
            <v>4007</v>
          </cell>
          <cell r="D265" t="str">
            <v>حاتم سيراميك</v>
          </cell>
        </row>
        <row r="266">
          <cell r="A266">
            <v>16</v>
          </cell>
          <cell r="B266">
            <v>46135</v>
          </cell>
          <cell r="C266">
            <v>4007</v>
          </cell>
          <cell r="D266" t="str">
            <v>حاتم سيراميك</v>
          </cell>
        </row>
        <row r="267">
          <cell r="A267">
            <v>16</v>
          </cell>
          <cell r="B267">
            <v>46135</v>
          </cell>
          <cell r="C267">
            <v>4007</v>
          </cell>
          <cell r="D267" t="str">
            <v>حاتم سيراميك</v>
          </cell>
        </row>
        <row r="268">
          <cell r="A268">
            <v>16</v>
          </cell>
          <cell r="B268">
            <v>46135</v>
          </cell>
          <cell r="C268">
            <v>4007</v>
          </cell>
          <cell r="D268" t="str">
            <v>حاتم سيراميك</v>
          </cell>
        </row>
        <row r="269">
          <cell r="A269">
            <v>16</v>
          </cell>
          <cell r="B269">
            <v>46060</v>
          </cell>
          <cell r="C269">
            <v>20</v>
          </cell>
          <cell r="D269" t="str">
            <v xml:space="preserve">الخزينة </v>
          </cell>
        </row>
        <row r="270">
          <cell r="A270">
            <v>16</v>
          </cell>
          <cell r="B270">
            <v>46067</v>
          </cell>
          <cell r="C270">
            <v>20</v>
          </cell>
          <cell r="D270" t="str">
            <v xml:space="preserve">الخزينة </v>
          </cell>
        </row>
        <row r="271">
          <cell r="A271">
            <v>16</v>
          </cell>
          <cell r="B271">
            <v>46070</v>
          </cell>
          <cell r="C271">
            <v>20</v>
          </cell>
          <cell r="D271" t="str">
            <v xml:space="preserve">الخزينة </v>
          </cell>
        </row>
        <row r="272">
          <cell r="A272">
            <v>16</v>
          </cell>
          <cell r="B272">
            <v>46082</v>
          </cell>
          <cell r="C272">
            <v>20</v>
          </cell>
          <cell r="D272" t="str">
            <v xml:space="preserve">الخزينة </v>
          </cell>
        </row>
        <row r="273">
          <cell r="A273">
            <v>16</v>
          </cell>
          <cell r="B273">
            <v>46086</v>
          </cell>
          <cell r="C273">
            <v>20</v>
          </cell>
          <cell r="D273" t="str">
            <v xml:space="preserve">الخزينة </v>
          </cell>
        </row>
        <row r="274">
          <cell r="A274">
            <v>16</v>
          </cell>
          <cell r="B274">
            <v>46093</v>
          </cell>
          <cell r="C274">
            <v>20</v>
          </cell>
          <cell r="D274" t="str">
            <v xml:space="preserve">الخزينة </v>
          </cell>
        </row>
        <row r="275">
          <cell r="A275">
            <v>16</v>
          </cell>
          <cell r="B275">
            <v>46117</v>
          </cell>
          <cell r="C275">
            <v>20</v>
          </cell>
          <cell r="D275" t="str">
            <v xml:space="preserve">الخزينة </v>
          </cell>
        </row>
        <row r="276">
          <cell r="A276">
            <v>16</v>
          </cell>
          <cell r="B276">
            <v>46135</v>
          </cell>
          <cell r="C276">
            <v>20</v>
          </cell>
          <cell r="D276" t="str">
            <v xml:space="preserve">الخزينة </v>
          </cell>
        </row>
        <row r="277">
          <cell r="A277">
            <v>16</v>
          </cell>
          <cell r="B277">
            <v>46135</v>
          </cell>
          <cell r="C277">
            <v>20</v>
          </cell>
          <cell r="D277" t="str">
            <v xml:space="preserve">الخزينة </v>
          </cell>
        </row>
        <row r="278">
          <cell r="A278">
            <v>16</v>
          </cell>
          <cell r="B278">
            <v>46135</v>
          </cell>
          <cell r="C278">
            <v>20</v>
          </cell>
          <cell r="D278" t="str">
            <v xml:space="preserve">الخزينة </v>
          </cell>
        </row>
        <row r="279">
          <cell r="A279">
            <v>17</v>
          </cell>
          <cell r="B279">
            <v>46029</v>
          </cell>
          <cell r="C279">
            <v>4008</v>
          </cell>
          <cell r="D279" t="str">
            <v>حامد النقاش</v>
          </cell>
        </row>
        <row r="280">
          <cell r="A280">
            <v>17</v>
          </cell>
          <cell r="B280">
            <v>46036</v>
          </cell>
          <cell r="C280">
            <v>4008</v>
          </cell>
          <cell r="D280" t="str">
            <v>حامد النقاش</v>
          </cell>
        </row>
        <row r="281">
          <cell r="A281">
            <v>17</v>
          </cell>
          <cell r="B281">
            <v>46054</v>
          </cell>
          <cell r="C281">
            <v>4008</v>
          </cell>
          <cell r="D281" t="str">
            <v>حامد النقاش</v>
          </cell>
        </row>
        <row r="282">
          <cell r="A282">
            <v>17</v>
          </cell>
          <cell r="B282">
            <v>46058</v>
          </cell>
          <cell r="C282">
            <v>4008</v>
          </cell>
          <cell r="D282" t="str">
            <v>حامد النقاش</v>
          </cell>
        </row>
        <row r="283">
          <cell r="A283">
            <v>17</v>
          </cell>
          <cell r="B283">
            <v>46065</v>
          </cell>
          <cell r="C283">
            <v>4008</v>
          </cell>
          <cell r="D283" t="str">
            <v>حامد النقاش</v>
          </cell>
        </row>
        <row r="284">
          <cell r="A284">
            <v>17</v>
          </cell>
          <cell r="B284">
            <v>46065</v>
          </cell>
          <cell r="C284">
            <v>4008</v>
          </cell>
          <cell r="D284" t="str">
            <v>حامد النقاش</v>
          </cell>
        </row>
        <row r="285">
          <cell r="A285">
            <v>17</v>
          </cell>
          <cell r="B285">
            <v>46071</v>
          </cell>
          <cell r="C285">
            <v>4008</v>
          </cell>
          <cell r="D285" t="str">
            <v>حامد النقاش</v>
          </cell>
        </row>
        <row r="286">
          <cell r="A286">
            <v>17</v>
          </cell>
          <cell r="B286">
            <v>46086</v>
          </cell>
          <cell r="C286">
            <v>4008</v>
          </cell>
          <cell r="D286" t="str">
            <v>حامد النقاش</v>
          </cell>
        </row>
        <row r="287">
          <cell r="A287">
            <v>17</v>
          </cell>
          <cell r="B287">
            <v>46086</v>
          </cell>
          <cell r="C287">
            <v>4008</v>
          </cell>
          <cell r="D287" t="str">
            <v>حامد النقاش</v>
          </cell>
        </row>
        <row r="288">
          <cell r="A288">
            <v>17</v>
          </cell>
          <cell r="B288">
            <v>46093</v>
          </cell>
          <cell r="C288">
            <v>4008</v>
          </cell>
          <cell r="D288" t="str">
            <v>حامد النقاش</v>
          </cell>
        </row>
        <row r="289">
          <cell r="A289">
            <v>17</v>
          </cell>
          <cell r="B289">
            <v>46099</v>
          </cell>
          <cell r="C289">
            <v>4008</v>
          </cell>
          <cell r="D289" t="str">
            <v>حامد النقاش</v>
          </cell>
        </row>
        <row r="290">
          <cell r="A290">
            <v>17</v>
          </cell>
          <cell r="B290">
            <v>46099</v>
          </cell>
          <cell r="C290">
            <v>4008</v>
          </cell>
          <cell r="D290" t="str">
            <v>حامد النقاش</v>
          </cell>
        </row>
        <row r="291">
          <cell r="A291">
            <v>17</v>
          </cell>
          <cell r="B291">
            <v>46029</v>
          </cell>
          <cell r="C291">
            <v>20</v>
          </cell>
          <cell r="D291" t="str">
            <v xml:space="preserve">الخزينة </v>
          </cell>
        </row>
        <row r="292">
          <cell r="A292">
            <v>17</v>
          </cell>
          <cell r="B292">
            <v>46036</v>
          </cell>
          <cell r="C292">
            <v>20</v>
          </cell>
          <cell r="D292" t="str">
            <v xml:space="preserve">الخزينة </v>
          </cell>
        </row>
        <row r="293">
          <cell r="A293">
            <v>17</v>
          </cell>
          <cell r="B293">
            <v>46054</v>
          </cell>
          <cell r="C293">
            <v>20</v>
          </cell>
          <cell r="D293" t="str">
            <v xml:space="preserve">الخزينة </v>
          </cell>
        </row>
        <row r="294">
          <cell r="A294">
            <v>17</v>
          </cell>
          <cell r="B294">
            <v>46058</v>
          </cell>
          <cell r="C294">
            <v>20</v>
          </cell>
          <cell r="D294" t="str">
            <v xml:space="preserve">الخزينة </v>
          </cell>
        </row>
        <row r="295">
          <cell r="A295">
            <v>17</v>
          </cell>
          <cell r="B295">
            <v>46065</v>
          </cell>
          <cell r="C295">
            <v>20</v>
          </cell>
          <cell r="D295" t="str">
            <v xml:space="preserve">الخزينة </v>
          </cell>
        </row>
        <row r="296">
          <cell r="A296">
            <v>17</v>
          </cell>
          <cell r="B296">
            <v>46065</v>
          </cell>
          <cell r="C296">
            <v>20</v>
          </cell>
          <cell r="D296" t="str">
            <v xml:space="preserve">الخزينة </v>
          </cell>
        </row>
        <row r="297">
          <cell r="A297">
            <v>17</v>
          </cell>
          <cell r="B297">
            <v>46071</v>
          </cell>
          <cell r="C297">
            <v>20</v>
          </cell>
          <cell r="D297" t="str">
            <v xml:space="preserve">الخزينة </v>
          </cell>
        </row>
        <row r="298">
          <cell r="A298">
            <v>17</v>
          </cell>
          <cell r="B298">
            <v>46086</v>
          </cell>
          <cell r="C298">
            <v>20</v>
          </cell>
          <cell r="D298" t="str">
            <v xml:space="preserve">الخزينة </v>
          </cell>
        </row>
        <row r="299">
          <cell r="A299">
            <v>17</v>
          </cell>
          <cell r="B299">
            <v>46086</v>
          </cell>
          <cell r="C299">
            <v>20</v>
          </cell>
          <cell r="D299" t="str">
            <v xml:space="preserve">الخزينة </v>
          </cell>
        </row>
        <row r="300">
          <cell r="A300">
            <v>17</v>
          </cell>
          <cell r="B300">
            <v>46093</v>
          </cell>
          <cell r="C300">
            <v>20</v>
          </cell>
          <cell r="D300" t="str">
            <v xml:space="preserve">الخزينة </v>
          </cell>
        </row>
        <row r="301">
          <cell r="A301">
            <v>17</v>
          </cell>
          <cell r="B301">
            <v>46099</v>
          </cell>
          <cell r="C301">
            <v>20</v>
          </cell>
          <cell r="D301" t="str">
            <v xml:space="preserve">الخزينة </v>
          </cell>
        </row>
        <row r="302">
          <cell r="A302">
            <v>17</v>
          </cell>
          <cell r="B302">
            <v>46099</v>
          </cell>
          <cell r="C302">
            <v>20</v>
          </cell>
          <cell r="D302" t="str">
            <v xml:space="preserve">الخزينة </v>
          </cell>
        </row>
        <row r="303">
          <cell r="A303">
            <v>18</v>
          </cell>
          <cell r="B303">
            <v>46163</v>
          </cell>
          <cell r="C303">
            <v>4039</v>
          </cell>
          <cell r="D303" t="str">
            <v>سباك القرنفل</v>
          </cell>
        </row>
        <row r="304">
          <cell r="A304">
            <v>18</v>
          </cell>
          <cell r="B304">
            <v>46174</v>
          </cell>
          <cell r="C304">
            <v>4039</v>
          </cell>
          <cell r="D304" t="str">
            <v>سباك القرنفل</v>
          </cell>
        </row>
        <row r="305">
          <cell r="A305">
            <v>18</v>
          </cell>
          <cell r="B305">
            <v>46184</v>
          </cell>
          <cell r="C305">
            <v>4039</v>
          </cell>
          <cell r="D305" t="str">
            <v>سباك القرنفل</v>
          </cell>
        </row>
        <row r="306">
          <cell r="A306">
            <v>18</v>
          </cell>
          <cell r="B306">
            <v>46163</v>
          </cell>
          <cell r="C306">
            <v>20</v>
          </cell>
          <cell r="D306" t="str">
            <v xml:space="preserve">الخزينة </v>
          </cell>
        </row>
        <row r="307">
          <cell r="A307">
            <v>18</v>
          </cell>
          <cell r="B307">
            <v>46174</v>
          </cell>
          <cell r="C307">
            <v>20</v>
          </cell>
          <cell r="D307" t="str">
            <v xml:space="preserve">الخزينة </v>
          </cell>
        </row>
        <row r="308">
          <cell r="A308">
            <v>18</v>
          </cell>
          <cell r="B308">
            <v>46184</v>
          </cell>
          <cell r="C308">
            <v>20</v>
          </cell>
          <cell r="D308" t="str">
            <v xml:space="preserve">الخزينة </v>
          </cell>
        </row>
        <row r="309">
          <cell r="A309">
            <v>19</v>
          </cell>
          <cell r="B309">
            <v>46138</v>
          </cell>
          <cell r="C309">
            <v>4040</v>
          </cell>
          <cell r="D309" t="str">
            <v>حسان luxery</v>
          </cell>
        </row>
        <row r="310">
          <cell r="A310">
            <v>19</v>
          </cell>
          <cell r="B310">
            <v>46138</v>
          </cell>
          <cell r="C310">
            <v>20</v>
          </cell>
          <cell r="D310" t="str">
            <v xml:space="preserve">الخزينة </v>
          </cell>
        </row>
        <row r="311">
          <cell r="A311">
            <v>20</v>
          </cell>
          <cell r="B311">
            <v>46151</v>
          </cell>
          <cell r="C311">
            <v>4040</v>
          </cell>
          <cell r="D311" t="str">
            <v>حسان luxery</v>
          </cell>
        </row>
        <row r="312">
          <cell r="A312">
            <v>20</v>
          </cell>
          <cell r="B312">
            <v>46184</v>
          </cell>
          <cell r="C312">
            <v>4040</v>
          </cell>
          <cell r="D312" t="str">
            <v>حسان luxery</v>
          </cell>
        </row>
        <row r="313">
          <cell r="A313">
            <v>20</v>
          </cell>
          <cell r="B313">
            <v>46151</v>
          </cell>
          <cell r="C313">
            <v>20</v>
          </cell>
          <cell r="D313" t="str">
            <v xml:space="preserve">الخزينة </v>
          </cell>
        </row>
        <row r="314">
          <cell r="A314">
            <v>20</v>
          </cell>
          <cell r="B314">
            <v>46184</v>
          </cell>
          <cell r="C314">
            <v>20</v>
          </cell>
          <cell r="D314" t="str">
            <v xml:space="preserve">الخزينة </v>
          </cell>
        </row>
        <row r="315">
          <cell r="A315">
            <v>21</v>
          </cell>
          <cell r="B315">
            <v>46036</v>
          </cell>
          <cell r="C315">
            <v>4009</v>
          </cell>
          <cell r="D315" t="str">
            <v>خالد المحارة</v>
          </cell>
        </row>
        <row r="316">
          <cell r="A316">
            <v>21</v>
          </cell>
          <cell r="B316">
            <v>46065</v>
          </cell>
          <cell r="C316">
            <v>4009</v>
          </cell>
          <cell r="D316" t="str">
            <v>خالد المحارة</v>
          </cell>
        </row>
        <row r="317">
          <cell r="A317">
            <v>21</v>
          </cell>
          <cell r="B317">
            <v>46086</v>
          </cell>
          <cell r="C317">
            <v>4009</v>
          </cell>
          <cell r="D317" t="str">
            <v>خالد المحارة</v>
          </cell>
        </row>
        <row r="318">
          <cell r="A318">
            <v>21</v>
          </cell>
          <cell r="B318">
            <v>46098</v>
          </cell>
          <cell r="C318">
            <v>4009</v>
          </cell>
          <cell r="D318" t="str">
            <v>خالد المحارة</v>
          </cell>
        </row>
        <row r="319">
          <cell r="A319">
            <v>21</v>
          </cell>
          <cell r="B319">
            <v>46036</v>
          </cell>
          <cell r="C319">
            <v>20</v>
          </cell>
          <cell r="D319" t="str">
            <v xml:space="preserve">الخزينة </v>
          </cell>
        </row>
        <row r="320">
          <cell r="A320">
            <v>21</v>
          </cell>
          <cell r="B320">
            <v>46065</v>
          </cell>
          <cell r="C320">
            <v>20</v>
          </cell>
          <cell r="D320" t="str">
            <v xml:space="preserve">الخزينة </v>
          </cell>
        </row>
        <row r="321">
          <cell r="A321">
            <v>21</v>
          </cell>
          <cell r="B321">
            <v>46086</v>
          </cell>
          <cell r="C321">
            <v>20</v>
          </cell>
          <cell r="D321" t="str">
            <v xml:space="preserve">الخزينة </v>
          </cell>
        </row>
        <row r="322">
          <cell r="A322">
            <v>21</v>
          </cell>
          <cell r="B322">
            <v>46098</v>
          </cell>
          <cell r="C322">
            <v>20</v>
          </cell>
          <cell r="D322" t="str">
            <v xml:space="preserve">الخزينة </v>
          </cell>
        </row>
        <row r="323">
          <cell r="A323">
            <v>22</v>
          </cell>
          <cell r="B323">
            <v>46050</v>
          </cell>
          <cell r="C323">
            <v>4010</v>
          </cell>
          <cell r="D323" t="str">
            <v>شاهين سيراميك</v>
          </cell>
        </row>
        <row r="324">
          <cell r="A324">
            <v>22</v>
          </cell>
          <cell r="B324">
            <v>46058</v>
          </cell>
          <cell r="C324">
            <v>4010</v>
          </cell>
          <cell r="D324" t="str">
            <v>شاهين سيراميك</v>
          </cell>
        </row>
        <row r="325">
          <cell r="A325">
            <v>22</v>
          </cell>
          <cell r="B325">
            <v>46058</v>
          </cell>
          <cell r="C325">
            <v>4010</v>
          </cell>
          <cell r="D325" t="str">
            <v>شاهين سيراميك</v>
          </cell>
        </row>
        <row r="326">
          <cell r="A326">
            <v>22</v>
          </cell>
          <cell r="B326">
            <v>46065</v>
          </cell>
          <cell r="C326">
            <v>4010</v>
          </cell>
          <cell r="D326" t="str">
            <v>شاهين سيراميك</v>
          </cell>
        </row>
        <row r="327">
          <cell r="A327">
            <v>22</v>
          </cell>
          <cell r="B327">
            <v>46082</v>
          </cell>
          <cell r="C327">
            <v>4010</v>
          </cell>
          <cell r="D327" t="str">
            <v>شاهين سيراميك</v>
          </cell>
        </row>
        <row r="328">
          <cell r="A328">
            <v>22</v>
          </cell>
          <cell r="B328">
            <v>46086</v>
          </cell>
          <cell r="C328">
            <v>4010</v>
          </cell>
          <cell r="D328" t="str">
            <v>شاهين سيراميك</v>
          </cell>
        </row>
        <row r="329">
          <cell r="A329">
            <v>22</v>
          </cell>
          <cell r="B329">
            <v>46099</v>
          </cell>
          <cell r="C329">
            <v>4010</v>
          </cell>
          <cell r="D329" t="str">
            <v>شاهين سيراميك</v>
          </cell>
        </row>
        <row r="330">
          <cell r="A330">
            <v>22</v>
          </cell>
          <cell r="B330">
            <v>46121</v>
          </cell>
          <cell r="C330">
            <v>4010</v>
          </cell>
          <cell r="D330" t="str">
            <v>شاهين سيراميك</v>
          </cell>
        </row>
        <row r="331">
          <cell r="A331">
            <v>22</v>
          </cell>
          <cell r="B331">
            <v>46128</v>
          </cell>
          <cell r="C331">
            <v>4010</v>
          </cell>
          <cell r="D331" t="str">
            <v>شاهين سيراميك</v>
          </cell>
        </row>
        <row r="332">
          <cell r="A332">
            <v>22</v>
          </cell>
          <cell r="B332">
            <v>46135</v>
          </cell>
          <cell r="C332">
            <v>4010</v>
          </cell>
          <cell r="D332" t="str">
            <v>شاهين سيراميك</v>
          </cell>
        </row>
        <row r="333">
          <cell r="A333">
            <v>22</v>
          </cell>
          <cell r="B333">
            <v>46050</v>
          </cell>
          <cell r="C333">
            <v>20</v>
          </cell>
          <cell r="D333" t="str">
            <v xml:space="preserve">الخزينة </v>
          </cell>
        </row>
        <row r="334">
          <cell r="A334">
            <v>22</v>
          </cell>
          <cell r="B334">
            <v>46058</v>
          </cell>
          <cell r="C334">
            <v>20</v>
          </cell>
          <cell r="D334" t="str">
            <v xml:space="preserve">الخزينة </v>
          </cell>
        </row>
        <row r="335">
          <cell r="A335">
            <v>22</v>
          </cell>
          <cell r="B335">
            <v>46058</v>
          </cell>
          <cell r="C335">
            <v>20</v>
          </cell>
          <cell r="D335" t="str">
            <v xml:space="preserve">الخزينة </v>
          </cell>
        </row>
        <row r="336">
          <cell r="A336">
            <v>22</v>
          </cell>
          <cell r="B336">
            <v>46065</v>
          </cell>
          <cell r="C336">
            <v>20</v>
          </cell>
          <cell r="D336" t="str">
            <v xml:space="preserve">الخزينة </v>
          </cell>
        </row>
        <row r="337">
          <cell r="A337">
            <v>22</v>
          </cell>
          <cell r="B337">
            <v>46082</v>
          </cell>
          <cell r="C337">
            <v>20</v>
          </cell>
          <cell r="D337" t="str">
            <v xml:space="preserve">الخزينة </v>
          </cell>
        </row>
        <row r="338">
          <cell r="A338">
            <v>22</v>
          </cell>
          <cell r="B338">
            <v>46086</v>
          </cell>
          <cell r="C338">
            <v>20</v>
          </cell>
          <cell r="D338" t="str">
            <v xml:space="preserve">الخزينة </v>
          </cell>
        </row>
        <row r="339">
          <cell r="A339">
            <v>22</v>
          </cell>
          <cell r="B339">
            <v>46099</v>
          </cell>
          <cell r="C339">
            <v>20</v>
          </cell>
          <cell r="D339" t="str">
            <v xml:space="preserve">الخزينة </v>
          </cell>
        </row>
        <row r="340">
          <cell r="A340">
            <v>22</v>
          </cell>
          <cell r="B340">
            <v>46121</v>
          </cell>
          <cell r="C340">
            <v>20</v>
          </cell>
          <cell r="D340" t="str">
            <v xml:space="preserve">الخزينة </v>
          </cell>
        </row>
        <row r="341">
          <cell r="A341">
            <v>22</v>
          </cell>
          <cell r="B341">
            <v>46128</v>
          </cell>
          <cell r="C341">
            <v>20</v>
          </cell>
          <cell r="D341" t="str">
            <v xml:space="preserve">الخزينة </v>
          </cell>
        </row>
        <row r="342">
          <cell r="A342">
            <v>22</v>
          </cell>
          <cell r="B342">
            <v>46135</v>
          </cell>
          <cell r="C342">
            <v>20</v>
          </cell>
          <cell r="D342" t="str">
            <v xml:space="preserve">الخزينة </v>
          </cell>
        </row>
        <row r="343">
          <cell r="A343">
            <v>23</v>
          </cell>
          <cell r="B343">
            <v>46117</v>
          </cell>
          <cell r="C343">
            <v>4058</v>
          </cell>
          <cell r="D343" t="str">
            <v>شريف تنجيد</v>
          </cell>
        </row>
        <row r="344">
          <cell r="A344">
            <v>23</v>
          </cell>
          <cell r="B344">
            <v>46144</v>
          </cell>
          <cell r="C344">
            <v>4058</v>
          </cell>
          <cell r="D344" t="str">
            <v>شريف تنجيد</v>
          </cell>
        </row>
        <row r="345">
          <cell r="A345">
            <v>23</v>
          </cell>
          <cell r="B345">
            <v>46151</v>
          </cell>
          <cell r="C345">
            <v>4058</v>
          </cell>
          <cell r="D345" t="str">
            <v>شريف تنجيد</v>
          </cell>
        </row>
        <row r="346">
          <cell r="A346">
            <v>23</v>
          </cell>
          <cell r="B346">
            <v>46163</v>
          </cell>
          <cell r="C346">
            <v>4058</v>
          </cell>
          <cell r="D346" t="str">
            <v>شريف تنجيد</v>
          </cell>
        </row>
        <row r="347">
          <cell r="A347">
            <v>23</v>
          </cell>
          <cell r="B347">
            <v>46117</v>
          </cell>
          <cell r="C347">
            <v>20</v>
          </cell>
          <cell r="D347" t="str">
            <v xml:space="preserve">الخزينة </v>
          </cell>
        </row>
        <row r="348">
          <cell r="A348">
            <v>23</v>
          </cell>
          <cell r="B348">
            <v>46144</v>
          </cell>
          <cell r="C348">
            <v>20</v>
          </cell>
          <cell r="D348" t="str">
            <v xml:space="preserve">الخزينة </v>
          </cell>
        </row>
        <row r="349">
          <cell r="A349">
            <v>23</v>
          </cell>
          <cell r="B349">
            <v>46151</v>
          </cell>
          <cell r="C349">
            <v>20</v>
          </cell>
          <cell r="D349" t="str">
            <v xml:space="preserve">الخزينة </v>
          </cell>
        </row>
        <row r="350">
          <cell r="A350">
            <v>23</v>
          </cell>
          <cell r="B350">
            <v>46163</v>
          </cell>
          <cell r="C350">
            <v>20</v>
          </cell>
          <cell r="D350" t="str">
            <v xml:space="preserve">الخزينة </v>
          </cell>
        </row>
        <row r="351">
          <cell r="A351">
            <v>24</v>
          </cell>
          <cell r="B351">
            <v>46061</v>
          </cell>
          <cell r="C351">
            <v>4011</v>
          </cell>
          <cell r="D351" t="str">
            <v>صابر الكهربائي</v>
          </cell>
        </row>
        <row r="352">
          <cell r="A352">
            <v>24</v>
          </cell>
          <cell r="B352">
            <v>46065</v>
          </cell>
          <cell r="C352">
            <v>4011</v>
          </cell>
          <cell r="D352" t="str">
            <v>صابر الكهربائي</v>
          </cell>
        </row>
        <row r="353">
          <cell r="A353">
            <v>24</v>
          </cell>
          <cell r="B353">
            <v>46082</v>
          </cell>
          <cell r="C353">
            <v>4011</v>
          </cell>
          <cell r="D353" t="str">
            <v>صابر الكهربائي</v>
          </cell>
        </row>
        <row r="354">
          <cell r="A354">
            <v>24</v>
          </cell>
          <cell r="B354">
            <v>46135</v>
          </cell>
          <cell r="C354">
            <v>4011</v>
          </cell>
          <cell r="D354" t="str">
            <v>صابر الكهربائي</v>
          </cell>
        </row>
        <row r="355">
          <cell r="A355">
            <v>24</v>
          </cell>
          <cell r="B355">
            <v>46142</v>
          </cell>
          <cell r="C355">
            <v>4011</v>
          </cell>
          <cell r="D355" t="str">
            <v>صابر الكهربائي</v>
          </cell>
        </row>
        <row r="356">
          <cell r="A356">
            <v>24</v>
          </cell>
          <cell r="B356">
            <v>46148</v>
          </cell>
          <cell r="C356">
            <v>4011</v>
          </cell>
          <cell r="D356" t="str">
            <v>صابر الكهربائي</v>
          </cell>
        </row>
        <row r="357">
          <cell r="A357">
            <v>24</v>
          </cell>
          <cell r="B357">
            <v>46163</v>
          </cell>
          <cell r="C357">
            <v>4011</v>
          </cell>
          <cell r="D357" t="str">
            <v>صابر الكهربائي</v>
          </cell>
        </row>
        <row r="358">
          <cell r="A358">
            <v>24</v>
          </cell>
          <cell r="B358">
            <v>46061</v>
          </cell>
          <cell r="C358">
            <v>20</v>
          </cell>
          <cell r="D358" t="str">
            <v xml:space="preserve">الخزينة </v>
          </cell>
        </row>
        <row r="359">
          <cell r="A359">
            <v>24</v>
          </cell>
          <cell r="B359">
            <v>46065</v>
          </cell>
          <cell r="C359">
            <v>20</v>
          </cell>
          <cell r="D359" t="str">
            <v xml:space="preserve">الخزينة </v>
          </cell>
        </row>
        <row r="360">
          <cell r="A360">
            <v>24</v>
          </cell>
          <cell r="B360">
            <v>46082</v>
          </cell>
          <cell r="C360">
            <v>20</v>
          </cell>
          <cell r="D360" t="str">
            <v xml:space="preserve">الخزينة </v>
          </cell>
        </row>
        <row r="361">
          <cell r="A361">
            <v>24</v>
          </cell>
          <cell r="B361">
            <v>46135</v>
          </cell>
          <cell r="C361">
            <v>20</v>
          </cell>
          <cell r="D361" t="str">
            <v xml:space="preserve">الخزينة </v>
          </cell>
        </row>
        <row r="362">
          <cell r="A362">
            <v>24</v>
          </cell>
          <cell r="B362">
            <v>46142</v>
          </cell>
          <cell r="C362">
            <v>20</v>
          </cell>
          <cell r="D362" t="str">
            <v xml:space="preserve">الخزينة </v>
          </cell>
        </row>
        <row r="363">
          <cell r="A363">
            <v>24</v>
          </cell>
          <cell r="B363">
            <v>46148</v>
          </cell>
          <cell r="C363">
            <v>20</v>
          </cell>
          <cell r="D363" t="str">
            <v xml:space="preserve">الخزينة </v>
          </cell>
        </row>
        <row r="364">
          <cell r="A364">
            <v>24</v>
          </cell>
          <cell r="B364">
            <v>46163</v>
          </cell>
          <cell r="C364">
            <v>20</v>
          </cell>
          <cell r="D364" t="str">
            <v xml:space="preserve">الخزينة </v>
          </cell>
        </row>
        <row r="365">
          <cell r="A365">
            <v>25</v>
          </cell>
          <cell r="B365">
            <v>46156</v>
          </cell>
          <cell r="C365">
            <v>4041</v>
          </cell>
          <cell r="D365" t="str">
            <v>عادل معماري</v>
          </cell>
        </row>
        <row r="366">
          <cell r="A366">
            <v>25</v>
          </cell>
          <cell r="B366">
            <v>46163</v>
          </cell>
          <cell r="C366">
            <v>4041</v>
          </cell>
          <cell r="D366" t="str">
            <v>عادل معماري</v>
          </cell>
        </row>
        <row r="367">
          <cell r="A367">
            <v>25</v>
          </cell>
          <cell r="B367">
            <v>46175</v>
          </cell>
          <cell r="C367">
            <v>4041</v>
          </cell>
          <cell r="D367" t="str">
            <v>عادل معماري</v>
          </cell>
        </row>
        <row r="368">
          <cell r="A368">
            <v>25</v>
          </cell>
          <cell r="B368">
            <v>46156</v>
          </cell>
          <cell r="C368">
            <v>20</v>
          </cell>
          <cell r="D368" t="str">
            <v xml:space="preserve">الخزينة </v>
          </cell>
        </row>
        <row r="369">
          <cell r="A369">
            <v>25</v>
          </cell>
          <cell r="B369">
            <v>46163</v>
          </cell>
          <cell r="C369">
            <v>20</v>
          </cell>
          <cell r="D369" t="str">
            <v xml:space="preserve">الخزينة </v>
          </cell>
        </row>
        <row r="370">
          <cell r="A370">
            <v>25</v>
          </cell>
          <cell r="B370">
            <v>46175</v>
          </cell>
          <cell r="C370">
            <v>20</v>
          </cell>
          <cell r="D370" t="str">
            <v xml:space="preserve">الخزينة </v>
          </cell>
        </row>
        <row r="371">
          <cell r="A371">
            <v>26</v>
          </cell>
          <cell r="B371">
            <v>46063</v>
          </cell>
          <cell r="C371">
            <v>4021</v>
          </cell>
          <cell r="D371" t="str">
            <v>عبدالرحيم استنالس</v>
          </cell>
        </row>
        <row r="372">
          <cell r="A372">
            <v>26</v>
          </cell>
          <cell r="B372">
            <v>46089</v>
          </cell>
          <cell r="C372">
            <v>4021</v>
          </cell>
          <cell r="D372" t="str">
            <v>عبدالرحيم استنالس</v>
          </cell>
        </row>
        <row r="373">
          <cell r="A373">
            <v>26</v>
          </cell>
          <cell r="B373">
            <v>46144</v>
          </cell>
          <cell r="C373">
            <v>4021</v>
          </cell>
          <cell r="D373" t="str">
            <v>عبدالرحيم استنالس</v>
          </cell>
        </row>
        <row r="374">
          <cell r="A374">
            <v>26</v>
          </cell>
          <cell r="B374">
            <v>46144</v>
          </cell>
          <cell r="C374">
            <v>4021</v>
          </cell>
          <cell r="D374" t="str">
            <v>عبدالرحيم استنالس</v>
          </cell>
        </row>
        <row r="375">
          <cell r="A375">
            <v>26</v>
          </cell>
          <cell r="B375">
            <v>46146</v>
          </cell>
          <cell r="C375">
            <v>4021</v>
          </cell>
          <cell r="D375" t="str">
            <v>عبدالرحيم استنالس</v>
          </cell>
        </row>
        <row r="376">
          <cell r="A376">
            <v>26</v>
          </cell>
          <cell r="B376">
            <v>46148</v>
          </cell>
          <cell r="C376">
            <v>4021</v>
          </cell>
          <cell r="D376" t="str">
            <v>عبدالرحيم استنالس</v>
          </cell>
        </row>
        <row r="377">
          <cell r="A377">
            <v>26</v>
          </cell>
          <cell r="B377">
            <v>46166</v>
          </cell>
          <cell r="C377">
            <v>4021</v>
          </cell>
          <cell r="D377" t="str">
            <v>عبدالرحيم استنالس</v>
          </cell>
        </row>
        <row r="378">
          <cell r="A378">
            <v>26</v>
          </cell>
          <cell r="B378">
            <v>46166</v>
          </cell>
          <cell r="C378">
            <v>4021</v>
          </cell>
          <cell r="D378" t="str">
            <v>عبدالرحيم استنالس</v>
          </cell>
        </row>
        <row r="379">
          <cell r="A379">
            <v>26</v>
          </cell>
          <cell r="B379">
            <v>46063</v>
          </cell>
          <cell r="C379">
            <v>20</v>
          </cell>
          <cell r="D379" t="str">
            <v xml:space="preserve">الخزينة </v>
          </cell>
        </row>
        <row r="380">
          <cell r="A380">
            <v>26</v>
          </cell>
          <cell r="B380">
            <v>46089</v>
          </cell>
          <cell r="C380">
            <v>20</v>
          </cell>
          <cell r="D380" t="str">
            <v xml:space="preserve">الخزينة </v>
          </cell>
        </row>
        <row r="381">
          <cell r="A381">
            <v>26</v>
          </cell>
          <cell r="B381">
            <v>46144</v>
          </cell>
          <cell r="C381">
            <v>20</v>
          </cell>
          <cell r="D381" t="str">
            <v xml:space="preserve">الخزينة </v>
          </cell>
        </row>
        <row r="382">
          <cell r="A382">
            <v>26</v>
          </cell>
          <cell r="B382">
            <v>46144</v>
          </cell>
          <cell r="C382">
            <v>20</v>
          </cell>
          <cell r="D382" t="str">
            <v xml:space="preserve">الخزينة </v>
          </cell>
        </row>
        <row r="383">
          <cell r="A383">
            <v>26</v>
          </cell>
          <cell r="B383">
            <v>46146</v>
          </cell>
          <cell r="C383">
            <v>20</v>
          </cell>
          <cell r="D383" t="str">
            <v xml:space="preserve">الخزينة </v>
          </cell>
        </row>
        <row r="384">
          <cell r="A384">
            <v>26</v>
          </cell>
          <cell r="B384">
            <v>46148</v>
          </cell>
          <cell r="C384">
            <v>20</v>
          </cell>
          <cell r="D384" t="str">
            <v xml:space="preserve">الخزينة </v>
          </cell>
        </row>
        <row r="385">
          <cell r="A385">
            <v>26</v>
          </cell>
          <cell r="B385">
            <v>46166</v>
          </cell>
          <cell r="C385">
            <v>20</v>
          </cell>
          <cell r="D385" t="str">
            <v xml:space="preserve">الخزينة </v>
          </cell>
        </row>
        <row r="386">
          <cell r="A386">
            <v>26</v>
          </cell>
          <cell r="B386">
            <v>46166</v>
          </cell>
          <cell r="C386">
            <v>20</v>
          </cell>
          <cell r="D386" t="str">
            <v xml:space="preserve">الخزينة </v>
          </cell>
        </row>
        <row r="387">
          <cell r="A387">
            <v>27</v>
          </cell>
          <cell r="B387">
            <v>46030</v>
          </cell>
          <cell r="C387">
            <v>4001</v>
          </cell>
          <cell r="D387" t="str">
            <v>عبدالشكور محارة</v>
          </cell>
        </row>
        <row r="388">
          <cell r="A388">
            <v>27</v>
          </cell>
          <cell r="B388">
            <v>46030</v>
          </cell>
          <cell r="C388">
            <v>4001</v>
          </cell>
          <cell r="D388" t="str">
            <v>عبدالشكور محارة</v>
          </cell>
        </row>
        <row r="389">
          <cell r="A389">
            <v>27</v>
          </cell>
          <cell r="B389">
            <v>46044</v>
          </cell>
          <cell r="C389">
            <v>4001</v>
          </cell>
          <cell r="D389" t="str">
            <v>عبدالشكور محارة</v>
          </cell>
        </row>
        <row r="390">
          <cell r="A390">
            <v>27</v>
          </cell>
          <cell r="B390">
            <v>46058</v>
          </cell>
          <cell r="C390">
            <v>4001</v>
          </cell>
          <cell r="D390" t="str">
            <v>عبدالشكور محارة</v>
          </cell>
        </row>
        <row r="391">
          <cell r="A391">
            <v>27</v>
          </cell>
          <cell r="B391">
            <v>46071</v>
          </cell>
          <cell r="C391">
            <v>4001</v>
          </cell>
          <cell r="D391" t="str">
            <v>عبدالشكور محارة</v>
          </cell>
        </row>
        <row r="392">
          <cell r="A392">
            <v>27</v>
          </cell>
          <cell r="B392">
            <v>46071</v>
          </cell>
          <cell r="C392">
            <v>4001</v>
          </cell>
          <cell r="D392" t="str">
            <v>عبدالشكور محارة</v>
          </cell>
        </row>
        <row r="393">
          <cell r="A393">
            <v>27</v>
          </cell>
          <cell r="B393">
            <v>46086</v>
          </cell>
          <cell r="C393">
            <v>4001</v>
          </cell>
          <cell r="D393" t="str">
            <v>عبدالشكور محارة</v>
          </cell>
        </row>
        <row r="394">
          <cell r="A394">
            <v>27</v>
          </cell>
          <cell r="B394">
            <v>46086</v>
          </cell>
          <cell r="C394">
            <v>4001</v>
          </cell>
          <cell r="D394" t="str">
            <v>عبدالشكور محارة</v>
          </cell>
        </row>
        <row r="395">
          <cell r="A395">
            <v>27</v>
          </cell>
          <cell r="B395">
            <v>46093</v>
          </cell>
          <cell r="C395">
            <v>4001</v>
          </cell>
          <cell r="D395" t="str">
            <v>عبدالشكور محارة</v>
          </cell>
        </row>
        <row r="396">
          <cell r="A396">
            <v>27</v>
          </cell>
          <cell r="B396">
            <v>46099</v>
          </cell>
          <cell r="C396">
            <v>4001</v>
          </cell>
          <cell r="D396" t="str">
            <v>عبدالشكور محارة</v>
          </cell>
        </row>
        <row r="397">
          <cell r="A397">
            <v>27</v>
          </cell>
          <cell r="B397">
            <v>46099</v>
          </cell>
          <cell r="C397">
            <v>4001</v>
          </cell>
          <cell r="D397" t="str">
            <v>عبدالشكور محارة</v>
          </cell>
        </row>
        <row r="398">
          <cell r="A398">
            <v>27</v>
          </cell>
          <cell r="B398">
            <v>46099</v>
          </cell>
          <cell r="C398">
            <v>4001</v>
          </cell>
          <cell r="D398" t="str">
            <v>عبدالشكور محارة</v>
          </cell>
        </row>
        <row r="399">
          <cell r="A399">
            <v>27</v>
          </cell>
          <cell r="B399">
            <v>46099</v>
          </cell>
          <cell r="C399">
            <v>4001</v>
          </cell>
          <cell r="D399" t="str">
            <v>عبدالشكور محارة</v>
          </cell>
        </row>
        <row r="400">
          <cell r="A400">
            <v>27</v>
          </cell>
          <cell r="B400">
            <v>46121</v>
          </cell>
          <cell r="C400">
            <v>4001</v>
          </cell>
          <cell r="D400" t="str">
            <v>عبدالشكور محارة</v>
          </cell>
        </row>
        <row r="401">
          <cell r="A401">
            <v>27</v>
          </cell>
          <cell r="B401">
            <v>46128</v>
          </cell>
          <cell r="C401">
            <v>4001</v>
          </cell>
          <cell r="D401" t="str">
            <v>عبدالشكور محارة</v>
          </cell>
        </row>
        <row r="402">
          <cell r="A402">
            <v>27</v>
          </cell>
          <cell r="B402">
            <v>46135</v>
          </cell>
          <cell r="C402">
            <v>4001</v>
          </cell>
          <cell r="D402" t="str">
            <v>عبدالشكور محارة</v>
          </cell>
        </row>
        <row r="403">
          <cell r="A403">
            <v>27</v>
          </cell>
          <cell r="B403">
            <v>46135</v>
          </cell>
          <cell r="C403">
            <v>4001</v>
          </cell>
          <cell r="D403" t="str">
            <v>عبدالشكور محارة</v>
          </cell>
        </row>
        <row r="404">
          <cell r="A404">
            <v>27</v>
          </cell>
          <cell r="B404">
            <v>46142</v>
          </cell>
          <cell r="C404">
            <v>4001</v>
          </cell>
          <cell r="D404" t="str">
            <v>عبدالشكور محارة</v>
          </cell>
        </row>
        <row r="405">
          <cell r="A405">
            <v>27</v>
          </cell>
          <cell r="B405">
            <v>46148</v>
          </cell>
          <cell r="C405">
            <v>4001</v>
          </cell>
          <cell r="D405" t="str">
            <v>عبدالشكور محارة</v>
          </cell>
        </row>
        <row r="406">
          <cell r="A406">
            <v>27</v>
          </cell>
          <cell r="B406">
            <v>46148</v>
          </cell>
          <cell r="C406">
            <v>4001</v>
          </cell>
          <cell r="D406" t="str">
            <v>عبدالشكور محارة</v>
          </cell>
        </row>
        <row r="407">
          <cell r="A407">
            <v>27</v>
          </cell>
          <cell r="B407">
            <v>46161</v>
          </cell>
          <cell r="C407">
            <v>4001</v>
          </cell>
          <cell r="D407" t="str">
            <v>عبدالشكور محارة</v>
          </cell>
        </row>
        <row r="408">
          <cell r="A408">
            <v>27</v>
          </cell>
          <cell r="B408">
            <v>46163</v>
          </cell>
          <cell r="C408">
            <v>4001</v>
          </cell>
          <cell r="D408" t="str">
            <v>عبدالشكور محارة</v>
          </cell>
        </row>
        <row r="409">
          <cell r="A409">
            <v>27</v>
          </cell>
          <cell r="B409">
            <v>46166</v>
          </cell>
          <cell r="C409">
            <v>4001</v>
          </cell>
          <cell r="D409" t="str">
            <v>عبدالشكور محارة</v>
          </cell>
        </row>
        <row r="410">
          <cell r="A410">
            <v>27</v>
          </cell>
          <cell r="B410">
            <v>46166</v>
          </cell>
          <cell r="C410">
            <v>4001</v>
          </cell>
          <cell r="D410" t="str">
            <v>عبدالشكور محارة</v>
          </cell>
        </row>
        <row r="411">
          <cell r="A411">
            <v>27</v>
          </cell>
          <cell r="B411">
            <v>46166</v>
          </cell>
          <cell r="C411">
            <v>4001</v>
          </cell>
          <cell r="D411" t="str">
            <v>عبدالشكور محارة</v>
          </cell>
        </row>
        <row r="412">
          <cell r="A412">
            <v>27</v>
          </cell>
          <cell r="B412">
            <v>46177</v>
          </cell>
          <cell r="C412">
            <v>4001</v>
          </cell>
          <cell r="D412" t="str">
            <v>عبدالشكور محارة</v>
          </cell>
        </row>
        <row r="413">
          <cell r="A413">
            <v>27</v>
          </cell>
          <cell r="B413">
            <v>46184</v>
          </cell>
          <cell r="C413">
            <v>4001</v>
          </cell>
          <cell r="D413" t="str">
            <v>عبدالشكور محارة</v>
          </cell>
        </row>
        <row r="414">
          <cell r="A414">
            <v>27</v>
          </cell>
          <cell r="B414">
            <v>46030</v>
          </cell>
          <cell r="C414">
            <v>20</v>
          </cell>
          <cell r="D414" t="str">
            <v xml:space="preserve">الخزينة </v>
          </cell>
        </row>
        <row r="415">
          <cell r="A415">
            <v>27</v>
          </cell>
          <cell r="B415">
            <v>46030</v>
          </cell>
          <cell r="C415">
            <v>20</v>
          </cell>
          <cell r="D415" t="str">
            <v xml:space="preserve">الخزينة </v>
          </cell>
        </row>
        <row r="416">
          <cell r="A416">
            <v>27</v>
          </cell>
          <cell r="B416">
            <v>46044</v>
          </cell>
          <cell r="C416">
            <v>20</v>
          </cell>
          <cell r="D416" t="str">
            <v xml:space="preserve">الخزينة </v>
          </cell>
        </row>
        <row r="417">
          <cell r="A417">
            <v>27</v>
          </cell>
          <cell r="B417">
            <v>46058</v>
          </cell>
          <cell r="C417">
            <v>20</v>
          </cell>
          <cell r="D417" t="str">
            <v xml:space="preserve">الخزينة </v>
          </cell>
        </row>
        <row r="418">
          <cell r="A418">
            <v>27</v>
          </cell>
          <cell r="B418">
            <v>46071</v>
          </cell>
          <cell r="C418">
            <v>20</v>
          </cell>
          <cell r="D418" t="str">
            <v xml:space="preserve">الخزينة </v>
          </cell>
        </row>
        <row r="419">
          <cell r="A419">
            <v>27</v>
          </cell>
          <cell r="B419">
            <v>46071</v>
          </cell>
          <cell r="C419">
            <v>20</v>
          </cell>
          <cell r="D419" t="str">
            <v xml:space="preserve">الخزينة </v>
          </cell>
        </row>
        <row r="420">
          <cell r="A420">
            <v>27</v>
          </cell>
          <cell r="B420">
            <v>46086</v>
          </cell>
          <cell r="C420">
            <v>20</v>
          </cell>
          <cell r="D420" t="str">
            <v xml:space="preserve">الخزينة </v>
          </cell>
        </row>
        <row r="421">
          <cell r="A421">
            <v>27</v>
          </cell>
          <cell r="B421">
            <v>46086</v>
          </cell>
          <cell r="C421">
            <v>20</v>
          </cell>
          <cell r="D421" t="str">
            <v xml:space="preserve">الخزينة </v>
          </cell>
        </row>
        <row r="422">
          <cell r="A422">
            <v>27</v>
          </cell>
          <cell r="B422">
            <v>46093</v>
          </cell>
          <cell r="C422">
            <v>20</v>
          </cell>
          <cell r="D422" t="str">
            <v xml:space="preserve">الخزينة </v>
          </cell>
        </row>
        <row r="423">
          <cell r="A423">
            <v>27</v>
          </cell>
          <cell r="B423">
            <v>46099</v>
          </cell>
          <cell r="C423">
            <v>20</v>
          </cell>
          <cell r="D423" t="str">
            <v xml:space="preserve">الخزينة </v>
          </cell>
        </row>
        <row r="424">
          <cell r="A424">
            <v>27</v>
          </cell>
          <cell r="B424">
            <v>46099</v>
          </cell>
          <cell r="C424">
            <v>20</v>
          </cell>
          <cell r="D424" t="str">
            <v xml:space="preserve">الخزينة </v>
          </cell>
        </row>
        <row r="425">
          <cell r="A425">
            <v>27</v>
          </cell>
          <cell r="B425">
            <v>46099</v>
          </cell>
          <cell r="C425">
            <v>20</v>
          </cell>
          <cell r="D425" t="str">
            <v xml:space="preserve">الخزينة </v>
          </cell>
        </row>
        <row r="426">
          <cell r="A426">
            <v>27</v>
          </cell>
          <cell r="B426">
            <v>46099</v>
          </cell>
          <cell r="C426">
            <v>20</v>
          </cell>
          <cell r="D426" t="str">
            <v xml:space="preserve">الخزينة </v>
          </cell>
        </row>
        <row r="427">
          <cell r="A427">
            <v>27</v>
          </cell>
          <cell r="B427">
            <v>46121</v>
          </cell>
          <cell r="C427">
            <v>20</v>
          </cell>
          <cell r="D427" t="str">
            <v xml:space="preserve">الخزينة </v>
          </cell>
        </row>
        <row r="428">
          <cell r="A428">
            <v>27</v>
          </cell>
          <cell r="B428">
            <v>46128</v>
          </cell>
          <cell r="C428">
            <v>20</v>
          </cell>
          <cell r="D428" t="str">
            <v xml:space="preserve">الخزينة </v>
          </cell>
        </row>
        <row r="429">
          <cell r="A429">
            <v>27</v>
          </cell>
          <cell r="B429">
            <v>46135</v>
          </cell>
          <cell r="C429">
            <v>20</v>
          </cell>
          <cell r="D429" t="str">
            <v xml:space="preserve">الخزينة </v>
          </cell>
        </row>
        <row r="430">
          <cell r="A430">
            <v>27</v>
          </cell>
          <cell r="B430">
            <v>46135</v>
          </cell>
          <cell r="C430">
            <v>20</v>
          </cell>
          <cell r="D430" t="str">
            <v xml:space="preserve">الخزينة </v>
          </cell>
        </row>
        <row r="431">
          <cell r="A431">
            <v>27</v>
          </cell>
          <cell r="B431">
            <v>46142</v>
          </cell>
          <cell r="C431">
            <v>20</v>
          </cell>
          <cell r="D431" t="str">
            <v xml:space="preserve">الخزينة </v>
          </cell>
        </row>
        <row r="432">
          <cell r="A432">
            <v>27</v>
          </cell>
          <cell r="B432">
            <v>46148</v>
          </cell>
          <cell r="C432">
            <v>20</v>
          </cell>
          <cell r="D432" t="str">
            <v xml:space="preserve">الخزينة </v>
          </cell>
        </row>
        <row r="433">
          <cell r="A433">
            <v>27</v>
          </cell>
          <cell r="B433">
            <v>46148</v>
          </cell>
          <cell r="C433">
            <v>20</v>
          </cell>
          <cell r="D433" t="str">
            <v xml:space="preserve">الخزينة </v>
          </cell>
        </row>
        <row r="434">
          <cell r="A434">
            <v>27</v>
          </cell>
          <cell r="B434">
            <v>46161</v>
          </cell>
          <cell r="C434">
            <v>20</v>
          </cell>
          <cell r="D434" t="str">
            <v xml:space="preserve">الخزينة </v>
          </cell>
        </row>
        <row r="435">
          <cell r="A435">
            <v>27</v>
          </cell>
          <cell r="B435">
            <v>46163</v>
          </cell>
          <cell r="C435">
            <v>20</v>
          </cell>
          <cell r="D435" t="str">
            <v xml:space="preserve">الخزينة </v>
          </cell>
        </row>
        <row r="436">
          <cell r="A436">
            <v>27</v>
          </cell>
          <cell r="B436">
            <v>46166</v>
          </cell>
          <cell r="C436">
            <v>20</v>
          </cell>
          <cell r="D436" t="str">
            <v xml:space="preserve">الخزينة </v>
          </cell>
        </row>
        <row r="437">
          <cell r="A437">
            <v>27</v>
          </cell>
          <cell r="B437">
            <v>46166</v>
          </cell>
          <cell r="C437">
            <v>20</v>
          </cell>
          <cell r="D437" t="str">
            <v xml:space="preserve">الخزينة </v>
          </cell>
        </row>
        <row r="438">
          <cell r="A438">
            <v>27</v>
          </cell>
          <cell r="B438">
            <v>46166</v>
          </cell>
          <cell r="C438">
            <v>20</v>
          </cell>
          <cell r="D438" t="str">
            <v xml:space="preserve">الخزينة </v>
          </cell>
        </row>
        <row r="439">
          <cell r="A439">
            <v>27</v>
          </cell>
          <cell r="B439">
            <v>46177</v>
          </cell>
          <cell r="C439">
            <v>20</v>
          </cell>
          <cell r="D439" t="str">
            <v xml:space="preserve">الخزينة </v>
          </cell>
        </row>
        <row r="440">
          <cell r="A440">
            <v>27</v>
          </cell>
          <cell r="B440">
            <v>46184</v>
          </cell>
          <cell r="C440">
            <v>20</v>
          </cell>
          <cell r="D440" t="str">
            <v xml:space="preserve">الخزينة </v>
          </cell>
        </row>
        <row r="441">
          <cell r="A441">
            <v>28</v>
          </cell>
          <cell r="B441">
            <v>46063</v>
          </cell>
          <cell r="C441">
            <v>4017</v>
          </cell>
          <cell r="D441" t="str">
            <v>مقاول بوابة رأس الحكمة</v>
          </cell>
        </row>
        <row r="442">
          <cell r="A442">
            <v>28</v>
          </cell>
          <cell r="B442">
            <v>46070</v>
          </cell>
          <cell r="C442">
            <v>4017</v>
          </cell>
          <cell r="D442" t="str">
            <v>مقاول بوابة رأس الحكمة</v>
          </cell>
        </row>
        <row r="443">
          <cell r="A443">
            <v>28</v>
          </cell>
          <cell r="B443">
            <v>46063</v>
          </cell>
          <cell r="C443">
            <v>20</v>
          </cell>
          <cell r="D443" t="str">
            <v xml:space="preserve">الخزينة </v>
          </cell>
        </row>
        <row r="444">
          <cell r="A444">
            <v>28</v>
          </cell>
          <cell r="B444">
            <v>46070</v>
          </cell>
          <cell r="C444">
            <v>20</v>
          </cell>
          <cell r="D444" t="str">
            <v xml:space="preserve">الخزينة </v>
          </cell>
        </row>
        <row r="445">
          <cell r="A445">
            <v>29</v>
          </cell>
          <cell r="B445">
            <v>46041</v>
          </cell>
          <cell r="C445">
            <v>4042</v>
          </cell>
          <cell r="D445" t="str">
            <v xml:space="preserve">عمر الحداد </v>
          </cell>
        </row>
        <row r="446">
          <cell r="A446">
            <v>29</v>
          </cell>
          <cell r="B446">
            <v>46049</v>
          </cell>
          <cell r="C446">
            <v>4042</v>
          </cell>
          <cell r="D446" t="str">
            <v xml:space="preserve">عمر الحداد </v>
          </cell>
        </row>
        <row r="447">
          <cell r="A447">
            <v>29</v>
          </cell>
          <cell r="B447">
            <v>46041</v>
          </cell>
          <cell r="C447">
            <v>20</v>
          </cell>
          <cell r="D447" t="str">
            <v xml:space="preserve">الخزينة </v>
          </cell>
        </row>
        <row r="448">
          <cell r="A448">
            <v>29</v>
          </cell>
          <cell r="B448">
            <v>46049</v>
          </cell>
          <cell r="C448">
            <v>20</v>
          </cell>
          <cell r="D448" t="str">
            <v xml:space="preserve">الخزينة </v>
          </cell>
        </row>
        <row r="449">
          <cell r="A449">
            <v>30</v>
          </cell>
          <cell r="B449">
            <v>46036</v>
          </cell>
          <cell r="C449">
            <v>4023</v>
          </cell>
          <cell r="D449" t="str">
            <v>عمرو السباك</v>
          </cell>
        </row>
        <row r="450">
          <cell r="A450">
            <v>30</v>
          </cell>
          <cell r="B450">
            <v>46050</v>
          </cell>
          <cell r="C450">
            <v>4023</v>
          </cell>
          <cell r="D450" t="str">
            <v>عمرو السباك</v>
          </cell>
        </row>
        <row r="451">
          <cell r="A451">
            <v>30</v>
          </cell>
          <cell r="B451">
            <v>46075</v>
          </cell>
          <cell r="C451">
            <v>4023</v>
          </cell>
          <cell r="D451" t="str">
            <v>عمرو السباك</v>
          </cell>
        </row>
        <row r="452">
          <cell r="A452">
            <v>30</v>
          </cell>
          <cell r="B452">
            <v>46077</v>
          </cell>
          <cell r="C452">
            <v>4023</v>
          </cell>
          <cell r="D452" t="str">
            <v>عمرو السباك</v>
          </cell>
        </row>
        <row r="453">
          <cell r="A453">
            <v>30</v>
          </cell>
          <cell r="B453">
            <v>46077</v>
          </cell>
          <cell r="C453">
            <v>4023</v>
          </cell>
          <cell r="D453" t="str">
            <v>عمرو السباك</v>
          </cell>
        </row>
        <row r="454">
          <cell r="A454">
            <v>30</v>
          </cell>
          <cell r="B454">
            <v>46086</v>
          </cell>
          <cell r="C454">
            <v>4023</v>
          </cell>
          <cell r="D454" t="str">
            <v>عمرو السباك</v>
          </cell>
        </row>
        <row r="455">
          <cell r="A455">
            <v>30</v>
          </cell>
          <cell r="B455">
            <v>46086</v>
          </cell>
          <cell r="C455">
            <v>4023</v>
          </cell>
          <cell r="D455" t="str">
            <v>عمرو السباك</v>
          </cell>
        </row>
        <row r="456">
          <cell r="A456">
            <v>30</v>
          </cell>
          <cell r="B456">
            <v>46036</v>
          </cell>
          <cell r="C456">
            <v>20</v>
          </cell>
          <cell r="D456" t="str">
            <v xml:space="preserve">الخزينة </v>
          </cell>
        </row>
        <row r="457">
          <cell r="A457">
            <v>30</v>
          </cell>
          <cell r="B457">
            <v>46050</v>
          </cell>
          <cell r="C457">
            <v>20</v>
          </cell>
          <cell r="D457" t="str">
            <v xml:space="preserve">الخزينة </v>
          </cell>
        </row>
        <row r="458">
          <cell r="A458">
            <v>30</v>
          </cell>
          <cell r="B458">
            <v>46075</v>
          </cell>
          <cell r="C458">
            <v>20</v>
          </cell>
          <cell r="D458" t="str">
            <v xml:space="preserve">الخزينة </v>
          </cell>
        </row>
        <row r="459">
          <cell r="A459">
            <v>30</v>
          </cell>
          <cell r="B459">
            <v>46077</v>
          </cell>
          <cell r="C459">
            <v>20</v>
          </cell>
          <cell r="D459" t="str">
            <v xml:space="preserve">الخزينة </v>
          </cell>
        </row>
        <row r="460">
          <cell r="A460">
            <v>30</v>
          </cell>
          <cell r="B460">
            <v>46077</v>
          </cell>
          <cell r="C460">
            <v>20</v>
          </cell>
          <cell r="D460" t="str">
            <v xml:space="preserve">الخزينة </v>
          </cell>
        </row>
        <row r="461">
          <cell r="A461">
            <v>30</v>
          </cell>
          <cell r="B461">
            <v>46086</v>
          </cell>
          <cell r="C461">
            <v>20</v>
          </cell>
          <cell r="D461" t="str">
            <v xml:space="preserve">الخزينة </v>
          </cell>
        </row>
        <row r="462">
          <cell r="A462">
            <v>30</v>
          </cell>
          <cell r="B462">
            <v>46086</v>
          </cell>
          <cell r="C462">
            <v>20</v>
          </cell>
          <cell r="D462" t="str">
            <v xml:space="preserve">الخزينة </v>
          </cell>
        </row>
        <row r="463">
          <cell r="A463">
            <v>31</v>
          </cell>
          <cell r="B463">
            <v>46151</v>
          </cell>
          <cell r="C463">
            <v>4043</v>
          </cell>
          <cell r="D463" t="str">
            <v>علي معماري</v>
          </cell>
        </row>
        <row r="464">
          <cell r="A464">
            <v>31</v>
          </cell>
          <cell r="B464">
            <v>46153</v>
          </cell>
          <cell r="C464">
            <v>4043</v>
          </cell>
          <cell r="D464" t="str">
            <v>علي معماري</v>
          </cell>
        </row>
        <row r="465">
          <cell r="A465">
            <v>31</v>
          </cell>
          <cell r="B465">
            <v>46156</v>
          </cell>
          <cell r="C465">
            <v>4043</v>
          </cell>
          <cell r="D465" t="str">
            <v>علي معماري</v>
          </cell>
        </row>
        <row r="466">
          <cell r="A466">
            <v>31</v>
          </cell>
          <cell r="B466">
            <v>46162</v>
          </cell>
          <cell r="C466">
            <v>4043</v>
          </cell>
          <cell r="D466" t="str">
            <v>علي معماري</v>
          </cell>
        </row>
        <row r="467">
          <cell r="A467">
            <v>31</v>
          </cell>
          <cell r="B467">
            <v>46163</v>
          </cell>
          <cell r="C467">
            <v>4043</v>
          </cell>
          <cell r="D467" t="str">
            <v>علي معماري</v>
          </cell>
        </row>
        <row r="468">
          <cell r="A468">
            <v>31</v>
          </cell>
          <cell r="B468">
            <v>46163</v>
          </cell>
          <cell r="C468">
            <v>4043</v>
          </cell>
          <cell r="D468" t="str">
            <v>علي معماري</v>
          </cell>
        </row>
        <row r="469">
          <cell r="A469">
            <v>31</v>
          </cell>
          <cell r="B469">
            <v>46151</v>
          </cell>
          <cell r="C469">
            <v>20</v>
          </cell>
          <cell r="D469" t="str">
            <v xml:space="preserve">الخزينة </v>
          </cell>
        </row>
        <row r="470">
          <cell r="A470">
            <v>31</v>
          </cell>
          <cell r="B470">
            <v>46153</v>
          </cell>
          <cell r="C470">
            <v>20</v>
          </cell>
          <cell r="D470" t="str">
            <v xml:space="preserve">الخزينة </v>
          </cell>
        </row>
        <row r="471">
          <cell r="A471">
            <v>31</v>
          </cell>
          <cell r="B471">
            <v>46156</v>
          </cell>
          <cell r="C471">
            <v>20</v>
          </cell>
          <cell r="D471" t="str">
            <v xml:space="preserve">الخزينة </v>
          </cell>
        </row>
        <row r="472">
          <cell r="A472">
            <v>31</v>
          </cell>
          <cell r="B472">
            <v>46162</v>
          </cell>
          <cell r="C472">
            <v>20</v>
          </cell>
          <cell r="D472" t="str">
            <v xml:space="preserve">الخزينة </v>
          </cell>
        </row>
        <row r="473">
          <cell r="A473">
            <v>31</v>
          </cell>
          <cell r="B473">
            <v>46163</v>
          </cell>
          <cell r="C473">
            <v>20</v>
          </cell>
          <cell r="D473" t="str">
            <v xml:space="preserve">الخزينة </v>
          </cell>
        </row>
        <row r="474">
          <cell r="A474">
            <v>31</v>
          </cell>
          <cell r="B474">
            <v>46163</v>
          </cell>
          <cell r="C474">
            <v>20</v>
          </cell>
          <cell r="D474" t="str">
            <v xml:space="preserve">الخزينة </v>
          </cell>
        </row>
        <row r="475">
          <cell r="A475">
            <v>32</v>
          </cell>
          <cell r="B475">
            <v>46086</v>
          </cell>
          <cell r="C475">
            <v>4022</v>
          </cell>
          <cell r="D475" t="str">
            <v>عمرو النقاش</v>
          </cell>
        </row>
        <row r="476">
          <cell r="A476">
            <v>32</v>
          </cell>
          <cell r="B476">
            <v>46093</v>
          </cell>
          <cell r="C476">
            <v>4022</v>
          </cell>
          <cell r="D476" t="str">
            <v>عمرو النقاش</v>
          </cell>
        </row>
        <row r="477">
          <cell r="A477">
            <v>32</v>
          </cell>
          <cell r="B477">
            <v>46099</v>
          </cell>
          <cell r="C477">
            <v>4022</v>
          </cell>
          <cell r="D477" t="str">
            <v>عمرو النقاش</v>
          </cell>
        </row>
        <row r="478">
          <cell r="A478">
            <v>32</v>
          </cell>
          <cell r="B478">
            <v>46099</v>
          </cell>
          <cell r="C478">
            <v>4022</v>
          </cell>
          <cell r="D478" t="str">
            <v>عمرو النقاش</v>
          </cell>
        </row>
        <row r="479">
          <cell r="A479">
            <v>32</v>
          </cell>
          <cell r="B479">
            <v>46117</v>
          </cell>
          <cell r="C479">
            <v>4022</v>
          </cell>
          <cell r="D479" t="str">
            <v>عمرو النقاش</v>
          </cell>
        </row>
        <row r="480">
          <cell r="A480">
            <v>32</v>
          </cell>
          <cell r="B480">
            <v>46121</v>
          </cell>
          <cell r="C480">
            <v>4022</v>
          </cell>
          <cell r="D480" t="str">
            <v>عمرو النقاش</v>
          </cell>
        </row>
        <row r="481">
          <cell r="A481">
            <v>32</v>
          </cell>
          <cell r="B481">
            <v>46128</v>
          </cell>
          <cell r="C481">
            <v>4022</v>
          </cell>
          <cell r="D481" t="str">
            <v>عمرو النقاش</v>
          </cell>
        </row>
        <row r="482">
          <cell r="A482">
            <v>32</v>
          </cell>
          <cell r="B482">
            <v>46135</v>
          </cell>
          <cell r="C482">
            <v>4022</v>
          </cell>
          <cell r="D482" t="str">
            <v>عمرو النقاش</v>
          </cell>
        </row>
        <row r="483">
          <cell r="A483">
            <v>32</v>
          </cell>
          <cell r="B483">
            <v>46156</v>
          </cell>
          <cell r="C483">
            <v>4022</v>
          </cell>
          <cell r="D483" t="str">
            <v>عمرو النقاش</v>
          </cell>
        </row>
        <row r="484">
          <cell r="A484">
            <v>32</v>
          </cell>
          <cell r="B484">
            <v>46156</v>
          </cell>
          <cell r="C484">
            <v>4022</v>
          </cell>
          <cell r="D484" t="str">
            <v>عمرو النقاش</v>
          </cell>
        </row>
        <row r="485">
          <cell r="A485">
            <v>32</v>
          </cell>
          <cell r="B485">
            <v>46163</v>
          </cell>
          <cell r="C485">
            <v>4022</v>
          </cell>
          <cell r="D485" t="str">
            <v>عمرو النقاش</v>
          </cell>
        </row>
        <row r="486">
          <cell r="A486">
            <v>32</v>
          </cell>
          <cell r="B486">
            <v>46166</v>
          </cell>
          <cell r="C486">
            <v>4022</v>
          </cell>
          <cell r="D486" t="str">
            <v>عمرو النقاش</v>
          </cell>
        </row>
        <row r="487">
          <cell r="A487">
            <v>32</v>
          </cell>
          <cell r="B487">
            <v>46179</v>
          </cell>
          <cell r="C487">
            <v>4022</v>
          </cell>
          <cell r="D487" t="str">
            <v>عمرو النقاش</v>
          </cell>
        </row>
        <row r="488">
          <cell r="A488">
            <v>32</v>
          </cell>
          <cell r="B488">
            <v>46179</v>
          </cell>
          <cell r="C488">
            <v>4022</v>
          </cell>
          <cell r="D488" t="str">
            <v>عمرو النقاش</v>
          </cell>
        </row>
        <row r="489">
          <cell r="A489">
            <v>32</v>
          </cell>
          <cell r="B489">
            <v>46184</v>
          </cell>
          <cell r="C489">
            <v>4022</v>
          </cell>
          <cell r="D489" t="str">
            <v>عمرو النقاش</v>
          </cell>
        </row>
        <row r="490">
          <cell r="A490">
            <v>32</v>
          </cell>
          <cell r="B490">
            <v>46086</v>
          </cell>
          <cell r="C490">
            <v>20</v>
          </cell>
          <cell r="D490" t="str">
            <v xml:space="preserve">الخزينة </v>
          </cell>
        </row>
        <row r="491">
          <cell r="A491">
            <v>32</v>
          </cell>
          <cell r="B491">
            <v>46093</v>
          </cell>
          <cell r="C491">
            <v>20</v>
          </cell>
          <cell r="D491" t="str">
            <v xml:space="preserve">الخزينة </v>
          </cell>
        </row>
        <row r="492">
          <cell r="A492">
            <v>32</v>
          </cell>
          <cell r="B492">
            <v>46099</v>
          </cell>
          <cell r="C492">
            <v>20</v>
          </cell>
          <cell r="D492" t="str">
            <v xml:space="preserve">الخزينة </v>
          </cell>
        </row>
        <row r="493">
          <cell r="A493">
            <v>32</v>
          </cell>
          <cell r="B493">
            <v>46099</v>
          </cell>
          <cell r="C493">
            <v>20</v>
          </cell>
          <cell r="D493" t="str">
            <v xml:space="preserve">الخزينة </v>
          </cell>
        </row>
        <row r="494">
          <cell r="A494">
            <v>32</v>
          </cell>
          <cell r="B494">
            <v>46117</v>
          </cell>
          <cell r="C494">
            <v>20</v>
          </cell>
          <cell r="D494" t="str">
            <v xml:space="preserve">الخزينة </v>
          </cell>
        </row>
        <row r="495">
          <cell r="A495">
            <v>32</v>
          </cell>
          <cell r="B495">
            <v>46121</v>
          </cell>
          <cell r="C495">
            <v>20</v>
          </cell>
          <cell r="D495" t="str">
            <v xml:space="preserve">الخزينة </v>
          </cell>
        </row>
        <row r="496">
          <cell r="A496">
            <v>32</v>
          </cell>
          <cell r="B496">
            <v>46128</v>
          </cell>
          <cell r="C496">
            <v>20</v>
          </cell>
          <cell r="D496" t="str">
            <v xml:space="preserve">الخزينة </v>
          </cell>
        </row>
        <row r="497">
          <cell r="A497">
            <v>32</v>
          </cell>
          <cell r="B497">
            <v>46135</v>
          </cell>
          <cell r="C497">
            <v>20</v>
          </cell>
          <cell r="D497" t="str">
            <v xml:space="preserve">الخزينة </v>
          </cell>
        </row>
        <row r="498">
          <cell r="A498">
            <v>32</v>
          </cell>
          <cell r="B498">
            <v>46156</v>
          </cell>
          <cell r="C498">
            <v>20</v>
          </cell>
          <cell r="D498" t="str">
            <v xml:space="preserve">الخزينة </v>
          </cell>
        </row>
        <row r="499">
          <cell r="A499">
            <v>32</v>
          </cell>
          <cell r="B499">
            <v>46156</v>
          </cell>
          <cell r="C499">
            <v>20</v>
          </cell>
          <cell r="D499" t="str">
            <v xml:space="preserve">الخزينة </v>
          </cell>
        </row>
        <row r="500">
          <cell r="A500">
            <v>32</v>
          </cell>
          <cell r="B500">
            <v>46163</v>
          </cell>
          <cell r="C500">
            <v>20</v>
          </cell>
          <cell r="D500" t="str">
            <v xml:space="preserve">الخزينة </v>
          </cell>
        </row>
        <row r="501">
          <cell r="A501">
            <v>32</v>
          </cell>
          <cell r="B501">
            <v>46166</v>
          </cell>
          <cell r="C501">
            <v>20</v>
          </cell>
          <cell r="D501" t="str">
            <v xml:space="preserve">الخزينة </v>
          </cell>
        </row>
        <row r="502">
          <cell r="A502">
            <v>32</v>
          </cell>
          <cell r="B502">
            <v>46179</v>
          </cell>
          <cell r="C502">
            <v>20</v>
          </cell>
          <cell r="D502" t="str">
            <v xml:space="preserve">الخزينة </v>
          </cell>
        </row>
        <row r="503">
          <cell r="A503">
            <v>32</v>
          </cell>
          <cell r="B503">
            <v>46179</v>
          </cell>
          <cell r="C503">
            <v>20</v>
          </cell>
          <cell r="D503" t="str">
            <v xml:space="preserve">الخزينة </v>
          </cell>
        </row>
        <row r="504">
          <cell r="A504">
            <v>32</v>
          </cell>
          <cell r="B504">
            <v>46184</v>
          </cell>
          <cell r="C504">
            <v>20</v>
          </cell>
          <cell r="D504" t="str">
            <v xml:space="preserve">الخزينة </v>
          </cell>
        </row>
        <row r="505">
          <cell r="A505">
            <v>33</v>
          </cell>
          <cell r="B505">
            <v>46029</v>
          </cell>
          <cell r="C505">
            <v>4012</v>
          </cell>
          <cell r="D505" t="str">
            <v>عمرو ريحان</v>
          </cell>
        </row>
        <row r="506">
          <cell r="A506">
            <v>33</v>
          </cell>
          <cell r="B506">
            <v>46036</v>
          </cell>
          <cell r="C506">
            <v>4012</v>
          </cell>
          <cell r="D506" t="str">
            <v>عمرو ريحان</v>
          </cell>
        </row>
        <row r="507">
          <cell r="A507">
            <v>33</v>
          </cell>
          <cell r="B507">
            <v>46058</v>
          </cell>
          <cell r="C507">
            <v>4012</v>
          </cell>
          <cell r="D507" t="str">
            <v>عمرو ريحان</v>
          </cell>
        </row>
        <row r="508">
          <cell r="A508">
            <v>33</v>
          </cell>
          <cell r="B508">
            <v>46065</v>
          </cell>
          <cell r="C508">
            <v>4012</v>
          </cell>
          <cell r="D508" t="str">
            <v>عمرو ريحان</v>
          </cell>
        </row>
        <row r="509">
          <cell r="A509">
            <v>33</v>
          </cell>
          <cell r="B509">
            <v>46070</v>
          </cell>
          <cell r="C509">
            <v>4012</v>
          </cell>
          <cell r="D509" t="str">
            <v>عمرو ريحان</v>
          </cell>
        </row>
        <row r="510">
          <cell r="A510">
            <v>33</v>
          </cell>
          <cell r="B510">
            <v>46086</v>
          </cell>
          <cell r="C510">
            <v>4012</v>
          </cell>
          <cell r="D510" t="str">
            <v>عمرو ريحان</v>
          </cell>
        </row>
        <row r="511">
          <cell r="A511">
            <v>33</v>
          </cell>
          <cell r="B511">
            <v>46096</v>
          </cell>
          <cell r="C511">
            <v>4012</v>
          </cell>
          <cell r="D511" t="str">
            <v>عمرو ريحان</v>
          </cell>
        </row>
        <row r="512">
          <cell r="A512">
            <v>33</v>
          </cell>
          <cell r="B512">
            <v>46099</v>
          </cell>
          <cell r="C512">
            <v>4012</v>
          </cell>
          <cell r="D512" t="str">
            <v>عمرو ريحان</v>
          </cell>
        </row>
        <row r="513">
          <cell r="A513">
            <v>33</v>
          </cell>
          <cell r="B513">
            <v>46121</v>
          </cell>
          <cell r="C513">
            <v>4012</v>
          </cell>
          <cell r="D513" t="str">
            <v>عمرو ريحان</v>
          </cell>
        </row>
        <row r="514">
          <cell r="A514">
            <v>33</v>
          </cell>
          <cell r="B514">
            <v>46128</v>
          </cell>
          <cell r="C514">
            <v>4012</v>
          </cell>
          <cell r="D514" t="str">
            <v>عمرو ريحان</v>
          </cell>
        </row>
        <row r="515">
          <cell r="A515">
            <v>33</v>
          </cell>
          <cell r="B515">
            <v>46128</v>
          </cell>
          <cell r="C515">
            <v>4012</v>
          </cell>
          <cell r="D515" t="str">
            <v>عمرو ريحان</v>
          </cell>
        </row>
        <row r="516">
          <cell r="A516">
            <v>33</v>
          </cell>
          <cell r="B516">
            <v>46135</v>
          </cell>
          <cell r="C516">
            <v>4012</v>
          </cell>
          <cell r="D516" t="str">
            <v>عمرو ريحان</v>
          </cell>
        </row>
        <row r="517">
          <cell r="A517">
            <v>33</v>
          </cell>
          <cell r="B517">
            <v>46142</v>
          </cell>
          <cell r="C517">
            <v>4012</v>
          </cell>
          <cell r="D517" t="str">
            <v>عمرو ريحان</v>
          </cell>
        </row>
        <row r="518">
          <cell r="A518">
            <v>33</v>
          </cell>
          <cell r="B518">
            <v>46156</v>
          </cell>
          <cell r="C518">
            <v>4012</v>
          </cell>
          <cell r="D518" t="str">
            <v>عمرو ريحان</v>
          </cell>
        </row>
        <row r="519">
          <cell r="A519">
            <v>33</v>
          </cell>
          <cell r="B519">
            <v>46175</v>
          </cell>
          <cell r="C519">
            <v>4012</v>
          </cell>
          <cell r="D519" t="str">
            <v>عمرو ريحان</v>
          </cell>
        </row>
        <row r="520">
          <cell r="A520">
            <v>33</v>
          </cell>
          <cell r="B520">
            <v>46184</v>
          </cell>
          <cell r="C520">
            <v>4012</v>
          </cell>
          <cell r="D520" t="str">
            <v>عمرو ريحان</v>
          </cell>
        </row>
        <row r="521">
          <cell r="A521">
            <v>33</v>
          </cell>
          <cell r="B521">
            <v>46029</v>
          </cell>
          <cell r="C521">
            <v>20</v>
          </cell>
          <cell r="D521" t="str">
            <v xml:space="preserve">الخزينة </v>
          </cell>
        </row>
        <row r="522">
          <cell r="A522">
            <v>33</v>
          </cell>
          <cell r="B522">
            <v>46036</v>
          </cell>
          <cell r="C522">
            <v>20</v>
          </cell>
          <cell r="D522" t="str">
            <v xml:space="preserve">الخزينة </v>
          </cell>
        </row>
        <row r="523">
          <cell r="A523">
            <v>33</v>
          </cell>
          <cell r="B523">
            <v>46058</v>
          </cell>
          <cell r="C523">
            <v>20</v>
          </cell>
          <cell r="D523" t="str">
            <v xml:space="preserve">الخزينة </v>
          </cell>
        </row>
        <row r="524">
          <cell r="A524">
            <v>33</v>
          </cell>
          <cell r="B524">
            <v>46065</v>
          </cell>
          <cell r="C524">
            <v>20</v>
          </cell>
          <cell r="D524" t="str">
            <v xml:space="preserve">الخزينة </v>
          </cell>
        </row>
        <row r="525">
          <cell r="A525">
            <v>33</v>
          </cell>
          <cell r="B525">
            <v>46070</v>
          </cell>
          <cell r="C525">
            <v>20</v>
          </cell>
          <cell r="D525" t="str">
            <v xml:space="preserve">الخزينة </v>
          </cell>
        </row>
        <row r="526">
          <cell r="A526">
            <v>33</v>
          </cell>
          <cell r="B526">
            <v>46086</v>
          </cell>
          <cell r="C526">
            <v>20</v>
          </cell>
          <cell r="D526" t="str">
            <v xml:space="preserve">الخزينة </v>
          </cell>
        </row>
        <row r="527">
          <cell r="A527">
            <v>33</v>
          </cell>
          <cell r="B527">
            <v>46096</v>
          </cell>
          <cell r="C527">
            <v>20</v>
          </cell>
          <cell r="D527" t="str">
            <v xml:space="preserve">الخزينة </v>
          </cell>
        </row>
        <row r="528">
          <cell r="A528">
            <v>33</v>
          </cell>
          <cell r="B528">
            <v>46099</v>
          </cell>
          <cell r="C528">
            <v>20</v>
          </cell>
          <cell r="D528" t="str">
            <v xml:space="preserve">الخزينة </v>
          </cell>
        </row>
        <row r="529">
          <cell r="A529">
            <v>33</v>
          </cell>
          <cell r="B529">
            <v>46121</v>
          </cell>
          <cell r="C529">
            <v>20</v>
          </cell>
          <cell r="D529" t="str">
            <v xml:space="preserve">الخزينة </v>
          </cell>
        </row>
        <row r="530">
          <cell r="A530">
            <v>33</v>
          </cell>
          <cell r="B530">
            <v>46128</v>
          </cell>
          <cell r="C530">
            <v>20</v>
          </cell>
          <cell r="D530" t="str">
            <v xml:space="preserve">الخزينة </v>
          </cell>
        </row>
        <row r="531">
          <cell r="A531">
            <v>33</v>
          </cell>
          <cell r="B531">
            <v>46128</v>
          </cell>
          <cell r="C531">
            <v>20</v>
          </cell>
          <cell r="D531" t="str">
            <v xml:space="preserve">الخزينة </v>
          </cell>
        </row>
        <row r="532">
          <cell r="A532">
            <v>33</v>
          </cell>
          <cell r="B532">
            <v>46135</v>
          </cell>
          <cell r="C532">
            <v>20</v>
          </cell>
          <cell r="D532" t="str">
            <v xml:space="preserve">الخزينة </v>
          </cell>
        </row>
        <row r="533">
          <cell r="A533">
            <v>33</v>
          </cell>
          <cell r="B533">
            <v>46142</v>
          </cell>
          <cell r="C533">
            <v>20</v>
          </cell>
          <cell r="D533" t="str">
            <v xml:space="preserve">الخزينة </v>
          </cell>
        </row>
        <row r="534">
          <cell r="A534">
            <v>33</v>
          </cell>
          <cell r="B534">
            <v>46156</v>
          </cell>
          <cell r="C534">
            <v>20</v>
          </cell>
          <cell r="D534" t="str">
            <v xml:space="preserve">الخزينة </v>
          </cell>
        </row>
        <row r="535">
          <cell r="A535">
            <v>33</v>
          </cell>
          <cell r="B535">
            <v>46175</v>
          </cell>
          <cell r="C535">
            <v>20</v>
          </cell>
          <cell r="D535" t="str">
            <v xml:space="preserve">الخزينة </v>
          </cell>
        </row>
        <row r="536">
          <cell r="A536">
            <v>33</v>
          </cell>
          <cell r="B536">
            <v>46184</v>
          </cell>
          <cell r="C536">
            <v>20</v>
          </cell>
          <cell r="D536" t="str">
            <v xml:space="preserve">الخزينة </v>
          </cell>
        </row>
        <row r="537">
          <cell r="A537">
            <v>34</v>
          </cell>
          <cell r="B537">
            <v>46128</v>
          </cell>
          <cell r="C537">
            <v>20</v>
          </cell>
          <cell r="D537" t="str">
            <v xml:space="preserve">الخزينة </v>
          </cell>
        </row>
        <row r="538">
          <cell r="A538">
            <v>34</v>
          </cell>
          <cell r="B538">
            <v>46128</v>
          </cell>
          <cell r="C538">
            <v>4012</v>
          </cell>
          <cell r="D538" t="str">
            <v>عمرو ريحان</v>
          </cell>
        </row>
        <row r="539">
          <cell r="A539">
            <v>35</v>
          </cell>
          <cell r="B539">
            <v>46156</v>
          </cell>
          <cell r="C539">
            <v>4044</v>
          </cell>
          <cell r="D539" t="str">
            <v xml:space="preserve">كرم العزل </v>
          </cell>
        </row>
        <row r="540">
          <cell r="A540">
            <v>35</v>
          </cell>
          <cell r="B540">
            <v>46156</v>
          </cell>
          <cell r="C540">
            <v>4044</v>
          </cell>
          <cell r="D540" t="str">
            <v xml:space="preserve">كرم العزل </v>
          </cell>
        </row>
        <row r="541">
          <cell r="A541">
            <v>35</v>
          </cell>
          <cell r="B541">
            <v>46163</v>
          </cell>
          <cell r="C541">
            <v>4044</v>
          </cell>
          <cell r="D541" t="str">
            <v xml:space="preserve">كرم العزل </v>
          </cell>
        </row>
        <row r="542">
          <cell r="A542">
            <v>35</v>
          </cell>
          <cell r="B542">
            <v>46184</v>
          </cell>
          <cell r="C542">
            <v>4044</v>
          </cell>
          <cell r="D542" t="str">
            <v xml:space="preserve">كرم العزل </v>
          </cell>
        </row>
        <row r="543">
          <cell r="A543">
            <v>35</v>
          </cell>
          <cell r="B543">
            <v>46184</v>
          </cell>
          <cell r="C543">
            <v>4044</v>
          </cell>
          <cell r="D543" t="str">
            <v xml:space="preserve">كرم العزل </v>
          </cell>
        </row>
        <row r="544">
          <cell r="A544">
            <v>35</v>
          </cell>
          <cell r="B544">
            <v>46156</v>
          </cell>
          <cell r="C544">
            <v>20</v>
          </cell>
          <cell r="D544" t="str">
            <v xml:space="preserve">الخزينة </v>
          </cell>
        </row>
        <row r="545">
          <cell r="A545">
            <v>35</v>
          </cell>
          <cell r="B545">
            <v>46156</v>
          </cell>
          <cell r="C545">
            <v>20</v>
          </cell>
          <cell r="D545" t="str">
            <v xml:space="preserve">الخزينة </v>
          </cell>
        </row>
        <row r="546">
          <cell r="A546">
            <v>35</v>
          </cell>
          <cell r="B546">
            <v>46163</v>
          </cell>
          <cell r="C546">
            <v>20</v>
          </cell>
          <cell r="D546" t="str">
            <v xml:space="preserve">الخزينة </v>
          </cell>
        </row>
        <row r="547">
          <cell r="A547">
            <v>35</v>
          </cell>
          <cell r="B547">
            <v>46184</v>
          </cell>
          <cell r="C547">
            <v>20</v>
          </cell>
          <cell r="D547" t="str">
            <v xml:space="preserve">الخزينة </v>
          </cell>
        </row>
        <row r="548">
          <cell r="A548">
            <v>35</v>
          </cell>
          <cell r="B548">
            <v>46184</v>
          </cell>
          <cell r="C548">
            <v>20</v>
          </cell>
          <cell r="D548" t="str">
            <v xml:space="preserve">الخزينة </v>
          </cell>
        </row>
        <row r="549">
          <cell r="A549">
            <v>36</v>
          </cell>
          <cell r="B549">
            <v>46028</v>
          </cell>
          <cell r="C549">
            <v>4060</v>
          </cell>
          <cell r="D549" t="str">
            <v>كايرو لايت</v>
          </cell>
        </row>
        <row r="550">
          <cell r="A550">
            <v>36</v>
          </cell>
          <cell r="B550">
            <v>46089</v>
          </cell>
          <cell r="C550">
            <v>4060</v>
          </cell>
          <cell r="D550" t="str">
            <v>كايرو لايت</v>
          </cell>
        </row>
        <row r="551">
          <cell r="A551">
            <v>36</v>
          </cell>
          <cell r="B551">
            <v>46119</v>
          </cell>
          <cell r="C551">
            <v>4060</v>
          </cell>
          <cell r="D551" t="str">
            <v>كايرو لايت</v>
          </cell>
        </row>
        <row r="552">
          <cell r="A552">
            <v>36</v>
          </cell>
          <cell r="B552">
            <v>46128</v>
          </cell>
          <cell r="C552">
            <v>4060</v>
          </cell>
          <cell r="D552" t="str">
            <v>كايرو لايت</v>
          </cell>
        </row>
        <row r="553">
          <cell r="A553">
            <v>36</v>
          </cell>
          <cell r="B553">
            <v>46139</v>
          </cell>
          <cell r="C553">
            <v>4060</v>
          </cell>
          <cell r="D553" t="str">
            <v>كايرو لايت</v>
          </cell>
        </row>
        <row r="554">
          <cell r="A554">
            <v>36</v>
          </cell>
          <cell r="B554">
            <v>46163</v>
          </cell>
          <cell r="C554">
            <v>4060</v>
          </cell>
          <cell r="D554" t="str">
            <v>كايرو لايت</v>
          </cell>
        </row>
        <row r="555">
          <cell r="A555">
            <v>36</v>
          </cell>
          <cell r="B555">
            <v>46028</v>
          </cell>
          <cell r="C555">
            <v>20</v>
          </cell>
          <cell r="D555" t="str">
            <v xml:space="preserve">الخزينة </v>
          </cell>
        </row>
        <row r="556">
          <cell r="A556">
            <v>36</v>
          </cell>
          <cell r="B556">
            <v>46089</v>
          </cell>
          <cell r="C556">
            <v>20</v>
          </cell>
          <cell r="D556" t="str">
            <v xml:space="preserve">الخزينة </v>
          </cell>
        </row>
        <row r="557">
          <cell r="A557">
            <v>36</v>
          </cell>
          <cell r="B557">
            <v>46119</v>
          </cell>
          <cell r="C557">
            <v>20</v>
          </cell>
          <cell r="D557" t="str">
            <v xml:space="preserve">الخزينة </v>
          </cell>
        </row>
        <row r="558">
          <cell r="A558">
            <v>36</v>
          </cell>
          <cell r="B558">
            <v>46128</v>
          </cell>
          <cell r="C558">
            <v>20</v>
          </cell>
          <cell r="D558" t="str">
            <v xml:space="preserve">الخزينة </v>
          </cell>
        </row>
        <row r="559">
          <cell r="A559">
            <v>36</v>
          </cell>
          <cell r="B559">
            <v>46139</v>
          </cell>
          <cell r="C559">
            <v>20</v>
          </cell>
          <cell r="D559" t="str">
            <v xml:space="preserve">الخزينة </v>
          </cell>
        </row>
        <row r="560">
          <cell r="A560">
            <v>36</v>
          </cell>
          <cell r="B560">
            <v>46163</v>
          </cell>
          <cell r="C560">
            <v>20</v>
          </cell>
          <cell r="D560" t="str">
            <v xml:space="preserve">الخزينة </v>
          </cell>
        </row>
        <row r="561">
          <cell r="A561">
            <v>37</v>
          </cell>
          <cell r="B561">
            <v>46034</v>
          </cell>
          <cell r="C561">
            <v>4033</v>
          </cell>
          <cell r="D561" t="str">
            <v>كريم النجار</v>
          </cell>
        </row>
        <row r="562">
          <cell r="A562">
            <v>37</v>
          </cell>
          <cell r="B562">
            <v>46041</v>
          </cell>
          <cell r="C562">
            <v>4033</v>
          </cell>
          <cell r="D562" t="str">
            <v>كريم النجار</v>
          </cell>
        </row>
        <row r="563">
          <cell r="A563">
            <v>37</v>
          </cell>
          <cell r="B563">
            <v>46041</v>
          </cell>
          <cell r="C563">
            <v>4033</v>
          </cell>
          <cell r="D563" t="str">
            <v>كريم النجار</v>
          </cell>
        </row>
        <row r="564">
          <cell r="A564">
            <v>37</v>
          </cell>
          <cell r="B564">
            <v>46056</v>
          </cell>
          <cell r="C564">
            <v>4033</v>
          </cell>
          <cell r="D564" t="str">
            <v>كريم النجار</v>
          </cell>
        </row>
        <row r="565">
          <cell r="A565">
            <v>37</v>
          </cell>
          <cell r="B565">
            <v>46069</v>
          </cell>
          <cell r="C565">
            <v>4033</v>
          </cell>
          <cell r="D565" t="str">
            <v>كريم النجار</v>
          </cell>
        </row>
        <row r="566">
          <cell r="A566">
            <v>37</v>
          </cell>
          <cell r="B566">
            <v>46077</v>
          </cell>
          <cell r="C566">
            <v>4033</v>
          </cell>
          <cell r="D566" t="str">
            <v>كريم النجار</v>
          </cell>
        </row>
        <row r="567">
          <cell r="A567">
            <v>37</v>
          </cell>
          <cell r="B567">
            <v>46084</v>
          </cell>
          <cell r="C567">
            <v>4033</v>
          </cell>
          <cell r="D567" t="str">
            <v>كريم النجار</v>
          </cell>
        </row>
        <row r="568">
          <cell r="A568">
            <v>37</v>
          </cell>
          <cell r="B568">
            <v>46086</v>
          </cell>
          <cell r="C568">
            <v>4033</v>
          </cell>
          <cell r="D568" t="str">
            <v>كريم النجار</v>
          </cell>
        </row>
        <row r="569">
          <cell r="A569">
            <v>37</v>
          </cell>
          <cell r="B569">
            <v>46097</v>
          </cell>
          <cell r="C569">
            <v>4033</v>
          </cell>
          <cell r="D569" t="str">
            <v>كريم النجار</v>
          </cell>
        </row>
        <row r="570">
          <cell r="A570">
            <v>37</v>
          </cell>
          <cell r="B570">
            <v>46097</v>
          </cell>
          <cell r="C570">
            <v>4033</v>
          </cell>
          <cell r="D570" t="str">
            <v>كريم النجار</v>
          </cell>
        </row>
        <row r="571">
          <cell r="A571">
            <v>37</v>
          </cell>
          <cell r="B571">
            <v>46097</v>
          </cell>
          <cell r="C571">
            <v>4033</v>
          </cell>
          <cell r="D571" t="str">
            <v>كريم النجار</v>
          </cell>
        </row>
        <row r="572">
          <cell r="A572">
            <v>37</v>
          </cell>
          <cell r="B572">
            <v>46097</v>
          </cell>
          <cell r="C572">
            <v>4033</v>
          </cell>
          <cell r="D572" t="str">
            <v>كريم النجار</v>
          </cell>
        </row>
        <row r="573">
          <cell r="A573">
            <v>37</v>
          </cell>
          <cell r="B573">
            <v>46097</v>
          </cell>
          <cell r="C573">
            <v>4033</v>
          </cell>
          <cell r="D573" t="str">
            <v>كريم النجار</v>
          </cell>
        </row>
        <row r="574">
          <cell r="A574">
            <v>37</v>
          </cell>
          <cell r="B574">
            <v>46097</v>
          </cell>
          <cell r="C574">
            <v>4033</v>
          </cell>
          <cell r="D574" t="str">
            <v>كريم النجار</v>
          </cell>
        </row>
        <row r="575">
          <cell r="A575">
            <v>37</v>
          </cell>
          <cell r="B575">
            <v>46097</v>
          </cell>
          <cell r="C575">
            <v>4033</v>
          </cell>
          <cell r="D575" t="str">
            <v>كريم النجار</v>
          </cell>
        </row>
        <row r="576">
          <cell r="A576">
            <v>37</v>
          </cell>
          <cell r="B576">
            <v>46133</v>
          </cell>
          <cell r="C576">
            <v>4033</v>
          </cell>
          <cell r="D576" t="str">
            <v>كريم النجار</v>
          </cell>
        </row>
        <row r="577">
          <cell r="A577">
            <v>37</v>
          </cell>
          <cell r="B577">
            <v>46133</v>
          </cell>
          <cell r="C577">
            <v>4033</v>
          </cell>
          <cell r="D577" t="str">
            <v>كريم النجار</v>
          </cell>
        </row>
        <row r="578">
          <cell r="A578">
            <v>37</v>
          </cell>
          <cell r="B578">
            <v>46144</v>
          </cell>
          <cell r="C578">
            <v>4033</v>
          </cell>
          <cell r="D578" t="str">
            <v>كريم النجار</v>
          </cell>
        </row>
        <row r="579">
          <cell r="A579">
            <v>37</v>
          </cell>
          <cell r="B579">
            <v>46144</v>
          </cell>
          <cell r="C579">
            <v>4033</v>
          </cell>
          <cell r="D579" t="str">
            <v>كريم النجار</v>
          </cell>
        </row>
        <row r="580">
          <cell r="A580">
            <v>37</v>
          </cell>
          <cell r="B580">
            <v>46148</v>
          </cell>
          <cell r="C580">
            <v>4033</v>
          </cell>
          <cell r="D580" t="str">
            <v>كريم النجار</v>
          </cell>
        </row>
        <row r="581">
          <cell r="A581">
            <v>37</v>
          </cell>
          <cell r="B581">
            <v>46148</v>
          </cell>
          <cell r="C581">
            <v>4033</v>
          </cell>
          <cell r="D581" t="str">
            <v>كريم النجار</v>
          </cell>
        </row>
        <row r="582">
          <cell r="A582">
            <v>37</v>
          </cell>
          <cell r="B582">
            <v>46154</v>
          </cell>
          <cell r="C582">
            <v>4033</v>
          </cell>
          <cell r="D582" t="str">
            <v>كريم النجار</v>
          </cell>
        </row>
        <row r="583">
          <cell r="A583">
            <v>37</v>
          </cell>
          <cell r="B583">
            <v>46161</v>
          </cell>
          <cell r="C583">
            <v>4033</v>
          </cell>
          <cell r="D583" t="str">
            <v>كريم النجار</v>
          </cell>
        </row>
        <row r="584">
          <cell r="A584">
            <v>37</v>
          </cell>
          <cell r="B584">
            <v>46034</v>
          </cell>
          <cell r="C584">
            <v>20</v>
          </cell>
          <cell r="D584" t="str">
            <v xml:space="preserve">الخزينة </v>
          </cell>
        </row>
        <row r="585">
          <cell r="A585">
            <v>37</v>
          </cell>
          <cell r="B585">
            <v>46041</v>
          </cell>
          <cell r="C585">
            <v>20</v>
          </cell>
          <cell r="D585" t="str">
            <v xml:space="preserve">الخزينة </v>
          </cell>
        </row>
        <row r="586">
          <cell r="A586">
            <v>37</v>
          </cell>
          <cell r="B586">
            <v>46041</v>
          </cell>
          <cell r="C586">
            <v>20</v>
          </cell>
          <cell r="D586" t="str">
            <v xml:space="preserve">الخزينة </v>
          </cell>
        </row>
        <row r="587">
          <cell r="A587">
            <v>37</v>
          </cell>
          <cell r="B587">
            <v>46056</v>
          </cell>
          <cell r="C587">
            <v>20</v>
          </cell>
          <cell r="D587" t="str">
            <v xml:space="preserve">الخزينة </v>
          </cell>
        </row>
        <row r="588">
          <cell r="A588">
            <v>37</v>
          </cell>
          <cell r="B588">
            <v>46069</v>
          </cell>
          <cell r="C588">
            <v>20</v>
          </cell>
          <cell r="D588" t="str">
            <v xml:space="preserve">الخزينة </v>
          </cell>
        </row>
        <row r="589">
          <cell r="A589">
            <v>37</v>
          </cell>
          <cell r="B589">
            <v>46077</v>
          </cell>
          <cell r="C589">
            <v>20</v>
          </cell>
          <cell r="D589" t="str">
            <v xml:space="preserve">الخزينة </v>
          </cell>
        </row>
        <row r="590">
          <cell r="A590">
            <v>37</v>
          </cell>
          <cell r="B590">
            <v>46084</v>
          </cell>
          <cell r="C590">
            <v>20</v>
          </cell>
          <cell r="D590" t="str">
            <v xml:space="preserve">الخزينة </v>
          </cell>
        </row>
        <row r="591">
          <cell r="A591">
            <v>37</v>
          </cell>
          <cell r="B591">
            <v>46086</v>
          </cell>
          <cell r="C591">
            <v>20</v>
          </cell>
          <cell r="D591" t="str">
            <v xml:space="preserve">الخزينة </v>
          </cell>
        </row>
        <row r="592">
          <cell r="A592">
            <v>37</v>
          </cell>
          <cell r="B592">
            <v>46097</v>
          </cell>
          <cell r="C592">
            <v>20</v>
          </cell>
          <cell r="D592" t="str">
            <v xml:space="preserve">الخزينة </v>
          </cell>
        </row>
        <row r="593">
          <cell r="A593">
            <v>37</v>
          </cell>
          <cell r="B593">
            <v>46097</v>
          </cell>
          <cell r="C593">
            <v>20</v>
          </cell>
          <cell r="D593" t="str">
            <v xml:space="preserve">الخزينة </v>
          </cell>
        </row>
        <row r="594">
          <cell r="A594">
            <v>37</v>
          </cell>
          <cell r="B594">
            <v>46097</v>
          </cell>
          <cell r="C594">
            <v>20</v>
          </cell>
          <cell r="D594" t="str">
            <v xml:space="preserve">الخزينة </v>
          </cell>
        </row>
        <row r="595">
          <cell r="A595">
            <v>37</v>
          </cell>
          <cell r="B595">
            <v>46097</v>
          </cell>
          <cell r="C595">
            <v>20</v>
          </cell>
          <cell r="D595" t="str">
            <v xml:space="preserve">الخزينة </v>
          </cell>
        </row>
        <row r="596">
          <cell r="A596">
            <v>37</v>
          </cell>
          <cell r="B596">
            <v>46097</v>
          </cell>
          <cell r="C596">
            <v>20</v>
          </cell>
          <cell r="D596" t="str">
            <v xml:space="preserve">الخزينة </v>
          </cell>
        </row>
        <row r="597">
          <cell r="A597">
            <v>37</v>
          </cell>
          <cell r="B597">
            <v>46097</v>
          </cell>
          <cell r="C597">
            <v>20</v>
          </cell>
          <cell r="D597" t="str">
            <v xml:space="preserve">الخزينة </v>
          </cell>
        </row>
        <row r="598">
          <cell r="A598">
            <v>37</v>
          </cell>
          <cell r="B598">
            <v>46097</v>
          </cell>
          <cell r="C598">
            <v>20</v>
          </cell>
          <cell r="D598" t="str">
            <v xml:space="preserve">الخزينة </v>
          </cell>
        </row>
        <row r="599">
          <cell r="A599">
            <v>37</v>
          </cell>
          <cell r="B599">
            <v>46133</v>
          </cell>
          <cell r="C599">
            <v>20</v>
          </cell>
          <cell r="D599" t="str">
            <v xml:space="preserve">الخزينة </v>
          </cell>
        </row>
        <row r="600">
          <cell r="A600">
            <v>37</v>
          </cell>
          <cell r="B600">
            <v>46133</v>
          </cell>
          <cell r="C600">
            <v>20</v>
          </cell>
          <cell r="D600" t="str">
            <v xml:space="preserve">الخزينة </v>
          </cell>
        </row>
        <row r="601">
          <cell r="A601">
            <v>37</v>
          </cell>
          <cell r="B601">
            <v>46144</v>
          </cell>
          <cell r="C601">
            <v>20</v>
          </cell>
          <cell r="D601" t="str">
            <v xml:space="preserve">الخزينة </v>
          </cell>
        </row>
        <row r="602">
          <cell r="A602">
            <v>37</v>
          </cell>
          <cell r="B602">
            <v>46144</v>
          </cell>
          <cell r="C602">
            <v>20</v>
          </cell>
          <cell r="D602" t="str">
            <v xml:space="preserve">الخزينة </v>
          </cell>
        </row>
        <row r="603">
          <cell r="A603">
            <v>37</v>
          </cell>
          <cell r="B603">
            <v>46148</v>
          </cell>
          <cell r="C603">
            <v>20</v>
          </cell>
          <cell r="D603" t="str">
            <v xml:space="preserve">الخزينة </v>
          </cell>
        </row>
        <row r="604">
          <cell r="A604">
            <v>37</v>
          </cell>
          <cell r="B604">
            <v>46148</v>
          </cell>
          <cell r="C604">
            <v>20</v>
          </cell>
          <cell r="D604" t="str">
            <v xml:space="preserve">الخزينة </v>
          </cell>
        </row>
        <row r="605">
          <cell r="A605">
            <v>37</v>
          </cell>
          <cell r="B605">
            <v>46154</v>
          </cell>
          <cell r="C605">
            <v>20</v>
          </cell>
          <cell r="D605" t="str">
            <v xml:space="preserve">الخزينة </v>
          </cell>
        </row>
        <row r="606">
          <cell r="A606">
            <v>37</v>
          </cell>
          <cell r="B606">
            <v>46161</v>
          </cell>
          <cell r="C606">
            <v>20</v>
          </cell>
          <cell r="D606" t="str">
            <v xml:space="preserve">الخزينة </v>
          </cell>
        </row>
        <row r="607">
          <cell r="A607">
            <v>38</v>
          </cell>
          <cell r="B607">
            <v>46093</v>
          </cell>
          <cell r="C607">
            <v>4051</v>
          </cell>
          <cell r="D607" t="str">
            <v>لمباية للادوات الكهربائية</v>
          </cell>
        </row>
        <row r="608">
          <cell r="A608">
            <v>38</v>
          </cell>
          <cell r="B608">
            <v>46093</v>
          </cell>
          <cell r="C608">
            <v>4051</v>
          </cell>
          <cell r="D608" t="str">
            <v>لمباية للادوات الكهربائية</v>
          </cell>
        </row>
        <row r="609">
          <cell r="A609">
            <v>38</v>
          </cell>
          <cell r="B609">
            <v>46099</v>
          </cell>
          <cell r="C609">
            <v>4051</v>
          </cell>
          <cell r="D609" t="str">
            <v>لمباية للادوات الكهربائية</v>
          </cell>
        </row>
        <row r="610">
          <cell r="A610">
            <v>38</v>
          </cell>
          <cell r="B610">
            <v>46093</v>
          </cell>
          <cell r="C610">
            <v>20</v>
          </cell>
          <cell r="D610" t="str">
            <v xml:space="preserve">الخزينة </v>
          </cell>
        </row>
        <row r="611">
          <cell r="A611">
            <v>38</v>
          </cell>
          <cell r="B611">
            <v>46093</v>
          </cell>
          <cell r="C611">
            <v>20</v>
          </cell>
          <cell r="D611" t="str">
            <v xml:space="preserve">الخزينة </v>
          </cell>
        </row>
        <row r="612">
          <cell r="A612">
            <v>38</v>
          </cell>
          <cell r="B612">
            <v>46099</v>
          </cell>
          <cell r="C612">
            <v>20</v>
          </cell>
          <cell r="D612" t="str">
            <v xml:space="preserve">الخزينة </v>
          </cell>
        </row>
        <row r="613">
          <cell r="A613">
            <v>39</v>
          </cell>
          <cell r="B613">
            <v>46160</v>
          </cell>
          <cell r="C613">
            <v>4068</v>
          </cell>
          <cell r="D613" t="str">
            <v>م / نسرين</v>
          </cell>
        </row>
        <row r="614">
          <cell r="A614">
            <v>39</v>
          </cell>
          <cell r="B614">
            <v>46160</v>
          </cell>
          <cell r="C614">
            <v>20</v>
          </cell>
          <cell r="D614" t="str">
            <v xml:space="preserve">الخزينة </v>
          </cell>
        </row>
        <row r="615">
          <cell r="A615">
            <v>40</v>
          </cell>
          <cell r="B615">
            <v>46030</v>
          </cell>
          <cell r="C615">
            <v>4013</v>
          </cell>
          <cell r="D615" t="str">
            <v>محمد السيد كهربائي مقاول</v>
          </cell>
        </row>
        <row r="616">
          <cell r="A616">
            <v>40</v>
          </cell>
          <cell r="B616">
            <v>46030</v>
          </cell>
          <cell r="C616">
            <v>4013</v>
          </cell>
          <cell r="D616" t="str">
            <v>محمد السيد كهربائي مقاول</v>
          </cell>
        </row>
        <row r="617">
          <cell r="A617">
            <v>40</v>
          </cell>
          <cell r="B617">
            <v>46044</v>
          </cell>
          <cell r="C617">
            <v>4013</v>
          </cell>
          <cell r="D617" t="str">
            <v>محمد السيد كهربائي مقاول</v>
          </cell>
        </row>
        <row r="618">
          <cell r="A618">
            <v>40</v>
          </cell>
          <cell r="B618">
            <v>46050</v>
          </cell>
          <cell r="C618">
            <v>4013</v>
          </cell>
          <cell r="D618" t="str">
            <v>محمد السيد كهربائي مقاول</v>
          </cell>
        </row>
        <row r="619">
          <cell r="A619">
            <v>40</v>
          </cell>
          <cell r="B619">
            <v>46050</v>
          </cell>
          <cell r="C619">
            <v>4013</v>
          </cell>
          <cell r="D619" t="str">
            <v>محمد السيد كهربائي مقاول</v>
          </cell>
        </row>
        <row r="620">
          <cell r="A620">
            <v>40</v>
          </cell>
          <cell r="B620">
            <v>46058</v>
          </cell>
          <cell r="C620">
            <v>4013</v>
          </cell>
          <cell r="D620" t="str">
            <v>محمد السيد كهربائي مقاول</v>
          </cell>
        </row>
        <row r="621">
          <cell r="A621">
            <v>40</v>
          </cell>
          <cell r="B621">
            <v>46058</v>
          </cell>
          <cell r="C621">
            <v>4013</v>
          </cell>
          <cell r="D621" t="str">
            <v>محمد السيد كهربائي مقاول</v>
          </cell>
        </row>
        <row r="622">
          <cell r="A622">
            <v>40</v>
          </cell>
          <cell r="B622">
            <v>46065</v>
          </cell>
          <cell r="C622">
            <v>4013</v>
          </cell>
          <cell r="D622" t="str">
            <v>محمد السيد كهربائي مقاول</v>
          </cell>
        </row>
        <row r="623">
          <cell r="A623">
            <v>40</v>
          </cell>
          <cell r="B623">
            <v>46065</v>
          </cell>
          <cell r="C623">
            <v>4013</v>
          </cell>
          <cell r="D623" t="str">
            <v>محمد السيد كهربائي مقاول</v>
          </cell>
        </row>
        <row r="624">
          <cell r="A624">
            <v>40</v>
          </cell>
          <cell r="B624">
            <v>46071</v>
          </cell>
          <cell r="C624">
            <v>4013</v>
          </cell>
          <cell r="D624" t="str">
            <v>محمد السيد كهربائي مقاول</v>
          </cell>
        </row>
        <row r="625">
          <cell r="A625">
            <v>40</v>
          </cell>
          <cell r="B625">
            <v>46086</v>
          </cell>
          <cell r="C625">
            <v>4013</v>
          </cell>
          <cell r="D625" t="str">
            <v>محمد السيد كهربائي مقاول</v>
          </cell>
        </row>
        <row r="626">
          <cell r="A626">
            <v>40</v>
          </cell>
          <cell r="B626">
            <v>46086</v>
          </cell>
          <cell r="C626">
            <v>4013</v>
          </cell>
          <cell r="D626" t="str">
            <v>محمد السيد كهربائي مقاول</v>
          </cell>
        </row>
        <row r="627">
          <cell r="A627">
            <v>40</v>
          </cell>
          <cell r="B627">
            <v>46086</v>
          </cell>
          <cell r="C627">
            <v>4013</v>
          </cell>
          <cell r="D627" t="str">
            <v>محمد السيد كهربائي مقاول</v>
          </cell>
        </row>
        <row r="628">
          <cell r="A628">
            <v>40</v>
          </cell>
          <cell r="B628">
            <v>46093</v>
          </cell>
          <cell r="C628">
            <v>4013</v>
          </cell>
          <cell r="D628" t="str">
            <v>محمد السيد كهربائي مقاول</v>
          </cell>
        </row>
        <row r="629">
          <cell r="A629">
            <v>40</v>
          </cell>
          <cell r="B629">
            <v>46099</v>
          </cell>
          <cell r="C629">
            <v>4013</v>
          </cell>
          <cell r="D629" t="str">
            <v>محمد السيد كهربائي مقاول</v>
          </cell>
        </row>
        <row r="630">
          <cell r="A630">
            <v>40</v>
          </cell>
          <cell r="B630">
            <v>46099</v>
          </cell>
          <cell r="C630">
            <v>4013</v>
          </cell>
          <cell r="D630" t="str">
            <v>محمد السيد كهربائي مقاول</v>
          </cell>
        </row>
        <row r="631">
          <cell r="A631">
            <v>40</v>
          </cell>
          <cell r="B631">
            <v>46099</v>
          </cell>
          <cell r="C631">
            <v>4013</v>
          </cell>
          <cell r="D631" t="str">
            <v>محمد السيد كهربائي مقاول</v>
          </cell>
        </row>
        <row r="632">
          <cell r="A632">
            <v>40</v>
          </cell>
          <cell r="B632">
            <v>46121</v>
          </cell>
          <cell r="C632">
            <v>4013</v>
          </cell>
          <cell r="D632" t="str">
            <v>محمد السيد كهربائي مقاول</v>
          </cell>
        </row>
        <row r="633">
          <cell r="A633">
            <v>40</v>
          </cell>
          <cell r="B633">
            <v>46135</v>
          </cell>
          <cell r="C633">
            <v>4013</v>
          </cell>
          <cell r="D633" t="str">
            <v>محمد السيد كهربائي مقاول</v>
          </cell>
        </row>
        <row r="634">
          <cell r="A634">
            <v>40</v>
          </cell>
          <cell r="B634">
            <v>46135</v>
          </cell>
          <cell r="C634">
            <v>4013</v>
          </cell>
          <cell r="D634" t="str">
            <v>محمد السيد كهربائي مقاول</v>
          </cell>
        </row>
        <row r="635">
          <cell r="A635">
            <v>40</v>
          </cell>
          <cell r="B635">
            <v>46142</v>
          </cell>
          <cell r="C635">
            <v>4013</v>
          </cell>
          <cell r="D635" t="str">
            <v>محمد السيد كهربائي مقاول</v>
          </cell>
        </row>
        <row r="636">
          <cell r="A636">
            <v>40</v>
          </cell>
          <cell r="B636">
            <v>46163</v>
          </cell>
          <cell r="C636">
            <v>4013</v>
          </cell>
          <cell r="D636" t="str">
            <v>محمد السيد كهربائي مقاول</v>
          </cell>
        </row>
        <row r="637">
          <cell r="A637">
            <v>40</v>
          </cell>
          <cell r="B637">
            <v>46184</v>
          </cell>
          <cell r="C637">
            <v>4013</v>
          </cell>
          <cell r="D637" t="str">
            <v>محمد السيد كهربائي مقاول</v>
          </cell>
        </row>
        <row r="638">
          <cell r="A638">
            <v>40</v>
          </cell>
          <cell r="B638">
            <v>46030</v>
          </cell>
          <cell r="C638">
            <v>20</v>
          </cell>
          <cell r="D638" t="str">
            <v xml:space="preserve">الخزينة </v>
          </cell>
        </row>
        <row r="639">
          <cell r="A639">
            <v>40</v>
          </cell>
          <cell r="B639">
            <v>46030</v>
          </cell>
          <cell r="C639">
            <v>20</v>
          </cell>
          <cell r="D639" t="str">
            <v xml:space="preserve">الخزينة </v>
          </cell>
        </row>
        <row r="640">
          <cell r="A640">
            <v>40</v>
          </cell>
          <cell r="B640">
            <v>46044</v>
          </cell>
          <cell r="C640">
            <v>20</v>
          </cell>
          <cell r="D640" t="str">
            <v xml:space="preserve">الخزينة </v>
          </cell>
        </row>
        <row r="641">
          <cell r="A641">
            <v>40</v>
          </cell>
          <cell r="B641">
            <v>46050</v>
          </cell>
          <cell r="C641">
            <v>20</v>
          </cell>
          <cell r="D641" t="str">
            <v xml:space="preserve">الخزينة </v>
          </cell>
        </row>
        <row r="642">
          <cell r="A642">
            <v>40</v>
          </cell>
          <cell r="B642">
            <v>46050</v>
          </cell>
          <cell r="C642">
            <v>20</v>
          </cell>
          <cell r="D642" t="str">
            <v xml:space="preserve">الخزينة </v>
          </cell>
        </row>
        <row r="643">
          <cell r="A643">
            <v>40</v>
          </cell>
          <cell r="B643">
            <v>46058</v>
          </cell>
          <cell r="C643">
            <v>20</v>
          </cell>
          <cell r="D643" t="str">
            <v xml:space="preserve">الخزينة </v>
          </cell>
        </row>
        <row r="644">
          <cell r="A644">
            <v>40</v>
          </cell>
          <cell r="B644">
            <v>46058</v>
          </cell>
          <cell r="C644">
            <v>20</v>
          </cell>
          <cell r="D644" t="str">
            <v xml:space="preserve">الخزينة </v>
          </cell>
        </row>
        <row r="645">
          <cell r="A645">
            <v>40</v>
          </cell>
          <cell r="B645">
            <v>46065</v>
          </cell>
          <cell r="C645">
            <v>20</v>
          </cell>
          <cell r="D645" t="str">
            <v xml:space="preserve">الخزينة </v>
          </cell>
        </row>
        <row r="646">
          <cell r="A646">
            <v>40</v>
          </cell>
          <cell r="B646">
            <v>46065</v>
          </cell>
          <cell r="C646">
            <v>20</v>
          </cell>
          <cell r="D646" t="str">
            <v xml:space="preserve">الخزينة </v>
          </cell>
        </row>
        <row r="647">
          <cell r="A647">
            <v>40</v>
          </cell>
          <cell r="B647">
            <v>46071</v>
          </cell>
          <cell r="C647">
            <v>20</v>
          </cell>
          <cell r="D647" t="str">
            <v xml:space="preserve">الخزينة </v>
          </cell>
        </row>
        <row r="648">
          <cell r="A648">
            <v>40</v>
          </cell>
          <cell r="B648">
            <v>46086</v>
          </cell>
          <cell r="C648">
            <v>20</v>
          </cell>
          <cell r="D648" t="str">
            <v xml:space="preserve">الخزينة </v>
          </cell>
        </row>
        <row r="649">
          <cell r="A649">
            <v>40</v>
          </cell>
          <cell r="B649">
            <v>46086</v>
          </cell>
          <cell r="C649">
            <v>20</v>
          </cell>
          <cell r="D649" t="str">
            <v xml:space="preserve">الخزينة </v>
          </cell>
        </row>
        <row r="650">
          <cell r="A650">
            <v>40</v>
          </cell>
          <cell r="B650">
            <v>46086</v>
          </cell>
          <cell r="C650">
            <v>20</v>
          </cell>
          <cell r="D650" t="str">
            <v xml:space="preserve">الخزينة </v>
          </cell>
        </row>
        <row r="651">
          <cell r="A651">
            <v>40</v>
          </cell>
          <cell r="B651">
            <v>46093</v>
          </cell>
          <cell r="C651">
            <v>20</v>
          </cell>
          <cell r="D651" t="str">
            <v xml:space="preserve">الخزينة </v>
          </cell>
        </row>
        <row r="652">
          <cell r="A652">
            <v>40</v>
          </cell>
          <cell r="B652">
            <v>46099</v>
          </cell>
          <cell r="C652">
            <v>20</v>
          </cell>
          <cell r="D652" t="str">
            <v xml:space="preserve">الخزينة </v>
          </cell>
        </row>
        <row r="653">
          <cell r="A653">
            <v>40</v>
          </cell>
          <cell r="B653">
            <v>46099</v>
          </cell>
          <cell r="C653">
            <v>20</v>
          </cell>
          <cell r="D653" t="str">
            <v xml:space="preserve">الخزينة </v>
          </cell>
        </row>
        <row r="654">
          <cell r="A654">
            <v>40</v>
          </cell>
          <cell r="B654">
            <v>46099</v>
          </cell>
          <cell r="C654">
            <v>20</v>
          </cell>
          <cell r="D654" t="str">
            <v xml:space="preserve">الخزينة </v>
          </cell>
        </row>
        <row r="655">
          <cell r="A655">
            <v>40</v>
          </cell>
          <cell r="B655">
            <v>46121</v>
          </cell>
          <cell r="C655">
            <v>20</v>
          </cell>
          <cell r="D655" t="str">
            <v xml:space="preserve">الخزينة </v>
          </cell>
        </row>
        <row r="656">
          <cell r="A656">
            <v>40</v>
          </cell>
          <cell r="B656">
            <v>46135</v>
          </cell>
          <cell r="C656">
            <v>20</v>
          </cell>
          <cell r="D656" t="str">
            <v xml:space="preserve">الخزينة </v>
          </cell>
        </row>
        <row r="657">
          <cell r="A657">
            <v>40</v>
          </cell>
          <cell r="B657">
            <v>46135</v>
          </cell>
          <cell r="C657">
            <v>20</v>
          </cell>
          <cell r="D657" t="str">
            <v xml:space="preserve">الخزينة </v>
          </cell>
        </row>
        <row r="658">
          <cell r="A658">
            <v>40</v>
          </cell>
          <cell r="B658">
            <v>46142</v>
          </cell>
          <cell r="C658">
            <v>20</v>
          </cell>
          <cell r="D658" t="str">
            <v xml:space="preserve">الخزينة </v>
          </cell>
        </row>
        <row r="659">
          <cell r="A659">
            <v>40</v>
          </cell>
          <cell r="B659">
            <v>46163</v>
          </cell>
          <cell r="C659">
            <v>20</v>
          </cell>
          <cell r="D659" t="str">
            <v xml:space="preserve">الخزينة </v>
          </cell>
        </row>
        <row r="660">
          <cell r="A660">
            <v>40</v>
          </cell>
          <cell r="B660">
            <v>46184</v>
          </cell>
          <cell r="C660">
            <v>20</v>
          </cell>
          <cell r="D660" t="str">
            <v xml:space="preserve">الخزينة </v>
          </cell>
        </row>
        <row r="661">
          <cell r="A661">
            <v>41</v>
          </cell>
          <cell r="B661">
            <v>46065</v>
          </cell>
          <cell r="C661">
            <v>4045</v>
          </cell>
          <cell r="D661" t="str">
            <v>محمد النقاش</v>
          </cell>
        </row>
        <row r="662">
          <cell r="A662">
            <v>41</v>
          </cell>
          <cell r="B662">
            <v>46065</v>
          </cell>
          <cell r="C662">
            <v>20</v>
          </cell>
          <cell r="D662" t="str">
            <v xml:space="preserve">الخزينة </v>
          </cell>
        </row>
        <row r="663">
          <cell r="A663">
            <v>42</v>
          </cell>
          <cell r="B663">
            <v>46036</v>
          </cell>
          <cell r="C663">
            <v>4035</v>
          </cell>
          <cell r="D663" t="str">
            <v>محمد امين</v>
          </cell>
        </row>
        <row r="664">
          <cell r="A664">
            <v>42</v>
          </cell>
          <cell r="B664">
            <v>46036</v>
          </cell>
          <cell r="C664">
            <v>4035</v>
          </cell>
          <cell r="D664" t="str">
            <v>محمد امين</v>
          </cell>
        </row>
        <row r="665">
          <cell r="A665">
            <v>42</v>
          </cell>
          <cell r="B665">
            <v>46039</v>
          </cell>
          <cell r="C665">
            <v>4035</v>
          </cell>
          <cell r="D665" t="str">
            <v>محمد امين</v>
          </cell>
        </row>
        <row r="666">
          <cell r="A666">
            <v>42</v>
          </cell>
          <cell r="B666">
            <v>46060</v>
          </cell>
          <cell r="C666">
            <v>4035</v>
          </cell>
          <cell r="D666" t="str">
            <v>محمد امين</v>
          </cell>
        </row>
        <row r="667">
          <cell r="A667">
            <v>42</v>
          </cell>
          <cell r="B667">
            <v>46060</v>
          </cell>
          <cell r="C667">
            <v>4035</v>
          </cell>
          <cell r="D667" t="str">
            <v>محمد امين</v>
          </cell>
        </row>
        <row r="668">
          <cell r="A668">
            <v>42</v>
          </cell>
          <cell r="B668">
            <v>46091</v>
          </cell>
          <cell r="C668">
            <v>4035</v>
          </cell>
          <cell r="D668" t="str">
            <v>محمد امين</v>
          </cell>
        </row>
        <row r="669">
          <cell r="A669">
            <v>42</v>
          </cell>
          <cell r="B669">
            <v>46093</v>
          </cell>
          <cell r="C669">
            <v>4035</v>
          </cell>
          <cell r="D669" t="str">
            <v>محمد امين</v>
          </cell>
        </row>
        <row r="670">
          <cell r="A670">
            <v>42</v>
          </cell>
          <cell r="B670">
            <v>46127</v>
          </cell>
          <cell r="C670">
            <v>4035</v>
          </cell>
          <cell r="D670" t="str">
            <v>محمد امين</v>
          </cell>
        </row>
        <row r="671">
          <cell r="A671">
            <v>42</v>
          </cell>
          <cell r="B671">
            <v>46127</v>
          </cell>
          <cell r="C671">
            <v>4035</v>
          </cell>
          <cell r="D671" t="str">
            <v>محمد امين</v>
          </cell>
        </row>
        <row r="672">
          <cell r="A672">
            <v>42</v>
          </cell>
          <cell r="B672">
            <v>46139</v>
          </cell>
          <cell r="C672">
            <v>4035</v>
          </cell>
          <cell r="D672" t="str">
            <v>محمد امين</v>
          </cell>
        </row>
        <row r="673">
          <cell r="A673">
            <v>42</v>
          </cell>
          <cell r="B673">
            <v>46148</v>
          </cell>
          <cell r="C673">
            <v>4035</v>
          </cell>
          <cell r="D673" t="str">
            <v>محمد امين</v>
          </cell>
        </row>
        <row r="674">
          <cell r="A674">
            <v>42</v>
          </cell>
          <cell r="B674">
            <v>46163</v>
          </cell>
          <cell r="C674">
            <v>4035</v>
          </cell>
          <cell r="D674" t="str">
            <v>محمد امين</v>
          </cell>
        </row>
        <row r="675">
          <cell r="A675">
            <v>42</v>
          </cell>
          <cell r="B675">
            <v>46036</v>
          </cell>
          <cell r="C675">
            <v>20</v>
          </cell>
          <cell r="D675" t="str">
            <v xml:space="preserve">الخزينة </v>
          </cell>
        </row>
        <row r="676">
          <cell r="A676">
            <v>42</v>
          </cell>
          <cell r="B676">
            <v>46036</v>
          </cell>
          <cell r="C676">
            <v>20</v>
          </cell>
          <cell r="D676" t="str">
            <v xml:space="preserve">الخزينة </v>
          </cell>
        </row>
        <row r="677">
          <cell r="A677">
            <v>42</v>
          </cell>
          <cell r="B677">
            <v>46039</v>
          </cell>
          <cell r="C677">
            <v>20</v>
          </cell>
          <cell r="D677" t="str">
            <v xml:space="preserve">الخزينة </v>
          </cell>
        </row>
        <row r="678">
          <cell r="A678">
            <v>42</v>
          </cell>
          <cell r="B678">
            <v>46060</v>
          </cell>
          <cell r="C678">
            <v>20</v>
          </cell>
          <cell r="D678" t="str">
            <v xml:space="preserve">الخزينة </v>
          </cell>
        </row>
        <row r="679">
          <cell r="A679">
            <v>42</v>
          </cell>
          <cell r="B679">
            <v>46060</v>
          </cell>
          <cell r="C679">
            <v>20</v>
          </cell>
          <cell r="D679" t="str">
            <v xml:space="preserve">الخزينة </v>
          </cell>
        </row>
        <row r="680">
          <cell r="A680">
            <v>42</v>
          </cell>
          <cell r="B680">
            <v>46091</v>
          </cell>
          <cell r="C680">
            <v>20</v>
          </cell>
          <cell r="D680" t="str">
            <v xml:space="preserve">الخزينة </v>
          </cell>
        </row>
        <row r="681">
          <cell r="A681">
            <v>42</v>
          </cell>
          <cell r="B681">
            <v>46093</v>
          </cell>
          <cell r="C681">
            <v>20</v>
          </cell>
          <cell r="D681" t="str">
            <v xml:space="preserve">الخزينة </v>
          </cell>
        </row>
        <row r="682">
          <cell r="A682">
            <v>42</v>
          </cell>
          <cell r="B682">
            <v>46127</v>
          </cell>
          <cell r="C682">
            <v>20</v>
          </cell>
          <cell r="D682" t="str">
            <v xml:space="preserve">الخزينة </v>
          </cell>
        </row>
        <row r="683">
          <cell r="A683">
            <v>42</v>
          </cell>
          <cell r="B683">
            <v>46127</v>
          </cell>
          <cell r="C683">
            <v>20</v>
          </cell>
          <cell r="D683" t="str">
            <v xml:space="preserve">الخزينة </v>
          </cell>
        </row>
        <row r="684">
          <cell r="A684">
            <v>42</v>
          </cell>
          <cell r="B684">
            <v>46139</v>
          </cell>
          <cell r="C684">
            <v>20</v>
          </cell>
          <cell r="D684" t="str">
            <v xml:space="preserve">الخزينة </v>
          </cell>
        </row>
        <row r="685">
          <cell r="A685">
            <v>42</v>
          </cell>
          <cell r="B685">
            <v>46148</v>
          </cell>
          <cell r="C685">
            <v>20</v>
          </cell>
          <cell r="D685" t="str">
            <v xml:space="preserve">الخزينة </v>
          </cell>
        </row>
        <row r="686">
          <cell r="A686">
            <v>42</v>
          </cell>
          <cell r="B686">
            <v>46163</v>
          </cell>
          <cell r="C686">
            <v>20</v>
          </cell>
          <cell r="D686" t="str">
            <v xml:space="preserve">الخزينة </v>
          </cell>
        </row>
        <row r="687">
          <cell r="A687">
            <v>43</v>
          </cell>
          <cell r="B687">
            <v>46117</v>
          </cell>
          <cell r="C687">
            <v>4002</v>
          </cell>
          <cell r="D687" t="str">
            <v>محمد بدر الكهربائي</v>
          </cell>
        </row>
        <row r="688">
          <cell r="A688">
            <v>43</v>
          </cell>
          <cell r="B688">
            <v>46117</v>
          </cell>
          <cell r="C688">
            <v>20</v>
          </cell>
          <cell r="D688" t="str">
            <v xml:space="preserve">الخزينة </v>
          </cell>
        </row>
        <row r="689">
          <cell r="A689">
            <v>44</v>
          </cell>
          <cell r="B689">
            <v>46037</v>
          </cell>
          <cell r="C689">
            <v>4049</v>
          </cell>
          <cell r="D689" t="str">
            <v>محمد السيد توريدات كهرباء</v>
          </cell>
        </row>
        <row r="690">
          <cell r="A690">
            <v>44</v>
          </cell>
          <cell r="B690">
            <v>46044</v>
          </cell>
          <cell r="C690">
            <v>4049</v>
          </cell>
          <cell r="D690" t="str">
            <v>محمد السيد توريدات كهرباء</v>
          </cell>
        </row>
        <row r="691">
          <cell r="A691">
            <v>44</v>
          </cell>
          <cell r="B691">
            <v>46065</v>
          </cell>
          <cell r="C691">
            <v>4049</v>
          </cell>
          <cell r="D691" t="str">
            <v>محمد السيد توريدات كهرباء</v>
          </cell>
        </row>
        <row r="692">
          <cell r="A692">
            <v>44</v>
          </cell>
          <cell r="B692">
            <v>46065</v>
          </cell>
          <cell r="C692">
            <v>4049</v>
          </cell>
          <cell r="D692" t="str">
            <v>محمد السيد توريدات كهرباء</v>
          </cell>
        </row>
        <row r="693">
          <cell r="A693">
            <v>44</v>
          </cell>
          <cell r="B693">
            <v>46037</v>
          </cell>
          <cell r="C693">
            <v>20</v>
          </cell>
          <cell r="D693" t="str">
            <v xml:space="preserve">الخزينة </v>
          </cell>
        </row>
        <row r="694">
          <cell r="A694">
            <v>44</v>
          </cell>
          <cell r="B694">
            <v>46044</v>
          </cell>
          <cell r="C694">
            <v>20</v>
          </cell>
          <cell r="D694" t="str">
            <v xml:space="preserve">الخزينة </v>
          </cell>
        </row>
        <row r="695">
          <cell r="A695">
            <v>44</v>
          </cell>
          <cell r="B695">
            <v>46065</v>
          </cell>
          <cell r="C695">
            <v>20</v>
          </cell>
          <cell r="D695" t="str">
            <v xml:space="preserve">الخزينة </v>
          </cell>
        </row>
        <row r="696">
          <cell r="A696">
            <v>44</v>
          </cell>
          <cell r="B696">
            <v>46065</v>
          </cell>
          <cell r="C696">
            <v>20</v>
          </cell>
          <cell r="D696" t="str">
            <v xml:space="preserve">الخزينة </v>
          </cell>
        </row>
        <row r="697">
          <cell r="A697">
            <v>45</v>
          </cell>
          <cell r="B697">
            <v>46043</v>
          </cell>
          <cell r="C697">
            <v>4014</v>
          </cell>
          <cell r="D697" t="str">
            <v>محمد السباك</v>
          </cell>
        </row>
        <row r="698">
          <cell r="A698">
            <v>45</v>
          </cell>
          <cell r="B698">
            <v>46050</v>
          </cell>
          <cell r="C698">
            <v>4014</v>
          </cell>
          <cell r="D698" t="str">
            <v>محمد السباك</v>
          </cell>
        </row>
        <row r="699">
          <cell r="A699">
            <v>45</v>
          </cell>
          <cell r="B699">
            <v>46058</v>
          </cell>
          <cell r="C699">
            <v>4014</v>
          </cell>
          <cell r="D699" t="str">
            <v>محمد السباك</v>
          </cell>
        </row>
        <row r="700">
          <cell r="A700">
            <v>45</v>
          </cell>
          <cell r="B700">
            <v>46163</v>
          </cell>
          <cell r="C700">
            <v>4014</v>
          </cell>
          <cell r="D700" t="str">
            <v>محمد السباك</v>
          </cell>
        </row>
        <row r="701">
          <cell r="A701">
            <v>45</v>
          </cell>
          <cell r="B701">
            <v>46043</v>
          </cell>
          <cell r="C701">
            <v>20</v>
          </cell>
          <cell r="D701" t="str">
            <v xml:space="preserve">الخزينة </v>
          </cell>
        </row>
        <row r="702">
          <cell r="A702">
            <v>45</v>
          </cell>
          <cell r="B702">
            <v>46050</v>
          </cell>
          <cell r="C702">
            <v>20</v>
          </cell>
          <cell r="D702" t="str">
            <v xml:space="preserve">الخزينة </v>
          </cell>
        </row>
        <row r="703">
          <cell r="A703">
            <v>45</v>
          </cell>
          <cell r="B703">
            <v>46058</v>
          </cell>
          <cell r="C703">
            <v>20</v>
          </cell>
          <cell r="D703" t="str">
            <v xml:space="preserve">الخزينة </v>
          </cell>
        </row>
        <row r="704">
          <cell r="A704">
            <v>45</v>
          </cell>
          <cell r="B704">
            <v>46163</v>
          </cell>
          <cell r="C704">
            <v>20</v>
          </cell>
          <cell r="D704" t="str">
            <v xml:space="preserve">الخزينة </v>
          </cell>
        </row>
        <row r="705">
          <cell r="A705">
            <v>46</v>
          </cell>
          <cell r="B705">
            <v>46028</v>
          </cell>
          <cell r="C705">
            <v>4037</v>
          </cell>
          <cell r="D705" t="str">
            <v>محمود الجبس</v>
          </cell>
        </row>
        <row r="706">
          <cell r="A706">
            <v>46</v>
          </cell>
          <cell r="B706">
            <v>46034</v>
          </cell>
          <cell r="C706">
            <v>4037</v>
          </cell>
          <cell r="D706" t="str">
            <v>محمود الجبس</v>
          </cell>
        </row>
        <row r="707">
          <cell r="A707">
            <v>46</v>
          </cell>
          <cell r="B707">
            <v>46071</v>
          </cell>
          <cell r="C707">
            <v>4037</v>
          </cell>
          <cell r="D707" t="str">
            <v>محمود الجبس</v>
          </cell>
        </row>
        <row r="708">
          <cell r="A708">
            <v>46</v>
          </cell>
          <cell r="B708">
            <v>46097</v>
          </cell>
          <cell r="C708">
            <v>4037</v>
          </cell>
          <cell r="D708" t="str">
            <v>محمود الجبس</v>
          </cell>
        </row>
        <row r="709">
          <cell r="A709">
            <v>46</v>
          </cell>
          <cell r="B709">
            <v>46121</v>
          </cell>
          <cell r="C709">
            <v>4037</v>
          </cell>
          <cell r="D709" t="str">
            <v>محمود الجبس</v>
          </cell>
        </row>
        <row r="710">
          <cell r="A710">
            <v>46</v>
          </cell>
          <cell r="B710">
            <v>46139</v>
          </cell>
          <cell r="C710">
            <v>4037</v>
          </cell>
          <cell r="D710" t="str">
            <v>محمود الجبس</v>
          </cell>
        </row>
        <row r="711">
          <cell r="A711">
            <v>46</v>
          </cell>
          <cell r="B711">
            <v>46161</v>
          </cell>
          <cell r="C711">
            <v>4037</v>
          </cell>
          <cell r="D711" t="str">
            <v>محمود الجبس</v>
          </cell>
        </row>
        <row r="712">
          <cell r="A712">
            <v>46</v>
          </cell>
          <cell r="B712">
            <v>46028</v>
          </cell>
          <cell r="C712">
            <v>20</v>
          </cell>
          <cell r="D712" t="str">
            <v xml:space="preserve">الخزينة </v>
          </cell>
        </row>
        <row r="713">
          <cell r="A713">
            <v>46</v>
          </cell>
          <cell r="B713">
            <v>46034</v>
          </cell>
          <cell r="C713">
            <v>20</v>
          </cell>
          <cell r="D713" t="str">
            <v xml:space="preserve">الخزينة </v>
          </cell>
        </row>
        <row r="714">
          <cell r="A714">
            <v>46</v>
          </cell>
          <cell r="B714">
            <v>46071</v>
          </cell>
          <cell r="C714">
            <v>20</v>
          </cell>
          <cell r="D714" t="str">
            <v xml:space="preserve">الخزينة </v>
          </cell>
        </row>
        <row r="715">
          <cell r="A715">
            <v>46</v>
          </cell>
          <cell r="B715">
            <v>46097</v>
          </cell>
          <cell r="C715">
            <v>20</v>
          </cell>
          <cell r="D715" t="str">
            <v xml:space="preserve">الخزينة </v>
          </cell>
        </row>
        <row r="716">
          <cell r="A716">
            <v>46</v>
          </cell>
          <cell r="B716">
            <v>46121</v>
          </cell>
          <cell r="C716">
            <v>20</v>
          </cell>
          <cell r="D716" t="str">
            <v xml:space="preserve">الخزينة </v>
          </cell>
        </row>
        <row r="717">
          <cell r="A717">
            <v>46</v>
          </cell>
          <cell r="B717">
            <v>46139</v>
          </cell>
          <cell r="C717">
            <v>20</v>
          </cell>
          <cell r="D717" t="str">
            <v xml:space="preserve">الخزينة </v>
          </cell>
        </row>
        <row r="718">
          <cell r="A718">
            <v>46</v>
          </cell>
          <cell r="B718">
            <v>46161</v>
          </cell>
          <cell r="C718">
            <v>20</v>
          </cell>
          <cell r="D718" t="str">
            <v xml:space="preserve">الخزينة </v>
          </cell>
        </row>
        <row r="719">
          <cell r="A719">
            <v>47</v>
          </cell>
          <cell r="B719">
            <v>46086</v>
          </cell>
          <cell r="C719">
            <v>4046</v>
          </cell>
          <cell r="D719" t="str">
            <v>مصطفي الكهربائي</v>
          </cell>
        </row>
        <row r="720">
          <cell r="A720">
            <v>47</v>
          </cell>
          <cell r="B720">
            <v>46086</v>
          </cell>
          <cell r="C720">
            <v>4046</v>
          </cell>
          <cell r="D720" t="str">
            <v>مصطفي الكهربائي</v>
          </cell>
        </row>
        <row r="721">
          <cell r="A721">
            <v>47</v>
          </cell>
          <cell r="B721">
            <v>46086</v>
          </cell>
          <cell r="C721">
            <v>20</v>
          </cell>
          <cell r="D721" t="str">
            <v xml:space="preserve">الخزينة </v>
          </cell>
        </row>
        <row r="722">
          <cell r="A722">
            <v>47</v>
          </cell>
          <cell r="B722">
            <v>46086</v>
          </cell>
          <cell r="C722">
            <v>20</v>
          </cell>
          <cell r="D722" t="str">
            <v xml:space="preserve">الخزينة </v>
          </cell>
        </row>
        <row r="723">
          <cell r="A723">
            <v>48</v>
          </cell>
          <cell r="B723">
            <v>46029</v>
          </cell>
          <cell r="C723">
            <v>4015</v>
          </cell>
          <cell r="D723" t="str">
            <v>مينا السيراميك</v>
          </cell>
        </row>
        <row r="724">
          <cell r="A724">
            <v>48</v>
          </cell>
          <cell r="B724">
            <v>46037</v>
          </cell>
          <cell r="C724">
            <v>4015</v>
          </cell>
          <cell r="D724" t="str">
            <v>مينا السيراميك</v>
          </cell>
        </row>
        <row r="725">
          <cell r="A725">
            <v>48</v>
          </cell>
          <cell r="B725">
            <v>46044</v>
          </cell>
          <cell r="C725">
            <v>4015</v>
          </cell>
          <cell r="D725" t="str">
            <v>مينا السيراميك</v>
          </cell>
        </row>
        <row r="726">
          <cell r="A726">
            <v>48</v>
          </cell>
          <cell r="B726">
            <v>46050</v>
          </cell>
          <cell r="C726">
            <v>4015</v>
          </cell>
          <cell r="D726" t="str">
            <v>مينا السيراميك</v>
          </cell>
        </row>
        <row r="727">
          <cell r="A727">
            <v>48</v>
          </cell>
          <cell r="B727">
            <v>46058</v>
          </cell>
          <cell r="C727">
            <v>4015</v>
          </cell>
          <cell r="D727" t="str">
            <v>مينا السيراميك</v>
          </cell>
        </row>
        <row r="728">
          <cell r="A728">
            <v>48</v>
          </cell>
          <cell r="B728">
            <v>46058</v>
          </cell>
          <cell r="C728">
            <v>4015</v>
          </cell>
          <cell r="D728" t="str">
            <v>مينا السيراميك</v>
          </cell>
        </row>
        <row r="729">
          <cell r="A729">
            <v>48</v>
          </cell>
          <cell r="B729">
            <v>46058</v>
          </cell>
          <cell r="C729">
            <v>4015</v>
          </cell>
          <cell r="D729" t="str">
            <v>مينا السيراميك</v>
          </cell>
        </row>
        <row r="730">
          <cell r="A730">
            <v>48</v>
          </cell>
          <cell r="B730">
            <v>46058</v>
          </cell>
          <cell r="C730">
            <v>4015</v>
          </cell>
          <cell r="D730" t="str">
            <v>مينا السيراميك</v>
          </cell>
        </row>
        <row r="731">
          <cell r="A731">
            <v>48</v>
          </cell>
          <cell r="B731">
            <v>46065</v>
          </cell>
          <cell r="C731">
            <v>4015</v>
          </cell>
          <cell r="D731" t="str">
            <v>مينا السيراميك</v>
          </cell>
        </row>
        <row r="732">
          <cell r="A732">
            <v>48</v>
          </cell>
          <cell r="B732">
            <v>46070</v>
          </cell>
          <cell r="C732">
            <v>4015</v>
          </cell>
          <cell r="D732" t="str">
            <v>مينا السيراميك</v>
          </cell>
        </row>
        <row r="733">
          <cell r="A733">
            <v>48</v>
          </cell>
          <cell r="B733">
            <v>46086</v>
          </cell>
          <cell r="C733">
            <v>4015</v>
          </cell>
          <cell r="D733" t="str">
            <v>مينا السيراميك</v>
          </cell>
        </row>
        <row r="734">
          <cell r="A734">
            <v>48</v>
          </cell>
          <cell r="B734">
            <v>46029</v>
          </cell>
          <cell r="C734">
            <v>20</v>
          </cell>
          <cell r="D734" t="str">
            <v xml:space="preserve">الخزينة </v>
          </cell>
        </row>
        <row r="735">
          <cell r="A735">
            <v>48</v>
          </cell>
          <cell r="B735">
            <v>46037</v>
          </cell>
          <cell r="C735">
            <v>20</v>
          </cell>
          <cell r="D735" t="str">
            <v xml:space="preserve">الخزينة </v>
          </cell>
        </row>
        <row r="736">
          <cell r="A736">
            <v>48</v>
          </cell>
          <cell r="B736">
            <v>46044</v>
          </cell>
          <cell r="C736">
            <v>20</v>
          </cell>
          <cell r="D736" t="str">
            <v xml:space="preserve">الخزينة </v>
          </cell>
        </row>
        <row r="737">
          <cell r="A737">
            <v>48</v>
          </cell>
          <cell r="B737">
            <v>46050</v>
          </cell>
          <cell r="C737">
            <v>20</v>
          </cell>
          <cell r="D737" t="str">
            <v xml:space="preserve">الخزينة </v>
          </cell>
        </row>
        <row r="738">
          <cell r="A738">
            <v>48</v>
          </cell>
          <cell r="B738">
            <v>46058</v>
          </cell>
          <cell r="C738">
            <v>20</v>
          </cell>
          <cell r="D738" t="str">
            <v xml:space="preserve">الخزينة </v>
          </cell>
        </row>
        <row r="739">
          <cell r="A739">
            <v>48</v>
          </cell>
          <cell r="B739">
            <v>46058</v>
          </cell>
          <cell r="C739">
            <v>20</v>
          </cell>
          <cell r="D739" t="str">
            <v xml:space="preserve">الخزينة </v>
          </cell>
        </row>
        <row r="740">
          <cell r="A740">
            <v>48</v>
          </cell>
          <cell r="B740">
            <v>46058</v>
          </cell>
          <cell r="C740">
            <v>20</v>
          </cell>
          <cell r="D740" t="str">
            <v xml:space="preserve">الخزينة </v>
          </cell>
        </row>
        <row r="741">
          <cell r="A741">
            <v>48</v>
          </cell>
          <cell r="B741">
            <v>46058</v>
          </cell>
          <cell r="C741">
            <v>20</v>
          </cell>
          <cell r="D741" t="str">
            <v xml:space="preserve">الخزينة </v>
          </cell>
        </row>
        <row r="742">
          <cell r="A742">
            <v>48</v>
          </cell>
          <cell r="B742">
            <v>46065</v>
          </cell>
          <cell r="C742">
            <v>20</v>
          </cell>
          <cell r="D742" t="str">
            <v xml:space="preserve">الخزينة </v>
          </cell>
        </row>
        <row r="743">
          <cell r="A743">
            <v>48</v>
          </cell>
          <cell r="B743">
            <v>46070</v>
          </cell>
          <cell r="C743">
            <v>20</v>
          </cell>
          <cell r="D743" t="str">
            <v xml:space="preserve">الخزينة </v>
          </cell>
        </row>
        <row r="744">
          <cell r="A744">
            <v>48</v>
          </cell>
          <cell r="B744">
            <v>46086</v>
          </cell>
          <cell r="C744">
            <v>20</v>
          </cell>
          <cell r="D744" t="str">
            <v xml:space="preserve">الخزينة </v>
          </cell>
        </row>
        <row r="745">
          <cell r="A745">
            <v>49</v>
          </cell>
          <cell r="B745">
            <v>46040</v>
          </cell>
          <cell r="C745">
            <v>4005</v>
          </cell>
          <cell r="D745" t="str">
            <v>ناصر الهدم</v>
          </cell>
        </row>
        <row r="746">
          <cell r="A746">
            <v>49</v>
          </cell>
          <cell r="B746">
            <v>46070</v>
          </cell>
          <cell r="C746">
            <v>4005</v>
          </cell>
          <cell r="D746" t="str">
            <v>ناصر الهدم</v>
          </cell>
        </row>
        <row r="747">
          <cell r="A747">
            <v>49</v>
          </cell>
          <cell r="B747">
            <v>46121</v>
          </cell>
          <cell r="C747">
            <v>4005</v>
          </cell>
          <cell r="D747" t="str">
            <v>ناصر الهدم</v>
          </cell>
        </row>
        <row r="748">
          <cell r="A748">
            <v>49</v>
          </cell>
          <cell r="B748">
            <v>46156</v>
          </cell>
          <cell r="C748">
            <v>4005</v>
          </cell>
          <cell r="D748" t="str">
            <v>ناصر الهدم</v>
          </cell>
        </row>
        <row r="749">
          <cell r="A749">
            <v>49</v>
          </cell>
          <cell r="B749">
            <v>46163</v>
          </cell>
          <cell r="C749">
            <v>4005</v>
          </cell>
          <cell r="D749" t="str">
            <v>ناصر الهدم</v>
          </cell>
        </row>
        <row r="750">
          <cell r="A750">
            <v>49</v>
          </cell>
          <cell r="B750">
            <v>46040</v>
          </cell>
          <cell r="C750">
            <v>20</v>
          </cell>
          <cell r="D750" t="str">
            <v xml:space="preserve">الخزينة </v>
          </cell>
        </row>
        <row r="751">
          <cell r="A751">
            <v>49</v>
          </cell>
          <cell r="B751">
            <v>46070</v>
          </cell>
          <cell r="C751">
            <v>20</v>
          </cell>
          <cell r="D751" t="str">
            <v xml:space="preserve">الخزينة </v>
          </cell>
        </row>
        <row r="752">
          <cell r="A752">
            <v>49</v>
          </cell>
          <cell r="B752">
            <v>46121</v>
          </cell>
          <cell r="C752">
            <v>20</v>
          </cell>
          <cell r="D752" t="str">
            <v xml:space="preserve">الخزينة </v>
          </cell>
        </row>
        <row r="753">
          <cell r="A753">
            <v>49</v>
          </cell>
          <cell r="B753">
            <v>46156</v>
          </cell>
          <cell r="C753">
            <v>20</v>
          </cell>
          <cell r="D753" t="str">
            <v xml:space="preserve">الخزينة </v>
          </cell>
        </row>
        <row r="754">
          <cell r="A754">
            <v>49</v>
          </cell>
          <cell r="B754">
            <v>46163</v>
          </cell>
          <cell r="C754">
            <v>20</v>
          </cell>
          <cell r="D754" t="str">
            <v xml:space="preserve">الخزينة </v>
          </cell>
        </row>
        <row r="755">
          <cell r="A755">
            <v>50</v>
          </cell>
          <cell r="B755">
            <v>46118</v>
          </cell>
          <cell r="C755">
            <v>4059</v>
          </cell>
          <cell r="D755" t="str">
            <v>نجيب سليم</v>
          </cell>
        </row>
        <row r="756">
          <cell r="A756">
            <v>50</v>
          </cell>
          <cell r="B756">
            <v>46119</v>
          </cell>
          <cell r="C756">
            <v>4059</v>
          </cell>
          <cell r="D756" t="str">
            <v>نجيب سليم</v>
          </cell>
        </row>
        <row r="757">
          <cell r="A757">
            <v>50</v>
          </cell>
          <cell r="B757">
            <v>46126</v>
          </cell>
          <cell r="C757">
            <v>4059</v>
          </cell>
          <cell r="D757" t="str">
            <v>نجيب سليم</v>
          </cell>
        </row>
        <row r="758">
          <cell r="A758">
            <v>50</v>
          </cell>
          <cell r="B758">
            <v>46174</v>
          </cell>
          <cell r="C758">
            <v>4059</v>
          </cell>
          <cell r="D758" t="str">
            <v>نجيب سليم</v>
          </cell>
        </row>
        <row r="759">
          <cell r="A759">
            <v>50</v>
          </cell>
          <cell r="B759">
            <v>46174</v>
          </cell>
          <cell r="C759">
            <v>4059</v>
          </cell>
          <cell r="D759" t="str">
            <v>نجيب سليم</v>
          </cell>
        </row>
        <row r="760">
          <cell r="A760">
            <v>50</v>
          </cell>
          <cell r="B760">
            <v>46186</v>
          </cell>
          <cell r="C760">
            <v>4059</v>
          </cell>
          <cell r="D760" t="str">
            <v>نجيب سليم</v>
          </cell>
        </row>
        <row r="761">
          <cell r="A761">
            <v>50</v>
          </cell>
          <cell r="B761">
            <v>46118</v>
          </cell>
          <cell r="C761">
            <v>20</v>
          </cell>
          <cell r="D761" t="str">
            <v xml:space="preserve">الخزينة </v>
          </cell>
        </row>
        <row r="762">
          <cell r="A762">
            <v>50</v>
          </cell>
          <cell r="B762">
            <v>46119</v>
          </cell>
          <cell r="C762">
            <v>20</v>
          </cell>
          <cell r="D762" t="str">
            <v xml:space="preserve">الخزينة </v>
          </cell>
        </row>
        <row r="763">
          <cell r="A763">
            <v>50</v>
          </cell>
          <cell r="B763">
            <v>46126</v>
          </cell>
          <cell r="C763">
            <v>20</v>
          </cell>
          <cell r="D763" t="str">
            <v xml:space="preserve">الخزينة </v>
          </cell>
        </row>
        <row r="764">
          <cell r="A764">
            <v>50</v>
          </cell>
          <cell r="B764">
            <v>46174</v>
          </cell>
          <cell r="C764">
            <v>20</v>
          </cell>
          <cell r="D764" t="str">
            <v xml:space="preserve">الخزينة </v>
          </cell>
        </row>
        <row r="765">
          <cell r="A765">
            <v>50</v>
          </cell>
          <cell r="B765">
            <v>46174</v>
          </cell>
          <cell r="C765">
            <v>20</v>
          </cell>
          <cell r="D765" t="str">
            <v xml:space="preserve">الخزينة </v>
          </cell>
        </row>
        <row r="766">
          <cell r="A766">
            <v>50</v>
          </cell>
          <cell r="B766">
            <v>46186</v>
          </cell>
          <cell r="C766">
            <v>20</v>
          </cell>
          <cell r="D766" t="str">
            <v xml:space="preserve">الخزينة </v>
          </cell>
        </row>
        <row r="767">
          <cell r="A767">
            <v>51</v>
          </cell>
          <cell r="B767">
            <v>46029</v>
          </cell>
          <cell r="C767">
            <v>4019</v>
          </cell>
          <cell r="D767" t="str">
            <v>هاني السباك</v>
          </cell>
        </row>
        <row r="768">
          <cell r="A768">
            <v>51</v>
          </cell>
          <cell r="B768">
            <v>46065</v>
          </cell>
          <cell r="C768">
            <v>4019</v>
          </cell>
          <cell r="D768" t="str">
            <v>هاني السباك</v>
          </cell>
        </row>
        <row r="769">
          <cell r="A769">
            <v>51</v>
          </cell>
          <cell r="B769">
            <v>46065</v>
          </cell>
          <cell r="C769">
            <v>4019</v>
          </cell>
          <cell r="D769" t="str">
            <v>هاني السباك</v>
          </cell>
        </row>
        <row r="770">
          <cell r="A770">
            <v>51</v>
          </cell>
          <cell r="B770">
            <v>46099</v>
          </cell>
          <cell r="C770">
            <v>4019</v>
          </cell>
          <cell r="D770" t="str">
            <v>هاني السباك</v>
          </cell>
        </row>
        <row r="771">
          <cell r="A771">
            <v>51</v>
          </cell>
          <cell r="B771">
            <v>46099</v>
          </cell>
          <cell r="C771">
            <v>4019</v>
          </cell>
          <cell r="D771" t="str">
            <v>هاني السباك</v>
          </cell>
        </row>
        <row r="772">
          <cell r="A772">
            <v>51</v>
          </cell>
          <cell r="B772">
            <v>46121</v>
          </cell>
          <cell r="C772">
            <v>4019</v>
          </cell>
          <cell r="D772" t="str">
            <v>هاني السباك</v>
          </cell>
        </row>
        <row r="773">
          <cell r="A773">
            <v>51</v>
          </cell>
          <cell r="B773">
            <v>46128</v>
          </cell>
          <cell r="C773">
            <v>4019</v>
          </cell>
          <cell r="D773" t="str">
            <v>هاني السباك</v>
          </cell>
        </row>
        <row r="774">
          <cell r="A774">
            <v>51</v>
          </cell>
          <cell r="B774">
            <v>46128</v>
          </cell>
          <cell r="C774">
            <v>4019</v>
          </cell>
          <cell r="D774" t="str">
            <v>هاني السباك</v>
          </cell>
        </row>
        <row r="775">
          <cell r="A775">
            <v>51</v>
          </cell>
          <cell r="B775">
            <v>46128</v>
          </cell>
          <cell r="C775">
            <v>4019</v>
          </cell>
          <cell r="D775" t="str">
            <v>هاني السباك</v>
          </cell>
        </row>
        <row r="776">
          <cell r="A776">
            <v>51</v>
          </cell>
          <cell r="B776">
            <v>46135</v>
          </cell>
          <cell r="C776">
            <v>4019</v>
          </cell>
          <cell r="D776" t="str">
            <v>هاني السباك</v>
          </cell>
        </row>
        <row r="777">
          <cell r="A777">
            <v>51</v>
          </cell>
          <cell r="B777">
            <v>46148</v>
          </cell>
          <cell r="C777">
            <v>4019</v>
          </cell>
          <cell r="D777" t="str">
            <v>هاني السباك</v>
          </cell>
        </row>
        <row r="778">
          <cell r="A778">
            <v>51</v>
          </cell>
          <cell r="B778">
            <v>46152</v>
          </cell>
          <cell r="C778">
            <v>4019</v>
          </cell>
          <cell r="D778" t="str">
            <v>هاني السباك</v>
          </cell>
        </row>
        <row r="779">
          <cell r="A779">
            <v>51</v>
          </cell>
          <cell r="B779">
            <v>46152</v>
          </cell>
          <cell r="C779">
            <v>4019</v>
          </cell>
          <cell r="D779" t="str">
            <v>هاني السباك</v>
          </cell>
        </row>
        <row r="780">
          <cell r="A780">
            <v>51</v>
          </cell>
          <cell r="B780">
            <v>46159</v>
          </cell>
          <cell r="C780">
            <v>4019</v>
          </cell>
          <cell r="D780" t="str">
            <v>هاني السباك</v>
          </cell>
        </row>
        <row r="781">
          <cell r="A781">
            <v>51</v>
          </cell>
          <cell r="B781">
            <v>46164</v>
          </cell>
          <cell r="C781">
            <v>4019</v>
          </cell>
          <cell r="D781" t="str">
            <v>هاني السباك</v>
          </cell>
        </row>
        <row r="782">
          <cell r="A782">
            <v>51</v>
          </cell>
          <cell r="B782">
            <v>46166</v>
          </cell>
          <cell r="C782">
            <v>4019</v>
          </cell>
          <cell r="D782" t="str">
            <v>هاني السباك</v>
          </cell>
        </row>
        <row r="783">
          <cell r="A783">
            <v>51</v>
          </cell>
          <cell r="B783">
            <v>46166</v>
          </cell>
          <cell r="C783">
            <v>4019</v>
          </cell>
          <cell r="D783" t="str">
            <v>هاني السباك</v>
          </cell>
        </row>
        <row r="784">
          <cell r="A784">
            <v>51</v>
          </cell>
          <cell r="B784">
            <v>46184</v>
          </cell>
          <cell r="C784">
            <v>4019</v>
          </cell>
          <cell r="D784" t="str">
            <v>هاني السباك</v>
          </cell>
        </row>
        <row r="785">
          <cell r="A785">
            <v>51</v>
          </cell>
          <cell r="B785">
            <v>46029</v>
          </cell>
          <cell r="C785">
            <v>20</v>
          </cell>
          <cell r="D785" t="str">
            <v xml:space="preserve">الخزينة </v>
          </cell>
        </row>
        <row r="786">
          <cell r="A786">
            <v>51</v>
          </cell>
          <cell r="B786">
            <v>46065</v>
          </cell>
          <cell r="C786">
            <v>20</v>
          </cell>
          <cell r="D786" t="str">
            <v xml:space="preserve">الخزينة </v>
          </cell>
        </row>
        <row r="787">
          <cell r="A787">
            <v>51</v>
          </cell>
          <cell r="B787">
            <v>46065</v>
          </cell>
          <cell r="C787">
            <v>20</v>
          </cell>
          <cell r="D787" t="str">
            <v xml:space="preserve">الخزينة </v>
          </cell>
        </row>
        <row r="788">
          <cell r="A788">
            <v>51</v>
          </cell>
          <cell r="B788">
            <v>46099</v>
          </cell>
          <cell r="C788">
            <v>20</v>
          </cell>
          <cell r="D788" t="str">
            <v xml:space="preserve">الخزينة </v>
          </cell>
        </row>
        <row r="789">
          <cell r="A789">
            <v>51</v>
          </cell>
          <cell r="B789">
            <v>46099</v>
          </cell>
          <cell r="C789">
            <v>20</v>
          </cell>
          <cell r="D789" t="str">
            <v xml:space="preserve">الخزينة </v>
          </cell>
        </row>
        <row r="790">
          <cell r="A790">
            <v>51</v>
          </cell>
          <cell r="B790">
            <v>46121</v>
          </cell>
          <cell r="C790">
            <v>20</v>
          </cell>
          <cell r="D790" t="str">
            <v xml:space="preserve">الخزينة </v>
          </cell>
        </row>
        <row r="791">
          <cell r="A791">
            <v>51</v>
          </cell>
          <cell r="B791">
            <v>46128</v>
          </cell>
          <cell r="C791">
            <v>20</v>
          </cell>
          <cell r="D791" t="str">
            <v xml:space="preserve">الخزينة </v>
          </cell>
        </row>
        <row r="792">
          <cell r="A792">
            <v>51</v>
          </cell>
          <cell r="B792">
            <v>46128</v>
          </cell>
          <cell r="C792">
            <v>20</v>
          </cell>
          <cell r="D792" t="str">
            <v xml:space="preserve">الخزينة </v>
          </cell>
        </row>
        <row r="793">
          <cell r="A793">
            <v>51</v>
          </cell>
          <cell r="B793">
            <v>46128</v>
          </cell>
          <cell r="C793">
            <v>20</v>
          </cell>
          <cell r="D793" t="str">
            <v xml:space="preserve">الخزينة </v>
          </cell>
        </row>
        <row r="794">
          <cell r="A794">
            <v>51</v>
          </cell>
          <cell r="B794">
            <v>46135</v>
          </cell>
          <cell r="C794">
            <v>20</v>
          </cell>
          <cell r="D794" t="str">
            <v xml:space="preserve">الخزينة </v>
          </cell>
        </row>
        <row r="795">
          <cell r="A795">
            <v>51</v>
          </cell>
          <cell r="B795">
            <v>46148</v>
          </cell>
          <cell r="C795">
            <v>20</v>
          </cell>
          <cell r="D795" t="str">
            <v xml:space="preserve">الخزينة </v>
          </cell>
        </row>
        <row r="796">
          <cell r="A796">
            <v>51</v>
          </cell>
          <cell r="B796">
            <v>46152</v>
          </cell>
          <cell r="C796">
            <v>20</v>
          </cell>
          <cell r="D796" t="str">
            <v xml:space="preserve">الخزينة </v>
          </cell>
        </row>
        <row r="797">
          <cell r="A797">
            <v>51</v>
          </cell>
          <cell r="B797">
            <v>46152</v>
          </cell>
          <cell r="C797">
            <v>20</v>
          </cell>
          <cell r="D797" t="str">
            <v xml:space="preserve">الخزينة </v>
          </cell>
        </row>
        <row r="798">
          <cell r="A798">
            <v>51</v>
          </cell>
          <cell r="B798">
            <v>46159</v>
          </cell>
          <cell r="C798">
            <v>20</v>
          </cell>
          <cell r="D798" t="str">
            <v xml:space="preserve">الخزينة </v>
          </cell>
        </row>
        <row r="799">
          <cell r="A799">
            <v>51</v>
          </cell>
          <cell r="B799">
            <v>46164</v>
          </cell>
          <cell r="C799">
            <v>20</v>
          </cell>
          <cell r="D799" t="str">
            <v xml:space="preserve">الخزينة </v>
          </cell>
        </row>
        <row r="800">
          <cell r="A800">
            <v>51</v>
          </cell>
          <cell r="B800">
            <v>46166</v>
          </cell>
          <cell r="C800">
            <v>20</v>
          </cell>
          <cell r="D800" t="str">
            <v xml:space="preserve">الخزينة </v>
          </cell>
        </row>
        <row r="801">
          <cell r="A801">
            <v>51</v>
          </cell>
          <cell r="B801">
            <v>46166</v>
          </cell>
          <cell r="C801">
            <v>20</v>
          </cell>
          <cell r="D801" t="str">
            <v xml:space="preserve">الخزينة </v>
          </cell>
        </row>
        <row r="802">
          <cell r="A802">
            <v>51</v>
          </cell>
          <cell r="B802">
            <v>46184</v>
          </cell>
          <cell r="C802">
            <v>20</v>
          </cell>
          <cell r="D802" t="str">
            <v xml:space="preserve">الخزينة </v>
          </cell>
        </row>
        <row r="803">
          <cell r="A803">
            <v>52</v>
          </cell>
          <cell r="B803">
            <v>46039</v>
          </cell>
          <cell r="C803">
            <v>4016</v>
          </cell>
          <cell r="D803" t="str">
            <v>ياسر النجار</v>
          </cell>
        </row>
        <row r="804">
          <cell r="A804">
            <v>52</v>
          </cell>
          <cell r="B804">
            <v>46053</v>
          </cell>
          <cell r="C804">
            <v>4016</v>
          </cell>
          <cell r="D804" t="str">
            <v>ياسر النجار</v>
          </cell>
        </row>
        <row r="805">
          <cell r="A805">
            <v>52</v>
          </cell>
          <cell r="B805">
            <v>46039</v>
          </cell>
          <cell r="C805">
            <v>20</v>
          </cell>
          <cell r="D805" t="str">
            <v xml:space="preserve">الخزينة </v>
          </cell>
        </row>
        <row r="806">
          <cell r="A806">
            <v>52</v>
          </cell>
          <cell r="B806">
            <v>46053</v>
          </cell>
          <cell r="C806">
            <v>20</v>
          </cell>
          <cell r="D806" t="str">
            <v xml:space="preserve">الخزينة </v>
          </cell>
        </row>
        <row r="807">
          <cell r="A807">
            <v>53</v>
          </cell>
          <cell r="B807">
            <v>46027</v>
          </cell>
          <cell r="C807">
            <v>99</v>
          </cell>
          <cell r="D807" t="str">
            <v xml:space="preserve">تكاليف ادارية وعمومية </v>
          </cell>
        </row>
        <row r="808">
          <cell r="A808">
            <v>53</v>
          </cell>
          <cell r="B808">
            <v>46034</v>
          </cell>
          <cell r="C808">
            <v>99</v>
          </cell>
          <cell r="D808" t="str">
            <v xml:space="preserve">تكاليف ادارية وعمومية </v>
          </cell>
        </row>
        <row r="809">
          <cell r="A809">
            <v>53</v>
          </cell>
          <cell r="B809">
            <v>46036</v>
          </cell>
          <cell r="C809">
            <v>99</v>
          </cell>
          <cell r="D809" t="str">
            <v xml:space="preserve">تكاليف ادارية وعمومية </v>
          </cell>
        </row>
        <row r="810">
          <cell r="A810">
            <v>53</v>
          </cell>
          <cell r="B810">
            <v>46037</v>
          </cell>
          <cell r="C810">
            <v>99</v>
          </cell>
          <cell r="D810" t="str">
            <v xml:space="preserve">تكاليف ادارية وعمومية </v>
          </cell>
        </row>
        <row r="811">
          <cell r="A811">
            <v>53</v>
          </cell>
          <cell r="B811">
            <v>46042</v>
          </cell>
          <cell r="C811">
            <v>99</v>
          </cell>
          <cell r="D811" t="str">
            <v xml:space="preserve">تكاليف ادارية وعمومية </v>
          </cell>
        </row>
        <row r="812">
          <cell r="A812">
            <v>53</v>
          </cell>
          <cell r="B812">
            <v>46044</v>
          </cell>
          <cell r="C812">
            <v>99</v>
          </cell>
          <cell r="D812" t="str">
            <v xml:space="preserve">تكاليف ادارية وعمومية </v>
          </cell>
        </row>
        <row r="813">
          <cell r="A813">
            <v>53</v>
          </cell>
          <cell r="B813">
            <v>46046</v>
          </cell>
          <cell r="C813">
            <v>99</v>
          </cell>
          <cell r="D813" t="str">
            <v xml:space="preserve">تكاليف ادارية وعمومية </v>
          </cell>
        </row>
        <row r="814">
          <cell r="A814">
            <v>53</v>
          </cell>
          <cell r="B814">
            <v>46047</v>
          </cell>
          <cell r="C814">
            <v>99</v>
          </cell>
          <cell r="D814" t="str">
            <v xml:space="preserve">تكاليف ادارية وعمومية </v>
          </cell>
        </row>
        <row r="815">
          <cell r="A815">
            <v>53</v>
          </cell>
          <cell r="B815">
            <v>46049</v>
          </cell>
          <cell r="C815">
            <v>99</v>
          </cell>
          <cell r="D815" t="str">
            <v xml:space="preserve">تكاليف ادارية وعمومية </v>
          </cell>
        </row>
        <row r="816">
          <cell r="A816">
            <v>53</v>
          </cell>
          <cell r="B816">
            <v>46050</v>
          </cell>
          <cell r="C816">
            <v>99</v>
          </cell>
          <cell r="D816" t="str">
            <v xml:space="preserve">تكاليف ادارية وعمومية </v>
          </cell>
        </row>
        <row r="817">
          <cell r="A817">
            <v>53</v>
          </cell>
          <cell r="B817">
            <v>46062</v>
          </cell>
          <cell r="C817">
            <v>99</v>
          </cell>
          <cell r="D817" t="str">
            <v xml:space="preserve">تكاليف ادارية وعمومية </v>
          </cell>
        </row>
        <row r="818">
          <cell r="A818">
            <v>53</v>
          </cell>
          <cell r="B818">
            <v>46062</v>
          </cell>
          <cell r="C818">
            <v>99</v>
          </cell>
          <cell r="D818" t="str">
            <v xml:space="preserve">تكاليف ادارية وعمومية </v>
          </cell>
        </row>
        <row r="819">
          <cell r="A819">
            <v>53</v>
          </cell>
          <cell r="B819">
            <v>46063</v>
          </cell>
          <cell r="C819">
            <v>99</v>
          </cell>
          <cell r="D819" t="str">
            <v xml:space="preserve">تكاليف ادارية وعمومية </v>
          </cell>
        </row>
        <row r="820">
          <cell r="A820">
            <v>53</v>
          </cell>
          <cell r="B820">
            <v>46064</v>
          </cell>
          <cell r="C820">
            <v>99</v>
          </cell>
          <cell r="D820" t="str">
            <v xml:space="preserve">تكاليف ادارية وعمومية </v>
          </cell>
        </row>
        <row r="821">
          <cell r="A821">
            <v>53</v>
          </cell>
          <cell r="B821">
            <v>46064</v>
          </cell>
          <cell r="C821">
            <v>99</v>
          </cell>
          <cell r="D821" t="str">
            <v xml:space="preserve">تكاليف ادارية وعمومية </v>
          </cell>
        </row>
        <row r="822">
          <cell r="A822">
            <v>53</v>
          </cell>
          <cell r="B822">
            <v>46068</v>
          </cell>
          <cell r="C822">
            <v>99</v>
          </cell>
          <cell r="D822" t="str">
            <v xml:space="preserve">تكاليف ادارية وعمومية </v>
          </cell>
        </row>
        <row r="823">
          <cell r="A823">
            <v>53</v>
          </cell>
          <cell r="B823">
            <v>46069</v>
          </cell>
          <cell r="C823">
            <v>99</v>
          </cell>
          <cell r="D823" t="str">
            <v xml:space="preserve">تكاليف ادارية وعمومية </v>
          </cell>
        </row>
        <row r="824">
          <cell r="A824">
            <v>53</v>
          </cell>
          <cell r="B824">
            <v>46069</v>
          </cell>
          <cell r="C824">
            <v>99</v>
          </cell>
          <cell r="D824" t="str">
            <v xml:space="preserve">تكاليف ادارية وعمومية </v>
          </cell>
        </row>
        <row r="825">
          <cell r="A825">
            <v>53</v>
          </cell>
          <cell r="B825">
            <v>46070</v>
          </cell>
          <cell r="C825">
            <v>99</v>
          </cell>
          <cell r="D825" t="str">
            <v xml:space="preserve">تكاليف ادارية وعمومية </v>
          </cell>
        </row>
        <row r="826">
          <cell r="A826">
            <v>53</v>
          </cell>
          <cell r="B826">
            <v>46071</v>
          </cell>
          <cell r="C826">
            <v>99</v>
          </cell>
          <cell r="D826" t="str">
            <v xml:space="preserve">تكاليف ادارية وعمومية </v>
          </cell>
        </row>
        <row r="827">
          <cell r="A827">
            <v>53</v>
          </cell>
          <cell r="B827">
            <v>46077</v>
          </cell>
          <cell r="C827">
            <v>99</v>
          </cell>
          <cell r="D827" t="str">
            <v xml:space="preserve">تكاليف ادارية وعمومية </v>
          </cell>
        </row>
        <row r="828">
          <cell r="A828">
            <v>53</v>
          </cell>
          <cell r="B828">
            <v>46079</v>
          </cell>
          <cell r="C828">
            <v>20</v>
          </cell>
          <cell r="D828" t="str">
            <v xml:space="preserve">الخزينة </v>
          </cell>
        </row>
        <row r="829">
          <cell r="A829">
            <v>53</v>
          </cell>
          <cell r="B829">
            <v>46085</v>
          </cell>
          <cell r="C829">
            <v>99</v>
          </cell>
          <cell r="D829" t="str">
            <v xml:space="preserve">تكاليف ادارية وعمومية </v>
          </cell>
        </row>
        <row r="830">
          <cell r="A830">
            <v>53</v>
          </cell>
          <cell r="B830">
            <v>46089</v>
          </cell>
          <cell r="C830">
            <v>99</v>
          </cell>
          <cell r="D830" t="str">
            <v xml:space="preserve">تكاليف ادارية وعمومية </v>
          </cell>
        </row>
        <row r="831">
          <cell r="A831">
            <v>53</v>
          </cell>
          <cell r="B831">
            <v>46090</v>
          </cell>
          <cell r="C831">
            <v>99</v>
          </cell>
          <cell r="D831" t="str">
            <v xml:space="preserve">تكاليف ادارية وعمومية </v>
          </cell>
        </row>
        <row r="832">
          <cell r="A832">
            <v>53</v>
          </cell>
          <cell r="B832">
            <v>46091</v>
          </cell>
          <cell r="C832">
            <v>99</v>
          </cell>
          <cell r="D832" t="str">
            <v xml:space="preserve">تكاليف ادارية وعمومية </v>
          </cell>
        </row>
        <row r="833">
          <cell r="A833">
            <v>53</v>
          </cell>
          <cell r="B833">
            <v>46098</v>
          </cell>
          <cell r="C833">
            <v>99</v>
          </cell>
          <cell r="D833" t="str">
            <v xml:space="preserve">تكاليف ادارية وعمومية </v>
          </cell>
        </row>
        <row r="834">
          <cell r="A834">
            <v>53</v>
          </cell>
          <cell r="B834">
            <v>46098</v>
          </cell>
          <cell r="C834">
            <v>99</v>
          </cell>
          <cell r="D834" t="str">
            <v xml:space="preserve">تكاليف ادارية وعمومية </v>
          </cell>
        </row>
        <row r="835">
          <cell r="A835">
            <v>53</v>
          </cell>
          <cell r="B835">
            <v>46099</v>
          </cell>
          <cell r="C835">
            <v>99</v>
          </cell>
          <cell r="D835" t="str">
            <v xml:space="preserve">تكاليف ادارية وعمومية </v>
          </cell>
        </row>
        <row r="836">
          <cell r="A836">
            <v>53</v>
          </cell>
          <cell r="B836">
            <v>46109</v>
          </cell>
          <cell r="C836">
            <v>99</v>
          </cell>
          <cell r="D836" t="str">
            <v xml:space="preserve">تكاليف ادارية وعمومية </v>
          </cell>
        </row>
        <row r="837">
          <cell r="A837">
            <v>53</v>
          </cell>
          <cell r="B837">
            <v>46111</v>
          </cell>
          <cell r="C837">
            <v>99</v>
          </cell>
          <cell r="D837" t="str">
            <v xml:space="preserve">تكاليف ادارية وعمومية </v>
          </cell>
        </row>
        <row r="838">
          <cell r="A838">
            <v>53</v>
          </cell>
          <cell r="B838">
            <v>46111</v>
          </cell>
          <cell r="C838">
            <v>99</v>
          </cell>
          <cell r="D838" t="str">
            <v xml:space="preserve">تكاليف ادارية وعمومية </v>
          </cell>
        </row>
        <row r="839">
          <cell r="A839">
            <v>53</v>
          </cell>
          <cell r="B839">
            <v>46111</v>
          </cell>
          <cell r="C839">
            <v>99</v>
          </cell>
          <cell r="D839" t="str">
            <v xml:space="preserve">تكاليف ادارية وعمومية </v>
          </cell>
        </row>
        <row r="840">
          <cell r="A840">
            <v>53</v>
          </cell>
          <cell r="B840">
            <v>46111</v>
          </cell>
          <cell r="C840">
            <v>99</v>
          </cell>
          <cell r="D840" t="str">
            <v xml:space="preserve">تكاليف ادارية وعمومية </v>
          </cell>
        </row>
        <row r="841">
          <cell r="A841">
            <v>53</v>
          </cell>
          <cell r="B841">
            <v>46113</v>
          </cell>
          <cell r="C841">
            <v>99</v>
          </cell>
          <cell r="D841" t="str">
            <v xml:space="preserve">تكاليف ادارية وعمومية </v>
          </cell>
        </row>
        <row r="842">
          <cell r="A842">
            <v>53</v>
          </cell>
          <cell r="B842">
            <v>46116</v>
          </cell>
          <cell r="C842">
            <v>99</v>
          </cell>
          <cell r="D842" t="str">
            <v xml:space="preserve">تكاليف ادارية وعمومية </v>
          </cell>
        </row>
        <row r="843">
          <cell r="A843">
            <v>53</v>
          </cell>
          <cell r="B843">
            <v>46118</v>
          </cell>
          <cell r="C843">
            <v>99</v>
          </cell>
          <cell r="D843" t="str">
            <v xml:space="preserve">تكاليف ادارية وعمومية </v>
          </cell>
        </row>
        <row r="844">
          <cell r="A844">
            <v>53</v>
          </cell>
          <cell r="B844">
            <v>46118</v>
          </cell>
          <cell r="C844">
            <v>99</v>
          </cell>
          <cell r="D844" t="str">
            <v xml:space="preserve">تكاليف ادارية وعمومية </v>
          </cell>
        </row>
        <row r="845">
          <cell r="A845">
            <v>53</v>
          </cell>
          <cell r="B845">
            <v>46121</v>
          </cell>
          <cell r="C845">
            <v>99</v>
          </cell>
          <cell r="D845" t="str">
            <v xml:space="preserve">تكاليف ادارية وعمومية </v>
          </cell>
        </row>
        <row r="846">
          <cell r="A846">
            <v>53</v>
          </cell>
          <cell r="B846">
            <v>46121</v>
          </cell>
          <cell r="C846">
            <v>99</v>
          </cell>
          <cell r="D846" t="str">
            <v xml:space="preserve">تكاليف ادارية وعمومية </v>
          </cell>
        </row>
        <row r="847">
          <cell r="A847">
            <v>53</v>
          </cell>
          <cell r="B847">
            <v>46121</v>
          </cell>
          <cell r="C847">
            <v>99</v>
          </cell>
          <cell r="D847" t="str">
            <v xml:space="preserve">تكاليف ادارية وعمومية </v>
          </cell>
        </row>
        <row r="848">
          <cell r="A848">
            <v>53</v>
          </cell>
          <cell r="B848">
            <v>46121</v>
          </cell>
          <cell r="C848">
            <v>99</v>
          </cell>
          <cell r="D848" t="str">
            <v xml:space="preserve">تكاليف ادارية وعمومية </v>
          </cell>
        </row>
        <row r="849">
          <cell r="A849">
            <v>53</v>
          </cell>
          <cell r="B849">
            <v>46121</v>
          </cell>
          <cell r="C849">
            <v>99</v>
          </cell>
          <cell r="D849" t="str">
            <v xml:space="preserve">تكاليف ادارية وعمومية </v>
          </cell>
        </row>
        <row r="850">
          <cell r="A850">
            <v>53</v>
          </cell>
          <cell r="B850">
            <v>46121</v>
          </cell>
          <cell r="C850">
            <v>99</v>
          </cell>
          <cell r="D850" t="str">
            <v xml:space="preserve">تكاليف ادارية وعمومية </v>
          </cell>
        </row>
        <row r="851">
          <cell r="A851">
            <v>53</v>
          </cell>
          <cell r="B851">
            <v>46123</v>
          </cell>
          <cell r="C851">
            <v>99</v>
          </cell>
          <cell r="D851" t="str">
            <v xml:space="preserve">تكاليف ادارية وعمومية </v>
          </cell>
        </row>
        <row r="852">
          <cell r="A852">
            <v>53</v>
          </cell>
          <cell r="B852">
            <v>46123</v>
          </cell>
          <cell r="C852">
            <v>99</v>
          </cell>
          <cell r="D852" t="str">
            <v xml:space="preserve">تكاليف ادارية وعمومية </v>
          </cell>
        </row>
        <row r="853">
          <cell r="A853">
            <v>53</v>
          </cell>
          <cell r="B853">
            <v>46124</v>
          </cell>
          <cell r="C853">
            <v>99</v>
          </cell>
          <cell r="D853" t="str">
            <v xml:space="preserve">تكاليف ادارية وعمومية </v>
          </cell>
        </row>
        <row r="854">
          <cell r="A854">
            <v>53</v>
          </cell>
          <cell r="B854">
            <v>46126</v>
          </cell>
          <cell r="C854">
            <v>99</v>
          </cell>
          <cell r="D854" t="str">
            <v xml:space="preserve">تكاليف ادارية وعمومية </v>
          </cell>
        </row>
        <row r="855">
          <cell r="A855">
            <v>53</v>
          </cell>
          <cell r="B855">
            <v>46127</v>
          </cell>
          <cell r="C855">
            <v>99</v>
          </cell>
          <cell r="D855" t="str">
            <v xml:space="preserve">تكاليف ادارية وعمومية </v>
          </cell>
        </row>
        <row r="856">
          <cell r="A856">
            <v>53</v>
          </cell>
          <cell r="B856">
            <v>46127</v>
          </cell>
          <cell r="C856">
            <v>99</v>
          </cell>
          <cell r="D856" t="str">
            <v xml:space="preserve">تكاليف ادارية وعمومية </v>
          </cell>
        </row>
        <row r="857">
          <cell r="A857">
            <v>53</v>
          </cell>
          <cell r="B857">
            <v>46132</v>
          </cell>
          <cell r="C857">
            <v>99</v>
          </cell>
          <cell r="D857" t="str">
            <v xml:space="preserve">تكاليف ادارية وعمومية </v>
          </cell>
        </row>
        <row r="858">
          <cell r="A858">
            <v>53</v>
          </cell>
          <cell r="B858">
            <v>46132</v>
          </cell>
          <cell r="C858">
            <v>99</v>
          </cell>
          <cell r="D858" t="str">
            <v xml:space="preserve">تكاليف ادارية وعمومية </v>
          </cell>
        </row>
        <row r="859">
          <cell r="A859">
            <v>53</v>
          </cell>
          <cell r="B859">
            <v>46132</v>
          </cell>
          <cell r="C859">
            <v>99</v>
          </cell>
          <cell r="D859" t="str">
            <v xml:space="preserve">تكاليف ادارية وعمومية </v>
          </cell>
        </row>
        <row r="860">
          <cell r="A860">
            <v>53</v>
          </cell>
          <cell r="B860">
            <v>46133</v>
          </cell>
          <cell r="C860">
            <v>99</v>
          </cell>
          <cell r="D860" t="str">
            <v xml:space="preserve">تكاليف ادارية وعمومية </v>
          </cell>
        </row>
        <row r="861">
          <cell r="A861">
            <v>53</v>
          </cell>
          <cell r="B861">
            <v>46133</v>
          </cell>
          <cell r="C861">
            <v>99</v>
          </cell>
          <cell r="D861" t="str">
            <v xml:space="preserve">تكاليف ادارية وعمومية </v>
          </cell>
        </row>
        <row r="862">
          <cell r="A862">
            <v>53</v>
          </cell>
          <cell r="B862">
            <v>46133</v>
          </cell>
          <cell r="C862">
            <v>99</v>
          </cell>
          <cell r="D862" t="str">
            <v xml:space="preserve">تكاليف ادارية وعمومية </v>
          </cell>
        </row>
        <row r="863">
          <cell r="A863">
            <v>53</v>
          </cell>
          <cell r="B863">
            <v>46133</v>
          </cell>
          <cell r="C863">
            <v>99</v>
          </cell>
          <cell r="D863" t="str">
            <v xml:space="preserve">تكاليف ادارية وعمومية </v>
          </cell>
        </row>
        <row r="864">
          <cell r="A864">
            <v>53</v>
          </cell>
          <cell r="B864">
            <v>46133</v>
          </cell>
          <cell r="C864">
            <v>99</v>
          </cell>
          <cell r="D864" t="str">
            <v xml:space="preserve">تكاليف ادارية وعمومية </v>
          </cell>
        </row>
        <row r="865">
          <cell r="A865">
            <v>53</v>
          </cell>
          <cell r="B865">
            <v>46133</v>
          </cell>
          <cell r="C865">
            <v>99</v>
          </cell>
          <cell r="D865" t="str">
            <v xml:space="preserve">تكاليف ادارية وعمومية </v>
          </cell>
        </row>
        <row r="866">
          <cell r="A866">
            <v>53</v>
          </cell>
          <cell r="B866">
            <v>46134</v>
          </cell>
          <cell r="C866">
            <v>99</v>
          </cell>
          <cell r="D866" t="str">
            <v xml:space="preserve">تكاليف ادارية وعمومية </v>
          </cell>
        </row>
        <row r="867">
          <cell r="A867">
            <v>53</v>
          </cell>
          <cell r="B867">
            <v>46134</v>
          </cell>
          <cell r="C867">
            <v>99</v>
          </cell>
          <cell r="D867" t="str">
            <v xml:space="preserve">تكاليف ادارية وعمومية </v>
          </cell>
        </row>
        <row r="868">
          <cell r="A868">
            <v>53</v>
          </cell>
          <cell r="B868">
            <v>46135</v>
          </cell>
          <cell r="C868">
            <v>99</v>
          </cell>
          <cell r="D868" t="str">
            <v xml:space="preserve">تكاليف ادارية وعمومية </v>
          </cell>
        </row>
        <row r="869">
          <cell r="A869">
            <v>53</v>
          </cell>
          <cell r="B869">
            <v>46135</v>
          </cell>
          <cell r="C869">
            <v>99</v>
          </cell>
          <cell r="D869" t="str">
            <v xml:space="preserve">تكاليف ادارية وعمومية </v>
          </cell>
        </row>
        <row r="870">
          <cell r="A870">
            <v>53</v>
          </cell>
          <cell r="B870">
            <v>46138</v>
          </cell>
          <cell r="C870">
            <v>99</v>
          </cell>
          <cell r="D870" t="str">
            <v xml:space="preserve">تكاليف ادارية وعمومية </v>
          </cell>
        </row>
        <row r="871">
          <cell r="A871">
            <v>53</v>
          </cell>
          <cell r="B871">
            <v>46139</v>
          </cell>
          <cell r="C871">
            <v>99</v>
          </cell>
          <cell r="D871" t="str">
            <v xml:space="preserve">تكاليف ادارية وعمومية </v>
          </cell>
        </row>
        <row r="872">
          <cell r="A872">
            <v>53</v>
          </cell>
          <cell r="B872">
            <v>46139</v>
          </cell>
          <cell r="C872">
            <v>99</v>
          </cell>
          <cell r="D872" t="str">
            <v xml:space="preserve">تكاليف ادارية وعمومية </v>
          </cell>
        </row>
        <row r="873">
          <cell r="A873">
            <v>53</v>
          </cell>
          <cell r="B873">
            <v>46142</v>
          </cell>
          <cell r="C873">
            <v>99</v>
          </cell>
          <cell r="D873" t="str">
            <v xml:space="preserve">تكاليف ادارية وعمومية </v>
          </cell>
        </row>
        <row r="874">
          <cell r="A874">
            <v>53</v>
          </cell>
          <cell r="B874">
            <v>46144</v>
          </cell>
          <cell r="C874">
            <v>99</v>
          </cell>
          <cell r="D874" t="str">
            <v xml:space="preserve">تكاليف ادارية وعمومية </v>
          </cell>
        </row>
        <row r="875">
          <cell r="A875">
            <v>53</v>
          </cell>
          <cell r="B875">
            <v>46144</v>
          </cell>
          <cell r="C875">
            <v>99</v>
          </cell>
          <cell r="D875" t="str">
            <v xml:space="preserve">تكاليف ادارية وعمومية </v>
          </cell>
        </row>
        <row r="876">
          <cell r="A876">
            <v>53</v>
          </cell>
          <cell r="B876">
            <v>46144</v>
          </cell>
          <cell r="C876">
            <v>99</v>
          </cell>
          <cell r="D876" t="str">
            <v xml:space="preserve">تكاليف ادارية وعمومية </v>
          </cell>
        </row>
        <row r="877">
          <cell r="A877">
            <v>53</v>
          </cell>
          <cell r="B877">
            <v>46144</v>
          </cell>
          <cell r="C877">
            <v>99</v>
          </cell>
          <cell r="D877" t="str">
            <v xml:space="preserve">تكاليف ادارية وعمومية </v>
          </cell>
        </row>
        <row r="878">
          <cell r="A878">
            <v>53</v>
          </cell>
          <cell r="B878">
            <v>46145</v>
          </cell>
          <cell r="C878">
            <v>99</v>
          </cell>
          <cell r="D878" t="str">
            <v xml:space="preserve">تكاليف ادارية وعمومية </v>
          </cell>
        </row>
        <row r="879">
          <cell r="A879">
            <v>53</v>
          </cell>
          <cell r="B879">
            <v>46146</v>
          </cell>
          <cell r="C879">
            <v>99</v>
          </cell>
          <cell r="D879" t="str">
            <v xml:space="preserve">تكاليف ادارية وعمومية </v>
          </cell>
        </row>
        <row r="880">
          <cell r="A880">
            <v>53</v>
          </cell>
          <cell r="B880">
            <v>46146</v>
          </cell>
          <cell r="C880">
            <v>99</v>
          </cell>
          <cell r="D880" t="str">
            <v xml:space="preserve">تكاليف ادارية وعمومية </v>
          </cell>
        </row>
        <row r="881">
          <cell r="A881">
            <v>53</v>
          </cell>
          <cell r="B881">
            <v>46147</v>
          </cell>
          <cell r="C881">
            <v>99</v>
          </cell>
          <cell r="D881" t="str">
            <v xml:space="preserve">تكاليف ادارية وعمومية </v>
          </cell>
        </row>
        <row r="882">
          <cell r="A882">
            <v>53</v>
          </cell>
          <cell r="B882">
            <v>46147</v>
          </cell>
          <cell r="C882">
            <v>99</v>
          </cell>
          <cell r="D882" t="str">
            <v xml:space="preserve">تكاليف ادارية وعمومية </v>
          </cell>
        </row>
        <row r="883">
          <cell r="A883">
            <v>53</v>
          </cell>
          <cell r="B883">
            <v>46151</v>
          </cell>
          <cell r="C883">
            <v>99</v>
          </cell>
          <cell r="D883" t="str">
            <v xml:space="preserve">تكاليف ادارية وعمومية </v>
          </cell>
        </row>
        <row r="884">
          <cell r="A884">
            <v>53</v>
          </cell>
          <cell r="B884">
            <v>46151</v>
          </cell>
          <cell r="C884">
            <v>99</v>
          </cell>
          <cell r="D884" t="str">
            <v xml:space="preserve">تكاليف ادارية وعمومية </v>
          </cell>
        </row>
        <row r="885">
          <cell r="A885">
            <v>53</v>
          </cell>
          <cell r="B885">
            <v>46151</v>
          </cell>
          <cell r="C885">
            <v>99</v>
          </cell>
          <cell r="D885" t="str">
            <v xml:space="preserve">تكاليف ادارية وعمومية </v>
          </cell>
        </row>
        <row r="886">
          <cell r="A886">
            <v>53</v>
          </cell>
          <cell r="B886">
            <v>46151</v>
          </cell>
          <cell r="C886">
            <v>99</v>
          </cell>
          <cell r="D886" t="str">
            <v xml:space="preserve">تكاليف ادارية وعمومية </v>
          </cell>
        </row>
        <row r="887">
          <cell r="A887">
            <v>53</v>
          </cell>
          <cell r="B887">
            <v>46153</v>
          </cell>
          <cell r="C887">
            <v>99</v>
          </cell>
          <cell r="D887" t="str">
            <v xml:space="preserve">تكاليف ادارية وعمومية </v>
          </cell>
        </row>
        <row r="888">
          <cell r="A888">
            <v>53</v>
          </cell>
          <cell r="B888">
            <v>46156</v>
          </cell>
          <cell r="C888">
            <v>99</v>
          </cell>
          <cell r="D888" t="str">
            <v xml:space="preserve">تكاليف ادارية وعمومية </v>
          </cell>
        </row>
        <row r="889">
          <cell r="A889">
            <v>53</v>
          </cell>
          <cell r="B889">
            <v>46160</v>
          </cell>
          <cell r="C889">
            <v>99</v>
          </cell>
          <cell r="D889" t="str">
            <v xml:space="preserve">تكاليف ادارية وعمومية </v>
          </cell>
        </row>
        <row r="890">
          <cell r="A890">
            <v>53</v>
          </cell>
          <cell r="B890">
            <v>46161</v>
          </cell>
          <cell r="C890">
            <v>99</v>
          </cell>
          <cell r="D890" t="str">
            <v xml:space="preserve">تكاليف ادارية وعمومية </v>
          </cell>
        </row>
        <row r="891">
          <cell r="A891">
            <v>53</v>
          </cell>
          <cell r="B891">
            <v>46161</v>
          </cell>
          <cell r="C891">
            <v>99</v>
          </cell>
          <cell r="D891" t="str">
            <v xml:space="preserve">تكاليف ادارية وعمومية </v>
          </cell>
        </row>
        <row r="892">
          <cell r="A892">
            <v>53</v>
          </cell>
          <cell r="B892">
            <v>46161</v>
          </cell>
          <cell r="C892">
            <v>99</v>
          </cell>
          <cell r="D892" t="str">
            <v xml:space="preserve">تكاليف ادارية وعمومية </v>
          </cell>
        </row>
        <row r="893">
          <cell r="A893">
            <v>53</v>
          </cell>
          <cell r="B893">
            <v>46163</v>
          </cell>
          <cell r="C893">
            <v>99</v>
          </cell>
          <cell r="D893" t="str">
            <v xml:space="preserve">تكاليف ادارية وعمومية </v>
          </cell>
        </row>
        <row r="894">
          <cell r="A894">
            <v>53</v>
          </cell>
          <cell r="B894">
            <v>46174</v>
          </cell>
          <cell r="C894">
            <v>99</v>
          </cell>
          <cell r="D894" t="str">
            <v xml:space="preserve">تكاليف ادارية وعمومية </v>
          </cell>
        </row>
        <row r="895">
          <cell r="A895">
            <v>53</v>
          </cell>
          <cell r="B895">
            <v>46174</v>
          </cell>
          <cell r="C895">
            <v>99</v>
          </cell>
          <cell r="D895" t="str">
            <v xml:space="preserve">تكاليف ادارية وعمومية </v>
          </cell>
        </row>
        <row r="896">
          <cell r="A896">
            <v>53</v>
          </cell>
          <cell r="B896">
            <v>46174</v>
          </cell>
          <cell r="C896">
            <v>99</v>
          </cell>
          <cell r="D896" t="str">
            <v xml:space="preserve">تكاليف ادارية وعمومية </v>
          </cell>
        </row>
        <row r="897">
          <cell r="A897">
            <v>53</v>
          </cell>
          <cell r="B897">
            <v>46176</v>
          </cell>
          <cell r="C897">
            <v>99</v>
          </cell>
          <cell r="D897" t="str">
            <v xml:space="preserve">تكاليف ادارية وعمومية </v>
          </cell>
        </row>
        <row r="898">
          <cell r="A898">
            <v>53</v>
          </cell>
          <cell r="B898">
            <v>46179</v>
          </cell>
          <cell r="C898">
            <v>99</v>
          </cell>
          <cell r="D898" t="str">
            <v xml:space="preserve">تكاليف ادارية وعمومية </v>
          </cell>
        </row>
        <row r="899">
          <cell r="A899">
            <v>53</v>
          </cell>
          <cell r="B899">
            <v>46179</v>
          </cell>
          <cell r="C899">
            <v>99</v>
          </cell>
          <cell r="D899" t="str">
            <v xml:space="preserve">تكاليف ادارية وعمومية </v>
          </cell>
        </row>
        <row r="900">
          <cell r="A900">
            <v>53</v>
          </cell>
          <cell r="B900">
            <v>46181</v>
          </cell>
          <cell r="C900">
            <v>99</v>
          </cell>
          <cell r="D900" t="str">
            <v xml:space="preserve">تكاليف ادارية وعمومية </v>
          </cell>
        </row>
        <row r="901">
          <cell r="A901">
            <v>53</v>
          </cell>
          <cell r="B901">
            <v>46182</v>
          </cell>
          <cell r="C901">
            <v>99</v>
          </cell>
          <cell r="D901" t="str">
            <v xml:space="preserve">تكاليف ادارية وعمومية </v>
          </cell>
        </row>
        <row r="902">
          <cell r="A902">
            <v>53</v>
          </cell>
          <cell r="B902">
            <v>46184</v>
          </cell>
          <cell r="C902">
            <v>99</v>
          </cell>
          <cell r="D902" t="str">
            <v xml:space="preserve">تكاليف ادارية وعمومية </v>
          </cell>
        </row>
        <row r="903">
          <cell r="A903">
            <v>53</v>
          </cell>
          <cell r="B903">
            <v>46186</v>
          </cell>
          <cell r="C903">
            <v>99</v>
          </cell>
          <cell r="D903" t="str">
            <v xml:space="preserve">تكاليف ادارية وعمومية </v>
          </cell>
        </row>
        <row r="904">
          <cell r="A904">
            <v>53</v>
          </cell>
          <cell r="B904">
            <v>46027</v>
          </cell>
          <cell r="C904">
            <v>20</v>
          </cell>
          <cell r="D904" t="str">
            <v xml:space="preserve">الخزينة </v>
          </cell>
        </row>
        <row r="905">
          <cell r="A905">
            <v>53</v>
          </cell>
          <cell r="B905">
            <v>46034</v>
          </cell>
          <cell r="C905">
            <v>20</v>
          </cell>
          <cell r="D905" t="str">
            <v xml:space="preserve">الخزينة </v>
          </cell>
        </row>
        <row r="906">
          <cell r="A906">
            <v>53</v>
          </cell>
          <cell r="B906">
            <v>46036</v>
          </cell>
          <cell r="C906">
            <v>20</v>
          </cell>
          <cell r="D906" t="str">
            <v xml:space="preserve">الخزينة </v>
          </cell>
        </row>
        <row r="907">
          <cell r="A907">
            <v>53</v>
          </cell>
          <cell r="B907">
            <v>46037</v>
          </cell>
          <cell r="C907">
            <v>20</v>
          </cell>
          <cell r="D907" t="str">
            <v xml:space="preserve">الخزينة </v>
          </cell>
        </row>
        <row r="908">
          <cell r="A908">
            <v>53</v>
          </cell>
          <cell r="B908">
            <v>46042</v>
          </cell>
          <cell r="C908">
            <v>20</v>
          </cell>
          <cell r="D908" t="str">
            <v xml:space="preserve">الخزينة </v>
          </cell>
        </row>
        <row r="909">
          <cell r="A909">
            <v>53</v>
          </cell>
          <cell r="B909">
            <v>46044</v>
          </cell>
          <cell r="C909">
            <v>20</v>
          </cell>
          <cell r="D909" t="str">
            <v xml:space="preserve">الخزينة </v>
          </cell>
        </row>
        <row r="910">
          <cell r="A910">
            <v>53</v>
          </cell>
          <cell r="B910">
            <v>46046</v>
          </cell>
          <cell r="C910">
            <v>20</v>
          </cell>
          <cell r="D910" t="str">
            <v xml:space="preserve">الخزينة </v>
          </cell>
        </row>
        <row r="911">
          <cell r="A911">
            <v>53</v>
          </cell>
          <cell r="B911">
            <v>46047</v>
          </cell>
          <cell r="C911">
            <v>20</v>
          </cell>
          <cell r="D911" t="str">
            <v xml:space="preserve">الخزينة </v>
          </cell>
        </row>
        <row r="912">
          <cell r="A912">
            <v>53</v>
          </cell>
          <cell r="B912">
            <v>46049</v>
          </cell>
          <cell r="C912">
            <v>20</v>
          </cell>
          <cell r="D912" t="str">
            <v xml:space="preserve">الخزينة </v>
          </cell>
        </row>
        <row r="913">
          <cell r="A913">
            <v>53</v>
          </cell>
          <cell r="B913">
            <v>46050</v>
          </cell>
          <cell r="C913">
            <v>20</v>
          </cell>
          <cell r="D913" t="str">
            <v xml:space="preserve">الخزينة </v>
          </cell>
        </row>
        <row r="914">
          <cell r="A914">
            <v>53</v>
          </cell>
          <cell r="B914">
            <v>46062</v>
          </cell>
          <cell r="C914">
            <v>20</v>
          </cell>
          <cell r="D914" t="str">
            <v xml:space="preserve">الخزينة </v>
          </cell>
        </row>
        <row r="915">
          <cell r="A915">
            <v>53</v>
          </cell>
          <cell r="B915">
            <v>46062</v>
          </cell>
          <cell r="C915">
            <v>20</v>
          </cell>
          <cell r="D915" t="str">
            <v xml:space="preserve">الخزينة </v>
          </cell>
        </row>
        <row r="916">
          <cell r="A916">
            <v>53</v>
          </cell>
          <cell r="B916">
            <v>46063</v>
          </cell>
          <cell r="C916">
            <v>20</v>
          </cell>
          <cell r="D916" t="str">
            <v xml:space="preserve">الخزينة </v>
          </cell>
        </row>
        <row r="917">
          <cell r="A917">
            <v>53</v>
          </cell>
          <cell r="B917">
            <v>46064</v>
          </cell>
          <cell r="C917">
            <v>20</v>
          </cell>
          <cell r="D917" t="str">
            <v xml:space="preserve">الخزينة </v>
          </cell>
        </row>
        <row r="918">
          <cell r="A918">
            <v>53</v>
          </cell>
          <cell r="B918">
            <v>46064</v>
          </cell>
          <cell r="C918">
            <v>20</v>
          </cell>
          <cell r="D918" t="str">
            <v xml:space="preserve">الخزينة </v>
          </cell>
        </row>
        <row r="919">
          <cell r="A919">
            <v>53</v>
          </cell>
          <cell r="B919">
            <v>46068</v>
          </cell>
          <cell r="C919">
            <v>20</v>
          </cell>
          <cell r="D919" t="str">
            <v xml:space="preserve">الخزينة </v>
          </cell>
        </row>
        <row r="920">
          <cell r="A920">
            <v>53</v>
          </cell>
          <cell r="B920">
            <v>46069</v>
          </cell>
          <cell r="C920">
            <v>20</v>
          </cell>
          <cell r="D920" t="str">
            <v xml:space="preserve">الخزينة </v>
          </cell>
        </row>
        <row r="921">
          <cell r="A921">
            <v>53</v>
          </cell>
          <cell r="B921">
            <v>46069</v>
          </cell>
          <cell r="C921">
            <v>20</v>
          </cell>
          <cell r="D921" t="str">
            <v xml:space="preserve">الخزينة </v>
          </cell>
        </row>
        <row r="922">
          <cell r="A922">
            <v>53</v>
          </cell>
          <cell r="B922">
            <v>46070</v>
          </cell>
          <cell r="C922">
            <v>20</v>
          </cell>
          <cell r="D922" t="str">
            <v xml:space="preserve">الخزينة </v>
          </cell>
        </row>
        <row r="923">
          <cell r="A923">
            <v>53</v>
          </cell>
          <cell r="B923">
            <v>46071</v>
          </cell>
          <cell r="C923">
            <v>20</v>
          </cell>
          <cell r="D923" t="str">
            <v xml:space="preserve">الخزينة </v>
          </cell>
        </row>
        <row r="924">
          <cell r="A924">
            <v>53</v>
          </cell>
          <cell r="B924">
            <v>46077</v>
          </cell>
          <cell r="C924">
            <v>20</v>
          </cell>
          <cell r="D924" t="str">
            <v xml:space="preserve">الخزينة </v>
          </cell>
        </row>
        <row r="925">
          <cell r="A925">
            <v>53</v>
          </cell>
          <cell r="B925">
            <v>46079</v>
          </cell>
          <cell r="C925">
            <v>99</v>
          </cell>
          <cell r="D925" t="str">
            <v xml:space="preserve">تكاليف ادارية وعمومية </v>
          </cell>
        </row>
        <row r="926">
          <cell r="A926">
            <v>53</v>
          </cell>
          <cell r="B926">
            <v>46085</v>
          </cell>
          <cell r="C926">
            <v>20</v>
          </cell>
          <cell r="D926" t="str">
            <v xml:space="preserve">الخزينة </v>
          </cell>
        </row>
        <row r="927">
          <cell r="A927">
            <v>53</v>
          </cell>
          <cell r="B927">
            <v>46089</v>
          </cell>
          <cell r="C927">
            <v>20</v>
          </cell>
          <cell r="D927" t="str">
            <v xml:space="preserve">الخزينة </v>
          </cell>
        </row>
        <row r="928">
          <cell r="A928">
            <v>53</v>
          </cell>
          <cell r="B928">
            <v>46090</v>
          </cell>
          <cell r="C928">
            <v>20</v>
          </cell>
          <cell r="D928" t="str">
            <v xml:space="preserve">الخزينة </v>
          </cell>
        </row>
        <row r="929">
          <cell r="A929">
            <v>53</v>
          </cell>
          <cell r="B929">
            <v>46091</v>
          </cell>
          <cell r="C929">
            <v>20</v>
          </cell>
          <cell r="D929" t="str">
            <v xml:space="preserve">الخزينة </v>
          </cell>
        </row>
        <row r="930">
          <cell r="A930">
            <v>53</v>
          </cell>
          <cell r="B930">
            <v>46098</v>
          </cell>
          <cell r="C930">
            <v>20</v>
          </cell>
          <cell r="D930" t="str">
            <v xml:space="preserve">الخزينة </v>
          </cell>
        </row>
        <row r="931">
          <cell r="A931">
            <v>53</v>
          </cell>
          <cell r="B931">
            <v>46098</v>
          </cell>
          <cell r="C931">
            <v>20</v>
          </cell>
          <cell r="D931" t="str">
            <v xml:space="preserve">الخزينة </v>
          </cell>
        </row>
        <row r="932">
          <cell r="A932">
            <v>53</v>
          </cell>
          <cell r="B932">
            <v>46099</v>
          </cell>
          <cell r="C932">
            <v>20</v>
          </cell>
          <cell r="D932" t="str">
            <v xml:space="preserve">الخزينة </v>
          </cell>
        </row>
        <row r="933">
          <cell r="A933">
            <v>53</v>
          </cell>
          <cell r="B933">
            <v>46109</v>
          </cell>
          <cell r="C933">
            <v>20</v>
          </cell>
          <cell r="D933" t="str">
            <v xml:space="preserve">الخزينة </v>
          </cell>
        </row>
        <row r="934">
          <cell r="A934">
            <v>53</v>
          </cell>
          <cell r="B934">
            <v>46111</v>
          </cell>
          <cell r="C934">
            <v>20</v>
          </cell>
          <cell r="D934" t="str">
            <v xml:space="preserve">الخزينة </v>
          </cell>
        </row>
        <row r="935">
          <cell r="A935">
            <v>53</v>
          </cell>
          <cell r="B935">
            <v>46111</v>
          </cell>
          <cell r="C935">
            <v>20</v>
          </cell>
          <cell r="D935" t="str">
            <v xml:space="preserve">الخزينة </v>
          </cell>
        </row>
        <row r="936">
          <cell r="A936">
            <v>53</v>
          </cell>
          <cell r="B936">
            <v>46111</v>
          </cell>
          <cell r="C936">
            <v>20</v>
          </cell>
          <cell r="D936" t="str">
            <v xml:space="preserve">الخزينة </v>
          </cell>
        </row>
        <row r="937">
          <cell r="A937">
            <v>53</v>
          </cell>
          <cell r="B937">
            <v>46111</v>
          </cell>
          <cell r="C937">
            <v>20</v>
          </cell>
          <cell r="D937" t="str">
            <v xml:space="preserve">الخزينة </v>
          </cell>
        </row>
        <row r="938">
          <cell r="A938">
            <v>53</v>
          </cell>
          <cell r="B938">
            <v>46113</v>
          </cell>
          <cell r="C938">
            <v>20</v>
          </cell>
          <cell r="D938" t="str">
            <v xml:space="preserve">الخزينة </v>
          </cell>
        </row>
        <row r="939">
          <cell r="A939">
            <v>53</v>
          </cell>
          <cell r="B939">
            <v>46116</v>
          </cell>
          <cell r="C939">
            <v>20</v>
          </cell>
          <cell r="D939" t="str">
            <v xml:space="preserve">الخزينة </v>
          </cell>
        </row>
        <row r="940">
          <cell r="A940">
            <v>53</v>
          </cell>
          <cell r="B940">
            <v>46118</v>
          </cell>
          <cell r="C940">
            <v>20</v>
          </cell>
          <cell r="D940" t="str">
            <v xml:space="preserve">الخزينة </v>
          </cell>
        </row>
        <row r="941">
          <cell r="A941">
            <v>53</v>
          </cell>
          <cell r="B941">
            <v>46118</v>
          </cell>
          <cell r="C941">
            <v>20</v>
          </cell>
          <cell r="D941" t="str">
            <v xml:space="preserve">الخزينة </v>
          </cell>
        </row>
        <row r="942">
          <cell r="A942">
            <v>53</v>
          </cell>
          <cell r="B942">
            <v>46121</v>
          </cell>
          <cell r="C942">
            <v>20</v>
          </cell>
          <cell r="D942" t="str">
            <v xml:space="preserve">الخزينة </v>
          </cell>
        </row>
        <row r="943">
          <cell r="A943">
            <v>53</v>
          </cell>
          <cell r="B943">
            <v>46121</v>
          </cell>
          <cell r="C943">
            <v>20</v>
          </cell>
          <cell r="D943" t="str">
            <v xml:space="preserve">الخزينة </v>
          </cell>
        </row>
        <row r="944">
          <cell r="A944">
            <v>53</v>
          </cell>
          <cell r="B944">
            <v>46121</v>
          </cell>
          <cell r="C944">
            <v>20</v>
          </cell>
          <cell r="D944" t="str">
            <v xml:space="preserve">الخزينة </v>
          </cell>
        </row>
        <row r="945">
          <cell r="A945">
            <v>53</v>
          </cell>
          <cell r="B945">
            <v>46121</v>
          </cell>
          <cell r="C945">
            <v>20</v>
          </cell>
          <cell r="D945" t="str">
            <v xml:space="preserve">الخزينة </v>
          </cell>
        </row>
        <row r="946">
          <cell r="A946">
            <v>53</v>
          </cell>
          <cell r="B946">
            <v>46121</v>
          </cell>
          <cell r="C946">
            <v>20</v>
          </cell>
          <cell r="D946" t="str">
            <v xml:space="preserve">الخزينة </v>
          </cell>
        </row>
        <row r="947">
          <cell r="A947">
            <v>53</v>
          </cell>
          <cell r="B947">
            <v>46121</v>
          </cell>
          <cell r="C947">
            <v>20</v>
          </cell>
          <cell r="D947" t="str">
            <v xml:space="preserve">الخزينة </v>
          </cell>
        </row>
        <row r="948">
          <cell r="A948">
            <v>53</v>
          </cell>
          <cell r="B948">
            <v>46123</v>
          </cell>
          <cell r="C948">
            <v>20</v>
          </cell>
          <cell r="D948" t="str">
            <v xml:space="preserve">الخزينة </v>
          </cell>
        </row>
        <row r="949">
          <cell r="A949">
            <v>53</v>
          </cell>
          <cell r="B949">
            <v>46123</v>
          </cell>
          <cell r="C949">
            <v>20</v>
          </cell>
          <cell r="D949" t="str">
            <v xml:space="preserve">الخزينة </v>
          </cell>
        </row>
        <row r="950">
          <cell r="A950">
            <v>53</v>
          </cell>
          <cell r="B950">
            <v>46124</v>
          </cell>
          <cell r="C950">
            <v>20</v>
          </cell>
          <cell r="D950" t="str">
            <v xml:space="preserve">الخزينة </v>
          </cell>
        </row>
        <row r="951">
          <cell r="A951">
            <v>53</v>
          </cell>
          <cell r="B951">
            <v>46126</v>
          </cell>
          <cell r="C951">
            <v>20</v>
          </cell>
          <cell r="D951" t="str">
            <v xml:space="preserve">الخزينة </v>
          </cell>
        </row>
        <row r="952">
          <cell r="A952">
            <v>53</v>
          </cell>
          <cell r="B952">
            <v>46127</v>
          </cell>
          <cell r="C952">
            <v>20</v>
          </cell>
          <cell r="D952" t="str">
            <v xml:space="preserve">الخزينة </v>
          </cell>
        </row>
        <row r="953">
          <cell r="A953">
            <v>53</v>
          </cell>
          <cell r="B953">
            <v>46127</v>
          </cell>
          <cell r="C953">
            <v>20</v>
          </cell>
          <cell r="D953" t="str">
            <v xml:space="preserve">الخزينة </v>
          </cell>
        </row>
        <row r="954">
          <cell r="A954">
            <v>53</v>
          </cell>
          <cell r="B954">
            <v>46132</v>
          </cell>
          <cell r="C954">
            <v>20</v>
          </cell>
          <cell r="D954" t="str">
            <v xml:space="preserve">الخزينة </v>
          </cell>
        </row>
        <row r="955">
          <cell r="A955">
            <v>53</v>
          </cell>
          <cell r="B955">
            <v>46132</v>
          </cell>
          <cell r="C955">
            <v>20</v>
          </cell>
          <cell r="D955" t="str">
            <v xml:space="preserve">الخزينة </v>
          </cell>
        </row>
        <row r="956">
          <cell r="A956">
            <v>53</v>
          </cell>
          <cell r="B956">
            <v>46132</v>
          </cell>
          <cell r="C956">
            <v>20</v>
          </cell>
          <cell r="D956" t="str">
            <v xml:space="preserve">الخزينة </v>
          </cell>
        </row>
        <row r="957">
          <cell r="A957">
            <v>53</v>
          </cell>
          <cell r="B957">
            <v>46133</v>
          </cell>
          <cell r="C957">
            <v>20</v>
          </cell>
          <cell r="D957" t="str">
            <v xml:space="preserve">الخزينة </v>
          </cell>
        </row>
        <row r="958">
          <cell r="A958">
            <v>53</v>
          </cell>
          <cell r="B958">
            <v>46133</v>
          </cell>
          <cell r="C958">
            <v>20</v>
          </cell>
          <cell r="D958" t="str">
            <v xml:space="preserve">الخزينة </v>
          </cell>
        </row>
        <row r="959">
          <cell r="A959">
            <v>53</v>
          </cell>
          <cell r="B959">
            <v>46133</v>
          </cell>
          <cell r="C959">
            <v>20</v>
          </cell>
          <cell r="D959" t="str">
            <v xml:space="preserve">الخزينة </v>
          </cell>
        </row>
        <row r="960">
          <cell r="A960">
            <v>53</v>
          </cell>
          <cell r="B960">
            <v>46133</v>
          </cell>
          <cell r="C960">
            <v>20</v>
          </cell>
          <cell r="D960" t="str">
            <v xml:space="preserve">الخزينة </v>
          </cell>
        </row>
        <row r="961">
          <cell r="A961">
            <v>53</v>
          </cell>
          <cell r="B961">
            <v>46133</v>
          </cell>
          <cell r="C961">
            <v>20</v>
          </cell>
          <cell r="D961" t="str">
            <v xml:space="preserve">الخزينة </v>
          </cell>
        </row>
        <row r="962">
          <cell r="A962">
            <v>53</v>
          </cell>
          <cell r="B962">
            <v>46133</v>
          </cell>
          <cell r="C962">
            <v>20</v>
          </cell>
          <cell r="D962" t="str">
            <v xml:space="preserve">الخزينة </v>
          </cell>
        </row>
        <row r="963">
          <cell r="A963">
            <v>53</v>
          </cell>
          <cell r="B963">
            <v>46134</v>
          </cell>
          <cell r="C963">
            <v>20</v>
          </cell>
          <cell r="D963" t="str">
            <v xml:space="preserve">الخزينة </v>
          </cell>
        </row>
        <row r="964">
          <cell r="A964">
            <v>53</v>
          </cell>
          <cell r="B964">
            <v>46134</v>
          </cell>
          <cell r="C964">
            <v>20</v>
          </cell>
          <cell r="D964" t="str">
            <v xml:space="preserve">الخزينة </v>
          </cell>
        </row>
        <row r="965">
          <cell r="A965">
            <v>53</v>
          </cell>
          <cell r="B965">
            <v>46135</v>
          </cell>
          <cell r="C965">
            <v>20</v>
          </cell>
          <cell r="D965" t="str">
            <v xml:space="preserve">الخزينة </v>
          </cell>
        </row>
        <row r="966">
          <cell r="A966">
            <v>53</v>
          </cell>
          <cell r="B966">
            <v>46135</v>
          </cell>
          <cell r="C966">
            <v>20</v>
          </cell>
          <cell r="D966" t="str">
            <v xml:space="preserve">الخزينة </v>
          </cell>
        </row>
        <row r="967">
          <cell r="A967">
            <v>53</v>
          </cell>
          <cell r="B967">
            <v>46138</v>
          </cell>
          <cell r="C967">
            <v>20</v>
          </cell>
          <cell r="D967" t="str">
            <v xml:space="preserve">الخزينة </v>
          </cell>
        </row>
        <row r="968">
          <cell r="A968">
            <v>53</v>
          </cell>
          <cell r="B968">
            <v>46139</v>
          </cell>
          <cell r="C968">
            <v>20</v>
          </cell>
          <cell r="D968" t="str">
            <v xml:space="preserve">الخزينة </v>
          </cell>
        </row>
        <row r="969">
          <cell r="A969">
            <v>53</v>
          </cell>
          <cell r="B969">
            <v>46139</v>
          </cell>
          <cell r="C969">
            <v>20</v>
          </cell>
          <cell r="D969" t="str">
            <v xml:space="preserve">الخزينة </v>
          </cell>
        </row>
        <row r="970">
          <cell r="A970">
            <v>53</v>
          </cell>
          <cell r="B970">
            <v>46142</v>
          </cell>
          <cell r="C970">
            <v>20</v>
          </cell>
          <cell r="D970" t="str">
            <v xml:space="preserve">الخزينة </v>
          </cell>
        </row>
        <row r="971">
          <cell r="A971">
            <v>53</v>
          </cell>
          <cell r="B971">
            <v>46144</v>
          </cell>
          <cell r="C971">
            <v>20</v>
          </cell>
          <cell r="D971" t="str">
            <v xml:space="preserve">الخزينة </v>
          </cell>
        </row>
        <row r="972">
          <cell r="A972">
            <v>53</v>
          </cell>
          <cell r="B972">
            <v>46144</v>
          </cell>
          <cell r="C972">
            <v>20</v>
          </cell>
          <cell r="D972" t="str">
            <v xml:space="preserve">الخزينة </v>
          </cell>
        </row>
        <row r="973">
          <cell r="A973">
            <v>53</v>
          </cell>
          <cell r="B973">
            <v>46144</v>
          </cell>
          <cell r="C973">
            <v>20</v>
          </cell>
          <cell r="D973" t="str">
            <v xml:space="preserve">الخزينة </v>
          </cell>
        </row>
        <row r="974">
          <cell r="A974">
            <v>53</v>
          </cell>
          <cell r="B974">
            <v>46144</v>
          </cell>
          <cell r="C974">
            <v>20</v>
          </cell>
          <cell r="D974" t="str">
            <v xml:space="preserve">الخزينة </v>
          </cell>
        </row>
        <row r="975">
          <cell r="A975">
            <v>53</v>
          </cell>
          <cell r="B975">
            <v>46145</v>
          </cell>
          <cell r="C975">
            <v>20</v>
          </cell>
          <cell r="D975" t="str">
            <v xml:space="preserve">الخزينة </v>
          </cell>
        </row>
        <row r="976">
          <cell r="A976">
            <v>53</v>
          </cell>
          <cell r="B976">
            <v>46146</v>
          </cell>
          <cell r="C976">
            <v>20</v>
          </cell>
          <cell r="D976" t="str">
            <v xml:space="preserve">الخزينة </v>
          </cell>
        </row>
        <row r="977">
          <cell r="A977">
            <v>53</v>
          </cell>
          <cell r="B977">
            <v>46146</v>
          </cell>
          <cell r="C977">
            <v>20</v>
          </cell>
          <cell r="D977" t="str">
            <v xml:space="preserve">الخزينة </v>
          </cell>
        </row>
        <row r="978">
          <cell r="A978">
            <v>53</v>
          </cell>
          <cell r="B978">
            <v>46147</v>
          </cell>
          <cell r="C978">
            <v>20</v>
          </cell>
          <cell r="D978" t="str">
            <v xml:space="preserve">الخزينة </v>
          </cell>
        </row>
        <row r="979">
          <cell r="A979">
            <v>53</v>
          </cell>
          <cell r="B979">
            <v>46147</v>
          </cell>
          <cell r="C979">
            <v>20</v>
          </cell>
          <cell r="D979" t="str">
            <v xml:space="preserve">الخزينة </v>
          </cell>
        </row>
        <row r="980">
          <cell r="A980">
            <v>53</v>
          </cell>
          <cell r="B980">
            <v>46151</v>
          </cell>
          <cell r="C980">
            <v>20</v>
          </cell>
          <cell r="D980" t="str">
            <v xml:space="preserve">الخزينة </v>
          </cell>
        </row>
        <row r="981">
          <cell r="A981">
            <v>53</v>
          </cell>
          <cell r="B981">
            <v>46151</v>
          </cell>
          <cell r="C981">
            <v>20</v>
          </cell>
          <cell r="D981" t="str">
            <v xml:space="preserve">الخزينة </v>
          </cell>
        </row>
        <row r="982">
          <cell r="A982">
            <v>53</v>
          </cell>
          <cell r="B982">
            <v>46151</v>
          </cell>
          <cell r="C982">
            <v>20</v>
          </cell>
          <cell r="D982" t="str">
            <v xml:space="preserve">الخزينة </v>
          </cell>
        </row>
        <row r="983">
          <cell r="A983">
            <v>53</v>
          </cell>
          <cell r="B983">
            <v>46151</v>
          </cell>
          <cell r="C983">
            <v>20</v>
          </cell>
          <cell r="D983" t="str">
            <v xml:space="preserve">الخزينة </v>
          </cell>
        </row>
        <row r="984">
          <cell r="A984">
            <v>53</v>
          </cell>
          <cell r="B984">
            <v>46153</v>
          </cell>
          <cell r="C984">
            <v>20</v>
          </cell>
          <cell r="D984" t="str">
            <v xml:space="preserve">الخزينة </v>
          </cell>
        </row>
        <row r="985">
          <cell r="A985">
            <v>53</v>
          </cell>
          <cell r="B985">
            <v>46156</v>
          </cell>
          <cell r="C985">
            <v>20</v>
          </cell>
          <cell r="D985" t="str">
            <v xml:space="preserve">الخزينة </v>
          </cell>
        </row>
        <row r="986">
          <cell r="A986">
            <v>53</v>
          </cell>
          <cell r="B986">
            <v>46160</v>
          </cell>
          <cell r="C986">
            <v>20</v>
          </cell>
          <cell r="D986" t="str">
            <v xml:space="preserve">الخزينة </v>
          </cell>
        </row>
        <row r="987">
          <cell r="A987">
            <v>53</v>
          </cell>
          <cell r="B987">
            <v>46161</v>
          </cell>
          <cell r="C987">
            <v>20</v>
          </cell>
          <cell r="D987" t="str">
            <v xml:space="preserve">الخزينة </v>
          </cell>
        </row>
        <row r="988">
          <cell r="A988">
            <v>53</v>
          </cell>
          <cell r="B988">
            <v>46161</v>
          </cell>
          <cell r="C988">
            <v>20</v>
          </cell>
          <cell r="D988" t="str">
            <v xml:space="preserve">الخزينة </v>
          </cell>
        </row>
        <row r="989">
          <cell r="A989">
            <v>53</v>
          </cell>
          <cell r="B989">
            <v>46161</v>
          </cell>
          <cell r="C989">
            <v>20</v>
          </cell>
          <cell r="D989" t="str">
            <v xml:space="preserve">الخزينة </v>
          </cell>
        </row>
        <row r="990">
          <cell r="A990">
            <v>53</v>
          </cell>
          <cell r="B990">
            <v>46163</v>
          </cell>
          <cell r="C990">
            <v>20</v>
          </cell>
          <cell r="D990" t="str">
            <v xml:space="preserve">الخزينة </v>
          </cell>
        </row>
        <row r="991">
          <cell r="A991">
            <v>53</v>
          </cell>
          <cell r="B991">
            <v>46174</v>
          </cell>
          <cell r="C991">
            <v>20</v>
          </cell>
          <cell r="D991" t="str">
            <v xml:space="preserve">الخزينة </v>
          </cell>
        </row>
        <row r="992">
          <cell r="A992">
            <v>53</v>
          </cell>
          <cell r="B992">
            <v>46174</v>
          </cell>
          <cell r="C992">
            <v>20</v>
          </cell>
          <cell r="D992" t="str">
            <v xml:space="preserve">الخزينة </v>
          </cell>
        </row>
        <row r="993">
          <cell r="A993">
            <v>53</v>
          </cell>
          <cell r="B993">
            <v>46174</v>
          </cell>
          <cell r="C993">
            <v>20</v>
          </cell>
          <cell r="D993" t="str">
            <v xml:space="preserve">الخزينة </v>
          </cell>
        </row>
        <row r="994">
          <cell r="A994">
            <v>53</v>
          </cell>
          <cell r="B994">
            <v>46176</v>
          </cell>
          <cell r="C994">
            <v>20</v>
          </cell>
          <cell r="D994" t="str">
            <v xml:space="preserve">الخزينة </v>
          </cell>
        </row>
        <row r="995">
          <cell r="A995">
            <v>53</v>
          </cell>
          <cell r="B995">
            <v>46179</v>
          </cell>
          <cell r="C995">
            <v>20</v>
          </cell>
          <cell r="D995" t="str">
            <v xml:space="preserve">الخزينة </v>
          </cell>
        </row>
        <row r="996">
          <cell r="A996">
            <v>53</v>
          </cell>
          <cell r="B996">
            <v>46179</v>
          </cell>
          <cell r="C996">
            <v>20</v>
          </cell>
          <cell r="D996" t="str">
            <v xml:space="preserve">الخزينة </v>
          </cell>
        </row>
        <row r="997">
          <cell r="A997">
            <v>53</v>
          </cell>
          <cell r="B997">
            <v>46181</v>
          </cell>
          <cell r="C997">
            <v>20</v>
          </cell>
          <cell r="D997" t="str">
            <v xml:space="preserve">الخزينة </v>
          </cell>
        </row>
        <row r="998">
          <cell r="A998">
            <v>53</v>
          </cell>
          <cell r="B998">
            <v>46182</v>
          </cell>
          <cell r="C998">
            <v>20</v>
          </cell>
          <cell r="D998" t="str">
            <v xml:space="preserve">الخزينة </v>
          </cell>
        </row>
        <row r="999">
          <cell r="A999">
            <v>53</v>
          </cell>
          <cell r="B999">
            <v>46184</v>
          </cell>
          <cell r="C999">
            <v>20</v>
          </cell>
          <cell r="D999" t="str">
            <v xml:space="preserve">الخزينة </v>
          </cell>
        </row>
        <row r="1000">
          <cell r="A1000">
            <v>53</v>
          </cell>
          <cell r="B1000">
            <v>46186</v>
          </cell>
          <cell r="C1000">
            <v>20</v>
          </cell>
          <cell r="D1000" t="str">
            <v xml:space="preserve">الخزينة </v>
          </cell>
        </row>
        <row r="1001">
          <cell r="A1001">
            <v>54</v>
          </cell>
          <cell r="B1001">
            <v>46028</v>
          </cell>
          <cell r="C1001" t="str">
            <v>99-4</v>
          </cell>
          <cell r="D1001" t="str">
            <v>مرتبات</v>
          </cell>
        </row>
        <row r="1002">
          <cell r="A1002">
            <v>54</v>
          </cell>
          <cell r="B1002">
            <v>46029</v>
          </cell>
          <cell r="C1002" t="str">
            <v>99-4</v>
          </cell>
          <cell r="D1002" t="str">
            <v>مرتبات</v>
          </cell>
        </row>
        <row r="1003">
          <cell r="A1003">
            <v>54</v>
          </cell>
          <cell r="B1003">
            <v>46030</v>
          </cell>
          <cell r="C1003" t="str">
            <v>99-4</v>
          </cell>
          <cell r="D1003" t="str">
            <v>مرتبات</v>
          </cell>
        </row>
        <row r="1004">
          <cell r="A1004">
            <v>54</v>
          </cell>
          <cell r="B1004">
            <v>46042</v>
          </cell>
          <cell r="C1004" t="str">
            <v>99-4</v>
          </cell>
          <cell r="D1004" t="str">
            <v>مرتبات</v>
          </cell>
        </row>
        <row r="1005">
          <cell r="A1005">
            <v>54</v>
          </cell>
          <cell r="B1005">
            <v>46042</v>
          </cell>
          <cell r="C1005" t="str">
            <v>99-4</v>
          </cell>
          <cell r="D1005" t="str">
            <v>مرتبات</v>
          </cell>
        </row>
        <row r="1006">
          <cell r="A1006">
            <v>54</v>
          </cell>
          <cell r="B1006">
            <v>46049</v>
          </cell>
          <cell r="C1006" t="str">
            <v>99-4</v>
          </cell>
          <cell r="D1006" t="str">
            <v>مرتبات</v>
          </cell>
        </row>
        <row r="1007">
          <cell r="A1007">
            <v>54</v>
          </cell>
          <cell r="B1007">
            <v>46049</v>
          </cell>
          <cell r="C1007" t="str">
            <v>99-4</v>
          </cell>
          <cell r="D1007" t="str">
            <v>مرتبات</v>
          </cell>
        </row>
        <row r="1008">
          <cell r="A1008">
            <v>54</v>
          </cell>
          <cell r="B1008">
            <v>46053</v>
          </cell>
          <cell r="C1008" t="str">
            <v>99-4</v>
          </cell>
          <cell r="D1008" t="str">
            <v>مرتبات</v>
          </cell>
        </row>
        <row r="1009">
          <cell r="A1009">
            <v>54</v>
          </cell>
          <cell r="B1009">
            <v>46054</v>
          </cell>
          <cell r="C1009" t="str">
            <v>99-4</v>
          </cell>
          <cell r="D1009" t="str">
            <v>مرتبات</v>
          </cell>
        </row>
        <row r="1010">
          <cell r="A1010">
            <v>54</v>
          </cell>
          <cell r="B1010">
            <v>46054</v>
          </cell>
          <cell r="C1010" t="str">
            <v>99-4</v>
          </cell>
          <cell r="D1010" t="str">
            <v>مرتبات</v>
          </cell>
        </row>
        <row r="1011">
          <cell r="A1011">
            <v>54</v>
          </cell>
          <cell r="B1011">
            <v>46054</v>
          </cell>
          <cell r="C1011" t="str">
            <v>99-4</v>
          </cell>
          <cell r="D1011" t="str">
            <v>مرتبات</v>
          </cell>
        </row>
        <row r="1012">
          <cell r="A1012">
            <v>54</v>
          </cell>
          <cell r="B1012">
            <v>46055</v>
          </cell>
          <cell r="C1012" t="str">
            <v>99-4</v>
          </cell>
          <cell r="D1012" t="str">
            <v>مرتبات</v>
          </cell>
        </row>
        <row r="1013">
          <cell r="A1013">
            <v>54</v>
          </cell>
          <cell r="B1013">
            <v>46056</v>
          </cell>
          <cell r="C1013" t="str">
            <v>99-4</v>
          </cell>
          <cell r="D1013" t="str">
            <v>مرتبات</v>
          </cell>
        </row>
        <row r="1014">
          <cell r="A1014">
            <v>54</v>
          </cell>
          <cell r="B1014">
            <v>46058</v>
          </cell>
          <cell r="C1014" t="str">
            <v>99-4</v>
          </cell>
          <cell r="D1014" t="str">
            <v>مرتبات</v>
          </cell>
        </row>
        <row r="1015">
          <cell r="A1015">
            <v>54</v>
          </cell>
          <cell r="B1015">
            <v>46064</v>
          </cell>
          <cell r="C1015" t="str">
            <v>99-4</v>
          </cell>
          <cell r="D1015" t="str">
            <v>مرتبات</v>
          </cell>
        </row>
        <row r="1016">
          <cell r="A1016">
            <v>54</v>
          </cell>
          <cell r="B1016">
            <v>46069</v>
          </cell>
          <cell r="C1016" t="str">
            <v>99-4</v>
          </cell>
          <cell r="D1016" t="str">
            <v>مرتبات</v>
          </cell>
        </row>
        <row r="1017">
          <cell r="A1017">
            <v>54</v>
          </cell>
          <cell r="B1017">
            <v>46071</v>
          </cell>
          <cell r="C1017" t="str">
            <v>99-4</v>
          </cell>
          <cell r="D1017" t="str">
            <v>مرتبات</v>
          </cell>
        </row>
        <row r="1018">
          <cell r="A1018">
            <v>54</v>
          </cell>
          <cell r="B1018">
            <v>46071</v>
          </cell>
          <cell r="C1018" t="str">
            <v>99-4</v>
          </cell>
          <cell r="D1018" t="str">
            <v>مرتبات</v>
          </cell>
        </row>
        <row r="1019">
          <cell r="A1019">
            <v>54</v>
          </cell>
          <cell r="B1019">
            <v>46081</v>
          </cell>
          <cell r="C1019" t="str">
            <v>99-4</v>
          </cell>
          <cell r="D1019" t="str">
            <v>مرتبات</v>
          </cell>
        </row>
        <row r="1020">
          <cell r="A1020">
            <v>54</v>
          </cell>
          <cell r="B1020">
            <v>46084</v>
          </cell>
          <cell r="C1020" t="str">
            <v>99-4</v>
          </cell>
          <cell r="D1020" t="str">
            <v>مرتبات</v>
          </cell>
        </row>
        <row r="1021">
          <cell r="A1021">
            <v>54</v>
          </cell>
          <cell r="B1021">
            <v>46084</v>
          </cell>
          <cell r="C1021" t="str">
            <v>99-4</v>
          </cell>
          <cell r="D1021" t="str">
            <v>مرتبات</v>
          </cell>
        </row>
        <row r="1022">
          <cell r="A1022">
            <v>54</v>
          </cell>
          <cell r="B1022">
            <v>46096</v>
          </cell>
          <cell r="C1022" t="str">
            <v>99-4</v>
          </cell>
          <cell r="D1022" t="str">
            <v>مرتبات</v>
          </cell>
        </row>
        <row r="1023">
          <cell r="A1023">
            <v>54</v>
          </cell>
          <cell r="B1023">
            <v>46096</v>
          </cell>
          <cell r="C1023" t="str">
            <v>99-4</v>
          </cell>
          <cell r="D1023" t="str">
            <v>مرتبات</v>
          </cell>
        </row>
        <row r="1024">
          <cell r="A1024">
            <v>54</v>
          </cell>
          <cell r="B1024">
            <v>46098</v>
          </cell>
          <cell r="C1024" t="str">
            <v>99-4</v>
          </cell>
          <cell r="D1024" t="str">
            <v>مرتبات</v>
          </cell>
        </row>
        <row r="1025">
          <cell r="A1025">
            <v>54</v>
          </cell>
          <cell r="B1025">
            <v>46098</v>
          </cell>
          <cell r="C1025" t="str">
            <v>99-4</v>
          </cell>
          <cell r="D1025" t="str">
            <v>مرتبات</v>
          </cell>
        </row>
        <row r="1026">
          <cell r="A1026">
            <v>54</v>
          </cell>
          <cell r="B1026">
            <v>46099</v>
          </cell>
          <cell r="C1026" t="str">
            <v>99-4</v>
          </cell>
          <cell r="D1026" t="str">
            <v>مرتبات</v>
          </cell>
        </row>
        <row r="1027">
          <cell r="A1027">
            <v>54</v>
          </cell>
          <cell r="B1027">
            <v>46099</v>
          </cell>
          <cell r="C1027" t="str">
            <v>99-4</v>
          </cell>
          <cell r="D1027" t="str">
            <v>مرتبات</v>
          </cell>
        </row>
        <row r="1028">
          <cell r="A1028">
            <v>54</v>
          </cell>
          <cell r="B1028">
            <v>46099</v>
          </cell>
          <cell r="C1028" t="str">
            <v>99-4</v>
          </cell>
          <cell r="D1028" t="str">
            <v>مرتبات</v>
          </cell>
        </row>
        <row r="1029">
          <cell r="A1029">
            <v>54</v>
          </cell>
          <cell r="B1029">
            <v>46110</v>
          </cell>
          <cell r="C1029" t="str">
            <v>99-4</v>
          </cell>
          <cell r="D1029" t="str">
            <v>مرتبات</v>
          </cell>
        </row>
        <row r="1030">
          <cell r="A1030">
            <v>54</v>
          </cell>
          <cell r="B1030">
            <v>46112</v>
          </cell>
          <cell r="C1030" t="str">
            <v>99-4</v>
          </cell>
          <cell r="D1030" t="str">
            <v>مرتبات</v>
          </cell>
        </row>
        <row r="1031">
          <cell r="A1031">
            <v>54</v>
          </cell>
          <cell r="B1031">
            <v>46112</v>
          </cell>
          <cell r="C1031" t="str">
            <v>99-4</v>
          </cell>
          <cell r="D1031" t="str">
            <v>مرتبات</v>
          </cell>
        </row>
        <row r="1032">
          <cell r="A1032">
            <v>54</v>
          </cell>
          <cell r="B1032">
            <v>46116</v>
          </cell>
          <cell r="C1032" t="str">
            <v>99-4</v>
          </cell>
          <cell r="D1032" t="str">
            <v>مرتبات</v>
          </cell>
        </row>
        <row r="1033">
          <cell r="A1033">
            <v>54</v>
          </cell>
          <cell r="B1033">
            <v>46116</v>
          </cell>
          <cell r="C1033" t="str">
            <v>99-4</v>
          </cell>
          <cell r="D1033" t="str">
            <v>مرتبات</v>
          </cell>
        </row>
        <row r="1034">
          <cell r="A1034">
            <v>54</v>
          </cell>
          <cell r="B1034">
            <v>46117</v>
          </cell>
          <cell r="C1034" t="str">
            <v>99-4</v>
          </cell>
          <cell r="D1034" t="str">
            <v>مرتبات</v>
          </cell>
        </row>
        <row r="1035">
          <cell r="A1035">
            <v>54</v>
          </cell>
          <cell r="B1035">
            <v>46121</v>
          </cell>
          <cell r="C1035" t="str">
            <v>99-4</v>
          </cell>
          <cell r="D1035" t="str">
            <v>مرتبات</v>
          </cell>
        </row>
        <row r="1036">
          <cell r="A1036">
            <v>54</v>
          </cell>
          <cell r="B1036">
            <v>46126</v>
          </cell>
          <cell r="C1036" t="str">
            <v>99-4</v>
          </cell>
          <cell r="D1036" t="str">
            <v>مرتبات</v>
          </cell>
        </row>
        <row r="1037">
          <cell r="A1037">
            <v>54</v>
          </cell>
          <cell r="B1037">
            <v>46128</v>
          </cell>
          <cell r="C1037" t="str">
            <v>99-4</v>
          </cell>
          <cell r="D1037" t="str">
            <v>مرتبات</v>
          </cell>
        </row>
        <row r="1038">
          <cell r="A1038">
            <v>54</v>
          </cell>
          <cell r="B1038">
            <v>46132</v>
          </cell>
          <cell r="C1038" t="str">
            <v>99-4</v>
          </cell>
          <cell r="D1038" t="str">
            <v>مرتبات</v>
          </cell>
        </row>
        <row r="1039">
          <cell r="A1039">
            <v>54</v>
          </cell>
          <cell r="B1039">
            <v>46134</v>
          </cell>
          <cell r="C1039" t="str">
            <v>99-4</v>
          </cell>
          <cell r="D1039" t="str">
            <v>مرتبات</v>
          </cell>
        </row>
        <row r="1040">
          <cell r="A1040">
            <v>54</v>
          </cell>
          <cell r="B1040">
            <v>46138</v>
          </cell>
          <cell r="C1040" t="str">
            <v>99-4</v>
          </cell>
          <cell r="D1040" t="str">
            <v>مرتبات</v>
          </cell>
        </row>
        <row r="1041">
          <cell r="A1041">
            <v>54</v>
          </cell>
          <cell r="B1041">
            <v>46144</v>
          </cell>
          <cell r="C1041" t="str">
            <v>99-4</v>
          </cell>
          <cell r="D1041" t="str">
            <v>مرتبات</v>
          </cell>
        </row>
        <row r="1042">
          <cell r="A1042">
            <v>54</v>
          </cell>
          <cell r="B1042">
            <v>46147</v>
          </cell>
          <cell r="C1042" t="str">
            <v>99-4</v>
          </cell>
          <cell r="D1042" t="str">
            <v>مرتبات</v>
          </cell>
        </row>
        <row r="1043">
          <cell r="A1043">
            <v>54</v>
          </cell>
          <cell r="B1043">
            <v>46147</v>
          </cell>
          <cell r="C1043" t="str">
            <v>99-4</v>
          </cell>
          <cell r="D1043" t="str">
            <v>مرتبات</v>
          </cell>
        </row>
        <row r="1044">
          <cell r="A1044">
            <v>54</v>
          </cell>
          <cell r="B1044">
            <v>46147</v>
          </cell>
          <cell r="C1044" t="str">
            <v>99-4</v>
          </cell>
          <cell r="D1044" t="str">
            <v>مرتبات</v>
          </cell>
        </row>
        <row r="1045">
          <cell r="A1045">
            <v>54</v>
          </cell>
          <cell r="B1045">
            <v>46151</v>
          </cell>
          <cell r="C1045" t="str">
            <v>99-4</v>
          </cell>
          <cell r="D1045" t="str">
            <v>مرتبات</v>
          </cell>
        </row>
        <row r="1046">
          <cell r="A1046">
            <v>54</v>
          </cell>
          <cell r="B1046">
            <v>46159</v>
          </cell>
          <cell r="C1046" t="str">
            <v>99-4</v>
          </cell>
          <cell r="D1046" t="str">
            <v>مرتبات</v>
          </cell>
        </row>
        <row r="1047">
          <cell r="A1047">
            <v>54</v>
          </cell>
          <cell r="B1047">
            <v>46161</v>
          </cell>
          <cell r="C1047" t="str">
            <v>99-4</v>
          </cell>
          <cell r="D1047" t="str">
            <v>مرتبات</v>
          </cell>
        </row>
        <row r="1048">
          <cell r="A1048">
            <v>54</v>
          </cell>
          <cell r="B1048">
            <v>46167</v>
          </cell>
          <cell r="C1048" t="str">
            <v>99-4</v>
          </cell>
          <cell r="D1048" t="str">
            <v>مرتبات</v>
          </cell>
        </row>
        <row r="1049">
          <cell r="A1049">
            <v>54</v>
          </cell>
          <cell r="B1049">
            <v>46168</v>
          </cell>
          <cell r="C1049" t="str">
            <v>99-4</v>
          </cell>
          <cell r="D1049" t="str">
            <v>مرتبات</v>
          </cell>
        </row>
        <row r="1050">
          <cell r="A1050">
            <v>54</v>
          </cell>
          <cell r="B1050">
            <v>46174</v>
          </cell>
          <cell r="C1050" t="str">
            <v>99-4</v>
          </cell>
          <cell r="D1050" t="str">
            <v>مرتبات</v>
          </cell>
        </row>
        <row r="1051">
          <cell r="A1051">
            <v>54</v>
          </cell>
          <cell r="B1051">
            <v>46175</v>
          </cell>
          <cell r="C1051" t="str">
            <v>99-4</v>
          </cell>
          <cell r="D1051" t="str">
            <v>مرتبات</v>
          </cell>
        </row>
        <row r="1052">
          <cell r="A1052">
            <v>54</v>
          </cell>
          <cell r="B1052">
            <v>46177</v>
          </cell>
          <cell r="C1052" t="str">
            <v>99-4</v>
          </cell>
          <cell r="D1052" t="str">
            <v>مرتبات</v>
          </cell>
        </row>
        <row r="1053">
          <cell r="A1053">
            <v>54</v>
          </cell>
          <cell r="B1053">
            <v>46177</v>
          </cell>
          <cell r="C1053" t="str">
            <v>99-4</v>
          </cell>
          <cell r="D1053" t="str">
            <v>مرتبات</v>
          </cell>
        </row>
        <row r="1054">
          <cell r="A1054">
            <v>54</v>
          </cell>
          <cell r="B1054">
            <v>46179</v>
          </cell>
          <cell r="C1054" t="str">
            <v>99-4</v>
          </cell>
          <cell r="D1054" t="str">
            <v>مرتبات</v>
          </cell>
        </row>
        <row r="1055">
          <cell r="A1055">
            <v>54</v>
          </cell>
          <cell r="B1055">
            <v>46184</v>
          </cell>
          <cell r="C1055" t="str">
            <v>99-4</v>
          </cell>
          <cell r="D1055" t="str">
            <v>مرتبات</v>
          </cell>
        </row>
        <row r="1056">
          <cell r="A1056">
            <v>54</v>
          </cell>
          <cell r="B1056">
            <v>46028</v>
          </cell>
          <cell r="C1056">
            <v>20</v>
          </cell>
          <cell r="D1056" t="str">
            <v xml:space="preserve">الخزينة </v>
          </cell>
        </row>
        <row r="1057">
          <cell r="A1057">
            <v>54</v>
          </cell>
          <cell r="B1057">
            <v>46029</v>
          </cell>
          <cell r="C1057">
            <v>20</v>
          </cell>
          <cell r="D1057" t="str">
            <v xml:space="preserve">الخزينة </v>
          </cell>
        </row>
        <row r="1058">
          <cell r="A1058">
            <v>54</v>
          </cell>
          <cell r="B1058">
            <v>46030</v>
          </cell>
          <cell r="C1058">
            <v>20</v>
          </cell>
          <cell r="D1058" t="str">
            <v xml:space="preserve">الخزينة </v>
          </cell>
        </row>
        <row r="1059">
          <cell r="A1059">
            <v>54</v>
          </cell>
          <cell r="B1059">
            <v>46042</v>
          </cell>
          <cell r="C1059">
            <v>20</v>
          </cell>
          <cell r="D1059" t="str">
            <v xml:space="preserve">الخزينة </v>
          </cell>
        </row>
        <row r="1060">
          <cell r="A1060">
            <v>54</v>
          </cell>
          <cell r="B1060">
            <v>46042</v>
          </cell>
          <cell r="C1060">
            <v>20</v>
          </cell>
          <cell r="D1060" t="str">
            <v xml:space="preserve">الخزينة </v>
          </cell>
        </row>
        <row r="1061">
          <cell r="A1061">
            <v>54</v>
          </cell>
          <cell r="B1061">
            <v>46049</v>
          </cell>
          <cell r="C1061">
            <v>20</v>
          </cell>
          <cell r="D1061" t="str">
            <v xml:space="preserve">الخزينة </v>
          </cell>
        </row>
        <row r="1062">
          <cell r="A1062">
            <v>54</v>
          </cell>
          <cell r="B1062">
            <v>46049</v>
          </cell>
          <cell r="C1062">
            <v>20</v>
          </cell>
          <cell r="D1062" t="str">
            <v xml:space="preserve">الخزينة </v>
          </cell>
        </row>
        <row r="1063">
          <cell r="A1063">
            <v>54</v>
          </cell>
          <cell r="B1063">
            <v>46053</v>
          </cell>
          <cell r="C1063">
            <v>20</v>
          </cell>
          <cell r="D1063" t="str">
            <v xml:space="preserve">الخزينة </v>
          </cell>
        </row>
        <row r="1064">
          <cell r="A1064">
            <v>54</v>
          </cell>
          <cell r="B1064">
            <v>46054</v>
          </cell>
          <cell r="C1064">
            <v>20</v>
          </cell>
          <cell r="D1064" t="str">
            <v xml:space="preserve">الخزينة </v>
          </cell>
        </row>
        <row r="1065">
          <cell r="A1065">
            <v>54</v>
          </cell>
          <cell r="B1065">
            <v>46054</v>
          </cell>
          <cell r="C1065">
            <v>20</v>
          </cell>
          <cell r="D1065" t="str">
            <v xml:space="preserve">الخزينة </v>
          </cell>
        </row>
        <row r="1066">
          <cell r="A1066">
            <v>54</v>
          </cell>
          <cell r="B1066">
            <v>46054</v>
          </cell>
          <cell r="C1066">
            <v>20</v>
          </cell>
          <cell r="D1066" t="str">
            <v xml:space="preserve">الخزينة </v>
          </cell>
        </row>
        <row r="1067">
          <cell r="A1067">
            <v>54</v>
          </cell>
          <cell r="B1067">
            <v>46055</v>
          </cell>
          <cell r="C1067">
            <v>20</v>
          </cell>
          <cell r="D1067" t="str">
            <v xml:space="preserve">الخزينة </v>
          </cell>
        </row>
        <row r="1068">
          <cell r="A1068">
            <v>54</v>
          </cell>
          <cell r="B1068">
            <v>46056</v>
          </cell>
          <cell r="C1068">
            <v>20</v>
          </cell>
          <cell r="D1068" t="str">
            <v xml:space="preserve">الخزينة </v>
          </cell>
        </row>
        <row r="1069">
          <cell r="A1069">
            <v>54</v>
          </cell>
          <cell r="B1069">
            <v>46058</v>
          </cell>
          <cell r="C1069">
            <v>20</v>
          </cell>
          <cell r="D1069" t="str">
            <v xml:space="preserve">الخزينة </v>
          </cell>
        </row>
        <row r="1070">
          <cell r="A1070">
            <v>54</v>
          </cell>
          <cell r="B1070">
            <v>46064</v>
          </cell>
          <cell r="C1070">
            <v>20</v>
          </cell>
          <cell r="D1070" t="str">
            <v xml:space="preserve">الخزينة </v>
          </cell>
        </row>
        <row r="1071">
          <cell r="A1071">
            <v>54</v>
          </cell>
          <cell r="B1071">
            <v>46069</v>
          </cell>
          <cell r="C1071">
            <v>20</v>
          </cell>
          <cell r="D1071" t="str">
            <v xml:space="preserve">الخزينة </v>
          </cell>
        </row>
        <row r="1072">
          <cell r="A1072">
            <v>54</v>
          </cell>
          <cell r="B1072">
            <v>46071</v>
          </cell>
          <cell r="C1072">
            <v>20</v>
          </cell>
          <cell r="D1072" t="str">
            <v xml:space="preserve">الخزينة </v>
          </cell>
        </row>
        <row r="1073">
          <cell r="A1073">
            <v>54</v>
          </cell>
          <cell r="B1073">
            <v>46071</v>
          </cell>
          <cell r="C1073">
            <v>20</v>
          </cell>
          <cell r="D1073" t="str">
            <v xml:space="preserve">الخزينة </v>
          </cell>
        </row>
        <row r="1074">
          <cell r="A1074">
            <v>54</v>
          </cell>
          <cell r="B1074">
            <v>46081</v>
          </cell>
          <cell r="C1074">
            <v>20</v>
          </cell>
          <cell r="D1074" t="str">
            <v xml:space="preserve">الخزينة </v>
          </cell>
        </row>
        <row r="1075">
          <cell r="A1075">
            <v>54</v>
          </cell>
          <cell r="B1075">
            <v>46084</v>
          </cell>
          <cell r="C1075">
            <v>20</v>
          </cell>
          <cell r="D1075" t="str">
            <v xml:space="preserve">الخزينة </v>
          </cell>
        </row>
        <row r="1076">
          <cell r="A1076">
            <v>54</v>
          </cell>
          <cell r="B1076">
            <v>46084</v>
          </cell>
          <cell r="C1076">
            <v>20</v>
          </cell>
          <cell r="D1076" t="str">
            <v xml:space="preserve">الخزينة </v>
          </cell>
        </row>
        <row r="1077">
          <cell r="A1077">
            <v>54</v>
          </cell>
          <cell r="B1077">
            <v>46096</v>
          </cell>
          <cell r="C1077">
            <v>20</v>
          </cell>
          <cell r="D1077" t="str">
            <v xml:space="preserve">الخزينة </v>
          </cell>
        </row>
        <row r="1078">
          <cell r="A1078">
            <v>54</v>
          </cell>
          <cell r="B1078">
            <v>46096</v>
          </cell>
          <cell r="C1078">
            <v>20</v>
          </cell>
          <cell r="D1078" t="str">
            <v xml:space="preserve">الخزينة </v>
          </cell>
        </row>
        <row r="1079">
          <cell r="A1079">
            <v>54</v>
          </cell>
          <cell r="B1079">
            <v>46098</v>
          </cell>
          <cell r="C1079">
            <v>20</v>
          </cell>
          <cell r="D1079" t="str">
            <v xml:space="preserve">الخزينة </v>
          </cell>
        </row>
        <row r="1080">
          <cell r="A1080">
            <v>54</v>
          </cell>
          <cell r="B1080">
            <v>46098</v>
          </cell>
          <cell r="C1080">
            <v>20</v>
          </cell>
          <cell r="D1080" t="str">
            <v xml:space="preserve">الخزينة </v>
          </cell>
        </row>
        <row r="1081">
          <cell r="A1081">
            <v>54</v>
          </cell>
          <cell r="B1081">
            <v>46099</v>
          </cell>
          <cell r="C1081">
            <v>20</v>
          </cell>
          <cell r="D1081" t="str">
            <v xml:space="preserve">الخزينة </v>
          </cell>
        </row>
        <row r="1082">
          <cell r="A1082">
            <v>54</v>
          </cell>
          <cell r="B1082">
            <v>46099</v>
          </cell>
          <cell r="C1082">
            <v>20</v>
          </cell>
          <cell r="D1082" t="str">
            <v xml:space="preserve">الخزينة </v>
          </cell>
        </row>
        <row r="1083">
          <cell r="A1083">
            <v>54</v>
          </cell>
          <cell r="B1083">
            <v>46099</v>
          </cell>
          <cell r="C1083">
            <v>20</v>
          </cell>
          <cell r="D1083" t="str">
            <v xml:space="preserve">الخزينة </v>
          </cell>
        </row>
        <row r="1084">
          <cell r="A1084">
            <v>54</v>
          </cell>
          <cell r="B1084">
            <v>46110</v>
          </cell>
          <cell r="C1084">
            <v>20</v>
          </cell>
          <cell r="D1084" t="str">
            <v xml:space="preserve">الخزينة </v>
          </cell>
        </row>
        <row r="1085">
          <cell r="A1085">
            <v>54</v>
          </cell>
          <cell r="B1085">
            <v>46112</v>
          </cell>
          <cell r="C1085">
            <v>20</v>
          </cell>
          <cell r="D1085" t="str">
            <v xml:space="preserve">الخزينة </v>
          </cell>
        </row>
        <row r="1086">
          <cell r="A1086">
            <v>54</v>
          </cell>
          <cell r="B1086">
            <v>46112</v>
          </cell>
          <cell r="C1086">
            <v>20</v>
          </cell>
          <cell r="D1086" t="str">
            <v xml:space="preserve">الخزينة </v>
          </cell>
        </row>
        <row r="1087">
          <cell r="A1087">
            <v>54</v>
          </cell>
          <cell r="B1087">
            <v>46116</v>
          </cell>
          <cell r="C1087">
            <v>20</v>
          </cell>
          <cell r="D1087" t="str">
            <v xml:space="preserve">الخزينة </v>
          </cell>
        </row>
        <row r="1088">
          <cell r="A1088">
            <v>54</v>
          </cell>
          <cell r="B1088">
            <v>46116</v>
          </cell>
          <cell r="C1088">
            <v>20</v>
          </cell>
          <cell r="D1088" t="str">
            <v xml:space="preserve">الخزينة </v>
          </cell>
        </row>
        <row r="1089">
          <cell r="A1089">
            <v>54</v>
          </cell>
          <cell r="B1089">
            <v>46117</v>
          </cell>
          <cell r="C1089">
            <v>20</v>
          </cell>
          <cell r="D1089" t="str">
            <v xml:space="preserve">الخزينة </v>
          </cell>
        </row>
        <row r="1090">
          <cell r="A1090">
            <v>54</v>
          </cell>
          <cell r="B1090">
            <v>46121</v>
          </cell>
          <cell r="C1090">
            <v>20</v>
          </cell>
          <cell r="D1090" t="str">
            <v xml:space="preserve">الخزينة </v>
          </cell>
        </row>
        <row r="1091">
          <cell r="A1091">
            <v>54</v>
          </cell>
          <cell r="B1091">
            <v>46126</v>
          </cell>
          <cell r="C1091">
            <v>20</v>
          </cell>
          <cell r="D1091" t="str">
            <v xml:space="preserve">الخزينة </v>
          </cell>
        </row>
        <row r="1092">
          <cell r="A1092">
            <v>54</v>
          </cell>
          <cell r="B1092">
            <v>46128</v>
          </cell>
          <cell r="C1092">
            <v>20</v>
          </cell>
          <cell r="D1092" t="str">
            <v xml:space="preserve">الخزينة </v>
          </cell>
        </row>
        <row r="1093">
          <cell r="A1093">
            <v>54</v>
          </cell>
          <cell r="B1093">
            <v>46132</v>
          </cell>
          <cell r="C1093">
            <v>20</v>
          </cell>
          <cell r="D1093" t="str">
            <v xml:space="preserve">الخزينة </v>
          </cell>
        </row>
        <row r="1094">
          <cell r="A1094">
            <v>54</v>
          </cell>
          <cell r="B1094">
            <v>46134</v>
          </cell>
          <cell r="C1094">
            <v>20</v>
          </cell>
          <cell r="D1094" t="str">
            <v xml:space="preserve">الخزينة </v>
          </cell>
        </row>
        <row r="1095">
          <cell r="A1095">
            <v>54</v>
          </cell>
          <cell r="B1095">
            <v>46138</v>
          </cell>
          <cell r="C1095">
            <v>20</v>
          </cell>
          <cell r="D1095" t="str">
            <v xml:space="preserve">الخزينة </v>
          </cell>
        </row>
        <row r="1096">
          <cell r="A1096">
            <v>54</v>
          </cell>
          <cell r="B1096">
            <v>46144</v>
          </cell>
          <cell r="C1096">
            <v>20</v>
          </cell>
          <cell r="D1096" t="str">
            <v xml:space="preserve">الخزينة </v>
          </cell>
        </row>
        <row r="1097">
          <cell r="A1097">
            <v>54</v>
          </cell>
          <cell r="B1097">
            <v>46147</v>
          </cell>
          <cell r="C1097">
            <v>20</v>
          </cell>
          <cell r="D1097" t="str">
            <v xml:space="preserve">الخزينة </v>
          </cell>
        </row>
        <row r="1098">
          <cell r="A1098">
            <v>54</v>
          </cell>
          <cell r="B1098">
            <v>46147</v>
          </cell>
          <cell r="C1098">
            <v>20</v>
          </cell>
          <cell r="D1098" t="str">
            <v xml:space="preserve">الخزينة </v>
          </cell>
        </row>
        <row r="1099">
          <cell r="A1099">
            <v>54</v>
          </cell>
          <cell r="B1099">
            <v>46147</v>
          </cell>
          <cell r="C1099">
            <v>20</v>
          </cell>
          <cell r="D1099" t="str">
            <v xml:space="preserve">الخزينة </v>
          </cell>
        </row>
        <row r="1100">
          <cell r="A1100">
            <v>54</v>
          </cell>
          <cell r="B1100">
            <v>46151</v>
          </cell>
          <cell r="C1100">
            <v>20</v>
          </cell>
          <cell r="D1100" t="str">
            <v xml:space="preserve">الخزينة </v>
          </cell>
        </row>
        <row r="1101">
          <cell r="A1101">
            <v>54</v>
          </cell>
          <cell r="B1101">
            <v>46159</v>
          </cell>
          <cell r="C1101">
            <v>20</v>
          </cell>
          <cell r="D1101" t="str">
            <v xml:space="preserve">الخزينة </v>
          </cell>
        </row>
        <row r="1102">
          <cell r="A1102">
            <v>54</v>
          </cell>
          <cell r="B1102">
            <v>46161</v>
          </cell>
          <cell r="C1102">
            <v>20</v>
          </cell>
          <cell r="D1102" t="str">
            <v xml:space="preserve">الخزينة </v>
          </cell>
        </row>
        <row r="1103">
          <cell r="A1103">
            <v>54</v>
          </cell>
          <cell r="B1103">
            <v>46167</v>
          </cell>
          <cell r="C1103">
            <v>20</v>
          </cell>
          <cell r="D1103" t="str">
            <v xml:space="preserve">الخزينة </v>
          </cell>
        </row>
        <row r="1104">
          <cell r="A1104">
            <v>54</v>
          </cell>
          <cell r="B1104">
            <v>46168</v>
          </cell>
          <cell r="C1104">
            <v>20</v>
          </cell>
          <cell r="D1104" t="str">
            <v xml:space="preserve">الخزينة </v>
          </cell>
        </row>
        <row r="1105">
          <cell r="A1105">
            <v>54</v>
          </cell>
          <cell r="B1105">
            <v>46174</v>
          </cell>
          <cell r="C1105">
            <v>20</v>
          </cell>
          <cell r="D1105" t="str">
            <v xml:space="preserve">الخزينة </v>
          </cell>
        </row>
        <row r="1106">
          <cell r="A1106">
            <v>54</v>
          </cell>
          <cell r="B1106">
            <v>46175</v>
          </cell>
          <cell r="C1106">
            <v>20</v>
          </cell>
          <cell r="D1106" t="str">
            <v xml:space="preserve">الخزينة </v>
          </cell>
        </row>
        <row r="1107">
          <cell r="A1107">
            <v>54</v>
          </cell>
          <cell r="B1107">
            <v>46177</v>
          </cell>
          <cell r="C1107">
            <v>20</v>
          </cell>
          <cell r="D1107" t="str">
            <v xml:space="preserve">الخزينة </v>
          </cell>
        </row>
        <row r="1108">
          <cell r="A1108">
            <v>54</v>
          </cell>
          <cell r="B1108">
            <v>46177</v>
          </cell>
          <cell r="C1108">
            <v>20</v>
          </cell>
          <cell r="D1108" t="str">
            <v xml:space="preserve">الخزينة </v>
          </cell>
        </row>
        <row r="1109">
          <cell r="A1109">
            <v>54</v>
          </cell>
          <cell r="B1109">
            <v>46179</v>
          </cell>
          <cell r="C1109">
            <v>20</v>
          </cell>
          <cell r="D1109" t="str">
            <v xml:space="preserve">الخزينة </v>
          </cell>
        </row>
        <row r="1110">
          <cell r="A1110">
            <v>54</v>
          </cell>
          <cell r="B1110">
            <v>46184</v>
          </cell>
          <cell r="C1110">
            <v>20</v>
          </cell>
          <cell r="D1110" t="str">
            <v xml:space="preserve">الخزينة </v>
          </cell>
        </row>
        <row r="1111">
          <cell r="A1111">
            <v>55</v>
          </cell>
          <cell r="B1111">
            <v>46133</v>
          </cell>
          <cell r="C1111" t="str">
            <v>401-12</v>
          </cell>
          <cell r="D1111" t="str">
            <v>خامات ومصنعية بند السباكة والصحي</v>
          </cell>
        </row>
        <row r="1112">
          <cell r="A1112">
            <v>55</v>
          </cell>
          <cell r="B1112">
            <v>46151</v>
          </cell>
          <cell r="C1112" t="str">
            <v>401-12</v>
          </cell>
          <cell r="D1112" t="str">
            <v>خامات ومصنعية بند السباكة والصحي</v>
          </cell>
        </row>
        <row r="1113">
          <cell r="A1113">
            <v>55</v>
          </cell>
          <cell r="B1113">
            <v>46159</v>
          </cell>
          <cell r="C1113" t="str">
            <v>401-12</v>
          </cell>
          <cell r="D1113" t="str">
            <v>خامات ومصنعية بند السباكة والصحي</v>
          </cell>
        </row>
        <row r="1114">
          <cell r="A1114">
            <v>55</v>
          </cell>
          <cell r="B1114">
            <v>46065</v>
          </cell>
          <cell r="C1114" t="str">
            <v>372-12</v>
          </cell>
          <cell r="D1114" t="str">
            <v>خامات ومصنعية بند السباكة والصحي</v>
          </cell>
        </row>
        <row r="1115">
          <cell r="A1115">
            <v>55</v>
          </cell>
          <cell r="B1115">
            <v>46037</v>
          </cell>
          <cell r="C1115" t="str">
            <v>364-12</v>
          </cell>
          <cell r="D1115" t="str">
            <v>خامات ومصنعية بند السباكة والصحي</v>
          </cell>
        </row>
        <row r="1116">
          <cell r="A1116">
            <v>55</v>
          </cell>
          <cell r="B1116">
            <v>46063</v>
          </cell>
          <cell r="C1116" t="str">
            <v>364-12</v>
          </cell>
          <cell r="D1116" t="str">
            <v>خامات ومصنعية بند السباكة والصحي</v>
          </cell>
        </row>
        <row r="1117">
          <cell r="A1117">
            <v>55</v>
          </cell>
          <cell r="B1117">
            <v>46063</v>
          </cell>
          <cell r="C1117" t="str">
            <v>364-12</v>
          </cell>
          <cell r="D1117" t="str">
            <v>خامات ومصنعية بند السباكة والصحي</v>
          </cell>
        </row>
        <row r="1118">
          <cell r="A1118">
            <v>55</v>
          </cell>
          <cell r="B1118">
            <v>46077</v>
          </cell>
          <cell r="C1118" t="str">
            <v>364-12</v>
          </cell>
          <cell r="D1118" t="str">
            <v>خامات ومصنعية بند السباكة والصحي</v>
          </cell>
        </row>
        <row r="1119">
          <cell r="A1119">
            <v>55</v>
          </cell>
          <cell r="B1119">
            <v>46029</v>
          </cell>
          <cell r="C1119" t="str">
            <v>235-12</v>
          </cell>
          <cell r="D1119" t="str">
            <v>خامات ومصنعية بند السباكة والصحي</v>
          </cell>
        </row>
        <row r="1120">
          <cell r="A1120">
            <v>55</v>
          </cell>
          <cell r="B1120">
            <v>46039</v>
          </cell>
          <cell r="C1120" t="str">
            <v>235-12</v>
          </cell>
          <cell r="D1120" t="str">
            <v>خامات ومصنعية بند السباكة والصحي</v>
          </cell>
        </row>
        <row r="1121">
          <cell r="A1121">
            <v>55</v>
          </cell>
          <cell r="B1121">
            <v>46043</v>
          </cell>
          <cell r="C1121" t="str">
            <v>235-12</v>
          </cell>
          <cell r="D1121" t="str">
            <v>خامات ومصنعية بند السباكة والصحي</v>
          </cell>
        </row>
        <row r="1122">
          <cell r="A1122">
            <v>55</v>
          </cell>
          <cell r="B1122">
            <v>46051</v>
          </cell>
          <cell r="C1122" t="str">
            <v>235-12</v>
          </cell>
          <cell r="D1122" t="str">
            <v>خامات ومصنعية بند السباكة والصحي</v>
          </cell>
        </row>
        <row r="1123">
          <cell r="A1123">
            <v>55</v>
          </cell>
          <cell r="B1123">
            <v>46058</v>
          </cell>
          <cell r="C1123" t="str">
            <v>235-12</v>
          </cell>
          <cell r="D1123" t="str">
            <v>خامات ومصنعية بند السباكة والصحي</v>
          </cell>
        </row>
        <row r="1124">
          <cell r="A1124">
            <v>55</v>
          </cell>
          <cell r="B1124">
            <v>46058</v>
          </cell>
          <cell r="C1124" t="str">
            <v>235-12</v>
          </cell>
          <cell r="D1124" t="str">
            <v>خامات ومصنعية بند السباكة والصحي</v>
          </cell>
        </row>
        <row r="1125">
          <cell r="A1125">
            <v>55</v>
          </cell>
          <cell r="B1125">
            <v>46084</v>
          </cell>
          <cell r="C1125" t="str">
            <v>235-12</v>
          </cell>
          <cell r="D1125" t="str">
            <v>خامات ومصنعية بند السباكة والصحي</v>
          </cell>
        </row>
        <row r="1126">
          <cell r="A1126">
            <v>55</v>
          </cell>
          <cell r="B1126">
            <v>46065</v>
          </cell>
          <cell r="C1126" t="str">
            <v>306-12</v>
          </cell>
          <cell r="D1126" t="str">
            <v>خامات ومصنعية بند السباكة والصحي</v>
          </cell>
        </row>
        <row r="1127">
          <cell r="A1127">
            <v>55</v>
          </cell>
          <cell r="B1127">
            <v>46161</v>
          </cell>
          <cell r="C1127" t="str">
            <v>306-12</v>
          </cell>
          <cell r="D1127" t="str">
            <v>خامات ومصنعية بند السباكة والصحي</v>
          </cell>
        </row>
        <row r="1128">
          <cell r="A1128">
            <v>55</v>
          </cell>
          <cell r="B1128">
            <v>46121</v>
          </cell>
          <cell r="C1128" t="str">
            <v>361-12</v>
          </cell>
          <cell r="D1128" t="str">
            <v>خامات ومصنعية بند السباكة والصحي</v>
          </cell>
        </row>
        <row r="1129">
          <cell r="A1129">
            <v>55</v>
          </cell>
          <cell r="B1129">
            <v>46078</v>
          </cell>
          <cell r="C1129" t="str">
            <v>345-12</v>
          </cell>
          <cell r="D1129" t="str">
            <v>خامات ومصنعية بند السباكة والصحي</v>
          </cell>
        </row>
        <row r="1130">
          <cell r="A1130">
            <v>55</v>
          </cell>
          <cell r="B1130">
            <v>46086</v>
          </cell>
          <cell r="C1130" t="str">
            <v>345-12</v>
          </cell>
          <cell r="D1130" t="str">
            <v>خامات ومصنعية بند السباكة والصحي</v>
          </cell>
        </row>
        <row r="1131">
          <cell r="A1131">
            <v>55</v>
          </cell>
          <cell r="B1131">
            <v>46111</v>
          </cell>
          <cell r="C1131" t="str">
            <v>345-12</v>
          </cell>
          <cell r="D1131" t="str">
            <v>خامات ومصنعية بند السباكة والصحي</v>
          </cell>
        </row>
        <row r="1132">
          <cell r="A1132">
            <v>55</v>
          </cell>
          <cell r="B1132">
            <v>46126</v>
          </cell>
          <cell r="C1132" t="str">
            <v>345-12</v>
          </cell>
          <cell r="D1132" t="str">
            <v>خامات ومصنعية بند السباكة والصحي</v>
          </cell>
        </row>
        <row r="1133">
          <cell r="A1133">
            <v>55</v>
          </cell>
          <cell r="B1133">
            <v>46063</v>
          </cell>
          <cell r="C1133" t="str">
            <v>5100-12</v>
          </cell>
          <cell r="D1133" t="str">
            <v>خامات ومصنعية بند السباكة والصحي</v>
          </cell>
        </row>
        <row r="1134">
          <cell r="A1134">
            <v>55</v>
          </cell>
          <cell r="B1134">
            <v>46047</v>
          </cell>
          <cell r="C1134" t="str">
            <v>341-12</v>
          </cell>
          <cell r="D1134" t="str">
            <v>خامات ومصنعية بند السباكة والصحي</v>
          </cell>
        </row>
        <row r="1135">
          <cell r="A1135">
            <v>55</v>
          </cell>
          <cell r="B1135">
            <v>46071</v>
          </cell>
          <cell r="C1135" t="str">
            <v>341-12</v>
          </cell>
          <cell r="D1135" t="str">
            <v>خامات ومصنعية بند السباكة والصحي</v>
          </cell>
        </row>
        <row r="1136">
          <cell r="A1136">
            <v>55</v>
          </cell>
          <cell r="B1136">
            <v>46092</v>
          </cell>
          <cell r="C1136" t="str">
            <v>341-12</v>
          </cell>
          <cell r="D1136" t="str">
            <v>خامات ومصنعية بند السباكة والصحي</v>
          </cell>
        </row>
        <row r="1137">
          <cell r="A1137">
            <v>55</v>
          </cell>
          <cell r="B1137">
            <v>46121</v>
          </cell>
          <cell r="C1137" t="str">
            <v>341-12</v>
          </cell>
          <cell r="D1137" t="str">
            <v>خامات ومصنعية بند السباكة والصحي</v>
          </cell>
        </row>
        <row r="1138">
          <cell r="A1138">
            <v>55</v>
          </cell>
          <cell r="B1138">
            <v>46123</v>
          </cell>
          <cell r="C1138" t="str">
            <v>341-12</v>
          </cell>
          <cell r="D1138" t="str">
            <v>خامات ومصنعية بند السباكة والصحي</v>
          </cell>
        </row>
        <row r="1139">
          <cell r="A1139">
            <v>55</v>
          </cell>
          <cell r="B1139">
            <v>46156</v>
          </cell>
          <cell r="C1139" t="str">
            <v>341-12</v>
          </cell>
          <cell r="D1139" t="str">
            <v>خامات ومصنعية بند السباكة والصحي</v>
          </cell>
        </row>
        <row r="1140">
          <cell r="A1140">
            <v>55</v>
          </cell>
          <cell r="B1140">
            <v>46161</v>
          </cell>
          <cell r="C1140" t="str">
            <v>341-12</v>
          </cell>
          <cell r="D1140" t="str">
            <v>خامات ومصنعية بند السباكة والصحي</v>
          </cell>
        </row>
        <row r="1141">
          <cell r="A1141">
            <v>55</v>
          </cell>
          <cell r="B1141">
            <v>46163</v>
          </cell>
          <cell r="C1141" t="str">
            <v>341-12</v>
          </cell>
          <cell r="D1141" t="str">
            <v>خامات ومصنعية بند السباكة والصحي</v>
          </cell>
        </row>
        <row r="1142">
          <cell r="A1142">
            <v>55</v>
          </cell>
          <cell r="B1142">
            <v>46037</v>
          </cell>
          <cell r="C1142" t="str">
            <v>388-12</v>
          </cell>
          <cell r="D1142" t="str">
            <v>خامات ومصنعية بند السباكة والصحي</v>
          </cell>
        </row>
        <row r="1143">
          <cell r="A1143">
            <v>55</v>
          </cell>
          <cell r="B1143">
            <v>46037</v>
          </cell>
          <cell r="C1143" t="str">
            <v>388-12</v>
          </cell>
          <cell r="D1143" t="str">
            <v>خامات ومصنعية بند السباكة والصحي</v>
          </cell>
        </row>
        <row r="1144">
          <cell r="A1144">
            <v>55</v>
          </cell>
          <cell r="B1144">
            <v>46042</v>
          </cell>
          <cell r="C1144" t="str">
            <v>388-12</v>
          </cell>
          <cell r="D1144" t="str">
            <v>خامات ومصنعية بند السباكة والصحي</v>
          </cell>
        </row>
        <row r="1145">
          <cell r="A1145">
            <v>55</v>
          </cell>
          <cell r="B1145">
            <v>46046</v>
          </cell>
          <cell r="C1145" t="str">
            <v>388-12</v>
          </cell>
          <cell r="D1145" t="str">
            <v>خامات ومصنعية بند السباكة والصحي</v>
          </cell>
        </row>
        <row r="1146">
          <cell r="A1146">
            <v>55</v>
          </cell>
          <cell r="B1146">
            <v>46046</v>
          </cell>
          <cell r="C1146" t="str">
            <v>388-12</v>
          </cell>
          <cell r="D1146" t="str">
            <v>خامات ومصنعية بند السباكة والصحي</v>
          </cell>
        </row>
        <row r="1147">
          <cell r="A1147">
            <v>55</v>
          </cell>
          <cell r="B1147">
            <v>46046</v>
          </cell>
          <cell r="C1147" t="str">
            <v>388-12</v>
          </cell>
          <cell r="D1147" t="str">
            <v>خامات ومصنعية بند السباكة والصحي</v>
          </cell>
        </row>
        <row r="1148">
          <cell r="A1148">
            <v>55</v>
          </cell>
          <cell r="B1148">
            <v>46050</v>
          </cell>
          <cell r="C1148" t="str">
            <v>388-12</v>
          </cell>
          <cell r="D1148" t="str">
            <v>خامات ومصنعية بند السباكة والصحي</v>
          </cell>
        </row>
        <row r="1149">
          <cell r="A1149">
            <v>55</v>
          </cell>
          <cell r="B1149">
            <v>46121</v>
          </cell>
          <cell r="C1149" t="str">
            <v>388-12</v>
          </cell>
          <cell r="D1149" t="str">
            <v>خامات ومصنعية بند السباكة والصحي</v>
          </cell>
        </row>
        <row r="1150">
          <cell r="A1150">
            <v>55</v>
          </cell>
          <cell r="B1150">
            <v>46166</v>
          </cell>
          <cell r="C1150" t="str">
            <v>388-12</v>
          </cell>
          <cell r="D1150" t="str">
            <v>خامات ومصنعية بند السباكة والصحي</v>
          </cell>
        </row>
        <row r="1151">
          <cell r="A1151">
            <v>55</v>
          </cell>
          <cell r="B1151">
            <v>46133</v>
          </cell>
          <cell r="C1151" t="str">
            <v>398-12</v>
          </cell>
          <cell r="D1151" t="str">
            <v>خامات ومصنعية بند السباكة والصحي</v>
          </cell>
        </row>
        <row r="1152">
          <cell r="A1152">
            <v>55</v>
          </cell>
          <cell r="B1152">
            <v>46030</v>
          </cell>
          <cell r="C1152" t="str">
            <v>273-12</v>
          </cell>
          <cell r="D1152" t="str">
            <v>خامات ومصنعية بند السباكة والصحي</v>
          </cell>
        </row>
        <row r="1153">
          <cell r="A1153">
            <v>55</v>
          </cell>
          <cell r="B1153">
            <v>46097</v>
          </cell>
          <cell r="C1153" t="str">
            <v>273-12</v>
          </cell>
          <cell r="D1153" t="str">
            <v>خامات ومصنعية بند السباكة والصحي</v>
          </cell>
        </row>
        <row r="1154">
          <cell r="A1154">
            <v>55</v>
          </cell>
          <cell r="B1154">
            <v>46064</v>
          </cell>
          <cell r="C1154" t="str">
            <v>350-12</v>
          </cell>
          <cell r="D1154" t="str">
            <v>خامات ومصنعية بند السباكة والصحي</v>
          </cell>
        </row>
        <row r="1155">
          <cell r="A1155">
            <v>55</v>
          </cell>
          <cell r="B1155">
            <v>46065</v>
          </cell>
          <cell r="C1155" t="str">
            <v>350-12</v>
          </cell>
          <cell r="D1155" t="str">
            <v>خامات ومصنعية بند السباكة والصحي</v>
          </cell>
        </row>
        <row r="1156">
          <cell r="A1156">
            <v>55</v>
          </cell>
          <cell r="B1156">
            <v>46070</v>
          </cell>
          <cell r="C1156" t="str">
            <v>350-12</v>
          </cell>
          <cell r="D1156" t="str">
            <v>خامات ومصنعية بند السباكة والصحي</v>
          </cell>
        </row>
        <row r="1157">
          <cell r="A1157">
            <v>55</v>
          </cell>
          <cell r="B1157">
            <v>46084</v>
          </cell>
          <cell r="C1157" t="str">
            <v>350-12</v>
          </cell>
          <cell r="D1157" t="str">
            <v>خامات ومصنعية بند السباكة والصحي</v>
          </cell>
        </row>
        <row r="1158">
          <cell r="A1158">
            <v>55</v>
          </cell>
          <cell r="B1158">
            <v>46120</v>
          </cell>
          <cell r="C1158" t="str">
            <v>318-12</v>
          </cell>
          <cell r="D1158" t="str">
            <v>خامات ومصنعية بند السباكة والصحي</v>
          </cell>
        </row>
        <row r="1159">
          <cell r="A1159">
            <v>55</v>
          </cell>
          <cell r="B1159">
            <v>46148</v>
          </cell>
          <cell r="C1159" t="str">
            <v>318-12</v>
          </cell>
          <cell r="D1159" t="str">
            <v>خامات ومصنعية بند السباكة والصحي</v>
          </cell>
        </row>
        <row r="1160">
          <cell r="A1160">
            <v>55</v>
          </cell>
          <cell r="B1160">
            <v>46159</v>
          </cell>
          <cell r="C1160" t="str">
            <v>318-12</v>
          </cell>
          <cell r="D1160" t="str">
            <v>خامات ومصنعية بند السباكة والصحي</v>
          </cell>
        </row>
        <row r="1161">
          <cell r="A1161">
            <v>55</v>
          </cell>
          <cell r="B1161">
            <v>46042</v>
          </cell>
          <cell r="C1161" t="str">
            <v>287-12</v>
          </cell>
          <cell r="D1161" t="str">
            <v>خامات ومصنعية بند السباكة والصحي</v>
          </cell>
        </row>
        <row r="1162">
          <cell r="A1162">
            <v>55</v>
          </cell>
          <cell r="B1162">
            <v>46121</v>
          </cell>
          <cell r="C1162" t="str">
            <v>365-12</v>
          </cell>
          <cell r="D1162" t="str">
            <v>خامات ومصنعية بند السباكة والصحي</v>
          </cell>
        </row>
        <row r="1163">
          <cell r="A1163">
            <v>55</v>
          </cell>
          <cell r="B1163">
            <v>46133</v>
          </cell>
          <cell r="C1163" t="str">
            <v>365-12</v>
          </cell>
          <cell r="D1163" t="str">
            <v>خامات ومصنعية بند السباكة والصحي</v>
          </cell>
        </row>
        <row r="1164">
          <cell r="A1164">
            <v>55</v>
          </cell>
          <cell r="B1164">
            <v>46184</v>
          </cell>
          <cell r="C1164" t="str">
            <v>365-12</v>
          </cell>
          <cell r="D1164" t="str">
            <v>خامات ومصنعية بند السباكة والصحي</v>
          </cell>
        </row>
        <row r="1165">
          <cell r="A1165">
            <v>55</v>
          </cell>
          <cell r="B1165">
            <v>46187</v>
          </cell>
          <cell r="C1165" t="str">
            <v>365-12</v>
          </cell>
          <cell r="D1165" t="str">
            <v>خامات ومصنعية بند السباكة والصحي</v>
          </cell>
        </row>
        <row r="1166">
          <cell r="A1166">
            <v>55</v>
          </cell>
          <cell r="B1166">
            <v>46146</v>
          </cell>
          <cell r="C1166" t="str">
            <v>354-12</v>
          </cell>
          <cell r="D1166" t="str">
            <v>خامات ومصنعية بند السباكة والصحي</v>
          </cell>
        </row>
        <row r="1167">
          <cell r="A1167">
            <v>55</v>
          </cell>
          <cell r="B1167">
            <v>46184</v>
          </cell>
          <cell r="C1167" t="str">
            <v>354-12</v>
          </cell>
          <cell r="D1167" t="str">
            <v>خامات ومصنعية بند السباكة والصحي</v>
          </cell>
        </row>
        <row r="1168">
          <cell r="A1168">
            <v>55</v>
          </cell>
          <cell r="B1168">
            <v>46133</v>
          </cell>
          <cell r="C1168">
            <v>20</v>
          </cell>
          <cell r="D1168" t="str">
            <v xml:space="preserve">الخزينة </v>
          </cell>
        </row>
        <row r="1169">
          <cell r="A1169">
            <v>55</v>
          </cell>
          <cell r="B1169">
            <v>46151</v>
          </cell>
          <cell r="C1169">
            <v>20</v>
          </cell>
          <cell r="D1169" t="str">
            <v xml:space="preserve">الخزينة </v>
          </cell>
        </row>
        <row r="1170">
          <cell r="A1170">
            <v>55</v>
          </cell>
          <cell r="B1170">
            <v>46159</v>
          </cell>
          <cell r="C1170">
            <v>20</v>
          </cell>
          <cell r="D1170" t="str">
            <v xml:space="preserve">الخزينة </v>
          </cell>
        </row>
        <row r="1171">
          <cell r="A1171">
            <v>55</v>
          </cell>
          <cell r="B1171">
            <v>46065</v>
          </cell>
          <cell r="C1171">
            <v>20</v>
          </cell>
          <cell r="D1171" t="str">
            <v xml:space="preserve">الخزينة </v>
          </cell>
        </row>
        <row r="1172">
          <cell r="A1172">
            <v>55</v>
          </cell>
          <cell r="B1172">
            <v>46037</v>
          </cell>
          <cell r="C1172">
            <v>20</v>
          </cell>
          <cell r="D1172" t="str">
            <v xml:space="preserve">الخزينة </v>
          </cell>
        </row>
        <row r="1173">
          <cell r="A1173">
            <v>55</v>
          </cell>
          <cell r="B1173">
            <v>46063</v>
          </cell>
          <cell r="C1173">
            <v>20</v>
          </cell>
          <cell r="D1173" t="str">
            <v xml:space="preserve">الخزينة </v>
          </cell>
        </row>
        <row r="1174">
          <cell r="A1174">
            <v>55</v>
          </cell>
          <cell r="B1174">
            <v>46063</v>
          </cell>
          <cell r="C1174">
            <v>20</v>
          </cell>
          <cell r="D1174" t="str">
            <v xml:space="preserve">الخزينة </v>
          </cell>
        </row>
        <row r="1175">
          <cell r="A1175">
            <v>55</v>
          </cell>
          <cell r="B1175">
            <v>46077</v>
          </cell>
          <cell r="C1175">
            <v>20</v>
          </cell>
          <cell r="D1175" t="str">
            <v xml:space="preserve">الخزينة </v>
          </cell>
        </row>
        <row r="1176">
          <cell r="A1176">
            <v>55</v>
          </cell>
          <cell r="B1176">
            <v>46029</v>
          </cell>
          <cell r="C1176">
            <v>20</v>
          </cell>
          <cell r="D1176" t="str">
            <v xml:space="preserve">الخزينة </v>
          </cell>
        </row>
        <row r="1177">
          <cell r="A1177">
            <v>55</v>
          </cell>
          <cell r="B1177">
            <v>46039</v>
          </cell>
          <cell r="C1177">
            <v>20</v>
          </cell>
          <cell r="D1177" t="str">
            <v xml:space="preserve">الخزينة </v>
          </cell>
        </row>
        <row r="1178">
          <cell r="A1178">
            <v>55</v>
          </cell>
          <cell r="B1178">
            <v>46043</v>
          </cell>
          <cell r="C1178">
            <v>20</v>
          </cell>
          <cell r="D1178" t="str">
            <v xml:space="preserve">الخزينة </v>
          </cell>
        </row>
        <row r="1179">
          <cell r="A1179">
            <v>55</v>
          </cell>
          <cell r="B1179">
            <v>46051</v>
          </cell>
          <cell r="C1179">
            <v>20</v>
          </cell>
          <cell r="D1179" t="str">
            <v xml:space="preserve">الخزينة </v>
          </cell>
        </row>
        <row r="1180">
          <cell r="A1180">
            <v>55</v>
          </cell>
          <cell r="B1180">
            <v>46058</v>
          </cell>
          <cell r="C1180">
            <v>20</v>
          </cell>
          <cell r="D1180" t="str">
            <v xml:space="preserve">الخزينة </v>
          </cell>
        </row>
        <row r="1181">
          <cell r="A1181">
            <v>55</v>
          </cell>
          <cell r="B1181">
            <v>46058</v>
          </cell>
          <cell r="C1181">
            <v>20</v>
          </cell>
          <cell r="D1181" t="str">
            <v xml:space="preserve">الخزينة </v>
          </cell>
        </row>
        <row r="1182">
          <cell r="A1182">
            <v>55</v>
          </cell>
          <cell r="B1182">
            <v>46084</v>
          </cell>
          <cell r="C1182">
            <v>20</v>
          </cell>
          <cell r="D1182" t="str">
            <v xml:space="preserve">الخزينة </v>
          </cell>
        </row>
        <row r="1183">
          <cell r="A1183">
            <v>55</v>
          </cell>
          <cell r="B1183">
            <v>46065</v>
          </cell>
          <cell r="C1183">
            <v>20</v>
          </cell>
          <cell r="D1183" t="str">
            <v xml:space="preserve">الخزينة </v>
          </cell>
        </row>
        <row r="1184">
          <cell r="A1184">
            <v>55</v>
          </cell>
          <cell r="B1184">
            <v>46161</v>
          </cell>
          <cell r="C1184">
            <v>20</v>
          </cell>
          <cell r="D1184" t="str">
            <v xml:space="preserve">الخزينة </v>
          </cell>
        </row>
        <row r="1185">
          <cell r="A1185">
            <v>55</v>
          </cell>
          <cell r="B1185">
            <v>46121</v>
          </cell>
          <cell r="C1185">
            <v>20</v>
          </cell>
          <cell r="D1185" t="str">
            <v xml:space="preserve">الخزينة </v>
          </cell>
        </row>
        <row r="1186">
          <cell r="A1186">
            <v>55</v>
          </cell>
          <cell r="B1186">
            <v>46078</v>
          </cell>
          <cell r="C1186">
            <v>20</v>
          </cell>
          <cell r="D1186" t="str">
            <v xml:space="preserve">الخزينة </v>
          </cell>
        </row>
        <row r="1187">
          <cell r="A1187">
            <v>55</v>
          </cell>
          <cell r="B1187">
            <v>46086</v>
          </cell>
          <cell r="C1187">
            <v>20</v>
          </cell>
          <cell r="D1187" t="str">
            <v xml:space="preserve">الخزينة </v>
          </cell>
        </row>
        <row r="1188">
          <cell r="A1188">
            <v>55</v>
          </cell>
          <cell r="B1188">
            <v>46111</v>
          </cell>
          <cell r="C1188">
            <v>20</v>
          </cell>
          <cell r="D1188" t="str">
            <v xml:space="preserve">الخزينة </v>
          </cell>
        </row>
        <row r="1189">
          <cell r="A1189">
            <v>55</v>
          </cell>
          <cell r="B1189">
            <v>46126</v>
          </cell>
          <cell r="C1189">
            <v>20</v>
          </cell>
          <cell r="D1189" t="str">
            <v xml:space="preserve">الخزينة </v>
          </cell>
        </row>
        <row r="1190">
          <cell r="A1190">
            <v>55</v>
          </cell>
          <cell r="B1190">
            <v>46063</v>
          </cell>
          <cell r="C1190">
            <v>20</v>
          </cell>
          <cell r="D1190" t="str">
            <v xml:space="preserve">الخزينة </v>
          </cell>
        </row>
        <row r="1191">
          <cell r="A1191">
            <v>55</v>
          </cell>
          <cell r="B1191">
            <v>46047</v>
          </cell>
          <cell r="C1191">
            <v>20</v>
          </cell>
          <cell r="D1191" t="str">
            <v xml:space="preserve">الخزينة </v>
          </cell>
        </row>
        <row r="1192">
          <cell r="A1192">
            <v>55</v>
          </cell>
          <cell r="B1192">
            <v>46071</v>
          </cell>
          <cell r="C1192">
            <v>20</v>
          </cell>
          <cell r="D1192" t="str">
            <v xml:space="preserve">الخزينة </v>
          </cell>
        </row>
        <row r="1193">
          <cell r="A1193">
            <v>55</v>
          </cell>
          <cell r="B1193">
            <v>46092</v>
          </cell>
          <cell r="C1193">
            <v>20</v>
          </cell>
          <cell r="D1193" t="str">
            <v xml:space="preserve">الخزينة </v>
          </cell>
        </row>
        <row r="1194">
          <cell r="A1194">
            <v>55</v>
          </cell>
          <cell r="B1194">
            <v>46121</v>
          </cell>
          <cell r="C1194">
            <v>20</v>
          </cell>
          <cell r="D1194" t="str">
            <v xml:space="preserve">الخزينة </v>
          </cell>
        </row>
        <row r="1195">
          <cell r="A1195">
            <v>55</v>
          </cell>
          <cell r="B1195">
            <v>46123</v>
          </cell>
          <cell r="C1195">
            <v>20</v>
          </cell>
          <cell r="D1195" t="str">
            <v xml:space="preserve">الخزينة </v>
          </cell>
        </row>
        <row r="1196">
          <cell r="A1196">
            <v>55</v>
          </cell>
          <cell r="B1196">
            <v>46156</v>
          </cell>
          <cell r="C1196">
            <v>20</v>
          </cell>
          <cell r="D1196" t="str">
            <v xml:space="preserve">الخزينة </v>
          </cell>
        </row>
        <row r="1197">
          <cell r="A1197">
            <v>55</v>
          </cell>
          <cell r="B1197">
            <v>46161</v>
          </cell>
          <cell r="C1197">
            <v>20</v>
          </cell>
          <cell r="D1197" t="str">
            <v xml:space="preserve">الخزينة </v>
          </cell>
        </row>
        <row r="1198">
          <cell r="A1198">
            <v>55</v>
          </cell>
          <cell r="B1198">
            <v>46163</v>
          </cell>
          <cell r="C1198">
            <v>20</v>
          </cell>
          <cell r="D1198" t="str">
            <v xml:space="preserve">الخزينة </v>
          </cell>
        </row>
        <row r="1199">
          <cell r="A1199">
            <v>55</v>
          </cell>
          <cell r="B1199">
            <v>46037</v>
          </cell>
          <cell r="C1199">
            <v>20</v>
          </cell>
          <cell r="D1199" t="str">
            <v xml:space="preserve">الخزينة </v>
          </cell>
        </row>
        <row r="1200">
          <cell r="A1200">
            <v>55</v>
          </cell>
          <cell r="B1200">
            <v>46037</v>
          </cell>
          <cell r="C1200">
            <v>20</v>
          </cell>
          <cell r="D1200" t="str">
            <v xml:space="preserve">الخزينة </v>
          </cell>
        </row>
        <row r="1201">
          <cell r="A1201">
            <v>55</v>
          </cell>
          <cell r="B1201">
            <v>46042</v>
          </cell>
          <cell r="C1201">
            <v>20</v>
          </cell>
          <cell r="D1201" t="str">
            <v xml:space="preserve">الخزينة </v>
          </cell>
        </row>
        <row r="1202">
          <cell r="A1202">
            <v>55</v>
          </cell>
          <cell r="B1202">
            <v>46046</v>
          </cell>
          <cell r="C1202">
            <v>20</v>
          </cell>
          <cell r="D1202" t="str">
            <v xml:space="preserve">الخزينة </v>
          </cell>
        </row>
        <row r="1203">
          <cell r="A1203">
            <v>55</v>
          </cell>
          <cell r="B1203">
            <v>46046</v>
          </cell>
          <cell r="C1203">
            <v>20</v>
          </cell>
          <cell r="D1203" t="str">
            <v xml:space="preserve">الخزينة </v>
          </cell>
        </row>
        <row r="1204">
          <cell r="A1204">
            <v>55</v>
          </cell>
          <cell r="B1204">
            <v>46046</v>
          </cell>
          <cell r="C1204">
            <v>20</v>
          </cell>
          <cell r="D1204" t="str">
            <v xml:space="preserve">الخزينة </v>
          </cell>
        </row>
        <row r="1205">
          <cell r="A1205">
            <v>55</v>
          </cell>
          <cell r="B1205">
            <v>46050</v>
          </cell>
          <cell r="C1205">
            <v>20</v>
          </cell>
          <cell r="D1205" t="str">
            <v xml:space="preserve">الخزينة </v>
          </cell>
        </row>
        <row r="1206">
          <cell r="A1206">
            <v>55</v>
          </cell>
          <cell r="B1206">
            <v>46121</v>
          </cell>
          <cell r="C1206">
            <v>20</v>
          </cell>
          <cell r="D1206" t="str">
            <v xml:space="preserve">الخزينة </v>
          </cell>
        </row>
        <row r="1207">
          <cell r="A1207">
            <v>55</v>
          </cell>
          <cell r="B1207">
            <v>46166</v>
          </cell>
          <cell r="C1207">
            <v>20</v>
          </cell>
          <cell r="D1207" t="str">
            <v xml:space="preserve">الخزينة </v>
          </cell>
        </row>
        <row r="1208">
          <cell r="A1208">
            <v>55</v>
          </cell>
          <cell r="B1208">
            <v>46133</v>
          </cell>
          <cell r="C1208">
            <v>20</v>
          </cell>
          <cell r="D1208" t="str">
            <v xml:space="preserve">الخزينة </v>
          </cell>
        </row>
        <row r="1209">
          <cell r="A1209">
            <v>55</v>
          </cell>
          <cell r="B1209">
            <v>46030</v>
          </cell>
          <cell r="C1209">
            <v>20</v>
          </cell>
          <cell r="D1209" t="str">
            <v xml:space="preserve">الخزينة </v>
          </cell>
        </row>
        <row r="1210">
          <cell r="A1210">
            <v>55</v>
          </cell>
          <cell r="B1210">
            <v>46097</v>
          </cell>
          <cell r="C1210">
            <v>20</v>
          </cell>
          <cell r="D1210" t="str">
            <v xml:space="preserve">الخزينة </v>
          </cell>
        </row>
        <row r="1211">
          <cell r="A1211">
            <v>55</v>
          </cell>
          <cell r="B1211">
            <v>46064</v>
          </cell>
          <cell r="C1211">
            <v>20</v>
          </cell>
          <cell r="D1211" t="str">
            <v xml:space="preserve">الخزينة </v>
          </cell>
        </row>
        <row r="1212">
          <cell r="A1212">
            <v>55</v>
          </cell>
          <cell r="B1212">
            <v>46065</v>
          </cell>
          <cell r="C1212">
            <v>20</v>
          </cell>
          <cell r="D1212" t="str">
            <v xml:space="preserve">الخزينة </v>
          </cell>
        </row>
        <row r="1213">
          <cell r="A1213">
            <v>55</v>
          </cell>
          <cell r="B1213">
            <v>46070</v>
          </cell>
          <cell r="C1213">
            <v>20</v>
          </cell>
          <cell r="D1213" t="str">
            <v xml:space="preserve">الخزينة </v>
          </cell>
        </row>
        <row r="1214">
          <cell r="A1214">
            <v>55</v>
          </cell>
          <cell r="B1214">
            <v>46084</v>
          </cell>
          <cell r="C1214">
            <v>20</v>
          </cell>
          <cell r="D1214" t="str">
            <v xml:space="preserve">الخزينة </v>
          </cell>
        </row>
        <row r="1215">
          <cell r="A1215">
            <v>55</v>
          </cell>
          <cell r="B1215">
            <v>46120</v>
          </cell>
          <cell r="C1215">
            <v>20</v>
          </cell>
          <cell r="D1215" t="str">
            <v xml:space="preserve">الخزينة </v>
          </cell>
        </row>
        <row r="1216">
          <cell r="A1216">
            <v>55</v>
          </cell>
          <cell r="B1216">
            <v>46148</v>
          </cell>
          <cell r="C1216">
            <v>20</v>
          </cell>
          <cell r="D1216" t="str">
            <v xml:space="preserve">الخزينة </v>
          </cell>
        </row>
        <row r="1217">
          <cell r="A1217">
            <v>55</v>
          </cell>
          <cell r="B1217">
            <v>46159</v>
          </cell>
          <cell r="C1217">
            <v>20</v>
          </cell>
          <cell r="D1217" t="str">
            <v xml:space="preserve">الخزينة </v>
          </cell>
        </row>
        <row r="1218">
          <cell r="A1218">
            <v>55</v>
          </cell>
          <cell r="B1218">
            <v>46042</v>
          </cell>
          <cell r="C1218">
            <v>20</v>
          </cell>
          <cell r="D1218" t="str">
            <v xml:space="preserve">الخزينة </v>
          </cell>
        </row>
        <row r="1219">
          <cell r="A1219">
            <v>55</v>
          </cell>
          <cell r="B1219">
            <v>46121</v>
          </cell>
          <cell r="C1219">
            <v>20</v>
          </cell>
          <cell r="D1219" t="str">
            <v xml:space="preserve">الخزينة </v>
          </cell>
        </row>
        <row r="1220">
          <cell r="A1220">
            <v>55</v>
          </cell>
          <cell r="B1220">
            <v>46133</v>
          </cell>
          <cell r="C1220">
            <v>20</v>
          </cell>
          <cell r="D1220" t="str">
            <v xml:space="preserve">الخزينة </v>
          </cell>
        </row>
        <row r="1221">
          <cell r="A1221">
            <v>55</v>
          </cell>
          <cell r="B1221">
            <v>46184</v>
          </cell>
          <cell r="C1221">
            <v>20</v>
          </cell>
          <cell r="D1221" t="str">
            <v xml:space="preserve">الخزينة </v>
          </cell>
        </row>
        <row r="1222">
          <cell r="A1222">
            <v>55</v>
          </cell>
          <cell r="B1222">
            <v>46187</v>
          </cell>
          <cell r="C1222">
            <v>20</v>
          </cell>
          <cell r="D1222" t="str">
            <v xml:space="preserve">الخزينة </v>
          </cell>
        </row>
        <row r="1223">
          <cell r="A1223">
            <v>55</v>
          </cell>
          <cell r="B1223">
            <v>46146</v>
          </cell>
          <cell r="C1223">
            <v>20</v>
          </cell>
          <cell r="D1223" t="str">
            <v xml:space="preserve">الخزينة </v>
          </cell>
        </row>
        <row r="1224">
          <cell r="A1224">
            <v>55</v>
          </cell>
          <cell r="B1224">
            <v>46184</v>
          </cell>
          <cell r="C1224">
            <v>20</v>
          </cell>
          <cell r="D1224" t="str">
            <v xml:space="preserve">الخزينة </v>
          </cell>
        </row>
        <row r="1225">
          <cell r="A1225">
            <v>56</v>
          </cell>
          <cell r="B1225">
            <v>46036</v>
          </cell>
          <cell r="C1225" t="str">
            <v>350-12</v>
          </cell>
          <cell r="D1225" t="str">
            <v>خامات ومصنعية بند السباكة والصحي</v>
          </cell>
        </row>
        <row r="1226">
          <cell r="A1226">
            <v>56</v>
          </cell>
          <cell r="B1226">
            <v>46039</v>
          </cell>
          <cell r="C1226" t="str">
            <v>235-12</v>
          </cell>
          <cell r="D1226" t="str">
            <v>خامات ومصنعية بند السباكة والصحي</v>
          </cell>
        </row>
        <row r="1227">
          <cell r="A1227">
            <v>56</v>
          </cell>
          <cell r="B1227">
            <v>46041</v>
          </cell>
          <cell r="C1227" t="str">
            <v>364-12</v>
          </cell>
          <cell r="D1227" t="str">
            <v>خامات ومصنعية بند السباكة والصحي</v>
          </cell>
        </row>
        <row r="1228">
          <cell r="A1228">
            <v>56</v>
          </cell>
          <cell r="B1228">
            <v>46047</v>
          </cell>
          <cell r="C1228" t="str">
            <v>273-12</v>
          </cell>
          <cell r="D1228" t="str">
            <v>خامات ومصنعية بند السباكة والصحي</v>
          </cell>
        </row>
        <row r="1229">
          <cell r="A1229">
            <v>56</v>
          </cell>
          <cell r="B1229">
            <v>46051</v>
          </cell>
          <cell r="C1229" t="str">
            <v>364-12</v>
          </cell>
          <cell r="D1229" t="str">
            <v>خامات ومصنعية بند السباكة والصحي</v>
          </cell>
        </row>
        <row r="1230">
          <cell r="A1230">
            <v>56</v>
          </cell>
          <cell r="B1230">
            <v>46051</v>
          </cell>
          <cell r="C1230" t="str">
            <v>364-12</v>
          </cell>
          <cell r="D1230" t="str">
            <v>خامات ومصنعية بند السباكة والصحي</v>
          </cell>
        </row>
        <row r="1231">
          <cell r="A1231">
            <v>56</v>
          </cell>
          <cell r="B1231">
            <v>46058</v>
          </cell>
          <cell r="C1231" t="str">
            <v>364-12</v>
          </cell>
          <cell r="D1231" t="str">
            <v>خامات ومصنعية بند السباكة والصحي</v>
          </cell>
        </row>
        <row r="1232">
          <cell r="A1232">
            <v>56</v>
          </cell>
          <cell r="B1232">
            <v>46058</v>
          </cell>
          <cell r="C1232" t="str">
            <v>364-12</v>
          </cell>
          <cell r="D1232" t="str">
            <v>خامات ومصنعية بند السباكة والصحي</v>
          </cell>
        </row>
        <row r="1233">
          <cell r="A1233">
            <v>56</v>
          </cell>
          <cell r="B1233">
            <v>46062</v>
          </cell>
          <cell r="C1233" t="str">
            <v>341-12</v>
          </cell>
          <cell r="D1233" t="str">
            <v>خامات ومصنعية بند السباكة والصحي</v>
          </cell>
        </row>
        <row r="1234">
          <cell r="A1234">
            <v>56</v>
          </cell>
          <cell r="B1234">
            <v>46063</v>
          </cell>
          <cell r="C1234" t="str">
            <v>364-12</v>
          </cell>
          <cell r="D1234" t="str">
            <v>خامات ومصنعية بند السباكة والصحي</v>
          </cell>
        </row>
        <row r="1235">
          <cell r="A1235">
            <v>56</v>
          </cell>
          <cell r="B1235">
            <v>46064</v>
          </cell>
          <cell r="C1235" t="str">
            <v>345-12</v>
          </cell>
          <cell r="D1235" t="str">
            <v>خامات ومصنعية بند السباكة والصحي</v>
          </cell>
        </row>
        <row r="1236">
          <cell r="A1236">
            <v>56</v>
          </cell>
          <cell r="B1236">
            <v>46068</v>
          </cell>
          <cell r="C1236" t="str">
            <v>235-12</v>
          </cell>
          <cell r="D1236" t="str">
            <v>خامات ومصنعية بند السباكة والصحي</v>
          </cell>
        </row>
        <row r="1237">
          <cell r="A1237">
            <v>56</v>
          </cell>
          <cell r="B1237">
            <v>46089</v>
          </cell>
          <cell r="C1237" t="str">
            <v>361-12</v>
          </cell>
          <cell r="D1237" t="str">
            <v>خامات ومصنعية بند السباكة والصحي</v>
          </cell>
        </row>
        <row r="1238">
          <cell r="A1238">
            <v>56</v>
          </cell>
          <cell r="B1238">
            <v>46111</v>
          </cell>
          <cell r="C1238" t="str">
            <v>273-12</v>
          </cell>
          <cell r="D1238" t="str">
            <v>خامات ومصنعية بند السباكة والصحي</v>
          </cell>
        </row>
        <row r="1239">
          <cell r="A1239">
            <v>56</v>
          </cell>
          <cell r="B1239">
            <v>46181</v>
          </cell>
          <cell r="C1239" t="str">
            <v>287-12</v>
          </cell>
          <cell r="D1239" t="str">
            <v>خامات ومصنعية بند السباكة والصحي</v>
          </cell>
        </row>
        <row r="1240">
          <cell r="A1240">
            <v>56</v>
          </cell>
          <cell r="B1240">
            <v>46181</v>
          </cell>
          <cell r="C1240" t="str">
            <v>388-12</v>
          </cell>
          <cell r="D1240" t="str">
            <v>خامات ومصنعية بند السباكة والصحي</v>
          </cell>
        </row>
        <row r="1241">
          <cell r="A1241">
            <v>56</v>
          </cell>
          <cell r="B1241">
            <v>46036</v>
          </cell>
          <cell r="C1241">
            <v>20</v>
          </cell>
          <cell r="D1241" t="str">
            <v xml:space="preserve">الخزينة </v>
          </cell>
        </row>
        <row r="1242">
          <cell r="A1242">
            <v>56</v>
          </cell>
          <cell r="B1242">
            <v>46039</v>
          </cell>
          <cell r="C1242">
            <v>20</v>
          </cell>
          <cell r="D1242" t="str">
            <v xml:space="preserve">الخزينة </v>
          </cell>
        </row>
        <row r="1243">
          <cell r="A1243">
            <v>56</v>
          </cell>
          <cell r="B1243">
            <v>46041</v>
          </cell>
          <cell r="C1243">
            <v>20</v>
          </cell>
          <cell r="D1243" t="str">
            <v xml:space="preserve">الخزينة </v>
          </cell>
        </row>
        <row r="1244">
          <cell r="A1244">
            <v>56</v>
          </cell>
          <cell r="B1244">
            <v>46047</v>
          </cell>
          <cell r="C1244">
            <v>20</v>
          </cell>
          <cell r="D1244" t="str">
            <v xml:space="preserve">الخزينة </v>
          </cell>
        </row>
        <row r="1245">
          <cell r="A1245">
            <v>56</v>
          </cell>
          <cell r="B1245">
            <v>46051</v>
          </cell>
          <cell r="C1245">
            <v>20</v>
          </cell>
          <cell r="D1245" t="str">
            <v xml:space="preserve">الخزينة </v>
          </cell>
        </row>
        <row r="1246">
          <cell r="A1246">
            <v>56</v>
          </cell>
          <cell r="B1246">
            <v>46051</v>
          </cell>
          <cell r="C1246">
            <v>20</v>
          </cell>
          <cell r="D1246" t="str">
            <v xml:space="preserve">الخزينة </v>
          </cell>
        </row>
        <row r="1247">
          <cell r="A1247">
            <v>56</v>
          </cell>
          <cell r="B1247">
            <v>46058</v>
          </cell>
          <cell r="C1247">
            <v>20</v>
          </cell>
          <cell r="D1247" t="str">
            <v xml:space="preserve">الخزينة </v>
          </cell>
        </row>
        <row r="1248">
          <cell r="A1248">
            <v>56</v>
          </cell>
          <cell r="B1248">
            <v>46058</v>
          </cell>
          <cell r="C1248">
            <v>20</v>
          </cell>
          <cell r="D1248" t="str">
            <v xml:space="preserve">الخزينة </v>
          </cell>
        </row>
        <row r="1249">
          <cell r="A1249">
            <v>56</v>
          </cell>
          <cell r="B1249">
            <v>46062</v>
          </cell>
          <cell r="C1249">
            <v>20</v>
          </cell>
          <cell r="D1249" t="str">
            <v xml:space="preserve">الخزينة </v>
          </cell>
        </row>
        <row r="1250">
          <cell r="A1250">
            <v>56</v>
          </cell>
          <cell r="B1250">
            <v>46063</v>
          </cell>
          <cell r="C1250">
            <v>20</v>
          </cell>
          <cell r="D1250" t="str">
            <v xml:space="preserve">الخزينة </v>
          </cell>
        </row>
        <row r="1251">
          <cell r="A1251">
            <v>56</v>
          </cell>
          <cell r="B1251">
            <v>46064</v>
          </cell>
          <cell r="C1251">
            <v>20</v>
          </cell>
          <cell r="D1251" t="str">
            <v xml:space="preserve">الخزينة </v>
          </cell>
        </row>
        <row r="1252">
          <cell r="A1252">
            <v>56</v>
          </cell>
          <cell r="B1252">
            <v>46068</v>
          </cell>
          <cell r="C1252">
            <v>20</v>
          </cell>
          <cell r="D1252" t="str">
            <v xml:space="preserve">الخزينة </v>
          </cell>
        </row>
        <row r="1253">
          <cell r="A1253">
            <v>56</v>
          </cell>
          <cell r="B1253">
            <v>46089</v>
          </cell>
          <cell r="C1253">
            <v>20</v>
          </cell>
          <cell r="D1253" t="str">
            <v xml:space="preserve">الخزينة </v>
          </cell>
        </row>
        <row r="1254">
          <cell r="A1254">
            <v>56</v>
          </cell>
          <cell r="B1254">
            <v>46111</v>
          </cell>
          <cell r="C1254">
            <v>20</v>
          </cell>
          <cell r="D1254" t="str">
            <v xml:space="preserve">الخزينة </v>
          </cell>
        </row>
        <row r="1255">
          <cell r="A1255">
            <v>56</v>
          </cell>
          <cell r="B1255">
            <v>46181</v>
          </cell>
          <cell r="C1255">
            <v>20</v>
          </cell>
          <cell r="D1255" t="str">
            <v xml:space="preserve">الخزينة </v>
          </cell>
        </row>
        <row r="1256">
          <cell r="A1256">
            <v>56</v>
          </cell>
          <cell r="B1256">
            <v>46181</v>
          </cell>
          <cell r="C1256">
            <v>20</v>
          </cell>
          <cell r="D1256" t="str">
            <v xml:space="preserve">الخزينة </v>
          </cell>
        </row>
        <row r="1257">
          <cell r="A1257">
            <v>57</v>
          </cell>
          <cell r="B1257">
            <v>46159</v>
          </cell>
          <cell r="C1257" t="str">
            <v>401-6</v>
          </cell>
          <cell r="D1257" t="str">
            <v>خامات ومصنعية أعمال المحارة</v>
          </cell>
        </row>
        <row r="1258">
          <cell r="A1258">
            <v>57</v>
          </cell>
          <cell r="B1258">
            <v>46121</v>
          </cell>
          <cell r="C1258" t="str">
            <v>345-6</v>
          </cell>
          <cell r="D1258" t="str">
            <v>خامات ومصنعية أعمال المحارة</v>
          </cell>
        </row>
        <row r="1259">
          <cell r="A1259">
            <v>57</v>
          </cell>
          <cell r="B1259">
            <v>46036</v>
          </cell>
          <cell r="C1259" t="str">
            <v>388-6</v>
          </cell>
          <cell r="D1259" t="str">
            <v>خامات ومصنعية أعمال المحارة</v>
          </cell>
        </row>
        <row r="1260">
          <cell r="A1260">
            <v>57</v>
          </cell>
          <cell r="B1260">
            <v>46046</v>
          </cell>
          <cell r="C1260" t="str">
            <v>388-6</v>
          </cell>
          <cell r="D1260" t="str">
            <v>خامات ومصنعية أعمال المحارة</v>
          </cell>
        </row>
        <row r="1261">
          <cell r="A1261">
            <v>57</v>
          </cell>
          <cell r="B1261">
            <v>46048</v>
          </cell>
          <cell r="C1261" t="str">
            <v>388-6</v>
          </cell>
          <cell r="D1261" t="str">
            <v>خامات ومصنعية أعمال المحارة</v>
          </cell>
        </row>
        <row r="1262">
          <cell r="A1262">
            <v>57</v>
          </cell>
          <cell r="B1262">
            <v>46062</v>
          </cell>
          <cell r="C1262" t="str">
            <v>388-6</v>
          </cell>
          <cell r="D1262" t="str">
            <v>خامات ومصنعية أعمال المحارة</v>
          </cell>
        </row>
        <row r="1263">
          <cell r="A1263">
            <v>57</v>
          </cell>
          <cell r="B1263">
            <v>46065</v>
          </cell>
          <cell r="C1263" t="str">
            <v>388-6</v>
          </cell>
          <cell r="D1263" t="str">
            <v>خامات ومصنعية أعمال المحارة</v>
          </cell>
        </row>
        <row r="1264">
          <cell r="A1264">
            <v>57</v>
          </cell>
          <cell r="B1264">
            <v>46075</v>
          </cell>
          <cell r="C1264" t="str">
            <v>388-6</v>
          </cell>
          <cell r="D1264" t="str">
            <v>خامات ومصنعية أعمال المحارة</v>
          </cell>
        </row>
        <row r="1265">
          <cell r="A1265">
            <v>57</v>
          </cell>
          <cell r="B1265">
            <v>46083</v>
          </cell>
          <cell r="C1265" t="str">
            <v>388-6</v>
          </cell>
          <cell r="D1265" t="str">
            <v>خامات ومصنعية أعمال المحارة</v>
          </cell>
        </row>
        <row r="1266">
          <cell r="A1266">
            <v>57</v>
          </cell>
          <cell r="B1266">
            <v>46093</v>
          </cell>
          <cell r="C1266" t="str">
            <v>388-6</v>
          </cell>
          <cell r="D1266" t="str">
            <v>خامات ومصنعية أعمال المحارة</v>
          </cell>
        </row>
        <row r="1267">
          <cell r="A1267">
            <v>57</v>
          </cell>
          <cell r="B1267">
            <v>46093</v>
          </cell>
          <cell r="C1267" t="str">
            <v>388-6</v>
          </cell>
          <cell r="D1267" t="str">
            <v>خامات ومصنعية أعمال المحارة</v>
          </cell>
        </row>
        <row r="1268">
          <cell r="A1268">
            <v>57</v>
          </cell>
          <cell r="B1268">
            <v>46091</v>
          </cell>
          <cell r="C1268" t="str">
            <v>355-6</v>
          </cell>
          <cell r="D1268" t="str">
            <v>خامات ومصنعية أعمال المحارة</v>
          </cell>
        </row>
        <row r="1269">
          <cell r="A1269">
            <v>57</v>
          </cell>
          <cell r="B1269">
            <v>46091</v>
          </cell>
          <cell r="C1269" t="str">
            <v>354-6</v>
          </cell>
          <cell r="D1269" t="str">
            <v>خامات ومصنعية أعمال المحارة</v>
          </cell>
        </row>
        <row r="1270">
          <cell r="A1270">
            <v>57</v>
          </cell>
          <cell r="B1270">
            <v>46159</v>
          </cell>
          <cell r="C1270">
            <v>20</v>
          </cell>
          <cell r="D1270" t="str">
            <v xml:space="preserve">الخزينة </v>
          </cell>
        </row>
        <row r="1271">
          <cell r="A1271">
            <v>57</v>
          </cell>
          <cell r="B1271">
            <v>46121</v>
          </cell>
          <cell r="C1271">
            <v>20</v>
          </cell>
          <cell r="D1271" t="str">
            <v xml:space="preserve">الخزينة </v>
          </cell>
        </row>
        <row r="1272">
          <cell r="A1272">
            <v>57</v>
          </cell>
          <cell r="B1272">
            <v>46036</v>
          </cell>
          <cell r="C1272">
            <v>20</v>
          </cell>
          <cell r="D1272" t="str">
            <v xml:space="preserve">الخزينة </v>
          </cell>
        </row>
        <row r="1273">
          <cell r="A1273">
            <v>57</v>
          </cell>
          <cell r="B1273">
            <v>46046</v>
          </cell>
          <cell r="C1273">
            <v>20</v>
          </cell>
          <cell r="D1273" t="str">
            <v xml:space="preserve">الخزينة </v>
          </cell>
        </row>
        <row r="1274">
          <cell r="A1274">
            <v>57</v>
          </cell>
          <cell r="B1274">
            <v>46048</v>
          </cell>
          <cell r="C1274">
            <v>20</v>
          </cell>
          <cell r="D1274" t="str">
            <v xml:space="preserve">الخزينة </v>
          </cell>
        </row>
        <row r="1275">
          <cell r="A1275">
            <v>57</v>
          </cell>
          <cell r="B1275">
            <v>46062</v>
          </cell>
          <cell r="C1275">
            <v>20</v>
          </cell>
          <cell r="D1275" t="str">
            <v xml:space="preserve">الخزينة </v>
          </cell>
        </row>
        <row r="1276">
          <cell r="A1276">
            <v>57</v>
          </cell>
          <cell r="B1276">
            <v>46065</v>
          </cell>
          <cell r="C1276">
            <v>20</v>
          </cell>
          <cell r="D1276" t="str">
            <v xml:space="preserve">الخزينة </v>
          </cell>
        </row>
        <row r="1277">
          <cell r="A1277">
            <v>57</v>
          </cell>
          <cell r="B1277">
            <v>46075</v>
          </cell>
          <cell r="C1277">
            <v>20</v>
          </cell>
          <cell r="D1277" t="str">
            <v xml:space="preserve">الخزينة </v>
          </cell>
        </row>
        <row r="1278">
          <cell r="A1278">
            <v>57</v>
          </cell>
          <cell r="B1278">
            <v>46083</v>
          </cell>
          <cell r="C1278">
            <v>20</v>
          </cell>
          <cell r="D1278" t="str">
            <v xml:space="preserve">الخزينة </v>
          </cell>
        </row>
        <row r="1279">
          <cell r="A1279">
            <v>57</v>
          </cell>
          <cell r="B1279">
            <v>46093</v>
          </cell>
          <cell r="C1279">
            <v>20</v>
          </cell>
          <cell r="D1279" t="str">
            <v xml:space="preserve">الخزينة </v>
          </cell>
        </row>
        <row r="1280">
          <cell r="A1280">
            <v>57</v>
          </cell>
          <cell r="B1280">
            <v>46093</v>
          </cell>
          <cell r="C1280">
            <v>20</v>
          </cell>
          <cell r="D1280" t="str">
            <v xml:space="preserve">الخزينة </v>
          </cell>
        </row>
        <row r="1281">
          <cell r="A1281">
            <v>57</v>
          </cell>
          <cell r="B1281">
            <v>46091</v>
          </cell>
          <cell r="C1281">
            <v>20</v>
          </cell>
          <cell r="D1281" t="str">
            <v xml:space="preserve">الخزينة </v>
          </cell>
        </row>
        <row r="1282">
          <cell r="A1282">
            <v>57</v>
          </cell>
          <cell r="B1282">
            <v>46091</v>
          </cell>
          <cell r="C1282">
            <v>20</v>
          </cell>
          <cell r="D1282" t="str">
            <v xml:space="preserve">الخزينة </v>
          </cell>
        </row>
        <row r="1283">
          <cell r="A1283">
            <v>58</v>
          </cell>
          <cell r="B1283">
            <v>46156</v>
          </cell>
          <cell r="C1283" t="str">
            <v>365-5</v>
          </cell>
          <cell r="D1283" t="str">
            <v>خامات ومصنعية أعمال المباني</v>
          </cell>
        </row>
        <row r="1284">
          <cell r="A1284">
            <v>58</v>
          </cell>
          <cell r="B1284">
            <v>46156</v>
          </cell>
          <cell r="C1284" t="str">
            <v>365-5</v>
          </cell>
          <cell r="D1284" t="str">
            <v>خامات ومصنعية أعمال المباني</v>
          </cell>
        </row>
        <row r="1285">
          <cell r="A1285">
            <v>58</v>
          </cell>
          <cell r="B1285">
            <v>46156</v>
          </cell>
          <cell r="C1285">
            <v>20</v>
          </cell>
          <cell r="D1285" t="str">
            <v xml:space="preserve">الخزينة </v>
          </cell>
        </row>
        <row r="1286">
          <cell r="A1286">
            <v>58</v>
          </cell>
          <cell r="B1286">
            <v>46156</v>
          </cell>
          <cell r="C1286">
            <v>20</v>
          </cell>
          <cell r="D1286" t="str">
            <v xml:space="preserve">الخزينة </v>
          </cell>
        </row>
        <row r="1287">
          <cell r="A1287">
            <v>59</v>
          </cell>
          <cell r="B1287">
            <v>46037</v>
          </cell>
          <cell r="C1287" t="str">
            <v>364-8</v>
          </cell>
          <cell r="D1287" t="str">
            <v>خامات ومصنعية أعمال الدهانات</v>
          </cell>
        </row>
        <row r="1288">
          <cell r="A1288">
            <v>59</v>
          </cell>
          <cell r="B1288">
            <v>46037</v>
          </cell>
          <cell r="C1288" t="str">
            <v>364-8</v>
          </cell>
          <cell r="D1288" t="str">
            <v>خامات ومصنعية أعمال الدهانات</v>
          </cell>
        </row>
        <row r="1289">
          <cell r="A1289">
            <v>59</v>
          </cell>
          <cell r="B1289">
            <v>46049</v>
          </cell>
          <cell r="C1289" t="str">
            <v>364-8</v>
          </cell>
          <cell r="D1289" t="str">
            <v>خامات ومصنعية أعمال الدهانات</v>
          </cell>
        </row>
        <row r="1290">
          <cell r="A1290">
            <v>59</v>
          </cell>
          <cell r="B1290">
            <v>46050</v>
          </cell>
          <cell r="C1290" t="str">
            <v>364-8</v>
          </cell>
          <cell r="D1290" t="str">
            <v>خامات ومصنعية أعمال الدهانات</v>
          </cell>
        </row>
        <row r="1291">
          <cell r="A1291">
            <v>59</v>
          </cell>
          <cell r="B1291">
            <v>46050</v>
          </cell>
          <cell r="C1291" t="str">
            <v>364-8</v>
          </cell>
          <cell r="D1291" t="str">
            <v>خامات ومصنعية أعمال الدهانات</v>
          </cell>
        </row>
        <row r="1292">
          <cell r="A1292">
            <v>59</v>
          </cell>
          <cell r="B1292">
            <v>46057</v>
          </cell>
          <cell r="C1292" t="str">
            <v>364-8</v>
          </cell>
          <cell r="D1292" t="str">
            <v>خامات ومصنعية أعمال الدهانات</v>
          </cell>
        </row>
        <row r="1293">
          <cell r="A1293">
            <v>59</v>
          </cell>
          <cell r="B1293">
            <v>46058</v>
          </cell>
          <cell r="C1293" t="str">
            <v>364-8</v>
          </cell>
          <cell r="D1293" t="str">
            <v>خامات ومصنعية أعمال الدهانات</v>
          </cell>
        </row>
        <row r="1294">
          <cell r="A1294">
            <v>59</v>
          </cell>
          <cell r="B1294">
            <v>46062</v>
          </cell>
          <cell r="C1294" t="str">
            <v>364-8</v>
          </cell>
          <cell r="D1294" t="str">
            <v>خامات ومصنعية أعمال الدهانات</v>
          </cell>
        </row>
        <row r="1295">
          <cell r="A1295">
            <v>59</v>
          </cell>
          <cell r="B1295">
            <v>46041</v>
          </cell>
          <cell r="C1295" t="str">
            <v>364-8</v>
          </cell>
          <cell r="D1295" t="str">
            <v>خامات ومصنعية أعمال الدهانات</v>
          </cell>
        </row>
        <row r="1296">
          <cell r="A1296">
            <v>59</v>
          </cell>
          <cell r="B1296">
            <v>46041</v>
          </cell>
          <cell r="C1296" t="str">
            <v>364-8</v>
          </cell>
          <cell r="D1296" t="str">
            <v>خامات ومصنعية أعمال الدهانات</v>
          </cell>
        </row>
        <row r="1297">
          <cell r="A1297">
            <v>59</v>
          </cell>
          <cell r="B1297">
            <v>46082</v>
          </cell>
          <cell r="C1297" t="str">
            <v>364-8</v>
          </cell>
          <cell r="D1297" t="str">
            <v>خامات ومصنعية أعمال الدهانات</v>
          </cell>
        </row>
        <row r="1298">
          <cell r="A1298">
            <v>59</v>
          </cell>
          <cell r="B1298">
            <v>46071</v>
          </cell>
          <cell r="C1298" t="str">
            <v>235-8</v>
          </cell>
          <cell r="D1298" t="str">
            <v>خامات ومصنعية أعمال الدهانات</v>
          </cell>
        </row>
        <row r="1299">
          <cell r="A1299">
            <v>59</v>
          </cell>
          <cell r="B1299">
            <v>46098</v>
          </cell>
          <cell r="C1299" t="str">
            <v>235-8</v>
          </cell>
          <cell r="D1299" t="str">
            <v>خامات ومصنعية أعمال الدهانات</v>
          </cell>
        </row>
        <row r="1300">
          <cell r="A1300">
            <v>59</v>
          </cell>
          <cell r="B1300">
            <v>46163</v>
          </cell>
          <cell r="C1300" t="str">
            <v>235-8</v>
          </cell>
          <cell r="D1300" t="str">
            <v>خامات ومصنعية أعمال الدهانات</v>
          </cell>
        </row>
        <row r="1301">
          <cell r="A1301">
            <v>59</v>
          </cell>
          <cell r="B1301">
            <v>46179</v>
          </cell>
          <cell r="C1301" t="str">
            <v>235-8</v>
          </cell>
          <cell r="D1301" t="str">
            <v>خامات ومصنعية أعمال الدهانات</v>
          </cell>
        </row>
        <row r="1302">
          <cell r="A1302">
            <v>59</v>
          </cell>
          <cell r="B1302">
            <v>46065</v>
          </cell>
          <cell r="C1302" t="str">
            <v>306-8</v>
          </cell>
          <cell r="D1302" t="str">
            <v>خامات ومصنعية أعمال الدهانات</v>
          </cell>
        </row>
        <row r="1303">
          <cell r="A1303">
            <v>59</v>
          </cell>
          <cell r="B1303">
            <v>46071</v>
          </cell>
          <cell r="C1303" t="str">
            <v>306-8</v>
          </cell>
          <cell r="D1303" t="str">
            <v>خامات ومصنعية أعمال الدهانات</v>
          </cell>
        </row>
        <row r="1304">
          <cell r="A1304">
            <v>59</v>
          </cell>
          <cell r="B1304">
            <v>46086</v>
          </cell>
          <cell r="C1304" t="str">
            <v>306-8</v>
          </cell>
          <cell r="D1304" t="str">
            <v>خامات ومصنعية أعمال الدهانات</v>
          </cell>
        </row>
        <row r="1305">
          <cell r="A1305">
            <v>59</v>
          </cell>
          <cell r="B1305">
            <v>46139</v>
          </cell>
          <cell r="C1305" t="str">
            <v>306-8</v>
          </cell>
          <cell r="D1305" t="str">
            <v>خامات ومصنعية أعمال الدهانات</v>
          </cell>
        </row>
        <row r="1306">
          <cell r="A1306">
            <v>59</v>
          </cell>
          <cell r="B1306">
            <v>46158</v>
          </cell>
          <cell r="C1306" t="str">
            <v>306-8</v>
          </cell>
          <cell r="D1306" t="str">
            <v>خامات ومصنعية أعمال الدهانات</v>
          </cell>
        </row>
        <row r="1307">
          <cell r="A1307">
            <v>59</v>
          </cell>
          <cell r="B1307">
            <v>46163</v>
          </cell>
          <cell r="C1307" t="str">
            <v>306-8</v>
          </cell>
          <cell r="D1307" t="str">
            <v>خامات ومصنعية أعمال الدهانات</v>
          </cell>
        </row>
        <row r="1308">
          <cell r="A1308">
            <v>59</v>
          </cell>
          <cell r="B1308">
            <v>46050</v>
          </cell>
          <cell r="C1308" t="str">
            <v>361-8</v>
          </cell>
          <cell r="D1308" t="str">
            <v>خامات ومصنعية أعمال الدهانات</v>
          </cell>
        </row>
        <row r="1309">
          <cell r="A1309">
            <v>59</v>
          </cell>
          <cell r="B1309">
            <v>46057</v>
          </cell>
          <cell r="C1309" t="str">
            <v>361-8</v>
          </cell>
          <cell r="D1309" t="str">
            <v>خامات ومصنعية أعمال الدهانات</v>
          </cell>
        </row>
        <row r="1310">
          <cell r="A1310">
            <v>59</v>
          </cell>
          <cell r="B1310">
            <v>46058</v>
          </cell>
          <cell r="C1310" t="str">
            <v>361-8</v>
          </cell>
          <cell r="D1310" t="str">
            <v>خامات ومصنعية أعمال الدهانات</v>
          </cell>
        </row>
        <row r="1311">
          <cell r="A1311">
            <v>59</v>
          </cell>
          <cell r="B1311">
            <v>46086</v>
          </cell>
          <cell r="C1311" t="str">
            <v>361-8</v>
          </cell>
          <cell r="D1311" t="str">
            <v>خامات ومصنعية أعمال الدهانات</v>
          </cell>
        </row>
        <row r="1312">
          <cell r="A1312">
            <v>59</v>
          </cell>
          <cell r="B1312">
            <v>46086</v>
          </cell>
          <cell r="C1312" t="str">
            <v>361-8</v>
          </cell>
          <cell r="D1312" t="str">
            <v>خامات ومصنعية أعمال الدهانات</v>
          </cell>
        </row>
        <row r="1313">
          <cell r="A1313">
            <v>59</v>
          </cell>
          <cell r="B1313">
            <v>46096</v>
          </cell>
          <cell r="C1313" t="str">
            <v>361-8</v>
          </cell>
          <cell r="D1313" t="str">
            <v>خامات ومصنعية أعمال الدهانات</v>
          </cell>
        </row>
        <row r="1314">
          <cell r="A1314">
            <v>59</v>
          </cell>
          <cell r="B1314">
            <v>46097</v>
          </cell>
          <cell r="C1314" t="str">
            <v>361-8</v>
          </cell>
          <cell r="D1314" t="str">
            <v>خامات ومصنعية أعمال الدهانات</v>
          </cell>
        </row>
        <row r="1315">
          <cell r="A1315">
            <v>59</v>
          </cell>
          <cell r="B1315">
            <v>46099</v>
          </cell>
          <cell r="C1315" t="str">
            <v>361-8</v>
          </cell>
          <cell r="D1315" t="str">
            <v>خامات ومصنعية أعمال الدهانات</v>
          </cell>
        </row>
        <row r="1316">
          <cell r="A1316">
            <v>59</v>
          </cell>
          <cell r="B1316">
            <v>46132</v>
          </cell>
          <cell r="C1316" t="str">
            <v>361-8</v>
          </cell>
          <cell r="D1316" t="str">
            <v>خامات ومصنعية أعمال الدهانات</v>
          </cell>
        </row>
        <row r="1317">
          <cell r="A1317">
            <v>59</v>
          </cell>
          <cell r="B1317">
            <v>46068</v>
          </cell>
          <cell r="C1317" t="str">
            <v>345-8</v>
          </cell>
          <cell r="D1317" t="str">
            <v>خامات ومصنعية أعمال الدهانات</v>
          </cell>
        </row>
        <row r="1318">
          <cell r="A1318">
            <v>59</v>
          </cell>
          <cell r="B1318">
            <v>46070</v>
          </cell>
          <cell r="C1318" t="str">
            <v>345-8</v>
          </cell>
          <cell r="D1318" t="str">
            <v>خامات ومصنعية أعمال الدهانات</v>
          </cell>
        </row>
        <row r="1319">
          <cell r="A1319">
            <v>59</v>
          </cell>
          <cell r="B1319">
            <v>46082</v>
          </cell>
          <cell r="C1319" t="str">
            <v>345-8</v>
          </cell>
          <cell r="D1319" t="str">
            <v>خامات ومصنعية أعمال الدهانات</v>
          </cell>
        </row>
        <row r="1320">
          <cell r="A1320">
            <v>59</v>
          </cell>
          <cell r="B1320">
            <v>46093</v>
          </cell>
          <cell r="C1320" t="str">
            <v>345-8</v>
          </cell>
          <cell r="D1320" t="str">
            <v>خامات ومصنعية أعمال الدهانات</v>
          </cell>
        </row>
        <row r="1321">
          <cell r="A1321">
            <v>59</v>
          </cell>
          <cell r="B1321">
            <v>46096</v>
          </cell>
          <cell r="C1321" t="str">
            <v>345-8</v>
          </cell>
          <cell r="D1321" t="str">
            <v>خامات ومصنعية أعمال الدهانات</v>
          </cell>
        </row>
        <row r="1322">
          <cell r="A1322">
            <v>59</v>
          </cell>
          <cell r="B1322">
            <v>46099</v>
          </cell>
          <cell r="C1322" t="str">
            <v>345-8</v>
          </cell>
          <cell r="D1322" t="str">
            <v>خامات ومصنعية أعمال الدهانات</v>
          </cell>
        </row>
        <row r="1323">
          <cell r="A1323">
            <v>59</v>
          </cell>
          <cell r="B1323">
            <v>46128</v>
          </cell>
          <cell r="C1323" t="str">
            <v>345-8</v>
          </cell>
          <cell r="D1323" t="str">
            <v>خامات ومصنعية أعمال الدهانات</v>
          </cell>
        </row>
        <row r="1324">
          <cell r="A1324">
            <v>59</v>
          </cell>
          <cell r="B1324">
            <v>46133</v>
          </cell>
          <cell r="C1324" t="str">
            <v>345-8</v>
          </cell>
          <cell r="D1324" t="str">
            <v>خامات ومصنعية أعمال الدهانات</v>
          </cell>
        </row>
        <row r="1325">
          <cell r="A1325">
            <v>59</v>
          </cell>
          <cell r="B1325">
            <v>46156</v>
          </cell>
          <cell r="C1325" t="str">
            <v>345-8</v>
          </cell>
          <cell r="D1325" t="str">
            <v>خامات ومصنعية أعمال الدهانات</v>
          </cell>
        </row>
        <row r="1326">
          <cell r="A1326">
            <v>59</v>
          </cell>
          <cell r="B1326">
            <v>46058</v>
          </cell>
          <cell r="C1326" t="str">
            <v>341-8</v>
          </cell>
          <cell r="D1326" t="str">
            <v>خامات ومصنعية أعمال الدهانات</v>
          </cell>
        </row>
        <row r="1327">
          <cell r="A1327">
            <v>59</v>
          </cell>
          <cell r="B1327">
            <v>46071</v>
          </cell>
          <cell r="C1327" t="str">
            <v>341-8</v>
          </cell>
          <cell r="D1327" t="str">
            <v>خامات ومصنعية أعمال الدهانات</v>
          </cell>
        </row>
        <row r="1328">
          <cell r="A1328">
            <v>59</v>
          </cell>
          <cell r="B1328">
            <v>46086</v>
          </cell>
          <cell r="C1328" t="str">
            <v>341-8</v>
          </cell>
          <cell r="D1328" t="str">
            <v>خامات ومصنعية أعمال الدهانات</v>
          </cell>
        </row>
        <row r="1329">
          <cell r="A1329">
            <v>59</v>
          </cell>
          <cell r="B1329">
            <v>46163</v>
          </cell>
          <cell r="C1329" t="str">
            <v>341-8</v>
          </cell>
          <cell r="D1329" t="str">
            <v>خامات ومصنعية أعمال الدهانات</v>
          </cell>
        </row>
        <row r="1330">
          <cell r="A1330">
            <v>59</v>
          </cell>
          <cell r="B1330">
            <v>46179</v>
          </cell>
          <cell r="C1330" t="str">
            <v>341-8</v>
          </cell>
          <cell r="D1330" t="str">
            <v>خامات ومصنعية أعمال الدهانات</v>
          </cell>
        </row>
        <row r="1331">
          <cell r="A1331">
            <v>59</v>
          </cell>
          <cell r="B1331">
            <v>46181</v>
          </cell>
          <cell r="C1331" t="str">
            <v>341-8</v>
          </cell>
          <cell r="D1331" t="str">
            <v>خامات ومصنعية أعمال الدهانات</v>
          </cell>
        </row>
        <row r="1332">
          <cell r="A1332">
            <v>59</v>
          </cell>
          <cell r="B1332">
            <v>46184</v>
          </cell>
          <cell r="C1332" t="str">
            <v>341-8</v>
          </cell>
          <cell r="D1332" t="str">
            <v>خامات ومصنعية أعمال الدهانات</v>
          </cell>
        </row>
        <row r="1333">
          <cell r="A1333">
            <v>59</v>
          </cell>
          <cell r="B1333">
            <v>46120</v>
          </cell>
          <cell r="C1333" t="str">
            <v>388-8</v>
          </cell>
          <cell r="D1333" t="str">
            <v>خامات ومصنعية أعمال الدهانات</v>
          </cell>
        </row>
        <row r="1334">
          <cell r="A1334">
            <v>59</v>
          </cell>
          <cell r="B1334">
            <v>46123</v>
          </cell>
          <cell r="C1334" t="str">
            <v>388-8</v>
          </cell>
          <cell r="D1334" t="str">
            <v>خامات ومصنعية أعمال الدهانات</v>
          </cell>
        </row>
        <row r="1335">
          <cell r="A1335">
            <v>59</v>
          </cell>
          <cell r="B1335">
            <v>46139</v>
          </cell>
          <cell r="C1335" t="str">
            <v>388-8</v>
          </cell>
          <cell r="D1335" t="str">
            <v>خامات ومصنعية أعمال الدهانات</v>
          </cell>
        </row>
        <row r="1336">
          <cell r="A1336">
            <v>59</v>
          </cell>
          <cell r="B1336">
            <v>46159</v>
          </cell>
          <cell r="C1336" t="str">
            <v>388-8</v>
          </cell>
          <cell r="D1336" t="str">
            <v>خامات ومصنعية أعمال الدهانات</v>
          </cell>
        </row>
        <row r="1337">
          <cell r="A1337">
            <v>59</v>
          </cell>
          <cell r="B1337">
            <v>46184</v>
          </cell>
          <cell r="C1337" t="str">
            <v>388-8</v>
          </cell>
          <cell r="D1337" t="str">
            <v>خامات ومصنعية أعمال الدهانات</v>
          </cell>
        </row>
        <row r="1338">
          <cell r="A1338">
            <v>59</v>
          </cell>
          <cell r="B1338">
            <v>46131</v>
          </cell>
          <cell r="C1338" t="str">
            <v>398-8</v>
          </cell>
          <cell r="D1338" t="str">
            <v>خامات ومصنعية أعمال الدهانات</v>
          </cell>
        </row>
        <row r="1339">
          <cell r="A1339">
            <v>59</v>
          </cell>
          <cell r="B1339">
            <v>46034</v>
          </cell>
          <cell r="C1339" t="str">
            <v>336-8</v>
          </cell>
          <cell r="D1339" t="str">
            <v>خامات ومصنعية أعمال الدهانات</v>
          </cell>
        </row>
        <row r="1340">
          <cell r="A1340">
            <v>59</v>
          </cell>
          <cell r="B1340">
            <v>46126</v>
          </cell>
          <cell r="C1340" t="str">
            <v>336-8</v>
          </cell>
          <cell r="D1340" t="str">
            <v>خامات ومصنعية أعمال الدهانات</v>
          </cell>
        </row>
        <row r="1341">
          <cell r="A1341">
            <v>59</v>
          </cell>
          <cell r="B1341">
            <v>46166</v>
          </cell>
          <cell r="C1341" t="str">
            <v>336-8</v>
          </cell>
          <cell r="D1341" t="str">
            <v>خامات ومصنعية أعمال الدهانات</v>
          </cell>
        </row>
        <row r="1342">
          <cell r="A1342">
            <v>59</v>
          </cell>
          <cell r="B1342">
            <v>46135</v>
          </cell>
          <cell r="C1342" t="str">
            <v>273-8</v>
          </cell>
          <cell r="D1342" t="str">
            <v>خامات ومصنعية أعمال الدهانات</v>
          </cell>
        </row>
        <row r="1343">
          <cell r="A1343">
            <v>59</v>
          </cell>
          <cell r="B1343">
            <v>46142</v>
          </cell>
          <cell r="C1343" t="str">
            <v>273-8</v>
          </cell>
          <cell r="D1343" t="str">
            <v>خامات ومصنعية أعمال الدهانات</v>
          </cell>
        </row>
        <row r="1344">
          <cell r="A1344">
            <v>59</v>
          </cell>
          <cell r="B1344">
            <v>46142</v>
          </cell>
          <cell r="C1344" t="str">
            <v>273-8</v>
          </cell>
          <cell r="D1344" t="str">
            <v>خامات ومصنعية أعمال الدهانات</v>
          </cell>
        </row>
        <row r="1345">
          <cell r="A1345">
            <v>59</v>
          </cell>
          <cell r="B1345">
            <v>46147</v>
          </cell>
          <cell r="C1345" t="str">
            <v>273-8</v>
          </cell>
          <cell r="D1345" t="str">
            <v>خامات ومصنعية أعمال الدهانات</v>
          </cell>
        </row>
        <row r="1346">
          <cell r="A1346">
            <v>59</v>
          </cell>
          <cell r="B1346">
            <v>46046</v>
          </cell>
          <cell r="C1346" t="str">
            <v>350-8</v>
          </cell>
          <cell r="D1346" t="str">
            <v>خامات ومصنعية أعمال الدهانات</v>
          </cell>
        </row>
        <row r="1347">
          <cell r="A1347">
            <v>59</v>
          </cell>
          <cell r="B1347">
            <v>46060</v>
          </cell>
          <cell r="C1347" t="str">
            <v>350-8</v>
          </cell>
          <cell r="D1347" t="str">
            <v>خامات ومصنعية أعمال الدهانات</v>
          </cell>
        </row>
        <row r="1348">
          <cell r="A1348">
            <v>59</v>
          </cell>
          <cell r="B1348">
            <v>46061</v>
          </cell>
          <cell r="C1348" t="str">
            <v>350-8</v>
          </cell>
          <cell r="D1348" t="str">
            <v>خامات ومصنعية أعمال الدهانات</v>
          </cell>
        </row>
        <row r="1349">
          <cell r="A1349">
            <v>59</v>
          </cell>
          <cell r="B1349">
            <v>46062</v>
          </cell>
          <cell r="C1349" t="str">
            <v>350-8</v>
          </cell>
          <cell r="D1349" t="str">
            <v>خامات ومصنعية أعمال الدهانات</v>
          </cell>
        </row>
        <row r="1350">
          <cell r="A1350">
            <v>59</v>
          </cell>
          <cell r="B1350">
            <v>46065</v>
          </cell>
          <cell r="C1350" t="str">
            <v>350-8</v>
          </cell>
          <cell r="D1350" t="str">
            <v>خامات ومصنعية أعمال الدهانات</v>
          </cell>
        </row>
        <row r="1351">
          <cell r="A1351">
            <v>59</v>
          </cell>
          <cell r="B1351">
            <v>46071</v>
          </cell>
          <cell r="C1351" t="str">
            <v>350-8</v>
          </cell>
          <cell r="D1351" t="str">
            <v>خامات ومصنعية أعمال الدهانات</v>
          </cell>
        </row>
        <row r="1352">
          <cell r="A1352">
            <v>59</v>
          </cell>
          <cell r="B1352">
            <v>46138</v>
          </cell>
          <cell r="C1352" t="str">
            <v>287-8</v>
          </cell>
          <cell r="D1352" t="str">
            <v>خامات ومصنعية أعمال الدهانات</v>
          </cell>
        </row>
        <row r="1353">
          <cell r="A1353">
            <v>59</v>
          </cell>
          <cell r="B1353">
            <v>46139</v>
          </cell>
          <cell r="C1353" t="str">
            <v>287-8</v>
          </cell>
          <cell r="D1353" t="str">
            <v>خامات ومصنعية أعمال الدهانات</v>
          </cell>
        </row>
        <row r="1354">
          <cell r="A1354">
            <v>59</v>
          </cell>
          <cell r="B1354">
            <v>46141</v>
          </cell>
          <cell r="C1354" t="str">
            <v>287-8</v>
          </cell>
          <cell r="D1354" t="str">
            <v>خامات ومصنعية أعمال الدهانات</v>
          </cell>
        </row>
        <row r="1355">
          <cell r="A1355">
            <v>59</v>
          </cell>
          <cell r="B1355">
            <v>46036</v>
          </cell>
          <cell r="C1355" t="str">
            <v>364-8</v>
          </cell>
          <cell r="D1355" t="str">
            <v>خامات ومصنعية أعمال الدهانات</v>
          </cell>
        </row>
        <row r="1356">
          <cell r="A1356">
            <v>59</v>
          </cell>
          <cell r="B1356">
            <v>46037</v>
          </cell>
          <cell r="C1356">
            <v>20</v>
          </cell>
          <cell r="D1356" t="str">
            <v xml:space="preserve">الخزينة </v>
          </cell>
        </row>
        <row r="1357">
          <cell r="A1357">
            <v>59</v>
          </cell>
          <cell r="B1357">
            <v>46037</v>
          </cell>
          <cell r="C1357">
            <v>20</v>
          </cell>
          <cell r="D1357" t="str">
            <v xml:space="preserve">الخزينة </v>
          </cell>
        </row>
        <row r="1358">
          <cell r="A1358">
            <v>59</v>
          </cell>
          <cell r="B1358">
            <v>46049</v>
          </cell>
          <cell r="C1358">
            <v>20</v>
          </cell>
          <cell r="D1358" t="str">
            <v xml:space="preserve">الخزينة </v>
          </cell>
        </row>
        <row r="1359">
          <cell r="A1359">
            <v>59</v>
          </cell>
          <cell r="B1359">
            <v>46050</v>
          </cell>
          <cell r="C1359">
            <v>20</v>
          </cell>
          <cell r="D1359" t="str">
            <v xml:space="preserve">الخزينة </v>
          </cell>
        </row>
        <row r="1360">
          <cell r="A1360">
            <v>59</v>
          </cell>
          <cell r="B1360">
            <v>46050</v>
          </cell>
          <cell r="C1360">
            <v>20</v>
          </cell>
          <cell r="D1360" t="str">
            <v xml:space="preserve">الخزينة </v>
          </cell>
        </row>
        <row r="1361">
          <cell r="A1361">
            <v>59</v>
          </cell>
          <cell r="B1361">
            <v>46057</v>
          </cell>
          <cell r="C1361">
            <v>20</v>
          </cell>
          <cell r="D1361" t="str">
            <v xml:space="preserve">الخزينة </v>
          </cell>
        </row>
        <row r="1362">
          <cell r="A1362">
            <v>59</v>
          </cell>
          <cell r="B1362">
            <v>46058</v>
          </cell>
          <cell r="C1362">
            <v>20</v>
          </cell>
          <cell r="D1362" t="str">
            <v xml:space="preserve">الخزينة </v>
          </cell>
        </row>
        <row r="1363">
          <cell r="A1363">
            <v>59</v>
          </cell>
          <cell r="B1363">
            <v>46062</v>
          </cell>
          <cell r="C1363">
            <v>20</v>
          </cell>
          <cell r="D1363" t="str">
            <v xml:space="preserve">الخزينة </v>
          </cell>
        </row>
        <row r="1364">
          <cell r="A1364">
            <v>59</v>
          </cell>
          <cell r="B1364">
            <v>46041</v>
          </cell>
          <cell r="C1364">
            <v>20</v>
          </cell>
          <cell r="D1364" t="str">
            <v xml:space="preserve">الخزينة </v>
          </cell>
        </row>
        <row r="1365">
          <cell r="A1365">
            <v>59</v>
          </cell>
          <cell r="B1365">
            <v>46041</v>
          </cell>
          <cell r="C1365">
            <v>20</v>
          </cell>
          <cell r="D1365" t="str">
            <v xml:space="preserve">الخزينة </v>
          </cell>
        </row>
        <row r="1366">
          <cell r="A1366">
            <v>59</v>
          </cell>
          <cell r="B1366">
            <v>46082</v>
          </cell>
          <cell r="C1366">
            <v>20</v>
          </cell>
          <cell r="D1366" t="str">
            <v xml:space="preserve">الخزينة </v>
          </cell>
        </row>
        <row r="1367">
          <cell r="A1367">
            <v>59</v>
          </cell>
          <cell r="B1367">
            <v>46071</v>
          </cell>
          <cell r="C1367">
            <v>20</v>
          </cell>
          <cell r="D1367" t="str">
            <v xml:space="preserve">الخزينة </v>
          </cell>
        </row>
        <row r="1368">
          <cell r="A1368">
            <v>59</v>
          </cell>
          <cell r="B1368">
            <v>46098</v>
          </cell>
          <cell r="C1368">
            <v>20</v>
          </cell>
          <cell r="D1368" t="str">
            <v xml:space="preserve">الخزينة </v>
          </cell>
        </row>
        <row r="1369">
          <cell r="A1369">
            <v>59</v>
          </cell>
          <cell r="B1369">
            <v>46163</v>
          </cell>
          <cell r="C1369">
            <v>20</v>
          </cell>
          <cell r="D1369" t="str">
            <v xml:space="preserve">الخزينة </v>
          </cell>
        </row>
        <row r="1370">
          <cell r="A1370">
            <v>59</v>
          </cell>
          <cell r="B1370">
            <v>46179</v>
          </cell>
          <cell r="C1370">
            <v>20</v>
          </cell>
          <cell r="D1370" t="str">
            <v xml:space="preserve">الخزينة </v>
          </cell>
        </row>
        <row r="1371">
          <cell r="A1371">
            <v>59</v>
          </cell>
          <cell r="B1371">
            <v>46065</v>
          </cell>
          <cell r="C1371">
            <v>20</v>
          </cell>
          <cell r="D1371" t="str">
            <v xml:space="preserve">الخزينة </v>
          </cell>
        </row>
        <row r="1372">
          <cell r="A1372">
            <v>59</v>
          </cell>
          <cell r="B1372">
            <v>46071</v>
          </cell>
          <cell r="C1372">
            <v>20</v>
          </cell>
          <cell r="D1372" t="str">
            <v xml:space="preserve">الخزينة </v>
          </cell>
        </row>
        <row r="1373">
          <cell r="A1373">
            <v>59</v>
          </cell>
          <cell r="B1373">
            <v>46086</v>
          </cell>
          <cell r="C1373">
            <v>20</v>
          </cell>
          <cell r="D1373" t="str">
            <v xml:space="preserve">الخزينة </v>
          </cell>
        </row>
        <row r="1374">
          <cell r="A1374">
            <v>59</v>
          </cell>
          <cell r="B1374">
            <v>46139</v>
          </cell>
          <cell r="C1374">
            <v>20</v>
          </cell>
          <cell r="D1374" t="str">
            <v xml:space="preserve">الخزينة </v>
          </cell>
        </row>
        <row r="1375">
          <cell r="A1375">
            <v>59</v>
          </cell>
          <cell r="B1375">
            <v>46158</v>
          </cell>
          <cell r="C1375">
            <v>20</v>
          </cell>
          <cell r="D1375" t="str">
            <v xml:space="preserve">الخزينة </v>
          </cell>
        </row>
        <row r="1376">
          <cell r="A1376">
            <v>59</v>
          </cell>
          <cell r="B1376">
            <v>46163</v>
          </cell>
          <cell r="C1376">
            <v>20</v>
          </cell>
          <cell r="D1376" t="str">
            <v xml:space="preserve">الخزينة </v>
          </cell>
        </row>
        <row r="1377">
          <cell r="A1377">
            <v>59</v>
          </cell>
          <cell r="B1377">
            <v>46050</v>
          </cell>
          <cell r="C1377">
            <v>20</v>
          </cell>
          <cell r="D1377" t="str">
            <v xml:space="preserve">الخزينة </v>
          </cell>
        </row>
        <row r="1378">
          <cell r="A1378">
            <v>59</v>
          </cell>
          <cell r="B1378">
            <v>46057</v>
          </cell>
          <cell r="C1378">
            <v>20</v>
          </cell>
          <cell r="D1378" t="str">
            <v xml:space="preserve">الخزينة </v>
          </cell>
        </row>
        <row r="1379">
          <cell r="A1379">
            <v>59</v>
          </cell>
          <cell r="B1379">
            <v>46058</v>
          </cell>
          <cell r="C1379">
            <v>20</v>
          </cell>
          <cell r="D1379" t="str">
            <v xml:space="preserve">الخزينة </v>
          </cell>
        </row>
        <row r="1380">
          <cell r="A1380">
            <v>59</v>
          </cell>
          <cell r="B1380">
            <v>46086</v>
          </cell>
          <cell r="C1380">
            <v>20</v>
          </cell>
          <cell r="D1380" t="str">
            <v xml:space="preserve">الخزينة </v>
          </cell>
        </row>
        <row r="1381">
          <cell r="A1381">
            <v>59</v>
          </cell>
          <cell r="B1381">
            <v>46086</v>
          </cell>
          <cell r="C1381">
            <v>20</v>
          </cell>
          <cell r="D1381" t="str">
            <v xml:space="preserve">الخزينة </v>
          </cell>
        </row>
        <row r="1382">
          <cell r="A1382">
            <v>59</v>
          </cell>
          <cell r="B1382">
            <v>46096</v>
          </cell>
          <cell r="C1382">
            <v>20</v>
          </cell>
          <cell r="D1382" t="str">
            <v xml:space="preserve">الخزينة </v>
          </cell>
        </row>
        <row r="1383">
          <cell r="A1383">
            <v>59</v>
          </cell>
          <cell r="B1383">
            <v>46097</v>
          </cell>
          <cell r="C1383">
            <v>20</v>
          </cell>
          <cell r="D1383" t="str">
            <v xml:space="preserve">الخزينة </v>
          </cell>
        </row>
        <row r="1384">
          <cell r="A1384">
            <v>59</v>
          </cell>
          <cell r="B1384">
            <v>46099</v>
          </cell>
          <cell r="C1384">
            <v>20</v>
          </cell>
          <cell r="D1384" t="str">
            <v xml:space="preserve">الخزينة </v>
          </cell>
        </row>
        <row r="1385">
          <cell r="A1385">
            <v>59</v>
          </cell>
          <cell r="B1385">
            <v>46132</v>
          </cell>
          <cell r="C1385">
            <v>20</v>
          </cell>
          <cell r="D1385" t="str">
            <v xml:space="preserve">الخزينة </v>
          </cell>
        </row>
        <row r="1386">
          <cell r="A1386">
            <v>59</v>
          </cell>
          <cell r="B1386">
            <v>46068</v>
          </cell>
          <cell r="C1386">
            <v>20</v>
          </cell>
          <cell r="D1386" t="str">
            <v xml:space="preserve">الخزينة </v>
          </cell>
        </row>
        <row r="1387">
          <cell r="A1387">
            <v>59</v>
          </cell>
          <cell r="B1387">
            <v>46070</v>
          </cell>
          <cell r="C1387">
            <v>20</v>
          </cell>
          <cell r="D1387" t="str">
            <v xml:space="preserve">الخزينة </v>
          </cell>
        </row>
        <row r="1388">
          <cell r="A1388">
            <v>59</v>
          </cell>
          <cell r="B1388">
            <v>46082</v>
          </cell>
          <cell r="C1388">
            <v>20</v>
          </cell>
          <cell r="D1388" t="str">
            <v xml:space="preserve">الخزينة </v>
          </cell>
        </row>
        <row r="1389">
          <cell r="A1389">
            <v>59</v>
          </cell>
          <cell r="B1389">
            <v>46093</v>
          </cell>
          <cell r="C1389">
            <v>20</v>
          </cell>
          <cell r="D1389" t="str">
            <v xml:space="preserve">الخزينة </v>
          </cell>
        </row>
        <row r="1390">
          <cell r="A1390">
            <v>59</v>
          </cell>
          <cell r="B1390">
            <v>46096</v>
          </cell>
          <cell r="C1390">
            <v>20</v>
          </cell>
          <cell r="D1390" t="str">
            <v xml:space="preserve">الخزينة </v>
          </cell>
        </row>
        <row r="1391">
          <cell r="A1391">
            <v>59</v>
          </cell>
          <cell r="B1391">
            <v>46099</v>
          </cell>
          <cell r="C1391">
            <v>20</v>
          </cell>
          <cell r="D1391" t="str">
            <v xml:space="preserve">الخزينة </v>
          </cell>
        </row>
        <row r="1392">
          <cell r="A1392">
            <v>59</v>
          </cell>
          <cell r="B1392">
            <v>46128</v>
          </cell>
          <cell r="C1392">
            <v>20</v>
          </cell>
          <cell r="D1392" t="str">
            <v xml:space="preserve">الخزينة </v>
          </cell>
        </row>
        <row r="1393">
          <cell r="A1393">
            <v>59</v>
          </cell>
          <cell r="B1393">
            <v>46133</v>
          </cell>
          <cell r="C1393">
            <v>20</v>
          </cell>
          <cell r="D1393" t="str">
            <v xml:space="preserve">الخزينة </v>
          </cell>
        </row>
        <row r="1394">
          <cell r="A1394">
            <v>59</v>
          </cell>
          <cell r="B1394">
            <v>46156</v>
          </cell>
          <cell r="C1394">
            <v>20</v>
          </cell>
          <cell r="D1394" t="str">
            <v xml:space="preserve">الخزينة </v>
          </cell>
        </row>
        <row r="1395">
          <cell r="A1395">
            <v>59</v>
          </cell>
          <cell r="B1395">
            <v>46058</v>
          </cell>
          <cell r="C1395">
            <v>20</v>
          </cell>
          <cell r="D1395" t="str">
            <v xml:space="preserve">الخزينة </v>
          </cell>
        </row>
        <row r="1396">
          <cell r="A1396">
            <v>59</v>
          </cell>
          <cell r="B1396">
            <v>46071</v>
          </cell>
          <cell r="C1396">
            <v>20</v>
          </cell>
          <cell r="D1396" t="str">
            <v xml:space="preserve">الخزينة </v>
          </cell>
        </row>
        <row r="1397">
          <cell r="A1397">
            <v>59</v>
          </cell>
          <cell r="B1397">
            <v>46086</v>
          </cell>
          <cell r="C1397">
            <v>20</v>
          </cell>
          <cell r="D1397" t="str">
            <v xml:space="preserve">الخزينة </v>
          </cell>
        </row>
        <row r="1398">
          <cell r="A1398">
            <v>59</v>
          </cell>
          <cell r="B1398">
            <v>46163</v>
          </cell>
          <cell r="C1398">
            <v>20</v>
          </cell>
          <cell r="D1398" t="str">
            <v xml:space="preserve">الخزينة </v>
          </cell>
        </row>
        <row r="1399">
          <cell r="A1399">
            <v>59</v>
          </cell>
          <cell r="B1399">
            <v>46179</v>
          </cell>
          <cell r="C1399">
            <v>20</v>
          </cell>
          <cell r="D1399" t="str">
            <v xml:space="preserve">الخزينة </v>
          </cell>
        </row>
        <row r="1400">
          <cell r="A1400">
            <v>59</v>
          </cell>
          <cell r="B1400">
            <v>46181</v>
          </cell>
          <cell r="C1400">
            <v>20</v>
          </cell>
          <cell r="D1400" t="str">
            <v xml:space="preserve">الخزينة </v>
          </cell>
        </row>
        <row r="1401">
          <cell r="A1401">
            <v>59</v>
          </cell>
          <cell r="B1401">
            <v>46184</v>
          </cell>
          <cell r="C1401">
            <v>20</v>
          </cell>
          <cell r="D1401" t="str">
            <v xml:space="preserve">الخزينة </v>
          </cell>
        </row>
        <row r="1402">
          <cell r="A1402">
            <v>59</v>
          </cell>
          <cell r="B1402">
            <v>46120</v>
          </cell>
          <cell r="C1402">
            <v>20</v>
          </cell>
          <cell r="D1402" t="str">
            <v xml:space="preserve">الخزينة </v>
          </cell>
        </row>
        <row r="1403">
          <cell r="A1403">
            <v>59</v>
          </cell>
          <cell r="B1403">
            <v>46123</v>
          </cell>
          <cell r="C1403">
            <v>20</v>
          </cell>
          <cell r="D1403" t="str">
            <v xml:space="preserve">الخزينة </v>
          </cell>
        </row>
        <row r="1404">
          <cell r="A1404">
            <v>59</v>
          </cell>
          <cell r="B1404">
            <v>46139</v>
          </cell>
          <cell r="C1404">
            <v>20</v>
          </cell>
          <cell r="D1404" t="str">
            <v xml:space="preserve">الخزينة </v>
          </cell>
        </row>
        <row r="1405">
          <cell r="A1405">
            <v>59</v>
          </cell>
          <cell r="B1405">
            <v>46159</v>
          </cell>
          <cell r="C1405">
            <v>20</v>
          </cell>
          <cell r="D1405" t="str">
            <v xml:space="preserve">الخزينة </v>
          </cell>
        </row>
        <row r="1406">
          <cell r="A1406">
            <v>59</v>
          </cell>
          <cell r="B1406">
            <v>46184</v>
          </cell>
          <cell r="C1406">
            <v>20</v>
          </cell>
          <cell r="D1406" t="str">
            <v xml:space="preserve">الخزينة </v>
          </cell>
        </row>
        <row r="1407">
          <cell r="A1407">
            <v>59</v>
          </cell>
          <cell r="B1407">
            <v>46131</v>
          </cell>
          <cell r="C1407">
            <v>20</v>
          </cell>
          <cell r="D1407" t="str">
            <v xml:space="preserve">الخزينة </v>
          </cell>
        </row>
        <row r="1408">
          <cell r="A1408">
            <v>59</v>
          </cell>
          <cell r="B1408">
            <v>46034</v>
          </cell>
          <cell r="C1408">
            <v>20</v>
          </cell>
          <cell r="D1408" t="str">
            <v xml:space="preserve">الخزينة </v>
          </cell>
        </row>
        <row r="1409">
          <cell r="A1409">
            <v>59</v>
          </cell>
          <cell r="B1409">
            <v>46126</v>
          </cell>
          <cell r="C1409">
            <v>20</v>
          </cell>
          <cell r="D1409" t="str">
            <v xml:space="preserve">الخزينة </v>
          </cell>
        </row>
        <row r="1410">
          <cell r="A1410">
            <v>59</v>
          </cell>
          <cell r="B1410">
            <v>46166</v>
          </cell>
          <cell r="C1410">
            <v>20</v>
          </cell>
          <cell r="D1410" t="str">
            <v xml:space="preserve">الخزينة </v>
          </cell>
        </row>
        <row r="1411">
          <cell r="A1411">
            <v>59</v>
          </cell>
          <cell r="B1411">
            <v>46135</v>
          </cell>
          <cell r="C1411">
            <v>20</v>
          </cell>
          <cell r="D1411" t="str">
            <v xml:space="preserve">الخزينة </v>
          </cell>
        </row>
        <row r="1412">
          <cell r="A1412">
            <v>59</v>
          </cell>
          <cell r="B1412">
            <v>46142</v>
          </cell>
          <cell r="C1412">
            <v>20</v>
          </cell>
          <cell r="D1412" t="str">
            <v xml:space="preserve">الخزينة </v>
          </cell>
        </row>
        <row r="1413">
          <cell r="A1413">
            <v>59</v>
          </cell>
          <cell r="B1413">
            <v>46142</v>
          </cell>
          <cell r="C1413">
            <v>20</v>
          </cell>
          <cell r="D1413" t="str">
            <v xml:space="preserve">الخزينة </v>
          </cell>
        </row>
        <row r="1414">
          <cell r="A1414">
            <v>59</v>
          </cell>
          <cell r="B1414">
            <v>46147</v>
          </cell>
          <cell r="C1414">
            <v>20</v>
          </cell>
          <cell r="D1414" t="str">
            <v xml:space="preserve">الخزينة </v>
          </cell>
        </row>
        <row r="1415">
          <cell r="A1415">
            <v>59</v>
          </cell>
          <cell r="B1415">
            <v>46046</v>
          </cell>
          <cell r="C1415">
            <v>20</v>
          </cell>
          <cell r="D1415" t="str">
            <v xml:space="preserve">الخزينة </v>
          </cell>
        </row>
        <row r="1416">
          <cell r="A1416">
            <v>59</v>
          </cell>
          <cell r="B1416">
            <v>46060</v>
          </cell>
          <cell r="C1416">
            <v>20</v>
          </cell>
          <cell r="D1416" t="str">
            <v xml:space="preserve">الخزينة </v>
          </cell>
        </row>
        <row r="1417">
          <cell r="A1417">
            <v>59</v>
          </cell>
          <cell r="B1417">
            <v>46061</v>
          </cell>
          <cell r="C1417">
            <v>20</v>
          </cell>
          <cell r="D1417" t="str">
            <v xml:space="preserve">الخزينة </v>
          </cell>
        </row>
        <row r="1418">
          <cell r="A1418">
            <v>59</v>
          </cell>
          <cell r="B1418">
            <v>46062</v>
          </cell>
          <cell r="C1418">
            <v>20</v>
          </cell>
          <cell r="D1418" t="str">
            <v xml:space="preserve">الخزينة </v>
          </cell>
        </row>
        <row r="1419">
          <cell r="A1419">
            <v>59</v>
          </cell>
          <cell r="B1419">
            <v>46065</v>
          </cell>
          <cell r="C1419">
            <v>20</v>
          </cell>
          <cell r="D1419" t="str">
            <v xml:space="preserve">الخزينة </v>
          </cell>
        </row>
        <row r="1420">
          <cell r="A1420">
            <v>59</v>
          </cell>
          <cell r="B1420">
            <v>46071</v>
          </cell>
          <cell r="C1420">
            <v>20</v>
          </cell>
          <cell r="D1420" t="str">
            <v xml:space="preserve">الخزينة </v>
          </cell>
        </row>
        <row r="1421">
          <cell r="A1421">
            <v>59</v>
          </cell>
          <cell r="B1421">
            <v>46138</v>
          </cell>
          <cell r="C1421">
            <v>20</v>
          </cell>
          <cell r="D1421" t="str">
            <v xml:space="preserve">الخزينة </v>
          </cell>
        </row>
        <row r="1422">
          <cell r="A1422">
            <v>59</v>
          </cell>
          <cell r="B1422">
            <v>46139</v>
          </cell>
          <cell r="C1422">
            <v>20</v>
          </cell>
          <cell r="D1422" t="str">
            <v xml:space="preserve">الخزينة </v>
          </cell>
        </row>
        <row r="1423">
          <cell r="A1423">
            <v>59</v>
          </cell>
          <cell r="B1423">
            <v>46141</v>
          </cell>
          <cell r="C1423">
            <v>20</v>
          </cell>
          <cell r="D1423" t="str">
            <v xml:space="preserve">الخزينة </v>
          </cell>
        </row>
        <row r="1424">
          <cell r="A1424">
            <v>59</v>
          </cell>
          <cell r="B1424">
            <v>46036</v>
          </cell>
          <cell r="C1424">
            <v>20</v>
          </cell>
          <cell r="D1424" t="str">
            <v xml:space="preserve">الخزينة </v>
          </cell>
        </row>
        <row r="1425">
          <cell r="A1425">
            <v>60</v>
          </cell>
          <cell r="B1425">
            <v>46154</v>
          </cell>
          <cell r="C1425" t="str">
            <v>401-4</v>
          </cell>
          <cell r="D1425" t="str">
            <v xml:space="preserve">اعمال انزال ونقل الراتش ونقل المخلفات </v>
          </cell>
        </row>
        <row r="1426">
          <cell r="A1426">
            <v>60</v>
          </cell>
          <cell r="B1426">
            <v>46133</v>
          </cell>
          <cell r="C1426" t="str">
            <v>372-4</v>
          </cell>
          <cell r="D1426" t="str">
            <v xml:space="preserve">اعمال انزال ونقل الراتش ونقل المخلفات </v>
          </cell>
        </row>
        <row r="1427">
          <cell r="A1427">
            <v>60</v>
          </cell>
          <cell r="B1427">
            <v>46151</v>
          </cell>
          <cell r="C1427" t="str">
            <v>372-4</v>
          </cell>
          <cell r="D1427" t="str">
            <v xml:space="preserve">اعمال انزال ونقل الراتش ونقل المخلفات </v>
          </cell>
        </row>
        <row r="1428">
          <cell r="A1428">
            <v>60</v>
          </cell>
          <cell r="B1428">
            <v>46062</v>
          </cell>
          <cell r="C1428" t="str">
            <v>364-4</v>
          </cell>
          <cell r="D1428" t="str">
            <v xml:space="preserve">اعمال انزال ونقل الراتش ونقل المخلفات </v>
          </cell>
        </row>
        <row r="1429">
          <cell r="A1429">
            <v>60</v>
          </cell>
          <cell r="B1429">
            <v>46062</v>
          </cell>
          <cell r="C1429" t="str">
            <v>364-4</v>
          </cell>
          <cell r="D1429" t="str">
            <v xml:space="preserve">اعمال انزال ونقل الراتش ونقل المخلفات </v>
          </cell>
        </row>
        <row r="1430">
          <cell r="A1430">
            <v>60</v>
          </cell>
          <cell r="B1430">
            <v>46064</v>
          </cell>
          <cell r="C1430" t="str">
            <v>364-4</v>
          </cell>
          <cell r="D1430" t="str">
            <v xml:space="preserve">اعمال انزال ونقل الراتش ونقل المخلفات </v>
          </cell>
        </row>
        <row r="1431">
          <cell r="A1431">
            <v>60</v>
          </cell>
          <cell r="B1431">
            <v>46039</v>
          </cell>
          <cell r="C1431" t="str">
            <v>235-4</v>
          </cell>
          <cell r="D1431" t="str">
            <v xml:space="preserve">اعمال انزال ونقل الراتش ونقل المخلفات </v>
          </cell>
        </row>
        <row r="1432">
          <cell r="A1432">
            <v>60</v>
          </cell>
          <cell r="B1432">
            <v>46058</v>
          </cell>
          <cell r="C1432" t="str">
            <v>235-4</v>
          </cell>
          <cell r="D1432" t="str">
            <v xml:space="preserve">اعمال انزال ونقل الراتش ونقل المخلفات </v>
          </cell>
        </row>
        <row r="1433">
          <cell r="A1433">
            <v>60</v>
          </cell>
          <cell r="B1433">
            <v>46058</v>
          </cell>
          <cell r="C1433" t="str">
            <v>235-4</v>
          </cell>
          <cell r="D1433" t="str">
            <v xml:space="preserve">اعمال انزال ونقل الراتش ونقل المخلفات </v>
          </cell>
        </row>
        <row r="1434">
          <cell r="A1434">
            <v>60</v>
          </cell>
          <cell r="B1434">
            <v>46062</v>
          </cell>
          <cell r="C1434" t="str">
            <v>235-4</v>
          </cell>
          <cell r="D1434" t="str">
            <v xml:space="preserve">اعمال انزال ونقل الراتش ونقل المخلفات </v>
          </cell>
        </row>
        <row r="1435">
          <cell r="A1435">
            <v>60</v>
          </cell>
          <cell r="B1435">
            <v>46068</v>
          </cell>
          <cell r="C1435" t="str">
            <v>235-4</v>
          </cell>
          <cell r="D1435" t="str">
            <v xml:space="preserve">اعمال انزال ونقل الراتش ونقل المخلفات </v>
          </cell>
        </row>
        <row r="1436">
          <cell r="A1436">
            <v>60</v>
          </cell>
          <cell r="B1436">
            <v>46093</v>
          </cell>
          <cell r="C1436" t="str">
            <v>235-4</v>
          </cell>
          <cell r="D1436" t="str">
            <v xml:space="preserve">اعمال انزال ونقل الراتش ونقل المخلفات </v>
          </cell>
        </row>
        <row r="1437">
          <cell r="A1437">
            <v>60</v>
          </cell>
          <cell r="B1437">
            <v>46093</v>
          </cell>
          <cell r="C1437" t="str">
            <v>306-4</v>
          </cell>
          <cell r="D1437" t="str">
            <v xml:space="preserve">اعمال انزال ونقل الراتش ونقل المخلفات </v>
          </cell>
        </row>
        <row r="1438">
          <cell r="A1438">
            <v>60</v>
          </cell>
          <cell r="B1438">
            <v>46051</v>
          </cell>
          <cell r="C1438" t="str">
            <v>361-4</v>
          </cell>
          <cell r="D1438" t="str">
            <v xml:space="preserve">اعمال انزال ونقل الراتش ونقل المخلفات </v>
          </cell>
        </row>
        <row r="1439">
          <cell r="A1439">
            <v>60</v>
          </cell>
          <cell r="B1439">
            <v>46093</v>
          </cell>
          <cell r="C1439" t="str">
            <v>361-4</v>
          </cell>
          <cell r="D1439" t="str">
            <v xml:space="preserve">اعمال انزال ونقل الراتش ونقل المخلفات </v>
          </cell>
        </row>
        <row r="1440">
          <cell r="A1440">
            <v>60</v>
          </cell>
          <cell r="B1440">
            <v>46121</v>
          </cell>
          <cell r="C1440" t="str">
            <v>361-4</v>
          </cell>
          <cell r="D1440" t="str">
            <v xml:space="preserve">اعمال انزال ونقل الراتش ونقل المخلفات </v>
          </cell>
        </row>
        <row r="1441">
          <cell r="A1441">
            <v>60</v>
          </cell>
          <cell r="B1441">
            <v>46086</v>
          </cell>
          <cell r="C1441" t="str">
            <v>345-4</v>
          </cell>
          <cell r="D1441" t="str">
            <v xml:space="preserve">اعمال انزال ونقل الراتش ونقل المخلفات </v>
          </cell>
        </row>
        <row r="1442">
          <cell r="A1442">
            <v>60</v>
          </cell>
          <cell r="B1442">
            <v>46187</v>
          </cell>
          <cell r="C1442" t="str">
            <v>5100-4</v>
          </cell>
          <cell r="D1442" t="str">
            <v xml:space="preserve">اعمال انزال ونقل الراتش ونقل المخلفات </v>
          </cell>
        </row>
        <row r="1443">
          <cell r="A1443">
            <v>60</v>
          </cell>
          <cell r="B1443">
            <v>46068</v>
          </cell>
          <cell r="C1443" t="str">
            <v>5100-4</v>
          </cell>
          <cell r="D1443" t="str">
            <v xml:space="preserve">اعمال انزال ونقل الراتش ونقل المخلفات </v>
          </cell>
        </row>
        <row r="1444">
          <cell r="A1444">
            <v>60</v>
          </cell>
          <cell r="B1444">
            <v>46030</v>
          </cell>
          <cell r="C1444" t="str">
            <v>341-4</v>
          </cell>
          <cell r="D1444" t="str">
            <v xml:space="preserve">اعمال انزال ونقل الراتش ونقل المخلفات </v>
          </cell>
        </row>
        <row r="1445">
          <cell r="A1445">
            <v>60</v>
          </cell>
          <cell r="B1445">
            <v>46034</v>
          </cell>
          <cell r="C1445" t="str">
            <v>341-4</v>
          </cell>
          <cell r="D1445" t="str">
            <v xml:space="preserve">اعمال انزال ونقل الراتش ونقل المخلفات </v>
          </cell>
        </row>
        <row r="1446">
          <cell r="A1446">
            <v>60</v>
          </cell>
          <cell r="B1446">
            <v>46042</v>
          </cell>
          <cell r="C1446" t="str">
            <v>341-4</v>
          </cell>
          <cell r="D1446" t="str">
            <v xml:space="preserve">اعمال انزال ونقل الراتش ونقل المخلفات </v>
          </cell>
        </row>
        <row r="1447">
          <cell r="A1447">
            <v>60</v>
          </cell>
          <cell r="B1447">
            <v>46049</v>
          </cell>
          <cell r="C1447" t="str">
            <v>341-4</v>
          </cell>
          <cell r="D1447" t="str">
            <v xml:space="preserve">اعمال انزال ونقل الراتش ونقل المخلفات </v>
          </cell>
        </row>
        <row r="1448">
          <cell r="A1448">
            <v>60</v>
          </cell>
          <cell r="B1448">
            <v>46051</v>
          </cell>
          <cell r="C1448" t="str">
            <v>341-4</v>
          </cell>
          <cell r="D1448" t="str">
            <v xml:space="preserve">اعمال انزال ونقل الراتش ونقل المخلفات </v>
          </cell>
        </row>
        <row r="1449">
          <cell r="A1449">
            <v>60</v>
          </cell>
          <cell r="B1449">
            <v>46062</v>
          </cell>
          <cell r="C1449" t="str">
            <v>341-4</v>
          </cell>
          <cell r="D1449" t="str">
            <v xml:space="preserve">اعمال انزال ونقل الراتش ونقل المخلفات </v>
          </cell>
        </row>
        <row r="1450">
          <cell r="A1450">
            <v>60</v>
          </cell>
          <cell r="B1450">
            <v>46065</v>
          </cell>
          <cell r="C1450" t="str">
            <v>341-4</v>
          </cell>
          <cell r="D1450" t="str">
            <v xml:space="preserve">اعمال انزال ونقل الراتش ونقل المخلفات </v>
          </cell>
        </row>
        <row r="1451">
          <cell r="A1451">
            <v>60</v>
          </cell>
          <cell r="B1451">
            <v>46071</v>
          </cell>
          <cell r="C1451" t="str">
            <v>341-4</v>
          </cell>
          <cell r="D1451" t="str">
            <v xml:space="preserve">اعمال انزال ونقل الراتش ونقل المخلفات </v>
          </cell>
        </row>
        <row r="1452">
          <cell r="A1452">
            <v>60</v>
          </cell>
          <cell r="B1452">
            <v>46121</v>
          </cell>
          <cell r="C1452" t="str">
            <v>341-4</v>
          </cell>
          <cell r="D1452" t="str">
            <v xml:space="preserve">اعمال انزال ونقل الراتش ونقل المخلفات </v>
          </cell>
        </row>
        <row r="1453">
          <cell r="A1453">
            <v>60</v>
          </cell>
          <cell r="B1453">
            <v>46161</v>
          </cell>
          <cell r="C1453" t="str">
            <v>341-4</v>
          </cell>
          <cell r="D1453" t="str">
            <v xml:space="preserve">اعمال انزال ونقل الراتش ونقل المخلفات </v>
          </cell>
        </row>
        <row r="1454">
          <cell r="A1454">
            <v>60</v>
          </cell>
          <cell r="B1454">
            <v>46161</v>
          </cell>
          <cell r="C1454" t="str">
            <v>341-4</v>
          </cell>
          <cell r="D1454" t="str">
            <v xml:space="preserve">اعمال انزال ونقل الراتش ونقل المخلفات </v>
          </cell>
        </row>
        <row r="1455">
          <cell r="A1455">
            <v>60</v>
          </cell>
          <cell r="B1455">
            <v>46163</v>
          </cell>
          <cell r="C1455" t="str">
            <v>341-4</v>
          </cell>
          <cell r="D1455" t="str">
            <v xml:space="preserve">اعمال انزال ونقل الراتش ونقل المخلفات </v>
          </cell>
        </row>
        <row r="1456">
          <cell r="A1456">
            <v>60</v>
          </cell>
          <cell r="B1456">
            <v>46166</v>
          </cell>
          <cell r="C1456" t="str">
            <v>341-4</v>
          </cell>
          <cell r="D1456" t="str">
            <v xml:space="preserve">اعمال انزال ونقل الراتش ونقل المخلفات </v>
          </cell>
        </row>
        <row r="1457">
          <cell r="A1457">
            <v>60</v>
          </cell>
          <cell r="B1457">
            <v>46179</v>
          </cell>
          <cell r="C1457" t="str">
            <v>341-4</v>
          </cell>
          <cell r="D1457" t="str">
            <v xml:space="preserve">اعمال انزال ونقل الراتش ونقل المخلفات </v>
          </cell>
        </row>
        <row r="1458">
          <cell r="A1458">
            <v>60</v>
          </cell>
          <cell r="B1458">
            <v>46179</v>
          </cell>
          <cell r="C1458" t="str">
            <v>341-4</v>
          </cell>
          <cell r="D1458" t="str">
            <v xml:space="preserve">اعمال انزال ونقل الراتش ونقل المخلفات </v>
          </cell>
        </row>
        <row r="1459">
          <cell r="A1459">
            <v>60</v>
          </cell>
          <cell r="B1459">
            <v>46187</v>
          </cell>
          <cell r="C1459" t="str">
            <v>341-4</v>
          </cell>
          <cell r="D1459" t="str">
            <v xml:space="preserve">اعمال انزال ونقل الراتش ونقل المخلفات </v>
          </cell>
        </row>
        <row r="1460">
          <cell r="A1460">
            <v>60</v>
          </cell>
          <cell r="B1460">
            <v>46161</v>
          </cell>
          <cell r="C1460" t="str">
            <v>5200-4</v>
          </cell>
          <cell r="D1460" t="str">
            <v xml:space="preserve">اعمال انزال ونقل الراتش ونقل المخلفات </v>
          </cell>
        </row>
        <row r="1461">
          <cell r="A1461">
            <v>60</v>
          </cell>
          <cell r="B1461">
            <v>46034</v>
          </cell>
          <cell r="C1461" t="str">
            <v>388-4</v>
          </cell>
          <cell r="D1461" t="str">
            <v xml:space="preserve">اعمال انزال ونقل الراتش ونقل المخلفات </v>
          </cell>
        </row>
        <row r="1462">
          <cell r="A1462">
            <v>60</v>
          </cell>
          <cell r="B1462">
            <v>46037</v>
          </cell>
          <cell r="C1462" t="str">
            <v>388-4</v>
          </cell>
          <cell r="D1462" t="str">
            <v xml:space="preserve">اعمال انزال ونقل الراتش ونقل المخلفات </v>
          </cell>
        </row>
        <row r="1463">
          <cell r="A1463">
            <v>60</v>
          </cell>
          <cell r="B1463">
            <v>46048</v>
          </cell>
          <cell r="C1463" t="str">
            <v>388-4</v>
          </cell>
          <cell r="D1463" t="str">
            <v xml:space="preserve">اعمال انزال ونقل الراتش ونقل المخلفات </v>
          </cell>
        </row>
        <row r="1464">
          <cell r="A1464">
            <v>60</v>
          </cell>
          <cell r="B1464">
            <v>46062</v>
          </cell>
          <cell r="C1464" t="str">
            <v>388-4</v>
          </cell>
          <cell r="D1464" t="str">
            <v xml:space="preserve">اعمال انزال ونقل الراتش ونقل المخلفات </v>
          </cell>
        </row>
        <row r="1465">
          <cell r="A1465">
            <v>60</v>
          </cell>
          <cell r="B1465">
            <v>46062</v>
          </cell>
          <cell r="C1465" t="str">
            <v>388-4</v>
          </cell>
          <cell r="D1465" t="str">
            <v xml:space="preserve">اعمال انزال ونقل الراتش ونقل المخلفات </v>
          </cell>
        </row>
        <row r="1466">
          <cell r="A1466">
            <v>60</v>
          </cell>
          <cell r="B1466">
            <v>46093</v>
          </cell>
          <cell r="C1466" t="str">
            <v>388-4</v>
          </cell>
          <cell r="D1466" t="str">
            <v xml:space="preserve">اعمال انزال ونقل الراتش ونقل المخلفات </v>
          </cell>
        </row>
        <row r="1467">
          <cell r="A1467">
            <v>60</v>
          </cell>
          <cell r="B1467">
            <v>46133</v>
          </cell>
          <cell r="C1467" t="str">
            <v>388-4</v>
          </cell>
          <cell r="D1467" t="str">
            <v xml:space="preserve">اعمال انزال ونقل الراتش ونقل المخلفات </v>
          </cell>
        </row>
        <row r="1468">
          <cell r="A1468">
            <v>60</v>
          </cell>
          <cell r="B1468">
            <v>46177</v>
          </cell>
          <cell r="C1468" t="str">
            <v>388-4</v>
          </cell>
          <cell r="D1468" t="str">
            <v xml:space="preserve">اعمال انزال ونقل الراتش ونقل المخلفات </v>
          </cell>
        </row>
        <row r="1469">
          <cell r="A1469">
            <v>60</v>
          </cell>
          <cell r="B1469">
            <v>46121</v>
          </cell>
          <cell r="C1469" t="str">
            <v>398-4</v>
          </cell>
          <cell r="D1469" t="str">
            <v xml:space="preserve">اعمال انزال ونقل الراتش ونقل المخلفات </v>
          </cell>
        </row>
        <row r="1470">
          <cell r="A1470">
            <v>60</v>
          </cell>
          <cell r="B1470">
            <v>46153</v>
          </cell>
          <cell r="C1470" t="str">
            <v>398-4</v>
          </cell>
          <cell r="D1470" t="str">
            <v xml:space="preserve">اعمال انزال ونقل الراتش ونقل المخلفات </v>
          </cell>
        </row>
        <row r="1471">
          <cell r="A1471">
            <v>60</v>
          </cell>
          <cell r="B1471">
            <v>46159</v>
          </cell>
          <cell r="C1471" t="str">
            <v>398-4</v>
          </cell>
          <cell r="D1471" t="str">
            <v xml:space="preserve">اعمال انزال ونقل الراتش ونقل المخلفات </v>
          </cell>
        </row>
        <row r="1472">
          <cell r="A1472">
            <v>60</v>
          </cell>
          <cell r="B1472">
            <v>46036</v>
          </cell>
          <cell r="C1472" t="str">
            <v>273-4</v>
          </cell>
          <cell r="D1472" t="str">
            <v xml:space="preserve">اعمال انزال ونقل الراتش ونقل المخلفات </v>
          </cell>
        </row>
        <row r="1473">
          <cell r="A1473">
            <v>60</v>
          </cell>
          <cell r="B1473">
            <v>46062</v>
          </cell>
          <cell r="C1473" t="str">
            <v>273-4</v>
          </cell>
          <cell r="D1473" t="str">
            <v xml:space="preserve">اعمال انزال ونقل الراتش ونقل المخلفات </v>
          </cell>
        </row>
        <row r="1474">
          <cell r="A1474">
            <v>60</v>
          </cell>
          <cell r="B1474">
            <v>46068</v>
          </cell>
          <cell r="C1474" t="str">
            <v>350-4</v>
          </cell>
          <cell r="D1474" t="str">
            <v xml:space="preserve">اعمال انزال ونقل الراتش ونقل المخلفات </v>
          </cell>
        </row>
        <row r="1475">
          <cell r="A1475">
            <v>60</v>
          </cell>
          <cell r="B1475">
            <v>46070</v>
          </cell>
          <cell r="C1475" t="str">
            <v>350-4</v>
          </cell>
          <cell r="D1475" t="str">
            <v xml:space="preserve">اعمال انزال ونقل الراتش ونقل المخلفات </v>
          </cell>
        </row>
        <row r="1476">
          <cell r="A1476">
            <v>60</v>
          </cell>
          <cell r="B1476">
            <v>46077</v>
          </cell>
          <cell r="C1476" t="str">
            <v>350-4</v>
          </cell>
          <cell r="D1476" t="str">
            <v xml:space="preserve">اعمال انزال ونقل الراتش ونقل المخلفات </v>
          </cell>
        </row>
        <row r="1477">
          <cell r="A1477">
            <v>60</v>
          </cell>
          <cell r="B1477">
            <v>46093</v>
          </cell>
          <cell r="C1477" t="str">
            <v>318-4</v>
          </cell>
          <cell r="D1477" t="str">
            <v xml:space="preserve">اعمال انزال ونقل الراتش ونقل المخلفات </v>
          </cell>
        </row>
        <row r="1478">
          <cell r="A1478">
            <v>60</v>
          </cell>
          <cell r="B1478">
            <v>46131</v>
          </cell>
          <cell r="C1478" t="str">
            <v>318-4</v>
          </cell>
          <cell r="D1478" t="str">
            <v xml:space="preserve">اعمال انزال ونقل الراتش ونقل المخلفات </v>
          </cell>
        </row>
        <row r="1479">
          <cell r="A1479">
            <v>60</v>
          </cell>
          <cell r="B1479">
            <v>46144</v>
          </cell>
          <cell r="C1479" t="str">
            <v>318-4</v>
          </cell>
          <cell r="D1479" t="str">
            <v xml:space="preserve">اعمال انزال ونقل الراتش ونقل المخلفات </v>
          </cell>
        </row>
        <row r="1480">
          <cell r="A1480">
            <v>60</v>
          </cell>
          <cell r="B1480">
            <v>46148</v>
          </cell>
          <cell r="C1480" t="str">
            <v>318-4</v>
          </cell>
          <cell r="D1480" t="str">
            <v xml:space="preserve">اعمال انزال ونقل الراتش ونقل المخلفات </v>
          </cell>
        </row>
        <row r="1481">
          <cell r="A1481">
            <v>60</v>
          </cell>
          <cell r="B1481">
            <v>46179</v>
          </cell>
          <cell r="C1481" t="str">
            <v>318-4</v>
          </cell>
          <cell r="D1481" t="str">
            <v xml:space="preserve">اعمال انزال ونقل الراتش ونقل المخلفات </v>
          </cell>
        </row>
        <row r="1482">
          <cell r="A1482">
            <v>60</v>
          </cell>
          <cell r="B1482">
            <v>46046</v>
          </cell>
          <cell r="C1482" t="str">
            <v>235-4</v>
          </cell>
          <cell r="D1482" t="str">
            <v xml:space="preserve">اعمال انزال ونقل الراتش ونقل المخلفات </v>
          </cell>
        </row>
        <row r="1483">
          <cell r="A1483">
            <v>60</v>
          </cell>
          <cell r="B1483">
            <v>46144</v>
          </cell>
          <cell r="C1483" t="str">
            <v>365-4</v>
          </cell>
          <cell r="D1483" t="str">
            <v xml:space="preserve">اعمال انزال ونقل الراتش ونقل المخلفات </v>
          </cell>
        </row>
        <row r="1484">
          <cell r="A1484">
            <v>60</v>
          </cell>
          <cell r="B1484">
            <v>46184</v>
          </cell>
          <cell r="C1484" t="str">
            <v>365-4</v>
          </cell>
          <cell r="D1484" t="str">
            <v xml:space="preserve">اعمال انزال ونقل الراتش ونقل المخلفات </v>
          </cell>
        </row>
        <row r="1485">
          <cell r="A1485">
            <v>60</v>
          </cell>
          <cell r="B1485">
            <v>46090</v>
          </cell>
          <cell r="C1485" t="str">
            <v>355-4</v>
          </cell>
          <cell r="D1485" t="str">
            <v xml:space="preserve">اعمال انزال ونقل الراتش ونقل المخلفات </v>
          </cell>
        </row>
        <row r="1486">
          <cell r="A1486">
            <v>60</v>
          </cell>
          <cell r="B1486">
            <v>46097</v>
          </cell>
          <cell r="C1486" t="str">
            <v>355-4</v>
          </cell>
          <cell r="D1486" t="str">
            <v xml:space="preserve">اعمال انزال ونقل الراتش ونقل المخلفات </v>
          </cell>
        </row>
        <row r="1487">
          <cell r="A1487">
            <v>60</v>
          </cell>
          <cell r="B1487">
            <v>46090</v>
          </cell>
          <cell r="C1487" t="str">
            <v>354-4</v>
          </cell>
          <cell r="D1487" t="str">
            <v xml:space="preserve">اعمال انزال ونقل الراتش ونقل المخلفات </v>
          </cell>
        </row>
        <row r="1488">
          <cell r="A1488">
            <v>60</v>
          </cell>
          <cell r="B1488">
            <v>46097</v>
          </cell>
          <cell r="C1488" t="str">
            <v>354-4</v>
          </cell>
          <cell r="D1488" t="str">
            <v xml:space="preserve">اعمال انزال ونقل الراتش ونقل المخلفات </v>
          </cell>
        </row>
        <row r="1489">
          <cell r="A1489">
            <v>60</v>
          </cell>
          <cell r="B1489">
            <v>46154</v>
          </cell>
          <cell r="C1489">
            <v>20</v>
          </cell>
          <cell r="D1489" t="str">
            <v xml:space="preserve">الخزينة </v>
          </cell>
        </row>
        <row r="1490">
          <cell r="A1490">
            <v>60</v>
          </cell>
          <cell r="B1490">
            <v>46133</v>
          </cell>
          <cell r="C1490">
            <v>20</v>
          </cell>
          <cell r="D1490" t="str">
            <v xml:space="preserve">الخزينة </v>
          </cell>
        </row>
        <row r="1491">
          <cell r="A1491">
            <v>60</v>
          </cell>
          <cell r="B1491">
            <v>46151</v>
          </cell>
          <cell r="C1491">
            <v>20</v>
          </cell>
          <cell r="D1491" t="str">
            <v xml:space="preserve">الخزينة </v>
          </cell>
        </row>
        <row r="1492">
          <cell r="A1492">
            <v>60</v>
          </cell>
          <cell r="B1492">
            <v>46062</v>
          </cell>
          <cell r="C1492">
            <v>20</v>
          </cell>
          <cell r="D1492" t="str">
            <v xml:space="preserve">الخزينة </v>
          </cell>
        </row>
        <row r="1493">
          <cell r="A1493">
            <v>60</v>
          </cell>
          <cell r="B1493">
            <v>46062</v>
          </cell>
          <cell r="C1493">
            <v>20</v>
          </cell>
          <cell r="D1493" t="str">
            <v xml:space="preserve">الخزينة </v>
          </cell>
        </row>
        <row r="1494">
          <cell r="A1494">
            <v>60</v>
          </cell>
          <cell r="B1494">
            <v>46064</v>
          </cell>
          <cell r="C1494">
            <v>20</v>
          </cell>
          <cell r="D1494" t="str">
            <v xml:space="preserve">الخزينة </v>
          </cell>
        </row>
        <row r="1495">
          <cell r="A1495">
            <v>60</v>
          </cell>
          <cell r="B1495">
            <v>46039</v>
          </cell>
          <cell r="C1495">
            <v>20</v>
          </cell>
          <cell r="D1495" t="str">
            <v xml:space="preserve">الخزينة </v>
          </cell>
        </row>
        <row r="1496">
          <cell r="A1496">
            <v>60</v>
          </cell>
          <cell r="B1496">
            <v>46058</v>
          </cell>
          <cell r="C1496">
            <v>20</v>
          </cell>
          <cell r="D1496" t="str">
            <v xml:space="preserve">الخزينة </v>
          </cell>
        </row>
        <row r="1497">
          <cell r="A1497">
            <v>60</v>
          </cell>
          <cell r="B1497">
            <v>46058</v>
          </cell>
          <cell r="C1497">
            <v>20</v>
          </cell>
          <cell r="D1497" t="str">
            <v xml:space="preserve">الخزينة </v>
          </cell>
        </row>
        <row r="1498">
          <cell r="A1498">
            <v>60</v>
          </cell>
          <cell r="B1498">
            <v>46062</v>
          </cell>
          <cell r="C1498">
            <v>20</v>
          </cell>
          <cell r="D1498" t="str">
            <v xml:space="preserve">الخزينة </v>
          </cell>
        </row>
        <row r="1499">
          <cell r="A1499">
            <v>60</v>
          </cell>
          <cell r="B1499">
            <v>46068</v>
          </cell>
          <cell r="C1499">
            <v>20</v>
          </cell>
          <cell r="D1499" t="str">
            <v xml:space="preserve">الخزينة </v>
          </cell>
        </row>
        <row r="1500">
          <cell r="A1500">
            <v>60</v>
          </cell>
          <cell r="B1500">
            <v>46093</v>
          </cell>
          <cell r="C1500">
            <v>20</v>
          </cell>
          <cell r="D1500" t="str">
            <v xml:space="preserve">الخزينة </v>
          </cell>
        </row>
        <row r="1501">
          <cell r="A1501">
            <v>60</v>
          </cell>
          <cell r="B1501">
            <v>46093</v>
          </cell>
          <cell r="C1501">
            <v>20</v>
          </cell>
          <cell r="D1501" t="str">
            <v xml:space="preserve">الخزينة </v>
          </cell>
        </row>
        <row r="1502">
          <cell r="A1502">
            <v>60</v>
          </cell>
          <cell r="B1502">
            <v>46051</v>
          </cell>
          <cell r="C1502">
            <v>20</v>
          </cell>
          <cell r="D1502" t="str">
            <v xml:space="preserve">الخزينة </v>
          </cell>
        </row>
        <row r="1503">
          <cell r="A1503">
            <v>60</v>
          </cell>
          <cell r="B1503">
            <v>46093</v>
          </cell>
          <cell r="C1503">
            <v>20</v>
          </cell>
          <cell r="D1503" t="str">
            <v xml:space="preserve">الخزينة </v>
          </cell>
        </row>
        <row r="1504">
          <cell r="A1504">
            <v>60</v>
          </cell>
          <cell r="B1504">
            <v>46121</v>
          </cell>
          <cell r="C1504">
            <v>20</v>
          </cell>
          <cell r="D1504" t="str">
            <v xml:space="preserve">الخزينة </v>
          </cell>
        </row>
        <row r="1505">
          <cell r="A1505">
            <v>60</v>
          </cell>
          <cell r="B1505">
            <v>46086</v>
          </cell>
          <cell r="C1505">
            <v>20</v>
          </cell>
          <cell r="D1505" t="str">
            <v xml:space="preserve">الخزينة </v>
          </cell>
        </row>
      </sheetData>
      <sheetData sheetId="2">
        <row r="1">
          <cell r="A1" t="str">
            <v>Details for Sum of Balance - مشروع : (blank), اسم الحساب:  , التوجية المحاسبي الاول:  , التوجيه المحاسبي الاخير:   (+)</v>
          </cell>
        </row>
        <row r="3">
          <cell r="A3" t="str">
            <v>رقم القيد</v>
          </cell>
          <cell r="B3" t="str">
            <v>تاريخ</v>
          </cell>
          <cell r="C3" t="str">
            <v>رقم الحساب</v>
          </cell>
          <cell r="D3" t="str">
            <v>اسم الحساب</v>
          </cell>
          <cell r="E3" t="str">
            <v>العملة</v>
          </cell>
        </row>
        <row r="4">
          <cell r="D4" t="str">
            <v xml:space="preserve"> </v>
          </cell>
        </row>
        <row r="5">
          <cell r="D5" t="str">
            <v xml:space="preserve"> </v>
          </cell>
        </row>
        <row r="6">
          <cell r="D6" t="str">
            <v xml:space="preserve"> </v>
          </cell>
        </row>
        <row r="7">
          <cell r="D7" t="str">
            <v xml:space="preserve"> </v>
          </cell>
        </row>
        <row r="8">
          <cell r="D8" t="str">
            <v xml:space="preserve"> </v>
          </cell>
        </row>
        <row r="9">
          <cell r="D9" t="str">
            <v xml:space="preserve"> </v>
          </cell>
        </row>
        <row r="10">
          <cell r="D10" t="str">
            <v xml:space="preserve"> </v>
          </cell>
        </row>
        <row r="11">
          <cell r="D11" t="str">
            <v xml:space="preserve"> </v>
          </cell>
        </row>
        <row r="12">
          <cell r="D12" t="str">
            <v xml:space="preserve"> </v>
          </cell>
        </row>
        <row r="13">
          <cell r="D13" t="str">
            <v xml:space="preserve"> </v>
          </cell>
        </row>
        <row r="14">
          <cell r="D14" t="str">
            <v xml:space="preserve"> </v>
          </cell>
        </row>
        <row r="15">
          <cell r="D15" t="str">
            <v xml:space="preserve"> </v>
          </cell>
        </row>
        <row r="16">
          <cell r="D16" t="str">
            <v xml:space="preserve"> </v>
          </cell>
        </row>
        <row r="17">
          <cell r="D17" t="str">
            <v xml:space="preserve"> </v>
          </cell>
        </row>
        <row r="18">
          <cell r="D18" t="str">
            <v xml:space="preserve"> </v>
          </cell>
        </row>
        <row r="19">
          <cell r="D19" t="str">
            <v xml:space="preserve"> </v>
          </cell>
        </row>
        <row r="20">
          <cell r="D20" t="str">
            <v xml:space="preserve"> </v>
          </cell>
        </row>
        <row r="21">
          <cell r="D21" t="str">
            <v xml:space="preserve"> </v>
          </cell>
        </row>
        <row r="22">
          <cell r="D22" t="str">
            <v xml:space="preserve"> </v>
          </cell>
        </row>
        <row r="23">
          <cell r="D23" t="str">
            <v xml:space="preserve"> </v>
          </cell>
        </row>
        <row r="24">
          <cell r="D24" t="str">
            <v xml:space="preserve"> </v>
          </cell>
        </row>
        <row r="25">
          <cell r="D25" t="str">
            <v xml:space="preserve"> </v>
          </cell>
        </row>
        <row r="26">
          <cell r="D26" t="str">
            <v xml:space="preserve"> </v>
          </cell>
        </row>
        <row r="27">
          <cell r="D27" t="str">
            <v xml:space="preserve"> </v>
          </cell>
        </row>
        <row r="28">
          <cell r="D28" t="str">
            <v xml:space="preserve"> </v>
          </cell>
        </row>
        <row r="29">
          <cell r="D29" t="str">
            <v xml:space="preserve"> </v>
          </cell>
        </row>
        <row r="30">
          <cell r="D30" t="str">
            <v xml:space="preserve"> </v>
          </cell>
        </row>
        <row r="31">
          <cell r="D31" t="str">
            <v xml:space="preserve"> </v>
          </cell>
        </row>
        <row r="32">
          <cell r="D32" t="str">
            <v xml:space="preserve"> </v>
          </cell>
        </row>
        <row r="33">
          <cell r="D33" t="str">
            <v xml:space="preserve"> </v>
          </cell>
        </row>
        <row r="34">
          <cell r="D34" t="str">
            <v xml:space="preserve"> </v>
          </cell>
        </row>
        <row r="35">
          <cell r="D35" t="str">
            <v xml:space="preserve"> </v>
          </cell>
        </row>
        <row r="36">
          <cell r="D36" t="str">
            <v xml:space="preserve"> </v>
          </cell>
        </row>
        <row r="37">
          <cell r="D37" t="str">
            <v xml:space="preserve"> </v>
          </cell>
        </row>
        <row r="38">
          <cell r="D38" t="str">
            <v xml:space="preserve"> </v>
          </cell>
        </row>
        <row r="39">
          <cell r="D39" t="str">
            <v xml:space="preserve"> </v>
          </cell>
        </row>
        <row r="40">
          <cell r="D40" t="str">
            <v xml:space="preserve"> </v>
          </cell>
        </row>
        <row r="41">
          <cell r="D41" t="str">
            <v xml:space="preserve"> </v>
          </cell>
        </row>
        <row r="42">
          <cell r="D42" t="str">
            <v xml:space="preserve"> </v>
          </cell>
        </row>
        <row r="43">
          <cell r="D43" t="str">
            <v xml:space="preserve"> </v>
          </cell>
        </row>
        <row r="44">
          <cell r="D44" t="str">
            <v xml:space="preserve"> </v>
          </cell>
        </row>
        <row r="45">
          <cell r="D45" t="str">
            <v xml:space="preserve"> </v>
          </cell>
        </row>
        <row r="46">
          <cell r="D46" t="str">
            <v xml:space="preserve"> </v>
          </cell>
        </row>
        <row r="47">
          <cell r="D47" t="str">
            <v xml:space="preserve"> </v>
          </cell>
        </row>
        <row r="48">
          <cell r="D48" t="str">
            <v xml:space="preserve"> </v>
          </cell>
        </row>
        <row r="49">
          <cell r="D49" t="str">
            <v xml:space="preserve"> </v>
          </cell>
        </row>
        <row r="50">
          <cell r="D50" t="str">
            <v xml:space="preserve"> </v>
          </cell>
        </row>
        <row r="51">
          <cell r="D51" t="str">
            <v xml:space="preserve"> </v>
          </cell>
        </row>
        <row r="52">
          <cell r="D52" t="str">
            <v xml:space="preserve"> </v>
          </cell>
        </row>
        <row r="53">
          <cell r="D53" t="str">
            <v xml:space="preserve"> </v>
          </cell>
        </row>
        <row r="54">
          <cell r="D54" t="str">
            <v xml:space="preserve"> </v>
          </cell>
        </row>
        <row r="55">
          <cell r="D55" t="str">
            <v xml:space="preserve"> </v>
          </cell>
        </row>
        <row r="56">
          <cell r="D56" t="str">
            <v xml:space="preserve"> </v>
          </cell>
        </row>
        <row r="57">
          <cell r="D57" t="str">
            <v xml:space="preserve"> </v>
          </cell>
        </row>
        <row r="58">
          <cell r="D58" t="str">
            <v xml:space="preserve"> </v>
          </cell>
        </row>
        <row r="59">
          <cell r="D59" t="str">
            <v xml:space="preserve"> </v>
          </cell>
        </row>
        <row r="60">
          <cell r="D60" t="str">
            <v xml:space="preserve"> </v>
          </cell>
        </row>
        <row r="61">
          <cell r="D61" t="str">
            <v xml:space="preserve"> </v>
          </cell>
        </row>
        <row r="62">
          <cell r="D62" t="str">
            <v xml:space="preserve"> </v>
          </cell>
        </row>
        <row r="63">
          <cell r="D63" t="str">
            <v xml:space="preserve"> </v>
          </cell>
        </row>
        <row r="64">
          <cell r="D64" t="str">
            <v xml:space="preserve"> </v>
          </cell>
        </row>
        <row r="65">
          <cell r="D65" t="str">
            <v xml:space="preserve"> </v>
          </cell>
        </row>
        <row r="66">
          <cell r="D66" t="str">
            <v xml:space="preserve"> </v>
          </cell>
        </row>
        <row r="67">
          <cell r="D67" t="str">
            <v xml:space="preserve"> </v>
          </cell>
        </row>
        <row r="68">
          <cell r="D68" t="str">
            <v xml:space="preserve"> </v>
          </cell>
        </row>
        <row r="69">
          <cell r="D69" t="str">
            <v xml:space="preserve"> </v>
          </cell>
        </row>
        <row r="70">
          <cell r="D70" t="str">
            <v xml:space="preserve"> </v>
          </cell>
        </row>
        <row r="71">
          <cell r="D71" t="str">
            <v xml:space="preserve"> </v>
          </cell>
        </row>
        <row r="72">
          <cell r="D72" t="str">
            <v xml:space="preserve"> </v>
          </cell>
        </row>
        <row r="73">
          <cell r="D73" t="str">
            <v xml:space="preserve"> </v>
          </cell>
        </row>
        <row r="74">
          <cell r="D74" t="str">
            <v xml:space="preserve"> </v>
          </cell>
        </row>
        <row r="75">
          <cell r="D75" t="str">
            <v xml:space="preserve"> </v>
          </cell>
        </row>
        <row r="76">
          <cell r="D76" t="str">
            <v xml:space="preserve"> </v>
          </cell>
        </row>
        <row r="77">
          <cell r="D77" t="str">
            <v xml:space="preserve"> </v>
          </cell>
        </row>
        <row r="78">
          <cell r="D78" t="str">
            <v xml:space="preserve"> </v>
          </cell>
        </row>
        <row r="79">
          <cell r="D79" t="str">
            <v xml:space="preserve"> </v>
          </cell>
        </row>
        <row r="80">
          <cell r="D80" t="str">
            <v xml:space="preserve"> </v>
          </cell>
        </row>
        <row r="81">
          <cell r="D81" t="str">
            <v xml:space="preserve"> </v>
          </cell>
        </row>
        <row r="82">
          <cell r="D82" t="str">
            <v xml:space="preserve"> </v>
          </cell>
        </row>
        <row r="83">
          <cell r="D83" t="str">
            <v xml:space="preserve"> </v>
          </cell>
        </row>
        <row r="84">
          <cell r="D84" t="str">
            <v xml:space="preserve"> </v>
          </cell>
        </row>
        <row r="85">
          <cell r="D85" t="str">
            <v xml:space="preserve"> </v>
          </cell>
        </row>
        <row r="86">
          <cell r="D86" t="str">
            <v xml:space="preserve"> </v>
          </cell>
        </row>
        <row r="87">
          <cell r="D87" t="str">
            <v xml:space="preserve"> </v>
          </cell>
        </row>
        <row r="88">
          <cell r="D88" t="str">
            <v xml:space="preserve"> </v>
          </cell>
        </row>
        <row r="89">
          <cell r="D89" t="str">
            <v xml:space="preserve"> </v>
          </cell>
        </row>
        <row r="90">
          <cell r="D90" t="str">
            <v xml:space="preserve"> </v>
          </cell>
        </row>
        <row r="91">
          <cell r="D91" t="str">
            <v xml:space="preserve"> </v>
          </cell>
        </row>
        <row r="92">
          <cell r="D92" t="str">
            <v xml:space="preserve"> </v>
          </cell>
        </row>
        <row r="93">
          <cell r="D93" t="str">
            <v xml:space="preserve"> </v>
          </cell>
        </row>
        <row r="94">
          <cell r="D94" t="str">
            <v xml:space="preserve"> </v>
          </cell>
        </row>
        <row r="95">
          <cell r="D95" t="str">
            <v xml:space="preserve"> </v>
          </cell>
        </row>
        <row r="96">
          <cell r="D96" t="str">
            <v xml:space="preserve"> </v>
          </cell>
        </row>
        <row r="97">
          <cell r="D97" t="str">
            <v xml:space="preserve"> </v>
          </cell>
        </row>
        <row r="98">
          <cell r="D98" t="str">
            <v xml:space="preserve"> </v>
          </cell>
        </row>
        <row r="99">
          <cell r="D99" t="str">
            <v xml:space="preserve"> </v>
          </cell>
        </row>
        <row r="100">
          <cell r="D100" t="str">
            <v xml:space="preserve"> </v>
          </cell>
        </row>
        <row r="101">
          <cell r="D101" t="str">
            <v xml:space="preserve"> </v>
          </cell>
        </row>
        <row r="102">
          <cell r="D102" t="str">
            <v xml:space="preserve"> </v>
          </cell>
        </row>
        <row r="103">
          <cell r="D103" t="str">
            <v xml:space="preserve"> </v>
          </cell>
        </row>
        <row r="104">
          <cell r="D104" t="str">
            <v xml:space="preserve"> </v>
          </cell>
        </row>
        <row r="105">
          <cell r="D105" t="str">
            <v xml:space="preserve"> </v>
          </cell>
        </row>
        <row r="106">
          <cell r="D106" t="str">
            <v xml:space="preserve"> </v>
          </cell>
        </row>
        <row r="107">
          <cell r="D107" t="str">
            <v xml:space="preserve"> </v>
          </cell>
        </row>
        <row r="108">
          <cell r="D108" t="str">
            <v xml:space="preserve"> </v>
          </cell>
        </row>
        <row r="109">
          <cell r="D109" t="str">
            <v xml:space="preserve"> </v>
          </cell>
        </row>
        <row r="110">
          <cell r="D110" t="str">
            <v xml:space="preserve"> </v>
          </cell>
        </row>
        <row r="111">
          <cell r="D111" t="str">
            <v xml:space="preserve"> </v>
          </cell>
        </row>
        <row r="112">
          <cell r="D112" t="str">
            <v xml:space="preserve"> </v>
          </cell>
        </row>
        <row r="113">
          <cell r="D113" t="str">
            <v xml:space="preserve"> </v>
          </cell>
        </row>
        <row r="114">
          <cell r="D114" t="str">
            <v xml:space="preserve"> </v>
          </cell>
        </row>
        <row r="115">
          <cell r="D115" t="str">
            <v xml:space="preserve"> </v>
          </cell>
        </row>
        <row r="116">
          <cell r="D116" t="str">
            <v xml:space="preserve"> </v>
          </cell>
        </row>
        <row r="117">
          <cell r="D117" t="str">
            <v xml:space="preserve"> </v>
          </cell>
        </row>
        <row r="118">
          <cell r="D118" t="str">
            <v xml:space="preserve"> </v>
          </cell>
        </row>
        <row r="119">
          <cell r="D119" t="str">
            <v xml:space="preserve"> </v>
          </cell>
        </row>
        <row r="120">
          <cell r="D120" t="str">
            <v xml:space="preserve"> </v>
          </cell>
        </row>
        <row r="121">
          <cell r="D121" t="str">
            <v xml:space="preserve"> </v>
          </cell>
        </row>
        <row r="122">
          <cell r="D122" t="str">
            <v xml:space="preserve"> </v>
          </cell>
        </row>
        <row r="123">
          <cell r="D123" t="str">
            <v xml:space="preserve"> </v>
          </cell>
        </row>
        <row r="124">
          <cell r="D124" t="str">
            <v xml:space="preserve"> </v>
          </cell>
        </row>
        <row r="125">
          <cell r="D125" t="str">
            <v xml:space="preserve"> </v>
          </cell>
        </row>
        <row r="126">
          <cell r="D126" t="str">
            <v xml:space="preserve"> </v>
          </cell>
        </row>
        <row r="127">
          <cell r="D127" t="str">
            <v xml:space="preserve"> </v>
          </cell>
        </row>
        <row r="128">
          <cell r="D128" t="str">
            <v xml:space="preserve"> </v>
          </cell>
        </row>
        <row r="129">
          <cell r="D129" t="str">
            <v xml:space="preserve"> </v>
          </cell>
        </row>
        <row r="130">
          <cell r="D130" t="str">
            <v xml:space="preserve"> </v>
          </cell>
        </row>
        <row r="131">
          <cell r="D131" t="str">
            <v xml:space="preserve"> </v>
          </cell>
        </row>
        <row r="132">
          <cell r="D132" t="str">
            <v xml:space="preserve"> </v>
          </cell>
        </row>
        <row r="133">
          <cell r="D133" t="str">
            <v xml:space="preserve"> </v>
          </cell>
        </row>
        <row r="134">
          <cell r="D134" t="str">
            <v xml:space="preserve"> </v>
          </cell>
        </row>
        <row r="135">
          <cell r="D135" t="str">
            <v xml:space="preserve"> </v>
          </cell>
        </row>
        <row r="136">
          <cell r="D136" t="str">
            <v xml:space="preserve"> </v>
          </cell>
        </row>
        <row r="137">
          <cell r="D137" t="str">
            <v xml:space="preserve"> </v>
          </cell>
        </row>
        <row r="138">
          <cell r="D138" t="str">
            <v xml:space="preserve"> </v>
          </cell>
        </row>
        <row r="139">
          <cell r="D139" t="str">
            <v xml:space="preserve"> </v>
          </cell>
        </row>
        <row r="140">
          <cell r="D140" t="str">
            <v xml:space="preserve"> </v>
          </cell>
        </row>
        <row r="141">
          <cell r="D141" t="str">
            <v xml:space="preserve"> </v>
          </cell>
        </row>
        <row r="142">
          <cell r="D142" t="str">
            <v xml:space="preserve"> </v>
          </cell>
        </row>
        <row r="143">
          <cell r="D143" t="str">
            <v xml:space="preserve"> </v>
          </cell>
        </row>
        <row r="144">
          <cell r="D144" t="str">
            <v xml:space="preserve"> </v>
          </cell>
        </row>
        <row r="145">
          <cell r="D145" t="str">
            <v xml:space="preserve"> </v>
          </cell>
        </row>
        <row r="146">
          <cell r="D146" t="str">
            <v xml:space="preserve"> </v>
          </cell>
        </row>
        <row r="147">
          <cell r="D147" t="str">
            <v xml:space="preserve"> </v>
          </cell>
        </row>
        <row r="148">
          <cell r="D148" t="str">
            <v xml:space="preserve"> </v>
          </cell>
        </row>
        <row r="149">
          <cell r="D149" t="str">
            <v xml:space="preserve"> </v>
          </cell>
        </row>
        <row r="150">
          <cell r="D150" t="str">
            <v xml:space="preserve"> </v>
          </cell>
        </row>
        <row r="151">
          <cell r="D151" t="str">
            <v xml:space="preserve"> </v>
          </cell>
        </row>
        <row r="152">
          <cell r="D152" t="str">
            <v xml:space="preserve"> </v>
          </cell>
        </row>
        <row r="153">
          <cell r="D153" t="str">
            <v xml:space="preserve"> </v>
          </cell>
        </row>
        <row r="154">
          <cell r="D154" t="str">
            <v xml:space="preserve"> </v>
          </cell>
        </row>
        <row r="155">
          <cell r="D155" t="str">
            <v xml:space="preserve"> </v>
          </cell>
        </row>
        <row r="156">
          <cell r="D156" t="str">
            <v xml:space="preserve"> </v>
          </cell>
        </row>
        <row r="157">
          <cell r="D157" t="str">
            <v xml:space="preserve"> </v>
          </cell>
        </row>
        <row r="158">
          <cell r="D158" t="str">
            <v xml:space="preserve"> </v>
          </cell>
        </row>
        <row r="159">
          <cell r="D159" t="str">
            <v xml:space="preserve"> </v>
          </cell>
        </row>
        <row r="160">
          <cell r="D160" t="str">
            <v xml:space="preserve"> </v>
          </cell>
        </row>
        <row r="161">
          <cell r="D161" t="str">
            <v xml:space="preserve"> </v>
          </cell>
        </row>
        <row r="162">
          <cell r="D162" t="str">
            <v xml:space="preserve"> </v>
          </cell>
        </row>
        <row r="163">
          <cell r="D163" t="str">
            <v xml:space="preserve"> </v>
          </cell>
        </row>
        <row r="164">
          <cell r="D164" t="str">
            <v xml:space="preserve"> </v>
          </cell>
        </row>
        <row r="165">
          <cell r="D165" t="str">
            <v xml:space="preserve"> </v>
          </cell>
        </row>
        <row r="166">
          <cell r="D166" t="str">
            <v xml:space="preserve"> </v>
          </cell>
        </row>
        <row r="167">
          <cell r="D167" t="str">
            <v xml:space="preserve"> </v>
          </cell>
        </row>
        <row r="168">
          <cell r="D168" t="str">
            <v xml:space="preserve"> </v>
          </cell>
        </row>
        <row r="169">
          <cell r="D169" t="str">
            <v xml:space="preserve"> </v>
          </cell>
        </row>
        <row r="170">
          <cell r="D170" t="str">
            <v xml:space="preserve"> </v>
          </cell>
        </row>
        <row r="171">
          <cell r="D171" t="str">
            <v xml:space="preserve"> </v>
          </cell>
        </row>
        <row r="172">
          <cell r="D172" t="str">
            <v xml:space="preserve"> </v>
          </cell>
        </row>
        <row r="173">
          <cell r="D173" t="str">
            <v xml:space="preserve"> </v>
          </cell>
        </row>
        <row r="174">
          <cell r="D174" t="str">
            <v xml:space="preserve"> </v>
          </cell>
        </row>
        <row r="175">
          <cell r="D175" t="str">
            <v xml:space="preserve"> </v>
          </cell>
        </row>
        <row r="176">
          <cell r="D176" t="str">
            <v xml:space="preserve"> </v>
          </cell>
        </row>
        <row r="177">
          <cell r="D177" t="str">
            <v xml:space="preserve"> </v>
          </cell>
        </row>
        <row r="178">
          <cell r="D178" t="str">
            <v xml:space="preserve"> </v>
          </cell>
        </row>
        <row r="179">
          <cell r="D179" t="str">
            <v xml:space="preserve"> </v>
          </cell>
        </row>
        <row r="180">
          <cell r="D180" t="str">
            <v xml:space="preserve"> </v>
          </cell>
        </row>
        <row r="181">
          <cell r="D181" t="str">
            <v xml:space="preserve"> </v>
          </cell>
        </row>
        <row r="182">
          <cell r="D182" t="str">
            <v xml:space="preserve"> </v>
          </cell>
        </row>
        <row r="183">
          <cell r="D183" t="str">
            <v xml:space="preserve"> </v>
          </cell>
        </row>
        <row r="184">
          <cell r="D184" t="str">
            <v xml:space="preserve"> </v>
          </cell>
        </row>
        <row r="185">
          <cell r="D185" t="str">
            <v xml:space="preserve"> </v>
          </cell>
        </row>
        <row r="186">
          <cell r="D186" t="str">
            <v xml:space="preserve"> </v>
          </cell>
        </row>
        <row r="187">
          <cell r="D187" t="str">
            <v xml:space="preserve"> </v>
          </cell>
        </row>
        <row r="188">
          <cell r="D188" t="str">
            <v xml:space="preserve"> </v>
          </cell>
        </row>
        <row r="189">
          <cell r="D189" t="str">
            <v xml:space="preserve"> </v>
          </cell>
        </row>
        <row r="190">
          <cell r="D190" t="str">
            <v xml:space="preserve"> </v>
          </cell>
        </row>
        <row r="191">
          <cell r="D191" t="str">
            <v xml:space="preserve"> </v>
          </cell>
        </row>
        <row r="192">
          <cell r="D192" t="str">
            <v xml:space="preserve"> </v>
          </cell>
        </row>
        <row r="193">
          <cell r="D193" t="str">
            <v xml:space="preserve"> </v>
          </cell>
        </row>
        <row r="194">
          <cell r="D194" t="str">
            <v xml:space="preserve"> </v>
          </cell>
        </row>
        <row r="195">
          <cell r="D195" t="str">
            <v xml:space="preserve"> </v>
          </cell>
        </row>
        <row r="196">
          <cell r="D196" t="str">
            <v xml:space="preserve"> </v>
          </cell>
        </row>
        <row r="197">
          <cell r="D197" t="str">
            <v xml:space="preserve"> </v>
          </cell>
        </row>
        <row r="198">
          <cell r="D198" t="str">
            <v xml:space="preserve"> </v>
          </cell>
        </row>
        <row r="199">
          <cell r="D199" t="str">
            <v xml:space="preserve"> </v>
          </cell>
        </row>
        <row r="200">
          <cell r="D200" t="str">
            <v xml:space="preserve"> </v>
          </cell>
        </row>
        <row r="201">
          <cell r="D201" t="str">
            <v xml:space="preserve"> </v>
          </cell>
        </row>
        <row r="202">
          <cell r="D202" t="str">
            <v xml:space="preserve"> </v>
          </cell>
        </row>
        <row r="203">
          <cell r="D203" t="str">
            <v xml:space="preserve"> </v>
          </cell>
        </row>
        <row r="204">
          <cell r="D204" t="str">
            <v xml:space="preserve"> </v>
          </cell>
        </row>
        <row r="205">
          <cell r="D205" t="str">
            <v xml:space="preserve"> </v>
          </cell>
        </row>
        <row r="206">
          <cell r="D206" t="str">
            <v xml:space="preserve"> </v>
          </cell>
        </row>
        <row r="207">
          <cell r="D207" t="str">
            <v xml:space="preserve"> </v>
          </cell>
        </row>
        <row r="208">
          <cell r="D208" t="str">
            <v xml:space="preserve"> </v>
          </cell>
        </row>
        <row r="209">
          <cell r="D209" t="str">
            <v xml:space="preserve"> </v>
          </cell>
        </row>
        <row r="210">
          <cell r="D210" t="str">
            <v xml:space="preserve"> </v>
          </cell>
        </row>
        <row r="211">
          <cell r="D211" t="str">
            <v xml:space="preserve"> </v>
          </cell>
        </row>
        <row r="212">
          <cell r="D212" t="str">
            <v xml:space="preserve"> </v>
          </cell>
        </row>
        <row r="213">
          <cell r="D213" t="str">
            <v xml:space="preserve"> </v>
          </cell>
        </row>
        <row r="214">
          <cell r="D214" t="str">
            <v xml:space="preserve"> </v>
          </cell>
        </row>
        <row r="215">
          <cell r="D215" t="str">
            <v xml:space="preserve"> </v>
          </cell>
        </row>
        <row r="216">
          <cell r="D216" t="str">
            <v xml:space="preserve"> </v>
          </cell>
        </row>
        <row r="217">
          <cell r="D217" t="str">
            <v xml:space="preserve"> </v>
          </cell>
        </row>
        <row r="218">
          <cell r="D218" t="str">
            <v xml:space="preserve"> </v>
          </cell>
        </row>
        <row r="219">
          <cell r="D219" t="str">
            <v xml:space="preserve"> </v>
          </cell>
        </row>
        <row r="220">
          <cell r="D220" t="str">
            <v xml:space="preserve"> </v>
          </cell>
        </row>
        <row r="221">
          <cell r="D221" t="str">
            <v xml:space="preserve"> </v>
          </cell>
        </row>
        <row r="222">
          <cell r="D222" t="str">
            <v xml:space="preserve"> </v>
          </cell>
        </row>
        <row r="223">
          <cell r="D223" t="str">
            <v xml:space="preserve"> </v>
          </cell>
        </row>
        <row r="224">
          <cell r="D224" t="str">
            <v xml:space="preserve"> </v>
          </cell>
        </row>
        <row r="225">
          <cell r="D225" t="str">
            <v xml:space="preserve"> </v>
          </cell>
        </row>
        <row r="226">
          <cell r="D226" t="str">
            <v xml:space="preserve"> </v>
          </cell>
        </row>
        <row r="227">
          <cell r="D227" t="str">
            <v xml:space="preserve"> </v>
          </cell>
        </row>
        <row r="228">
          <cell r="D228" t="str">
            <v xml:space="preserve"> </v>
          </cell>
        </row>
        <row r="229">
          <cell r="D229" t="str">
            <v xml:space="preserve"> </v>
          </cell>
        </row>
        <row r="230">
          <cell r="D230" t="str">
            <v xml:space="preserve"> </v>
          </cell>
        </row>
        <row r="231">
          <cell r="D231" t="str">
            <v xml:space="preserve"> </v>
          </cell>
        </row>
        <row r="232">
          <cell r="D232" t="str">
            <v xml:space="preserve"> </v>
          </cell>
        </row>
        <row r="233">
          <cell r="D233" t="str">
            <v xml:space="preserve"> </v>
          </cell>
        </row>
        <row r="234">
          <cell r="D234" t="str">
            <v xml:space="preserve"> </v>
          </cell>
        </row>
        <row r="235">
          <cell r="D235" t="str">
            <v xml:space="preserve"> </v>
          </cell>
        </row>
        <row r="236">
          <cell r="D236" t="str">
            <v xml:space="preserve"> </v>
          </cell>
        </row>
        <row r="237">
          <cell r="D237" t="str">
            <v xml:space="preserve"> </v>
          </cell>
        </row>
        <row r="238">
          <cell r="D238" t="str">
            <v xml:space="preserve"> </v>
          </cell>
        </row>
        <row r="239">
          <cell r="D239" t="str">
            <v xml:space="preserve"> </v>
          </cell>
        </row>
        <row r="240">
          <cell r="D240" t="str">
            <v xml:space="preserve"> </v>
          </cell>
        </row>
        <row r="241">
          <cell r="D241" t="str">
            <v xml:space="preserve"> </v>
          </cell>
        </row>
        <row r="242">
          <cell r="D242" t="str">
            <v xml:space="preserve"> </v>
          </cell>
        </row>
        <row r="243">
          <cell r="D243" t="str">
            <v xml:space="preserve"> </v>
          </cell>
        </row>
        <row r="244">
          <cell r="D244" t="str">
            <v xml:space="preserve"> </v>
          </cell>
        </row>
        <row r="245">
          <cell r="D245" t="str">
            <v xml:space="preserve"> </v>
          </cell>
        </row>
        <row r="246">
          <cell r="D246" t="str">
            <v xml:space="preserve"> </v>
          </cell>
        </row>
        <row r="247">
          <cell r="D247" t="str">
            <v xml:space="preserve"> </v>
          </cell>
        </row>
        <row r="248">
          <cell r="D248" t="str">
            <v xml:space="preserve"> </v>
          </cell>
        </row>
        <row r="249">
          <cell r="D249" t="str">
            <v xml:space="preserve"> </v>
          </cell>
        </row>
        <row r="250">
          <cell r="D250" t="str">
            <v xml:space="preserve"> </v>
          </cell>
        </row>
        <row r="251">
          <cell r="D251" t="str">
            <v xml:space="preserve"> </v>
          </cell>
        </row>
        <row r="252">
          <cell r="D252" t="str">
            <v xml:space="preserve"> </v>
          </cell>
        </row>
        <row r="253">
          <cell r="D253" t="str">
            <v xml:space="preserve"> </v>
          </cell>
        </row>
        <row r="254">
          <cell r="D254" t="str">
            <v xml:space="preserve"> </v>
          </cell>
        </row>
        <row r="255">
          <cell r="D255" t="str">
            <v xml:space="preserve"> </v>
          </cell>
        </row>
        <row r="256">
          <cell r="D256" t="str">
            <v xml:space="preserve"> </v>
          </cell>
        </row>
        <row r="257">
          <cell r="D257" t="str">
            <v xml:space="preserve"> </v>
          </cell>
        </row>
        <row r="258">
          <cell r="D258" t="str">
            <v xml:space="preserve"> </v>
          </cell>
        </row>
        <row r="259">
          <cell r="D259" t="str">
            <v xml:space="preserve"> </v>
          </cell>
        </row>
        <row r="260">
          <cell r="D260" t="str">
            <v xml:space="preserve"> </v>
          </cell>
        </row>
        <row r="261">
          <cell r="D261" t="str">
            <v xml:space="preserve"> </v>
          </cell>
        </row>
        <row r="262">
          <cell r="D262" t="str">
            <v xml:space="preserve"> </v>
          </cell>
        </row>
        <row r="263">
          <cell r="D263" t="str">
            <v xml:space="preserve"> </v>
          </cell>
        </row>
        <row r="264">
          <cell r="D264" t="str">
            <v xml:space="preserve"> </v>
          </cell>
        </row>
        <row r="265">
          <cell r="D265" t="str">
            <v xml:space="preserve"> </v>
          </cell>
        </row>
        <row r="266">
          <cell r="D266" t="str">
            <v xml:space="preserve"> </v>
          </cell>
        </row>
        <row r="267">
          <cell r="D267" t="str">
            <v xml:space="preserve"> </v>
          </cell>
        </row>
        <row r="268">
          <cell r="D268" t="str">
            <v xml:space="preserve"> </v>
          </cell>
        </row>
        <row r="269">
          <cell r="D269" t="str">
            <v xml:space="preserve"> </v>
          </cell>
        </row>
        <row r="270">
          <cell r="D270" t="str">
            <v xml:space="preserve"> </v>
          </cell>
        </row>
        <row r="271">
          <cell r="D271" t="str">
            <v xml:space="preserve"> </v>
          </cell>
        </row>
        <row r="272">
          <cell r="D272" t="str">
            <v xml:space="preserve"> </v>
          </cell>
        </row>
        <row r="273">
          <cell r="D273" t="str">
            <v xml:space="preserve"> </v>
          </cell>
        </row>
        <row r="274">
          <cell r="D274" t="str">
            <v xml:space="preserve"> </v>
          </cell>
        </row>
        <row r="275">
          <cell r="D275" t="str">
            <v xml:space="preserve"> </v>
          </cell>
        </row>
        <row r="276">
          <cell r="D276" t="str">
            <v xml:space="preserve"> </v>
          </cell>
        </row>
        <row r="277">
          <cell r="D277" t="str">
            <v xml:space="preserve"> </v>
          </cell>
        </row>
        <row r="278">
          <cell r="D278" t="str">
            <v xml:space="preserve"> </v>
          </cell>
        </row>
        <row r="279">
          <cell r="D279" t="str">
            <v xml:space="preserve"> </v>
          </cell>
        </row>
        <row r="280">
          <cell r="D280" t="str">
            <v xml:space="preserve"> </v>
          </cell>
        </row>
        <row r="281">
          <cell r="D281" t="str">
            <v xml:space="preserve"> </v>
          </cell>
        </row>
        <row r="282">
          <cell r="D282" t="str">
            <v xml:space="preserve"> </v>
          </cell>
        </row>
        <row r="283">
          <cell r="D283" t="str">
            <v xml:space="preserve"> </v>
          </cell>
        </row>
        <row r="284">
          <cell r="D284" t="str">
            <v xml:space="preserve"> </v>
          </cell>
        </row>
        <row r="285">
          <cell r="D285" t="str">
            <v xml:space="preserve"> </v>
          </cell>
        </row>
        <row r="286">
          <cell r="D286" t="str">
            <v xml:space="preserve"> </v>
          </cell>
        </row>
        <row r="287">
          <cell r="D287" t="str">
            <v xml:space="preserve"> </v>
          </cell>
        </row>
        <row r="288">
          <cell r="D288" t="str">
            <v xml:space="preserve"> </v>
          </cell>
        </row>
        <row r="289">
          <cell r="D289" t="str">
            <v xml:space="preserve"> </v>
          </cell>
        </row>
        <row r="290">
          <cell r="D290" t="str">
            <v xml:space="preserve"> </v>
          </cell>
        </row>
        <row r="291">
          <cell r="D291" t="str">
            <v xml:space="preserve"> </v>
          </cell>
        </row>
        <row r="292">
          <cell r="D292" t="str">
            <v xml:space="preserve"> </v>
          </cell>
        </row>
        <row r="293">
          <cell r="D293" t="str">
            <v xml:space="preserve"> </v>
          </cell>
        </row>
        <row r="294">
          <cell r="D294" t="str">
            <v xml:space="preserve"> </v>
          </cell>
        </row>
        <row r="295">
          <cell r="D295" t="str">
            <v xml:space="preserve"> </v>
          </cell>
        </row>
        <row r="296">
          <cell r="D296" t="str">
            <v xml:space="preserve"> </v>
          </cell>
        </row>
        <row r="297">
          <cell r="D297" t="str">
            <v xml:space="preserve"> </v>
          </cell>
        </row>
        <row r="298">
          <cell r="D298" t="str">
            <v xml:space="preserve"> </v>
          </cell>
        </row>
        <row r="299">
          <cell r="D299" t="str">
            <v xml:space="preserve"> </v>
          </cell>
        </row>
        <row r="300">
          <cell r="D300" t="str">
            <v xml:space="preserve"> </v>
          </cell>
        </row>
        <row r="301">
          <cell r="D301" t="str">
            <v xml:space="preserve"> </v>
          </cell>
        </row>
        <row r="302">
          <cell r="D302" t="str">
            <v xml:space="preserve"> </v>
          </cell>
        </row>
        <row r="303">
          <cell r="D303" t="str">
            <v xml:space="preserve"> </v>
          </cell>
        </row>
        <row r="304">
          <cell r="D304" t="str">
            <v xml:space="preserve"> </v>
          </cell>
        </row>
        <row r="305">
          <cell r="D305" t="str">
            <v xml:space="preserve"> </v>
          </cell>
        </row>
        <row r="306">
          <cell r="D306" t="str">
            <v xml:space="preserve"> </v>
          </cell>
        </row>
        <row r="307">
          <cell r="D307" t="str">
            <v xml:space="preserve"> </v>
          </cell>
        </row>
        <row r="308">
          <cell r="D308" t="str">
            <v xml:space="preserve"> </v>
          </cell>
        </row>
        <row r="309">
          <cell r="D309" t="str">
            <v xml:space="preserve"> </v>
          </cell>
        </row>
        <row r="310">
          <cell r="D310" t="str">
            <v xml:space="preserve"> </v>
          </cell>
        </row>
        <row r="311">
          <cell r="D311" t="str">
            <v xml:space="preserve"> </v>
          </cell>
        </row>
        <row r="312">
          <cell r="D312" t="str">
            <v xml:space="preserve"> </v>
          </cell>
        </row>
        <row r="313">
          <cell r="D313" t="str">
            <v xml:space="preserve"> </v>
          </cell>
        </row>
        <row r="314">
          <cell r="D314" t="str">
            <v xml:space="preserve"> </v>
          </cell>
        </row>
        <row r="315">
          <cell r="D315" t="str">
            <v xml:space="preserve"> </v>
          </cell>
        </row>
        <row r="316">
          <cell r="D316" t="str">
            <v xml:space="preserve"> </v>
          </cell>
        </row>
        <row r="317">
          <cell r="D317" t="str">
            <v xml:space="preserve"> </v>
          </cell>
        </row>
        <row r="318">
          <cell r="D318" t="str">
            <v xml:space="preserve"> </v>
          </cell>
        </row>
        <row r="319">
          <cell r="D319" t="str">
            <v xml:space="preserve"> </v>
          </cell>
        </row>
        <row r="320">
          <cell r="D320" t="str">
            <v xml:space="preserve"> </v>
          </cell>
        </row>
        <row r="321">
          <cell r="D321" t="str">
            <v xml:space="preserve"> </v>
          </cell>
        </row>
        <row r="322">
          <cell r="D322" t="str">
            <v xml:space="preserve"> </v>
          </cell>
        </row>
        <row r="323">
          <cell r="D323" t="str">
            <v xml:space="preserve"> </v>
          </cell>
        </row>
        <row r="324">
          <cell r="D324" t="str">
            <v xml:space="preserve"> </v>
          </cell>
        </row>
        <row r="325">
          <cell r="D325" t="str">
            <v xml:space="preserve"> </v>
          </cell>
        </row>
        <row r="326">
          <cell r="D326" t="str">
            <v xml:space="preserve"> </v>
          </cell>
        </row>
        <row r="327">
          <cell r="D327" t="str">
            <v xml:space="preserve"> </v>
          </cell>
        </row>
        <row r="328">
          <cell r="D328" t="str">
            <v xml:space="preserve"> </v>
          </cell>
        </row>
        <row r="329">
          <cell r="D329" t="str">
            <v xml:space="preserve"> </v>
          </cell>
        </row>
        <row r="330">
          <cell r="D330" t="str">
            <v xml:space="preserve"> </v>
          </cell>
        </row>
        <row r="331">
          <cell r="D331" t="str">
            <v xml:space="preserve"> </v>
          </cell>
        </row>
        <row r="332">
          <cell r="D332" t="str">
            <v xml:space="preserve"> </v>
          </cell>
        </row>
        <row r="333">
          <cell r="D333" t="str">
            <v xml:space="preserve"> </v>
          </cell>
        </row>
        <row r="334">
          <cell r="D334" t="str">
            <v xml:space="preserve"> </v>
          </cell>
        </row>
        <row r="335">
          <cell r="D335" t="str">
            <v xml:space="preserve"> </v>
          </cell>
        </row>
        <row r="336">
          <cell r="D336" t="str">
            <v xml:space="preserve"> </v>
          </cell>
        </row>
        <row r="337">
          <cell r="D337" t="str">
            <v xml:space="preserve"> </v>
          </cell>
        </row>
        <row r="338">
          <cell r="D338" t="str">
            <v xml:space="preserve"> </v>
          </cell>
        </row>
        <row r="339">
          <cell r="D339" t="str">
            <v xml:space="preserve"> </v>
          </cell>
        </row>
        <row r="340">
          <cell r="D340" t="str">
            <v xml:space="preserve"> </v>
          </cell>
        </row>
        <row r="341">
          <cell r="D341" t="str">
            <v xml:space="preserve"> </v>
          </cell>
        </row>
        <row r="342">
          <cell r="D342" t="str">
            <v xml:space="preserve"> </v>
          </cell>
        </row>
        <row r="343">
          <cell r="D343" t="str">
            <v xml:space="preserve"> </v>
          </cell>
        </row>
        <row r="344">
          <cell r="D344" t="str">
            <v xml:space="preserve"> </v>
          </cell>
        </row>
        <row r="345">
          <cell r="D345" t="str">
            <v xml:space="preserve"> </v>
          </cell>
        </row>
        <row r="346">
          <cell r="D346" t="str">
            <v xml:space="preserve"> </v>
          </cell>
        </row>
        <row r="347">
          <cell r="D347" t="str">
            <v xml:space="preserve"> </v>
          </cell>
        </row>
        <row r="348">
          <cell r="D348" t="str">
            <v xml:space="preserve"> </v>
          </cell>
        </row>
        <row r="349">
          <cell r="D349" t="str">
            <v xml:space="preserve"> </v>
          </cell>
        </row>
        <row r="350">
          <cell r="D350" t="str">
            <v xml:space="preserve"> </v>
          </cell>
        </row>
        <row r="351">
          <cell r="D351" t="str">
            <v xml:space="preserve"> </v>
          </cell>
        </row>
        <row r="352">
          <cell r="D352" t="str">
            <v xml:space="preserve"> </v>
          </cell>
        </row>
        <row r="353">
          <cell r="D353" t="str">
            <v xml:space="preserve"> </v>
          </cell>
        </row>
        <row r="354">
          <cell r="D354" t="str">
            <v xml:space="preserve"> </v>
          </cell>
        </row>
        <row r="355">
          <cell r="D355" t="str">
            <v xml:space="preserve"> </v>
          </cell>
        </row>
        <row r="356">
          <cell r="D356" t="str">
            <v xml:space="preserve"> </v>
          </cell>
        </row>
        <row r="357">
          <cell r="D357" t="str">
            <v xml:space="preserve"> </v>
          </cell>
        </row>
        <row r="358">
          <cell r="D358" t="str">
            <v xml:space="preserve"> </v>
          </cell>
        </row>
        <row r="359">
          <cell r="D359" t="str">
            <v xml:space="preserve"> </v>
          </cell>
        </row>
        <row r="360">
          <cell r="D360" t="str">
            <v xml:space="preserve"> </v>
          </cell>
        </row>
        <row r="361">
          <cell r="D361" t="str">
            <v xml:space="preserve"> </v>
          </cell>
        </row>
        <row r="362">
          <cell r="D362" t="str">
            <v xml:space="preserve"> </v>
          </cell>
        </row>
        <row r="363">
          <cell r="D363" t="str">
            <v xml:space="preserve"> </v>
          </cell>
        </row>
        <row r="364">
          <cell r="D364" t="str">
            <v xml:space="preserve"> </v>
          </cell>
        </row>
        <row r="365">
          <cell r="D365" t="str">
            <v xml:space="preserve"> </v>
          </cell>
        </row>
        <row r="366">
          <cell r="D366" t="str">
            <v xml:space="preserve"> </v>
          </cell>
        </row>
        <row r="367">
          <cell r="D367" t="str">
            <v xml:space="preserve"> </v>
          </cell>
        </row>
        <row r="368">
          <cell r="D368" t="str">
            <v xml:space="preserve"> </v>
          </cell>
        </row>
        <row r="369">
          <cell r="D369" t="str">
            <v xml:space="preserve"> </v>
          </cell>
        </row>
        <row r="370">
          <cell r="D370" t="str">
            <v xml:space="preserve"> </v>
          </cell>
        </row>
        <row r="371">
          <cell r="D371" t="str">
            <v xml:space="preserve"> </v>
          </cell>
        </row>
        <row r="372">
          <cell r="D372" t="str">
            <v xml:space="preserve"> </v>
          </cell>
        </row>
        <row r="373">
          <cell r="D373" t="str">
            <v xml:space="preserve"> </v>
          </cell>
        </row>
        <row r="374">
          <cell r="D374" t="str">
            <v xml:space="preserve"> </v>
          </cell>
        </row>
        <row r="375">
          <cell r="D375" t="str">
            <v xml:space="preserve"> </v>
          </cell>
        </row>
        <row r="376">
          <cell r="D376" t="str">
            <v xml:space="preserve"> </v>
          </cell>
        </row>
        <row r="377">
          <cell r="D377" t="str">
            <v xml:space="preserve"> </v>
          </cell>
        </row>
        <row r="378">
          <cell r="D378" t="str">
            <v xml:space="preserve"> </v>
          </cell>
        </row>
        <row r="379">
          <cell r="D379" t="str">
            <v xml:space="preserve"> </v>
          </cell>
        </row>
        <row r="380">
          <cell r="D380" t="str">
            <v xml:space="preserve"> </v>
          </cell>
        </row>
        <row r="381">
          <cell r="D381" t="str">
            <v xml:space="preserve"> </v>
          </cell>
        </row>
        <row r="382">
          <cell r="D382" t="str">
            <v xml:space="preserve"> </v>
          </cell>
        </row>
        <row r="383">
          <cell r="D383" t="str">
            <v xml:space="preserve"> </v>
          </cell>
        </row>
        <row r="384">
          <cell r="D384" t="str">
            <v xml:space="preserve"> </v>
          </cell>
        </row>
        <row r="385">
          <cell r="D385" t="str">
            <v xml:space="preserve"> </v>
          </cell>
        </row>
        <row r="386">
          <cell r="D386" t="str">
            <v xml:space="preserve"> </v>
          </cell>
        </row>
        <row r="387">
          <cell r="D387" t="str">
            <v xml:space="preserve"> </v>
          </cell>
        </row>
        <row r="388">
          <cell r="D388" t="str">
            <v xml:space="preserve"> </v>
          </cell>
        </row>
        <row r="389">
          <cell r="D389" t="str">
            <v xml:space="preserve"> </v>
          </cell>
        </row>
        <row r="390">
          <cell r="D390" t="str">
            <v xml:space="preserve"> </v>
          </cell>
        </row>
        <row r="391">
          <cell r="D391" t="str">
            <v xml:space="preserve"> </v>
          </cell>
        </row>
        <row r="392">
          <cell r="D392" t="str">
            <v xml:space="preserve"> </v>
          </cell>
        </row>
        <row r="393">
          <cell r="D393" t="str">
            <v xml:space="preserve"> </v>
          </cell>
        </row>
        <row r="394">
          <cell r="D394" t="str">
            <v xml:space="preserve"> </v>
          </cell>
        </row>
        <row r="395">
          <cell r="D395" t="str">
            <v xml:space="preserve"> </v>
          </cell>
        </row>
        <row r="396">
          <cell r="D396" t="str">
            <v xml:space="preserve"> </v>
          </cell>
        </row>
        <row r="397">
          <cell r="D397" t="str">
            <v xml:space="preserve"> </v>
          </cell>
        </row>
        <row r="398">
          <cell r="D398" t="str">
            <v xml:space="preserve"> </v>
          </cell>
        </row>
        <row r="399">
          <cell r="D399" t="str">
            <v xml:space="preserve"> </v>
          </cell>
        </row>
        <row r="400">
          <cell r="D400" t="str">
            <v xml:space="preserve"> </v>
          </cell>
        </row>
        <row r="401">
          <cell r="D401" t="str">
            <v xml:space="preserve"> </v>
          </cell>
        </row>
        <row r="402">
          <cell r="D402" t="str">
            <v xml:space="preserve"> </v>
          </cell>
        </row>
        <row r="403">
          <cell r="D403" t="str">
            <v xml:space="preserve"> </v>
          </cell>
        </row>
        <row r="404">
          <cell r="D404" t="str">
            <v xml:space="preserve"> </v>
          </cell>
        </row>
        <row r="405">
          <cell r="D405" t="str">
            <v xml:space="preserve"> </v>
          </cell>
        </row>
        <row r="406">
          <cell r="D406" t="str">
            <v xml:space="preserve"> </v>
          </cell>
        </row>
        <row r="407">
          <cell r="D407" t="str">
            <v xml:space="preserve"> </v>
          </cell>
        </row>
        <row r="408">
          <cell r="D408" t="str">
            <v xml:space="preserve"> </v>
          </cell>
        </row>
        <row r="409">
          <cell r="D409" t="str">
            <v xml:space="preserve"> </v>
          </cell>
        </row>
        <row r="410">
          <cell r="D410" t="str">
            <v xml:space="preserve"> </v>
          </cell>
        </row>
        <row r="411">
          <cell r="D411" t="str">
            <v xml:space="preserve"> </v>
          </cell>
        </row>
        <row r="412">
          <cell r="D412" t="str">
            <v xml:space="preserve"> </v>
          </cell>
        </row>
        <row r="413">
          <cell r="D413" t="str">
            <v xml:space="preserve"> </v>
          </cell>
        </row>
        <row r="414">
          <cell r="D414" t="str">
            <v xml:space="preserve"> </v>
          </cell>
        </row>
        <row r="415">
          <cell r="D415" t="str">
            <v xml:space="preserve"> </v>
          </cell>
        </row>
        <row r="416">
          <cell r="D416" t="str">
            <v xml:space="preserve"> </v>
          </cell>
        </row>
        <row r="417">
          <cell r="D417" t="str">
            <v xml:space="preserve"> </v>
          </cell>
        </row>
        <row r="418">
          <cell r="D418" t="str">
            <v xml:space="preserve"> </v>
          </cell>
        </row>
        <row r="419">
          <cell r="D419" t="str">
            <v xml:space="preserve"> </v>
          </cell>
        </row>
        <row r="420">
          <cell r="D420" t="str">
            <v xml:space="preserve"> </v>
          </cell>
        </row>
        <row r="421">
          <cell r="D421" t="str">
            <v xml:space="preserve"> </v>
          </cell>
        </row>
        <row r="422">
          <cell r="D422" t="str">
            <v xml:space="preserve"> </v>
          </cell>
        </row>
        <row r="423">
          <cell r="D423" t="str">
            <v xml:space="preserve"> </v>
          </cell>
        </row>
        <row r="424">
          <cell r="D424" t="str">
            <v xml:space="preserve"> </v>
          </cell>
        </row>
        <row r="425">
          <cell r="D425" t="str">
            <v xml:space="preserve"> </v>
          </cell>
        </row>
        <row r="426">
          <cell r="D426" t="str">
            <v xml:space="preserve"> </v>
          </cell>
        </row>
        <row r="427">
          <cell r="D427" t="str">
            <v xml:space="preserve"> </v>
          </cell>
        </row>
        <row r="428">
          <cell r="D428" t="str">
            <v xml:space="preserve"> </v>
          </cell>
        </row>
        <row r="429">
          <cell r="D429" t="str">
            <v xml:space="preserve"> </v>
          </cell>
        </row>
        <row r="430">
          <cell r="D430" t="str">
            <v xml:space="preserve"> </v>
          </cell>
        </row>
        <row r="431">
          <cell r="D431" t="str">
            <v xml:space="preserve"> </v>
          </cell>
        </row>
        <row r="432">
          <cell r="D432" t="str">
            <v xml:space="preserve"> </v>
          </cell>
        </row>
        <row r="433">
          <cell r="D433" t="str">
            <v xml:space="preserve"> </v>
          </cell>
        </row>
        <row r="434">
          <cell r="D434" t="str">
            <v xml:space="preserve"> </v>
          </cell>
        </row>
        <row r="435">
          <cell r="D435" t="str">
            <v xml:space="preserve"> </v>
          </cell>
        </row>
        <row r="436">
          <cell r="D436" t="str">
            <v xml:space="preserve"> </v>
          </cell>
        </row>
        <row r="437">
          <cell r="D437" t="str">
            <v xml:space="preserve"> </v>
          </cell>
        </row>
        <row r="438">
          <cell r="D438" t="str">
            <v xml:space="preserve"> </v>
          </cell>
        </row>
        <row r="439">
          <cell r="D439" t="str">
            <v xml:space="preserve"> </v>
          </cell>
        </row>
        <row r="440">
          <cell r="D440" t="str">
            <v xml:space="preserve"> </v>
          </cell>
        </row>
        <row r="441">
          <cell r="D441" t="str">
            <v xml:space="preserve"> </v>
          </cell>
        </row>
        <row r="442">
          <cell r="D442" t="str">
            <v xml:space="preserve"> </v>
          </cell>
        </row>
        <row r="443">
          <cell r="D443" t="str">
            <v xml:space="preserve"> </v>
          </cell>
        </row>
        <row r="444">
          <cell r="D444" t="str">
            <v xml:space="preserve"> </v>
          </cell>
        </row>
        <row r="445">
          <cell r="D445" t="str">
            <v xml:space="preserve"> </v>
          </cell>
        </row>
        <row r="446">
          <cell r="D446" t="str">
            <v xml:space="preserve"> </v>
          </cell>
        </row>
        <row r="447">
          <cell r="D447" t="str">
            <v xml:space="preserve"> </v>
          </cell>
        </row>
        <row r="448">
          <cell r="D448" t="str">
            <v xml:space="preserve"> </v>
          </cell>
        </row>
        <row r="449">
          <cell r="D449" t="str">
            <v xml:space="preserve"> </v>
          </cell>
        </row>
        <row r="450">
          <cell r="D450" t="str">
            <v xml:space="preserve"> </v>
          </cell>
        </row>
        <row r="451">
          <cell r="D451" t="str">
            <v xml:space="preserve"> </v>
          </cell>
        </row>
        <row r="452">
          <cell r="D452" t="str">
            <v xml:space="preserve"> </v>
          </cell>
        </row>
        <row r="453">
          <cell r="D453" t="str">
            <v xml:space="preserve"> </v>
          </cell>
        </row>
        <row r="454">
          <cell r="D454" t="str">
            <v xml:space="preserve"> </v>
          </cell>
        </row>
        <row r="455">
          <cell r="D455" t="str">
            <v xml:space="preserve"> </v>
          </cell>
        </row>
        <row r="456">
          <cell r="D456" t="str">
            <v xml:space="preserve"> </v>
          </cell>
        </row>
        <row r="457">
          <cell r="D457" t="str">
            <v xml:space="preserve"> </v>
          </cell>
        </row>
        <row r="458">
          <cell r="D458" t="str">
            <v xml:space="preserve"> </v>
          </cell>
        </row>
        <row r="459">
          <cell r="D459" t="str">
            <v xml:space="preserve"> </v>
          </cell>
        </row>
        <row r="460">
          <cell r="D460" t="str">
            <v xml:space="preserve"> </v>
          </cell>
        </row>
        <row r="461">
          <cell r="D461" t="str">
            <v xml:space="preserve"> </v>
          </cell>
        </row>
        <row r="462">
          <cell r="D462" t="str">
            <v xml:space="preserve"> </v>
          </cell>
        </row>
        <row r="463">
          <cell r="D463" t="str">
            <v xml:space="preserve"> </v>
          </cell>
        </row>
        <row r="464">
          <cell r="D464" t="str">
            <v xml:space="preserve"> </v>
          </cell>
        </row>
        <row r="465">
          <cell r="D465" t="str">
            <v xml:space="preserve"> </v>
          </cell>
        </row>
        <row r="466">
          <cell r="D466" t="str">
            <v xml:space="preserve"> </v>
          </cell>
        </row>
        <row r="467">
          <cell r="D467" t="str">
            <v xml:space="preserve"> </v>
          </cell>
        </row>
        <row r="468">
          <cell r="D468" t="str">
            <v xml:space="preserve"> </v>
          </cell>
        </row>
        <row r="469">
          <cell r="D469" t="str">
            <v xml:space="preserve"> </v>
          </cell>
        </row>
        <row r="470">
          <cell r="D470" t="str">
            <v xml:space="preserve"> </v>
          </cell>
        </row>
        <row r="471">
          <cell r="D471" t="str">
            <v xml:space="preserve"> </v>
          </cell>
        </row>
        <row r="472">
          <cell r="D472" t="str">
            <v xml:space="preserve"> </v>
          </cell>
        </row>
        <row r="473">
          <cell r="D473" t="str">
            <v xml:space="preserve"> </v>
          </cell>
        </row>
        <row r="474">
          <cell r="D474" t="str">
            <v xml:space="preserve"> </v>
          </cell>
        </row>
        <row r="475">
          <cell r="D475" t="str">
            <v xml:space="preserve"> </v>
          </cell>
        </row>
        <row r="476">
          <cell r="D476" t="str">
            <v xml:space="preserve"> </v>
          </cell>
        </row>
        <row r="477">
          <cell r="D477" t="str">
            <v xml:space="preserve"> </v>
          </cell>
        </row>
        <row r="478">
          <cell r="D478" t="str">
            <v xml:space="preserve"> </v>
          </cell>
        </row>
        <row r="479">
          <cell r="D479" t="str">
            <v xml:space="preserve"> </v>
          </cell>
        </row>
        <row r="480">
          <cell r="D480" t="str">
            <v xml:space="preserve"> </v>
          </cell>
        </row>
        <row r="481">
          <cell r="D481" t="str">
            <v xml:space="preserve"> </v>
          </cell>
        </row>
        <row r="482">
          <cell r="D482" t="str">
            <v xml:space="preserve"> </v>
          </cell>
        </row>
        <row r="483">
          <cell r="D483" t="str">
            <v xml:space="preserve"> </v>
          </cell>
        </row>
        <row r="484">
          <cell r="D484" t="str">
            <v xml:space="preserve"> </v>
          </cell>
        </row>
        <row r="485">
          <cell r="D485" t="str">
            <v xml:space="preserve"> </v>
          </cell>
        </row>
        <row r="486">
          <cell r="D486" t="str">
            <v xml:space="preserve"> </v>
          </cell>
        </row>
        <row r="487">
          <cell r="D487" t="str">
            <v xml:space="preserve"> </v>
          </cell>
        </row>
        <row r="488">
          <cell r="D488" t="str">
            <v xml:space="preserve"> </v>
          </cell>
        </row>
        <row r="489">
          <cell r="D489" t="str">
            <v xml:space="preserve"> </v>
          </cell>
        </row>
        <row r="490">
          <cell r="D490" t="str">
            <v xml:space="preserve"> </v>
          </cell>
        </row>
        <row r="491">
          <cell r="D491" t="str">
            <v xml:space="preserve"> </v>
          </cell>
        </row>
        <row r="492">
          <cell r="D492" t="str">
            <v xml:space="preserve"> </v>
          </cell>
        </row>
        <row r="493">
          <cell r="D493" t="str">
            <v xml:space="preserve"> </v>
          </cell>
        </row>
        <row r="494">
          <cell r="D494" t="str">
            <v xml:space="preserve"> </v>
          </cell>
        </row>
        <row r="495">
          <cell r="D495" t="str">
            <v xml:space="preserve"> </v>
          </cell>
        </row>
        <row r="496">
          <cell r="D496" t="str">
            <v xml:space="preserve"> </v>
          </cell>
        </row>
        <row r="497">
          <cell r="D497" t="str">
            <v xml:space="preserve"> </v>
          </cell>
        </row>
        <row r="498">
          <cell r="D498" t="str">
            <v xml:space="preserve"> </v>
          </cell>
        </row>
        <row r="499">
          <cell r="D499" t="str">
            <v xml:space="preserve"> </v>
          </cell>
        </row>
        <row r="500">
          <cell r="D500" t="str">
            <v xml:space="preserve"> </v>
          </cell>
        </row>
        <row r="501">
          <cell r="D501" t="str">
            <v xml:space="preserve"> </v>
          </cell>
        </row>
        <row r="502">
          <cell r="D502" t="str">
            <v xml:space="preserve"> </v>
          </cell>
        </row>
        <row r="503">
          <cell r="D503" t="str">
            <v xml:space="preserve"> </v>
          </cell>
        </row>
        <row r="504">
          <cell r="D504" t="str">
            <v xml:space="preserve"> </v>
          </cell>
        </row>
        <row r="505">
          <cell r="D505" t="str">
            <v xml:space="preserve"> </v>
          </cell>
        </row>
        <row r="506">
          <cell r="D506" t="str">
            <v xml:space="preserve"> </v>
          </cell>
        </row>
        <row r="507">
          <cell r="D507" t="str">
            <v xml:space="preserve"> </v>
          </cell>
        </row>
        <row r="508">
          <cell r="D508" t="str">
            <v xml:space="preserve"> </v>
          </cell>
        </row>
        <row r="509">
          <cell r="D509" t="str">
            <v xml:space="preserve"> </v>
          </cell>
        </row>
        <row r="510">
          <cell r="D510" t="str">
            <v xml:space="preserve"> </v>
          </cell>
        </row>
        <row r="511">
          <cell r="D511" t="str">
            <v xml:space="preserve"> </v>
          </cell>
        </row>
        <row r="512">
          <cell r="D512" t="str">
            <v xml:space="preserve"> </v>
          </cell>
        </row>
        <row r="513">
          <cell r="D513" t="str">
            <v xml:space="preserve"> </v>
          </cell>
        </row>
        <row r="514">
          <cell r="D514" t="str">
            <v xml:space="preserve"> </v>
          </cell>
        </row>
        <row r="515">
          <cell r="D515" t="str">
            <v xml:space="preserve"> </v>
          </cell>
        </row>
        <row r="516">
          <cell r="D516" t="str">
            <v xml:space="preserve"> </v>
          </cell>
        </row>
        <row r="517">
          <cell r="D517" t="str">
            <v xml:space="preserve"> </v>
          </cell>
        </row>
        <row r="518">
          <cell r="D518" t="str">
            <v xml:space="preserve"> </v>
          </cell>
        </row>
        <row r="519">
          <cell r="D519" t="str">
            <v xml:space="preserve"> </v>
          </cell>
        </row>
        <row r="520">
          <cell r="D520" t="str">
            <v xml:space="preserve"> </v>
          </cell>
        </row>
        <row r="521">
          <cell r="D521" t="str">
            <v xml:space="preserve"> </v>
          </cell>
        </row>
        <row r="522">
          <cell r="D522" t="str">
            <v xml:space="preserve"> </v>
          </cell>
        </row>
        <row r="523">
          <cell r="D523" t="str">
            <v xml:space="preserve"> </v>
          </cell>
        </row>
        <row r="524">
          <cell r="D524" t="str">
            <v xml:space="preserve"> </v>
          </cell>
        </row>
        <row r="525">
          <cell r="D525" t="str">
            <v xml:space="preserve"> </v>
          </cell>
        </row>
        <row r="526">
          <cell r="D526" t="str">
            <v xml:space="preserve"> </v>
          </cell>
        </row>
        <row r="527">
          <cell r="D527" t="str">
            <v xml:space="preserve"> </v>
          </cell>
        </row>
        <row r="528">
          <cell r="D528" t="str">
            <v xml:space="preserve"> </v>
          </cell>
        </row>
        <row r="529">
          <cell r="D529" t="str">
            <v xml:space="preserve"> </v>
          </cell>
        </row>
        <row r="530">
          <cell r="D530" t="str">
            <v xml:space="preserve"> </v>
          </cell>
        </row>
        <row r="531">
          <cell r="D531" t="str">
            <v xml:space="preserve"> </v>
          </cell>
        </row>
        <row r="532">
          <cell r="D532" t="str">
            <v xml:space="preserve"> </v>
          </cell>
        </row>
        <row r="533">
          <cell r="D533" t="str">
            <v xml:space="preserve"> </v>
          </cell>
        </row>
        <row r="534">
          <cell r="D534" t="str">
            <v xml:space="preserve"> </v>
          </cell>
        </row>
        <row r="535">
          <cell r="D535" t="str">
            <v xml:space="preserve"> </v>
          </cell>
        </row>
        <row r="536">
          <cell r="D536" t="str">
            <v xml:space="preserve"> </v>
          </cell>
        </row>
        <row r="537">
          <cell r="D537" t="str">
            <v xml:space="preserve"> </v>
          </cell>
        </row>
        <row r="538">
          <cell r="D538" t="str">
            <v xml:space="preserve"> </v>
          </cell>
        </row>
        <row r="539">
          <cell r="D539" t="str">
            <v xml:space="preserve"> </v>
          </cell>
        </row>
        <row r="540">
          <cell r="D540" t="str">
            <v xml:space="preserve"> </v>
          </cell>
        </row>
        <row r="541">
          <cell r="D541" t="str">
            <v xml:space="preserve"> </v>
          </cell>
        </row>
        <row r="542">
          <cell r="D542" t="str">
            <v xml:space="preserve"> </v>
          </cell>
        </row>
        <row r="543">
          <cell r="D543" t="str">
            <v xml:space="preserve"> </v>
          </cell>
        </row>
        <row r="544">
          <cell r="D544" t="str">
            <v xml:space="preserve"> </v>
          </cell>
        </row>
        <row r="545">
          <cell r="D545" t="str">
            <v xml:space="preserve"> </v>
          </cell>
        </row>
        <row r="546">
          <cell r="D546" t="str">
            <v xml:space="preserve"> </v>
          </cell>
        </row>
        <row r="547">
          <cell r="D547" t="str">
            <v xml:space="preserve"> </v>
          </cell>
        </row>
        <row r="548">
          <cell r="D548" t="str">
            <v xml:space="preserve"> </v>
          </cell>
        </row>
        <row r="549">
          <cell r="D549" t="str">
            <v xml:space="preserve"> </v>
          </cell>
        </row>
        <row r="550">
          <cell r="D550" t="str">
            <v xml:space="preserve"> </v>
          </cell>
        </row>
        <row r="551">
          <cell r="D551" t="str">
            <v xml:space="preserve"> </v>
          </cell>
        </row>
        <row r="552">
          <cell r="D552" t="str">
            <v xml:space="preserve"> </v>
          </cell>
        </row>
        <row r="553">
          <cell r="D553" t="str">
            <v xml:space="preserve"> </v>
          </cell>
        </row>
        <row r="554">
          <cell r="D554" t="str">
            <v xml:space="preserve"> </v>
          </cell>
        </row>
        <row r="555">
          <cell r="D555" t="str">
            <v xml:space="preserve"> </v>
          </cell>
        </row>
        <row r="556">
          <cell r="D556" t="str">
            <v xml:space="preserve"> </v>
          </cell>
        </row>
        <row r="557">
          <cell r="D557" t="str">
            <v xml:space="preserve"> </v>
          </cell>
        </row>
        <row r="558">
          <cell r="D558" t="str">
            <v xml:space="preserve"> </v>
          </cell>
        </row>
        <row r="559">
          <cell r="D559" t="str">
            <v xml:space="preserve"> </v>
          </cell>
        </row>
        <row r="560">
          <cell r="D560" t="str">
            <v xml:space="preserve"> </v>
          </cell>
        </row>
        <row r="561">
          <cell r="D561" t="str">
            <v xml:space="preserve"> </v>
          </cell>
        </row>
        <row r="562">
          <cell r="D562" t="str">
            <v xml:space="preserve"> </v>
          </cell>
        </row>
        <row r="563">
          <cell r="D563" t="str">
            <v xml:space="preserve"> </v>
          </cell>
        </row>
        <row r="564">
          <cell r="D564" t="str">
            <v xml:space="preserve"> </v>
          </cell>
        </row>
        <row r="565">
          <cell r="D565" t="str">
            <v xml:space="preserve"> </v>
          </cell>
        </row>
        <row r="566">
          <cell r="D566" t="str">
            <v xml:space="preserve"> </v>
          </cell>
        </row>
        <row r="567">
          <cell r="D567" t="str">
            <v xml:space="preserve"> </v>
          </cell>
        </row>
        <row r="568">
          <cell r="D568" t="str">
            <v xml:space="preserve"> </v>
          </cell>
        </row>
        <row r="569">
          <cell r="D569" t="str">
            <v xml:space="preserve"> </v>
          </cell>
        </row>
        <row r="570">
          <cell r="D570" t="str">
            <v xml:space="preserve"> </v>
          </cell>
        </row>
        <row r="571">
          <cell r="D571" t="str">
            <v xml:space="preserve"> </v>
          </cell>
        </row>
        <row r="572">
          <cell r="D572" t="str">
            <v xml:space="preserve"> </v>
          </cell>
        </row>
        <row r="573">
          <cell r="D573" t="str">
            <v xml:space="preserve"> </v>
          </cell>
        </row>
        <row r="574">
          <cell r="D574" t="str">
            <v xml:space="preserve"> </v>
          </cell>
        </row>
        <row r="575">
          <cell r="D575" t="str">
            <v xml:space="preserve"> </v>
          </cell>
        </row>
        <row r="576">
          <cell r="D576" t="str">
            <v xml:space="preserve"> </v>
          </cell>
        </row>
        <row r="577">
          <cell r="D577" t="str">
            <v xml:space="preserve"> </v>
          </cell>
        </row>
        <row r="578">
          <cell r="D578" t="str">
            <v xml:space="preserve"> </v>
          </cell>
        </row>
        <row r="579">
          <cell r="D579" t="str">
            <v xml:space="preserve"> </v>
          </cell>
        </row>
        <row r="580">
          <cell r="D580" t="str">
            <v xml:space="preserve"> </v>
          </cell>
        </row>
        <row r="581">
          <cell r="D581" t="str">
            <v xml:space="preserve"> </v>
          </cell>
        </row>
        <row r="582">
          <cell r="D582" t="str">
            <v xml:space="preserve"> </v>
          </cell>
        </row>
        <row r="583">
          <cell r="D583" t="str">
            <v xml:space="preserve"> </v>
          </cell>
        </row>
        <row r="584">
          <cell r="D584" t="str">
            <v xml:space="preserve"> </v>
          </cell>
        </row>
        <row r="585">
          <cell r="D585" t="str">
            <v xml:space="preserve"> </v>
          </cell>
        </row>
        <row r="586">
          <cell r="D586" t="str">
            <v xml:space="preserve"> </v>
          </cell>
        </row>
        <row r="587">
          <cell r="D587" t="str">
            <v xml:space="preserve"> </v>
          </cell>
        </row>
        <row r="588">
          <cell r="D588" t="str">
            <v xml:space="preserve"> </v>
          </cell>
        </row>
        <row r="589">
          <cell r="D589" t="str">
            <v xml:space="preserve"> </v>
          </cell>
        </row>
        <row r="590">
          <cell r="D590" t="str">
            <v xml:space="preserve"> </v>
          </cell>
        </row>
        <row r="591">
          <cell r="D591" t="str">
            <v xml:space="preserve"> </v>
          </cell>
        </row>
        <row r="592">
          <cell r="D592" t="str">
            <v xml:space="preserve"> </v>
          </cell>
        </row>
        <row r="593">
          <cell r="D593" t="str">
            <v xml:space="preserve"> </v>
          </cell>
        </row>
        <row r="594">
          <cell r="D594" t="str">
            <v xml:space="preserve"> </v>
          </cell>
        </row>
        <row r="595">
          <cell r="D595" t="str">
            <v xml:space="preserve"> </v>
          </cell>
        </row>
        <row r="596">
          <cell r="D596" t="str">
            <v xml:space="preserve"> </v>
          </cell>
        </row>
        <row r="597">
          <cell r="D597" t="str">
            <v xml:space="preserve"> </v>
          </cell>
        </row>
        <row r="598">
          <cell r="D598" t="str">
            <v xml:space="preserve"> </v>
          </cell>
        </row>
        <row r="599">
          <cell r="D599" t="str">
            <v xml:space="preserve"> </v>
          </cell>
        </row>
        <row r="600">
          <cell r="D600" t="str">
            <v xml:space="preserve"> </v>
          </cell>
        </row>
        <row r="601">
          <cell r="D601" t="str">
            <v xml:space="preserve"> </v>
          </cell>
        </row>
        <row r="602">
          <cell r="D602" t="str">
            <v xml:space="preserve"> </v>
          </cell>
        </row>
        <row r="603">
          <cell r="D603" t="str">
            <v xml:space="preserve"> </v>
          </cell>
        </row>
        <row r="604">
          <cell r="D604" t="str">
            <v xml:space="preserve"> </v>
          </cell>
        </row>
        <row r="605">
          <cell r="D605" t="str">
            <v xml:space="preserve"> </v>
          </cell>
        </row>
        <row r="606">
          <cell r="D606" t="str">
            <v xml:space="preserve"> </v>
          </cell>
        </row>
        <row r="607">
          <cell r="D607" t="str">
            <v xml:space="preserve"> </v>
          </cell>
        </row>
        <row r="608">
          <cell r="D608" t="str">
            <v xml:space="preserve"> </v>
          </cell>
        </row>
        <row r="609">
          <cell r="D609" t="str">
            <v xml:space="preserve"> </v>
          </cell>
        </row>
        <row r="610">
          <cell r="D610" t="str">
            <v xml:space="preserve"> </v>
          </cell>
        </row>
        <row r="611">
          <cell r="D611" t="str">
            <v xml:space="preserve"> </v>
          </cell>
        </row>
        <row r="612">
          <cell r="D612" t="str">
            <v xml:space="preserve"> </v>
          </cell>
        </row>
        <row r="613">
          <cell r="D613" t="str">
            <v xml:space="preserve"> </v>
          </cell>
        </row>
        <row r="614">
          <cell r="D614" t="str">
            <v xml:space="preserve"> </v>
          </cell>
        </row>
        <row r="615">
          <cell r="D615" t="str">
            <v xml:space="preserve"> </v>
          </cell>
        </row>
        <row r="616">
          <cell r="D616" t="str">
            <v xml:space="preserve"> </v>
          </cell>
        </row>
        <row r="617">
          <cell r="D617" t="str">
            <v xml:space="preserve"> </v>
          </cell>
        </row>
        <row r="618">
          <cell r="D618" t="str">
            <v xml:space="preserve"> </v>
          </cell>
        </row>
        <row r="619">
          <cell r="D619" t="str">
            <v xml:space="preserve"> </v>
          </cell>
        </row>
        <row r="620">
          <cell r="D620" t="str">
            <v xml:space="preserve"> </v>
          </cell>
        </row>
        <row r="621">
          <cell r="D621" t="str">
            <v xml:space="preserve"> </v>
          </cell>
        </row>
        <row r="622">
          <cell r="D622" t="str">
            <v xml:space="preserve"> </v>
          </cell>
        </row>
        <row r="623">
          <cell r="D623" t="str">
            <v xml:space="preserve"> </v>
          </cell>
        </row>
        <row r="624">
          <cell r="D624" t="str">
            <v xml:space="preserve"> </v>
          </cell>
        </row>
        <row r="625">
          <cell r="D625" t="str">
            <v xml:space="preserve"> </v>
          </cell>
        </row>
        <row r="626">
          <cell r="D626" t="str">
            <v xml:space="preserve"> </v>
          </cell>
        </row>
        <row r="627">
          <cell r="D627" t="str">
            <v xml:space="preserve"> </v>
          </cell>
        </row>
        <row r="628">
          <cell r="D628" t="str">
            <v xml:space="preserve"> </v>
          </cell>
        </row>
        <row r="629">
          <cell r="D629" t="str">
            <v xml:space="preserve"> </v>
          </cell>
        </row>
        <row r="630">
          <cell r="D630" t="str">
            <v xml:space="preserve"> </v>
          </cell>
        </row>
        <row r="631">
          <cell r="D631" t="str">
            <v xml:space="preserve"> </v>
          </cell>
        </row>
        <row r="632">
          <cell r="D632" t="str">
            <v xml:space="preserve"> </v>
          </cell>
        </row>
        <row r="633">
          <cell r="D633" t="str">
            <v xml:space="preserve"> </v>
          </cell>
        </row>
        <row r="634">
          <cell r="D634" t="str">
            <v xml:space="preserve"> </v>
          </cell>
        </row>
        <row r="635">
          <cell r="D635" t="str">
            <v xml:space="preserve"> </v>
          </cell>
        </row>
        <row r="636">
          <cell r="D636" t="str">
            <v xml:space="preserve"> </v>
          </cell>
        </row>
        <row r="637">
          <cell r="D637" t="str">
            <v xml:space="preserve"> </v>
          </cell>
        </row>
        <row r="638">
          <cell r="D638" t="str">
            <v xml:space="preserve"> </v>
          </cell>
        </row>
        <row r="639">
          <cell r="D639" t="str">
            <v xml:space="preserve"> </v>
          </cell>
        </row>
        <row r="640">
          <cell r="D640" t="str">
            <v xml:space="preserve"> </v>
          </cell>
        </row>
        <row r="641">
          <cell r="D641" t="str">
            <v xml:space="preserve"> </v>
          </cell>
        </row>
        <row r="642">
          <cell r="D642" t="str">
            <v xml:space="preserve"> </v>
          </cell>
        </row>
        <row r="643">
          <cell r="D643" t="str">
            <v xml:space="preserve"> </v>
          </cell>
        </row>
        <row r="644">
          <cell r="D644" t="str">
            <v xml:space="preserve"> </v>
          </cell>
        </row>
        <row r="645">
          <cell r="D645" t="str">
            <v xml:space="preserve"> </v>
          </cell>
        </row>
        <row r="646">
          <cell r="D646" t="str">
            <v xml:space="preserve"> </v>
          </cell>
        </row>
        <row r="647">
          <cell r="D647" t="str">
            <v xml:space="preserve"> </v>
          </cell>
        </row>
        <row r="648">
          <cell r="D648" t="str">
            <v xml:space="preserve"> </v>
          </cell>
        </row>
        <row r="649">
          <cell r="D649" t="str">
            <v xml:space="preserve"> </v>
          </cell>
        </row>
        <row r="650">
          <cell r="D650" t="str">
            <v xml:space="preserve"> </v>
          </cell>
        </row>
        <row r="651">
          <cell r="D651" t="str">
            <v xml:space="preserve"> </v>
          </cell>
        </row>
        <row r="652">
          <cell r="D652" t="str">
            <v xml:space="preserve"> </v>
          </cell>
        </row>
        <row r="653">
          <cell r="D653" t="str">
            <v xml:space="preserve"> </v>
          </cell>
        </row>
        <row r="654">
          <cell r="D654" t="str">
            <v xml:space="preserve"> </v>
          </cell>
        </row>
        <row r="655">
          <cell r="D655" t="str">
            <v xml:space="preserve"> </v>
          </cell>
        </row>
        <row r="656">
          <cell r="D656" t="str">
            <v xml:space="preserve"> </v>
          </cell>
        </row>
        <row r="657">
          <cell r="D657" t="str">
            <v xml:space="preserve"> </v>
          </cell>
        </row>
        <row r="658">
          <cell r="D658" t="str">
            <v xml:space="preserve"> </v>
          </cell>
        </row>
        <row r="659">
          <cell r="D659" t="str">
            <v xml:space="preserve"> </v>
          </cell>
        </row>
        <row r="660">
          <cell r="D660" t="str">
            <v xml:space="preserve"> </v>
          </cell>
        </row>
        <row r="661">
          <cell r="D661" t="str">
            <v xml:space="preserve"> </v>
          </cell>
        </row>
        <row r="662">
          <cell r="D662" t="str">
            <v xml:space="preserve"> </v>
          </cell>
        </row>
        <row r="663">
          <cell r="D663" t="str">
            <v xml:space="preserve"> </v>
          </cell>
        </row>
        <row r="664">
          <cell r="D664" t="str">
            <v xml:space="preserve"> </v>
          </cell>
        </row>
        <row r="665">
          <cell r="D665" t="str">
            <v xml:space="preserve"> </v>
          </cell>
        </row>
        <row r="666">
          <cell r="D666" t="str">
            <v xml:space="preserve"> </v>
          </cell>
        </row>
        <row r="667">
          <cell r="D667" t="str">
            <v xml:space="preserve"> </v>
          </cell>
        </row>
        <row r="668">
          <cell r="D668" t="str">
            <v xml:space="preserve"> </v>
          </cell>
        </row>
        <row r="669">
          <cell r="D669" t="str">
            <v xml:space="preserve"> </v>
          </cell>
        </row>
        <row r="670">
          <cell r="D670" t="str">
            <v xml:space="preserve"> </v>
          </cell>
        </row>
        <row r="671">
          <cell r="D671" t="str">
            <v xml:space="preserve"> </v>
          </cell>
        </row>
        <row r="672">
          <cell r="D672" t="str">
            <v xml:space="preserve"> </v>
          </cell>
        </row>
        <row r="673">
          <cell r="D673" t="str">
            <v xml:space="preserve"> </v>
          </cell>
        </row>
        <row r="674">
          <cell r="D674" t="str">
            <v xml:space="preserve"> </v>
          </cell>
        </row>
        <row r="675">
          <cell r="D675" t="str">
            <v xml:space="preserve"> </v>
          </cell>
        </row>
        <row r="676">
          <cell r="D676" t="str">
            <v xml:space="preserve"> </v>
          </cell>
        </row>
        <row r="677">
          <cell r="D677" t="str">
            <v xml:space="preserve"> </v>
          </cell>
        </row>
        <row r="678">
          <cell r="D678" t="str">
            <v xml:space="preserve"> </v>
          </cell>
        </row>
        <row r="679">
          <cell r="D679" t="str">
            <v xml:space="preserve"> </v>
          </cell>
        </row>
        <row r="680">
          <cell r="D680" t="str">
            <v xml:space="preserve"> </v>
          </cell>
        </row>
        <row r="681">
          <cell r="D681" t="str">
            <v xml:space="preserve"> </v>
          </cell>
        </row>
        <row r="682">
          <cell r="D682" t="str">
            <v xml:space="preserve"> </v>
          </cell>
        </row>
        <row r="683">
          <cell r="D683" t="str">
            <v xml:space="preserve"> </v>
          </cell>
        </row>
        <row r="684">
          <cell r="D684" t="str">
            <v xml:space="preserve"> </v>
          </cell>
        </row>
        <row r="685">
          <cell r="D685" t="str">
            <v xml:space="preserve"> </v>
          </cell>
        </row>
        <row r="686">
          <cell r="D686" t="str">
            <v xml:space="preserve"> </v>
          </cell>
        </row>
        <row r="687">
          <cell r="D687" t="str">
            <v xml:space="preserve"> </v>
          </cell>
        </row>
        <row r="688">
          <cell r="D688" t="str">
            <v xml:space="preserve"> </v>
          </cell>
        </row>
        <row r="689">
          <cell r="D689" t="str">
            <v xml:space="preserve"> </v>
          </cell>
        </row>
        <row r="690">
          <cell r="D690" t="str">
            <v xml:space="preserve"> </v>
          </cell>
        </row>
        <row r="691">
          <cell r="D691" t="str">
            <v xml:space="preserve"> </v>
          </cell>
        </row>
        <row r="692">
          <cell r="D692" t="str">
            <v xml:space="preserve"> </v>
          </cell>
        </row>
        <row r="693">
          <cell r="D693" t="str">
            <v xml:space="preserve"> </v>
          </cell>
        </row>
        <row r="694">
          <cell r="D694" t="str">
            <v xml:space="preserve"> </v>
          </cell>
        </row>
        <row r="695">
          <cell r="D695" t="str">
            <v xml:space="preserve"> </v>
          </cell>
        </row>
        <row r="696">
          <cell r="D696" t="str">
            <v xml:space="preserve"> </v>
          </cell>
        </row>
        <row r="697">
          <cell r="D697" t="str">
            <v xml:space="preserve"> </v>
          </cell>
        </row>
        <row r="698">
          <cell r="D698" t="str">
            <v xml:space="preserve"> </v>
          </cell>
        </row>
        <row r="699">
          <cell r="D699" t="str">
            <v xml:space="preserve"> </v>
          </cell>
        </row>
        <row r="700">
          <cell r="D700" t="str">
            <v xml:space="preserve"> </v>
          </cell>
        </row>
        <row r="701">
          <cell r="D701" t="str">
            <v xml:space="preserve"> </v>
          </cell>
        </row>
        <row r="702">
          <cell r="D702" t="str">
            <v xml:space="preserve"> </v>
          </cell>
        </row>
        <row r="703">
          <cell r="D703" t="str">
            <v xml:space="preserve"> </v>
          </cell>
        </row>
        <row r="704">
          <cell r="D704" t="str">
            <v xml:space="preserve"> </v>
          </cell>
        </row>
        <row r="705">
          <cell r="D705" t="str">
            <v xml:space="preserve"> </v>
          </cell>
        </row>
        <row r="706">
          <cell r="D706" t="str">
            <v xml:space="preserve"> </v>
          </cell>
        </row>
        <row r="707">
          <cell r="D707" t="str">
            <v xml:space="preserve"> </v>
          </cell>
        </row>
        <row r="708">
          <cell r="D708" t="str">
            <v xml:space="preserve"> </v>
          </cell>
        </row>
        <row r="709">
          <cell r="D709" t="str">
            <v xml:space="preserve"> </v>
          </cell>
        </row>
        <row r="710">
          <cell r="D710" t="str">
            <v xml:space="preserve"> </v>
          </cell>
        </row>
        <row r="711">
          <cell r="D711" t="str">
            <v xml:space="preserve"> </v>
          </cell>
        </row>
        <row r="712">
          <cell r="D712" t="str">
            <v xml:space="preserve"> </v>
          </cell>
        </row>
        <row r="713">
          <cell r="D713" t="str">
            <v xml:space="preserve"> </v>
          </cell>
        </row>
        <row r="714">
          <cell r="D714" t="str">
            <v xml:space="preserve"> </v>
          </cell>
        </row>
        <row r="715">
          <cell r="D715" t="str">
            <v xml:space="preserve"> </v>
          </cell>
        </row>
        <row r="716">
          <cell r="D716" t="str">
            <v xml:space="preserve"> </v>
          </cell>
        </row>
        <row r="717">
          <cell r="D717" t="str">
            <v xml:space="preserve"> </v>
          </cell>
        </row>
        <row r="718">
          <cell r="D718" t="str">
            <v xml:space="preserve"> </v>
          </cell>
        </row>
        <row r="719">
          <cell r="D719" t="str">
            <v xml:space="preserve"> </v>
          </cell>
        </row>
        <row r="720">
          <cell r="D720" t="str">
            <v xml:space="preserve"> </v>
          </cell>
        </row>
        <row r="721">
          <cell r="D721" t="str">
            <v xml:space="preserve"> </v>
          </cell>
        </row>
        <row r="722">
          <cell r="D722" t="str">
            <v xml:space="preserve"> </v>
          </cell>
        </row>
        <row r="723">
          <cell r="D723" t="str">
            <v xml:space="preserve"> </v>
          </cell>
        </row>
        <row r="724">
          <cell r="D724" t="str">
            <v xml:space="preserve"> </v>
          </cell>
        </row>
        <row r="725">
          <cell r="D725" t="str">
            <v xml:space="preserve"> </v>
          </cell>
        </row>
        <row r="726">
          <cell r="D726" t="str">
            <v xml:space="preserve"> </v>
          </cell>
        </row>
        <row r="727">
          <cell r="D727" t="str">
            <v xml:space="preserve"> </v>
          </cell>
        </row>
        <row r="728">
          <cell r="D728" t="str">
            <v xml:space="preserve"> </v>
          </cell>
        </row>
        <row r="729">
          <cell r="D729" t="str">
            <v xml:space="preserve"> </v>
          </cell>
        </row>
        <row r="730">
          <cell r="D730" t="str">
            <v xml:space="preserve"> </v>
          </cell>
        </row>
        <row r="731">
          <cell r="D731" t="str">
            <v xml:space="preserve"> </v>
          </cell>
        </row>
        <row r="732">
          <cell r="D732" t="str">
            <v xml:space="preserve"> </v>
          </cell>
        </row>
        <row r="733">
          <cell r="D733" t="str">
            <v xml:space="preserve"> </v>
          </cell>
        </row>
        <row r="734">
          <cell r="D734" t="str">
            <v xml:space="preserve"> </v>
          </cell>
        </row>
        <row r="735">
          <cell r="D735" t="str">
            <v xml:space="preserve"> </v>
          </cell>
        </row>
        <row r="736">
          <cell r="D736" t="str">
            <v xml:space="preserve"> </v>
          </cell>
        </row>
        <row r="737">
          <cell r="D737" t="str">
            <v xml:space="preserve"> </v>
          </cell>
        </row>
        <row r="738">
          <cell r="D738" t="str">
            <v xml:space="preserve"> </v>
          </cell>
        </row>
        <row r="739">
          <cell r="D739" t="str">
            <v xml:space="preserve"> </v>
          </cell>
        </row>
        <row r="740">
          <cell r="D740" t="str">
            <v xml:space="preserve"> </v>
          </cell>
        </row>
        <row r="741">
          <cell r="D741" t="str">
            <v xml:space="preserve"> </v>
          </cell>
        </row>
        <row r="742">
          <cell r="D742" t="str">
            <v xml:space="preserve"> </v>
          </cell>
        </row>
        <row r="743">
          <cell r="D743" t="str">
            <v xml:space="preserve"> </v>
          </cell>
        </row>
        <row r="744">
          <cell r="D744" t="str">
            <v xml:space="preserve"> </v>
          </cell>
        </row>
        <row r="745">
          <cell r="D745" t="str">
            <v xml:space="preserve"> </v>
          </cell>
        </row>
        <row r="746">
          <cell r="D746" t="str">
            <v xml:space="preserve"> </v>
          </cell>
        </row>
        <row r="747">
          <cell r="D747" t="str">
            <v xml:space="preserve"> </v>
          </cell>
        </row>
        <row r="748">
          <cell r="D748" t="str">
            <v xml:space="preserve"> </v>
          </cell>
        </row>
        <row r="749">
          <cell r="D749" t="str">
            <v xml:space="preserve"> </v>
          </cell>
        </row>
        <row r="750">
          <cell r="D750" t="str">
            <v xml:space="preserve"> </v>
          </cell>
        </row>
        <row r="751">
          <cell r="D751" t="str">
            <v xml:space="preserve"> </v>
          </cell>
        </row>
        <row r="752">
          <cell r="D752" t="str">
            <v xml:space="preserve"> </v>
          </cell>
        </row>
        <row r="753">
          <cell r="D753" t="str">
            <v xml:space="preserve"> </v>
          </cell>
        </row>
        <row r="754">
          <cell r="D754" t="str">
            <v xml:space="preserve"> </v>
          </cell>
        </row>
        <row r="755">
          <cell r="D755" t="str">
            <v xml:space="preserve"> </v>
          </cell>
        </row>
        <row r="756">
          <cell r="D756" t="str">
            <v xml:space="preserve"> </v>
          </cell>
        </row>
        <row r="757">
          <cell r="D757" t="str">
            <v xml:space="preserve"> </v>
          </cell>
        </row>
        <row r="758">
          <cell r="D758" t="str">
            <v xml:space="preserve"> </v>
          </cell>
        </row>
        <row r="759">
          <cell r="D759" t="str">
            <v xml:space="preserve"> </v>
          </cell>
        </row>
        <row r="760">
          <cell r="D760" t="str">
            <v xml:space="preserve"> </v>
          </cell>
        </row>
        <row r="761">
          <cell r="D761" t="str">
            <v xml:space="preserve"> </v>
          </cell>
        </row>
        <row r="762">
          <cell r="D762" t="str">
            <v xml:space="preserve"> </v>
          </cell>
        </row>
        <row r="763">
          <cell r="D763" t="str">
            <v xml:space="preserve"> </v>
          </cell>
        </row>
        <row r="764">
          <cell r="D764" t="str">
            <v xml:space="preserve"> </v>
          </cell>
        </row>
        <row r="765">
          <cell r="D765" t="str">
            <v xml:space="preserve"> </v>
          </cell>
        </row>
        <row r="766">
          <cell r="D766" t="str">
            <v xml:space="preserve"> </v>
          </cell>
        </row>
        <row r="767">
          <cell r="D767" t="str">
            <v xml:space="preserve"> </v>
          </cell>
        </row>
        <row r="768">
          <cell r="D768" t="str">
            <v xml:space="preserve"> </v>
          </cell>
        </row>
        <row r="769">
          <cell r="D769" t="str">
            <v xml:space="preserve"> </v>
          </cell>
        </row>
        <row r="770">
          <cell r="D770" t="str">
            <v xml:space="preserve"> </v>
          </cell>
        </row>
        <row r="771">
          <cell r="D771" t="str">
            <v xml:space="preserve"> </v>
          </cell>
        </row>
        <row r="772">
          <cell r="D772" t="str">
            <v xml:space="preserve"> </v>
          </cell>
        </row>
        <row r="773">
          <cell r="D773" t="str">
            <v xml:space="preserve"> </v>
          </cell>
        </row>
        <row r="774">
          <cell r="D774" t="str">
            <v xml:space="preserve"> </v>
          </cell>
        </row>
        <row r="775">
          <cell r="D775" t="str">
            <v xml:space="preserve"> </v>
          </cell>
        </row>
        <row r="776">
          <cell r="D776" t="str">
            <v xml:space="preserve"> </v>
          </cell>
        </row>
        <row r="777">
          <cell r="D777" t="str">
            <v xml:space="preserve"> </v>
          </cell>
        </row>
        <row r="778">
          <cell r="D778" t="str">
            <v xml:space="preserve"> </v>
          </cell>
        </row>
        <row r="779">
          <cell r="D779" t="str">
            <v xml:space="preserve"> </v>
          </cell>
        </row>
        <row r="780">
          <cell r="D780" t="str">
            <v xml:space="preserve"> </v>
          </cell>
        </row>
        <row r="781">
          <cell r="D781" t="str">
            <v xml:space="preserve"> </v>
          </cell>
        </row>
        <row r="782">
          <cell r="D782" t="str">
            <v xml:space="preserve"> </v>
          </cell>
        </row>
        <row r="783">
          <cell r="D783" t="str">
            <v xml:space="preserve"> </v>
          </cell>
        </row>
        <row r="784">
          <cell r="D784" t="str">
            <v xml:space="preserve"> </v>
          </cell>
        </row>
        <row r="785">
          <cell r="D785" t="str">
            <v xml:space="preserve"> </v>
          </cell>
        </row>
        <row r="786">
          <cell r="D786" t="str">
            <v xml:space="preserve"> </v>
          </cell>
        </row>
        <row r="787">
          <cell r="D787" t="str">
            <v xml:space="preserve"> </v>
          </cell>
        </row>
        <row r="788">
          <cell r="D788" t="str">
            <v xml:space="preserve"> </v>
          </cell>
        </row>
        <row r="789">
          <cell r="D789" t="str">
            <v xml:space="preserve"> </v>
          </cell>
        </row>
        <row r="790">
          <cell r="D790" t="str">
            <v xml:space="preserve"> </v>
          </cell>
        </row>
        <row r="791">
          <cell r="D791" t="str">
            <v xml:space="preserve"> </v>
          </cell>
        </row>
        <row r="792">
          <cell r="D792" t="str">
            <v xml:space="preserve"> </v>
          </cell>
        </row>
        <row r="793">
          <cell r="D793" t="str">
            <v xml:space="preserve"> </v>
          </cell>
        </row>
        <row r="794">
          <cell r="D794" t="str">
            <v xml:space="preserve"> </v>
          </cell>
        </row>
        <row r="795">
          <cell r="D795" t="str">
            <v xml:space="preserve"> </v>
          </cell>
        </row>
        <row r="796">
          <cell r="D796" t="str">
            <v xml:space="preserve"> </v>
          </cell>
        </row>
        <row r="797">
          <cell r="D797" t="str">
            <v xml:space="preserve"> </v>
          </cell>
        </row>
        <row r="798">
          <cell r="D798" t="str">
            <v xml:space="preserve"> </v>
          </cell>
        </row>
        <row r="799">
          <cell r="D799" t="str">
            <v xml:space="preserve"> </v>
          </cell>
        </row>
        <row r="800">
          <cell r="D800" t="str">
            <v xml:space="preserve"> </v>
          </cell>
        </row>
        <row r="801">
          <cell r="D801" t="str">
            <v xml:space="preserve"> </v>
          </cell>
        </row>
        <row r="802">
          <cell r="D802" t="str">
            <v xml:space="preserve"> </v>
          </cell>
        </row>
        <row r="803">
          <cell r="D803" t="str">
            <v xml:space="preserve"> </v>
          </cell>
        </row>
        <row r="804">
          <cell r="D804" t="str">
            <v xml:space="preserve"> </v>
          </cell>
        </row>
        <row r="805">
          <cell r="D805" t="str">
            <v xml:space="preserve"> </v>
          </cell>
        </row>
        <row r="806">
          <cell r="D806" t="str">
            <v xml:space="preserve"> </v>
          </cell>
        </row>
        <row r="807">
          <cell r="D807" t="str">
            <v xml:space="preserve"> </v>
          </cell>
        </row>
        <row r="808">
          <cell r="D808" t="str">
            <v xml:space="preserve"> </v>
          </cell>
        </row>
        <row r="809">
          <cell r="D809" t="str">
            <v xml:space="preserve"> </v>
          </cell>
        </row>
        <row r="810">
          <cell r="D810" t="str">
            <v xml:space="preserve"> </v>
          </cell>
        </row>
        <row r="811">
          <cell r="D811" t="str">
            <v xml:space="preserve"> </v>
          </cell>
        </row>
        <row r="812">
          <cell r="D812" t="str">
            <v xml:space="preserve"> </v>
          </cell>
        </row>
        <row r="813">
          <cell r="D813" t="str">
            <v xml:space="preserve"> </v>
          </cell>
        </row>
        <row r="814">
          <cell r="D814" t="str">
            <v xml:space="preserve"> </v>
          </cell>
        </row>
        <row r="815">
          <cell r="D815" t="str">
            <v xml:space="preserve"> </v>
          </cell>
        </row>
        <row r="816">
          <cell r="D816" t="str">
            <v xml:space="preserve"> </v>
          </cell>
        </row>
        <row r="817">
          <cell r="D817" t="str">
            <v xml:space="preserve"> </v>
          </cell>
        </row>
        <row r="818">
          <cell r="D818" t="str">
            <v xml:space="preserve"> </v>
          </cell>
        </row>
        <row r="819">
          <cell r="D819" t="str">
            <v xml:space="preserve"> </v>
          </cell>
        </row>
        <row r="820">
          <cell r="D820" t="str">
            <v xml:space="preserve"> </v>
          </cell>
        </row>
        <row r="821">
          <cell r="D821" t="str">
            <v xml:space="preserve"> </v>
          </cell>
        </row>
        <row r="822">
          <cell r="D822" t="str">
            <v xml:space="preserve"> </v>
          </cell>
        </row>
        <row r="823">
          <cell r="D823" t="str">
            <v xml:space="preserve"> </v>
          </cell>
        </row>
        <row r="824">
          <cell r="D824" t="str">
            <v xml:space="preserve"> </v>
          </cell>
        </row>
        <row r="825">
          <cell r="D825" t="str">
            <v xml:space="preserve"> </v>
          </cell>
        </row>
        <row r="826">
          <cell r="D826" t="str">
            <v xml:space="preserve"> </v>
          </cell>
        </row>
        <row r="827">
          <cell r="D827" t="str">
            <v xml:space="preserve"> </v>
          </cell>
        </row>
        <row r="828">
          <cell r="D828" t="str">
            <v xml:space="preserve"> </v>
          </cell>
        </row>
        <row r="829">
          <cell r="D829" t="str">
            <v xml:space="preserve"> </v>
          </cell>
        </row>
        <row r="830">
          <cell r="D830" t="str">
            <v xml:space="preserve"> </v>
          </cell>
        </row>
        <row r="831">
          <cell r="D831" t="str">
            <v xml:space="preserve"> </v>
          </cell>
        </row>
        <row r="832">
          <cell r="D832" t="str">
            <v xml:space="preserve"> </v>
          </cell>
        </row>
        <row r="833">
          <cell r="D833" t="str">
            <v xml:space="preserve"> </v>
          </cell>
        </row>
        <row r="834">
          <cell r="D834" t="str">
            <v xml:space="preserve"> </v>
          </cell>
        </row>
        <row r="835">
          <cell r="D835" t="str">
            <v xml:space="preserve"> </v>
          </cell>
        </row>
        <row r="836">
          <cell r="D836" t="str">
            <v xml:space="preserve"> </v>
          </cell>
        </row>
        <row r="837">
          <cell r="D837" t="str">
            <v xml:space="preserve"> </v>
          </cell>
        </row>
        <row r="838">
          <cell r="D838" t="str">
            <v xml:space="preserve"> </v>
          </cell>
        </row>
        <row r="839">
          <cell r="D839" t="str">
            <v xml:space="preserve"> </v>
          </cell>
        </row>
        <row r="840">
          <cell r="D840" t="str">
            <v xml:space="preserve"> </v>
          </cell>
        </row>
        <row r="841">
          <cell r="D841" t="str">
            <v xml:space="preserve"> </v>
          </cell>
        </row>
        <row r="842">
          <cell r="D842" t="str">
            <v xml:space="preserve"> </v>
          </cell>
        </row>
        <row r="843">
          <cell r="D843" t="str">
            <v xml:space="preserve"> </v>
          </cell>
        </row>
        <row r="844">
          <cell r="D844" t="str">
            <v xml:space="preserve"> </v>
          </cell>
        </row>
        <row r="845">
          <cell r="D845" t="str">
            <v xml:space="preserve"> </v>
          </cell>
        </row>
        <row r="846">
          <cell r="D846" t="str">
            <v xml:space="preserve"> </v>
          </cell>
        </row>
        <row r="847">
          <cell r="D847" t="str">
            <v xml:space="preserve"> </v>
          </cell>
        </row>
        <row r="848">
          <cell r="D848" t="str">
            <v xml:space="preserve"> </v>
          </cell>
        </row>
        <row r="849">
          <cell r="D849" t="str">
            <v xml:space="preserve"> </v>
          </cell>
        </row>
        <row r="850">
          <cell r="D850" t="str">
            <v xml:space="preserve"> </v>
          </cell>
        </row>
        <row r="851">
          <cell r="D851" t="str">
            <v xml:space="preserve"> </v>
          </cell>
        </row>
        <row r="852">
          <cell r="D852" t="str">
            <v xml:space="preserve"> </v>
          </cell>
        </row>
        <row r="853">
          <cell r="D853" t="str">
            <v xml:space="preserve"> </v>
          </cell>
        </row>
        <row r="854">
          <cell r="D854" t="str">
            <v xml:space="preserve"> </v>
          </cell>
        </row>
        <row r="855">
          <cell r="D855" t="str">
            <v xml:space="preserve"> </v>
          </cell>
        </row>
        <row r="856">
          <cell r="D856" t="str">
            <v xml:space="preserve"> </v>
          </cell>
        </row>
        <row r="857">
          <cell r="D857" t="str">
            <v xml:space="preserve"> </v>
          </cell>
        </row>
        <row r="858">
          <cell r="D858" t="str">
            <v xml:space="preserve"> </v>
          </cell>
        </row>
        <row r="859">
          <cell r="D859" t="str">
            <v xml:space="preserve"> </v>
          </cell>
        </row>
        <row r="860">
          <cell r="D860" t="str">
            <v xml:space="preserve"> </v>
          </cell>
        </row>
        <row r="861">
          <cell r="D861" t="str">
            <v xml:space="preserve"> </v>
          </cell>
        </row>
        <row r="862">
          <cell r="D862" t="str">
            <v xml:space="preserve"> </v>
          </cell>
        </row>
        <row r="863">
          <cell r="D863" t="str">
            <v xml:space="preserve"> </v>
          </cell>
        </row>
        <row r="864">
          <cell r="D864" t="str">
            <v xml:space="preserve"> </v>
          </cell>
        </row>
        <row r="865">
          <cell r="D865" t="str">
            <v xml:space="preserve"> </v>
          </cell>
        </row>
        <row r="866">
          <cell r="D866" t="str">
            <v xml:space="preserve"> </v>
          </cell>
        </row>
        <row r="867">
          <cell r="D867" t="str">
            <v xml:space="preserve"> </v>
          </cell>
        </row>
        <row r="868">
          <cell r="D868" t="str">
            <v xml:space="preserve"> </v>
          </cell>
        </row>
        <row r="869">
          <cell r="D869" t="str">
            <v xml:space="preserve"> </v>
          </cell>
        </row>
        <row r="870">
          <cell r="D870" t="str">
            <v xml:space="preserve"> </v>
          </cell>
        </row>
        <row r="871">
          <cell r="D871" t="str">
            <v xml:space="preserve"> </v>
          </cell>
        </row>
        <row r="872">
          <cell r="D872" t="str">
            <v xml:space="preserve"> </v>
          </cell>
        </row>
        <row r="873">
          <cell r="D873" t="str">
            <v xml:space="preserve"> </v>
          </cell>
        </row>
        <row r="874">
          <cell r="D874" t="str">
            <v xml:space="preserve"> </v>
          </cell>
        </row>
        <row r="875">
          <cell r="D875" t="str">
            <v xml:space="preserve"> </v>
          </cell>
        </row>
        <row r="876">
          <cell r="D876" t="str">
            <v xml:space="preserve"> </v>
          </cell>
        </row>
        <row r="877">
          <cell r="D877" t="str">
            <v xml:space="preserve"> </v>
          </cell>
        </row>
        <row r="878">
          <cell r="D878" t="str">
            <v xml:space="preserve"> </v>
          </cell>
        </row>
        <row r="879">
          <cell r="D879" t="str">
            <v xml:space="preserve"> </v>
          </cell>
        </row>
        <row r="880">
          <cell r="D880" t="str">
            <v xml:space="preserve"> </v>
          </cell>
        </row>
        <row r="881">
          <cell r="D881" t="str">
            <v xml:space="preserve"> </v>
          </cell>
        </row>
        <row r="882">
          <cell r="D882" t="str">
            <v xml:space="preserve"> </v>
          </cell>
        </row>
        <row r="883">
          <cell r="D883" t="str">
            <v xml:space="preserve"> </v>
          </cell>
        </row>
        <row r="884">
          <cell r="D884" t="str">
            <v xml:space="preserve"> </v>
          </cell>
        </row>
        <row r="885">
          <cell r="D885" t="str">
            <v xml:space="preserve"> </v>
          </cell>
        </row>
        <row r="886">
          <cell r="D886" t="str">
            <v xml:space="preserve"> </v>
          </cell>
        </row>
        <row r="887">
          <cell r="D887" t="str">
            <v xml:space="preserve"> </v>
          </cell>
        </row>
        <row r="888">
          <cell r="D888" t="str">
            <v xml:space="preserve"> </v>
          </cell>
        </row>
        <row r="889">
          <cell r="D889" t="str">
            <v xml:space="preserve"> </v>
          </cell>
        </row>
        <row r="890">
          <cell r="D890" t="str">
            <v xml:space="preserve"> </v>
          </cell>
        </row>
        <row r="891">
          <cell r="D891" t="str">
            <v xml:space="preserve"> </v>
          </cell>
        </row>
        <row r="892">
          <cell r="D892" t="str">
            <v xml:space="preserve"> </v>
          </cell>
        </row>
        <row r="893">
          <cell r="D893" t="str">
            <v xml:space="preserve"> </v>
          </cell>
        </row>
        <row r="894">
          <cell r="D894" t="str">
            <v xml:space="preserve"> </v>
          </cell>
        </row>
        <row r="895">
          <cell r="D895" t="str">
            <v xml:space="preserve"> </v>
          </cell>
        </row>
        <row r="896">
          <cell r="D896" t="str">
            <v xml:space="preserve"> </v>
          </cell>
        </row>
        <row r="897">
          <cell r="D897" t="str">
            <v xml:space="preserve"> </v>
          </cell>
        </row>
        <row r="898">
          <cell r="D898" t="str">
            <v xml:space="preserve"> </v>
          </cell>
        </row>
        <row r="899">
          <cell r="D899" t="str">
            <v xml:space="preserve"> </v>
          </cell>
        </row>
        <row r="900">
          <cell r="D900" t="str">
            <v xml:space="preserve"> </v>
          </cell>
        </row>
        <row r="901">
          <cell r="D901" t="str">
            <v xml:space="preserve"> </v>
          </cell>
        </row>
        <row r="902">
          <cell r="D902" t="str">
            <v xml:space="preserve"> </v>
          </cell>
        </row>
        <row r="903">
          <cell r="D903" t="str">
            <v xml:space="preserve"> </v>
          </cell>
        </row>
        <row r="904">
          <cell r="D904" t="str">
            <v xml:space="preserve"> </v>
          </cell>
        </row>
        <row r="905">
          <cell r="D905" t="str">
            <v xml:space="preserve"> </v>
          </cell>
        </row>
        <row r="906">
          <cell r="D906" t="str">
            <v xml:space="preserve"> </v>
          </cell>
        </row>
        <row r="907">
          <cell r="D907" t="str">
            <v xml:space="preserve"> </v>
          </cell>
        </row>
        <row r="908">
          <cell r="D908" t="str">
            <v xml:space="preserve"> </v>
          </cell>
        </row>
        <row r="909">
          <cell r="D909" t="str">
            <v xml:space="preserve"> </v>
          </cell>
        </row>
        <row r="910">
          <cell r="D910" t="str">
            <v xml:space="preserve"> </v>
          </cell>
        </row>
        <row r="911">
          <cell r="D911" t="str">
            <v xml:space="preserve"> </v>
          </cell>
        </row>
        <row r="912">
          <cell r="D912" t="str">
            <v xml:space="preserve"> </v>
          </cell>
        </row>
        <row r="913">
          <cell r="D913" t="str">
            <v xml:space="preserve"> </v>
          </cell>
        </row>
        <row r="914">
          <cell r="D914" t="str">
            <v xml:space="preserve"> </v>
          </cell>
        </row>
        <row r="915">
          <cell r="D915" t="str">
            <v xml:space="preserve"> </v>
          </cell>
        </row>
        <row r="916">
          <cell r="D916" t="str">
            <v xml:space="preserve"> </v>
          </cell>
        </row>
        <row r="917">
          <cell r="D917" t="str">
            <v xml:space="preserve"> </v>
          </cell>
        </row>
        <row r="918">
          <cell r="D918" t="str">
            <v xml:space="preserve"> </v>
          </cell>
        </row>
        <row r="919">
          <cell r="D919" t="str">
            <v xml:space="preserve"> </v>
          </cell>
        </row>
        <row r="920">
          <cell r="D920" t="str">
            <v xml:space="preserve"> </v>
          </cell>
        </row>
        <row r="921">
          <cell r="D921" t="str">
            <v xml:space="preserve"> </v>
          </cell>
        </row>
        <row r="922">
          <cell r="D922" t="str">
            <v xml:space="preserve"> </v>
          </cell>
        </row>
        <row r="923">
          <cell r="D923" t="str">
            <v xml:space="preserve"> </v>
          </cell>
        </row>
        <row r="924">
          <cell r="D924" t="str">
            <v xml:space="preserve"> </v>
          </cell>
        </row>
        <row r="925">
          <cell r="D925" t="str">
            <v xml:space="preserve"> </v>
          </cell>
        </row>
        <row r="926">
          <cell r="D926" t="str">
            <v xml:space="preserve"> </v>
          </cell>
        </row>
        <row r="927">
          <cell r="D927" t="str">
            <v xml:space="preserve"> </v>
          </cell>
        </row>
        <row r="928">
          <cell r="D928" t="str">
            <v xml:space="preserve"> </v>
          </cell>
        </row>
        <row r="929">
          <cell r="D929" t="str">
            <v xml:space="preserve"> </v>
          </cell>
        </row>
        <row r="930">
          <cell r="D930" t="str">
            <v xml:space="preserve"> </v>
          </cell>
        </row>
        <row r="931">
          <cell r="D931" t="str">
            <v xml:space="preserve"> </v>
          </cell>
        </row>
        <row r="932">
          <cell r="D932" t="str">
            <v xml:space="preserve"> </v>
          </cell>
        </row>
        <row r="933">
          <cell r="D933" t="str">
            <v xml:space="preserve"> </v>
          </cell>
        </row>
        <row r="934">
          <cell r="D934" t="str">
            <v xml:space="preserve"> </v>
          </cell>
        </row>
        <row r="935">
          <cell r="D935" t="str">
            <v xml:space="preserve"> </v>
          </cell>
        </row>
        <row r="936">
          <cell r="D936" t="str">
            <v xml:space="preserve"> </v>
          </cell>
        </row>
        <row r="937">
          <cell r="D937" t="str">
            <v xml:space="preserve"> </v>
          </cell>
        </row>
        <row r="938">
          <cell r="D938" t="str">
            <v xml:space="preserve"> </v>
          </cell>
        </row>
        <row r="939">
          <cell r="D939" t="str">
            <v xml:space="preserve"> </v>
          </cell>
        </row>
        <row r="940">
          <cell r="D940" t="str">
            <v xml:space="preserve"> </v>
          </cell>
        </row>
        <row r="941">
          <cell r="D941" t="str">
            <v xml:space="preserve"> </v>
          </cell>
        </row>
        <row r="942">
          <cell r="D942" t="str">
            <v xml:space="preserve"> </v>
          </cell>
        </row>
        <row r="943">
          <cell r="D943" t="str">
            <v xml:space="preserve"> </v>
          </cell>
        </row>
        <row r="944">
          <cell r="D944" t="str">
            <v xml:space="preserve"> </v>
          </cell>
        </row>
        <row r="945">
          <cell r="D945" t="str">
            <v xml:space="preserve"> </v>
          </cell>
        </row>
        <row r="946">
          <cell r="D946" t="str">
            <v xml:space="preserve"> </v>
          </cell>
        </row>
        <row r="947">
          <cell r="D947" t="str">
            <v xml:space="preserve"> </v>
          </cell>
        </row>
        <row r="948">
          <cell r="D948" t="str">
            <v xml:space="preserve"> </v>
          </cell>
        </row>
        <row r="949">
          <cell r="D949" t="str">
            <v xml:space="preserve"> </v>
          </cell>
        </row>
        <row r="950">
          <cell r="D950" t="str">
            <v xml:space="preserve"> </v>
          </cell>
        </row>
        <row r="951">
          <cell r="D951" t="str">
            <v xml:space="preserve"> </v>
          </cell>
        </row>
        <row r="952">
          <cell r="D952" t="str">
            <v xml:space="preserve"> </v>
          </cell>
        </row>
        <row r="953">
          <cell r="D953" t="str">
            <v xml:space="preserve"> </v>
          </cell>
        </row>
        <row r="954">
          <cell r="D954" t="str">
            <v xml:space="preserve"> </v>
          </cell>
        </row>
        <row r="955">
          <cell r="D955" t="str">
            <v xml:space="preserve"> </v>
          </cell>
        </row>
        <row r="956">
          <cell r="D956" t="str">
            <v xml:space="preserve"> </v>
          </cell>
        </row>
        <row r="957">
          <cell r="D957" t="str">
            <v xml:space="preserve"> </v>
          </cell>
        </row>
        <row r="958">
          <cell r="D958" t="str">
            <v xml:space="preserve"> </v>
          </cell>
        </row>
        <row r="959">
          <cell r="D959" t="str">
            <v xml:space="preserve"> </v>
          </cell>
        </row>
        <row r="960">
          <cell r="D960" t="str">
            <v xml:space="preserve"> </v>
          </cell>
        </row>
        <row r="961">
          <cell r="D961" t="str">
            <v xml:space="preserve"> </v>
          </cell>
        </row>
        <row r="962">
          <cell r="D962" t="str">
            <v xml:space="preserve"> </v>
          </cell>
        </row>
        <row r="963">
          <cell r="D963" t="str">
            <v xml:space="preserve"> </v>
          </cell>
        </row>
        <row r="964">
          <cell r="D964" t="str">
            <v xml:space="preserve"> </v>
          </cell>
        </row>
        <row r="965">
          <cell r="D965" t="str">
            <v xml:space="preserve"> </v>
          </cell>
        </row>
        <row r="966">
          <cell r="D966" t="str">
            <v xml:space="preserve"> </v>
          </cell>
        </row>
        <row r="967">
          <cell r="D967" t="str">
            <v xml:space="preserve"> </v>
          </cell>
        </row>
        <row r="968">
          <cell r="D968" t="str">
            <v xml:space="preserve"> </v>
          </cell>
        </row>
        <row r="969">
          <cell r="D969" t="str">
            <v xml:space="preserve"> </v>
          </cell>
        </row>
        <row r="970">
          <cell r="D970" t="str">
            <v xml:space="preserve"> </v>
          </cell>
        </row>
        <row r="971">
          <cell r="D971" t="str">
            <v xml:space="preserve"> </v>
          </cell>
        </row>
        <row r="972">
          <cell r="D972" t="str">
            <v xml:space="preserve"> </v>
          </cell>
        </row>
        <row r="973">
          <cell r="D973" t="str">
            <v xml:space="preserve"> </v>
          </cell>
        </row>
        <row r="974">
          <cell r="D974" t="str">
            <v xml:space="preserve"> </v>
          </cell>
        </row>
        <row r="975">
          <cell r="D975" t="str">
            <v xml:space="preserve"> </v>
          </cell>
        </row>
        <row r="976">
          <cell r="D976" t="str">
            <v xml:space="preserve"> </v>
          </cell>
        </row>
        <row r="977">
          <cell r="D977" t="str">
            <v xml:space="preserve"> </v>
          </cell>
        </row>
        <row r="978">
          <cell r="D978" t="str">
            <v xml:space="preserve"> </v>
          </cell>
        </row>
        <row r="979">
          <cell r="D979" t="str">
            <v xml:space="preserve"> </v>
          </cell>
        </row>
        <row r="980">
          <cell r="D980" t="str">
            <v xml:space="preserve"> </v>
          </cell>
        </row>
        <row r="981">
          <cell r="D981" t="str">
            <v xml:space="preserve"> </v>
          </cell>
        </row>
        <row r="982">
          <cell r="D982" t="str">
            <v xml:space="preserve"> </v>
          </cell>
        </row>
        <row r="983">
          <cell r="D983" t="str">
            <v xml:space="preserve"> </v>
          </cell>
        </row>
        <row r="984">
          <cell r="D984" t="str">
            <v xml:space="preserve"> </v>
          </cell>
        </row>
        <row r="985">
          <cell r="D985" t="str">
            <v xml:space="preserve"> </v>
          </cell>
        </row>
        <row r="986">
          <cell r="D986" t="str">
            <v xml:space="preserve"> </v>
          </cell>
        </row>
        <row r="987">
          <cell r="D987" t="str">
            <v xml:space="preserve"> </v>
          </cell>
        </row>
        <row r="988">
          <cell r="D988" t="str">
            <v xml:space="preserve"> </v>
          </cell>
        </row>
        <row r="989">
          <cell r="D989" t="str">
            <v xml:space="preserve"> </v>
          </cell>
        </row>
        <row r="990">
          <cell r="D990" t="str">
            <v xml:space="preserve"> </v>
          </cell>
        </row>
        <row r="991">
          <cell r="D991" t="str">
            <v xml:space="preserve"> </v>
          </cell>
        </row>
        <row r="992">
          <cell r="D992" t="str">
            <v xml:space="preserve"> </v>
          </cell>
        </row>
        <row r="993">
          <cell r="D993" t="str">
            <v xml:space="preserve"> </v>
          </cell>
        </row>
        <row r="994">
          <cell r="D994" t="str">
            <v xml:space="preserve"> </v>
          </cell>
        </row>
        <row r="995">
          <cell r="D995" t="str">
            <v xml:space="preserve"> </v>
          </cell>
        </row>
        <row r="996">
          <cell r="D996" t="str">
            <v xml:space="preserve"> </v>
          </cell>
        </row>
        <row r="997">
          <cell r="D997" t="str">
            <v xml:space="preserve"> </v>
          </cell>
        </row>
        <row r="998">
          <cell r="D998" t="str">
            <v xml:space="preserve"> </v>
          </cell>
        </row>
        <row r="999">
          <cell r="D999" t="str">
            <v xml:space="preserve"> </v>
          </cell>
        </row>
        <row r="1000">
          <cell r="D1000" t="str">
            <v xml:space="preserve"> </v>
          </cell>
        </row>
        <row r="1001">
          <cell r="D1001" t="str">
            <v xml:space="preserve"> </v>
          </cell>
        </row>
        <row r="1002">
          <cell r="D1002" t="str">
            <v xml:space="preserve"> </v>
          </cell>
        </row>
        <row r="1003">
          <cell r="D1003" t="str">
            <v xml:space="preserve"> </v>
          </cell>
        </row>
        <row r="1004">
          <cell r="D1004" t="str">
            <v xml:space="preserve"> </v>
          </cell>
        </row>
        <row r="1005">
          <cell r="D1005" t="str">
            <v xml:space="preserve"> </v>
          </cell>
        </row>
        <row r="1006">
          <cell r="D1006" t="str">
            <v xml:space="preserve"> </v>
          </cell>
        </row>
        <row r="1007">
          <cell r="D1007" t="str">
            <v xml:space="preserve"> </v>
          </cell>
        </row>
        <row r="1008">
          <cell r="D1008" t="str">
            <v xml:space="preserve"> </v>
          </cell>
        </row>
        <row r="1009">
          <cell r="D1009" t="str">
            <v xml:space="preserve"> </v>
          </cell>
        </row>
        <row r="1010">
          <cell r="D1010" t="str">
            <v xml:space="preserve"> </v>
          </cell>
        </row>
        <row r="1011">
          <cell r="D1011" t="str">
            <v xml:space="preserve"> </v>
          </cell>
        </row>
        <row r="1012">
          <cell r="D1012" t="str">
            <v xml:space="preserve"> </v>
          </cell>
        </row>
        <row r="1013">
          <cell r="D1013" t="str">
            <v xml:space="preserve"> </v>
          </cell>
        </row>
        <row r="1014">
          <cell r="D1014" t="str">
            <v xml:space="preserve"> </v>
          </cell>
        </row>
        <row r="1015">
          <cell r="D1015" t="str">
            <v xml:space="preserve"> </v>
          </cell>
        </row>
        <row r="1016">
          <cell r="D1016" t="str">
            <v xml:space="preserve"> </v>
          </cell>
        </row>
        <row r="1017">
          <cell r="D1017" t="str">
            <v xml:space="preserve"> </v>
          </cell>
        </row>
        <row r="1018">
          <cell r="D1018" t="str">
            <v xml:space="preserve"> </v>
          </cell>
        </row>
        <row r="1019">
          <cell r="D1019" t="str">
            <v xml:space="preserve"> </v>
          </cell>
        </row>
        <row r="1020">
          <cell r="D1020" t="str">
            <v xml:space="preserve"> </v>
          </cell>
        </row>
        <row r="1021">
          <cell r="D1021" t="str">
            <v xml:space="preserve"> </v>
          </cell>
        </row>
        <row r="1022">
          <cell r="D1022" t="str">
            <v xml:space="preserve"> </v>
          </cell>
        </row>
        <row r="1023">
          <cell r="D1023" t="str">
            <v xml:space="preserve"> </v>
          </cell>
        </row>
        <row r="1024">
          <cell r="D1024" t="str">
            <v xml:space="preserve"> </v>
          </cell>
        </row>
        <row r="1025">
          <cell r="D1025" t="str">
            <v xml:space="preserve"> </v>
          </cell>
        </row>
        <row r="1026">
          <cell r="D1026" t="str">
            <v xml:space="preserve"> </v>
          </cell>
        </row>
        <row r="1027">
          <cell r="D1027" t="str">
            <v xml:space="preserve"> </v>
          </cell>
        </row>
        <row r="1028">
          <cell r="D1028" t="str">
            <v xml:space="preserve"> </v>
          </cell>
        </row>
        <row r="1029">
          <cell r="D1029" t="str">
            <v xml:space="preserve"> </v>
          </cell>
        </row>
        <row r="1030">
          <cell r="D1030" t="str">
            <v xml:space="preserve"> </v>
          </cell>
        </row>
        <row r="1031">
          <cell r="D1031" t="str">
            <v xml:space="preserve"> </v>
          </cell>
        </row>
        <row r="1032">
          <cell r="D1032" t="str">
            <v xml:space="preserve"> </v>
          </cell>
        </row>
        <row r="1033">
          <cell r="D1033" t="str">
            <v xml:space="preserve"> </v>
          </cell>
        </row>
        <row r="1034">
          <cell r="D1034" t="str">
            <v xml:space="preserve"> </v>
          </cell>
        </row>
        <row r="1035">
          <cell r="D1035" t="str">
            <v xml:space="preserve"> </v>
          </cell>
        </row>
        <row r="1036">
          <cell r="D1036" t="str">
            <v xml:space="preserve"> </v>
          </cell>
        </row>
        <row r="1037">
          <cell r="D1037" t="str">
            <v xml:space="preserve"> </v>
          </cell>
        </row>
        <row r="1038">
          <cell r="D1038" t="str">
            <v xml:space="preserve"> </v>
          </cell>
        </row>
        <row r="1039">
          <cell r="D1039" t="str">
            <v xml:space="preserve"> </v>
          </cell>
        </row>
        <row r="1040">
          <cell r="D1040" t="str">
            <v xml:space="preserve"> </v>
          </cell>
        </row>
        <row r="1041">
          <cell r="D1041" t="str">
            <v xml:space="preserve"> </v>
          </cell>
        </row>
        <row r="1042">
          <cell r="D1042" t="str">
            <v xml:space="preserve"> </v>
          </cell>
        </row>
        <row r="1043">
          <cell r="D1043" t="str">
            <v xml:space="preserve"> </v>
          </cell>
        </row>
        <row r="1044">
          <cell r="D1044" t="str">
            <v xml:space="preserve"> </v>
          </cell>
        </row>
        <row r="1045">
          <cell r="D1045" t="str">
            <v xml:space="preserve"> </v>
          </cell>
        </row>
        <row r="1046">
          <cell r="D1046" t="str">
            <v xml:space="preserve"> </v>
          </cell>
        </row>
        <row r="1047">
          <cell r="D1047" t="str">
            <v xml:space="preserve"> </v>
          </cell>
        </row>
        <row r="1048">
          <cell r="D1048" t="str">
            <v xml:space="preserve"> </v>
          </cell>
        </row>
        <row r="1049">
          <cell r="D1049" t="str">
            <v xml:space="preserve"> </v>
          </cell>
        </row>
        <row r="1050">
          <cell r="D1050" t="str">
            <v xml:space="preserve"> </v>
          </cell>
        </row>
        <row r="1051">
          <cell r="D1051" t="str">
            <v xml:space="preserve"> </v>
          </cell>
        </row>
        <row r="1052">
          <cell r="D1052" t="str">
            <v xml:space="preserve"> </v>
          </cell>
        </row>
        <row r="1053">
          <cell r="D1053" t="str">
            <v xml:space="preserve"> </v>
          </cell>
        </row>
        <row r="1054">
          <cell r="D1054" t="str">
            <v xml:space="preserve"> </v>
          </cell>
        </row>
        <row r="1055">
          <cell r="D1055" t="str">
            <v xml:space="preserve"> </v>
          </cell>
        </row>
        <row r="1056">
          <cell r="D1056" t="str">
            <v xml:space="preserve"> </v>
          </cell>
        </row>
        <row r="1057">
          <cell r="D1057" t="str">
            <v xml:space="preserve"> </v>
          </cell>
        </row>
        <row r="1058">
          <cell r="D1058" t="str">
            <v xml:space="preserve"> </v>
          </cell>
        </row>
        <row r="1059">
          <cell r="D1059" t="str">
            <v xml:space="preserve"> </v>
          </cell>
        </row>
        <row r="1060">
          <cell r="D1060" t="str">
            <v xml:space="preserve"> </v>
          </cell>
        </row>
        <row r="1061">
          <cell r="D1061" t="str">
            <v xml:space="preserve"> </v>
          </cell>
        </row>
        <row r="1062">
          <cell r="D1062" t="str">
            <v xml:space="preserve"> </v>
          </cell>
        </row>
        <row r="1063">
          <cell r="D1063" t="str">
            <v xml:space="preserve"> </v>
          </cell>
        </row>
        <row r="1064">
          <cell r="D1064" t="str">
            <v xml:space="preserve"> </v>
          </cell>
        </row>
        <row r="1065">
          <cell r="D1065" t="str">
            <v xml:space="preserve"> </v>
          </cell>
        </row>
        <row r="1066">
          <cell r="D1066" t="str">
            <v xml:space="preserve"> </v>
          </cell>
        </row>
        <row r="1067">
          <cell r="D1067" t="str">
            <v xml:space="preserve"> </v>
          </cell>
        </row>
        <row r="1068">
          <cell r="D1068" t="str">
            <v xml:space="preserve"> </v>
          </cell>
        </row>
        <row r="1069">
          <cell r="D1069" t="str">
            <v xml:space="preserve"> </v>
          </cell>
        </row>
        <row r="1070">
          <cell r="D1070" t="str">
            <v xml:space="preserve"> </v>
          </cell>
        </row>
        <row r="1071">
          <cell r="D1071" t="str">
            <v xml:space="preserve"> </v>
          </cell>
        </row>
        <row r="1072">
          <cell r="D1072" t="str">
            <v xml:space="preserve"> </v>
          </cell>
        </row>
        <row r="1073">
          <cell r="D1073" t="str">
            <v xml:space="preserve"> </v>
          </cell>
        </row>
        <row r="1074">
          <cell r="D1074" t="str">
            <v xml:space="preserve"> </v>
          </cell>
        </row>
        <row r="1075">
          <cell r="D1075" t="str">
            <v xml:space="preserve"> </v>
          </cell>
        </row>
        <row r="1076">
          <cell r="D1076" t="str">
            <v xml:space="preserve"> </v>
          </cell>
        </row>
        <row r="1077">
          <cell r="D1077" t="str">
            <v xml:space="preserve"> </v>
          </cell>
        </row>
        <row r="1078">
          <cell r="D1078" t="str">
            <v xml:space="preserve"> </v>
          </cell>
        </row>
        <row r="1079">
          <cell r="D1079" t="str">
            <v xml:space="preserve"> </v>
          </cell>
        </row>
        <row r="1080">
          <cell r="D1080" t="str">
            <v xml:space="preserve"> </v>
          </cell>
        </row>
        <row r="1081">
          <cell r="D1081" t="str">
            <v xml:space="preserve"> </v>
          </cell>
        </row>
        <row r="1082">
          <cell r="D1082" t="str">
            <v xml:space="preserve"> </v>
          </cell>
        </row>
        <row r="1083">
          <cell r="D1083" t="str">
            <v xml:space="preserve"> </v>
          </cell>
        </row>
        <row r="1084">
          <cell r="D1084" t="str">
            <v xml:space="preserve"> </v>
          </cell>
        </row>
        <row r="1085">
          <cell r="D1085" t="str">
            <v xml:space="preserve"> </v>
          </cell>
        </row>
        <row r="1086">
          <cell r="D1086" t="str">
            <v xml:space="preserve"> </v>
          </cell>
        </row>
        <row r="1087">
          <cell r="D1087" t="str">
            <v xml:space="preserve"> </v>
          </cell>
        </row>
        <row r="1088">
          <cell r="D1088" t="str">
            <v xml:space="preserve"> </v>
          </cell>
        </row>
        <row r="1089">
          <cell r="D1089" t="str">
            <v xml:space="preserve"> </v>
          </cell>
        </row>
        <row r="1090">
          <cell r="D1090" t="str">
            <v xml:space="preserve"> </v>
          </cell>
        </row>
        <row r="1091">
          <cell r="D1091" t="str">
            <v xml:space="preserve"> </v>
          </cell>
        </row>
        <row r="1092">
          <cell r="D1092" t="str">
            <v xml:space="preserve"> </v>
          </cell>
        </row>
        <row r="1093">
          <cell r="D1093" t="str">
            <v xml:space="preserve"> </v>
          </cell>
        </row>
        <row r="1094">
          <cell r="D1094" t="str">
            <v xml:space="preserve"> </v>
          </cell>
        </row>
        <row r="1095">
          <cell r="D1095" t="str">
            <v xml:space="preserve"> </v>
          </cell>
        </row>
        <row r="1096">
          <cell r="D1096" t="str">
            <v xml:space="preserve"> </v>
          </cell>
        </row>
        <row r="1097">
          <cell r="D1097" t="str">
            <v xml:space="preserve"> </v>
          </cell>
        </row>
        <row r="1098">
          <cell r="D1098" t="str">
            <v xml:space="preserve"> </v>
          </cell>
        </row>
        <row r="1099">
          <cell r="D1099" t="str">
            <v xml:space="preserve"> </v>
          </cell>
        </row>
        <row r="1100">
          <cell r="D1100" t="str">
            <v xml:space="preserve"> </v>
          </cell>
        </row>
        <row r="1101">
          <cell r="D1101" t="str">
            <v xml:space="preserve"> </v>
          </cell>
        </row>
        <row r="1102">
          <cell r="D1102" t="str">
            <v xml:space="preserve"> </v>
          </cell>
        </row>
        <row r="1103">
          <cell r="D1103" t="str">
            <v xml:space="preserve"> </v>
          </cell>
        </row>
        <row r="1104">
          <cell r="D1104" t="str">
            <v xml:space="preserve"> </v>
          </cell>
        </row>
        <row r="1105">
          <cell r="D1105" t="str">
            <v xml:space="preserve"> </v>
          </cell>
        </row>
        <row r="1106">
          <cell r="D1106" t="str">
            <v xml:space="preserve"> </v>
          </cell>
        </row>
        <row r="1107">
          <cell r="D1107" t="str">
            <v xml:space="preserve"> </v>
          </cell>
        </row>
        <row r="1108">
          <cell r="D1108" t="str">
            <v xml:space="preserve"> </v>
          </cell>
        </row>
        <row r="1109">
          <cell r="D1109" t="str">
            <v xml:space="preserve"> </v>
          </cell>
        </row>
        <row r="1110">
          <cell r="D1110" t="str">
            <v xml:space="preserve"> </v>
          </cell>
        </row>
        <row r="1111">
          <cell r="D1111" t="str">
            <v xml:space="preserve"> </v>
          </cell>
        </row>
        <row r="1112">
          <cell r="D1112" t="str">
            <v xml:space="preserve"> </v>
          </cell>
        </row>
        <row r="1113">
          <cell r="D1113" t="str">
            <v xml:space="preserve"> </v>
          </cell>
        </row>
        <row r="1114">
          <cell r="D1114" t="str">
            <v xml:space="preserve"> </v>
          </cell>
        </row>
        <row r="1115">
          <cell r="D1115" t="str">
            <v xml:space="preserve"> </v>
          </cell>
        </row>
        <row r="1116">
          <cell r="D1116" t="str">
            <v xml:space="preserve"> </v>
          </cell>
        </row>
        <row r="1117">
          <cell r="D1117" t="str">
            <v xml:space="preserve"> </v>
          </cell>
        </row>
        <row r="1118">
          <cell r="D1118" t="str">
            <v xml:space="preserve"> </v>
          </cell>
        </row>
        <row r="1119">
          <cell r="D1119" t="str">
            <v xml:space="preserve"> </v>
          </cell>
        </row>
        <row r="1120">
          <cell r="D1120" t="str">
            <v xml:space="preserve"> </v>
          </cell>
        </row>
        <row r="1121">
          <cell r="D1121" t="str">
            <v xml:space="preserve"> </v>
          </cell>
        </row>
        <row r="1122">
          <cell r="D1122" t="str">
            <v xml:space="preserve"> </v>
          </cell>
        </row>
        <row r="1123">
          <cell r="D1123" t="str">
            <v xml:space="preserve"> </v>
          </cell>
        </row>
        <row r="1124">
          <cell r="D1124" t="str">
            <v xml:space="preserve"> </v>
          </cell>
        </row>
        <row r="1125">
          <cell r="D1125" t="str">
            <v xml:space="preserve"> </v>
          </cell>
        </row>
        <row r="1126">
          <cell r="D1126" t="str">
            <v xml:space="preserve"> </v>
          </cell>
        </row>
        <row r="1127">
          <cell r="D1127" t="str">
            <v xml:space="preserve"> </v>
          </cell>
        </row>
        <row r="1128">
          <cell r="D1128" t="str">
            <v xml:space="preserve"> </v>
          </cell>
        </row>
        <row r="1129">
          <cell r="D1129" t="str">
            <v xml:space="preserve"> </v>
          </cell>
        </row>
        <row r="1130">
          <cell r="D1130" t="str">
            <v xml:space="preserve"> </v>
          </cell>
        </row>
        <row r="1131">
          <cell r="D1131" t="str">
            <v xml:space="preserve"> </v>
          </cell>
        </row>
        <row r="1132">
          <cell r="D1132" t="str">
            <v xml:space="preserve"> </v>
          </cell>
        </row>
        <row r="1133">
          <cell r="D1133" t="str">
            <v xml:space="preserve"> </v>
          </cell>
        </row>
        <row r="1134">
          <cell r="D1134" t="str">
            <v xml:space="preserve"> </v>
          </cell>
        </row>
        <row r="1135">
          <cell r="D1135" t="str">
            <v xml:space="preserve"> </v>
          </cell>
        </row>
        <row r="1136">
          <cell r="D1136" t="str">
            <v xml:space="preserve"> </v>
          </cell>
        </row>
        <row r="1137">
          <cell r="D1137" t="str">
            <v xml:space="preserve"> </v>
          </cell>
        </row>
        <row r="1138">
          <cell r="D1138" t="str">
            <v xml:space="preserve"> </v>
          </cell>
        </row>
        <row r="1139">
          <cell r="D1139" t="str">
            <v xml:space="preserve"> </v>
          </cell>
        </row>
        <row r="1140">
          <cell r="D1140" t="str">
            <v xml:space="preserve"> </v>
          </cell>
        </row>
        <row r="1141">
          <cell r="D1141" t="str">
            <v xml:space="preserve"> </v>
          </cell>
        </row>
        <row r="1142">
          <cell r="D1142" t="str">
            <v xml:space="preserve"> </v>
          </cell>
        </row>
        <row r="1143">
          <cell r="D1143" t="str">
            <v xml:space="preserve"> </v>
          </cell>
        </row>
        <row r="1144">
          <cell r="D1144" t="str">
            <v xml:space="preserve"> </v>
          </cell>
        </row>
        <row r="1145">
          <cell r="D1145" t="str">
            <v xml:space="preserve"> </v>
          </cell>
        </row>
        <row r="1146">
          <cell r="D1146" t="str">
            <v xml:space="preserve"> </v>
          </cell>
        </row>
        <row r="1147">
          <cell r="D1147" t="str">
            <v xml:space="preserve"> </v>
          </cell>
        </row>
        <row r="1148">
          <cell r="D1148" t="str">
            <v xml:space="preserve"> </v>
          </cell>
        </row>
        <row r="1149">
          <cell r="D1149" t="str">
            <v xml:space="preserve"> </v>
          </cell>
        </row>
        <row r="1150">
          <cell r="D1150" t="str">
            <v xml:space="preserve"> </v>
          </cell>
        </row>
        <row r="1151">
          <cell r="D1151" t="str">
            <v xml:space="preserve"> </v>
          </cell>
        </row>
        <row r="1152">
          <cell r="D1152" t="str">
            <v xml:space="preserve"> </v>
          </cell>
        </row>
        <row r="1153">
          <cell r="D1153" t="str">
            <v xml:space="preserve"> </v>
          </cell>
        </row>
        <row r="1154">
          <cell r="D1154" t="str">
            <v xml:space="preserve"> </v>
          </cell>
        </row>
        <row r="1155">
          <cell r="D1155" t="str">
            <v xml:space="preserve"> </v>
          </cell>
        </row>
        <row r="1156">
          <cell r="D1156" t="str">
            <v xml:space="preserve"> </v>
          </cell>
        </row>
        <row r="1157">
          <cell r="D1157" t="str">
            <v xml:space="preserve"> </v>
          </cell>
        </row>
        <row r="1158">
          <cell r="D1158" t="str">
            <v xml:space="preserve"> </v>
          </cell>
        </row>
        <row r="1159">
          <cell r="D1159" t="str">
            <v xml:space="preserve"> </v>
          </cell>
        </row>
        <row r="1160">
          <cell r="D1160" t="str">
            <v xml:space="preserve"> </v>
          </cell>
        </row>
        <row r="1161">
          <cell r="D1161" t="str">
            <v xml:space="preserve"> </v>
          </cell>
        </row>
        <row r="1162">
          <cell r="D1162" t="str">
            <v xml:space="preserve"> </v>
          </cell>
        </row>
        <row r="1163">
          <cell r="D1163" t="str">
            <v xml:space="preserve"> </v>
          </cell>
        </row>
        <row r="1164">
          <cell r="D1164" t="str">
            <v xml:space="preserve"> </v>
          </cell>
        </row>
        <row r="1165">
          <cell r="D1165" t="str">
            <v xml:space="preserve"> </v>
          </cell>
        </row>
        <row r="1166">
          <cell r="D1166" t="str">
            <v xml:space="preserve"> </v>
          </cell>
        </row>
        <row r="1167">
          <cell r="D1167" t="str">
            <v xml:space="preserve"> </v>
          </cell>
        </row>
        <row r="1168">
          <cell r="D1168" t="str">
            <v xml:space="preserve"> </v>
          </cell>
        </row>
        <row r="1169">
          <cell r="D1169" t="str">
            <v xml:space="preserve"> </v>
          </cell>
        </row>
        <row r="1170">
          <cell r="D1170" t="str">
            <v xml:space="preserve"> </v>
          </cell>
        </row>
        <row r="1171">
          <cell r="D1171" t="str">
            <v xml:space="preserve"> </v>
          </cell>
        </row>
        <row r="1172">
          <cell r="D1172" t="str">
            <v xml:space="preserve"> </v>
          </cell>
        </row>
        <row r="1173">
          <cell r="D1173" t="str">
            <v xml:space="preserve"> </v>
          </cell>
        </row>
        <row r="1174">
          <cell r="D1174" t="str">
            <v xml:space="preserve"> </v>
          </cell>
        </row>
        <row r="1175">
          <cell r="D1175" t="str">
            <v xml:space="preserve"> </v>
          </cell>
        </row>
        <row r="1176">
          <cell r="D1176" t="str">
            <v xml:space="preserve"> </v>
          </cell>
        </row>
        <row r="1177">
          <cell r="D1177" t="str">
            <v xml:space="preserve"> </v>
          </cell>
        </row>
        <row r="1178">
          <cell r="D1178" t="str">
            <v xml:space="preserve"> </v>
          </cell>
        </row>
        <row r="1179">
          <cell r="D1179" t="str">
            <v xml:space="preserve"> </v>
          </cell>
        </row>
        <row r="1180">
          <cell r="D1180" t="str">
            <v xml:space="preserve"> </v>
          </cell>
        </row>
        <row r="1181">
          <cell r="D1181" t="str">
            <v xml:space="preserve"> </v>
          </cell>
        </row>
        <row r="1182">
          <cell r="D1182" t="str">
            <v xml:space="preserve"> </v>
          </cell>
        </row>
        <row r="1183">
          <cell r="D1183" t="str">
            <v xml:space="preserve"> </v>
          </cell>
        </row>
        <row r="1184">
          <cell r="D1184" t="str">
            <v xml:space="preserve"> </v>
          </cell>
        </row>
        <row r="1185">
          <cell r="D1185" t="str">
            <v xml:space="preserve"> </v>
          </cell>
        </row>
        <row r="1186">
          <cell r="D1186" t="str">
            <v xml:space="preserve"> </v>
          </cell>
        </row>
        <row r="1187">
          <cell r="D1187" t="str">
            <v xml:space="preserve"> </v>
          </cell>
        </row>
        <row r="1188">
          <cell r="D1188" t="str">
            <v xml:space="preserve"> </v>
          </cell>
        </row>
        <row r="1189">
          <cell r="D1189" t="str">
            <v xml:space="preserve"> </v>
          </cell>
        </row>
        <row r="1190">
          <cell r="D1190" t="str">
            <v xml:space="preserve"> </v>
          </cell>
        </row>
        <row r="1191">
          <cell r="D1191" t="str">
            <v xml:space="preserve"> </v>
          </cell>
        </row>
        <row r="1192">
          <cell r="D1192" t="str">
            <v xml:space="preserve"> </v>
          </cell>
        </row>
        <row r="1193">
          <cell r="D1193" t="str">
            <v xml:space="preserve"> </v>
          </cell>
        </row>
        <row r="1194">
          <cell r="D1194" t="str">
            <v xml:space="preserve"> </v>
          </cell>
        </row>
        <row r="1195">
          <cell r="D1195" t="str">
            <v xml:space="preserve"> </v>
          </cell>
        </row>
        <row r="1196">
          <cell r="D1196" t="str">
            <v xml:space="preserve"> </v>
          </cell>
        </row>
        <row r="1197">
          <cell r="D1197" t="str">
            <v xml:space="preserve"> </v>
          </cell>
        </row>
        <row r="1198">
          <cell r="D1198" t="str">
            <v xml:space="preserve"> </v>
          </cell>
        </row>
        <row r="1199">
          <cell r="D1199" t="str">
            <v xml:space="preserve"> </v>
          </cell>
        </row>
        <row r="1200">
          <cell r="D1200" t="str">
            <v xml:space="preserve"> </v>
          </cell>
        </row>
        <row r="1201">
          <cell r="D1201" t="str">
            <v xml:space="preserve"> </v>
          </cell>
        </row>
        <row r="1202">
          <cell r="D1202" t="str">
            <v xml:space="preserve"> </v>
          </cell>
        </row>
        <row r="1203">
          <cell r="D1203" t="str">
            <v xml:space="preserve"> </v>
          </cell>
        </row>
        <row r="1204">
          <cell r="D1204" t="str">
            <v xml:space="preserve"> </v>
          </cell>
        </row>
        <row r="1205">
          <cell r="D1205" t="str">
            <v xml:space="preserve"> </v>
          </cell>
        </row>
        <row r="1206">
          <cell r="D1206" t="str">
            <v xml:space="preserve"> </v>
          </cell>
        </row>
        <row r="1207">
          <cell r="D1207" t="str">
            <v xml:space="preserve"> </v>
          </cell>
        </row>
        <row r="1208">
          <cell r="D1208" t="str">
            <v xml:space="preserve"> </v>
          </cell>
        </row>
        <row r="1209">
          <cell r="D1209" t="str">
            <v xml:space="preserve"> </v>
          </cell>
        </row>
        <row r="1210">
          <cell r="D1210" t="str">
            <v xml:space="preserve"> </v>
          </cell>
        </row>
        <row r="1211">
          <cell r="D1211" t="str">
            <v xml:space="preserve"> </v>
          </cell>
        </row>
        <row r="1212">
          <cell r="D1212" t="str">
            <v xml:space="preserve"> </v>
          </cell>
        </row>
        <row r="1213">
          <cell r="D1213" t="str">
            <v xml:space="preserve"> </v>
          </cell>
        </row>
        <row r="1214">
          <cell r="D1214" t="str">
            <v xml:space="preserve"> </v>
          </cell>
        </row>
        <row r="1215">
          <cell r="D1215" t="str">
            <v xml:space="preserve"> </v>
          </cell>
        </row>
        <row r="1216">
          <cell r="D1216" t="str">
            <v xml:space="preserve"> </v>
          </cell>
        </row>
        <row r="1217">
          <cell r="D1217" t="str">
            <v xml:space="preserve"> </v>
          </cell>
        </row>
        <row r="1218">
          <cell r="D1218" t="str">
            <v xml:space="preserve"> </v>
          </cell>
        </row>
        <row r="1219">
          <cell r="D1219" t="str">
            <v xml:space="preserve"> </v>
          </cell>
        </row>
        <row r="1220">
          <cell r="D1220" t="str">
            <v xml:space="preserve"> </v>
          </cell>
        </row>
        <row r="1221">
          <cell r="D1221" t="str">
            <v xml:space="preserve"> </v>
          </cell>
        </row>
        <row r="1222">
          <cell r="D1222" t="str">
            <v xml:space="preserve"> </v>
          </cell>
        </row>
        <row r="1223">
          <cell r="D1223" t="str">
            <v xml:space="preserve"> </v>
          </cell>
        </row>
        <row r="1224">
          <cell r="D1224" t="str">
            <v xml:space="preserve"> </v>
          </cell>
        </row>
        <row r="1225">
          <cell r="D1225" t="str">
            <v xml:space="preserve"> </v>
          </cell>
        </row>
        <row r="1226">
          <cell r="D1226" t="str">
            <v xml:space="preserve"> </v>
          </cell>
        </row>
        <row r="1227">
          <cell r="D1227" t="str">
            <v xml:space="preserve"> </v>
          </cell>
        </row>
        <row r="1228">
          <cell r="D1228" t="str">
            <v xml:space="preserve"> </v>
          </cell>
        </row>
        <row r="1229">
          <cell r="D1229" t="str">
            <v xml:space="preserve"> </v>
          </cell>
        </row>
        <row r="1230">
          <cell r="D1230" t="str">
            <v xml:space="preserve"> </v>
          </cell>
        </row>
        <row r="1231">
          <cell r="D1231" t="str">
            <v xml:space="preserve"> </v>
          </cell>
        </row>
        <row r="1232">
          <cell r="D1232" t="str">
            <v xml:space="preserve"> </v>
          </cell>
        </row>
        <row r="1233">
          <cell r="D1233" t="str">
            <v xml:space="preserve"> </v>
          </cell>
        </row>
        <row r="1234">
          <cell r="D1234" t="str">
            <v xml:space="preserve"> </v>
          </cell>
        </row>
        <row r="1235">
          <cell r="D1235" t="str">
            <v xml:space="preserve"> </v>
          </cell>
        </row>
        <row r="1236">
          <cell r="D1236" t="str">
            <v xml:space="preserve"> </v>
          </cell>
        </row>
        <row r="1237">
          <cell r="D1237" t="str">
            <v xml:space="preserve"> </v>
          </cell>
        </row>
        <row r="1238">
          <cell r="D1238" t="str">
            <v xml:space="preserve"> </v>
          </cell>
        </row>
        <row r="1239">
          <cell r="D1239" t="str">
            <v xml:space="preserve"> </v>
          </cell>
        </row>
        <row r="1240">
          <cell r="D1240" t="str">
            <v xml:space="preserve"> </v>
          </cell>
        </row>
        <row r="1241">
          <cell r="D1241" t="str">
            <v xml:space="preserve"> </v>
          </cell>
        </row>
        <row r="1242">
          <cell r="D1242" t="str">
            <v xml:space="preserve"> </v>
          </cell>
        </row>
        <row r="1243">
          <cell r="D1243" t="str">
            <v xml:space="preserve"> </v>
          </cell>
        </row>
        <row r="1244">
          <cell r="D1244" t="str">
            <v xml:space="preserve"> </v>
          </cell>
        </row>
        <row r="1245">
          <cell r="D1245" t="str">
            <v xml:space="preserve"> </v>
          </cell>
        </row>
        <row r="1246">
          <cell r="D1246" t="str">
            <v xml:space="preserve"> </v>
          </cell>
        </row>
        <row r="1247">
          <cell r="D1247" t="str">
            <v xml:space="preserve"> </v>
          </cell>
        </row>
        <row r="1248">
          <cell r="D1248" t="str">
            <v xml:space="preserve"> </v>
          </cell>
        </row>
        <row r="1249">
          <cell r="D1249" t="str">
            <v xml:space="preserve"> </v>
          </cell>
        </row>
        <row r="1250">
          <cell r="D1250" t="str">
            <v xml:space="preserve"> </v>
          </cell>
        </row>
        <row r="1251">
          <cell r="D1251" t="str">
            <v xml:space="preserve"> </v>
          </cell>
        </row>
        <row r="1252">
          <cell r="D1252" t="str">
            <v xml:space="preserve"> </v>
          </cell>
        </row>
        <row r="1253">
          <cell r="D1253" t="str">
            <v xml:space="preserve"> </v>
          </cell>
        </row>
        <row r="1254">
          <cell r="D1254" t="str">
            <v xml:space="preserve"> </v>
          </cell>
        </row>
        <row r="1255">
          <cell r="D1255" t="str">
            <v xml:space="preserve"> </v>
          </cell>
        </row>
        <row r="1256">
          <cell r="D1256" t="str">
            <v xml:space="preserve"> </v>
          </cell>
        </row>
        <row r="1257">
          <cell r="D1257" t="str">
            <v xml:space="preserve"> </v>
          </cell>
        </row>
        <row r="1258">
          <cell r="D1258" t="str">
            <v xml:space="preserve"> </v>
          </cell>
        </row>
        <row r="1259">
          <cell r="D1259" t="str">
            <v xml:space="preserve"> </v>
          </cell>
        </row>
        <row r="1260">
          <cell r="D1260" t="str">
            <v xml:space="preserve"> </v>
          </cell>
        </row>
        <row r="1261">
          <cell r="D1261" t="str">
            <v xml:space="preserve"> </v>
          </cell>
        </row>
        <row r="1262">
          <cell r="D1262" t="str">
            <v xml:space="preserve"> </v>
          </cell>
        </row>
        <row r="1263">
          <cell r="D1263" t="str">
            <v xml:space="preserve"> </v>
          </cell>
        </row>
        <row r="1264">
          <cell r="D1264" t="str">
            <v xml:space="preserve"> </v>
          </cell>
        </row>
        <row r="1265">
          <cell r="D1265" t="str">
            <v xml:space="preserve"> </v>
          </cell>
        </row>
        <row r="1266">
          <cell r="D1266" t="str">
            <v xml:space="preserve"> </v>
          </cell>
        </row>
        <row r="1267">
          <cell r="D1267" t="str">
            <v xml:space="preserve"> </v>
          </cell>
        </row>
        <row r="1268">
          <cell r="D1268" t="str">
            <v xml:space="preserve"> </v>
          </cell>
        </row>
        <row r="1269">
          <cell r="D1269" t="str">
            <v xml:space="preserve"> </v>
          </cell>
        </row>
        <row r="1270">
          <cell r="D1270" t="str">
            <v xml:space="preserve"> </v>
          </cell>
        </row>
        <row r="1271">
          <cell r="D1271" t="str">
            <v xml:space="preserve"> </v>
          </cell>
        </row>
        <row r="1272">
          <cell r="D1272" t="str">
            <v xml:space="preserve"> </v>
          </cell>
        </row>
        <row r="1273">
          <cell r="D1273" t="str">
            <v xml:space="preserve"> </v>
          </cell>
        </row>
        <row r="1274">
          <cell r="D1274" t="str">
            <v xml:space="preserve"> </v>
          </cell>
        </row>
        <row r="1275">
          <cell r="D1275" t="str">
            <v xml:space="preserve"> </v>
          </cell>
        </row>
        <row r="1276">
          <cell r="D1276" t="str">
            <v xml:space="preserve"> </v>
          </cell>
        </row>
        <row r="1277">
          <cell r="D1277" t="str">
            <v xml:space="preserve"> </v>
          </cell>
        </row>
        <row r="1278">
          <cell r="D1278" t="str">
            <v xml:space="preserve"> </v>
          </cell>
        </row>
        <row r="1279">
          <cell r="D1279" t="str">
            <v xml:space="preserve"> </v>
          </cell>
        </row>
        <row r="1280">
          <cell r="D1280" t="str">
            <v xml:space="preserve"> </v>
          </cell>
        </row>
        <row r="1281">
          <cell r="D1281" t="str">
            <v xml:space="preserve"> </v>
          </cell>
        </row>
        <row r="1282">
          <cell r="D1282" t="str">
            <v xml:space="preserve"> </v>
          </cell>
        </row>
        <row r="1283">
          <cell r="D1283" t="str">
            <v xml:space="preserve"> </v>
          </cell>
        </row>
        <row r="1284">
          <cell r="D1284" t="str">
            <v xml:space="preserve"> </v>
          </cell>
        </row>
        <row r="1285">
          <cell r="D1285" t="str">
            <v xml:space="preserve"> </v>
          </cell>
        </row>
        <row r="1286">
          <cell r="D1286" t="str">
            <v xml:space="preserve"> </v>
          </cell>
        </row>
        <row r="1287">
          <cell r="D1287" t="str">
            <v xml:space="preserve"> </v>
          </cell>
        </row>
        <row r="1288">
          <cell r="D1288" t="str">
            <v xml:space="preserve"> </v>
          </cell>
        </row>
        <row r="1289">
          <cell r="D1289" t="str">
            <v xml:space="preserve"> </v>
          </cell>
        </row>
        <row r="1290">
          <cell r="D1290" t="str">
            <v xml:space="preserve"> </v>
          </cell>
        </row>
        <row r="1291">
          <cell r="D1291" t="str">
            <v xml:space="preserve"> </v>
          </cell>
        </row>
        <row r="1292">
          <cell r="D1292" t="str">
            <v xml:space="preserve"> </v>
          </cell>
        </row>
        <row r="1293">
          <cell r="D1293" t="str">
            <v xml:space="preserve"> </v>
          </cell>
        </row>
        <row r="1294">
          <cell r="D1294" t="str">
            <v xml:space="preserve"> </v>
          </cell>
        </row>
        <row r="1295">
          <cell r="D1295" t="str">
            <v xml:space="preserve"> </v>
          </cell>
        </row>
        <row r="1296">
          <cell r="D1296" t="str">
            <v xml:space="preserve"> </v>
          </cell>
        </row>
        <row r="1297">
          <cell r="D1297" t="str">
            <v xml:space="preserve"> </v>
          </cell>
        </row>
        <row r="1298">
          <cell r="D1298" t="str">
            <v xml:space="preserve"> </v>
          </cell>
        </row>
        <row r="1299">
          <cell r="D1299" t="str">
            <v xml:space="preserve"> </v>
          </cell>
        </row>
        <row r="1300">
          <cell r="D1300" t="str">
            <v xml:space="preserve"> </v>
          </cell>
        </row>
        <row r="1301">
          <cell r="D1301" t="str">
            <v xml:space="preserve"> </v>
          </cell>
        </row>
        <row r="1302">
          <cell r="D1302" t="str">
            <v xml:space="preserve"> </v>
          </cell>
        </row>
        <row r="1303">
          <cell r="D1303" t="str">
            <v xml:space="preserve"> </v>
          </cell>
        </row>
        <row r="1304">
          <cell r="D1304" t="str">
            <v xml:space="preserve"> </v>
          </cell>
        </row>
        <row r="1305">
          <cell r="D1305" t="str">
            <v xml:space="preserve"> </v>
          </cell>
        </row>
        <row r="1306">
          <cell r="D1306" t="str">
            <v xml:space="preserve"> </v>
          </cell>
        </row>
        <row r="1307">
          <cell r="D1307" t="str">
            <v xml:space="preserve"> </v>
          </cell>
        </row>
        <row r="1308">
          <cell r="D1308" t="str">
            <v xml:space="preserve"> </v>
          </cell>
        </row>
        <row r="1309">
          <cell r="D1309" t="str">
            <v xml:space="preserve"> </v>
          </cell>
        </row>
        <row r="1310">
          <cell r="D1310" t="str">
            <v xml:space="preserve"> </v>
          </cell>
        </row>
        <row r="1311">
          <cell r="D1311" t="str">
            <v xml:space="preserve"> </v>
          </cell>
        </row>
        <row r="1312">
          <cell r="D1312" t="str">
            <v xml:space="preserve"> </v>
          </cell>
        </row>
        <row r="1313">
          <cell r="D1313" t="str">
            <v xml:space="preserve"> </v>
          </cell>
        </row>
        <row r="1314">
          <cell r="D1314" t="str">
            <v xml:space="preserve"> </v>
          </cell>
        </row>
        <row r="1315">
          <cell r="D1315" t="str">
            <v xml:space="preserve"> </v>
          </cell>
        </row>
        <row r="1316">
          <cell r="D1316" t="str">
            <v xml:space="preserve"> </v>
          </cell>
        </row>
        <row r="1317">
          <cell r="D1317" t="str">
            <v xml:space="preserve"> </v>
          </cell>
        </row>
        <row r="1318">
          <cell r="D1318" t="str">
            <v xml:space="preserve"> </v>
          </cell>
        </row>
        <row r="1319">
          <cell r="D1319" t="str">
            <v xml:space="preserve"> </v>
          </cell>
        </row>
        <row r="1320">
          <cell r="D1320" t="str">
            <v xml:space="preserve"> </v>
          </cell>
        </row>
        <row r="1321">
          <cell r="D1321" t="str">
            <v xml:space="preserve"> </v>
          </cell>
        </row>
        <row r="1322">
          <cell r="D1322" t="str">
            <v xml:space="preserve"> </v>
          </cell>
        </row>
        <row r="1323">
          <cell r="D1323" t="str">
            <v xml:space="preserve"> </v>
          </cell>
        </row>
        <row r="1324">
          <cell r="D1324" t="str">
            <v xml:space="preserve"> </v>
          </cell>
        </row>
        <row r="1325">
          <cell r="D1325" t="str">
            <v xml:space="preserve"> </v>
          </cell>
        </row>
        <row r="1326">
          <cell r="D1326" t="str">
            <v xml:space="preserve"> </v>
          </cell>
        </row>
        <row r="1327">
          <cell r="D1327" t="str">
            <v xml:space="preserve"> </v>
          </cell>
        </row>
        <row r="1328">
          <cell r="D1328" t="str">
            <v xml:space="preserve"> </v>
          </cell>
        </row>
        <row r="1329">
          <cell r="D1329" t="str">
            <v xml:space="preserve"> </v>
          </cell>
        </row>
        <row r="1330">
          <cell r="D1330" t="str">
            <v xml:space="preserve"> </v>
          </cell>
        </row>
        <row r="1331">
          <cell r="D1331" t="str">
            <v xml:space="preserve"> </v>
          </cell>
        </row>
        <row r="1332">
          <cell r="D1332" t="str">
            <v xml:space="preserve"> </v>
          </cell>
        </row>
        <row r="1333">
          <cell r="D1333" t="str">
            <v xml:space="preserve"> </v>
          </cell>
        </row>
        <row r="1334">
          <cell r="D1334" t="str">
            <v xml:space="preserve"> </v>
          </cell>
        </row>
        <row r="1335">
          <cell r="D1335" t="str">
            <v xml:space="preserve"> </v>
          </cell>
        </row>
        <row r="1336">
          <cell r="D1336" t="str">
            <v xml:space="preserve"> </v>
          </cell>
        </row>
        <row r="1337">
          <cell r="D1337" t="str">
            <v xml:space="preserve"> </v>
          </cell>
        </row>
        <row r="1338">
          <cell r="D1338" t="str">
            <v xml:space="preserve"> </v>
          </cell>
        </row>
        <row r="1339">
          <cell r="D1339" t="str">
            <v xml:space="preserve"> </v>
          </cell>
        </row>
        <row r="1340">
          <cell r="D1340" t="str">
            <v xml:space="preserve"> </v>
          </cell>
        </row>
        <row r="1341">
          <cell r="D1341" t="str">
            <v xml:space="preserve"> </v>
          </cell>
        </row>
        <row r="1342">
          <cell r="D1342" t="str">
            <v xml:space="preserve"> </v>
          </cell>
        </row>
        <row r="1343">
          <cell r="D1343" t="str">
            <v xml:space="preserve"> </v>
          </cell>
        </row>
        <row r="1344">
          <cell r="D1344" t="str">
            <v xml:space="preserve"> </v>
          </cell>
        </row>
        <row r="1345">
          <cell r="D1345" t="str">
            <v xml:space="preserve"> </v>
          </cell>
        </row>
        <row r="1346">
          <cell r="D1346" t="str">
            <v xml:space="preserve"> </v>
          </cell>
        </row>
        <row r="1347">
          <cell r="D1347" t="str">
            <v xml:space="preserve"> </v>
          </cell>
        </row>
        <row r="1348">
          <cell r="D1348" t="str">
            <v xml:space="preserve"> </v>
          </cell>
        </row>
        <row r="1349">
          <cell r="D1349" t="str">
            <v xml:space="preserve"> </v>
          </cell>
        </row>
        <row r="1350">
          <cell r="D1350" t="str">
            <v xml:space="preserve"> </v>
          </cell>
        </row>
        <row r="1351">
          <cell r="D1351" t="str">
            <v xml:space="preserve"> </v>
          </cell>
        </row>
        <row r="1352">
          <cell r="D1352" t="str">
            <v xml:space="preserve"> </v>
          </cell>
        </row>
        <row r="1353">
          <cell r="D1353" t="str">
            <v xml:space="preserve"> </v>
          </cell>
        </row>
        <row r="1354">
          <cell r="D1354" t="str">
            <v xml:space="preserve"> </v>
          </cell>
        </row>
        <row r="1355">
          <cell r="D1355" t="str">
            <v xml:space="preserve"> </v>
          </cell>
        </row>
        <row r="1356">
          <cell r="D1356" t="str">
            <v xml:space="preserve"> </v>
          </cell>
        </row>
        <row r="1357">
          <cell r="D1357" t="str">
            <v xml:space="preserve"> </v>
          </cell>
        </row>
        <row r="1358">
          <cell r="D1358" t="str">
            <v xml:space="preserve"> </v>
          </cell>
        </row>
        <row r="1359">
          <cell r="D1359" t="str">
            <v xml:space="preserve"> </v>
          </cell>
        </row>
        <row r="1360">
          <cell r="D1360" t="str">
            <v xml:space="preserve"> </v>
          </cell>
        </row>
        <row r="1361">
          <cell r="D1361" t="str">
            <v xml:space="preserve"> </v>
          </cell>
        </row>
        <row r="1362">
          <cell r="D1362" t="str">
            <v xml:space="preserve"> </v>
          </cell>
        </row>
        <row r="1363">
          <cell r="D1363" t="str">
            <v xml:space="preserve"> </v>
          </cell>
        </row>
        <row r="1364">
          <cell r="D1364" t="str">
            <v xml:space="preserve"> </v>
          </cell>
        </row>
        <row r="1365">
          <cell r="D1365" t="str">
            <v xml:space="preserve"> </v>
          </cell>
        </row>
        <row r="1366">
          <cell r="D1366" t="str">
            <v xml:space="preserve"> </v>
          </cell>
        </row>
        <row r="1367">
          <cell r="D1367" t="str">
            <v xml:space="preserve"> </v>
          </cell>
        </row>
        <row r="1368">
          <cell r="D1368" t="str">
            <v xml:space="preserve"> </v>
          </cell>
        </row>
        <row r="1369">
          <cell r="D1369" t="str">
            <v xml:space="preserve"> </v>
          </cell>
        </row>
        <row r="1370">
          <cell r="D1370" t="str">
            <v xml:space="preserve"> </v>
          </cell>
        </row>
        <row r="1371">
          <cell r="D1371" t="str">
            <v xml:space="preserve"> </v>
          </cell>
        </row>
        <row r="1372">
          <cell r="D1372" t="str">
            <v xml:space="preserve"> </v>
          </cell>
        </row>
        <row r="1373">
          <cell r="D1373" t="str">
            <v xml:space="preserve"> </v>
          </cell>
        </row>
        <row r="1374">
          <cell r="D1374" t="str">
            <v xml:space="preserve"> </v>
          </cell>
        </row>
        <row r="1375">
          <cell r="D1375" t="str">
            <v xml:space="preserve"> </v>
          </cell>
        </row>
        <row r="1376">
          <cell r="D1376" t="str">
            <v xml:space="preserve"> </v>
          </cell>
        </row>
        <row r="1377">
          <cell r="D1377" t="str">
            <v xml:space="preserve"> </v>
          </cell>
        </row>
        <row r="1378">
          <cell r="D1378" t="str">
            <v xml:space="preserve"> </v>
          </cell>
        </row>
        <row r="1379">
          <cell r="D1379" t="str">
            <v xml:space="preserve"> </v>
          </cell>
        </row>
        <row r="1380">
          <cell r="D1380" t="str">
            <v xml:space="preserve"> </v>
          </cell>
        </row>
        <row r="1381">
          <cell r="D1381" t="str">
            <v xml:space="preserve"> </v>
          </cell>
        </row>
        <row r="1382">
          <cell r="D1382" t="str">
            <v xml:space="preserve"> </v>
          </cell>
        </row>
        <row r="1383">
          <cell r="D1383" t="str">
            <v xml:space="preserve"> </v>
          </cell>
        </row>
        <row r="1384">
          <cell r="D1384" t="str">
            <v xml:space="preserve"> </v>
          </cell>
        </row>
        <row r="1385">
          <cell r="D1385" t="str">
            <v xml:space="preserve"> </v>
          </cell>
        </row>
        <row r="1386">
          <cell r="D1386" t="str">
            <v xml:space="preserve"> </v>
          </cell>
        </row>
        <row r="1387">
          <cell r="D1387" t="str">
            <v xml:space="preserve"> </v>
          </cell>
        </row>
        <row r="1388">
          <cell r="D1388" t="str">
            <v xml:space="preserve"> </v>
          </cell>
        </row>
        <row r="1389">
          <cell r="D1389" t="str">
            <v xml:space="preserve"> </v>
          </cell>
        </row>
        <row r="1390">
          <cell r="D1390" t="str">
            <v xml:space="preserve"> </v>
          </cell>
        </row>
        <row r="1391">
          <cell r="D1391" t="str">
            <v xml:space="preserve"> </v>
          </cell>
        </row>
        <row r="1392">
          <cell r="D1392" t="str">
            <v xml:space="preserve"> </v>
          </cell>
        </row>
        <row r="1393">
          <cell r="D1393" t="str">
            <v xml:space="preserve"> </v>
          </cell>
        </row>
        <row r="1394">
          <cell r="D1394" t="str">
            <v xml:space="preserve"> </v>
          </cell>
        </row>
        <row r="1395">
          <cell r="D1395" t="str">
            <v xml:space="preserve"> </v>
          </cell>
        </row>
        <row r="1396">
          <cell r="D1396" t="str">
            <v xml:space="preserve"> </v>
          </cell>
        </row>
        <row r="1397">
          <cell r="D1397" t="str">
            <v xml:space="preserve"> </v>
          </cell>
        </row>
        <row r="1398">
          <cell r="D1398" t="str">
            <v xml:space="preserve"> </v>
          </cell>
        </row>
        <row r="1399">
          <cell r="D1399" t="str">
            <v xml:space="preserve"> </v>
          </cell>
        </row>
        <row r="1400">
          <cell r="D1400" t="str">
            <v xml:space="preserve"> </v>
          </cell>
        </row>
        <row r="1401">
          <cell r="D1401" t="str">
            <v xml:space="preserve"> </v>
          </cell>
        </row>
        <row r="1402">
          <cell r="D1402" t="str">
            <v xml:space="preserve"> </v>
          </cell>
        </row>
        <row r="1403">
          <cell r="D1403" t="str">
            <v xml:space="preserve"> </v>
          </cell>
        </row>
        <row r="1404">
          <cell r="D1404" t="str">
            <v xml:space="preserve"> </v>
          </cell>
        </row>
        <row r="1405">
          <cell r="D1405" t="str">
            <v xml:space="preserve"> </v>
          </cell>
        </row>
        <row r="1406">
          <cell r="D1406" t="str">
            <v xml:space="preserve"> </v>
          </cell>
        </row>
        <row r="1407">
          <cell r="D1407" t="str">
            <v xml:space="preserve"> </v>
          </cell>
        </row>
        <row r="1408">
          <cell r="D1408" t="str">
            <v xml:space="preserve"> </v>
          </cell>
        </row>
        <row r="1409">
          <cell r="D1409" t="str">
            <v xml:space="preserve"> </v>
          </cell>
        </row>
        <row r="1410">
          <cell r="D1410" t="str">
            <v xml:space="preserve"> </v>
          </cell>
        </row>
        <row r="1411">
          <cell r="D1411" t="str">
            <v xml:space="preserve"> </v>
          </cell>
        </row>
        <row r="1412">
          <cell r="D1412" t="str">
            <v xml:space="preserve"> </v>
          </cell>
        </row>
        <row r="1413">
          <cell r="D1413" t="str">
            <v xml:space="preserve"> </v>
          </cell>
        </row>
        <row r="1414">
          <cell r="D1414" t="str">
            <v xml:space="preserve"> </v>
          </cell>
        </row>
        <row r="1415">
          <cell r="D1415" t="str">
            <v xml:space="preserve"> </v>
          </cell>
        </row>
        <row r="1416">
          <cell r="D1416" t="str">
            <v xml:space="preserve"> </v>
          </cell>
        </row>
        <row r="1417">
          <cell r="D1417" t="str">
            <v xml:space="preserve"> </v>
          </cell>
        </row>
        <row r="1418">
          <cell r="D1418" t="str">
            <v xml:space="preserve"> </v>
          </cell>
        </row>
        <row r="1419">
          <cell r="D1419" t="str">
            <v xml:space="preserve"> </v>
          </cell>
        </row>
        <row r="1420">
          <cell r="D1420" t="str">
            <v xml:space="preserve"> </v>
          </cell>
        </row>
        <row r="1421">
          <cell r="D1421" t="str">
            <v xml:space="preserve"> </v>
          </cell>
        </row>
        <row r="1422">
          <cell r="D1422" t="str">
            <v xml:space="preserve"> </v>
          </cell>
        </row>
        <row r="1423">
          <cell r="D1423" t="str">
            <v xml:space="preserve"> </v>
          </cell>
        </row>
        <row r="1424">
          <cell r="D1424" t="str">
            <v xml:space="preserve"> </v>
          </cell>
        </row>
        <row r="1425">
          <cell r="D1425" t="str">
            <v xml:space="preserve"> </v>
          </cell>
        </row>
        <row r="1426">
          <cell r="D1426" t="str">
            <v xml:space="preserve"> </v>
          </cell>
        </row>
        <row r="1427">
          <cell r="D1427" t="str">
            <v xml:space="preserve"> </v>
          </cell>
        </row>
        <row r="1428">
          <cell r="D1428" t="str">
            <v xml:space="preserve"> </v>
          </cell>
        </row>
        <row r="1429">
          <cell r="D1429" t="str">
            <v xml:space="preserve"> </v>
          </cell>
        </row>
        <row r="1430">
          <cell r="D1430" t="str">
            <v xml:space="preserve"> </v>
          </cell>
        </row>
        <row r="1431">
          <cell r="D1431" t="str">
            <v xml:space="preserve"> </v>
          </cell>
        </row>
        <row r="1432">
          <cell r="D1432" t="str">
            <v xml:space="preserve"> </v>
          </cell>
        </row>
        <row r="1433">
          <cell r="D1433" t="str">
            <v xml:space="preserve"> </v>
          </cell>
        </row>
        <row r="1434">
          <cell r="D1434" t="str">
            <v xml:space="preserve"> </v>
          </cell>
        </row>
        <row r="1435">
          <cell r="D1435" t="str">
            <v xml:space="preserve"> </v>
          </cell>
        </row>
        <row r="1436">
          <cell r="D1436" t="str">
            <v xml:space="preserve"> </v>
          </cell>
        </row>
        <row r="1437">
          <cell r="D1437" t="str">
            <v xml:space="preserve"> </v>
          </cell>
        </row>
        <row r="1438">
          <cell r="D1438" t="str">
            <v xml:space="preserve"> </v>
          </cell>
        </row>
        <row r="1439">
          <cell r="D1439" t="str">
            <v xml:space="preserve"> </v>
          </cell>
        </row>
        <row r="1440">
          <cell r="D1440" t="str">
            <v xml:space="preserve"> </v>
          </cell>
        </row>
        <row r="1441">
          <cell r="D1441" t="str">
            <v xml:space="preserve"> </v>
          </cell>
        </row>
        <row r="1442">
          <cell r="D1442" t="str">
            <v xml:space="preserve"> </v>
          </cell>
        </row>
        <row r="1443">
          <cell r="D1443" t="str">
            <v xml:space="preserve"> </v>
          </cell>
        </row>
        <row r="1444">
          <cell r="D1444" t="str">
            <v xml:space="preserve"> </v>
          </cell>
        </row>
        <row r="1445">
          <cell r="D1445" t="str">
            <v xml:space="preserve"> </v>
          </cell>
        </row>
        <row r="1446">
          <cell r="D1446" t="str">
            <v xml:space="preserve"> </v>
          </cell>
        </row>
        <row r="1447">
          <cell r="D1447" t="str">
            <v xml:space="preserve"> </v>
          </cell>
        </row>
        <row r="1448">
          <cell r="D1448" t="str">
            <v xml:space="preserve"> </v>
          </cell>
        </row>
        <row r="1449">
          <cell r="D1449" t="str">
            <v xml:space="preserve"> </v>
          </cell>
        </row>
        <row r="1450">
          <cell r="D1450" t="str">
            <v xml:space="preserve"> </v>
          </cell>
        </row>
        <row r="1451">
          <cell r="D1451" t="str">
            <v xml:space="preserve"> </v>
          </cell>
        </row>
        <row r="1452">
          <cell r="D1452" t="str">
            <v xml:space="preserve"> </v>
          </cell>
        </row>
        <row r="1453">
          <cell r="D1453" t="str">
            <v xml:space="preserve"> </v>
          </cell>
        </row>
        <row r="1454">
          <cell r="D1454" t="str">
            <v xml:space="preserve"> </v>
          </cell>
        </row>
        <row r="1455">
          <cell r="D1455" t="str">
            <v xml:space="preserve"> </v>
          </cell>
        </row>
        <row r="1456">
          <cell r="D1456" t="str">
            <v xml:space="preserve"> </v>
          </cell>
        </row>
        <row r="1457">
          <cell r="D1457" t="str">
            <v xml:space="preserve"> </v>
          </cell>
        </row>
        <row r="1458">
          <cell r="D1458" t="str">
            <v xml:space="preserve"> </v>
          </cell>
        </row>
        <row r="1459">
          <cell r="D1459" t="str">
            <v xml:space="preserve"> </v>
          </cell>
        </row>
        <row r="1460">
          <cell r="D1460" t="str">
            <v xml:space="preserve"> </v>
          </cell>
        </row>
        <row r="1461">
          <cell r="D1461" t="str">
            <v xml:space="preserve"> </v>
          </cell>
        </row>
        <row r="1462">
          <cell r="D1462" t="str">
            <v xml:space="preserve"> </v>
          </cell>
        </row>
        <row r="1463">
          <cell r="D1463" t="str">
            <v xml:space="preserve"> </v>
          </cell>
        </row>
        <row r="1464">
          <cell r="D1464" t="str">
            <v xml:space="preserve"> </v>
          </cell>
        </row>
        <row r="1465">
          <cell r="D1465" t="str">
            <v xml:space="preserve"> </v>
          </cell>
        </row>
        <row r="1466">
          <cell r="D1466" t="str">
            <v xml:space="preserve"> </v>
          </cell>
        </row>
        <row r="1467">
          <cell r="D1467" t="str">
            <v xml:space="preserve"> </v>
          </cell>
        </row>
        <row r="1468">
          <cell r="D1468" t="str">
            <v xml:space="preserve"> </v>
          </cell>
        </row>
        <row r="1469">
          <cell r="D1469" t="str">
            <v xml:space="preserve"> </v>
          </cell>
        </row>
        <row r="1470">
          <cell r="D1470" t="str">
            <v xml:space="preserve"> </v>
          </cell>
        </row>
        <row r="1471">
          <cell r="D1471" t="str">
            <v xml:space="preserve"> </v>
          </cell>
        </row>
        <row r="1472">
          <cell r="D1472" t="str">
            <v xml:space="preserve"> </v>
          </cell>
        </row>
        <row r="1473">
          <cell r="D1473" t="str">
            <v xml:space="preserve"> </v>
          </cell>
        </row>
        <row r="1474">
          <cell r="D1474" t="str">
            <v xml:space="preserve"> </v>
          </cell>
        </row>
        <row r="1475">
          <cell r="D1475" t="str">
            <v xml:space="preserve"> </v>
          </cell>
        </row>
        <row r="1476">
          <cell r="D1476" t="str">
            <v xml:space="preserve"> </v>
          </cell>
        </row>
        <row r="1477">
          <cell r="D1477" t="str">
            <v xml:space="preserve"> </v>
          </cell>
        </row>
        <row r="1478">
          <cell r="D1478" t="str">
            <v xml:space="preserve"> </v>
          </cell>
        </row>
        <row r="1479">
          <cell r="D1479" t="str">
            <v xml:space="preserve"> </v>
          </cell>
        </row>
        <row r="1480">
          <cell r="D1480" t="str">
            <v xml:space="preserve"> </v>
          </cell>
        </row>
        <row r="1481">
          <cell r="D1481" t="str">
            <v xml:space="preserve"> </v>
          </cell>
        </row>
        <row r="1482">
          <cell r="D1482" t="str">
            <v xml:space="preserve"> </v>
          </cell>
        </row>
        <row r="1483">
          <cell r="D1483" t="str">
            <v xml:space="preserve"> </v>
          </cell>
        </row>
        <row r="1484">
          <cell r="D1484" t="str">
            <v xml:space="preserve"> </v>
          </cell>
        </row>
        <row r="1485">
          <cell r="D1485" t="str">
            <v xml:space="preserve"> </v>
          </cell>
        </row>
        <row r="1486">
          <cell r="D1486" t="str">
            <v xml:space="preserve"> </v>
          </cell>
        </row>
        <row r="1487">
          <cell r="D1487" t="str">
            <v xml:space="preserve"> </v>
          </cell>
        </row>
        <row r="1488">
          <cell r="D1488" t="str">
            <v xml:space="preserve"> </v>
          </cell>
        </row>
        <row r="1489">
          <cell r="D1489" t="str">
            <v xml:space="preserve"> </v>
          </cell>
        </row>
        <row r="1490">
          <cell r="D1490" t="str">
            <v xml:space="preserve"> </v>
          </cell>
        </row>
        <row r="1491">
          <cell r="D1491" t="str">
            <v xml:space="preserve"> </v>
          </cell>
        </row>
        <row r="1492">
          <cell r="D1492" t="str">
            <v xml:space="preserve"> </v>
          </cell>
        </row>
        <row r="1493">
          <cell r="D1493" t="str">
            <v xml:space="preserve"> </v>
          </cell>
        </row>
        <row r="1494">
          <cell r="D1494" t="str">
            <v xml:space="preserve"> </v>
          </cell>
        </row>
        <row r="1495">
          <cell r="D1495" t="str">
            <v xml:space="preserve"> </v>
          </cell>
        </row>
        <row r="1496">
          <cell r="D1496" t="str">
            <v xml:space="preserve"> </v>
          </cell>
        </row>
        <row r="1497">
          <cell r="D1497" t="str">
            <v xml:space="preserve"> </v>
          </cell>
        </row>
        <row r="1498">
          <cell r="D1498" t="str">
            <v xml:space="preserve"> </v>
          </cell>
        </row>
        <row r="1499">
          <cell r="D1499" t="str">
            <v xml:space="preserve"> </v>
          </cell>
        </row>
        <row r="1500">
          <cell r="D1500" t="str">
            <v xml:space="preserve"> </v>
          </cell>
        </row>
        <row r="1501">
          <cell r="D1501" t="str">
            <v xml:space="preserve"> </v>
          </cell>
        </row>
        <row r="1502">
          <cell r="D1502" t="str">
            <v xml:space="preserve"> </v>
          </cell>
        </row>
        <row r="1503">
          <cell r="D1503" t="str">
            <v xml:space="preserve"> </v>
          </cell>
        </row>
        <row r="1504">
          <cell r="D1504" t="str">
            <v xml:space="preserve"> </v>
          </cell>
        </row>
        <row r="1505">
          <cell r="D1505" t="str">
            <v xml:space="preserve"> </v>
          </cell>
        </row>
      </sheetData>
      <sheetData sheetId="3">
        <row r="1">
          <cell r="A1" t="str">
            <v>Details for Sum of مدين - التوجيه المحاسبي الاخير: الأصول ثابتة (+)</v>
          </cell>
        </row>
        <row r="3">
          <cell r="A3" t="str">
            <v>رقم القيد</v>
          </cell>
          <cell r="B3" t="str">
            <v>تاريخ</v>
          </cell>
          <cell r="C3" t="str">
            <v>رقم الحساب</v>
          </cell>
          <cell r="D3" t="str">
            <v>اسم الحساب</v>
          </cell>
          <cell r="E3" t="str">
            <v>العملة</v>
          </cell>
        </row>
        <row r="4">
          <cell r="A4">
            <v>96</v>
          </cell>
          <cell r="B4">
            <v>46193</v>
          </cell>
          <cell r="C4" t="str">
            <v>401-20</v>
          </cell>
          <cell r="D4" t="str">
            <v>خامات ومصنعية أعمال العزل</v>
          </cell>
        </row>
        <row r="5">
          <cell r="A5">
            <v>96</v>
          </cell>
          <cell r="B5">
            <v>46190</v>
          </cell>
          <cell r="C5" t="str">
            <v>401-12</v>
          </cell>
          <cell r="D5" t="str">
            <v>خامات ومصنعية بند السباكة والصحي</v>
          </cell>
        </row>
        <row r="6">
          <cell r="A6">
            <v>96</v>
          </cell>
          <cell r="B6">
            <v>46190</v>
          </cell>
          <cell r="C6" t="str">
            <v>401-3</v>
          </cell>
          <cell r="D6" t="str">
            <v>اعمال التكسير والهدم والنظافة</v>
          </cell>
        </row>
        <row r="7">
          <cell r="A7">
            <v>75</v>
          </cell>
          <cell r="B7">
            <v>46184</v>
          </cell>
          <cell r="C7" t="str">
            <v>401-21</v>
          </cell>
          <cell r="D7" t="str">
            <v>خامات ومصنعية أعمال الشفاطات</v>
          </cell>
        </row>
        <row r="8">
          <cell r="A8">
            <v>55</v>
          </cell>
          <cell r="B8">
            <v>46159</v>
          </cell>
          <cell r="C8" t="str">
            <v>401-12</v>
          </cell>
          <cell r="D8" t="str">
            <v>خامات ومصنعية بند السباكة والصحي</v>
          </cell>
        </row>
        <row r="9">
          <cell r="A9">
            <v>57</v>
          </cell>
          <cell r="B9">
            <v>46159</v>
          </cell>
          <cell r="C9" t="str">
            <v>401-6</v>
          </cell>
          <cell r="D9" t="str">
            <v>خامات ومصنعية أعمال المحارة</v>
          </cell>
        </row>
        <row r="10">
          <cell r="A10">
            <v>61</v>
          </cell>
          <cell r="B10">
            <v>46156</v>
          </cell>
          <cell r="C10" t="str">
            <v>401-5</v>
          </cell>
          <cell r="D10" t="str">
            <v>خامات ومصنعية أعمال المباني</v>
          </cell>
        </row>
        <row r="11">
          <cell r="A11">
            <v>67</v>
          </cell>
          <cell r="B11">
            <v>46156</v>
          </cell>
          <cell r="C11" t="str">
            <v>401-3</v>
          </cell>
          <cell r="D11" t="str">
            <v>اعمال التكسير والهدم والنظافة</v>
          </cell>
        </row>
        <row r="12">
          <cell r="A12">
            <v>60</v>
          </cell>
          <cell r="B12">
            <v>46154</v>
          </cell>
          <cell r="C12" t="str">
            <v>401-4</v>
          </cell>
          <cell r="D12" t="str">
            <v xml:space="preserve">اعمال انزال ونقل الراتش ونقل المخلفات </v>
          </cell>
        </row>
        <row r="13">
          <cell r="A13">
            <v>63</v>
          </cell>
          <cell r="B13">
            <v>46154</v>
          </cell>
          <cell r="C13" t="str">
            <v>401-11</v>
          </cell>
          <cell r="D13" t="str">
            <v>خامات ومصنعية بند الكهرباء</v>
          </cell>
        </row>
        <row r="14">
          <cell r="A14">
            <v>67</v>
          </cell>
          <cell r="B14">
            <v>46154</v>
          </cell>
          <cell r="C14" t="str">
            <v>401-3</v>
          </cell>
          <cell r="D14" t="str">
            <v>اعمال التكسير والهدم والنظافة</v>
          </cell>
        </row>
        <row r="15">
          <cell r="A15">
            <v>67</v>
          </cell>
          <cell r="B15">
            <v>46153</v>
          </cell>
          <cell r="C15" t="str">
            <v>401-3</v>
          </cell>
          <cell r="D15" t="str">
            <v>اعمال التكسير والهدم والنظافة</v>
          </cell>
        </row>
        <row r="16">
          <cell r="A16">
            <v>64</v>
          </cell>
          <cell r="B16">
            <v>46152</v>
          </cell>
          <cell r="C16" t="str">
            <v>401-3</v>
          </cell>
          <cell r="D16" t="str">
            <v>اعمال التكسير والهدم والنظافة</v>
          </cell>
        </row>
        <row r="17">
          <cell r="A17">
            <v>67</v>
          </cell>
          <cell r="B17">
            <v>46152</v>
          </cell>
          <cell r="C17" t="str">
            <v>401-3</v>
          </cell>
          <cell r="D17" t="str">
            <v>اعمال التكسير والهدم والنظافة</v>
          </cell>
        </row>
        <row r="18">
          <cell r="A18">
            <v>55</v>
          </cell>
          <cell r="B18">
            <v>46151</v>
          </cell>
          <cell r="C18" t="str">
            <v>401-12</v>
          </cell>
          <cell r="D18" t="str">
            <v>خامات ومصنعية بند السباكة والصحي</v>
          </cell>
        </row>
        <row r="19">
          <cell r="A19">
            <v>75</v>
          </cell>
          <cell r="B19">
            <v>46147</v>
          </cell>
          <cell r="C19" t="str">
            <v>401-21</v>
          </cell>
          <cell r="D19" t="str">
            <v>خامات ومصنعية أعمال الشفاطات</v>
          </cell>
        </row>
        <row r="20">
          <cell r="A20">
            <v>55</v>
          </cell>
          <cell r="B20">
            <v>46133</v>
          </cell>
          <cell r="C20" t="str">
            <v>401-12</v>
          </cell>
          <cell r="D20" t="str">
            <v>خامات ومصنعية بند السباكة والصحي</v>
          </cell>
        </row>
        <row r="21">
          <cell r="A21">
            <v>63</v>
          </cell>
          <cell r="B21">
            <v>46133</v>
          </cell>
          <cell r="C21" t="str">
            <v>401-11</v>
          </cell>
          <cell r="D21" t="str">
            <v>خامات ومصنعية بند الكهرباء</v>
          </cell>
        </row>
      </sheetData>
      <sheetData sheetId="4">
        <row r="1">
          <cell r="D1" t="str">
            <v xml:space="preserve">قسم الحسابات </v>
          </cell>
        </row>
        <row r="2">
          <cell r="A2" t="str">
            <v>التوجيه المحاسبي الاخير</v>
          </cell>
          <cell r="B2" t="str">
            <v>(Multiple Items)</v>
          </cell>
        </row>
        <row r="5">
          <cell r="A5" t="str">
            <v>التوجية المحاسبي الاول</v>
          </cell>
          <cell r="B5" t="str">
            <v>اسم الحساب</v>
          </cell>
          <cell r="C5" t="str">
            <v xml:space="preserve">مشروع </v>
          </cell>
          <cell r="D5" t="str">
            <v>الشرح</v>
          </cell>
          <cell r="E5" t="str">
            <v>تاريخ</v>
          </cell>
        </row>
        <row r="6">
          <cell r="A6" t="str">
            <v>الأصول ثابتة</v>
          </cell>
          <cell r="B6" t="str">
            <v>اثاث مكتبى</v>
          </cell>
          <cell r="C6" t="str">
            <v>رصيد اول مدة 2026</v>
          </cell>
          <cell r="D6" t="str">
            <v>قيد افتتاحي 2026 واقفال 2025</v>
          </cell>
          <cell r="E6">
            <v>46023</v>
          </cell>
        </row>
        <row r="7">
          <cell r="C7" t="str">
            <v>رصيد اول مدة 2026 Total</v>
          </cell>
        </row>
        <row r="8">
          <cell r="B8" t="str">
            <v>اجهزة كمبيوتر واجهزة المقر</v>
          </cell>
          <cell r="C8" t="str">
            <v>رصيد اول مدة 2027</v>
          </cell>
          <cell r="D8" t="str">
            <v>قيد افتتاحي 2026 واقفال 2025</v>
          </cell>
          <cell r="E8">
            <v>46023</v>
          </cell>
        </row>
        <row r="9">
          <cell r="C9" t="str">
            <v>رصيد اول مدة 2027 Total</v>
          </cell>
        </row>
        <row r="10">
          <cell r="C10" t="str">
            <v xml:space="preserve">اصول متداوله </v>
          </cell>
          <cell r="D10" t="str">
            <v xml:space="preserve">قسط الميكرويف الثاني </v>
          </cell>
          <cell r="E10">
            <v>46057</v>
          </cell>
        </row>
        <row r="11">
          <cell r="D11" t="str">
            <v xml:space="preserve">قسط الميكرويف الثالث  ( الاخير ) </v>
          </cell>
          <cell r="E11">
            <v>46090</v>
          </cell>
        </row>
        <row r="12">
          <cell r="D12" t="str">
            <v xml:space="preserve">لاب توب لادارة المتابعه والتنفيذ </v>
          </cell>
          <cell r="E12">
            <v>46118</v>
          </cell>
        </row>
        <row r="13">
          <cell r="D13" t="str">
            <v xml:space="preserve">حساب كراسي قاعه الاجتماعات ( 7* 2500ج) +500 نقل </v>
          </cell>
          <cell r="E13">
            <v>46126</v>
          </cell>
        </row>
        <row r="14">
          <cell r="D14" t="str">
            <v xml:space="preserve">شراء ترابيزة+ كرسي ( ليصبح اجمالي المواقع 5 اطقم بخلاف بوفيه المكتب ) </v>
          </cell>
          <cell r="E14">
            <v>46144</v>
          </cell>
        </row>
        <row r="15">
          <cell r="D15" t="str">
            <v xml:space="preserve">طلبات تركيب التكييف ( مفتاح + خرطوم+عود دكت+ سلك ثرمو </v>
          </cell>
          <cell r="E15">
            <v>46145</v>
          </cell>
        </row>
        <row r="16">
          <cell r="D16" t="str">
            <v xml:space="preserve">دفعه مقدمه من اعمال مكاتب ووحدات للمكتب  ( الاجمالي 6000ج ) </v>
          </cell>
          <cell r="E16">
            <v>46147</v>
          </cell>
        </row>
        <row r="17">
          <cell r="D17" t="str">
            <v xml:space="preserve">باقي من اعمال مكاتب ووحدات للمكتب  ( الاجمالي 6000ج ) </v>
          </cell>
          <cell r="E17">
            <v>46148</v>
          </cell>
        </row>
        <row r="18">
          <cell r="D18" t="str">
            <v xml:space="preserve">القسط الاول لتكيف التسويق </v>
          </cell>
          <cell r="E18">
            <v>46175</v>
          </cell>
        </row>
        <row r="19">
          <cell r="C19" t="str">
            <v>اصول متداوله  Total</v>
          </cell>
        </row>
        <row r="20">
          <cell r="B20" t="str">
            <v>معدات موقع</v>
          </cell>
          <cell r="C20" t="str">
            <v>رصيد اول مدة 2028</v>
          </cell>
          <cell r="D20" t="str">
            <v>قيد افتتاحي 2026 واقفال 2025</v>
          </cell>
          <cell r="E20">
            <v>46023</v>
          </cell>
        </row>
        <row r="21">
          <cell r="C21" t="str">
            <v>رصيد اول مدة 2028 Total</v>
          </cell>
        </row>
        <row r="22">
          <cell r="C22" t="str">
            <v xml:space="preserve">مواقع </v>
          </cell>
          <cell r="D22" t="str">
            <v xml:space="preserve">فاتورة شراء برويطه عموله </v>
          </cell>
          <cell r="E22">
            <v>46144</v>
          </cell>
        </row>
        <row r="23">
          <cell r="C23" t="str">
            <v>مواقع  Total</v>
          </cell>
        </row>
        <row r="24">
          <cell r="C24" t="str">
            <v xml:space="preserve">اصول متداوله </v>
          </cell>
          <cell r="D24" t="str">
            <v xml:space="preserve">ميزان قامه </v>
          </cell>
          <cell r="E24">
            <v>46117</v>
          </cell>
        </row>
        <row r="25">
          <cell r="C25" t="str">
            <v>اصول متداوله  Total</v>
          </cell>
        </row>
        <row r="26">
          <cell r="A26" t="str">
            <v>جاري الشركاء</v>
          </cell>
          <cell r="B26" t="str">
            <v xml:space="preserve">جارى شركاء دكتور احمد </v>
          </cell>
          <cell r="C26" t="str">
            <v>رصيد اول مدة 2060</v>
          </cell>
          <cell r="D26" t="str">
            <v>قيد افتتاحي 2026 واقفال 2025</v>
          </cell>
          <cell r="E26">
            <v>46023</v>
          </cell>
        </row>
        <row r="27">
          <cell r="C27" t="str">
            <v>رصيد اول مدة 2060 Total</v>
          </cell>
        </row>
        <row r="28">
          <cell r="A28" t="str">
            <v>رأس المال</v>
          </cell>
          <cell r="B28" t="str">
            <v xml:space="preserve">رأس المال المستثمر اول المدة </v>
          </cell>
          <cell r="C28" t="str">
            <v>رصيد اول مدة 2061</v>
          </cell>
          <cell r="D28" t="str">
            <v>قيد افتتاحي 2026 واقفال 2025</v>
          </cell>
          <cell r="E28">
            <v>46023</v>
          </cell>
        </row>
        <row r="29">
          <cell r="C29" t="str">
            <v>رصيد اول مدة 2061 Total</v>
          </cell>
        </row>
        <row r="30">
          <cell r="A30" t="str">
            <v>موردين</v>
          </cell>
          <cell r="B30" t="str">
            <v>محمد السيد توريدات كهرباء</v>
          </cell>
          <cell r="C30" t="str">
            <v>الاندلس 364</v>
          </cell>
          <cell r="D30" t="str">
            <v xml:space="preserve">باقي حساب توريدات الكهرباء </v>
          </cell>
          <cell r="E30">
            <v>46044</v>
          </cell>
        </row>
        <row r="31">
          <cell r="C31" t="str">
            <v>الاندلس 364 Total</v>
          </cell>
        </row>
        <row r="32">
          <cell r="C32" t="str">
            <v xml:space="preserve">الباتيو </v>
          </cell>
          <cell r="D32" t="str">
            <v xml:space="preserve">فاتورة توريد كهرباء الباتيو </v>
          </cell>
          <cell r="E32">
            <v>46065</v>
          </cell>
        </row>
        <row r="33">
          <cell r="C33" t="str">
            <v>الباتيو  Total</v>
          </cell>
        </row>
        <row r="34">
          <cell r="C34" t="str">
            <v>رصيد اول مدة 2042</v>
          </cell>
          <cell r="D34" t="str">
            <v>قيد افتتاحي 2026 واقفال 2025</v>
          </cell>
          <cell r="E34">
            <v>46023</v>
          </cell>
        </row>
        <row r="35">
          <cell r="C35" t="str">
            <v>رصيد اول مدة 2042 Total</v>
          </cell>
        </row>
        <row r="36">
          <cell r="C36" t="str">
            <v>طارق الدقي 388</v>
          </cell>
          <cell r="D36" t="str">
            <v xml:space="preserve">فاتورة توريد كهرباء الدقي </v>
          </cell>
          <cell r="E36">
            <v>46065</v>
          </cell>
        </row>
        <row r="37">
          <cell r="C37" t="str">
            <v>طارق الدقي 388 Total</v>
          </cell>
        </row>
        <row r="38">
          <cell r="C38" t="str">
            <v xml:space="preserve">مواقع </v>
          </cell>
          <cell r="D38" t="str">
            <v xml:space="preserve">دفعه من اعمال توريدات الكهرباء </v>
          </cell>
          <cell r="E38">
            <v>46037</v>
          </cell>
        </row>
        <row r="39">
          <cell r="C39" t="str">
            <v>مواقع  Total</v>
          </cell>
        </row>
        <row r="40">
          <cell r="B40" t="str">
            <v>القبيصي</v>
          </cell>
          <cell r="C40" t="str">
            <v>الاندلس 364</v>
          </cell>
          <cell r="D40" t="str">
            <v xml:space="preserve">حساب توريدات الدهانات </v>
          </cell>
          <cell r="E40">
            <v>46051</v>
          </cell>
        </row>
        <row r="41">
          <cell r="C41" t="str">
            <v>الاندلس 364 Total</v>
          </cell>
        </row>
        <row r="42">
          <cell r="C42" t="str">
            <v>رصيد اول مدة 2043</v>
          </cell>
          <cell r="D42" t="str">
            <v>قيد افتتاحي 2026 واقفال 2025</v>
          </cell>
          <cell r="E42">
            <v>46023</v>
          </cell>
        </row>
        <row r="43">
          <cell r="C43" t="str">
            <v>رصيد اول مدة 2043 Total</v>
          </cell>
        </row>
        <row r="44">
          <cell r="C44" t="str">
            <v>طارق الدقي 388</v>
          </cell>
          <cell r="D44" t="str">
            <v xml:space="preserve">دفعه من توريدات الدهانات ( الفاتورتين ب 15882 ج ) </v>
          </cell>
          <cell r="E44">
            <v>46163</v>
          </cell>
        </row>
        <row r="45">
          <cell r="C45" t="str">
            <v>طارق الدقي 388 Total</v>
          </cell>
        </row>
        <row r="46">
          <cell r="C46" t="str">
            <v xml:space="preserve">عمرو العبور </v>
          </cell>
          <cell r="D46" t="str">
            <v xml:space="preserve">حساب توريدات الدهانات </v>
          </cell>
          <cell r="E46">
            <v>46051</v>
          </cell>
        </row>
        <row r="47">
          <cell r="C47" t="str">
            <v>عمرو العبور  Total</v>
          </cell>
        </row>
        <row r="48">
          <cell r="C48" t="str">
            <v xml:space="preserve">مواقع </v>
          </cell>
          <cell r="D48" t="str">
            <v xml:space="preserve">دفعه من توريدات الدهانات القبيصي </v>
          </cell>
          <cell r="E48">
            <v>46135</v>
          </cell>
        </row>
        <row r="49">
          <cell r="E49">
            <v>46124</v>
          </cell>
        </row>
        <row r="50">
          <cell r="D50" t="str">
            <v xml:space="preserve">دفعه من توريدات الدهانات    </v>
          </cell>
          <cell r="E50">
            <v>46190</v>
          </cell>
        </row>
        <row r="51">
          <cell r="C51" t="str">
            <v>مواقع  Total</v>
          </cell>
        </row>
        <row r="52">
          <cell r="B52" t="str">
            <v>كايرو لايت</v>
          </cell>
          <cell r="C52" t="str">
            <v>رصيد اول مدة 2044</v>
          </cell>
          <cell r="D52" t="str">
            <v>قيد افتتاحي 2026 واقفال 2025</v>
          </cell>
          <cell r="E52">
            <v>46023</v>
          </cell>
        </row>
        <row r="53">
          <cell r="C53" t="str">
            <v>رصيد اول مدة 2044 Total</v>
          </cell>
        </row>
        <row r="54">
          <cell r="C54" t="str">
            <v xml:space="preserve">مواقع </v>
          </cell>
          <cell r="D54" t="str">
            <v xml:space="preserve">دفعه من حساب توريدات الكهرباء كايرو لايت </v>
          </cell>
          <cell r="E54">
            <v>46028</v>
          </cell>
        </row>
        <row r="55">
          <cell r="D55" t="str">
            <v xml:space="preserve">دفعه من حساب كايرو لايت </v>
          </cell>
          <cell r="E55">
            <v>46119</v>
          </cell>
        </row>
        <row r="56">
          <cell r="E56">
            <v>46089</v>
          </cell>
        </row>
        <row r="57">
          <cell r="D57" t="str">
            <v xml:space="preserve">دفعه من اعمال توريد الكهرباء </v>
          </cell>
          <cell r="E57">
            <v>46128</v>
          </cell>
        </row>
        <row r="58">
          <cell r="D58" t="str">
            <v xml:space="preserve">دفعه من حساب توريدات الكهرباء </v>
          </cell>
          <cell r="E58">
            <v>46139</v>
          </cell>
        </row>
        <row r="59">
          <cell r="D59" t="str">
            <v xml:space="preserve">دفعه من توريد كهرباء </v>
          </cell>
          <cell r="E59">
            <v>46163</v>
          </cell>
        </row>
        <row r="60">
          <cell r="C60" t="str">
            <v>مواقع  Total</v>
          </cell>
        </row>
        <row r="61">
          <cell r="B61" t="str">
            <v>الامل صحي</v>
          </cell>
          <cell r="C61" t="str">
            <v xml:space="preserve">سوديك </v>
          </cell>
          <cell r="D61" t="str">
            <v xml:space="preserve">فاتورة طلبات سباكه </v>
          </cell>
          <cell r="E61">
            <v>46093</v>
          </cell>
        </row>
        <row r="62">
          <cell r="C62" t="str">
            <v>سوديك  Total</v>
          </cell>
        </row>
        <row r="63">
          <cell r="C63" t="str">
            <v xml:space="preserve">مواقع </v>
          </cell>
          <cell r="D63" t="str">
            <v xml:space="preserve">دفعه من توريدات السباكه   </v>
          </cell>
          <cell r="E63">
            <v>46190</v>
          </cell>
        </row>
        <row r="64">
          <cell r="C64" t="str">
            <v>مواقع  Total</v>
          </cell>
        </row>
        <row r="65">
          <cell r="C65" t="str">
            <v>احمد زايد 401</v>
          </cell>
          <cell r="D65" t="str">
            <v xml:space="preserve">دفعه من توريدات السباكه ( من فاتورة زايد 401 ) </v>
          </cell>
          <cell r="E65">
            <v>46163</v>
          </cell>
        </row>
        <row r="66">
          <cell r="D66" t="str">
            <v xml:space="preserve">باقي فاتورة تاسيس السباكه  ( 16081 جرين 6 + 11379  سوديك ) </v>
          </cell>
          <cell r="E66">
            <v>46182</v>
          </cell>
        </row>
        <row r="67">
          <cell r="C67" t="str">
            <v>احمد زايد 401 Total</v>
          </cell>
        </row>
        <row r="68">
          <cell r="B68" t="str">
            <v>ايجي تند</v>
          </cell>
          <cell r="C68" t="str">
            <v xml:space="preserve">سوديك </v>
          </cell>
          <cell r="D68" t="str">
            <v xml:space="preserve">دفعه مقدمه من اعمال تند خارجي </v>
          </cell>
          <cell r="E68">
            <v>46146</v>
          </cell>
        </row>
        <row r="69">
          <cell r="C69" t="str">
            <v>سوديك  Total</v>
          </cell>
        </row>
        <row r="70">
          <cell r="B70" t="str">
            <v>ايليت للمطابخ ( الميري)</v>
          </cell>
          <cell r="C70" t="str">
            <v>الاندلس 364</v>
          </cell>
          <cell r="D70" t="str">
            <v xml:space="preserve">من حساب تجاليد الاندلس 364 </v>
          </cell>
          <cell r="E70">
            <v>46057</v>
          </cell>
        </row>
        <row r="71">
          <cell r="E71">
            <v>46035</v>
          </cell>
        </row>
        <row r="72">
          <cell r="E72">
            <v>46033</v>
          </cell>
        </row>
        <row r="73">
          <cell r="D73" t="str">
            <v xml:space="preserve">دفعه من اعمال التجاليد </v>
          </cell>
          <cell r="E73">
            <v>46040</v>
          </cell>
        </row>
        <row r="74">
          <cell r="D74" t="str">
            <v xml:space="preserve">من تجاليد الاندلس 364  ( نقدي ) </v>
          </cell>
          <cell r="E74">
            <v>46048</v>
          </cell>
        </row>
        <row r="75">
          <cell r="D75" t="str">
            <v>دفعه من حساب مرايات الاندلس 364</v>
          </cell>
          <cell r="E75">
            <v>46054</v>
          </cell>
        </row>
        <row r="76">
          <cell r="D76" t="str">
            <v xml:space="preserve">باقي حساب الوحدات في الاندلس </v>
          </cell>
          <cell r="E76">
            <v>46058</v>
          </cell>
        </row>
        <row r="77">
          <cell r="D77" t="str">
            <v xml:space="preserve">دفعه من حساب تجاليد  الاندلس 364  ( هاشم ) </v>
          </cell>
          <cell r="E77">
            <v>46065</v>
          </cell>
        </row>
        <row r="78">
          <cell r="D78" t="str">
            <v xml:space="preserve">دفعه من تجاليد الاندلس 364 </v>
          </cell>
          <cell r="E78">
            <v>46076</v>
          </cell>
        </row>
        <row r="79">
          <cell r="C79" t="str">
            <v>الاندلس 364 Total</v>
          </cell>
        </row>
        <row r="80">
          <cell r="C80" t="str">
            <v>اللوتس 361</v>
          </cell>
          <cell r="D80" t="str">
            <v xml:space="preserve">من حساب تجاليد اللوتس 361 </v>
          </cell>
          <cell r="E80">
            <v>46029</v>
          </cell>
        </row>
        <row r="81">
          <cell r="D81" t="str">
            <v xml:space="preserve">دفعه من اعمال التجاليد </v>
          </cell>
          <cell r="E81">
            <v>46040</v>
          </cell>
        </row>
        <row r="82">
          <cell r="D82" t="str">
            <v>دفعه من تجاليد اللوتس 361</v>
          </cell>
          <cell r="E82">
            <v>46062</v>
          </cell>
        </row>
        <row r="83">
          <cell r="E83">
            <v>46061</v>
          </cell>
        </row>
        <row r="84">
          <cell r="E84">
            <v>46050</v>
          </cell>
        </row>
        <row r="85">
          <cell r="D85" t="str">
            <v xml:space="preserve">شاسيه حديد التجاليد </v>
          </cell>
          <cell r="E85">
            <v>46056</v>
          </cell>
        </row>
        <row r="86">
          <cell r="D86" t="str">
            <v xml:space="preserve">خشب وحدات الحمام </v>
          </cell>
          <cell r="E86">
            <v>46056</v>
          </cell>
        </row>
        <row r="87">
          <cell r="D87" t="str">
            <v xml:space="preserve">عهده تحت حساب الابواب في اللوتس 361 </v>
          </cell>
          <cell r="E87">
            <v>46057</v>
          </cell>
        </row>
        <row r="88">
          <cell r="D88" t="str">
            <v xml:space="preserve">فاتورة اكر وكوالين وصدادات ابواب </v>
          </cell>
          <cell r="E88">
            <v>46063</v>
          </cell>
        </row>
        <row r="89">
          <cell r="D89" t="str">
            <v xml:space="preserve">24 عود تجاليد </v>
          </cell>
          <cell r="E89">
            <v>46064</v>
          </cell>
        </row>
        <row r="90">
          <cell r="D90" t="str">
            <v>نقل ابواب اللوتس المرفوضه الي المخزن + عامل ترتيب المخزن 300ج</v>
          </cell>
          <cell r="E90">
            <v>46097</v>
          </cell>
        </row>
        <row r="91">
          <cell r="C91" t="str">
            <v>اللوتس 361 Total</v>
          </cell>
        </row>
        <row r="92">
          <cell r="C92" t="str">
            <v xml:space="preserve">مواقع </v>
          </cell>
          <cell r="D92" t="str">
            <v xml:space="preserve">انتقالات أ/ احمد الميري </v>
          </cell>
          <cell r="E92">
            <v>46120</v>
          </cell>
        </row>
        <row r="93">
          <cell r="C93" t="str">
            <v>مواقع  Total</v>
          </cell>
        </row>
        <row r="94">
          <cell r="B94" t="str">
            <v>عرباوي الشروق</v>
          </cell>
          <cell r="C94" t="str">
            <v xml:space="preserve">سوديك </v>
          </cell>
          <cell r="D94" t="str">
            <v xml:space="preserve">فاتورة خامات سيراميك سوديك </v>
          </cell>
          <cell r="E94">
            <v>46032</v>
          </cell>
        </row>
        <row r="95">
          <cell r="D95" t="str">
            <v>فاتورة ( 18500 رخام + 3390ج سيراميك ) سوديك بعد مرتجع400ج</v>
          </cell>
          <cell r="E95">
            <v>46032</v>
          </cell>
        </row>
        <row r="96">
          <cell r="C96" t="str">
            <v>سوديك  Total</v>
          </cell>
        </row>
        <row r="97">
          <cell r="C97" t="str">
            <v>طارق الدقي 388</v>
          </cell>
          <cell r="D97" t="str">
            <v xml:space="preserve">دفعه من فاتورة ماده لاصق سيراميك ( باقي 4200ج ) عرباوي الشروق </v>
          </cell>
          <cell r="E97">
            <v>46093</v>
          </cell>
        </row>
        <row r="98">
          <cell r="C98" t="str">
            <v>طارق الدقي 388 Total</v>
          </cell>
        </row>
        <row r="99">
          <cell r="C99" t="str">
            <v xml:space="preserve">مواقع </v>
          </cell>
          <cell r="D99" t="str">
            <v xml:space="preserve">من حساب بر الوالدين عرباوي الشروق توريدات متنوعه </v>
          </cell>
          <cell r="E99">
            <v>46099</v>
          </cell>
        </row>
        <row r="100">
          <cell r="D100" t="str">
            <v xml:space="preserve">دفعه من توريدات عرباوي الشروق </v>
          </cell>
          <cell r="E100">
            <v>46123</v>
          </cell>
        </row>
        <row r="101">
          <cell r="D101" t="str">
            <v xml:space="preserve">فواتير تشوينات عرباوي الشروق </v>
          </cell>
          <cell r="E101">
            <v>46135</v>
          </cell>
        </row>
        <row r="102">
          <cell r="C102" t="str">
            <v>مواقع  Total</v>
          </cell>
        </row>
        <row r="103">
          <cell r="C103" t="str">
            <v>الباتيو</v>
          </cell>
          <cell r="D103" t="str">
            <v xml:space="preserve">فاتورة خامات رخام الباتيو </v>
          </cell>
          <cell r="E103">
            <v>46032</v>
          </cell>
        </row>
        <row r="104">
          <cell r="D104" t="str">
            <v xml:space="preserve">فاتورة كهرباء الباتيو </v>
          </cell>
          <cell r="E104">
            <v>46032</v>
          </cell>
        </row>
        <row r="105">
          <cell r="C105" t="str">
            <v>الباتيو Total</v>
          </cell>
        </row>
        <row r="106">
          <cell r="B106" t="str">
            <v>بن للاحواض</v>
          </cell>
          <cell r="C106" t="str">
            <v>العبور 306</v>
          </cell>
          <cell r="D106" t="str">
            <v xml:space="preserve">دفعه مقدمه من حساب احواض بورسلين  ( الباقي 15000ج ) </v>
          </cell>
          <cell r="E106">
            <v>46077</v>
          </cell>
        </row>
        <row r="107">
          <cell r="D107" t="str">
            <v xml:space="preserve">باقي حساب احواض  بورسلين </v>
          </cell>
          <cell r="E107">
            <v>46086</v>
          </cell>
        </row>
        <row r="108">
          <cell r="C108" t="str">
            <v>العبور 306 Total</v>
          </cell>
        </row>
        <row r="109">
          <cell r="C109" t="str">
            <v>طارق الدقي 388</v>
          </cell>
          <cell r="D109" t="str">
            <v xml:space="preserve">50% من حوض بورسلين حمام الضيوف </v>
          </cell>
          <cell r="E109">
            <v>46135</v>
          </cell>
        </row>
        <row r="110">
          <cell r="D110" t="str">
            <v xml:space="preserve">باقي حساب احواض البورسلين في الدقي </v>
          </cell>
          <cell r="E110">
            <v>46163</v>
          </cell>
        </row>
        <row r="111">
          <cell r="C111" t="str">
            <v>طارق الدقي 388 Total</v>
          </cell>
        </row>
        <row r="112">
          <cell r="C112" t="str">
            <v xml:space="preserve">مدينتي 350 </v>
          </cell>
          <cell r="D112" t="str">
            <v xml:space="preserve">باقي حساب الاحواض البورسلين القديم والجديد ( </v>
          </cell>
          <cell r="E112">
            <v>46043</v>
          </cell>
        </row>
        <row r="113">
          <cell r="C113" t="str">
            <v>مدينتي 350  Total</v>
          </cell>
        </row>
        <row r="114">
          <cell r="B114" t="str">
            <v>بيت الخامة</v>
          </cell>
          <cell r="C114" t="str">
            <v xml:space="preserve">سوديك </v>
          </cell>
          <cell r="D114" t="str">
            <v xml:space="preserve">فاتورة  سباكه سوديك </v>
          </cell>
          <cell r="E114">
            <v>46051</v>
          </cell>
        </row>
        <row r="115">
          <cell r="C115" t="str">
            <v>سوديك  Total</v>
          </cell>
        </row>
        <row r="116">
          <cell r="C116" t="str">
            <v>معادي ديونز 318</v>
          </cell>
          <cell r="D116" t="str">
            <v xml:space="preserve">فاتورة سباكه تأسيس </v>
          </cell>
          <cell r="E116">
            <v>46093</v>
          </cell>
        </row>
        <row r="117">
          <cell r="D117" t="str">
            <v xml:space="preserve">باقي حساب فواتير السباكه </v>
          </cell>
          <cell r="E117">
            <v>46188</v>
          </cell>
        </row>
        <row r="118">
          <cell r="C118" t="str">
            <v>معادي ديونز 318 Total</v>
          </cell>
        </row>
        <row r="119">
          <cell r="B119" t="str">
            <v>جنرال للتكيفيات جيسيك</v>
          </cell>
          <cell r="C119" t="str">
            <v>العبور 306</v>
          </cell>
          <cell r="D119" t="str">
            <v>دفعه مقدمه من اعمال زجاج العبور 306</v>
          </cell>
          <cell r="E119">
            <v>46147</v>
          </cell>
        </row>
        <row r="120">
          <cell r="C120" t="str">
            <v>العبور 306 Total</v>
          </cell>
        </row>
        <row r="121">
          <cell r="C121" t="str">
            <v xml:space="preserve">سوديك </v>
          </cell>
          <cell r="D121" t="str">
            <v xml:space="preserve">دفعه من حساب تكييفات سوديك  ( 212000ج ) الباقي 12000ج ) </v>
          </cell>
          <cell r="E121">
            <v>46033</v>
          </cell>
        </row>
        <row r="122">
          <cell r="D122" t="str">
            <v>من حساب جريلات سوديك ( اجمالي 33300ج - 3025) الباقي 30275 ج</v>
          </cell>
          <cell r="E122">
            <v>46053</v>
          </cell>
        </row>
        <row r="123">
          <cell r="D123" t="str">
            <v xml:space="preserve">باقي حساب تكييفات سوديك  ( 212000) </v>
          </cell>
          <cell r="E123">
            <v>46064</v>
          </cell>
        </row>
        <row r="124">
          <cell r="D124" t="str">
            <v>من حساب جريلات سوديك ( اجمالي 33300ج - 64045 ) الباقي 7255  ج</v>
          </cell>
          <cell r="E124">
            <v>46064</v>
          </cell>
        </row>
        <row r="125">
          <cell r="D125" t="str">
            <v xml:space="preserve">دفعه من اعمال تكييف سوديك </v>
          </cell>
          <cell r="E125">
            <v>46135</v>
          </cell>
        </row>
        <row r="126">
          <cell r="C126" t="str">
            <v>سوديك  Total</v>
          </cell>
        </row>
        <row r="127">
          <cell r="C127" t="str">
            <v>طارق الدقي 388</v>
          </cell>
          <cell r="D127" t="str">
            <v xml:space="preserve">اجمالي حساب تاسيس تكيفات الدقي </v>
          </cell>
          <cell r="E127">
            <v>46053</v>
          </cell>
        </row>
        <row r="128">
          <cell r="D128" t="str">
            <v xml:space="preserve">حساب حوامل تكييف الدقي ( 6300ج ) </v>
          </cell>
          <cell r="E128">
            <v>46147</v>
          </cell>
        </row>
        <row r="129">
          <cell r="D129" t="str">
            <v xml:space="preserve">يوميه سباكه في الدقي بالخصم علي جيسك </v>
          </cell>
          <cell r="E129">
            <v>46151</v>
          </cell>
        </row>
        <row r="130">
          <cell r="C130" t="str">
            <v>طارق الدقي 388 Total</v>
          </cell>
        </row>
        <row r="131">
          <cell r="C131" t="str">
            <v>احمد زايد 401</v>
          </cell>
          <cell r="D131" t="str">
            <v>دفعه مقدمه من اعمال تكييف جرين 6</v>
          </cell>
          <cell r="E131">
            <v>46160</v>
          </cell>
        </row>
        <row r="132">
          <cell r="C132" t="str">
            <v>احمد زايد 401 Total</v>
          </cell>
        </row>
        <row r="133">
          <cell r="C133" t="str">
            <v>معادي ديونز 318</v>
          </cell>
          <cell r="D133" t="str">
            <v xml:space="preserve">دفعه مقدمه من اعمال تكييف معادي ديونز ( اجمالي المقاوله 44795ج ) </v>
          </cell>
          <cell r="E133">
            <v>46135</v>
          </cell>
        </row>
        <row r="134">
          <cell r="D134" t="str">
            <v xml:space="preserve">استكمال 75 % من دفعه مقدمه من تكيفات معادي ديونز </v>
          </cell>
          <cell r="E134">
            <v>46135</v>
          </cell>
        </row>
        <row r="135">
          <cell r="D135" t="str">
            <v xml:space="preserve">باقي حساب معادي ديونز ( 5600ج ) </v>
          </cell>
          <cell r="E135">
            <v>46147</v>
          </cell>
        </row>
        <row r="136">
          <cell r="C136" t="str">
            <v>معادي ديونز 318 Total</v>
          </cell>
        </row>
        <row r="137">
          <cell r="C137" t="str">
            <v>ياسر القرنفل 354</v>
          </cell>
          <cell r="D137" t="str">
            <v xml:space="preserve">دفعه مقدمه من اعمال تكييفات ياسر القرنفل </v>
          </cell>
          <cell r="E137">
            <v>46147</v>
          </cell>
        </row>
        <row r="138">
          <cell r="D138" t="str">
            <v>دفعه من اعمال التكيفات في القرنفل 354</v>
          </cell>
          <cell r="E138">
            <v>46159</v>
          </cell>
        </row>
        <row r="139">
          <cell r="D139" t="str">
            <v>دفعه من حساب تجهيز تكييفات القرنفل ( 78723 100% نحاس+75% صاج )</v>
          </cell>
          <cell r="E139">
            <v>46160</v>
          </cell>
        </row>
        <row r="140">
          <cell r="C140" t="str">
            <v>ياسر القرنفل 354 Total</v>
          </cell>
        </row>
        <row r="141">
          <cell r="C141" t="str">
            <v>هاني القرنفل 355</v>
          </cell>
          <cell r="D141" t="str">
            <v>دفعه مقدمه من اعمال تكييفات هاني القرنفل</v>
          </cell>
          <cell r="E141">
            <v>46147</v>
          </cell>
        </row>
        <row r="142">
          <cell r="D142" t="str">
            <v xml:space="preserve">دفعه من حساب تجهيز تكييفات القرنفل  تقفيل حساب النحاس 59160ج </v>
          </cell>
          <cell r="E142">
            <v>46160</v>
          </cell>
        </row>
        <row r="143">
          <cell r="C143" t="str">
            <v>هاني القرنفل 355 Total</v>
          </cell>
        </row>
        <row r="144">
          <cell r="C144" t="str">
            <v>القصر 380</v>
          </cell>
          <cell r="D144" t="str">
            <v>دفعه مقدمه من حساب مواسير فريون القصر 380</v>
          </cell>
          <cell r="E144">
            <v>46188</v>
          </cell>
        </row>
        <row r="145">
          <cell r="C145" t="str">
            <v>القصر 380 Total</v>
          </cell>
        </row>
        <row r="146">
          <cell r="B146" t="str">
            <v>شريف تنجيد</v>
          </cell>
          <cell r="C146" t="str">
            <v xml:space="preserve">سوديك </v>
          </cell>
          <cell r="D146" t="str">
            <v xml:space="preserve">دفعه من اعمال تنجيد سوديك </v>
          </cell>
          <cell r="E146">
            <v>46117</v>
          </cell>
        </row>
        <row r="147">
          <cell r="D147" t="str">
            <v xml:space="preserve">دفعه من اعمال التنجيد في سوديك </v>
          </cell>
          <cell r="E147">
            <v>46193</v>
          </cell>
        </row>
        <row r="148">
          <cell r="E148">
            <v>46163</v>
          </cell>
        </row>
        <row r="149">
          <cell r="E149">
            <v>46144</v>
          </cell>
        </row>
        <row r="150">
          <cell r="C150" t="str">
            <v>سوديك  Total</v>
          </cell>
        </row>
        <row r="151">
          <cell r="C151" t="str">
            <v>طارق الدقي 388</v>
          </cell>
          <cell r="D151" t="str">
            <v xml:space="preserve">دفعه من تنجيد الدقي </v>
          </cell>
          <cell r="E151">
            <v>46151</v>
          </cell>
        </row>
        <row r="152">
          <cell r="D152" t="str">
            <v xml:space="preserve">دفعه من اعمال التنجيد في الدقي </v>
          </cell>
          <cell r="E152">
            <v>46193</v>
          </cell>
        </row>
        <row r="153">
          <cell r="C153" t="str">
            <v>طارق الدقي 388 Total</v>
          </cell>
        </row>
        <row r="154">
          <cell r="B154" t="str">
            <v>لمباية للادوات الكهربائية</v>
          </cell>
          <cell r="C154" t="str">
            <v>اللوتس 361</v>
          </cell>
          <cell r="D154" t="str">
            <v xml:space="preserve">فاتورة كهرباء اللوتس </v>
          </cell>
          <cell r="E154">
            <v>46093</v>
          </cell>
        </row>
        <row r="155">
          <cell r="C155" t="str">
            <v>اللوتس 361 Total</v>
          </cell>
        </row>
        <row r="156">
          <cell r="C156" t="str">
            <v xml:space="preserve">مدينتي 350 </v>
          </cell>
          <cell r="D156" t="str">
            <v xml:space="preserve">فاتورة كهرباء مدينتي </v>
          </cell>
          <cell r="E156">
            <v>46093</v>
          </cell>
        </row>
        <row r="157">
          <cell r="C157" t="str">
            <v>مدينتي 350  Total</v>
          </cell>
        </row>
        <row r="158">
          <cell r="C158" t="str">
            <v xml:space="preserve">مواقع </v>
          </cell>
          <cell r="D158" t="str">
            <v xml:space="preserve">من حساب لمبايه ياسر السيد توريدات كهرباء </v>
          </cell>
          <cell r="E158">
            <v>46099</v>
          </cell>
        </row>
        <row r="159">
          <cell r="C159" t="str">
            <v>مواقع  Total</v>
          </cell>
        </row>
        <row r="160">
          <cell r="B160" t="str">
            <v>م / نسرين</v>
          </cell>
          <cell r="C160" t="str">
            <v>العبور 306</v>
          </cell>
          <cell r="D160" t="str">
            <v>دفعه 75% من اعمال تجاليد وابواب العبور 306</v>
          </cell>
          <cell r="E160">
            <v>46160</v>
          </cell>
        </row>
        <row r="161">
          <cell r="C161" t="str">
            <v>العبور 306 Total</v>
          </cell>
        </row>
        <row r="162">
          <cell r="B162" t="str">
            <v>نجيب سليم</v>
          </cell>
          <cell r="C162" t="str">
            <v xml:space="preserve">سوديك </v>
          </cell>
          <cell r="D162" t="str">
            <v xml:space="preserve">حساب قماش تنجيد سوديك  ( 34592+26565 ) + 40 انستا </v>
          </cell>
          <cell r="E162">
            <v>46118</v>
          </cell>
        </row>
        <row r="163">
          <cell r="D163" t="str">
            <v xml:space="preserve">دفعه من حساب قماش ستائر سوديك </v>
          </cell>
          <cell r="E163">
            <v>46119</v>
          </cell>
        </row>
        <row r="164">
          <cell r="D164" t="str">
            <v xml:space="preserve">باقي  حساب قماش ستائر سوديك </v>
          </cell>
          <cell r="E164">
            <v>46126</v>
          </cell>
        </row>
        <row r="165">
          <cell r="D165" t="str">
            <v xml:space="preserve">قماش سوديك </v>
          </cell>
          <cell r="E165">
            <v>46174</v>
          </cell>
        </row>
        <row r="166">
          <cell r="C166" t="str">
            <v>سوديك  Total</v>
          </cell>
        </row>
        <row r="167">
          <cell r="C167" t="str">
            <v>طارق الدقي 388</v>
          </cell>
          <cell r="D167" t="str">
            <v xml:space="preserve">قماش الدقي </v>
          </cell>
          <cell r="E167">
            <v>46186</v>
          </cell>
        </row>
        <row r="168">
          <cell r="E168">
            <v>46174</v>
          </cell>
        </row>
        <row r="169">
          <cell r="C169" t="str">
            <v>طارق الدقي 388 Total</v>
          </cell>
        </row>
        <row r="170">
          <cell r="B170" t="str">
            <v xml:space="preserve">الامل احمد سعيد </v>
          </cell>
          <cell r="C170" t="str">
            <v>احمد زايد 401</v>
          </cell>
          <cell r="D170" t="str">
            <v xml:space="preserve">دفعه من توريدات السباكه   </v>
          </cell>
          <cell r="E170">
            <v>46190</v>
          </cell>
        </row>
        <row r="171">
          <cell r="C171" t="str">
            <v>احمد زايد 401 Total</v>
          </cell>
        </row>
        <row r="172">
          <cell r="A172" t="str">
            <v xml:space="preserve">أصول متداوله -النقدية ومافي حكمها </v>
          </cell>
          <cell r="B172" t="str">
            <v xml:space="preserve">الخزينة </v>
          </cell>
          <cell r="C172" t="str">
            <v>الاندلس 280</v>
          </cell>
          <cell r="D172" t="str">
            <v>دفعه مقدمه من اعمال كيريتال الاندلس 280</v>
          </cell>
          <cell r="E172">
            <v>46064</v>
          </cell>
        </row>
        <row r="173">
          <cell r="D173" t="str">
            <v xml:space="preserve">رد قيمه باقي اعمال الحداد في الاندلس 280 لعدم استكمال المشروع ( </v>
          </cell>
          <cell r="E173">
            <v>46083</v>
          </cell>
        </row>
        <row r="174">
          <cell r="D174" t="str">
            <v>عمال تكسير و هدد</v>
          </cell>
          <cell r="E174">
            <v>46071</v>
          </cell>
        </row>
        <row r="175">
          <cell r="D175" t="str">
            <v>تنظيف الغرفة و صب خرسانة الارضية</v>
          </cell>
          <cell r="E175">
            <v>46077</v>
          </cell>
        </row>
        <row r="176">
          <cell r="D176" t="str">
            <v xml:space="preserve">نسخ مفاتيح   م/ اسلام </v>
          </cell>
          <cell r="E176">
            <v>46046</v>
          </cell>
        </row>
        <row r="177">
          <cell r="D177" t="str">
            <v xml:space="preserve">دفعه من ايرادات الاندلس 280 </v>
          </cell>
          <cell r="E177">
            <v>46046</v>
          </cell>
        </row>
        <row r="178">
          <cell r="D178" t="str">
            <v xml:space="preserve">رد  باقي ايراد الاندلس 280 </v>
          </cell>
          <cell r="E178">
            <v>46089</v>
          </cell>
        </row>
        <row r="179">
          <cell r="C179" t="str">
            <v>الاندلس 280 Total</v>
          </cell>
        </row>
        <row r="180">
          <cell r="C180" t="str">
            <v>الاندلس 364</v>
          </cell>
          <cell r="D180" t="str">
            <v xml:space="preserve">دفعه من حساب سامي الرخام  ( باقي 1000ج ) </v>
          </cell>
          <cell r="E180">
            <v>46061</v>
          </cell>
        </row>
        <row r="181">
          <cell r="D181" t="str">
            <v>دفعه مقدمه من اعمال كباين وباتشين الاندلس  ( المقاوله 30540 ج ) - 15015 واصل</v>
          </cell>
          <cell r="E181">
            <v>46037</v>
          </cell>
        </row>
        <row r="182">
          <cell r="D182" t="str">
            <v xml:space="preserve">باقي حساب توريد وتركيب السيكوريت والمرايات </v>
          </cell>
          <cell r="E182">
            <v>46070</v>
          </cell>
        </row>
        <row r="183">
          <cell r="D183" t="str">
            <v xml:space="preserve">حساب توريدات الدهانات </v>
          </cell>
          <cell r="E183">
            <v>46051</v>
          </cell>
        </row>
        <row r="184">
          <cell r="D184" t="str">
            <v xml:space="preserve">من حساب تجاليد الاندلس 364 </v>
          </cell>
          <cell r="E184">
            <v>46057</v>
          </cell>
        </row>
        <row r="185">
          <cell r="E185">
            <v>46035</v>
          </cell>
        </row>
        <row r="186">
          <cell r="E186">
            <v>46033</v>
          </cell>
        </row>
        <row r="187">
          <cell r="D187" t="str">
            <v xml:space="preserve">دفعه من اعمال التجاليد </v>
          </cell>
          <cell r="E187">
            <v>46040</v>
          </cell>
        </row>
        <row r="188">
          <cell r="D188" t="str">
            <v xml:space="preserve">من تجاليد الاندلس 364  ( نقدي ) </v>
          </cell>
          <cell r="E188">
            <v>46048</v>
          </cell>
        </row>
        <row r="189">
          <cell r="D189" t="str">
            <v>دفعه من حساب مرايات الاندلس 364</v>
          </cell>
          <cell r="E189">
            <v>46054</v>
          </cell>
        </row>
        <row r="190">
          <cell r="D190" t="str">
            <v xml:space="preserve">باقي حساب الوحدات في الاندلس </v>
          </cell>
          <cell r="E190">
            <v>46058</v>
          </cell>
        </row>
        <row r="191">
          <cell r="D191" t="str">
            <v xml:space="preserve">دفعه من حساب تجاليد  الاندلس 364  ( هاشم ) </v>
          </cell>
          <cell r="E191">
            <v>46065</v>
          </cell>
        </row>
        <row r="192">
          <cell r="D192" t="str">
            <v xml:space="preserve">دفعه من تجاليد الاندلس 364 </v>
          </cell>
          <cell r="E192">
            <v>46076</v>
          </cell>
        </row>
        <row r="193">
          <cell r="D193" t="str">
            <v xml:space="preserve">دفعه من اعمال الدهانات في الاندلس </v>
          </cell>
          <cell r="E193">
            <v>46054</v>
          </cell>
        </row>
        <row r="194">
          <cell r="D194" t="str">
            <v xml:space="preserve">دفعه من حساب حامد النقاش في الاندلس </v>
          </cell>
          <cell r="E194">
            <v>46058</v>
          </cell>
        </row>
        <row r="195">
          <cell r="D195" t="str">
            <v xml:space="preserve">باقي حساب اعمال الدهانات </v>
          </cell>
          <cell r="E195">
            <v>46065</v>
          </cell>
        </row>
        <row r="196">
          <cell r="D196" t="str">
            <v>باقي حساب شاهين المبلط في الاندلس 364</v>
          </cell>
          <cell r="E196">
            <v>46058</v>
          </cell>
        </row>
        <row r="197">
          <cell r="D197" t="str">
            <v xml:space="preserve">دفعه من تشطيب سباكه الاندلس  ( اجمالي المقاوله 8500ج ) </v>
          </cell>
          <cell r="E197">
            <v>46050</v>
          </cell>
        </row>
        <row r="198">
          <cell r="D198" t="str">
            <v xml:space="preserve">باقي حساب  عمرو السباك في الاندلس </v>
          </cell>
          <cell r="E198">
            <v>46086</v>
          </cell>
        </row>
        <row r="199">
          <cell r="D199" t="str">
            <v xml:space="preserve">دفعه كريم النجار </v>
          </cell>
          <cell r="E199">
            <v>46069</v>
          </cell>
        </row>
        <row r="200">
          <cell r="D200" t="str">
            <v>دفعه من حساب تشطيب كهرباء الاندلس ( اجمالي مقاوله التشطيب 20000ج)</v>
          </cell>
          <cell r="E200">
            <v>46044</v>
          </cell>
        </row>
        <row r="201">
          <cell r="D201" t="str">
            <v xml:space="preserve">دفعه من حساب اعمال الكهرباء محمد السيد في مدينتي </v>
          </cell>
          <cell r="E201">
            <v>46050</v>
          </cell>
        </row>
        <row r="202">
          <cell r="D202" t="str">
            <v xml:space="preserve">باقي حساب اعمال تشطيب الكهرباء </v>
          </cell>
          <cell r="E202">
            <v>46065</v>
          </cell>
        </row>
        <row r="203">
          <cell r="D203" t="str">
            <v xml:space="preserve">حساب توريد وتركيب الالومونيوم </v>
          </cell>
          <cell r="E203">
            <v>46036</v>
          </cell>
        </row>
        <row r="204">
          <cell r="D204" t="str">
            <v xml:space="preserve">باقي حساب توريدات الكهرباء </v>
          </cell>
          <cell r="E204">
            <v>46044</v>
          </cell>
        </row>
        <row r="205">
          <cell r="D205" t="str">
            <v xml:space="preserve">يوميه ملاحظات في الاندلس من العميل </v>
          </cell>
          <cell r="E205">
            <v>46086</v>
          </cell>
        </row>
        <row r="206">
          <cell r="D206" t="str">
            <v xml:space="preserve">فاتورة سباكه تشطيب بالتنكيل </v>
          </cell>
          <cell r="E206">
            <v>46037</v>
          </cell>
        </row>
        <row r="207">
          <cell r="D207" t="str">
            <v xml:space="preserve">يوميه سباكه تركيب خلاط الحوض+ بيبه </v>
          </cell>
          <cell r="E207">
            <v>46063</v>
          </cell>
        </row>
        <row r="208">
          <cell r="D208" t="str">
            <v xml:space="preserve">فاتورة سباكه  + انستا </v>
          </cell>
          <cell r="E208">
            <v>46063</v>
          </cell>
        </row>
        <row r="209">
          <cell r="D209" t="str">
            <v xml:space="preserve">يوميه سباكه + انبوبه سليكون </v>
          </cell>
          <cell r="E209">
            <v>46077</v>
          </cell>
        </row>
        <row r="210">
          <cell r="D210" t="str">
            <v xml:space="preserve">سخان فوري الاندلس </v>
          </cell>
          <cell r="E210">
            <v>46041</v>
          </cell>
        </row>
        <row r="211">
          <cell r="D211" t="str">
            <v xml:space="preserve">2 فاتورة صحي الاندلس ( وش نيكل+وصله+نبل نيكل ) </v>
          </cell>
          <cell r="E211">
            <v>46051</v>
          </cell>
        </row>
        <row r="212">
          <cell r="D212" t="str">
            <v>فاتورة تنكيل + توصيل 2 خلاط \</v>
          </cell>
          <cell r="E212">
            <v>46051</v>
          </cell>
        </row>
        <row r="213">
          <cell r="D213" t="str">
            <v xml:space="preserve">تركيب السخان الفوري </v>
          </cell>
          <cell r="E213">
            <v>46058</v>
          </cell>
        </row>
        <row r="214">
          <cell r="D214" t="str">
            <v xml:space="preserve">مصنعيه تركيب حوض بورسلين </v>
          </cell>
          <cell r="E214">
            <v>46058</v>
          </cell>
        </row>
        <row r="215">
          <cell r="D215" t="str">
            <v>تركيب السخان الفوري  2</v>
          </cell>
          <cell r="E215">
            <v>46063</v>
          </cell>
        </row>
        <row r="216">
          <cell r="D216" t="str">
            <v>فاتورة بانوهات ( 43 عود+2جالون ماده+التركيب )</v>
          </cell>
          <cell r="E216">
            <v>46037</v>
          </cell>
        </row>
        <row r="217">
          <cell r="D217" t="str">
            <v xml:space="preserve">فاتورة الطوب الزجاجي بالتركيب </v>
          </cell>
          <cell r="E217">
            <v>46037</v>
          </cell>
        </row>
        <row r="218">
          <cell r="D218" t="str">
            <v xml:space="preserve">فاتورة دهانات الاندلس بالنقل </v>
          </cell>
          <cell r="E218">
            <v>46049</v>
          </cell>
        </row>
        <row r="219">
          <cell r="D219" t="str">
            <v xml:space="preserve">فاتورة معجون شروخ </v>
          </cell>
          <cell r="E219">
            <v>46050</v>
          </cell>
        </row>
        <row r="220">
          <cell r="D220" t="str">
            <v xml:space="preserve">فاتورة دهانات الاندلس 364 </v>
          </cell>
          <cell r="E220">
            <v>46057</v>
          </cell>
        </row>
        <row r="221">
          <cell r="E221">
            <v>46050</v>
          </cell>
        </row>
        <row r="222">
          <cell r="D222" t="str">
            <v xml:space="preserve">5 فواتير خامات دهانات الاندلس 364 </v>
          </cell>
          <cell r="E222">
            <v>46058</v>
          </cell>
        </row>
        <row r="223">
          <cell r="D223" t="str">
            <v xml:space="preserve">بستله دهانات جرانيت </v>
          </cell>
          <cell r="E223">
            <v>46062</v>
          </cell>
        </row>
        <row r="224">
          <cell r="D224" t="str">
            <v xml:space="preserve">فاتورة روله+غيار + سكينه   م/ احمد علي </v>
          </cell>
          <cell r="E224">
            <v>46041</v>
          </cell>
        </row>
        <row r="225">
          <cell r="D225" t="str">
            <v xml:space="preserve">فاتورة عيناات دهانات م/ احمد علي </v>
          </cell>
          <cell r="E225">
            <v>46041</v>
          </cell>
        </row>
        <row r="226">
          <cell r="D226" t="str">
            <v xml:space="preserve">مجموعه ايبوكسي </v>
          </cell>
          <cell r="E226">
            <v>46082</v>
          </cell>
        </row>
        <row r="227">
          <cell r="D227" t="str">
            <v xml:space="preserve">فاتورة عينه دهانات الاندلس 364 </v>
          </cell>
          <cell r="E227">
            <v>46036</v>
          </cell>
        </row>
        <row r="228">
          <cell r="D228" t="str">
            <v xml:space="preserve">نقل مرتجعات من الاندلس الي الموقع </v>
          </cell>
          <cell r="E228">
            <v>46062</v>
          </cell>
        </row>
        <row r="229">
          <cell r="D229" t="str">
            <v xml:space="preserve">توصيل استكمال كهرباء الاندلس </v>
          </cell>
          <cell r="E229">
            <v>46062</v>
          </cell>
        </row>
        <row r="230">
          <cell r="D230" t="str">
            <v xml:space="preserve">نقل بواقي مرتجعات الاندلس للمخزن + عامل تشوين وتحميل </v>
          </cell>
          <cell r="E230">
            <v>46064</v>
          </cell>
        </row>
        <row r="231">
          <cell r="D231" t="str">
            <v>فاتورة كهرباء تشطيب  الاندلس 364</v>
          </cell>
          <cell r="E231">
            <v>46039</v>
          </cell>
        </row>
        <row r="232">
          <cell r="D232" t="str">
            <v xml:space="preserve">فاتورة كهرباء تشطيب نوفا ساس </v>
          </cell>
          <cell r="E232">
            <v>46046</v>
          </cell>
        </row>
        <row r="233">
          <cell r="D233" t="str">
            <v xml:space="preserve">فاتورة تشطيب كهرباء </v>
          </cell>
          <cell r="E233">
            <v>46051</v>
          </cell>
        </row>
        <row r="234">
          <cell r="D234" t="str">
            <v xml:space="preserve">اعواد بروفايل </v>
          </cell>
          <cell r="E234">
            <v>46060</v>
          </cell>
        </row>
        <row r="235">
          <cell r="D235" t="str">
            <v xml:space="preserve">فاتورة استكمال تشطيب كهرباء </v>
          </cell>
          <cell r="E235">
            <v>46062</v>
          </cell>
        </row>
        <row r="236">
          <cell r="D236" t="str">
            <v xml:space="preserve">2 فاتورة كهرباء </v>
          </cell>
          <cell r="E236">
            <v>46063</v>
          </cell>
        </row>
        <row r="237">
          <cell r="D237" t="str">
            <v xml:space="preserve">فاتورة طلبات لزوم مرمات محارة بعد الكهرباء  م/ هشام </v>
          </cell>
          <cell r="E237">
            <v>46079</v>
          </cell>
        </row>
        <row r="238">
          <cell r="D238" t="str">
            <v xml:space="preserve">عامل نظافه الموقع </v>
          </cell>
          <cell r="E238">
            <v>46062</v>
          </cell>
        </row>
        <row r="239">
          <cell r="D239" t="str">
            <v xml:space="preserve">فاتورة دهانات ونظافه </v>
          </cell>
          <cell r="E239">
            <v>46063</v>
          </cell>
        </row>
        <row r="240">
          <cell r="D240" t="str">
            <v xml:space="preserve">شركه النظافه في الاندلس 364  ( خصم 500ج تجريح خشب التجاليد  ) </v>
          </cell>
          <cell r="E240">
            <v>46070</v>
          </cell>
        </row>
        <row r="241">
          <cell r="D241" t="str">
            <v>اعمال تنظيف وجمع مخلفات و تنزيله</v>
          </cell>
          <cell r="E241">
            <v>46044</v>
          </cell>
        </row>
        <row r="242">
          <cell r="D242" t="str">
            <v>اعمال تنظيف و جمع رتش و نقل مون</v>
          </cell>
          <cell r="E242">
            <v>46050</v>
          </cell>
        </row>
        <row r="243">
          <cell r="D243" t="str">
            <v xml:space="preserve">اعمال تنظيف و جمع رتش و تنزيله و نقل مون </v>
          </cell>
          <cell r="E243">
            <v>46050</v>
          </cell>
        </row>
        <row r="244">
          <cell r="D244" t="str">
            <v xml:space="preserve">يوميات عماله + سهرات عمل +شكاير فارغه </v>
          </cell>
          <cell r="E244">
            <v>46058</v>
          </cell>
        </row>
        <row r="245">
          <cell r="D245" t="str">
            <v xml:space="preserve">صداد باب </v>
          </cell>
          <cell r="E245">
            <v>46042</v>
          </cell>
        </row>
        <row r="246">
          <cell r="D246" t="str">
            <v>2 فواتير خامات دهانات  ( مشمع +تيب +معجون شروخ) + انستا</v>
          </cell>
          <cell r="E246">
            <v>46051</v>
          </cell>
        </row>
        <row r="247">
          <cell r="D247" t="str">
            <v xml:space="preserve">فاتورة خامات سيراميك سيلكون عظم </v>
          </cell>
          <cell r="E247">
            <v>46051</v>
          </cell>
        </row>
        <row r="248">
          <cell r="D248" t="str">
            <v xml:space="preserve">جريله مطبخ5" + شفاط اسباني </v>
          </cell>
          <cell r="E248">
            <v>46037</v>
          </cell>
        </row>
        <row r="249">
          <cell r="D249" t="str">
            <v xml:space="preserve">دفعه من ايرادات الاندلس 364 </v>
          </cell>
          <cell r="E249">
            <v>46079</v>
          </cell>
        </row>
        <row r="250">
          <cell r="E250">
            <v>46064</v>
          </cell>
        </row>
        <row r="251">
          <cell r="E251">
            <v>46034</v>
          </cell>
        </row>
        <row r="252">
          <cell r="D252" t="str">
            <v xml:space="preserve">وارد دفعه من ايرادات الاندلس 364 + م. انستا من حسام </v>
          </cell>
          <cell r="E252">
            <v>46056</v>
          </cell>
        </row>
        <row r="253">
          <cell r="C253" t="str">
            <v>الاندلس 364 Total</v>
          </cell>
        </row>
        <row r="254">
          <cell r="C254" t="str">
            <v xml:space="preserve">الباتيو </v>
          </cell>
          <cell r="D254" t="str">
            <v xml:space="preserve">دفعه من حساب اعمال توريد وتركيب الرخام </v>
          </cell>
          <cell r="E254">
            <v>46098</v>
          </cell>
        </row>
        <row r="255">
          <cell r="D255" t="str">
            <v xml:space="preserve">باقي حساب رخام الباتيو </v>
          </cell>
          <cell r="E255">
            <v>46121</v>
          </cell>
        </row>
        <row r="256">
          <cell r="D256" t="str">
            <v xml:space="preserve">تقفيل سباكه شلال الرووف </v>
          </cell>
          <cell r="E256">
            <v>46036</v>
          </cell>
        </row>
        <row r="257">
          <cell r="D257" t="str">
            <v xml:space="preserve">يوميه دهانات مرمات في الباتيو </v>
          </cell>
          <cell r="E257">
            <v>46099</v>
          </cell>
        </row>
        <row r="258">
          <cell r="D258" t="str">
            <v xml:space="preserve">يوميه مرمات دهان في الباتيو </v>
          </cell>
          <cell r="E258">
            <v>46179</v>
          </cell>
        </row>
        <row r="259">
          <cell r="D259" t="str">
            <v xml:space="preserve">8 يوميات دهانات مقطوعيه </v>
          </cell>
          <cell r="E259">
            <v>46036</v>
          </cell>
        </row>
        <row r="260">
          <cell r="D260" t="str">
            <v xml:space="preserve">يوميه دهانات الباتيو عمرو ريحان </v>
          </cell>
          <cell r="E260">
            <v>46058</v>
          </cell>
        </row>
        <row r="261">
          <cell r="D261" t="str">
            <v xml:space="preserve">باقي دهانات الباتيو ( 6655 داخلي +5000 خارجي </v>
          </cell>
          <cell r="E261">
            <v>46128</v>
          </cell>
        </row>
        <row r="262">
          <cell r="D262" t="str">
            <v xml:space="preserve">فاتورة مقبض باب مصفح  بالخصم علي كريم النجار </v>
          </cell>
          <cell r="E262">
            <v>46034</v>
          </cell>
        </row>
        <row r="263">
          <cell r="D263" t="str">
            <v xml:space="preserve">دفعه من شغل الباتيو لكريم النجار  من م / ايه </v>
          </cell>
          <cell r="E263">
            <v>46056</v>
          </cell>
        </row>
        <row r="264">
          <cell r="D264" t="str">
            <v xml:space="preserve">دفعه من حساب كريم النجار  في الباتيو </v>
          </cell>
          <cell r="E264">
            <v>46077</v>
          </cell>
        </row>
        <row r="265">
          <cell r="D265" t="str">
            <v xml:space="preserve">دفعه من حساب اعمال كهرباء الباتيو </v>
          </cell>
          <cell r="E265">
            <v>46030</v>
          </cell>
        </row>
        <row r="266">
          <cell r="D266" t="str">
            <v xml:space="preserve">دفعه من حساب اعمال الكهرباء </v>
          </cell>
          <cell r="E266">
            <v>46065</v>
          </cell>
        </row>
        <row r="267">
          <cell r="D267" t="str">
            <v xml:space="preserve">تقفيل حساب الباتيو </v>
          </cell>
          <cell r="E267">
            <v>46099</v>
          </cell>
        </row>
        <row r="268">
          <cell r="D268" t="str">
            <v xml:space="preserve">فاتورة توريد كهرباء الباتيو </v>
          </cell>
          <cell r="E268">
            <v>46065</v>
          </cell>
        </row>
        <row r="269">
          <cell r="D269" t="str">
            <v xml:space="preserve">يوميه تركيب بورسلين الحمام  ( مينا ) </v>
          </cell>
          <cell r="E269">
            <v>46058</v>
          </cell>
        </row>
        <row r="270">
          <cell r="D270" t="str">
            <v xml:space="preserve">2 فاتورة طلبات سباكه </v>
          </cell>
          <cell r="E270">
            <v>46029</v>
          </cell>
        </row>
        <row r="271">
          <cell r="D271" t="str">
            <v xml:space="preserve">3 فواتير سباكه  م / محمود </v>
          </cell>
          <cell r="E271">
            <v>46039</v>
          </cell>
        </row>
        <row r="272">
          <cell r="D272" t="str">
            <v xml:space="preserve">يوميه تركيب محبس دفن الشلال   ( هاني السباك ) </v>
          </cell>
          <cell r="E272">
            <v>46043</v>
          </cell>
        </row>
        <row r="273">
          <cell r="D273" t="str">
            <v xml:space="preserve">2 فاتورة سباكه الباتيو </v>
          </cell>
          <cell r="E273">
            <v>46051</v>
          </cell>
        </row>
        <row r="274">
          <cell r="D274" t="str">
            <v xml:space="preserve">مصنعيه سباك تركيب وصلات ومحابس سخان وتغيير محبس دفن </v>
          </cell>
          <cell r="E274">
            <v>46058</v>
          </cell>
        </row>
        <row r="275">
          <cell r="D275" t="str">
            <v xml:space="preserve">2 لاي اسباني + فوطه +سيليكون ابيض </v>
          </cell>
          <cell r="E275">
            <v>46058</v>
          </cell>
        </row>
        <row r="276">
          <cell r="D276" t="str">
            <v>يوميه سباكه تركيب وصلات الغسالهوتركيب مقبض شطاف الحمام</v>
          </cell>
          <cell r="E276">
            <v>46084</v>
          </cell>
        </row>
        <row r="277">
          <cell r="D277" t="str">
            <v xml:space="preserve">مصنعيه تركيب سخان فوري </v>
          </cell>
          <cell r="E277">
            <v>46039</v>
          </cell>
        </row>
        <row r="278">
          <cell r="D278" t="str">
            <v xml:space="preserve">تركيب سخان فوري  في الباتيو  م/ محمود </v>
          </cell>
          <cell r="E278">
            <v>46068</v>
          </cell>
        </row>
        <row r="279">
          <cell r="D279" t="str">
            <v xml:space="preserve">جركن اديبوند  العرباوي </v>
          </cell>
          <cell r="E279">
            <v>46071</v>
          </cell>
        </row>
        <row r="280">
          <cell r="D280" t="str">
            <v xml:space="preserve">فواتير دهانات لزوم مرمات ( م / اسلام ) </v>
          </cell>
          <cell r="E280">
            <v>46098</v>
          </cell>
        </row>
        <row r="281">
          <cell r="D281" t="str">
            <v xml:space="preserve">طلبات دهانات للباتيو  م/ اسلام </v>
          </cell>
          <cell r="E281">
            <v>46179</v>
          </cell>
        </row>
        <row r="282">
          <cell r="E282">
            <v>46163</v>
          </cell>
        </row>
        <row r="283">
          <cell r="D283" t="str">
            <v xml:space="preserve">نقله رتش </v>
          </cell>
          <cell r="E283">
            <v>46067</v>
          </cell>
        </row>
        <row r="284">
          <cell r="E284">
            <v>46058</v>
          </cell>
        </row>
        <row r="285">
          <cell r="E285">
            <v>46039</v>
          </cell>
        </row>
        <row r="286">
          <cell r="D286" t="str">
            <v xml:space="preserve">توصيل ابليك الباتيو </v>
          </cell>
          <cell r="E286">
            <v>46058</v>
          </cell>
        </row>
        <row r="287">
          <cell r="D287" t="str">
            <v xml:space="preserve">يوميه عامل تنزيل الزلط من المكتب وتشوينه الي الباتيو </v>
          </cell>
          <cell r="E287">
            <v>46062</v>
          </cell>
        </row>
        <row r="288">
          <cell r="D288" t="str">
            <v xml:space="preserve">ايجار سيارة نقل استكمال طلبات الباتيو </v>
          </cell>
          <cell r="E288">
            <v>46068</v>
          </cell>
        </row>
        <row r="289">
          <cell r="D289" t="str">
            <v xml:space="preserve">نقل مرتجعات الباتيو + عامل </v>
          </cell>
          <cell r="E289">
            <v>46093</v>
          </cell>
        </row>
        <row r="290">
          <cell r="D290" t="str">
            <v xml:space="preserve">نقل البضاعه من المردين للمواقع ( اللوتس+كناريا +الباتيو ) </v>
          </cell>
          <cell r="E290">
            <v>46046</v>
          </cell>
        </row>
        <row r="291">
          <cell r="D291" t="str">
            <v xml:space="preserve">فاتورة جلوب مربع كهرباء تشطيب </v>
          </cell>
          <cell r="E291">
            <v>46046</v>
          </cell>
        </row>
        <row r="292">
          <cell r="D292" t="str">
            <v xml:space="preserve">خامات كهرباء لتشطيب ليد المطبخ </v>
          </cell>
          <cell r="E292">
            <v>46060</v>
          </cell>
        </row>
        <row r="293">
          <cell r="D293" t="str">
            <v xml:space="preserve">لقمه نت ايمجراند </v>
          </cell>
          <cell r="E293">
            <v>46082</v>
          </cell>
        </row>
        <row r="294">
          <cell r="D294" t="str">
            <v xml:space="preserve">فاتورة كشلف غرفه الولد+ اسبوتات البلكونات ( م/ منه ) </v>
          </cell>
          <cell r="E294">
            <v>46097</v>
          </cell>
        </row>
        <row r="295">
          <cell r="D295" t="str">
            <v xml:space="preserve">تركيب قاطع ثلاثي قبل العداد في الباتيو ( م/ اسلام ) </v>
          </cell>
          <cell r="E295">
            <v>46118</v>
          </cell>
        </row>
        <row r="296">
          <cell r="D296" t="str">
            <v xml:space="preserve">فاتورة طلبات نظافه  م / محمود </v>
          </cell>
          <cell r="E296">
            <v>46039</v>
          </cell>
        </row>
        <row r="297">
          <cell r="D297" t="str">
            <v xml:space="preserve">شركه النظافه في الباتيو </v>
          </cell>
          <cell r="E297">
            <v>46077</v>
          </cell>
        </row>
        <row r="298">
          <cell r="D298" t="str">
            <v xml:space="preserve">اعمال تنظيف </v>
          </cell>
          <cell r="E298">
            <v>46030</v>
          </cell>
        </row>
        <row r="299">
          <cell r="D299" t="str">
            <v xml:space="preserve">2 عامل خدمة موقع و تنظيف +50 ش فارغه </v>
          </cell>
          <cell r="E299">
            <v>46039</v>
          </cell>
        </row>
        <row r="300">
          <cell r="D300" t="str">
            <v xml:space="preserve">خدمة موقع و تنظيف </v>
          </cell>
          <cell r="E300">
            <v>46056</v>
          </cell>
        </row>
        <row r="301">
          <cell r="D301" t="str">
            <v>عمال تنظيف و خدمة موقع و تنزيل رتش و تشوين غسالة و تنزيل العدد و الاخشاب</v>
          </cell>
          <cell r="E301">
            <v>46058</v>
          </cell>
        </row>
        <row r="302">
          <cell r="D302" t="str">
            <v>اعمال خدمة موقع و تنظيف في الباتيو ثم انتقل العامل الي البي 12 مدينتي اعمال</v>
          </cell>
          <cell r="E302">
            <v>46071</v>
          </cell>
        </row>
        <row r="303">
          <cell r="D303" t="str">
            <v xml:space="preserve">تركيب شباك المطبخ + اكسسوارات باب مصفح </v>
          </cell>
          <cell r="E303">
            <v>46039</v>
          </cell>
        </row>
        <row r="304">
          <cell r="D304" t="str">
            <v xml:space="preserve">اكراميه امن الباتيو </v>
          </cell>
          <cell r="E304">
            <v>46068</v>
          </cell>
        </row>
        <row r="305">
          <cell r="D305" t="str">
            <v xml:space="preserve">طلبات نجارة باب مصفح وابواب الغرف + عمل نسخ مفاتيح </v>
          </cell>
          <cell r="E305">
            <v>46089</v>
          </cell>
        </row>
        <row r="306">
          <cell r="D306" t="str">
            <v xml:space="preserve">يوميه تركيب ال hdf + سليكون </v>
          </cell>
          <cell r="E306">
            <v>46030</v>
          </cell>
        </row>
        <row r="307">
          <cell r="D307" t="str">
            <v xml:space="preserve">سلك مواعين+ سيتوفيل </v>
          </cell>
          <cell r="E307">
            <v>46060</v>
          </cell>
        </row>
        <row r="308">
          <cell r="D308" t="str">
            <v>اعمال توريد وتركيب الجاردن في الباتيو اجمالي المقاوله 39300ج ( الباقي 22600 ج )</v>
          </cell>
          <cell r="E308">
            <v>46048</v>
          </cell>
        </row>
        <row r="309">
          <cell r="D309" t="str">
            <v xml:space="preserve">باقي حساب البوتس في الباتيو </v>
          </cell>
          <cell r="E309">
            <v>46058</v>
          </cell>
        </row>
        <row r="310">
          <cell r="D310" t="str">
            <v xml:space="preserve">شراء زلط ديكوري + الموجود بالمكتب </v>
          </cell>
          <cell r="E310">
            <v>46062</v>
          </cell>
        </row>
        <row r="311">
          <cell r="D311" t="str">
            <v xml:space="preserve">ايجار سيارة من المكتب للباتيو والاندلس </v>
          </cell>
          <cell r="E311">
            <v>46062</v>
          </cell>
        </row>
        <row r="312">
          <cell r="D312" t="str">
            <v xml:space="preserve">مصاريف انتقالات مشتريات من مصر الجديده الي الباتيو  </v>
          </cell>
          <cell r="E312">
            <v>46089</v>
          </cell>
        </row>
        <row r="313">
          <cell r="D313" t="str">
            <v xml:space="preserve">وارد دفعه ايرادات من الباتيو </v>
          </cell>
          <cell r="E313">
            <v>46055</v>
          </cell>
        </row>
        <row r="314">
          <cell r="D314" t="str">
            <v xml:space="preserve">دفعه من ايرادات الباتيو </v>
          </cell>
          <cell r="E314">
            <v>46089</v>
          </cell>
        </row>
        <row r="315">
          <cell r="D315" t="str">
            <v xml:space="preserve">وارد تقفيل ايرادات الباتيو </v>
          </cell>
          <cell r="E315">
            <v>46099</v>
          </cell>
        </row>
        <row r="316">
          <cell r="C316" t="str">
            <v>الباتيو  Total</v>
          </cell>
        </row>
        <row r="317">
          <cell r="C317" t="str">
            <v>العبور 306</v>
          </cell>
          <cell r="D317" t="str">
            <v xml:space="preserve">دفعه من حساب توريد وتركيب الرخام  </v>
          </cell>
          <cell r="E317">
            <v>46036</v>
          </cell>
        </row>
        <row r="318">
          <cell r="D318" t="str">
            <v xml:space="preserve">دفعه من حساب اعمال توريد وتركيب الرخام ( اجمالي المقاوله 617650ج ) </v>
          </cell>
          <cell r="E318">
            <v>46040</v>
          </cell>
        </row>
        <row r="319">
          <cell r="D319" t="str">
            <v xml:space="preserve">دفعه من حساب توريد وتركيب الرخام </v>
          </cell>
          <cell r="E319">
            <v>46071</v>
          </cell>
        </row>
        <row r="320">
          <cell r="D320" t="str">
            <v xml:space="preserve">دفعه من اعمال توريد وتركيب الرخام </v>
          </cell>
          <cell r="E320">
            <v>46184</v>
          </cell>
        </row>
        <row r="321">
          <cell r="E321">
            <v>46121</v>
          </cell>
        </row>
        <row r="322">
          <cell r="E322">
            <v>46096</v>
          </cell>
        </row>
        <row r="323">
          <cell r="D323" t="str">
            <v xml:space="preserve">اجمالي مقاوله رخام مدخل العبور 306 </v>
          </cell>
          <cell r="E323">
            <v>46146</v>
          </cell>
        </row>
        <row r="324">
          <cell r="D324" t="str">
            <v xml:space="preserve">دفعه من توريد وتركيب الرخام </v>
          </cell>
          <cell r="E324">
            <v>46168</v>
          </cell>
        </row>
        <row r="325">
          <cell r="D325" t="str">
            <v xml:space="preserve">دفعه مقدمه من حساب احواض بورسلين  ( الباقي 15000ج ) </v>
          </cell>
          <cell r="E325">
            <v>46077</v>
          </cell>
        </row>
        <row r="326">
          <cell r="D326" t="str">
            <v xml:space="preserve">باقي حساب احواض  بورسلين </v>
          </cell>
          <cell r="E326">
            <v>46086</v>
          </cell>
        </row>
        <row r="327">
          <cell r="D327" t="str">
            <v>دفعه مقدمه من اعمال زجاج العبور 306</v>
          </cell>
          <cell r="E327">
            <v>46147</v>
          </cell>
        </row>
        <row r="328">
          <cell r="D328" t="str">
            <v xml:space="preserve">دفعه من حساب اعمال السيراميك </v>
          </cell>
          <cell r="E328">
            <v>46050</v>
          </cell>
        </row>
        <row r="329">
          <cell r="D329" t="str">
            <v>دفعه من حساب شاهين سيراميك في العبور 306</v>
          </cell>
          <cell r="E329">
            <v>46058</v>
          </cell>
        </row>
        <row r="330">
          <cell r="D330" t="str">
            <v xml:space="preserve">دفعه من اعمال سيراميك </v>
          </cell>
          <cell r="E330">
            <v>46065</v>
          </cell>
        </row>
        <row r="331">
          <cell r="D331" t="str">
            <v>دفعه من اعمال سيراميك عبور306</v>
          </cell>
          <cell r="E331">
            <v>46082</v>
          </cell>
        </row>
        <row r="332">
          <cell r="D332" t="str">
            <v xml:space="preserve">باقي حساب  مصنعيات شاهين سيراميك العبور </v>
          </cell>
          <cell r="E332">
            <v>46086</v>
          </cell>
        </row>
        <row r="333">
          <cell r="D333" t="str">
            <v xml:space="preserve">دفعه مقدمه من توريد وتركيب  نجفه ستانلس العبور 306 ( باقي 12000ج ) </v>
          </cell>
          <cell r="E333">
            <v>46063</v>
          </cell>
        </row>
        <row r="334">
          <cell r="D334" t="str">
            <v xml:space="preserve">دفعه من اعمال شاسيه التلفزيون ( الاجمالي 7500ج ) </v>
          </cell>
          <cell r="E334">
            <v>46144</v>
          </cell>
        </row>
        <row r="335">
          <cell r="D335" t="str">
            <v xml:space="preserve">دفعه مقدمه من اعمال ستانلس العبور ( اجمالي المقاوله 110800ج ) </v>
          </cell>
          <cell r="E335">
            <v>46146</v>
          </cell>
        </row>
        <row r="336">
          <cell r="D336" t="str">
            <v xml:space="preserve">دفعه  من اعمال ستانلس العبور ( اجمالي المقاوله 110800ج ) </v>
          </cell>
          <cell r="E336">
            <v>46166</v>
          </cell>
        </row>
        <row r="337">
          <cell r="D337" t="str">
            <v>دفعه من اعمال محارة العبور 306</v>
          </cell>
          <cell r="E337">
            <v>46086</v>
          </cell>
        </row>
        <row r="338">
          <cell r="E338">
            <v>46044</v>
          </cell>
        </row>
        <row r="339">
          <cell r="D339" t="str">
            <v>تقفيل حساب محارة العبور 306</v>
          </cell>
          <cell r="E339">
            <v>46099</v>
          </cell>
        </row>
        <row r="340">
          <cell r="D340" t="str">
            <v xml:space="preserve">دفعه من اعمال المحارة في المدخل  العبور 306( 1000 مدخل + 6000 دوبلكس جديد) </v>
          </cell>
          <cell r="E340">
            <v>46142</v>
          </cell>
        </row>
        <row r="341">
          <cell r="D341" t="str">
            <v xml:space="preserve">دفعه من اعمال محارة المدخل  دوبلكس الجديد </v>
          </cell>
          <cell r="E341">
            <v>46161</v>
          </cell>
        </row>
        <row r="342">
          <cell r="D342" t="str">
            <v xml:space="preserve">دفعه من اعمال محارة دوبلكس جديد </v>
          </cell>
          <cell r="E342">
            <v>46166</v>
          </cell>
        </row>
        <row r="343">
          <cell r="D343" t="str">
            <v xml:space="preserve">50 % من اعمال جلسات الشاور في دوبلكس العبور </v>
          </cell>
          <cell r="E343">
            <v>46041</v>
          </cell>
        </row>
        <row r="344">
          <cell r="D344" t="str">
            <v xml:space="preserve">باقي حساب جلسات الشاور في دوبلكس العبور </v>
          </cell>
          <cell r="E344">
            <v>46049</v>
          </cell>
        </row>
        <row r="345">
          <cell r="D345" t="str">
            <v xml:space="preserve"> من اعمال دهانات العبور306 ( 700م*85ج  + 137*40ج  جنب دهانات ) 65500 ج</v>
          </cell>
          <cell r="E345">
            <v>46086</v>
          </cell>
        </row>
        <row r="346">
          <cell r="D346" t="str">
            <v xml:space="preserve">دفعه من حساب عمرو النقاش في العبور </v>
          </cell>
          <cell r="E346">
            <v>46093</v>
          </cell>
        </row>
        <row r="347">
          <cell r="D347" t="str">
            <v>دفعه من حساب دهانات العبور 306</v>
          </cell>
          <cell r="E347">
            <v>46099</v>
          </cell>
        </row>
        <row r="348">
          <cell r="D348" t="str">
            <v xml:space="preserve">دفعه من اعمال دهانات العبور 306 ( الواصل 41035ج ) </v>
          </cell>
          <cell r="E348">
            <v>46117</v>
          </cell>
        </row>
        <row r="349">
          <cell r="D349" t="str">
            <v xml:space="preserve">يوميه تغليف الارضيات لعمل ملاحظات التجاليد </v>
          </cell>
          <cell r="E349">
            <v>46156</v>
          </cell>
        </row>
        <row r="350">
          <cell r="D350" t="str">
            <v xml:space="preserve">دفعه تجاليد عالفه العبور </v>
          </cell>
          <cell r="E350">
            <v>46097</v>
          </cell>
        </row>
        <row r="351">
          <cell r="D351" t="str">
            <v xml:space="preserve">دفعه من اعمال تجاليد عالفه العبور كريم النجار </v>
          </cell>
          <cell r="E351">
            <v>46133</v>
          </cell>
        </row>
        <row r="352">
          <cell r="D352" t="str">
            <v xml:space="preserve">دفعه من اعمال تجاليد </v>
          </cell>
          <cell r="E352">
            <v>46148</v>
          </cell>
        </row>
        <row r="353">
          <cell r="D353" t="str">
            <v>دفعه 75% من اعمال تجاليد وابواب العبور 306</v>
          </cell>
          <cell r="E353">
            <v>46160</v>
          </cell>
        </row>
        <row r="354">
          <cell r="D354" t="str">
            <v>دفعه من حساب اعمال الكهرباء محمد السيد في العبور 306 ( اجمالي المقاوله 48000ج )</v>
          </cell>
          <cell r="E354">
            <v>46058</v>
          </cell>
        </row>
        <row r="355">
          <cell r="D355" t="str">
            <v>دفعه من حساب اعمال تشطيب كهرباء العبور 306</v>
          </cell>
          <cell r="E355">
            <v>46071</v>
          </cell>
        </row>
        <row r="356">
          <cell r="D356" t="str">
            <v xml:space="preserve">دفعه من اعمال تاسيس دهانات العبور </v>
          </cell>
          <cell r="E356">
            <v>46065</v>
          </cell>
        </row>
        <row r="357">
          <cell r="D357" t="str">
            <v>دفعه من حساب محمود الجبس في العبور 306</v>
          </cell>
          <cell r="E357">
            <v>46028</v>
          </cell>
        </row>
        <row r="358">
          <cell r="D358" t="str">
            <v xml:space="preserve">دفعه من حساب توريد وتركيب الجبس </v>
          </cell>
          <cell r="E358">
            <v>46071</v>
          </cell>
        </row>
        <row r="359">
          <cell r="D359" t="str">
            <v xml:space="preserve">فاتورة صفايه ومجري شاور </v>
          </cell>
          <cell r="E359">
            <v>46065</v>
          </cell>
        </row>
        <row r="360">
          <cell r="D360" t="str">
            <v xml:space="preserve">2 عمال تنزيل بضاعه السباكه + اكراميه السائق </v>
          </cell>
          <cell r="E360">
            <v>46161</v>
          </cell>
        </row>
        <row r="361">
          <cell r="D361" t="str">
            <v xml:space="preserve">فاتورة دهانات تاسيس العبور 306 من عرباوي الشروق ( الباقي 6960ج ) </v>
          </cell>
          <cell r="E361">
            <v>46065</v>
          </cell>
        </row>
        <row r="362">
          <cell r="D362" t="str">
            <v xml:space="preserve">باقي فاتورة تأسيس  الدهانات من عرباوي الشروق 6960 + فاتورة 3915 </v>
          </cell>
          <cell r="E362">
            <v>46071</v>
          </cell>
        </row>
        <row r="363">
          <cell r="D363" t="str">
            <v>فاتورة دهانات العبور 306  ( عرباوي الشروق (</v>
          </cell>
          <cell r="E363">
            <v>46086</v>
          </cell>
        </row>
        <row r="364">
          <cell r="D364" t="str">
            <v xml:space="preserve">2فاتورة   2معجون شروخ امريكي +بكرة تيب عريض +15فرخ صنفرة </v>
          </cell>
          <cell r="E364">
            <v>46139</v>
          </cell>
        </row>
        <row r="365">
          <cell r="D365" t="str">
            <v xml:space="preserve">فاتورة مشمع+ تيب قبل الدهانات </v>
          </cell>
          <cell r="E365">
            <v>46158</v>
          </cell>
        </row>
        <row r="366">
          <cell r="D366" t="str">
            <v>طلبات دهانات للعبور مشمع   م/ عبد الرحمن  بيد عمرو النقاش</v>
          </cell>
          <cell r="E366">
            <v>46163</v>
          </cell>
        </row>
        <row r="367">
          <cell r="D367" t="str">
            <v xml:space="preserve">نقل فاتورة مفاتيح كهرباء تشطيب </v>
          </cell>
          <cell r="E367">
            <v>46093</v>
          </cell>
        </row>
        <row r="368">
          <cell r="D368" t="str">
            <v>فاتورة كهرباء ما قبل الجبس العبور 306</v>
          </cell>
          <cell r="E368">
            <v>46030</v>
          </cell>
        </row>
        <row r="369">
          <cell r="D369" t="str">
            <v>دفعه مقدمه من فاتورة ليد بروفايل العبور 306</v>
          </cell>
          <cell r="E369">
            <v>46112</v>
          </cell>
        </row>
        <row r="370">
          <cell r="D370" t="str">
            <v>فاتورة تشطيب كهرباء العبور 306</v>
          </cell>
          <cell r="E370">
            <v>46121</v>
          </cell>
        </row>
        <row r="371">
          <cell r="D371" t="str">
            <v xml:space="preserve">فرق استبدال سبوتات كهرباء العبور </v>
          </cell>
          <cell r="E371">
            <v>46133</v>
          </cell>
        </row>
        <row r="372">
          <cell r="D372" t="str">
            <v xml:space="preserve">موصل كهرباء سيزا </v>
          </cell>
          <cell r="E372">
            <v>46179</v>
          </cell>
        </row>
        <row r="373">
          <cell r="D373" t="str">
            <v xml:space="preserve">باور + سارينه مضيئه </v>
          </cell>
          <cell r="E373">
            <v>46179</v>
          </cell>
        </row>
        <row r="374">
          <cell r="D374" t="str">
            <v xml:space="preserve">مقشه واسطوانه بسكوته+مسمار6سم   م/ اسلام </v>
          </cell>
          <cell r="E374">
            <v>46046</v>
          </cell>
        </row>
        <row r="375">
          <cell r="D375" t="str">
            <v xml:space="preserve">طلبات كهرباء + اسمنت + التوصيل </v>
          </cell>
          <cell r="E375">
            <v>46051</v>
          </cell>
        </row>
        <row r="376">
          <cell r="D376" t="str">
            <v xml:space="preserve">طباعه لوحه فارمه للعبور </v>
          </cell>
          <cell r="E376">
            <v>46062</v>
          </cell>
        </row>
        <row r="377">
          <cell r="D377" t="str">
            <v xml:space="preserve">اكراميات سائق البورسلين و الغفير </v>
          </cell>
          <cell r="E377">
            <v>46044</v>
          </cell>
        </row>
        <row r="378">
          <cell r="D378" t="str">
            <v xml:space="preserve">اكراميه الغفير ( م / عبد الرحمن ) </v>
          </cell>
          <cell r="E378">
            <v>46110</v>
          </cell>
        </row>
        <row r="379">
          <cell r="D379" t="str">
            <v>اكراميه غفير العبور 306</v>
          </cell>
          <cell r="E379">
            <v>46135</v>
          </cell>
        </row>
        <row r="380">
          <cell r="D380" t="str">
            <v xml:space="preserve">دفعه من الباب المصفح في 306 + الحداده الخاصه بالباب ( 28500+8000ج ) </v>
          </cell>
          <cell r="E380">
            <v>46161</v>
          </cell>
        </row>
        <row r="381">
          <cell r="D381" t="str">
            <v>من حساب ابواب مصفحه العبور 306</v>
          </cell>
          <cell r="E381">
            <v>46184</v>
          </cell>
        </row>
        <row r="382">
          <cell r="D382" t="str">
            <v xml:space="preserve">باقي دفعه الباب المصفح في العبور306 ( اتبعت 11000ج بالغلط بدل 13000ج ) </v>
          </cell>
          <cell r="E382">
            <v>46186</v>
          </cell>
        </row>
        <row r="383">
          <cell r="D383" t="str">
            <v xml:space="preserve">2 ك ماده قبل السيراميك + التوصيل </v>
          </cell>
          <cell r="E383">
            <v>46051</v>
          </cell>
        </row>
        <row r="384">
          <cell r="D384" t="str">
            <v xml:space="preserve">80 ش جراي جروث+كلبسات </v>
          </cell>
          <cell r="E384">
            <v>46051</v>
          </cell>
        </row>
        <row r="385">
          <cell r="D385" t="str">
            <v xml:space="preserve">فاتورة خامات لاصق السيراميك ( السلاب ) + النقل </v>
          </cell>
          <cell r="E385">
            <v>46078</v>
          </cell>
        </row>
        <row r="386">
          <cell r="D386" t="str">
            <v>نقل كرتونه سيراميك من السلاب الي العبور 306</v>
          </cell>
          <cell r="E386">
            <v>46093</v>
          </cell>
        </row>
        <row r="387">
          <cell r="D387" t="str">
            <v>250طوبه اسمنتي *310</v>
          </cell>
          <cell r="E387">
            <v>46124</v>
          </cell>
        </row>
        <row r="388">
          <cell r="D388" t="str">
            <v>فاتورة ماده لاصق رخام + النقل والتشوين</v>
          </cell>
          <cell r="E388">
            <v>46166</v>
          </cell>
        </row>
        <row r="389">
          <cell r="D389" t="str">
            <v xml:space="preserve">انتقال الي العبور لاستلام بضاعه تشطيب السباكه </v>
          </cell>
          <cell r="E389">
            <v>46166</v>
          </cell>
        </row>
        <row r="390">
          <cell r="D390" t="str">
            <v>اعمال حصر وتسعير نجف العبور306</v>
          </cell>
          <cell r="E390">
            <v>46070</v>
          </cell>
        </row>
        <row r="391">
          <cell r="D391" t="str">
            <v>وارد دفعه ايراد من محمد العبور 306</v>
          </cell>
          <cell r="E391">
            <v>46036</v>
          </cell>
        </row>
        <row r="392">
          <cell r="D392" t="str">
            <v>دفعه من ايرادات العبور 306</v>
          </cell>
          <cell r="E392">
            <v>46179</v>
          </cell>
        </row>
        <row r="393">
          <cell r="E393">
            <v>46057</v>
          </cell>
        </row>
        <row r="394">
          <cell r="E394">
            <v>46040</v>
          </cell>
        </row>
        <row r="395">
          <cell r="D395" t="str">
            <v>دفعه من ايرادات محمد العبور 306</v>
          </cell>
          <cell r="E395">
            <v>46089</v>
          </cell>
        </row>
        <row r="396">
          <cell r="D396" t="str">
            <v xml:space="preserve">دفعه من ايرادات العبور 306 </v>
          </cell>
          <cell r="E396">
            <v>46114</v>
          </cell>
        </row>
        <row r="397">
          <cell r="D397" t="str">
            <v xml:space="preserve">وارد دفعه من ايرادات العبور 306 </v>
          </cell>
          <cell r="E397">
            <v>46153</v>
          </cell>
        </row>
        <row r="398">
          <cell r="E398">
            <v>46145</v>
          </cell>
        </row>
        <row r="399">
          <cell r="C399" t="str">
            <v>العبور 306 Total</v>
          </cell>
        </row>
        <row r="400">
          <cell r="C400" t="str">
            <v>اللوتس 361</v>
          </cell>
          <cell r="D400" t="str">
            <v xml:space="preserve">دفعه من اعمال توريد وتركيب رخام اللوتس </v>
          </cell>
          <cell r="E400">
            <v>46056</v>
          </cell>
        </row>
        <row r="401">
          <cell r="D401" t="str">
            <v xml:space="preserve">دفعه مقدمه من اعمال زجاج اللوتس + انستا   ( اجمالي المقاوله 14950ج ) </v>
          </cell>
          <cell r="E401">
            <v>46082</v>
          </cell>
        </row>
        <row r="402">
          <cell r="D402" t="str">
            <v xml:space="preserve">دفعه من سيكوريت اللوتس </v>
          </cell>
          <cell r="E402">
            <v>46099</v>
          </cell>
        </row>
        <row r="403">
          <cell r="D403" t="str">
            <v xml:space="preserve">من حساب تجاليد اللوتس 361 </v>
          </cell>
          <cell r="E403">
            <v>46029</v>
          </cell>
        </row>
        <row r="404">
          <cell r="D404" t="str">
            <v xml:space="preserve">دفعه من اعمال التجاليد </v>
          </cell>
          <cell r="E404">
            <v>46040</v>
          </cell>
        </row>
        <row r="405">
          <cell r="D405" t="str">
            <v>دفعه من تجاليد اللوتس 361</v>
          </cell>
          <cell r="E405">
            <v>46062</v>
          </cell>
        </row>
        <row r="406">
          <cell r="E406">
            <v>46061</v>
          </cell>
        </row>
        <row r="407">
          <cell r="E407">
            <v>46050</v>
          </cell>
        </row>
        <row r="408">
          <cell r="D408" t="str">
            <v xml:space="preserve">شاسيه حديد التجاليد </v>
          </cell>
          <cell r="E408">
            <v>46056</v>
          </cell>
        </row>
        <row r="409">
          <cell r="D409" t="str">
            <v xml:space="preserve">خشب وحدات الحمام </v>
          </cell>
          <cell r="E409">
            <v>46056</v>
          </cell>
        </row>
        <row r="410">
          <cell r="D410" t="str">
            <v xml:space="preserve">عهده تحت حساب الابواب في اللوتس 361 </v>
          </cell>
          <cell r="E410">
            <v>46057</v>
          </cell>
        </row>
        <row r="411">
          <cell r="D411" t="str">
            <v xml:space="preserve">فاتورة اكر وكوالين وصدادات ابواب </v>
          </cell>
          <cell r="E411">
            <v>46063</v>
          </cell>
        </row>
        <row r="412">
          <cell r="D412" t="str">
            <v xml:space="preserve">24 عود تجاليد </v>
          </cell>
          <cell r="E412">
            <v>46064</v>
          </cell>
        </row>
        <row r="413">
          <cell r="D413" t="str">
            <v>نقل ابواب اللوتس المرفوضه الي المخزن + عامل ترتيب المخزن 300ج</v>
          </cell>
          <cell r="E413">
            <v>46097</v>
          </cell>
        </row>
        <row r="414">
          <cell r="D414" t="str">
            <v xml:space="preserve">يوميه اعمال سيراميك في اللوتس </v>
          </cell>
          <cell r="E414">
            <v>46135</v>
          </cell>
        </row>
        <row r="415">
          <cell r="D415" t="str">
            <v xml:space="preserve">يوميه بياض  في اللوتس </v>
          </cell>
          <cell r="E415">
            <v>46086</v>
          </cell>
        </row>
        <row r="416">
          <cell r="D416" t="str">
            <v>دفعه من اعمال دهانات اللوتس (383*105) +(114*80)بانوهات+(13.5*170) تجاليد</v>
          </cell>
          <cell r="E416">
            <v>46086</v>
          </cell>
        </row>
        <row r="417">
          <cell r="D417" t="str">
            <v>دفعه من حساب دهانات اللوتس 361</v>
          </cell>
          <cell r="E417">
            <v>46099</v>
          </cell>
        </row>
        <row r="418">
          <cell r="D418" t="str">
            <v xml:space="preserve">دفعه من اعمال دهانات و تشطيب البانوهات  ( الباقي 9500ج ) </v>
          </cell>
          <cell r="E418">
            <v>46135</v>
          </cell>
        </row>
        <row r="419">
          <cell r="D419" t="str">
            <v>من حساب ابواب اللوتس 341</v>
          </cell>
          <cell r="E419">
            <v>46084</v>
          </cell>
        </row>
        <row r="420">
          <cell r="D420" t="str">
            <v xml:space="preserve">فاتورة كهرباء اللوتس </v>
          </cell>
          <cell r="E420">
            <v>46093</v>
          </cell>
        </row>
        <row r="421">
          <cell r="D421" t="str">
            <v xml:space="preserve">تصليح تند هالجار تحسب كدفعه من اللوتس </v>
          </cell>
          <cell r="E421">
            <v>46039</v>
          </cell>
        </row>
        <row r="422">
          <cell r="D422" t="str">
            <v xml:space="preserve">دفعه من حساب تشطيب كهرباء اللوتس + يوميه تعديلات 1000ج </v>
          </cell>
          <cell r="E422">
            <v>46086</v>
          </cell>
        </row>
        <row r="423">
          <cell r="D423" t="str">
            <v xml:space="preserve">يوميات سقيه بلكونه+غرفه ونظافه فواصل بورسلين وتركيب وزر  ( مينا ) </v>
          </cell>
          <cell r="E423">
            <v>46058</v>
          </cell>
        </row>
        <row r="424">
          <cell r="D424" t="str">
            <v xml:space="preserve">انتقالات مشتريات </v>
          </cell>
          <cell r="E424">
            <v>46063</v>
          </cell>
        </row>
        <row r="425">
          <cell r="D425" t="str">
            <v xml:space="preserve">تنكيل وش خلاطات </v>
          </cell>
          <cell r="E425">
            <v>46121</v>
          </cell>
        </row>
        <row r="426">
          <cell r="D426" t="str">
            <v xml:space="preserve">احواض صيني ديورافيت </v>
          </cell>
          <cell r="E426">
            <v>46089</v>
          </cell>
        </row>
        <row r="427">
          <cell r="D427" t="str">
            <v xml:space="preserve">فاتورة توريد الفيوتيك  ( باقي التركيبات ) </v>
          </cell>
          <cell r="E427">
            <v>46050</v>
          </cell>
        </row>
        <row r="428">
          <cell r="D428" t="str">
            <v xml:space="preserve">مصنعيه تركيب فيوتيك الاندلس 291*15ج + 135ج بدل يوم عطله بسبب الجار </v>
          </cell>
          <cell r="E428">
            <v>46057</v>
          </cell>
        </row>
        <row r="429">
          <cell r="D429" t="str">
            <v xml:space="preserve">فاتورة عينه دهانات </v>
          </cell>
          <cell r="E429">
            <v>46058</v>
          </cell>
        </row>
        <row r="430">
          <cell r="D430" t="str">
            <v xml:space="preserve">فاتورة دهانات سوديك </v>
          </cell>
          <cell r="E430">
            <v>46086</v>
          </cell>
        </row>
        <row r="431">
          <cell r="D431" t="str">
            <v xml:space="preserve">فواتير دهانات اللوتس  م / هشام </v>
          </cell>
          <cell r="E431">
            <v>46086</v>
          </cell>
        </row>
        <row r="432">
          <cell r="D432" t="str">
            <v xml:space="preserve">عينات دهانات اللوتس </v>
          </cell>
          <cell r="E432">
            <v>46096</v>
          </cell>
        </row>
        <row r="433">
          <cell r="D433" t="str">
            <v xml:space="preserve">حساب اعمال توريد وتركيب فيوتك استكمال </v>
          </cell>
          <cell r="E433">
            <v>46097</v>
          </cell>
        </row>
        <row r="434">
          <cell r="D434" t="str">
            <v xml:space="preserve">فاتورة طلبات دهانات ( صنفرة ومشمع ولاصق  م/ هشام </v>
          </cell>
          <cell r="E434">
            <v>46099</v>
          </cell>
        </row>
        <row r="435">
          <cell r="D435" t="str">
            <v xml:space="preserve">تشوين خامات دهانات اللوتس + 1/2 ش سيتوكس يو </v>
          </cell>
          <cell r="E435">
            <v>46132</v>
          </cell>
        </row>
        <row r="436">
          <cell r="D436" t="str">
            <v xml:space="preserve">يوميه عامل نظافه وتشوين الفيوتيك </v>
          </cell>
          <cell r="E436">
            <v>46051</v>
          </cell>
        </row>
        <row r="437">
          <cell r="D437" t="str">
            <v xml:space="preserve">تشوين احواض الحمامات </v>
          </cell>
          <cell r="E437">
            <v>46093</v>
          </cell>
        </row>
        <row r="438">
          <cell r="D438" t="str">
            <v xml:space="preserve">تشوين الصحي في اللوتس  م/ هشام </v>
          </cell>
          <cell r="E438">
            <v>46121</v>
          </cell>
        </row>
        <row r="439">
          <cell r="D439" t="str">
            <v xml:space="preserve">فاتورة كهرباء تشطيب اللوتس </v>
          </cell>
          <cell r="E439">
            <v>46046</v>
          </cell>
        </row>
        <row r="440">
          <cell r="D440" t="str">
            <v xml:space="preserve">فاتورة مفاتيح كهرباء+ اسمنت </v>
          </cell>
          <cell r="E440">
            <v>46070</v>
          </cell>
        </row>
        <row r="441">
          <cell r="D441" t="str">
            <v xml:space="preserve">فاتورة كهرباء في الموقع  م/ هشام </v>
          </cell>
          <cell r="E441">
            <v>46078</v>
          </cell>
        </row>
        <row r="442">
          <cell r="D442" t="str">
            <v xml:space="preserve">فاتورة استكمال كهرباء </v>
          </cell>
          <cell r="E442">
            <v>46082</v>
          </cell>
        </row>
        <row r="443">
          <cell r="D443" t="str">
            <v xml:space="preserve">يوميه نظافه + ش فارغه للتشوين  م/ هشام  + 2 نقله رتش 2000ج </v>
          </cell>
          <cell r="E443">
            <v>46078</v>
          </cell>
        </row>
        <row r="444">
          <cell r="D444" t="str">
            <v xml:space="preserve">نقله رتش+ عامل نظافه وجمع الرتش </v>
          </cell>
          <cell r="E444">
            <v>46093</v>
          </cell>
        </row>
        <row r="445">
          <cell r="D445" t="str">
            <v>يوميه عامل نظافه   م / هشام</v>
          </cell>
          <cell r="E445">
            <v>46099</v>
          </cell>
        </row>
        <row r="446">
          <cell r="D446" t="str">
            <v>موقع اللوتس اعمال تنظيف و جمع رتش و تشوين الرتش</v>
          </cell>
          <cell r="E446">
            <v>46079</v>
          </cell>
        </row>
        <row r="447">
          <cell r="D447" t="str">
            <v xml:space="preserve">عامل خدمه موقع   ( قبل العيد ) </v>
          </cell>
          <cell r="E447">
            <v>46109</v>
          </cell>
        </row>
        <row r="448">
          <cell r="D448" t="str">
            <v xml:space="preserve">يوميه عامل نظافه+ايجار سلم </v>
          </cell>
          <cell r="E448">
            <v>46058</v>
          </cell>
        </row>
        <row r="449">
          <cell r="D449" t="str">
            <v xml:space="preserve">طلبات ابواب داخليه ( كوالين ) </v>
          </cell>
          <cell r="E449">
            <v>46097</v>
          </cell>
        </row>
        <row r="450">
          <cell r="D450" t="str">
            <v xml:space="preserve">فاتورة خامات سيراميك سيتوفيل+سلك مواعين+الوان +لاسمنت ابيض </v>
          </cell>
          <cell r="E450">
            <v>46051</v>
          </cell>
        </row>
        <row r="451">
          <cell r="D451" t="str">
            <v xml:space="preserve">فاتورة استكمال شفاطات اللوتس + النقل </v>
          </cell>
          <cell r="E451">
            <v>46082</v>
          </cell>
        </row>
        <row r="452">
          <cell r="D452" t="str">
            <v xml:space="preserve">انتقالات مشتريات  نقل طلبات الموقع </v>
          </cell>
          <cell r="E452">
            <v>46063</v>
          </cell>
        </row>
        <row r="453">
          <cell r="D453" t="str">
            <v>وارد دفعه ايراد من اللوتس 361</v>
          </cell>
          <cell r="E453">
            <v>46037</v>
          </cell>
        </row>
        <row r="454">
          <cell r="D454" t="str">
            <v xml:space="preserve">دفعه من ايرادات اللوتس </v>
          </cell>
          <cell r="E454">
            <v>46081</v>
          </cell>
        </row>
        <row r="455">
          <cell r="C455" t="str">
            <v>اللوتس 361 Total</v>
          </cell>
        </row>
        <row r="456">
          <cell r="C456" t="str">
            <v>رصيد اول مدة 2029</v>
          </cell>
          <cell r="D456" t="str">
            <v>قيد افتتاحي 2026 واقفال 2025</v>
          </cell>
          <cell r="E456">
            <v>46023</v>
          </cell>
        </row>
        <row r="457">
          <cell r="C457" t="str">
            <v>رصيد اول مدة 2029 Total</v>
          </cell>
        </row>
        <row r="458">
          <cell r="C458" t="str">
            <v xml:space="preserve">سوديك </v>
          </cell>
          <cell r="D458" t="str">
            <v xml:space="preserve">دفعه من حساب توريد وتركيب الرخام   ( الواصل 300000ج ) </v>
          </cell>
          <cell r="E458">
            <v>46027</v>
          </cell>
        </row>
        <row r="459">
          <cell r="D459" t="str">
            <v xml:space="preserve">دفعه من حساب الاحواض ( 2 حوض*15 الف +2حوض *7 الاف + 18درجه * 2200) </v>
          </cell>
          <cell r="E459">
            <v>46089</v>
          </cell>
        </row>
        <row r="460">
          <cell r="D460" t="str">
            <v xml:space="preserve">دفعه من اعمال توريد وتركيب الرخام </v>
          </cell>
          <cell r="E460">
            <v>46184</v>
          </cell>
        </row>
        <row r="461">
          <cell r="D461" t="str">
            <v xml:space="preserve">دفعه من اعمال توريد وتركيب رخام </v>
          </cell>
          <cell r="E461">
            <v>46133</v>
          </cell>
        </row>
        <row r="462">
          <cell r="D462" t="str">
            <v xml:space="preserve">دفعه من توريد وتركيب الرخام </v>
          </cell>
          <cell r="E462">
            <v>46167</v>
          </cell>
        </row>
        <row r="463">
          <cell r="D463" t="str">
            <v xml:space="preserve">دفعه من اعمال كيريتال سوديك  ( المقاوله 60000ج ) </v>
          </cell>
          <cell r="E463">
            <v>46091</v>
          </cell>
        </row>
        <row r="464">
          <cell r="D464" t="str">
            <v xml:space="preserve">دفعه من اعمال كيريتال سوديك  ( المقاوله 60000ج )  باقي 24000ج </v>
          </cell>
          <cell r="E464">
            <v>46166</v>
          </cell>
        </row>
        <row r="465">
          <cell r="D465" t="str">
            <v xml:space="preserve">دفعه مقدمه من اعمال كباين الشاور ( اجمالي المقاوله 69000ج ) </v>
          </cell>
          <cell r="E465">
            <v>46128</v>
          </cell>
        </row>
        <row r="466">
          <cell r="D466" t="str">
            <v xml:space="preserve">دفعه من اعمال زجاج الرووف في سوديك  ( اجمالي 79560ج  ) </v>
          </cell>
          <cell r="E466">
            <v>46161</v>
          </cell>
        </row>
        <row r="467">
          <cell r="D467" t="str">
            <v xml:space="preserve">فاتورة طلبات سباكه </v>
          </cell>
          <cell r="E467">
            <v>46093</v>
          </cell>
        </row>
        <row r="468">
          <cell r="D468" t="str">
            <v xml:space="preserve">دفعه مقدمه من اعمال تند خارجي </v>
          </cell>
          <cell r="E468">
            <v>46146</v>
          </cell>
        </row>
        <row r="469">
          <cell r="D469" t="str">
            <v xml:space="preserve">فاتورة خامات سيراميك سوديك </v>
          </cell>
          <cell r="E469">
            <v>46032</v>
          </cell>
        </row>
        <row r="470">
          <cell r="D470" t="str">
            <v>فاتورة ( 18500 رخام + 3390ج سيراميك ) سوديك بعد مرتجع400ج</v>
          </cell>
          <cell r="E470">
            <v>46032</v>
          </cell>
        </row>
        <row r="471">
          <cell r="D471" t="str">
            <v xml:space="preserve">فاتورة  سباكه سوديك </v>
          </cell>
          <cell r="E471">
            <v>46051</v>
          </cell>
        </row>
        <row r="472">
          <cell r="D472" t="str">
            <v xml:space="preserve">دفعه من حساب تكييفات سوديك  ( 212000ج ) الباقي 12000ج ) </v>
          </cell>
          <cell r="E472">
            <v>46033</v>
          </cell>
        </row>
        <row r="473">
          <cell r="D473" t="str">
            <v>من حساب جريلات سوديك ( اجمالي 33300ج - 3025) الباقي 30275 ج</v>
          </cell>
          <cell r="E473">
            <v>46053</v>
          </cell>
        </row>
        <row r="474">
          <cell r="D474" t="str">
            <v xml:space="preserve">باقي حساب تكييفات سوديك  ( 212000) </v>
          </cell>
          <cell r="E474">
            <v>46064</v>
          </cell>
        </row>
        <row r="475">
          <cell r="D475" t="str">
            <v>من حساب جريلات سوديك ( اجمالي 33300ج - 64045 ) الباقي 7255  ج</v>
          </cell>
          <cell r="E475">
            <v>46064</v>
          </cell>
        </row>
        <row r="476">
          <cell r="D476" t="str">
            <v xml:space="preserve">دفعه من اعمال تكييف سوديك </v>
          </cell>
          <cell r="E476">
            <v>46135</v>
          </cell>
        </row>
        <row r="477">
          <cell r="D477" t="str">
            <v xml:space="preserve">دفعه من حساب اعمال السيراميك </v>
          </cell>
          <cell r="E477">
            <v>46065</v>
          </cell>
        </row>
        <row r="478">
          <cell r="E478">
            <v>46050</v>
          </cell>
        </row>
        <row r="479">
          <cell r="D479" t="str">
            <v xml:space="preserve">دفعه من اعمال تجاليد وفرش سوديك </v>
          </cell>
          <cell r="E479">
            <v>46151</v>
          </cell>
        </row>
        <row r="480">
          <cell r="D480" t="str">
            <v xml:space="preserve">دفعه ثانيه من خشب سوديك </v>
          </cell>
          <cell r="E480">
            <v>46184</v>
          </cell>
        </row>
        <row r="481">
          <cell r="D481" t="str">
            <v xml:space="preserve">يوميه اعمال سيراميك  في سوديك </v>
          </cell>
          <cell r="E481">
            <v>46135</v>
          </cell>
        </row>
        <row r="482">
          <cell r="D482" t="str">
            <v xml:space="preserve">دفعه من اعمال تنجيد سوديك </v>
          </cell>
          <cell r="E482">
            <v>46117</v>
          </cell>
        </row>
        <row r="483">
          <cell r="D483" t="str">
            <v xml:space="preserve">دفعه من اعمال التنجيد في سوديك </v>
          </cell>
          <cell r="E483">
            <v>46193</v>
          </cell>
        </row>
        <row r="484">
          <cell r="E484">
            <v>46163</v>
          </cell>
        </row>
        <row r="485">
          <cell r="E485">
            <v>46144</v>
          </cell>
        </row>
        <row r="486">
          <cell r="D486" t="str">
            <v xml:space="preserve">20% من اعمال تفتيح اسبوتات وسحب خراطيم السقف  ( اجمالي المقاوله 40000ج ) </v>
          </cell>
          <cell r="E486">
            <v>46061</v>
          </cell>
        </row>
        <row r="487">
          <cell r="D487" t="str">
            <v xml:space="preserve">استكمال 50% من اعمال تفتيح اسبوتات وسحب خراطيم </v>
          </cell>
          <cell r="E487">
            <v>46065</v>
          </cell>
        </row>
        <row r="488">
          <cell r="D488" t="str">
            <v xml:space="preserve">دفعه من حساب تشطيب الدرج  </v>
          </cell>
          <cell r="E488">
            <v>46082</v>
          </cell>
        </row>
        <row r="489">
          <cell r="D489" t="str">
            <v>دفعه من اعمال كهرباء سوديك (</v>
          </cell>
          <cell r="E489">
            <v>46135</v>
          </cell>
        </row>
        <row r="490">
          <cell r="D490" t="str">
            <v>باقي حساب تشطيب درج السلم(3000ج ) + نسبه من اعمال تشطيب التجاليد والديكور</v>
          </cell>
          <cell r="E490">
            <v>46142</v>
          </cell>
        </row>
        <row r="491">
          <cell r="D491" t="str">
            <v xml:space="preserve">دفعه من اعمال تأسيس و سحب سلك داخلي وخارجي </v>
          </cell>
          <cell r="E491">
            <v>46148</v>
          </cell>
        </row>
        <row r="492">
          <cell r="D492" t="str">
            <v xml:space="preserve">تقفيل اللوحات </v>
          </cell>
          <cell r="E492">
            <v>46163</v>
          </cell>
        </row>
        <row r="493">
          <cell r="D493" t="str">
            <v xml:space="preserve">دفعه مقدمه من اعمال كريتال سوديك ( المقاوله 141000ج )  بدون الباب </v>
          </cell>
          <cell r="E493">
            <v>46089</v>
          </cell>
        </row>
        <row r="494">
          <cell r="D494" t="str">
            <v xml:space="preserve">دفعه  ثانيه  من اعمال كريتال سوديك ( المقاوله 141000ج )  بدون الباب  باقي 41000ج </v>
          </cell>
          <cell r="E494">
            <v>46166</v>
          </cell>
        </row>
        <row r="495">
          <cell r="E495">
            <v>46144</v>
          </cell>
        </row>
        <row r="496">
          <cell r="D496" t="str">
            <v xml:space="preserve">دفعه مقدمه من اعمال اكسسورات في سوديك ( علبه مناديل+عمود +كوبيسته (55000ج) </v>
          </cell>
          <cell r="E496">
            <v>46148</v>
          </cell>
        </row>
        <row r="497">
          <cell r="D497" t="str">
            <v xml:space="preserve">دفعه من حساب اعمال المحارة </v>
          </cell>
          <cell r="E497">
            <v>46030</v>
          </cell>
        </row>
        <row r="498">
          <cell r="D498" t="str">
            <v xml:space="preserve">دفعه من حساب المحارة </v>
          </cell>
          <cell r="E498">
            <v>46058</v>
          </cell>
        </row>
        <row r="499">
          <cell r="D499" t="str">
            <v xml:space="preserve">باقي حساب المحارة في سوديك </v>
          </cell>
          <cell r="E499">
            <v>46071</v>
          </cell>
        </row>
        <row r="500">
          <cell r="D500" t="str">
            <v xml:space="preserve">يوميه اعمال مرمات داخلي وخارجي في سوديك </v>
          </cell>
          <cell r="E500">
            <v>46148</v>
          </cell>
        </row>
        <row r="501">
          <cell r="D501" t="str">
            <v xml:space="preserve">دفعه من اعمال صب خرسانه+مرمات داخليه وخارجيه +تاميم باب الفيلا </v>
          </cell>
          <cell r="E501">
            <v>46163</v>
          </cell>
        </row>
        <row r="502">
          <cell r="D502" t="str">
            <v xml:space="preserve">كامل مقاوله مرمات داخليه وخارجيه وصب ارضيه الجراج في سوديك </v>
          </cell>
          <cell r="E502">
            <v>46184</v>
          </cell>
        </row>
        <row r="503">
          <cell r="D503" t="str">
            <v xml:space="preserve">دفعه من حساب اعمال دهانات </v>
          </cell>
          <cell r="E503">
            <v>46065</v>
          </cell>
        </row>
        <row r="504">
          <cell r="D504" t="str">
            <v xml:space="preserve">دفعه من حساب دهانات تاسيس سوديك </v>
          </cell>
          <cell r="E504">
            <v>46070</v>
          </cell>
        </row>
        <row r="505">
          <cell r="D505" t="str">
            <v xml:space="preserve">دفعه من اعمال دهانات سوديك </v>
          </cell>
          <cell r="E505">
            <v>46096</v>
          </cell>
        </row>
        <row r="506">
          <cell r="D506" t="str">
            <v xml:space="preserve">دفعه من اعمال دهانات سوديك ( 5500 باقي التاسيس + 4500 دفعه اولي من التشطيب ) </v>
          </cell>
          <cell r="E506">
            <v>46175</v>
          </cell>
        </row>
        <row r="507">
          <cell r="D507" t="str">
            <v xml:space="preserve">50% من اعمال دوكو وتاسيس تجاليد وسور الحديد في سوديك (5400+4524+26700 ) </v>
          </cell>
          <cell r="E507">
            <v>46184</v>
          </cell>
        </row>
        <row r="508">
          <cell r="D508" t="str">
            <v xml:space="preserve">خامات ونقل ومصنعيه عزل سوديك </v>
          </cell>
          <cell r="E508">
            <v>46184</v>
          </cell>
        </row>
        <row r="509">
          <cell r="D509" t="str">
            <v xml:space="preserve">دفعه مقدمه من تجاليد سوديك </v>
          </cell>
          <cell r="E509">
            <v>46086</v>
          </cell>
        </row>
        <row r="510">
          <cell r="D510" t="str">
            <v xml:space="preserve">دفعه  ابواب تجاليد ساده  في سوديك </v>
          </cell>
          <cell r="E510">
            <v>46097</v>
          </cell>
        </row>
        <row r="511">
          <cell r="D511" t="str">
            <v xml:space="preserve">دفعه من اعمال تجاليد سوديك كريم النجار </v>
          </cell>
          <cell r="E511">
            <v>46133</v>
          </cell>
        </row>
        <row r="512">
          <cell r="D512" t="str">
            <v xml:space="preserve">دفعه من اعمال تجاليد </v>
          </cell>
          <cell r="E512">
            <v>46148</v>
          </cell>
        </row>
        <row r="513">
          <cell r="D513" t="str">
            <v xml:space="preserve">نقل اخشاب من المخزن الي مصنع حسان في بدر + عامل تحميل </v>
          </cell>
          <cell r="E513">
            <v>46154</v>
          </cell>
        </row>
        <row r="514">
          <cell r="D514" t="str">
            <v xml:space="preserve">دفعه من اعمال الشاتر </v>
          </cell>
          <cell r="E514">
            <v>46091</v>
          </cell>
        </row>
        <row r="515">
          <cell r="D515" t="str">
            <v xml:space="preserve">دفعه من اعمال توريد وتركيب الشاتر محمد امين </v>
          </cell>
          <cell r="E515">
            <v>46148</v>
          </cell>
        </row>
        <row r="516">
          <cell r="E516">
            <v>46127</v>
          </cell>
        </row>
        <row r="517">
          <cell r="D517" t="str">
            <v xml:space="preserve">دفعه من حساب اعمال الجبس في سوديك </v>
          </cell>
          <cell r="E517">
            <v>46034</v>
          </cell>
        </row>
        <row r="518">
          <cell r="D518" t="str">
            <v xml:space="preserve">دفعه من حساب اعمال سيراميك </v>
          </cell>
          <cell r="E518">
            <v>46029</v>
          </cell>
        </row>
        <row r="519">
          <cell r="D519" t="str">
            <v xml:space="preserve">دفعه من اعمال السيراميك في سوديك ( 200ج*330 م )  الواصل 22422ج ) </v>
          </cell>
          <cell r="E519">
            <v>46037</v>
          </cell>
        </row>
        <row r="520">
          <cell r="D520" t="str">
            <v xml:space="preserve">دفعه من اعمال سيراميك سوديك </v>
          </cell>
          <cell r="E520">
            <v>46044</v>
          </cell>
        </row>
        <row r="521">
          <cell r="D521" t="str">
            <v xml:space="preserve">دفعه من حساب سيراميك سوديك </v>
          </cell>
          <cell r="E521">
            <v>46070</v>
          </cell>
        </row>
        <row r="522">
          <cell r="D522" t="str">
            <v xml:space="preserve">دفعه من حساب مينا سيراميك في سوديك </v>
          </cell>
          <cell r="E522">
            <v>46086</v>
          </cell>
        </row>
        <row r="523">
          <cell r="D523" t="str">
            <v xml:space="preserve">حساب قماش تنجيد سوديك  ( 34592+26565 ) + 40 انستا </v>
          </cell>
          <cell r="E523">
            <v>46118</v>
          </cell>
        </row>
        <row r="524">
          <cell r="D524" t="str">
            <v xml:space="preserve">دفعه من حساب قماش ستائر سوديك </v>
          </cell>
          <cell r="E524">
            <v>46119</v>
          </cell>
        </row>
        <row r="525">
          <cell r="D525" t="str">
            <v xml:space="preserve">باقي  حساب قماش ستائر سوديك </v>
          </cell>
          <cell r="E525">
            <v>46126</v>
          </cell>
        </row>
        <row r="526">
          <cell r="D526" t="str">
            <v xml:space="preserve">قماش سوديك </v>
          </cell>
          <cell r="E526">
            <v>46174</v>
          </cell>
        </row>
        <row r="527">
          <cell r="D527" t="str">
            <v xml:space="preserve">تعديل 4صرف تكييف+2سيفون عادم الريحه+ تركيب خزان فوق سطح الفيلا </v>
          </cell>
          <cell r="E527">
            <v>46065</v>
          </cell>
        </row>
        <row r="528">
          <cell r="D528" t="str">
            <v xml:space="preserve">مقاوله اعمال نظافه غرف تفتيش +تمديد التغذيه والصرف لحمام السباحه </v>
          </cell>
          <cell r="E528">
            <v>46099</v>
          </cell>
        </row>
        <row r="529">
          <cell r="D529" t="str">
            <v xml:space="preserve">يوميه تعديل صرف جريله شاور </v>
          </cell>
          <cell r="E529">
            <v>46128</v>
          </cell>
        </row>
        <row r="530">
          <cell r="D530" t="str">
            <v xml:space="preserve">تركيب مجري تحت باب الفيلا+مواسير صرف للمجري+تركيب 2جيليتراب </v>
          </cell>
          <cell r="E530">
            <v>46159</v>
          </cell>
        </row>
        <row r="531">
          <cell r="D531" t="str">
            <v xml:space="preserve">فاتورة خزان سوديك </v>
          </cell>
          <cell r="E531">
            <v>46047</v>
          </cell>
        </row>
        <row r="532">
          <cell r="D532" t="str">
            <v xml:space="preserve">فاتورة خامات سباكه  عرباوي الشروق </v>
          </cell>
          <cell r="E532">
            <v>46071</v>
          </cell>
        </row>
        <row r="533">
          <cell r="D533" t="str">
            <v xml:space="preserve">فاتورة سباكه ( كوع بسن معزول وطبه حديد وجلب ) </v>
          </cell>
          <cell r="E533">
            <v>46092</v>
          </cell>
        </row>
        <row r="534">
          <cell r="D534" t="str">
            <v xml:space="preserve">جلبه لحام 20ج +2 مقشه *75ج  م/ محمود اشرف </v>
          </cell>
          <cell r="E534">
            <v>46121</v>
          </cell>
        </row>
        <row r="535">
          <cell r="D535" t="str">
            <v xml:space="preserve">جلبه بسن داخلي +كيس كلبسات م/ اسلام </v>
          </cell>
          <cell r="E535">
            <v>46123</v>
          </cell>
        </row>
        <row r="536">
          <cell r="D536" t="str">
            <v xml:space="preserve">10 ش اسمنت +1.5نقله رتش +250 طوبه اسمنتي </v>
          </cell>
          <cell r="E536">
            <v>46156</v>
          </cell>
        </row>
        <row r="537">
          <cell r="D537" t="str">
            <v xml:space="preserve">2 يوميه سباكه خلع مواسير تغذيه+ اصلاح كسر </v>
          </cell>
          <cell r="E537">
            <v>46161</v>
          </cell>
        </row>
        <row r="538">
          <cell r="D538" t="str">
            <v>فاتورة طلبات سباكه بر الوالدين</v>
          </cell>
          <cell r="E538">
            <v>46163</v>
          </cell>
        </row>
        <row r="539">
          <cell r="D539" t="str">
            <v xml:space="preserve">موتور سوديك بمشتملاته </v>
          </cell>
          <cell r="E539">
            <v>46062</v>
          </cell>
        </row>
        <row r="540">
          <cell r="D540" t="str">
            <v xml:space="preserve">فاتورة تاسيس دهانات سوديك </v>
          </cell>
          <cell r="E540">
            <v>46058</v>
          </cell>
        </row>
        <row r="541">
          <cell r="D541" t="str">
            <v xml:space="preserve">2 فاتورة طلبات دهانات تاسيس  عرباوي الشروق </v>
          </cell>
          <cell r="E541">
            <v>46071</v>
          </cell>
        </row>
        <row r="542">
          <cell r="D542" t="str">
            <v>فاتورة دهانات سوديك ( عرباوي الشروق )</v>
          </cell>
          <cell r="E542">
            <v>46086</v>
          </cell>
        </row>
        <row r="543">
          <cell r="D543" t="str">
            <v>فاتورة طلبات دهانات بر الوالدين</v>
          </cell>
          <cell r="E543">
            <v>46163</v>
          </cell>
        </row>
        <row r="544">
          <cell r="D544" t="str">
            <v xml:space="preserve">بستله جوتشيلد ديكور </v>
          </cell>
          <cell r="E544">
            <v>46179</v>
          </cell>
        </row>
        <row r="545">
          <cell r="D545" t="str">
            <v xml:space="preserve">فاتورة دهانات ( صنفرة + معجون روخ ) </v>
          </cell>
          <cell r="E545">
            <v>46181</v>
          </cell>
        </row>
        <row r="546">
          <cell r="D546" t="str">
            <v xml:space="preserve">انتقالات من المكتب للقبيصي والعوده عينات دهانات سوديك </v>
          </cell>
          <cell r="E546">
            <v>46184</v>
          </cell>
        </row>
        <row r="547">
          <cell r="D547" t="str">
            <v xml:space="preserve">يوميه عامل تشوين الماده + اكراميه الامن و سائق الماده </v>
          </cell>
          <cell r="E547">
            <v>46030</v>
          </cell>
        </row>
        <row r="548">
          <cell r="D548" t="str">
            <v xml:space="preserve">نقل الفوم لسوديك </v>
          </cell>
          <cell r="E548">
            <v>46034</v>
          </cell>
        </row>
        <row r="549">
          <cell r="D549" t="str">
            <v xml:space="preserve">نقل سيراميك و سقالات + عمال تحميل وتشوين ل سوديك </v>
          </cell>
          <cell r="E549">
            <v>46042</v>
          </cell>
        </row>
        <row r="550">
          <cell r="D550" t="str">
            <v xml:space="preserve">تشوين سيراميك الرووف في سوديك 43 كرتونه </v>
          </cell>
          <cell r="E550">
            <v>46049</v>
          </cell>
        </row>
        <row r="551">
          <cell r="D551" t="str">
            <v xml:space="preserve">عمال تحميل مرتجع الفوم </v>
          </cell>
          <cell r="E551">
            <v>46051</v>
          </cell>
        </row>
        <row r="552">
          <cell r="D552" t="str">
            <v xml:space="preserve">توصيل برميل لسوديك + هانيمكس </v>
          </cell>
          <cell r="E552">
            <v>46062</v>
          </cell>
        </row>
        <row r="553">
          <cell r="D553" t="str">
            <v xml:space="preserve">2 نقله رتش </v>
          </cell>
          <cell r="E553">
            <v>46065</v>
          </cell>
        </row>
        <row r="554">
          <cell r="D554" t="str">
            <v xml:space="preserve">2 نقله رتش  + تشوين م رمل </v>
          </cell>
          <cell r="E554">
            <v>46071</v>
          </cell>
        </row>
        <row r="555">
          <cell r="D555" t="str">
            <v xml:space="preserve">نقل سلك سوديك </v>
          </cell>
          <cell r="E555">
            <v>46121</v>
          </cell>
        </row>
        <row r="556">
          <cell r="D556" t="str">
            <v xml:space="preserve">عامل تنزيل مرتجع سوديك </v>
          </cell>
          <cell r="E556">
            <v>46161</v>
          </cell>
        </row>
        <row r="557">
          <cell r="D557" t="str">
            <v xml:space="preserve">نقل مرتجع من سوديك + تسليم العتب لوصال </v>
          </cell>
          <cell r="E557">
            <v>46161</v>
          </cell>
        </row>
        <row r="558">
          <cell r="D558" t="str">
            <v xml:space="preserve">2.5 نقله رتش   ضمن اعمال اللاند سكيب </v>
          </cell>
          <cell r="E558">
            <v>46163</v>
          </cell>
        </row>
        <row r="559">
          <cell r="D559" t="str">
            <v xml:space="preserve">نقل ماده لاصق من المخزن الي سوديك + عامل تحميل وتنزيل </v>
          </cell>
          <cell r="E559">
            <v>46166</v>
          </cell>
        </row>
        <row r="560">
          <cell r="D560" t="str">
            <v xml:space="preserve">نقل مشتريات سوديك </v>
          </cell>
          <cell r="E560">
            <v>46179</v>
          </cell>
        </row>
        <row r="561">
          <cell r="D561" t="str">
            <v xml:space="preserve">اوبر نقل طلبات من المخزن الي سوديك </v>
          </cell>
          <cell r="E561">
            <v>46179</v>
          </cell>
        </row>
        <row r="562">
          <cell r="D562" t="str">
            <v xml:space="preserve">نقل  فاتورة تشطيب الكهرباء سوديك من وسط البلد الي المخزن </v>
          </cell>
          <cell r="E562">
            <v>46187</v>
          </cell>
        </row>
        <row r="563">
          <cell r="D563" t="str">
            <v xml:space="preserve">فاتورة تشطيب كهرباء </v>
          </cell>
          <cell r="E563">
            <v>46133</v>
          </cell>
        </row>
        <row r="564">
          <cell r="D564" t="str">
            <v xml:space="preserve">فاتورة استكمال تشطيب كهرباء </v>
          </cell>
          <cell r="E564">
            <v>46144</v>
          </cell>
        </row>
        <row r="565">
          <cell r="E565">
            <v>46133</v>
          </cell>
        </row>
        <row r="566">
          <cell r="D566" t="str">
            <v xml:space="preserve">عينات كهرباء ( وش وشاسيه ولقمه مفتاح ) </v>
          </cell>
          <cell r="E566">
            <v>46034</v>
          </cell>
        </row>
        <row r="567">
          <cell r="D567" t="str">
            <v xml:space="preserve">فاتورة ماجنتيك ما قبل الجبس </v>
          </cell>
          <cell r="E567">
            <v>46056</v>
          </cell>
        </row>
        <row r="568">
          <cell r="D568" t="str">
            <v xml:space="preserve">فاتورة كهرباء سوديك </v>
          </cell>
          <cell r="E568">
            <v>46056</v>
          </cell>
        </row>
        <row r="569">
          <cell r="D569" t="str">
            <v xml:space="preserve">فاتورة كهرباء بروفايل وليد </v>
          </cell>
          <cell r="E569">
            <v>46075</v>
          </cell>
        </row>
        <row r="570">
          <cell r="D570" t="str">
            <v xml:space="preserve">فاتورة كهرباء سوديك سلك+ قواطع </v>
          </cell>
          <cell r="E570">
            <v>46089</v>
          </cell>
        </row>
        <row r="571">
          <cell r="D571" t="str">
            <v xml:space="preserve">فاتورة تشطيب كهرباء سوديك </v>
          </cell>
          <cell r="E571">
            <v>46121</v>
          </cell>
        </row>
        <row r="572">
          <cell r="D572" t="str">
            <v xml:space="preserve">فاتورة عينه بكرة ليد ازرق </v>
          </cell>
          <cell r="E572">
            <v>46135</v>
          </cell>
        </row>
        <row r="573">
          <cell r="D573" t="str">
            <v xml:space="preserve">فرق استبدال فاتورة كهرباء سلك سوديك </v>
          </cell>
          <cell r="E573">
            <v>46135</v>
          </cell>
        </row>
        <row r="574">
          <cell r="D574" t="str">
            <v xml:space="preserve">فاتورة استكمال كهرباء (باور 200واط اي  لوك ) </v>
          </cell>
          <cell r="E574">
            <v>46144</v>
          </cell>
        </row>
        <row r="575">
          <cell r="D575" t="str">
            <v xml:space="preserve">بولر 60سم اسود 10 واط ( 2300ج - 450ج خصم ) </v>
          </cell>
          <cell r="E575">
            <v>46144</v>
          </cell>
        </row>
        <row r="576">
          <cell r="D576" t="str">
            <v xml:space="preserve">حربه7 واط +خليه ضوئيه 25امبير </v>
          </cell>
          <cell r="E576">
            <v>46144</v>
          </cell>
        </row>
        <row r="577">
          <cell r="D577" t="str">
            <v xml:space="preserve">فاتورة  استكمال كهرباء سوديك </v>
          </cell>
          <cell r="E577">
            <v>46151</v>
          </cell>
        </row>
        <row r="578">
          <cell r="D578" t="str">
            <v xml:space="preserve">حجز فاتورة كهرباء الاعمده في سوديك </v>
          </cell>
          <cell r="E578">
            <v>46162</v>
          </cell>
        </row>
        <row r="579">
          <cell r="D579" t="str">
            <v xml:space="preserve">فاتورة لوحه30*40+حزام بلاستيك+مسامير+تيب+قوس محمل  صابر الكهربائي </v>
          </cell>
          <cell r="E579">
            <v>46163</v>
          </cell>
        </row>
        <row r="580">
          <cell r="D580" t="str">
            <v>فاتورة طلبات كهرباء بر الوالدين</v>
          </cell>
          <cell r="E580">
            <v>46163</v>
          </cell>
        </row>
        <row r="581">
          <cell r="D581" t="str">
            <v xml:space="preserve">فاتورة فرق قواطع سوديك </v>
          </cell>
          <cell r="E581">
            <v>46166</v>
          </cell>
        </row>
        <row r="582">
          <cell r="D582" t="str">
            <v xml:space="preserve">فاتورة استكمال كهرباء سوديك </v>
          </cell>
          <cell r="E582">
            <v>46179</v>
          </cell>
        </row>
        <row r="583">
          <cell r="E583">
            <v>46166</v>
          </cell>
        </row>
        <row r="584">
          <cell r="D584" t="str">
            <v xml:space="preserve">مجموعه ارقام لزوم ترقيم سلوك الكهرباء </v>
          </cell>
          <cell r="E584">
            <v>46184</v>
          </cell>
        </row>
        <row r="585">
          <cell r="D585" t="str">
            <v xml:space="preserve">فاتورة  لفه سلك سماعات </v>
          </cell>
          <cell r="E585">
            <v>46184</v>
          </cell>
        </row>
        <row r="586">
          <cell r="D586" t="str">
            <v>فاتورة كهرباء تشطيب سوديك ( بولر+اباليك+اب لايت+حربه +ابليك محفظه)</v>
          </cell>
          <cell r="E586">
            <v>46186</v>
          </cell>
        </row>
        <row r="587">
          <cell r="D587" t="str">
            <v xml:space="preserve">نقله رتش دوبل </v>
          </cell>
          <cell r="E587">
            <v>46116</v>
          </cell>
        </row>
        <row r="588">
          <cell r="D588" t="str">
            <v xml:space="preserve">نقله رتش سوديك </v>
          </cell>
          <cell r="E588">
            <v>46152</v>
          </cell>
        </row>
        <row r="589">
          <cell r="E589">
            <v>46128</v>
          </cell>
        </row>
        <row r="590">
          <cell r="D590" t="str">
            <v xml:space="preserve">1.5 نقله رتش  محمود اشرف </v>
          </cell>
          <cell r="E590">
            <v>46134</v>
          </cell>
        </row>
        <row r="591">
          <cell r="D591" t="str">
            <v xml:space="preserve">1.5 نقله رتش  م/اسلام </v>
          </cell>
          <cell r="E591">
            <v>46142</v>
          </cell>
        </row>
        <row r="592">
          <cell r="D592" t="str">
            <v xml:space="preserve">نيب عريض +ادوات نظافه  م/اسلام </v>
          </cell>
          <cell r="E592">
            <v>46147</v>
          </cell>
        </row>
        <row r="593">
          <cell r="D593" t="str">
            <v xml:space="preserve">2 يوميه نظافه وتغطيه ارضيات </v>
          </cell>
          <cell r="E593">
            <v>46151</v>
          </cell>
        </row>
        <row r="594">
          <cell r="D594" t="str">
            <v xml:space="preserve">يوميه نظافه + ش فارغه    م/ اسلام </v>
          </cell>
          <cell r="E594">
            <v>46153</v>
          </cell>
        </row>
        <row r="595">
          <cell r="D595" t="str">
            <v xml:space="preserve">يوميه عامل + ايجار صاروخ 100ج </v>
          </cell>
          <cell r="E595">
            <v>46156</v>
          </cell>
        </row>
        <row r="596">
          <cell r="D596" t="str">
            <v xml:space="preserve">4 يوميات نظافه في سوديك + الهيلتي  م/ اسلام </v>
          </cell>
          <cell r="E596">
            <v>46161</v>
          </cell>
        </row>
        <row r="597">
          <cell r="D597" t="str">
            <v xml:space="preserve">يوميه نظافه في سوديك </v>
          </cell>
          <cell r="E597">
            <v>46163</v>
          </cell>
        </row>
        <row r="598">
          <cell r="D598" t="str">
            <v xml:space="preserve">2 نقله تشوين  م / محمود اشرف </v>
          </cell>
          <cell r="E598">
            <v>46167</v>
          </cell>
        </row>
        <row r="599">
          <cell r="D599" t="str">
            <v xml:space="preserve">3 يوميات نظافه في سوديك م / محمود اشرف </v>
          </cell>
          <cell r="E599">
            <v>46174</v>
          </cell>
        </row>
        <row r="600">
          <cell r="D600" t="str">
            <v xml:space="preserve">يوميه نظافه ولم رتش  م/ محمود اشرف </v>
          </cell>
          <cell r="E600">
            <v>46174</v>
          </cell>
        </row>
        <row r="601">
          <cell r="D601" t="str">
            <v xml:space="preserve">4 يوميات سوديك نظافه وتشوين   م /محمود </v>
          </cell>
          <cell r="E601">
            <v>46187</v>
          </cell>
        </row>
        <row r="602">
          <cell r="D602" t="str">
            <v xml:space="preserve">فاتورة عزل 3 محموعه عزل 107*1350ج +فرشه عزل بالنقل </v>
          </cell>
          <cell r="E602">
            <v>46176</v>
          </cell>
        </row>
        <row r="603">
          <cell r="D603" t="str">
            <v>عمال خدمة موقع</v>
          </cell>
          <cell r="E603">
            <v>46079</v>
          </cell>
        </row>
        <row r="604">
          <cell r="D604" t="str">
            <v xml:space="preserve">عامل خدمه موقع   ( قبل العيد ) </v>
          </cell>
          <cell r="E604">
            <v>46109</v>
          </cell>
        </row>
        <row r="605">
          <cell r="D605" t="str">
            <v>عمال زنبرة الحمام و تشوين سيراميك و رمال</v>
          </cell>
          <cell r="E605">
            <v>46028</v>
          </cell>
        </row>
        <row r="606">
          <cell r="D606" t="str">
            <v xml:space="preserve">تكسير و نقل رمال </v>
          </cell>
          <cell r="E606">
            <v>46028</v>
          </cell>
        </row>
        <row r="607">
          <cell r="D607" t="str">
            <v xml:space="preserve">اعمال تكسير و جمع رتش و نقل رمال و سيراميك و اسمنت </v>
          </cell>
          <cell r="E607">
            <v>46030</v>
          </cell>
        </row>
        <row r="608">
          <cell r="D608" t="str">
            <v>اعمال تكسير و تشوين سيراميك و نقل مون و رمال و تشوين مادة</v>
          </cell>
          <cell r="E608">
            <v>46030</v>
          </cell>
        </row>
        <row r="609">
          <cell r="D609" t="str">
            <v>اعمال تشوين مواد العزل و نقل رمال و تنظيف</v>
          </cell>
          <cell r="E609">
            <v>46036</v>
          </cell>
        </row>
        <row r="610">
          <cell r="D610" t="str">
            <v xml:space="preserve">اعمال تكسير و نقل مون و جمع رتش و اعمال خدمة موقع </v>
          </cell>
          <cell r="E610">
            <v>46036</v>
          </cell>
        </row>
        <row r="611">
          <cell r="D611" t="str">
            <v xml:space="preserve">اعمال نقل مون و رمال و خدمة الموقع </v>
          </cell>
          <cell r="E611">
            <v>46036</v>
          </cell>
        </row>
        <row r="612">
          <cell r="D612" t="str">
            <v xml:space="preserve">اعمال تكسير و جمع رتش و تنزيله و خدمة الموقع </v>
          </cell>
          <cell r="E612">
            <v>46039</v>
          </cell>
        </row>
        <row r="613">
          <cell r="D613" t="str">
            <v xml:space="preserve">اعمال تكسير و جمع رتش و نقل رمال و نقل سيراميك </v>
          </cell>
          <cell r="E613">
            <v>46039</v>
          </cell>
        </row>
        <row r="614">
          <cell r="D614" t="str">
            <v>تشوين 12 متر رمال+نص طن اسمنت+ 30ك سيراميك</v>
          </cell>
          <cell r="E614">
            <v>46039</v>
          </cell>
        </row>
        <row r="615">
          <cell r="D615" t="str">
            <v>عمال تشوين سيراميك و رمال و سيتوكس علي الشخشيخة و خدمة موقع</v>
          </cell>
          <cell r="E615">
            <v>46043</v>
          </cell>
        </row>
        <row r="616">
          <cell r="D616" t="str">
            <v>عمال نقل مون وتسليك عمل الصنايعية و خدمة موقع</v>
          </cell>
          <cell r="E616">
            <v>46043</v>
          </cell>
        </row>
        <row r="617">
          <cell r="D617" t="str">
            <v xml:space="preserve">اعمال تشوين رمال و خدمة موقع </v>
          </cell>
          <cell r="E617">
            <v>46044</v>
          </cell>
        </row>
        <row r="618">
          <cell r="D618" t="str">
            <v xml:space="preserve">اعمال تشوين رمال و نقل مون و جمع رتش وتنظيف و خدمة موقع </v>
          </cell>
          <cell r="E618">
            <v>46044</v>
          </cell>
        </row>
        <row r="619">
          <cell r="D619" t="str">
            <v>اعمال تشوين رمال و تشوين سيراميك و تنظيف و نقل مون و تغليف الارضيات</v>
          </cell>
          <cell r="E619">
            <v>46050</v>
          </cell>
        </row>
        <row r="620">
          <cell r="D620" t="str">
            <v xml:space="preserve">تشوين 5ش اسمنت + تغليف حوائط و ارضيات الحمام+وتشوين 100 طوبة مسمط </v>
          </cell>
          <cell r="E620">
            <v>46050</v>
          </cell>
        </row>
        <row r="621">
          <cell r="D621" t="str">
            <v xml:space="preserve">اعمال تشوين رمال و نقل سيراميك و بناء و تنظيف للوحدة </v>
          </cell>
          <cell r="E621">
            <v>46056</v>
          </cell>
        </row>
        <row r="622">
          <cell r="D622" t="str">
            <v xml:space="preserve"> تشوين مون النقاشة +و تكسير و اعمال قشط زوائد محارة باستخدام الصاروخ</v>
          </cell>
          <cell r="E622">
            <v>46056</v>
          </cell>
        </row>
        <row r="623">
          <cell r="D623" t="str">
            <v>اعمال تنظيف و تغطية الارضيات</v>
          </cell>
          <cell r="E623">
            <v>46058</v>
          </cell>
        </row>
        <row r="624">
          <cell r="D624" t="str">
            <v>عمال تنظيف و تغليف السلم و خدمة موقع</v>
          </cell>
          <cell r="E624">
            <v>46063</v>
          </cell>
        </row>
        <row r="625">
          <cell r="D625" t="str">
            <v>تنظيف و خدمة موقع و نقل سيراميك و رمال</v>
          </cell>
          <cell r="E625">
            <v>46063</v>
          </cell>
        </row>
        <row r="626">
          <cell r="D626" t="str">
            <v>4 عمال نتظيف الوحدة و تغليف الارضيات و السلم + عامل خدمه يوم تالي</v>
          </cell>
          <cell r="E626">
            <v>46065</v>
          </cell>
        </row>
        <row r="627">
          <cell r="D627" t="str">
            <v xml:space="preserve">خدمة موقع و تنظيف  ( يومين ) </v>
          </cell>
          <cell r="E627">
            <v>46071</v>
          </cell>
        </row>
        <row r="628">
          <cell r="D628" t="str">
            <v>اعمال تشوين رمال و اسمنت و مادة و نقل سيراميك و تسليك عمل صنايعي السيراميك</v>
          </cell>
          <cell r="E628">
            <v>46077</v>
          </cell>
        </row>
        <row r="629">
          <cell r="D629" t="str">
            <v>عمال تشوين رمال و اسمنت وتنظيف الدور الأرضي</v>
          </cell>
          <cell r="E629">
            <v>46079</v>
          </cell>
        </row>
        <row r="630">
          <cell r="D630" t="str">
            <v>اعمال تشوين رمال و تشوين اسمنت و خدمة موقع</v>
          </cell>
          <cell r="E630">
            <v>46079</v>
          </cell>
        </row>
        <row r="631">
          <cell r="D631" t="str">
            <v>اعمال خدمة موقع و تنظيف و جمع رتش و تغليف الارضيات</v>
          </cell>
          <cell r="E631">
            <v>46096</v>
          </cell>
        </row>
        <row r="632">
          <cell r="D632" t="str">
            <v>3 يوميات عبد الرحمن معماري سوديك ( خدمه موقع+نقل خشب + ازاله مشمع )</v>
          </cell>
          <cell r="E632">
            <v>46116</v>
          </cell>
        </row>
        <row r="633">
          <cell r="D633" t="str">
            <v xml:space="preserve">موقع سوديك عدد 1 عامل اعمال خدمة موقع و تنظيف ( يومين ) + ش فارغه </v>
          </cell>
          <cell r="E633">
            <v>46121</v>
          </cell>
        </row>
        <row r="634">
          <cell r="D634" t="str">
            <v>خدمة موقع و تنظيف و تكسير و سقية بلاط الجزء المعدل من الشاور و لم رتش +ش فارغه</v>
          </cell>
          <cell r="E634">
            <v>46121</v>
          </cell>
        </row>
        <row r="635">
          <cell r="D635" t="str">
            <v xml:space="preserve">3 يوميات سوديك خدمه موقع </v>
          </cell>
          <cell r="E635">
            <v>46131</v>
          </cell>
        </row>
        <row r="636">
          <cell r="D636" t="str">
            <v xml:space="preserve">يوميه نظافه وخدمه موقع </v>
          </cell>
          <cell r="E636">
            <v>46133</v>
          </cell>
        </row>
        <row r="637">
          <cell r="D637" t="str">
            <v xml:space="preserve">تنظيف و جمع رتش </v>
          </cell>
          <cell r="E637">
            <v>46135</v>
          </cell>
        </row>
        <row r="638">
          <cell r="D638" t="str">
            <v xml:space="preserve">2 عامل اعمال جمع رتش و نقل مون وتنظيف + يوميه خدمه موقع ( يومين ) </v>
          </cell>
          <cell r="E638">
            <v>46142</v>
          </cell>
        </row>
        <row r="639">
          <cell r="D639" t="str">
            <v xml:space="preserve">يوميه نظافه وتغطيه السلم وتشوين خامات </v>
          </cell>
          <cell r="E639">
            <v>46147</v>
          </cell>
        </row>
        <row r="640">
          <cell r="D640" t="str">
            <v xml:space="preserve">7 يوميات في سوديك *550ج منهم يوميه تكسير زياده 100ج </v>
          </cell>
          <cell r="E640">
            <v>46182</v>
          </cell>
        </row>
        <row r="641">
          <cell r="D641" t="str">
            <v xml:space="preserve">شحن عداد مياه سوديك </v>
          </cell>
          <cell r="E641">
            <v>46034</v>
          </cell>
        </row>
        <row r="642">
          <cell r="D642" t="str">
            <v xml:space="preserve">شحن عداد الكهرباء في سوديك </v>
          </cell>
          <cell r="E642">
            <v>46035</v>
          </cell>
        </row>
        <row r="643">
          <cell r="D643" t="str">
            <v xml:space="preserve">شراء سقالات استكمال + دبلاق تربيط </v>
          </cell>
          <cell r="E643">
            <v>46042</v>
          </cell>
        </row>
        <row r="644">
          <cell r="D644" t="str">
            <v xml:space="preserve">سلبه + عامل نظافه+ 2 مقشه </v>
          </cell>
          <cell r="E644">
            <v>46063</v>
          </cell>
        </row>
        <row r="645">
          <cell r="D645" t="str">
            <v xml:space="preserve">شحن كارت المياه </v>
          </cell>
          <cell r="E645">
            <v>46071</v>
          </cell>
        </row>
        <row r="646">
          <cell r="D646" t="str">
            <v>6ش اسمنت1700ج +5ش سيتوكس يو2100+20طوبه مصمط100ج</v>
          </cell>
          <cell r="E646">
            <v>46116</v>
          </cell>
        </row>
        <row r="647">
          <cell r="D647" t="str">
            <v xml:space="preserve">نسخه مفتاح كمبيوتر </v>
          </cell>
          <cell r="E647">
            <v>46139</v>
          </cell>
        </row>
        <row r="648">
          <cell r="D648" t="str">
            <v xml:space="preserve">شحن كارت مياه سوديك </v>
          </cell>
          <cell r="E648">
            <v>46144</v>
          </cell>
        </row>
        <row r="649">
          <cell r="D649" t="str">
            <v xml:space="preserve">يوميه عامل تكسير في درج المدخل+وزر رخام قديم </v>
          </cell>
          <cell r="E649">
            <v>46146</v>
          </cell>
        </row>
        <row r="650">
          <cell r="D650" t="str">
            <v xml:space="preserve">شحن كارت مياه سوديك  م/ اسلام </v>
          </cell>
          <cell r="E650">
            <v>46147</v>
          </cell>
        </row>
        <row r="651">
          <cell r="D651" t="str">
            <v xml:space="preserve">فاتورة طلبات تغليف ارضيه </v>
          </cell>
          <cell r="E651">
            <v>46151</v>
          </cell>
        </row>
        <row r="652">
          <cell r="D652" t="str">
            <v xml:space="preserve">3 يوميات عماله تكسير ونظافه </v>
          </cell>
          <cell r="E652">
            <v>46154</v>
          </cell>
        </row>
        <row r="653">
          <cell r="D653" t="str">
            <v xml:space="preserve">يوميه عامل + ايجار هيلتي 150ج </v>
          </cell>
          <cell r="E653">
            <v>46158</v>
          </cell>
        </row>
        <row r="654">
          <cell r="D654" t="str">
            <v xml:space="preserve">نقله رمل + 10 ش اسمنت </v>
          </cell>
          <cell r="E654">
            <v>46176</v>
          </cell>
        </row>
        <row r="655">
          <cell r="D655" t="str">
            <v xml:space="preserve">12 ش اسمنت  م/ محمود </v>
          </cell>
          <cell r="E655">
            <v>46177</v>
          </cell>
        </row>
        <row r="656">
          <cell r="D656" t="str">
            <v xml:space="preserve">تيب+ اديبوند  م/ محمود </v>
          </cell>
          <cell r="E656">
            <v>46177</v>
          </cell>
        </row>
        <row r="657">
          <cell r="D657" t="str">
            <v xml:space="preserve">دكاك لتسويه </v>
          </cell>
          <cell r="E657">
            <v>46182</v>
          </cell>
        </row>
        <row r="658">
          <cell r="D658" t="str">
            <v xml:space="preserve">1.5نقله رتش+0.5م سن+3م رمل </v>
          </cell>
          <cell r="E658">
            <v>46182</v>
          </cell>
        </row>
        <row r="659">
          <cell r="D659" t="str">
            <v xml:space="preserve">اكراميه سائق السلاب    م/ اسلام </v>
          </cell>
          <cell r="E659">
            <v>46153</v>
          </cell>
        </row>
        <row r="660">
          <cell r="D660" t="str">
            <v xml:space="preserve">دفعه مقدمه باب مصفح سوديك ( 20500ج الاجمالي ) </v>
          </cell>
          <cell r="E660">
            <v>46152</v>
          </cell>
        </row>
        <row r="661">
          <cell r="D661" t="str">
            <v xml:space="preserve">باقي حساب الباب المصفح في سوديك </v>
          </cell>
          <cell r="E661">
            <v>46158</v>
          </cell>
        </row>
        <row r="662">
          <cell r="D662" t="str">
            <v xml:space="preserve">2 فوم   م/ اسلام </v>
          </cell>
          <cell r="E662">
            <v>46184</v>
          </cell>
        </row>
        <row r="663">
          <cell r="D663" t="str">
            <v xml:space="preserve">تصننيع زوايا استانلس لزوم السيراميك </v>
          </cell>
          <cell r="E663">
            <v>46030</v>
          </cell>
        </row>
        <row r="664">
          <cell r="D664" t="str">
            <v xml:space="preserve">طن اسمنت لزوم السيراميك </v>
          </cell>
          <cell r="E664">
            <v>46032</v>
          </cell>
        </row>
        <row r="665">
          <cell r="D665" t="str">
            <v xml:space="preserve">طن اسمنت + 6 نقله رمل لزوم السيراميك </v>
          </cell>
          <cell r="E665">
            <v>46037</v>
          </cell>
        </row>
        <row r="666">
          <cell r="D666" t="str">
            <v xml:space="preserve">فاتورة استكمل سيراميك سوديك </v>
          </cell>
          <cell r="E666">
            <v>46042</v>
          </cell>
        </row>
        <row r="667">
          <cell r="D667" t="str">
            <v xml:space="preserve">يوميه تشوينات رمل لزوم السيراميك </v>
          </cell>
          <cell r="E667">
            <v>46043</v>
          </cell>
        </row>
        <row r="668">
          <cell r="D668" t="str">
            <v xml:space="preserve">طن اسمنت+3نقله رمل+ش اسمنت ابيض + نقله رتش </v>
          </cell>
          <cell r="E668">
            <v>46043</v>
          </cell>
        </row>
        <row r="669">
          <cell r="D669" t="str">
            <v xml:space="preserve">فاتورة سيراميك الرووف في سوديك +انستا </v>
          </cell>
          <cell r="E669">
            <v>46044</v>
          </cell>
        </row>
        <row r="670">
          <cell r="D670" t="str">
            <v xml:space="preserve">فاتورة نواقص سيراميك الرووف سوديك </v>
          </cell>
          <cell r="E670">
            <v>46046</v>
          </cell>
        </row>
        <row r="671">
          <cell r="D671" t="str">
            <v xml:space="preserve">1.25طن اسمنت+2 نقله رمل +200 طوبه </v>
          </cell>
          <cell r="E671">
            <v>46050</v>
          </cell>
        </row>
        <row r="672">
          <cell r="D672" t="str">
            <v xml:space="preserve"> 2فاتورة بستله عزل + خامات سيراميك </v>
          </cell>
          <cell r="E672">
            <v>46051</v>
          </cell>
        </row>
        <row r="673">
          <cell r="D673" t="str">
            <v xml:space="preserve">كرتونه سيراميك رووف سوديك </v>
          </cell>
          <cell r="E673">
            <v>46054</v>
          </cell>
        </row>
        <row r="674">
          <cell r="D674" t="str">
            <v xml:space="preserve">2 نقله رمل لزوم سيراميك الرووف </v>
          </cell>
          <cell r="E674">
            <v>46058</v>
          </cell>
        </row>
        <row r="675">
          <cell r="D675" t="str">
            <v xml:space="preserve">ش ماده سقيه </v>
          </cell>
          <cell r="E675">
            <v>46062</v>
          </cell>
        </row>
        <row r="676">
          <cell r="D676" t="str">
            <v xml:space="preserve">كيس كلبسات+مشابك +سلك مواعين </v>
          </cell>
          <cell r="E676">
            <v>46063</v>
          </cell>
        </row>
        <row r="677">
          <cell r="D677" t="str">
            <v xml:space="preserve">نقله رمل لزوم السيراميك </v>
          </cell>
          <cell r="E677">
            <v>46065</v>
          </cell>
        </row>
        <row r="678">
          <cell r="D678" t="str">
            <v xml:space="preserve">فاتورة خامات سيراميك  عرباوي الشروق </v>
          </cell>
          <cell r="E678">
            <v>46071</v>
          </cell>
        </row>
        <row r="679">
          <cell r="D679" t="str">
            <v xml:space="preserve">فاتورة كرتونه سيراميك استكمال سوديك (انستا) </v>
          </cell>
          <cell r="E679">
            <v>46075</v>
          </cell>
        </row>
        <row r="680">
          <cell r="D680" t="str">
            <v xml:space="preserve">نقله رتش+3نقله رمل+طن اسمنت+3 ش ماده سيراميك </v>
          </cell>
          <cell r="E680">
            <v>46086</v>
          </cell>
        </row>
        <row r="681">
          <cell r="D681" t="str">
            <v xml:space="preserve">5 ش اسمنت </v>
          </cell>
          <cell r="E681">
            <v>46093</v>
          </cell>
        </row>
        <row r="682">
          <cell r="D682" t="str">
            <v xml:space="preserve">فاتورة استكمال سيراميك </v>
          </cell>
          <cell r="E682">
            <v>46146</v>
          </cell>
        </row>
        <row r="683">
          <cell r="E683">
            <v>46121</v>
          </cell>
        </row>
        <row r="684">
          <cell r="D684" t="str">
            <v xml:space="preserve">بلاطه استكمال سيراميك سوديك </v>
          </cell>
          <cell r="E684">
            <v>46147</v>
          </cell>
        </row>
        <row r="685">
          <cell r="D685" t="str">
            <v xml:space="preserve">لفه كرتون تتغليف الارضيات م / اسلام </v>
          </cell>
          <cell r="E685">
            <v>46126</v>
          </cell>
        </row>
        <row r="686">
          <cell r="D686" t="str">
            <v xml:space="preserve">15ش اسمنت +3م رمل +50طوبه اسمنتي اعمال رخام </v>
          </cell>
          <cell r="E686">
            <v>46181</v>
          </cell>
        </row>
        <row r="687">
          <cell r="D687" t="str">
            <v xml:space="preserve">فاتورة فوم سوديك </v>
          </cell>
          <cell r="E687">
            <v>46027</v>
          </cell>
        </row>
        <row r="688">
          <cell r="D688" t="str">
            <v xml:space="preserve">نقل  مرتجع الفوم لمصنع العاشر </v>
          </cell>
          <cell r="E688">
            <v>46042</v>
          </cell>
        </row>
        <row r="689">
          <cell r="D689" t="str">
            <v xml:space="preserve">مرتجع الفوم </v>
          </cell>
          <cell r="E689">
            <v>46043</v>
          </cell>
        </row>
        <row r="690">
          <cell r="D690" t="str">
            <v xml:space="preserve">اوبر ارسال عينه النجيله الصناعي   سامح مشتريات </v>
          </cell>
          <cell r="E690">
            <v>46132</v>
          </cell>
        </row>
        <row r="691">
          <cell r="D691" t="str">
            <v xml:space="preserve">دفعه مقدمه من  اعمال تاسيس ( شبكه الري)  اللاند سكيب ( اجمالي مقاوله 35400ج ) </v>
          </cell>
          <cell r="E691">
            <v>46135</v>
          </cell>
        </row>
        <row r="692">
          <cell r="D692" t="str">
            <v xml:space="preserve">دفعه مقدمه من  اعمال تشطيب ( التشجير)  اللاند سكيب ( اجمالي مقاوله 46495ج ) </v>
          </cell>
          <cell r="E692">
            <v>46138</v>
          </cell>
        </row>
        <row r="693">
          <cell r="D693" t="str">
            <v xml:space="preserve">10ش اسمنت لاعمال كهرباء وسباكه محارة  في اللاند سكيب </v>
          </cell>
          <cell r="E693">
            <v>46148</v>
          </cell>
        </row>
        <row r="694">
          <cell r="D694" t="str">
            <v xml:space="preserve">اكراميه الامن لتفادي مشكله وتحمل علي شركه الرواد اللاند سكيب </v>
          </cell>
          <cell r="E694">
            <v>46162</v>
          </cell>
        </row>
        <row r="695">
          <cell r="D695" t="str">
            <v xml:space="preserve">2جركن اديبوند   م/ اسلام   تخصم علي شركه الرواد </v>
          </cell>
          <cell r="E695">
            <v>46182</v>
          </cell>
        </row>
        <row r="696">
          <cell r="D696" t="str">
            <v xml:space="preserve">6م رمل+10ش اسمنت خرسانه وردم اللاند سكيب </v>
          </cell>
          <cell r="E696">
            <v>46186</v>
          </cell>
        </row>
        <row r="697">
          <cell r="D697" t="str">
            <v xml:space="preserve">اكراميه تركيب  الغاز </v>
          </cell>
          <cell r="E697">
            <v>46182</v>
          </cell>
        </row>
        <row r="698">
          <cell r="D698" t="str">
            <v xml:space="preserve">انتقالات مرتجعات من سوديك للمخزن </v>
          </cell>
          <cell r="E698">
            <v>46135</v>
          </cell>
        </row>
        <row r="699">
          <cell r="D699" t="str">
            <v>اعمال حصر وتسعير نجف سوديك 341</v>
          </cell>
          <cell r="E699">
            <v>46070</v>
          </cell>
        </row>
        <row r="700">
          <cell r="D700" t="str">
            <v xml:space="preserve">وارد دفعه ايراد من سوديك </v>
          </cell>
          <cell r="E700">
            <v>46030</v>
          </cell>
        </row>
        <row r="701">
          <cell r="D701" t="str">
            <v xml:space="preserve">وارد دفعه من ايرادات سوديك </v>
          </cell>
          <cell r="E701">
            <v>46153</v>
          </cell>
        </row>
        <row r="702">
          <cell r="E702">
            <v>46056</v>
          </cell>
        </row>
        <row r="703">
          <cell r="E703">
            <v>46048</v>
          </cell>
        </row>
        <row r="704">
          <cell r="D704" t="str">
            <v xml:space="preserve">وارد مبيعات الالوميتال الشبابيك القديمه </v>
          </cell>
          <cell r="E704">
            <v>46071</v>
          </cell>
        </row>
        <row r="705">
          <cell r="D705" t="str">
            <v xml:space="preserve">دفعه من ايرادات سوديك </v>
          </cell>
          <cell r="E705">
            <v>46184</v>
          </cell>
        </row>
        <row r="706">
          <cell r="E706">
            <v>46163</v>
          </cell>
        </row>
        <row r="707">
          <cell r="E707">
            <v>46134</v>
          </cell>
        </row>
        <row r="708">
          <cell r="E708">
            <v>46117</v>
          </cell>
        </row>
        <row r="709">
          <cell r="E709">
            <v>46091</v>
          </cell>
        </row>
        <row r="710">
          <cell r="E710">
            <v>46089</v>
          </cell>
        </row>
        <row r="711">
          <cell r="D711" t="str">
            <v xml:space="preserve">4 يوميات سوديك نظافه وتشوين + ايجار صاروخ   م /محمود </v>
          </cell>
          <cell r="E711">
            <v>46188</v>
          </cell>
        </row>
        <row r="712">
          <cell r="D712" t="str">
            <v xml:space="preserve">دفعه ثالثه  من اعمال النجارة في سوديك </v>
          </cell>
          <cell r="E712">
            <v>46189</v>
          </cell>
        </row>
        <row r="713">
          <cell r="D713" t="str">
            <v xml:space="preserve">فرق فاتورة ماده اللاصق + كرتونه سيراميك لسوديك ( 1461ج + 900ج ) - 1794 مرتجع الدقي </v>
          </cell>
          <cell r="E713">
            <v>46189</v>
          </cell>
        </row>
        <row r="714">
          <cell r="D714" t="str">
            <v xml:space="preserve">سيارة نقل من المكتب لسوديك للسلاب لبر الوالدين </v>
          </cell>
          <cell r="E714">
            <v>46189</v>
          </cell>
        </row>
        <row r="715">
          <cell r="D715" t="str">
            <v xml:space="preserve">اكراميه عامل تشوين مرتجعات سوديك </v>
          </cell>
          <cell r="E715">
            <v>46189</v>
          </cell>
        </row>
        <row r="716">
          <cell r="D716" t="str">
            <v xml:space="preserve">دفعه من اعمال كريتال سوديك ( المقاوله 60000ج  ) الباقي 12000ج </v>
          </cell>
          <cell r="E716">
            <v>46189</v>
          </cell>
        </row>
        <row r="717">
          <cell r="D717" t="str">
            <v xml:space="preserve">3م رمل + 15ش اسمنت </v>
          </cell>
          <cell r="E717">
            <v>46189</v>
          </cell>
        </row>
        <row r="718">
          <cell r="D718" t="str">
            <v>تعديلات كهرباء في سوديك (شاتر +متضرر من اللاند سكيب ) خصم 1500 علي شركه اللاند سكيب</v>
          </cell>
          <cell r="E718">
            <v>46190</v>
          </cell>
        </row>
        <row r="719">
          <cell r="D719" t="str">
            <v xml:space="preserve">دفعه من اعمال دهانات السور+الدوكو+تجاليد </v>
          </cell>
          <cell r="E719">
            <v>46190</v>
          </cell>
        </row>
        <row r="720">
          <cell r="D720" t="str">
            <v xml:space="preserve">دفعه من اعمال دهانات الحوائط والاسقف تشطيب </v>
          </cell>
          <cell r="E720">
            <v>46190</v>
          </cell>
        </row>
        <row r="721">
          <cell r="D721" t="str">
            <v xml:space="preserve">2 يوميه نظافه وتكسير بالموقع ونقل رمل + ايجار صاروخ </v>
          </cell>
          <cell r="E721">
            <v>46190</v>
          </cell>
        </row>
        <row r="722">
          <cell r="D722" t="str">
            <v xml:space="preserve">2 نقله رتش في سوديك </v>
          </cell>
          <cell r="E722">
            <v>46194</v>
          </cell>
        </row>
        <row r="723">
          <cell r="C723" t="str">
            <v>سوديك  Total</v>
          </cell>
        </row>
        <row r="724">
          <cell r="C724" t="str">
            <v>طارق الدقي 388</v>
          </cell>
          <cell r="D724" t="str">
            <v xml:space="preserve">50% مقاوله 2شباك مفصلي + حديد حمايه الليفنج   (  المقاوله 18500ج ) </v>
          </cell>
          <cell r="E724">
            <v>46135</v>
          </cell>
        </row>
        <row r="725">
          <cell r="D725" t="str">
            <v xml:space="preserve">باقي  مقاوله 2شباك مفصلي + حديد حمايه الليفنج   (  المقاوله 18500ج ) </v>
          </cell>
          <cell r="E725">
            <v>46166</v>
          </cell>
        </row>
        <row r="726">
          <cell r="D726" t="str">
            <v xml:space="preserve">دفعه مقدمه من سيكوريت الدقي  ( 17650 ج ) </v>
          </cell>
          <cell r="E726">
            <v>46152</v>
          </cell>
        </row>
        <row r="727">
          <cell r="D727" t="str">
            <v xml:space="preserve">دفعه من توريدات الدهانات ( الفاتورتين ب 15882 ج ) </v>
          </cell>
          <cell r="E727">
            <v>46163</v>
          </cell>
        </row>
        <row r="728">
          <cell r="D728" t="str">
            <v xml:space="preserve">دفعه من فاتورة ماده لاصق سيراميك ( باقي 4200ج ) عرباوي الشروق </v>
          </cell>
          <cell r="E728">
            <v>46093</v>
          </cell>
        </row>
        <row r="729">
          <cell r="D729" t="str">
            <v xml:space="preserve">50% من حوض بورسلين حمام الضيوف </v>
          </cell>
          <cell r="E729">
            <v>46135</v>
          </cell>
        </row>
        <row r="730">
          <cell r="D730" t="str">
            <v xml:space="preserve">باقي حساب احواض البورسلين في الدقي </v>
          </cell>
          <cell r="E730">
            <v>46163</v>
          </cell>
        </row>
        <row r="731">
          <cell r="D731" t="str">
            <v xml:space="preserve">فاتورة سباكه تأسيس </v>
          </cell>
          <cell r="E731">
            <v>46037</v>
          </cell>
        </row>
        <row r="732">
          <cell r="D732" t="str">
            <v xml:space="preserve">اجمالي حساب تاسيس تكيفات الدقي </v>
          </cell>
          <cell r="E732">
            <v>46053</v>
          </cell>
        </row>
        <row r="733">
          <cell r="D733" t="str">
            <v xml:space="preserve">حساب حوامل تكييف الدقي ( 6300ج ) </v>
          </cell>
          <cell r="E733">
            <v>46147</v>
          </cell>
        </row>
        <row r="734">
          <cell r="D734" t="str">
            <v xml:space="preserve">يوميه سباكه في الدقي بالخصم علي جيسك </v>
          </cell>
          <cell r="E734">
            <v>46151</v>
          </cell>
        </row>
        <row r="735">
          <cell r="D735" t="str">
            <v>دفعه 20%من اعمال المحارة ( 335م *90ج ) + يوميه اعاده تاسيس وبؤج1300ج</v>
          </cell>
          <cell r="E735">
            <v>46036</v>
          </cell>
        </row>
        <row r="736">
          <cell r="D736" t="str">
            <v xml:space="preserve">دفعه من حساب اعمال محارة الدقي </v>
          </cell>
          <cell r="E736">
            <v>46065</v>
          </cell>
        </row>
        <row r="737">
          <cell r="D737" t="str">
            <v xml:space="preserve">دفعه من باقي حساب خالد المحارة في الدقي ( تقفيل الحساب 11700ج) </v>
          </cell>
          <cell r="E737">
            <v>46086</v>
          </cell>
        </row>
        <row r="738">
          <cell r="D738" t="str">
            <v xml:space="preserve">تقفيل حساب خالد محارة في الدقي </v>
          </cell>
          <cell r="E738">
            <v>46098</v>
          </cell>
        </row>
        <row r="739">
          <cell r="D739" t="str">
            <v xml:space="preserve">دفعه من اعمال السيراميك في الدقي  ( 41100ج  الاجمالي ) </v>
          </cell>
          <cell r="E739">
            <v>46099</v>
          </cell>
        </row>
        <row r="740">
          <cell r="D740" t="str">
            <v xml:space="preserve">دفعه من اعمال سيراميك الدقي </v>
          </cell>
          <cell r="E740">
            <v>46121</v>
          </cell>
        </row>
        <row r="741">
          <cell r="D741" t="str">
            <v xml:space="preserve">دفعه من اعمال تركيب السيراميك ( باقي 4295 لتعديل الملاحظات ) </v>
          </cell>
          <cell r="E741">
            <v>46128</v>
          </cell>
        </row>
        <row r="742">
          <cell r="D742" t="str">
            <v xml:space="preserve">دفعه من تنجيد الدقي </v>
          </cell>
          <cell r="E742">
            <v>46151</v>
          </cell>
        </row>
        <row r="743">
          <cell r="D743" t="str">
            <v xml:space="preserve">كامل مقاوله عبد الشكور في الدقي </v>
          </cell>
          <cell r="E743">
            <v>46093</v>
          </cell>
        </row>
        <row r="744">
          <cell r="D744" t="str">
            <v>دفعه من اعمال دهانات الدقي ( 537م * 105ج ) = 56385  ج + تجاليد 60م*300ج=18000ج</v>
          </cell>
          <cell r="E744">
            <v>46184</v>
          </cell>
        </row>
        <row r="745">
          <cell r="E745">
            <v>46163</v>
          </cell>
        </row>
        <row r="746">
          <cell r="E746">
            <v>46135</v>
          </cell>
        </row>
        <row r="747">
          <cell r="E747">
            <v>46128</v>
          </cell>
        </row>
        <row r="748">
          <cell r="E748">
            <v>46121</v>
          </cell>
        </row>
        <row r="749">
          <cell r="D749" t="str">
            <v xml:space="preserve">دفعه من حساب اعمال الدهانات </v>
          </cell>
          <cell r="E749">
            <v>46166</v>
          </cell>
        </row>
        <row r="750">
          <cell r="D750" t="str">
            <v xml:space="preserve">دفعه تجاليد عالفه الدقي </v>
          </cell>
          <cell r="E750">
            <v>46097</v>
          </cell>
        </row>
        <row r="751">
          <cell r="D751" t="str">
            <v xml:space="preserve">دفعه مطبخ الدقي </v>
          </cell>
          <cell r="E751">
            <v>46097</v>
          </cell>
        </row>
        <row r="752">
          <cell r="D752" t="str">
            <v xml:space="preserve">دفعه من حساب تأسيس  الكهرباء محمد السيد في الدقي  ( اجمالي المقاوله 45000ج) </v>
          </cell>
          <cell r="E752">
            <v>46058</v>
          </cell>
        </row>
        <row r="753">
          <cell r="D753" t="str">
            <v xml:space="preserve">دفعه من اعمال كهرباء محمد السيد في الدقي </v>
          </cell>
          <cell r="E753">
            <v>46086</v>
          </cell>
        </row>
        <row r="754">
          <cell r="D754" t="str">
            <v xml:space="preserve">دفعه من اعمال تاسيس الكهرباء ( 45000ج)  + السقف (17000ج) </v>
          </cell>
          <cell r="E754">
            <v>46093</v>
          </cell>
        </row>
        <row r="755">
          <cell r="D755" t="str">
            <v xml:space="preserve">دفعه من اعمال كهرباء الدقي </v>
          </cell>
          <cell r="E755">
            <v>46121</v>
          </cell>
        </row>
        <row r="756">
          <cell r="D756" t="str">
            <v xml:space="preserve">دفعه من اعمال تشطيب كهرباء الدقي </v>
          </cell>
          <cell r="E756">
            <v>46163</v>
          </cell>
        </row>
        <row r="757">
          <cell r="D757" t="str">
            <v xml:space="preserve">حساب شاتر بدون موتور  الدقي </v>
          </cell>
          <cell r="E757">
            <v>46060</v>
          </cell>
        </row>
        <row r="758">
          <cell r="D758" t="str">
            <v xml:space="preserve">دفعه من اعمال شاتر الدقي </v>
          </cell>
          <cell r="E758">
            <v>46093</v>
          </cell>
        </row>
        <row r="759">
          <cell r="D759" t="str">
            <v xml:space="preserve">فاتورة توريد كهرباء الدقي </v>
          </cell>
          <cell r="E759">
            <v>46065</v>
          </cell>
        </row>
        <row r="760">
          <cell r="D760" t="str">
            <v xml:space="preserve">دفعه من اعمال تاسيس السباكه  ( اجمالي المقاوله 21000ج ) </v>
          </cell>
          <cell r="E760">
            <v>46050</v>
          </cell>
        </row>
        <row r="761">
          <cell r="E761">
            <v>46043</v>
          </cell>
        </row>
        <row r="762">
          <cell r="D762" t="str">
            <v xml:space="preserve">باقي حساب محمد السباك في الدقي </v>
          </cell>
          <cell r="E762">
            <v>46058</v>
          </cell>
        </row>
        <row r="763">
          <cell r="D763" t="str">
            <v xml:space="preserve">دفعه من حساب توريد وتركيب الجبس </v>
          </cell>
          <cell r="E763">
            <v>46097</v>
          </cell>
        </row>
        <row r="764">
          <cell r="D764" t="str">
            <v xml:space="preserve">قماش الدقي </v>
          </cell>
          <cell r="E764">
            <v>46186</v>
          </cell>
        </row>
        <row r="765">
          <cell r="E765">
            <v>46174</v>
          </cell>
        </row>
        <row r="766">
          <cell r="D766" t="str">
            <v xml:space="preserve">فاتورة تاسيس سباكه دفن جروهي </v>
          </cell>
          <cell r="E766">
            <v>46037</v>
          </cell>
        </row>
        <row r="767">
          <cell r="D767" t="str">
            <v xml:space="preserve">فاتورة استكمال سباكه تاسيس الدقي </v>
          </cell>
          <cell r="E767">
            <v>46046</v>
          </cell>
        </row>
        <row r="768">
          <cell r="E768">
            <v>46042</v>
          </cell>
        </row>
        <row r="769">
          <cell r="D769" t="str">
            <v xml:space="preserve">2 فاتورة طلبات سباكه تاسيس + النقل والتشوين 300ج </v>
          </cell>
          <cell r="E769">
            <v>46046</v>
          </cell>
        </row>
        <row r="770">
          <cell r="D770" t="str">
            <v xml:space="preserve">2 فاتورة سباكه الدقي </v>
          </cell>
          <cell r="E770">
            <v>46050</v>
          </cell>
        </row>
        <row r="771">
          <cell r="D771" t="str">
            <v xml:space="preserve">فاتورة سباكه تشطيب  ماقبل السيراميك  + النقل </v>
          </cell>
          <cell r="E771">
            <v>46121</v>
          </cell>
        </row>
        <row r="772">
          <cell r="D772" t="str">
            <v xml:space="preserve">تنكيل فلاش تانك +خلاط+ مشتملات محبس دفن بالتوصيل </v>
          </cell>
          <cell r="E772">
            <v>46166</v>
          </cell>
        </row>
        <row r="773">
          <cell r="D773" t="str">
            <v xml:space="preserve">سوسته وراق مناديل    م/ منه </v>
          </cell>
          <cell r="E773">
            <v>46181</v>
          </cell>
        </row>
        <row r="774">
          <cell r="D774" t="str">
            <v xml:space="preserve">نص طن اسمنت لزوم المحارة2100ج + 300 نقل وتشوين </v>
          </cell>
          <cell r="E774">
            <v>46036</v>
          </cell>
        </row>
        <row r="775">
          <cell r="D775" t="str">
            <v xml:space="preserve">نص طن اسمنت بالتشوين لزوم المحارة </v>
          </cell>
          <cell r="E775">
            <v>46046</v>
          </cell>
        </row>
        <row r="776">
          <cell r="D776" t="str">
            <v xml:space="preserve"> نقله رمله 850ج + 2500طوبه4125ج+2طن اسمنت8200ج</v>
          </cell>
          <cell r="E776">
            <v>46048</v>
          </cell>
        </row>
        <row r="777">
          <cell r="D777" t="str">
            <v>2 طن اسمنت8400+3نقله رمل2550</v>
          </cell>
          <cell r="E777">
            <v>46062</v>
          </cell>
        </row>
        <row r="778">
          <cell r="D778" t="str">
            <v xml:space="preserve">5طن اسمنت+4نقله رمل +150طوبه احمر بالتشوين </v>
          </cell>
          <cell r="E778">
            <v>46065</v>
          </cell>
        </row>
        <row r="779">
          <cell r="D779" t="str">
            <v xml:space="preserve">1/2طن اسمنت بالتشوين+اكراميه الغفير  م/ احمد يونس </v>
          </cell>
          <cell r="E779">
            <v>46075</v>
          </cell>
        </row>
        <row r="780">
          <cell r="D780" t="str">
            <v xml:space="preserve">2نقله رمل + طن اسمنت +التشوين  </v>
          </cell>
          <cell r="E780">
            <v>46083</v>
          </cell>
        </row>
        <row r="781">
          <cell r="D781" t="str">
            <v xml:space="preserve">خراطيم وسلك كهرباء </v>
          </cell>
          <cell r="E781">
            <v>46093</v>
          </cell>
        </row>
        <row r="782">
          <cell r="D782" t="str">
            <v xml:space="preserve">ايجار هيلتي تكسير المحارة </v>
          </cell>
          <cell r="E782">
            <v>46093</v>
          </cell>
        </row>
        <row r="783">
          <cell r="D783" t="str">
            <v xml:space="preserve">معجون شروخ امريكي </v>
          </cell>
          <cell r="E783">
            <v>46120</v>
          </cell>
        </row>
        <row r="784">
          <cell r="D784" t="str">
            <v xml:space="preserve">فاتورة 4ش معجون كريلك+معجون دايتون+صنفرة </v>
          </cell>
          <cell r="E784">
            <v>46123</v>
          </cell>
        </row>
        <row r="785">
          <cell r="D785" t="str">
            <v xml:space="preserve">سيلر مائي + 15 فرخ صنفرة </v>
          </cell>
          <cell r="E785">
            <v>46139</v>
          </cell>
        </row>
        <row r="786">
          <cell r="D786" t="str">
            <v xml:space="preserve">يوميه تغليف الارضيات  </v>
          </cell>
          <cell r="E786">
            <v>46159</v>
          </cell>
        </row>
        <row r="787">
          <cell r="D787" t="str">
            <v xml:space="preserve">2 ش جبس ممتاز  بالتوصيل </v>
          </cell>
          <cell r="E787">
            <v>46184</v>
          </cell>
        </row>
        <row r="788">
          <cell r="D788" t="str">
            <v xml:space="preserve">ونش لزوم تشوين الطوب والاسمنت والرمل </v>
          </cell>
          <cell r="E788">
            <v>46034</v>
          </cell>
        </row>
        <row r="789">
          <cell r="D789" t="str">
            <v xml:space="preserve">نقل طلبات سباكه الدقي + عامل </v>
          </cell>
          <cell r="E789">
            <v>46037</v>
          </cell>
        </row>
        <row r="790">
          <cell r="D790" t="str">
            <v xml:space="preserve">ونش لزوم تنزيل الرتش + تشوين خامات المحارة </v>
          </cell>
          <cell r="E790">
            <v>46048</v>
          </cell>
        </row>
        <row r="791">
          <cell r="D791" t="str">
            <v>5 عربيات رتش4250+ ونش تشوين الرتش والاسمنت5000ج+عماله نظافه1000</v>
          </cell>
          <cell r="E791">
            <v>46062</v>
          </cell>
        </row>
        <row r="792">
          <cell r="D792" t="str">
            <v xml:space="preserve">توصيل استكمال كهرباء الدقي </v>
          </cell>
          <cell r="E792">
            <v>46062</v>
          </cell>
        </row>
        <row r="793">
          <cell r="D793" t="str">
            <v xml:space="preserve">نقل خامات الكهرباء </v>
          </cell>
          <cell r="E793">
            <v>46093</v>
          </cell>
        </row>
        <row r="794">
          <cell r="D794" t="str">
            <v xml:space="preserve">نقل مرتجع الدقي +تسليم ماده اللزق </v>
          </cell>
          <cell r="E794">
            <v>46133</v>
          </cell>
        </row>
        <row r="795">
          <cell r="D795" t="str">
            <v xml:space="preserve">اوبر نقل حامل شاشه و مشترك </v>
          </cell>
          <cell r="E795">
            <v>46177</v>
          </cell>
        </row>
        <row r="796">
          <cell r="D796" t="str">
            <v xml:space="preserve">مصنعيه مباني في الدقي </v>
          </cell>
          <cell r="E796">
            <v>46027</v>
          </cell>
        </row>
        <row r="797">
          <cell r="D797" t="str">
            <v xml:space="preserve">2000طوبه * 1650ج </v>
          </cell>
          <cell r="E797">
            <v>46027</v>
          </cell>
        </row>
        <row r="798">
          <cell r="D798" t="str">
            <v xml:space="preserve">باقي حساب مباني الدقي </v>
          </cell>
          <cell r="E798">
            <v>46029</v>
          </cell>
        </row>
        <row r="799">
          <cell r="D799" t="str">
            <v xml:space="preserve">2 جركن اديبوند + 2 عتب </v>
          </cell>
          <cell r="E799">
            <v>46029</v>
          </cell>
        </row>
        <row r="800">
          <cell r="D800" t="str">
            <v xml:space="preserve">طن اسمنت لزوم المباني </v>
          </cell>
          <cell r="E800">
            <v>46033</v>
          </cell>
        </row>
        <row r="801">
          <cell r="D801" t="str">
            <v xml:space="preserve">1500 طوبه لزوم المباني </v>
          </cell>
          <cell r="E801">
            <v>46033</v>
          </cell>
        </row>
        <row r="802">
          <cell r="D802" t="str">
            <v xml:space="preserve">باقي مصنعيه المباني </v>
          </cell>
          <cell r="E802">
            <v>46034</v>
          </cell>
        </row>
        <row r="803">
          <cell r="D803" t="str">
            <v>مباني شغل ٦ ايام</v>
          </cell>
          <cell r="E803">
            <v>46054</v>
          </cell>
        </row>
        <row r="804">
          <cell r="D804" t="str">
            <v xml:space="preserve">1/2 طن اسمنت+300ج مشال </v>
          </cell>
          <cell r="E804">
            <v>46054</v>
          </cell>
        </row>
        <row r="805">
          <cell r="D805" t="str">
            <v xml:space="preserve">2500طوبه+طن اسمنت+عتب+نقله رمل +التشوين </v>
          </cell>
          <cell r="E805">
            <v>46058</v>
          </cell>
        </row>
        <row r="806">
          <cell r="D806" t="str">
            <v xml:space="preserve">مصنعيه مباني </v>
          </cell>
          <cell r="E806">
            <v>46058</v>
          </cell>
        </row>
        <row r="807">
          <cell r="D807" t="str">
            <v xml:space="preserve">فاتورة تشطيب كهرباء </v>
          </cell>
          <cell r="E807">
            <v>46133</v>
          </cell>
        </row>
        <row r="808">
          <cell r="D808" t="str">
            <v xml:space="preserve">فاتورة  لفه سلك سماعات </v>
          </cell>
          <cell r="E808">
            <v>46184</v>
          </cell>
        </row>
        <row r="809">
          <cell r="D809" t="str">
            <v xml:space="preserve">فاتورة استكمال بلاستيكات كهرباء </v>
          </cell>
          <cell r="E809">
            <v>46046</v>
          </cell>
        </row>
        <row r="810">
          <cell r="D810" t="str">
            <v xml:space="preserve">فاتورة بواط سقف 4 مخرج </v>
          </cell>
          <cell r="E810">
            <v>46056</v>
          </cell>
        </row>
        <row r="811">
          <cell r="D811" t="str">
            <v xml:space="preserve">فاتورة كهرباء ماقبل الجبس </v>
          </cell>
          <cell r="E811">
            <v>46086</v>
          </cell>
        </row>
        <row r="812">
          <cell r="D812" t="str">
            <v>فاتورة كهرباء الدقي سلك</v>
          </cell>
          <cell r="E812">
            <v>46089</v>
          </cell>
        </row>
        <row r="813">
          <cell r="D813" t="str">
            <v xml:space="preserve">فاتورة استكمال ساسيس كهرباء </v>
          </cell>
          <cell r="E813">
            <v>46093</v>
          </cell>
        </row>
        <row r="814">
          <cell r="D814" t="str">
            <v xml:space="preserve">فاتورة كهرباء بيد فرج الكهربائي </v>
          </cell>
          <cell r="E814">
            <v>46099</v>
          </cell>
        </row>
        <row r="815">
          <cell r="D815" t="str">
            <v xml:space="preserve">فاتورة استكمال تكهرباء تشطيب الدقي </v>
          </cell>
          <cell r="E815">
            <v>46135</v>
          </cell>
        </row>
        <row r="816">
          <cell r="D816" t="str">
            <v xml:space="preserve">لفه سلك سماعات استكمال </v>
          </cell>
          <cell r="E816">
            <v>46161</v>
          </cell>
        </row>
        <row r="817">
          <cell r="D817" t="str">
            <v xml:space="preserve">تشوين خامات الكهرباء في الدقي الي كانت بالمخزن </v>
          </cell>
          <cell r="E817">
            <v>46161</v>
          </cell>
        </row>
        <row r="818">
          <cell r="D818" t="str">
            <v xml:space="preserve">بلاستيك تغليف اوشاش الكهرباء م /اسلام </v>
          </cell>
          <cell r="E818">
            <v>46162</v>
          </cell>
        </row>
        <row r="819">
          <cell r="D819" t="str">
            <v xml:space="preserve">فاتورة استكما كهرباء تشطيب الدقي </v>
          </cell>
          <cell r="E819">
            <v>46184</v>
          </cell>
        </row>
        <row r="820">
          <cell r="D820" t="str">
            <v xml:space="preserve">5 عربيات نقل رتش  * 850ج </v>
          </cell>
          <cell r="E820">
            <v>46027</v>
          </cell>
        </row>
        <row r="821">
          <cell r="D821" t="str">
            <v>5نقله رتش4250ج + يوميتن نظافه 1000ج</v>
          </cell>
          <cell r="E821">
            <v>46048</v>
          </cell>
        </row>
        <row r="822">
          <cell r="D822" t="str">
            <v xml:space="preserve">ش اسمنت ابيض </v>
          </cell>
          <cell r="E822">
            <v>46093</v>
          </cell>
        </row>
        <row r="823">
          <cell r="D823" t="str">
            <v xml:space="preserve">نظافع موقع + ترويق الموقع  م/ احمد يونس </v>
          </cell>
          <cell r="E823">
            <v>46123</v>
          </cell>
        </row>
        <row r="824">
          <cell r="D824" t="str">
            <v xml:space="preserve">2 نقله رتش + نظافه </v>
          </cell>
          <cell r="E824">
            <v>46131</v>
          </cell>
        </row>
        <row r="825">
          <cell r="D825" t="str">
            <v xml:space="preserve">عامل تشوين خامات الفيوتك+ تروسيكل نقل المخلفات + عامل نظافه </v>
          </cell>
          <cell r="E825">
            <v>46156</v>
          </cell>
        </row>
        <row r="826">
          <cell r="D826" t="str">
            <v xml:space="preserve">يوميه نظافه بالموقع </v>
          </cell>
          <cell r="E826">
            <v>46184</v>
          </cell>
        </row>
        <row r="827">
          <cell r="D827" t="str">
            <v xml:space="preserve">فاتورة 3 سيكا لزوم العزل </v>
          </cell>
          <cell r="E827">
            <v>46046</v>
          </cell>
        </row>
        <row r="828">
          <cell r="D828" t="str">
            <v xml:space="preserve">قلب كالون + مصنعيه التركيب </v>
          </cell>
          <cell r="E828">
            <v>46027</v>
          </cell>
        </row>
        <row r="829">
          <cell r="D829" t="str">
            <v xml:space="preserve">3 نقله رمل لزوم المباني و المحارة </v>
          </cell>
          <cell r="E829">
            <v>46033</v>
          </cell>
        </row>
        <row r="830">
          <cell r="D830" t="str">
            <v xml:space="preserve">فواتير تجهيز موقع ( خرطوم+مسامير+سلك شريط+كهرباء ) </v>
          </cell>
          <cell r="E830">
            <v>46036</v>
          </cell>
        </row>
        <row r="831">
          <cell r="D831" t="str">
            <v xml:space="preserve">قفل باب مخزن الدقي </v>
          </cell>
          <cell r="E831">
            <v>46042</v>
          </cell>
        </row>
        <row r="832">
          <cell r="D832" t="str">
            <v xml:space="preserve">تركيب باب المخزن والفوم </v>
          </cell>
          <cell r="E832">
            <v>46046</v>
          </cell>
        </row>
        <row r="833">
          <cell r="D833" t="str">
            <v xml:space="preserve">يوميات تكسير المحارة المطبله + زنبرة </v>
          </cell>
          <cell r="E833">
            <v>46054</v>
          </cell>
        </row>
        <row r="834">
          <cell r="D834" t="str">
            <v xml:space="preserve">تكسير مابين القديمه والجديده والربط بينهم </v>
          </cell>
          <cell r="E834">
            <v>46065</v>
          </cell>
        </row>
        <row r="835">
          <cell r="D835" t="str">
            <v xml:space="preserve">نقله رتش800ج+ تشوين دهانات ونظافه </v>
          </cell>
          <cell r="E835">
            <v>46116</v>
          </cell>
        </row>
        <row r="836">
          <cell r="D836" t="str">
            <v xml:space="preserve">اكراميه الغفير </v>
          </cell>
          <cell r="E836">
            <v>46036</v>
          </cell>
        </row>
        <row r="837">
          <cell r="D837" t="str">
            <v xml:space="preserve">باب مصفح الدقي </v>
          </cell>
          <cell r="E837">
            <v>46186</v>
          </cell>
        </row>
        <row r="838">
          <cell r="D838" t="str">
            <v xml:space="preserve">فاتورة استكمال سيراميك </v>
          </cell>
          <cell r="E838">
            <v>46121</v>
          </cell>
        </row>
        <row r="839">
          <cell r="D839" t="str">
            <v xml:space="preserve">عربون حجز سيراميك الدقي </v>
          </cell>
          <cell r="E839">
            <v>46070</v>
          </cell>
        </row>
        <row r="840">
          <cell r="D840" t="str">
            <v xml:space="preserve">مشتريات سيراميك الدقي 388 ( 10000 حجز+210637 )= 220637ج </v>
          </cell>
          <cell r="E840">
            <v>46076</v>
          </cell>
        </row>
        <row r="841">
          <cell r="D841" t="str">
            <v xml:space="preserve">4 طن اسمنت </v>
          </cell>
          <cell r="E841">
            <v>46093</v>
          </cell>
        </row>
        <row r="842">
          <cell r="D842" t="str">
            <v xml:space="preserve">30م رمل ( 10 عربيات*850ج للعربيه ) </v>
          </cell>
          <cell r="E842">
            <v>46093</v>
          </cell>
        </row>
        <row r="843">
          <cell r="D843" t="str">
            <v xml:space="preserve">4 نقله رتش *850ج </v>
          </cell>
          <cell r="E843">
            <v>46093</v>
          </cell>
        </row>
        <row r="844">
          <cell r="D844" t="str">
            <v xml:space="preserve">نظافه </v>
          </cell>
          <cell r="E844">
            <v>46093</v>
          </cell>
        </row>
        <row r="845">
          <cell r="D845" t="str">
            <v>تشوين 2طن ماده+4طن اسمنت *500ج</v>
          </cell>
          <cell r="E845">
            <v>46093</v>
          </cell>
        </row>
        <row r="846">
          <cell r="D846" t="str">
            <v xml:space="preserve">تشوين 30م رمل *300ج للمتر </v>
          </cell>
          <cell r="E846">
            <v>46093</v>
          </cell>
        </row>
        <row r="847">
          <cell r="D847" t="str">
            <v xml:space="preserve">215 كرتونه سيراميك * 10ج للكرتونه </v>
          </cell>
          <cell r="E847">
            <v>46093</v>
          </cell>
        </row>
        <row r="848">
          <cell r="D848" t="str">
            <v xml:space="preserve">فاتورة طلبات خامات سيراميك ( صلايبو كلبسات ومشابك </v>
          </cell>
          <cell r="E848">
            <v>46097</v>
          </cell>
        </row>
        <row r="849">
          <cell r="D849" t="str">
            <v xml:space="preserve">2 يوميه عماله توزيع السيراميك والرمل والاسمنت </v>
          </cell>
          <cell r="E849">
            <v>46097</v>
          </cell>
        </row>
        <row r="850">
          <cell r="D850" t="str">
            <v xml:space="preserve">6م رمل+طن اسمنت بالتشوين + اكراميه الغفير </v>
          </cell>
          <cell r="E850">
            <v>46109</v>
          </cell>
        </row>
        <row r="851">
          <cell r="D851" t="str">
            <v xml:space="preserve">فاتورة ماده سقيه الدقي </v>
          </cell>
          <cell r="E851">
            <v>46117</v>
          </cell>
        </row>
        <row r="852">
          <cell r="D852" t="str">
            <v xml:space="preserve">تشوين ماده السيراميك +3ك سيراميك م/ احمد يونس </v>
          </cell>
          <cell r="E852">
            <v>46123</v>
          </cell>
        </row>
        <row r="853">
          <cell r="D853" t="str">
            <v xml:space="preserve">10 ش اسمنت *220  + نقله رمل 850ج + التشوين    م/ احمد يونس </v>
          </cell>
          <cell r="E853">
            <v>46123</v>
          </cell>
        </row>
        <row r="854">
          <cell r="D854" t="str">
            <v xml:space="preserve">حساب توريد وتركيب فيوتك </v>
          </cell>
          <cell r="E854">
            <v>46159</v>
          </cell>
        </row>
        <row r="855">
          <cell r="D855" t="str">
            <v xml:space="preserve">حامل شاشه متحرك </v>
          </cell>
          <cell r="E855">
            <v>46179</v>
          </cell>
        </row>
        <row r="856">
          <cell r="D856" t="str">
            <v xml:space="preserve">فاتورة تاسيس شفاطات </v>
          </cell>
          <cell r="E856">
            <v>46046</v>
          </cell>
        </row>
        <row r="857">
          <cell r="D857" t="str">
            <v>تاسيس 4 نقط شفاطات*250ج + تركيب بلاور خارجي *700ج</v>
          </cell>
          <cell r="E857">
            <v>46050</v>
          </cell>
        </row>
        <row r="858">
          <cell r="D858" t="str">
            <v xml:space="preserve">فاتورة شفاطات الدقي </v>
          </cell>
          <cell r="E858">
            <v>46187</v>
          </cell>
        </row>
        <row r="859">
          <cell r="D859" t="str">
            <v xml:space="preserve">مصروف ممارسه الكهرباء والمياه </v>
          </cell>
          <cell r="E859">
            <v>46033</v>
          </cell>
        </row>
        <row r="860">
          <cell r="D860" t="str">
            <v xml:space="preserve">تجديد ترخيص معماري حي الدقي </v>
          </cell>
          <cell r="E860">
            <v>46056</v>
          </cell>
        </row>
        <row r="861">
          <cell r="D861" t="str">
            <v xml:space="preserve">دفعه من ايرادات الدقي 388 </v>
          </cell>
          <cell r="E861">
            <v>46092</v>
          </cell>
        </row>
        <row r="862">
          <cell r="E862">
            <v>46091</v>
          </cell>
        </row>
        <row r="863">
          <cell r="E863">
            <v>46072</v>
          </cell>
        </row>
        <row r="864">
          <cell r="E864">
            <v>46071</v>
          </cell>
        </row>
        <row r="865">
          <cell r="E865">
            <v>46063</v>
          </cell>
        </row>
        <row r="866">
          <cell r="E866">
            <v>46047</v>
          </cell>
        </row>
        <row r="867">
          <cell r="D867" t="str">
            <v>وارد دفعه من ايرادات طارق الدقي 388</v>
          </cell>
          <cell r="E867">
            <v>46049</v>
          </cell>
        </row>
        <row r="868">
          <cell r="D868" t="str">
            <v>واد دفعه من ايراد الدقي 388</v>
          </cell>
          <cell r="E868">
            <v>46054</v>
          </cell>
        </row>
        <row r="869">
          <cell r="D869" t="str">
            <v xml:space="preserve">وارد دفعه ايرادات من الدقي </v>
          </cell>
          <cell r="E869">
            <v>46055</v>
          </cell>
        </row>
        <row r="870">
          <cell r="D870" t="str">
            <v xml:space="preserve">دفعه من ايرادات طارق الدقي ( اجمالي  659107 ج ) </v>
          </cell>
          <cell r="E870">
            <v>46067</v>
          </cell>
        </row>
        <row r="871">
          <cell r="D871" t="str">
            <v xml:space="preserve">وارد دفعه ايرادات من طارق الدقي </v>
          </cell>
          <cell r="E871">
            <v>46139</v>
          </cell>
        </row>
        <row r="872">
          <cell r="E872">
            <v>46131</v>
          </cell>
        </row>
        <row r="873">
          <cell r="D873" t="str">
            <v xml:space="preserve">وارد دفعه من ايرادات الدقي 388 </v>
          </cell>
          <cell r="E873">
            <v>46155</v>
          </cell>
        </row>
        <row r="874">
          <cell r="E874">
            <v>46132</v>
          </cell>
        </row>
        <row r="875">
          <cell r="D875" t="str">
            <v xml:space="preserve">دفعه من ايرادات طارق الدقي </v>
          </cell>
          <cell r="E875">
            <v>46134</v>
          </cell>
        </row>
        <row r="876">
          <cell r="D876" t="str">
            <v xml:space="preserve">باقي ايرادات الثري دي في الدقي </v>
          </cell>
          <cell r="E876">
            <v>46028</v>
          </cell>
        </row>
        <row r="877">
          <cell r="D877" t="str">
            <v xml:space="preserve">فاتورة طلبات دهانات السقف في الدقي بالخصم علي محمود الجبس </v>
          </cell>
          <cell r="E877">
            <v>46190</v>
          </cell>
        </row>
        <row r="878">
          <cell r="D878" t="str">
            <v>فاتورة  صنفرة 150+180</v>
          </cell>
          <cell r="E878">
            <v>46190</v>
          </cell>
        </row>
        <row r="879">
          <cell r="D879" t="str">
            <v xml:space="preserve">دفعه من حساب دهانات الدقي </v>
          </cell>
          <cell r="E879">
            <v>46190</v>
          </cell>
        </row>
        <row r="880">
          <cell r="D880" t="str">
            <v xml:space="preserve">فاتورة دهانات ( بستله سيلر مائي  بيد عمرو النقاش </v>
          </cell>
          <cell r="E880">
            <v>46190</v>
          </cell>
        </row>
        <row r="881">
          <cell r="D881" t="str">
            <v>من اعمال تشطيب كهرباء الدقي ( 45000ج)  + السقف (17000ج) +تجاليد10000+تعديل6000</v>
          </cell>
          <cell r="E881">
            <v>46190</v>
          </cell>
        </row>
        <row r="882">
          <cell r="D882" t="str">
            <v xml:space="preserve">دفعه من اعمال التنجيد في الدقي </v>
          </cell>
          <cell r="E882">
            <v>46193</v>
          </cell>
        </row>
        <row r="883">
          <cell r="C883" t="str">
            <v>طارق الدقي 388 Total</v>
          </cell>
        </row>
        <row r="884">
          <cell r="C884" t="str">
            <v xml:space="preserve">عمرو العبور </v>
          </cell>
          <cell r="D884" t="str">
            <v xml:space="preserve">دفعه من حساب سامي الرخام ( حساب قديم ) </v>
          </cell>
          <cell r="E884">
            <v>46061</v>
          </cell>
        </row>
        <row r="885">
          <cell r="D885" t="str">
            <v>دفعه من اعمال كيريتال اعمرو لعبور</v>
          </cell>
          <cell r="E885">
            <v>46096</v>
          </cell>
        </row>
        <row r="886">
          <cell r="D886" t="str">
            <v xml:space="preserve">باقي حساب كيريتال العبور </v>
          </cell>
          <cell r="E886">
            <v>46099</v>
          </cell>
        </row>
        <row r="887">
          <cell r="D887" t="str">
            <v xml:space="preserve">توريد وتركيب مرايا المدخل ( خالص المقاوله 6000ج ) </v>
          </cell>
          <cell r="E887">
            <v>46041</v>
          </cell>
        </row>
        <row r="888">
          <cell r="D888" t="str">
            <v xml:space="preserve">حساب توريدات الدهانات </v>
          </cell>
          <cell r="E888">
            <v>46051</v>
          </cell>
        </row>
        <row r="889">
          <cell r="D889" t="str">
            <v xml:space="preserve">يوميات دهانات السقف في مدخل العبور </v>
          </cell>
          <cell r="E889">
            <v>46179</v>
          </cell>
        </row>
        <row r="890">
          <cell r="D890" t="str">
            <v xml:space="preserve">دفعه عمرو ريحان من اعمال دهانات عمرو العبور </v>
          </cell>
          <cell r="E890">
            <v>46029</v>
          </cell>
        </row>
        <row r="891">
          <cell r="D891" t="str">
            <v xml:space="preserve">2 يوميه اعمال دهانات بعد الحداده </v>
          </cell>
          <cell r="E891">
            <v>46121</v>
          </cell>
        </row>
        <row r="892">
          <cell r="D892" t="str">
            <v xml:space="preserve">2 يوميه دهانات في عمرو العبور </v>
          </cell>
          <cell r="E892">
            <v>46128</v>
          </cell>
        </row>
        <row r="893">
          <cell r="D893" t="str">
            <v xml:space="preserve">باقي حساب  محمد السيد عمرو العبور </v>
          </cell>
          <cell r="E893">
            <v>46086</v>
          </cell>
        </row>
        <row r="894">
          <cell r="D894" t="str">
            <v xml:space="preserve">يوميه في عمرو العبور شاسيهات ولقم </v>
          </cell>
          <cell r="E894">
            <v>46099</v>
          </cell>
        </row>
        <row r="895">
          <cell r="D895" t="str">
            <v xml:space="preserve">تنظيف 4 بيبه من الاسمنت +تعديل خلاط شاور </v>
          </cell>
          <cell r="E895">
            <v>46065</v>
          </cell>
        </row>
        <row r="896">
          <cell r="D896" t="str">
            <v xml:space="preserve">فاتورة دهانات عمرو العبور </v>
          </cell>
          <cell r="E896">
            <v>46034</v>
          </cell>
        </row>
        <row r="897">
          <cell r="D897" t="str">
            <v xml:space="preserve">3 بكرة تين + زجاجه تنر  م / اسلام </v>
          </cell>
          <cell r="E897">
            <v>46126</v>
          </cell>
        </row>
        <row r="898">
          <cell r="D898" t="str">
            <v xml:space="preserve">فاتورة دهانات تشطيب مدخل العبور </v>
          </cell>
          <cell r="E898">
            <v>46166</v>
          </cell>
        </row>
        <row r="899">
          <cell r="D899" t="str">
            <v xml:space="preserve">فاتورة كهرباء عمرو العبور 8طبق 50سم </v>
          </cell>
          <cell r="E899">
            <v>46086</v>
          </cell>
        </row>
        <row r="900">
          <cell r="D900" t="str">
            <v xml:space="preserve">اصلاح وصيانه عدد 2 كشاف مدخل العبور </v>
          </cell>
          <cell r="E900">
            <v>46166</v>
          </cell>
        </row>
        <row r="901">
          <cell r="D901" t="str">
            <v xml:space="preserve">اعمال تنظيف </v>
          </cell>
          <cell r="E901">
            <v>46030</v>
          </cell>
        </row>
        <row r="902">
          <cell r="D902" t="str">
            <v>اعمال تنظيف</v>
          </cell>
          <cell r="E902">
            <v>46044</v>
          </cell>
        </row>
        <row r="903">
          <cell r="E903">
            <v>46043</v>
          </cell>
        </row>
        <row r="904">
          <cell r="D904" t="str">
            <v xml:space="preserve">يوميه نظافه </v>
          </cell>
          <cell r="E904">
            <v>46131</v>
          </cell>
        </row>
        <row r="905">
          <cell r="D905" t="str">
            <v xml:space="preserve">وارد دفعه ايرادات من عمرو العبور </v>
          </cell>
          <cell r="E905">
            <v>46068</v>
          </cell>
        </row>
        <row r="906">
          <cell r="D906" t="str">
            <v xml:space="preserve">وارد دفعه من ايرادات عمرو العبور    </v>
          </cell>
          <cell r="E906">
            <v>46109</v>
          </cell>
        </row>
        <row r="907">
          <cell r="D907" t="str">
            <v xml:space="preserve">دفعه من ايرادات عمرو العبور </v>
          </cell>
          <cell r="E907">
            <v>46176</v>
          </cell>
        </row>
        <row r="908">
          <cell r="C908" t="str">
            <v>عمرو العبور  Total</v>
          </cell>
        </row>
        <row r="909">
          <cell r="C909" t="str">
            <v>هاني العبور 365</v>
          </cell>
          <cell r="D909" t="str">
            <v xml:space="preserve">50% توريد وتركيب دهان كمرة تقويه السلم  +فك وتعديل باب 2000ج( المقاوله 17500ج ) </v>
          </cell>
          <cell r="E909">
            <v>46135</v>
          </cell>
        </row>
        <row r="910">
          <cell r="D910" t="str">
            <v xml:space="preserve">باقي توريد وتركيب دهان كمرة تقويه السلم  +فك وتعديل باب 2000ج( المقاوله 17500ج ) </v>
          </cell>
          <cell r="E910">
            <v>46166</v>
          </cell>
        </row>
        <row r="911">
          <cell r="D911" t="str">
            <v xml:space="preserve">دفعه من مقطوعيه نجارة+حداده وصب خرسانه مسلحه ( اجمالي المقاوله 28000ج ) </v>
          </cell>
          <cell r="E911">
            <v>46156</v>
          </cell>
        </row>
        <row r="912">
          <cell r="D912" t="str">
            <v xml:space="preserve">دفعه ثانيه من مقاوله صب الخسانات وسمل الجار وطبليه للسيارة </v>
          </cell>
          <cell r="E912">
            <v>46163</v>
          </cell>
        </row>
        <row r="913">
          <cell r="D913" t="str">
            <v xml:space="preserve">باقي حساب الصبه في هاني العبور </v>
          </cell>
          <cell r="E913">
            <v>46175</v>
          </cell>
        </row>
        <row r="914">
          <cell r="D914" t="str">
            <v>نظافه كامله و حفر خارجي للسلم ( المقاوله 10000 ج )</v>
          </cell>
          <cell r="E914">
            <v>46151</v>
          </cell>
        </row>
        <row r="915">
          <cell r="D915" t="str">
            <v>باقي مقالوه نظافه كامله و حفر خارجي للسلم ( المقاوله 10000 ج )</v>
          </cell>
          <cell r="E915">
            <v>46163</v>
          </cell>
        </row>
        <row r="916">
          <cell r="D916" t="str">
            <v xml:space="preserve">يوميه عزل الارضيه وجنب الحوائط قبل الردم </v>
          </cell>
          <cell r="E916">
            <v>46156</v>
          </cell>
        </row>
        <row r="917">
          <cell r="D917" t="str">
            <v xml:space="preserve">يوميه تجهيز الموقع وتركيب حنفيه </v>
          </cell>
          <cell r="E917">
            <v>46128</v>
          </cell>
        </row>
        <row r="918">
          <cell r="D918" t="str">
            <v xml:space="preserve">دفعه من اعمال السباكه </v>
          </cell>
          <cell r="E918">
            <v>46166</v>
          </cell>
        </row>
        <row r="919">
          <cell r="D919" t="str">
            <v xml:space="preserve">فاتورة سباكه تاسيس </v>
          </cell>
          <cell r="E919">
            <v>46133</v>
          </cell>
        </row>
        <row r="920">
          <cell r="D920" t="str">
            <v xml:space="preserve">فاتورة سباكه تجهيز موقع </v>
          </cell>
          <cell r="E920">
            <v>46121</v>
          </cell>
        </row>
        <row r="921">
          <cell r="D921" t="str">
            <v xml:space="preserve">2 وش خزان دفن جروهي روز جولد + الانتقالات </v>
          </cell>
          <cell r="E921">
            <v>46184</v>
          </cell>
        </row>
        <row r="922">
          <cell r="D922" t="str">
            <v xml:space="preserve">فاتورة طلبات سباكه 365  م/ عبد الرحمن </v>
          </cell>
          <cell r="E922">
            <v>46187</v>
          </cell>
        </row>
        <row r="923">
          <cell r="D923" t="str">
            <v xml:space="preserve">6 يوميات مباني </v>
          </cell>
          <cell r="E923">
            <v>46156</v>
          </cell>
        </row>
        <row r="924">
          <cell r="D924" t="str">
            <v xml:space="preserve">2 يوميه مباني </v>
          </cell>
          <cell r="E924">
            <v>46156</v>
          </cell>
        </row>
        <row r="925">
          <cell r="D925" t="str">
            <v xml:space="preserve">نقل الحمام المتنقل من سوديك الي هاني العبور </v>
          </cell>
          <cell r="E925">
            <v>46144</v>
          </cell>
        </row>
        <row r="926">
          <cell r="D926" t="str">
            <v xml:space="preserve">عماله تشوين وتنزيل طلبيه سباكه  هاني العبور </v>
          </cell>
          <cell r="E926">
            <v>46184</v>
          </cell>
        </row>
        <row r="927">
          <cell r="D927" t="str">
            <v xml:space="preserve">2ش اسمنت بالنقل </v>
          </cell>
          <cell r="E927">
            <v>46144</v>
          </cell>
        </row>
        <row r="928">
          <cell r="D928" t="str">
            <v xml:space="preserve">500طوبه احمر 1100ج + 2100 طوبه اسمنتي 8800ج </v>
          </cell>
          <cell r="E928">
            <v>46163</v>
          </cell>
        </row>
        <row r="929">
          <cell r="D929" t="str">
            <v xml:space="preserve">استكمال بند مباني1500ج+ مباني اسفل قلبه السلم 1500ج </v>
          </cell>
          <cell r="E929">
            <v>46166</v>
          </cell>
        </row>
        <row r="930">
          <cell r="D930" t="str">
            <v xml:space="preserve">يوميه استكمال مباني </v>
          </cell>
          <cell r="E930">
            <v>46177</v>
          </cell>
        </row>
        <row r="931">
          <cell r="D931" t="str">
            <v xml:space="preserve">فاتورة كهرباء بيد فرج الكهربائي </v>
          </cell>
          <cell r="E931">
            <v>46135</v>
          </cell>
        </row>
        <row r="932">
          <cell r="D932" t="str">
            <v xml:space="preserve">فاتورة تجهيز الموقع كهرباء </v>
          </cell>
          <cell r="E932">
            <v>46161</v>
          </cell>
        </row>
        <row r="933">
          <cell r="D933" t="str">
            <v>تشوين6م سن+10الاف طوبه احمر +5طن اسمنت+400ك حديد</v>
          </cell>
          <cell r="E933">
            <v>46156</v>
          </cell>
        </row>
        <row r="934">
          <cell r="D934" t="str">
            <v xml:space="preserve">جرار ولودر لتحميل التكسير + اكراميه الغفير + 7 كانات +مسمار 3سم </v>
          </cell>
          <cell r="E934">
            <v>46156</v>
          </cell>
        </row>
        <row r="935">
          <cell r="D935" t="str">
            <v xml:space="preserve">ردم وحفر جزء قبل السلم+تشوين 3600طوبه </v>
          </cell>
          <cell r="E935">
            <v>46163</v>
          </cell>
        </row>
        <row r="936">
          <cell r="D936" t="str">
            <v xml:space="preserve">فاتورة عزل البدروم + التوصيل </v>
          </cell>
          <cell r="E936">
            <v>46161</v>
          </cell>
        </row>
        <row r="937">
          <cell r="D937" t="str">
            <v xml:space="preserve">مقاوله تكسير ونظافه عبد الرحمن معماري </v>
          </cell>
          <cell r="E937">
            <v>46142</v>
          </cell>
        </row>
        <row r="938">
          <cell r="D938" t="str">
            <v>جمع رتش ونقله في الجزء الخارجي من الوحدة</v>
          </cell>
          <cell r="E938">
            <v>46142</v>
          </cell>
        </row>
        <row r="939">
          <cell r="D939" t="str">
            <v xml:space="preserve">باقي مقاوله التكسير في هامي العبور لزياده في حائط وكتف وزياده 10سم في التكسير </v>
          </cell>
          <cell r="E939">
            <v>46151</v>
          </cell>
        </row>
        <row r="940">
          <cell r="D940" t="str">
            <v xml:space="preserve">عمل نسخ مفاتيح للمواقع </v>
          </cell>
          <cell r="E940">
            <v>46113</v>
          </cell>
        </row>
        <row r="941">
          <cell r="D941" t="str">
            <v xml:space="preserve">نقل تجهيزات للموقع من المخزن الي العبور ( الواح بلطي + برميل ) </v>
          </cell>
          <cell r="E941">
            <v>46144</v>
          </cell>
        </row>
        <row r="942">
          <cell r="D942" t="str">
            <v xml:space="preserve">5طن اسمنت*4150 +2000طوبه اسمنتي*4100 </v>
          </cell>
          <cell r="E942">
            <v>46151</v>
          </cell>
        </row>
        <row r="943">
          <cell r="D943" t="str">
            <v xml:space="preserve">فاتورة حديد تسليح لزوم صبه خرسانه </v>
          </cell>
          <cell r="E943">
            <v>46151</v>
          </cell>
        </row>
        <row r="944">
          <cell r="D944" t="str">
            <v>5000طوبه*10750ج + 6 م سن *3300ج</v>
          </cell>
          <cell r="E944">
            <v>46153</v>
          </cell>
        </row>
        <row r="945">
          <cell r="D945" t="str">
            <v xml:space="preserve">نقله رمل </v>
          </cell>
          <cell r="E945">
            <v>46154</v>
          </cell>
        </row>
        <row r="946">
          <cell r="D946" t="str">
            <v xml:space="preserve">اكراميه ابو خالد العرباوي </v>
          </cell>
          <cell r="E946">
            <v>46144</v>
          </cell>
        </row>
        <row r="947">
          <cell r="D947" t="str">
            <v>وارد دفعه من ايرادات هاني العبور 365</v>
          </cell>
          <cell r="E947">
            <v>46131</v>
          </cell>
        </row>
        <row r="948">
          <cell r="E948">
            <v>46109</v>
          </cell>
        </row>
        <row r="949">
          <cell r="D949" t="str">
            <v xml:space="preserve">دفعه من ايرادات هاني العبور 365 </v>
          </cell>
          <cell r="E949">
            <v>46176</v>
          </cell>
        </row>
        <row r="950">
          <cell r="D950" t="str">
            <v xml:space="preserve">ايراد ثري دي من هاني العبور </v>
          </cell>
          <cell r="E950">
            <v>46063</v>
          </cell>
        </row>
        <row r="951">
          <cell r="D951" t="str">
            <v>دفعه من اعمال السباكه في العبور 365</v>
          </cell>
          <cell r="E951">
            <v>46190</v>
          </cell>
        </row>
        <row r="952">
          <cell r="D952" t="str">
            <v xml:space="preserve">2 يوميه عماله رفع ردم من احرف الدور الارضي استعداد للكهرباء </v>
          </cell>
          <cell r="E952">
            <v>46190</v>
          </cell>
        </row>
        <row r="953">
          <cell r="D953" t="str">
            <v xml:space="preserve">اعمال هدم وتعديلات معماريه ونقل الرتش خارج الوحده </v>
          </cell>
          <cell r="E953">
            <v>46193</v>
          </cell>
        </row>
        <row r="954">
          <cell r="C954" t="str">
            <v>هاني العبور 365 Total</v>
          </cell>
        </row>
        <row r="955">
          <cell r="C955" t="str">
            <v xml:space="preserve">مدينتي 350 </v>
          </cell>
          <cell r="D955" t="str">
            <v xml:space="preserve">دفعه من سيكوريت ومرايات وارفف مدينتي 350 ( اجمالي المقاوله  13250ج )  </v>
          </cell>
          <cell r="E955">
            <v>46056</v>
          </cell>
        </row>
        <row r="956">
          <cell r="D956" t="str">
            <v xml:space="preserve">باقي حساب بارتيشن وارفف مدينتي </v>
          </cell>
          <cell r="E956">
            <v>46065</v>
          </cell>
        </row>
        <row r="957">
          <cell r="D957" t="str">
            <v xml:space="preserve">حساب شاسيه مدينتي ( 2500ج ) </v>
          </cell>
          <cell r="E957">
            <v>46093</v>
          </cell>
        </row>
        <row r="958">
          <cell r="D958" t="str">
            <v xml:space="preserve">فاتورة اكر وكوالين وصدادات ابواب </v>
          </cell>
          <cell r="E958">
            <v>46063</v>
          </cell>
        </row>
        <row r="959">
          <cell r="D959" t="str">
            <v xml:space="preserve">باقي حساب الاحواض البورسلين القديم والجديد ( </v>
          </cell>
          <cell r="E959">
            <v>46043</v>
          </cell>
        </row>
        <row r="960">
          <cell r="D960" t="str">
            <v>دفعه من حساب مصنعيات الدهانات في مدينتي 350</v>
          </cell>
          <cell r="E960">
            <v>46029</v>
          </cell>
        </row>
        <row r="961">
          <cell r="D961" t="str">
            <v xml:space="preserve">دفعه من اعمال دهانات  مدينتي </v>
          </cell>
          <cell r="E961">
            <v>46065</v>
          </cell>
        </row>
        <row r="962">
          <cell r="D962" t="str">
            <v>دفعه من حساب حامد النقاش في مدينتي 350</v>
          </cell>
          <cell r="E962">
            <v>46071</v>
          </cell>
        </row>
        <row r="963">
          <cell r="D963" t="str">
            <v xml:space="preserve">دفعه من حساب دهانات مدينتي 350 </v>
          </cell>
          <cell r="E963">
            <v>46086</v>
          </cell>
        </row>
        <row r="964">
          <cell r="D964" t="str">
            <v xml:space="preserve">باقي حساب  دهانات مدينتي </v>
          </cell>
          <cell r="E964">
            <v>46099</v>
          </cell>
        </row>
        <row r="965">
          <cell r="D965" t="str">
            <v xml:space="preserve">فاتورة تطويل محبس دفن في مدينتي 350 تخصم علي عمرو السباك </v>
          </cell>
          <cell r="E965">
            <v>46075</v>
          </cell>
        </row>
        <row r="966">
          <cell r="D966" t="str">
            <v xml:space="preserve">مصنعيه تركيب حوض وخلاط بالخصم علي عمرو السباك </v>
          </cell>
          <cell r="E966">
            <v>46077</v>
          </cell>
        </row>
        <row r="967">
          <cell r="D967" t="str">
            <v xml:space="preserve">مصنعيه تشطيب الصحي في مدينتي ( بعد خصم غرفه الغسيل ) </v>
          </cell>
          <cell r="E967">
            <v>46077</v>
          </cell>
        </row>
        <row r="968">
          <cell r="D968" t="str">
            <v xml:space="preserve">باقي حساب  عمرو السباك في  مدينتي </v>
          </cell>
          <cell r="E968">
            <v>46086</v>
          </cell>
        </row>
        <row r="969">
          <cell r="D969" t="str">
            <v xml:space="preserve">دفعه من حساب تجاليد ونجارة شفيق مدينتي </v>
          </cell>
          <cell r="E969">
            <v>46041</v>
          </cell>
        </row>
        <row r="970">
          <cell r="D970" t="str">
            <v xml:space="preserve">حساب الباب الجديد في مدينتي </v>
          </cell>
          <cell r="E970">
            <v>46041</v>
          </cell>
        </row>
        <row r="971">
          <cell r="D971" t="str">
            <v xml:space="preserve">فاتورة كهرباء مدينتي </v>
          </cell>
          <cell r="E971">
            <v>46093</v>
          </cell>
        </row>
        <row r="972">
          <cell r="D972" t="str">
            <v xml:space="preserve">دفعه من حساب اعمال الكهرباء محمد السيد في مدينتي </v>
          </cell>
          <cell r="E972">
            <v>46050</v>
          </cell>
        </row>
        <row r="973">
          <cell r="D973" t="str">
            <v xml:space="preserve">باقي حساب محمد السيد في مدينتي </v>
          </cell>
          <cell r="E973">
            <v>46086</v>
          </cell>
        </row>
        <row r="974">
          <cell r="D974" t="str">
            <v xml:space="preserve">يوميه تركيب بورسلين الحمام  ( مينا ) </v>
          </cell>
          <cell r="E974">
            <v>46058</v>
          </cell>
        </row>
        <row r="975">
          <cell r="D975" t="str">
            <v xml:space="preserve">نقل خامات تشطيب السباكه مدينتي </v>
          </cell>
          <cell r="E975">
            <v>46064</v>
          </cell>
        </row>
        <row r="976">
          <cell r="D976" t="str">
            <v xml:space="preserve">فواتير تشطيب سباكه  مدينتي 350 ( م/ محمود + سامح مشتريات ) </v>
          </cell>
          <cell r="E976">
            <v>46065</v>
          </cell>
        </row>
        <row r="977">
          <cell r="D977" t="str">
            <v xml:space="preserve">وش نيكل عموله بالتوصيل + فاتورة استكمال سباكه تشطيب </v>
          </cell>
          <cell r="E977">
            <v>46070</v>
          </cell>
        </row>
        <row r="978">
          <cell r="D978" t="str">
            <v xml:space="preserve">يوميه تغير وصله حووض وتسليك بلاعات </v>
          </cell>
          <cell r="E978">
            <v>46084</v>
          </cell>
        </row>
        <row r="979">
          <cell r="D979" t="str">
            <v>دفعه 50% من تصنيع حوض بورسلين اضافي مدينتي 350</v>
          </cell>
          <cell r="E979">
            <v>46036</v>
          </cell>
        </row>
        <row r="980">
          <cell r="D980" t="str">
            <v xml:space="preserve">فاتورة بانوهات توريد وتركيب </v>
          </cell>
          <cell r="E980">
            <v>46046</v>
          </cell>
        </row>
        <row r="981">
          <cell r="D981" t="str">
            <v xml:space="preserve">عينه بلاستيك + صنفرة+ خامات دهانات </v>
          </cell>
          <cell r="E981">
            <v>46060</v>
          </cell>
        </row>
        <row r="982">
          <cell r="D982" t="str">
            <v xml:space="preserve">فاتورة دهانات تشطيب مدينتي 350 </v>
          </cell>
          <cell r="E982">
            <v>46061</v>
          </cell>
        </row>
        <row r="983">
          <cell r="D983" t="str">
            <v xml:space="preserve">فاتورة استكمال دهانات </v>
          </cell>
          <cell r="E983">
            <v>46062</v>
          </cell>
        </row>
        <row r="984">
          <cell r="D984" t="str">
            <v xml:space="preserve">فاتورة دهانات تشطيب بستله دهانات مدينتي 350 </v>
          </cell>
          <cell r="E984">
            <v>46065</v>
          </cell>
        </row>
        <row r="985">
          <cell r="D985" t="str">
            <v xml:space="preserve">فواتير دهانات تشطيب في مدينتي </v>
          </cell>
          <cell r="E985">
            <v>46071</v>
          </cell>
        </row>
        <row r="986">
          <cell r="D986" t="str">
            <v xml:space="preserve">نقله رتش </v>
          </cell>
          <cell r="E986">
            <v>46070</v>
          </cell>
        </row>
        <row r="987">
          <cell r="D987" t="str">
            <v xml:space="preserve">ايجار سيارة نقل استكمال طلبات مدينتي </v>
          </cell>
          <cell r="E987">
            <v>46068</v>
          </cell>
        </row>
        <row r="988">
          <cell r="D988" t="str">
            <v xml:space="preserve">نقله رتش + عامل تنزيل الرتش </v>
          </cell>
          <cell r="E988">
            <v>46077</v>
          </cell>
        </row>
        <row r="989">
          <cell r="D989" t="str">
            <v xml:space="preserve">فاتورة تشطيب كهرباء </v>
          </cell>
          <cell r="E989">
            <v>46051</v>
          </cell>
        </row>
        <row r="990">
          <cell r="D990" t="str">
            <v xml:space="preserve">فاتورة استكمال كهرباء </v>
          </cell>
          <cell r="E990">
            <v>46082</v>
          </cell>
        </row>
        <row r="991">
          <cell r="D991" t="str">
            <v>فاتورة كهرباء تشطيب مدينتي 350</v>
          </cell>
          <cell r="E991">
            <v>46046</v>
          </cell>
        </row>
        <row r="992">
          <cell r="D992" t="str">
            <v xml:space="preserve">نقل فواتير الكهرباء الي الموقع </v>
          </cell>
          <cell r="E992">
            <v>46046</v>
          </cell>
        </row>
        <row r="993">
          <cell r="D993" t="str">
            <v>شركه النظافه في مدينتي 350</v>
          </cell>
          <cell r="E993">
            <v>46084</v>
          </cell>
        </row>
        <row r="994">
          <cell r="D994" t="str">
            <v>اعمال خدمة موقع و تنظيف</v>
          </cell>
          <cell r="E994">
            <v>46077</v>
          </cell>
        </row>
        <row r="995">
          <cell r="D995" t="str">
            <v>عمال تنظيف و جمع مخلفات</v>
          </cell>
          <cell r="E995">
            <v>46043</v>
          </cell>
        </row>
        <row r="996">
          <cell r="D996" t="str">
            <v>عمال تنظيف و جمع المخلفات +عمال تنظيف و تنزيل الرتش و المخلفات الي العربة</v>
          </cell>
          <cell r="E996">
            <v>46063</v>
          </cell>
        </row>
        <row r="997">
          <cell r="D997" t="str">
            <v>1 عامل اعمال تنظيف و خدمة موقع المطلوب</v>
          </cell>
          <cell r="E997">
            <v>46065</v>
          </cell>
        </row>
        <row r="998">
          <cell r="D998" t="str">
            <v xml:space="preserve">حساب مصنعيات 7م وزر *150ج  ( مينا ) </v>
          </cell>
          <cell r="E998">
            <v>46029</v>
          </cell>
        </row>
        <row r="999">
          <cell r="D999" t="str">
            <v xml:space="preserve">يوميه سيراميك في مدينتي 350   ( مينا ) </v>
          </cell>
          <cell r="E999">
            <v>46044</v>
          </cell>
        </row>
        <row r="1000">
          <cell r="D1000" t="str">
            <v>فاتورة وزر سبيرو+ كويك ستي HDF</v>
          </cell>
          <cell r="E1000">
            <v>46065</v>
          </cell>
        </row>
        <row r="1001">
          <cell r="D1001" t="str">
            <v>ايجار سيارة المشتريات  ( اليوم كله شغل مدينتي 350</v>
          </cell>
          <cell r="E1001">
            <v>46046</v>
          </cell>
        </row>
        <row r="1002">
          <cell r="D1002" t="str">
            <v xml:space="preserve">وارد دفعه ايرادا من شفيق مدينتي ( 2 تحويل ) </v>
          </cell>
          <cell r="E1002">
            <v>46036</v>
          </cell>
        </row>
        <row r="1003">
          <cell r="D1003" t="str">
            <v xml:space="preserve">وارد دفعه من ايرادات مدينتي 350 </v>
          </cell>
          <cell r="E1003">
            <v>46050</v>
          </cell>
        </row>
        <row r="1004">
          <cell r="E1004">
            <v>46049</v>
          </cell>
        </row>
        <row r="1005">
          <cell r="E1005">
            <v>46048</v>
          </cell>
        </row>
        <row r="1006">
          <cell r="E1006">
            <v>46039</v>
          </cell>
        </row>
        <row r="1007">
          <cell r="D1007" t="str">
            <v xml:space="preserve">دفعه من ايرادات شفيق 350 </v>
          </cell>
          <cell r="E1007">
            <v>46044</v>
          </cell>
        </row>
        <row r="1008">
          <cell r="D1008" t="str">
            <v xml:space="preserve">واد دفعه ايرادات من مدينتي 350  ( شيك في الحساب ) </v>
          </cell>
          <cell r="E1008">
            <v>46082</v>
          </cell>
        </row>
        <row r="1009">
          <cell r="C1009" t="str">
            <v>مدينتي 350  Total</v>
          </cell>
        </row>
        <row r="1010">
          <cell r="C1010" t="str">
            <v>بالم هيلز 345</v>
          </cell>
          <cell r="D1010" t="str">
            <v xml:space="preserve">دفعه 50% من توريد وتركيب 2قاطع شاور ( 9700ج ) </v>
          </cell>
          <cell r="E1010">
            <v>46065</v>
          </cell>
        </row>
        <row r="1011">
          <cell r="D1011" t="str">
            <v xml:space="preserve">باقي حساب 2 قاطع شاور  بالم هيلز باقي 350ج </v>
          </cell>
          <cell r="E1011">
            <v>46093</v>
          </cell>
        </row>
        <row r="1012">
          <cell r="D1012" t="str">
            <v xml:space="preserve">يوميه كهربائي في بالم هيلز </v>
          </cell>
          <cell r="E1012">
            <v>46135</v>
          </cell>
        </row>
        <row r="1013">
          <cell r="D1013" t="str">
            <v xml:space="preserve">يوميه اعمال سيراميك في بالم هيلز </v>
          </cell>
          <cell r="E1013">
            <v>46135</v>
          </cell>
        </row>
        <row r="1014">
          <cell r="E1014">
            <v>46117</v>
          </cell>
        </row>
        <row r="1015">
          <cell r="D1015" t="str">
            <v xml:space="preserve">يوميه عمل عينه دهانات </v>
          </cell>
          <cell r="E1015">
            <v>46036</v>
          </cell>
        </row>
        <row r="1016">
          <cell r="D1016" t="str">
            <v xml:space="preserve">دفعه من حساب دهانات بالم هيلز  ( الباقي علي 100% =  3572 ج ) </v>
          </cell>
          <cell r="E1016">
            <v>46086</v>
          </cell>
        </row>
        <row r="1017">
          <cell r="D1017" t="str">
            <v xml:space="preserve">دفعه من حساب دهانات </v>
          </cell>
          <cell r="E1017">
            <v>46093</v>
          </cell>
        </row>
        <row r="1018">
          <cell r="D1018" t="str">
            <v xml:space="preserve">دفعه من حساب الدهانات </v>
          </cell>
          <cell r="E1018">
            <v>46099</v>
          </cell>
        </row>
        <row r="1019">
          <cell r="D1019" t="str">
            <v xml:space="preserve">دفعه مقدمه من تجاليد باب الشقه ( اجمالي المقاوله 12500ج ) </v>
          </cell>
          <cell r="E1019">
            <v>46138</v>
          </cell>
        </row>
        <row r="1020">
          <cell r="D1020" t="str">
            <v>يوميه مرمه محارة بلكونه800ج+50% اعمال دهان بلكونه خارجي 1250</v>
          </cell>
          <cell r="E1020">
            <v>46128</v>
          </cell>
        </row>
        <row r="1021">
          <cell r="D1021" t="str">
            <v xml:space="preserve">استكمال دهانات خارجي لبلكونه  والشبابيك </v>
          </cell>
          <cell r="E1021">
            <v>46135</v>
          </cell>
        </row>
        <row r="1022">
          <cell r="D1022" t="str">
            <v xml:space="preserve">دفعه من اعمال تشطيب كهرباء بالم هيلز </v>
          </cell>
          <cell r="E1022">
            <v>46117</v>
          </cell>
        </row>
        <row r="1023">
          <cell r="D1023" t="str">
            <v xml:space="preserve">يوميه تركيب وزر+سقيه البورسلين  ( مينا ) </v>
          </cell>
          <cell r="E1023">
            <v>46058</v>
          </cell>
        </row>
        <row r="1024">
          <cell r="D1024" t="str">
            <v xml:space="preserve">اكامل مقاوله اعمال تشطيب السباكه  2حمام+ مطبخ </v>
          </cell>
          <cell r="E1024">
            <v>46099</v>
          </cell>
        </row>
        <row r="1025">
          <cell r="D1025" t="str">
            <v xml:space="preserve">باقي حساب السباكه تشطيب في بالم هيلز </v>
          </cell>
          <cell r="E1025">
            <v>46121</v>
          </cell>
        </row>
        <row r="1026">
          <cell r="D1026" t="str">
            <v xml:space="preserve">2 يوميه تعديل ماسورة </v>
          </cell>
          <cell r="E1026">
            <v>46128</v>
          </cell>
        </row>
        <row r="1027">
          <cell r="D1027" t="str">
            <v xml:space="preserve">2 يوميه فك وتركيب الصحي الحمام الرئيسي في بالم هيلز </v>
          </cell>
          <cell r="E1027">
            <v>46152</v>
          </cell>
        </row>
        <row r="1028">
          <cell r="D1028" t="str">
            <v xml:space="preserve">فاتورة سباكه تشطيب  +النقل </v>
          </cell>
          <cell r="E1028">
            <v>46078</v>
          </cell>
        </row>
        <row r="1029">
          <cell r="D1029" t="str">
            <v>فواتير سباكه بالم هيلز  م/ هشام</v>
          </cell>
          <cell r="E1029">
            <v>46086</v>
          </cell>
        </row>
        <row r="1030">
          <cell r="D1030" t="str">
            <v xml:space="preserve">فاتورة تشطيب سباكه بالم هيلز ( مجموعه دفن ) </v>
          </cell>
          <cell r="E1030">
            <v>46111</v>
          </cell>
        </row>
        <row r="1031">
          <cell r="D1031" t="str">
            <v xml:space="preserve">فاتورة سباكه لزوم تصليح ماسورة العمومي </v>
          </cell>
          <cell r="E1031">
            <v>46126</v>
          </cell>
        </row>
        <row r="1032">
          <cell r="D1032" t="str">
            <v xml:space="preserve">تشوين صحي بالم هيلز </v>
          </cell>
          <cell r="E1032">
            <v>46064</v>
          </cell>
        </row>
        <row r="1033">
          <cell r="D1033" t="str">
            <v xml:space="preserve">فاتورة جاولن مقاوم لزوم دهانات البلكونه </v>
          </cell>
          <cell r="E1033">
            <v>46121</v>
          </cell>
        </row>
        <row r="1034">
          <cell r="D1034" t="str">
            <v xml:space="preserve">فاتورة دهانات تشطيب  بالم هيلز ( عند العميل 14637 ) </v>
          </cell>
          <cell r="E1034">
            <v>46068</v>
          </cell>
        </row>
        <row r="1035">
          <cell r="D1035" t="str">
            <v xml:space="preserve">تشوين خامات دهانات بالم هيلز </v>
          </cell>
          <cell r="E1035">
            <v>46070</v>
          </cell>
        </row>
        <row r="1036">
          <cell r="D1036" t="str">
            <v xml:space="preserve">فاتورة لفه كرتون </v>
          </cell>
          <cell r="E1036">
            <v>46082</v>
          </cell>
        </row>
        <row r="1037">
          <cell r="D1037" t="str">
            <v xml:space="preserve">3 فواتير دهانات بالم هيلز ( م/ هشام ) </v>
          </cell>
          <cell r="E1037">
            <v>46093</v>
          </cell>
        </row>
        <row r="1038">
          <cell r="D1038" t="str">
            <v xml:space="preserve">فاتورة ماده وجهات </v>
          </cell>
          <cell r="E1038">
            <v>46096</v>
          </cell>
        </row>
        <row r="1039">
          <cell r="D1039" t="str">
            <v xml:space="preserve">لفه كرتون تغليف الارضيات  م/ هشام </v>
          </cell>
          <cell r="E1039">
            <v>46099</v>
          </cell>
        </row>
        <row r="1040">
          <cell r="D1040" t="str">
            <v xml:space="preserve">2 فاتورة  تيب عريض+علبه لاصق +دايتون+مشمع </v>
          </cell>
          <cell r="E1040">
            <v>46128</v>
          </cell>
        </row>
        <row r="1041">
          <cell r="D1041" t="str">
            <v xml:space="preserve">طلبات دهانات ( سينتال+برايمر نفط ) م / محمود سيد </v>
          </cell>
          <cell r="E1041">
            <v>46133</v>
          </cell>
        </row>
        <row r="1042">
          <cell r="D1042" t="str">
            <v xml:space="preserve">يوميه عامل +2عبوه دهان سور+2زجاجه نفط+فرشه </v>
          </cell>
          <cell r="E1042">
            <v>46156</v>
          </cell>
        </row>
        <row r="1043">
          <cell r="D1043" t="str">
            <v>نقله رتش دوبل     م/ هشام</v>
          </cell>
          <cell r="E1043">
            <v>46086</v>
          </cell>
        </row>
        <row r="1044">
          <cell r="D1044" t="str">
            <v xml:space="preserve">نقله رتش + عامل تنزيل الرتش </v>
          </cell>
          <cell r="E1044">
            <v>46099</v>
          </cell>
        </row>
        <row r="1045">
          <cell r="D1045" t="str">
            <v xml:space="preserve">فاتورة استكمال تشطيب كهرباء </v>
          </cell>
          <cell r="E1045">
            <v>46133</v>
          </cell>
        </row>
        <row r="1046">
          <cell r="D1046" t="str">
            <v xml:space="preserve">فاتورة كهرباء (سلك دسش+غطاء وتر بروف+باور ماجنتيك ) </v>
          </cell>
          <cell r="E1046">
            <v>46086</v>
          </cell>
        </row>
        <row r="1047">
          <cell r="D1047" t="str">
            <v>فاتورة طلبات تشطيب كهرباء ( بروفايل+ليد</v>
          </cell>
          <cell r="E1047">
            <v>46128</v>
          </cell>
        </row>
        <row r="1048">
          <cell r="D1048" t="str">
            <v xml:space="preserve">يوميه نظافه + ش فارغه للتشوين  م/ هشام </v>
          </cell>
          <cell r="E1048">
            <v>46078</v>
          </cell>
        </row>
        <row r="1049">
          <cell r="D1049" t="str">
            <v>يوميه عامل نظافه وتشوين الرتش  م/ هشام</v>
          </cell>
          <cell r="E1049">
            <v>46086</v>
          </cell>
        </row>
        <row r="1050">
          <cell r="D1050" t="str">
            <v xml:space="preserve">طلبات نظافه ( مساحات+ شرشوبه+روله +فوط ) </v>
          </cell>
          <cell r="E1050">
            <v>46120</v>
          </cell>
        </row>
        <row r="1051">
          <cell r="D1051" t="str">
            <v xml:space="preserve">نقله رتش بالم هيلز </v>
          </cell>
          <cell r="E1051">
            <v>46128</v>
          </cell>
        </row>
        <row r="1052">
          <cell r="D1052" t="str">
            <v xml:space="preserve">طلبات نظافه  بالم هيلز </v>
          </cell>
          <cell r="E1052">
            <v>46139</v>
          </cell>
        </row>
        <row r="1053">
          <cell r="D1053" t="str">
            <v>عمال تنظيف وجمع رتش و تنزيل الرتش</v>
          </cell>
          <cell r="E1053">
            <v>46086</v>
          </cell>
        </row>
        <row r="1054">
          <cell r="D1054" t="str">
            <v>اعمال تنظيف وجمع رتش و تنزيل الرتش</v>
          </cell>
          <cell r="E1054">
            <v>46096</v>
          </cell>
        </row>
        <row r="1055">
          <cell r="D1055" t="str">
            <v>اعمال خدمة موقع و تنظيف</v>
          </cell>
          <cell r="E1055">
            <v>46096</v>
          </cell>
        </row>
        <row r="1056">
          <cell r="D1056" t="str">
            <v>خدمة موقع و تنظيف</v>
          </cell>
          <cell r="E1056">
            <v>46121</v>
          </cell>
        </row>
        <row r="1057">
          <cell r="D1057" t="str">
            <v xml:space="preserve">5 يوميات نظافه وخدمه موقع  ( يومين ) </v>
          </cell>
          <cell r="E1057">
            <v>46142</v>
          </cell>
        </row>
        <row r="1058">
          <cell r="D1058" t="str">
            <v xml:space="preserve">يوميه عامل + شكاير </v>
          </cell>
          <cell r="E1058">
            <v>46058</v>
          </cell>
        </row>
        <row r="1059">
          <cell r="D1059" t="str">
            <v xml:space="preserve">فاتورة صدادات باب الغرفه </v>
          </cell>
          <cell r="E1059">
            <v>46082</v>
          </cell>
        </row>
        <row r="1060">
          <cell r="D1060" t="str">
            <v xml:space="preserve">تنزيل الابواب من الموقع لتشوينها الي المخزن </v>
          </cell>
          <cell r="E1060">
            <v>46096</v>
          </cell>
        </row>
        <row r="1061">
          <cell r="D1061" t="str">
            <v xml:space="preserve">صداده باب الغرف </v>
          </cell>
          <cell r="E1061">
            <v>46097</v>
          </cell>
        </row>
        <row r="1062">
          <cell r="D1062" t="str">
            <v xml:space="preserve">فاتورة الوان مركزة 9+ اسمنت ابيض لزوم سيراميك </v>
          </cell>
          <cell r="E1062">
            <v>46058</v>
          </cell>
        </row>
        <row r="1063">
          <cell r="D1063" t="str">
            <v xml:space="preserve">ش سيتوكس290ج+3طبه اختبار+عبوه مركز الوان +5ك اسمنت </v>
          </cell>
          <cell r="E1063">
            <v>46117</v>
          </cell>
        </row>
        <row r="1064">
          <cell r="D1064" t="str">
            <v xml:space="preserve">وارد دفعه ايرادات من بالم هيلز </v>
          </cell>
          <cell r="E1064">
            <v>46064</v>
          </cell>
        </row>
        <row r="1065">
          <cell r="D1065" t="str">
            <v>دفعه من ايرادات بالم هيلز 345</v>
          </cell>
          <cell r="E1065">
            <v>46138</v>
          </cell>
        </row>
        <row r="1066">
          <cell r="C1066" t="str">
            <v>بالم هيلز 345 Total</v>
          </cell>
        </row>
        <row r="1067">
          <cell r="C1067" t="str">
            <v xml:space="preserve">بيت الوطن </v>
          </cell>
          <cell r="D1067" t="str">
            <v xml:space="preserve">دفعه من اعمال سيكوريت بيت الوطن  ( 13850 ج ) </v>
          </cell>
          <cell r="E1067">
            <v>46148</v>
          </cell>
        </row>
        <row r="1068">
          <cell r="D1068" t="str">
            <v xml:space="preserve">من حساب توريد وتركيب الالومونيوم </v>
          </cell>
          <cell r="E1068">
            <v>46036</v>
          </cell>
        </row>
        <row r="1069">
          <cell r="D1069" t="str">
            <v>دفعه من حساب اعمال الشاتر</v>
          </cell>
          <cell r="E1069">
            <v>46060</v>
          </cell>
        </row>
        <row r="1070">
          <cell r="D1070" t="str">
            <v xml:space="preserve">كرتونه سيراميك بيت الوطن </v>
          </cell>
          <cell r="E1070">
            <v>46084</v>
          </cell>
        </row>
        <row r="1071">
          <cell r="D1071" t="str">
            <v xml:space="preserve">نقل كرتونه سيراميك من السلاب الي بيت الوطن </v>
          </cell>
          <cell r="E1071">
            <v>46093</v>
          </cell>
        </row>
        <row r="1072">
          <cell r="D1072" t="str">
            <v xml:space="preserve">1/2 ش سيتوكس يو + جردل </v>
          </cell>
          <cell r="E1072">
            <v>46132</v>
          </cell>
        </row>
        <row r="1073">
          <cell r="D1073" t="str">
            <v xml:space="preserve">يوميه مبلط + قارورة مياه للتخمير لعدم وجود مصدر ماء </v>
          </cell>
          <cell r="E1073">
            <v>46154</v>
          </cell>
        </row>
        <row r="1074">
          <cell r="C1074" t="str">
            <v>بيت الوطن  Total</v>
          </cell>
        </row>
        <row r="1075">
          <cell r="C1075" t="str">
            <v>اشرف الشروق 372</v>
          </cell>
          <cell r="D1075" t="str">
            <v xml:space="preserve">دفعه من اعمال تكييف </v>
          </cell>
          <cell r="E1075">
            <v>46096</v>
          </cell>
        </row>
        <row r="1076">
          <cell r="D1076" t="str">
            <v xml:space="preserve">دفعه من حساب اعمال السيراميك </v>
          </cell>
          <cell r="E1076">
            <v>46093</v>
          </cell>
        </row>
        <row r="1077">
          <cell r="E1077">
            <v>46067</v>
          </cell>
        </row>
        <row r="1078">
          <cell r="E1078">
            <v>46060</v>
          </cell>
        </row>
        <row r="1079">
          <cell r="D1079" t="str">
            <v xml:space="preserve">دفعه من تركيب بورسيلين وسيراميك الشروق372  الدور العلوي ( اجمالي 35025 ج ) </v>
          </cell>
          <cell r="E1079">
            <v>46070</v>
          </cell>
        </row>
        <row r="1080">
          <cell r="D1080" t="str">
            <v xml:space="preserve">دفعه من اعمال سيراميك الشروق ( 227م*150ج ) +3 بوكسات *500ج ) </v>
          </cell>
          <cell r="E1080">
            <v>46082</v>
          </cell>
        </row>
        <row r="1081">
          <cell r="D1081" t="str">
            <v xml:space="preserve">دفعه من حساب اعمال سيراميك ( 97م *150ج + 3 بوكسات*500ج ) 16050 ج </v>
          </cell>
          <cell r="E1081">
            <v>46086</v>
          </cell>
        </row>
        <row r="1082">
          <cell r="D1082" t="str">
            <v xml:space="preserve">دفعه من حساب اعمال المحارة </v>
          </cell>
          <cell r="E1082">
            <v>46071</v>
          </cell>
        </row>
        <row r="1083">
          <cell r="D1083" t="str">
            <v>تقفيل حساب محارة الشروق 372</v>
          </cell>
          <cell r="E1083">
            <v>46099</v>
          </cell>
        </row>
        <row r="1084">
          <cell r="D1084" t="str">
            <v xml:space="preserve">دفعه من اعمال توريد وتركيب الشاتر محمد امين </v>
          </cell>
          <cell r="E1084">
            <v>46127</v>
          </cell>
        </row>
        <row r="1085">
          <cell r="D1085" t="str">
            <v xml:space="preserve">فاتورة صفايه ومجري شاور </v>
          </cell>
          <cell r="E1085">
            <v>46065</v>
          </cell>
        </row>
        <row r="1086">
          <cell r="D1086" t="str">
            <v xml:space="preserve">اوبر توصيل فاتورة كهرباء من الترا لايت </v>
          </cell>
          <cell r="E1086">
            <v>46133</v>
          </cell>
        </row>
        <row r="1087">
          <cell r="D1087" t="str">
            <v xml:space="preserve">نقل فاتورة كهرباء الشروق 372 من وسط البلد للمخزن </v>
          </cell>
          <cell r="E1087">
            <v>46151</v>
          </cell>
        </row>
        <row r="1088">
          <cell r="D1088" t="str">
            <v xml:space="preserve">نقله رتش </v>
          </cell>
          <cell r="E1088">
            <v>46064</v>
          </cell>
        </row>
        <row r="1089">
          <cell r="D1089" t="str">
            <v>فاتورة تشطيب كهرباء الشروق372 ( 68050 مدفوع نقدي + 11096ج )مرتجع سلك من المخزن</v>
          </cell>
          <cell r="E1089">
            <v>46147</v>
          </cell>
        </row>
        <row r="1090">
          <cell r="D1090" t="str">
            <v xml:space="preserve">يوميه عامل نظافه </v>
          </cell>
          <cell r="E1090">
            <v>46064</v>
          </cell>
        </row>
        <row r="1091">
          <cell r="D1091" t="str">
            <v xml:space="preserve">لودر و نقله رتش </v>
          </cell>
          <cell r="E1091">
            <v>46097</v>
          </cell>
        </row>
        <row r="1092">
          <cell r="D1092" t="str">
            <v>عامل اعمال تشوين سيراميك و تنظيف و خدمة موقع</v>
          </cell>
          <cell r="E1092">
            <v>46086</v>
          </cell>
        </row>
        <row r="1093">
          <cell r="D1093" t="str">
            <v>موقع الباتيو و موقع الشروق ا اشرف عدد 1 عامل اعمال تنظيف</v>
          </cell>
          <cell r="E1093">
            <v>46096</v>
          </cell>
        </row>
        <row r="1094">
          <cell r="D1094" t="str">
            <v xml:space="preserve">تشوين سيراميك الشروق 372 </v>
          </cell>
          <cell r="E1094">
            <v>46027</v>
          </cell>
        </row>
        <row r="1095">
          <cell r="D1095" t="str">
            <v xml:space="preserve">12م رمل ( 2000ج ) + التشوين + نقل السيراميك </v>
          </cell>
          <cell r="E1095">
            <v>46056</v>
          </cell>
        </row>
        <row r="1096">
          <cell r="D1096" t="str">
            <v xml:space="preserve">فاتورة خامات سيراميك </v>
          </cell>
          <cell r="E1096">
            <v>46058</v>
          </cell>
        </row>
        <row r="1097">
          <cell r="D1097" t="str">
            <v xml:space="preserve">2 يوميه تشوين وفرش سيراميك </v>
          </cell>
          <cell r="E1097">
            <v>46060</v>
          </cell>
        </row>
        <row r="1098">
          <cell r="D1098" t="str">
            <v xml:space="preserve">6م رمل + 10ش اسمنت + التشوين </v>
          </cell>
          <cell r="E1098">
            <v>46064</v>
          </cell>
        </row>
        <row r="1099">
          <cell r="D1099" t="str">
            <v xml:space="preserve">ش سيتوفيل + الوان سقيه  م/ محمود </v>
          </cell>
          <cell r="E1099">
            <v>46070</v>
          </cell>
        </row>
        <row r="1100">
          <cell r="D1100" t="str">
            <v xml:space="preserve">7 ش اسمنت بالتشوين </v>
          </cell>
          <cell r="E1100">
            <v>46070</v>
          </cell>
        </row>
        <row r="1101">
          <cell r="D1101" t="str">
            <v>فاتورة سيراميك الشروق 372</v>
          </cell>
          <cell r="E1101">
            <v>46079</v>
          </cell>
        </row>
        <row r="1102">
          <cell r="D1102" t="str">
            <v xml:space="preserve">تكمله سيراميك الشروق </v>
          </cell>
          <cell r="E1102">
            <v>46081</v>
          </cell>
        </row>
        <row r="1103">
          <cell r="D1103" t="str">
            <v xml:space="preserve">فاتورة خامات سيراميك سيتوكس 10ش بالنقل 100ج  ( عرباوي الشروق ) </v>
          </cell>
          <cell r="E1103">
            <v>46086</v>
          </cell>
        </row>
        <row r="1104">
          <cell r="D1104" t="str">
            <v>وارد دفعه من ايرادات الشروق 372</v>
          </cell>
          <cell r="E1104">
            <v>46061</v>
          </cell>
        </row>
        <row r="1105">
          <cell r="D1105" t="str">
            <v>دفعه من ايرادات الشروق 372</v>
          </cell>
          <cell r="E1105">
            <v>46098</v>
          </cell>
        </row>
        <row r="1106">
          <cell r="D1106" t="str">
            <v xml:space="preserve">وارد دفعه من ايرادات اشرف الشروق </v>
          </cell>
          <cell r="E1106">
            <v>46126</v>
          </cell>
        </row>
        <row r="1107">
          <cell r="C1107" t="str">
            <v>اشرف الشروق 372 Total</v>
          </cell>
        </row>
        <row r="1108">
          <cell r="C1108" t="str">
            <v xml:space="preserve">مواقع </v>
          </cell>
          <cell r="D1108" t="str">
            <v xml:space="preserve">باقي حساب اشرف تكييفات </v>
          </cell>
          <cell r="E1108">
            <v>46156</v>
          </cell>
        </row>
        <row r="1109">
          <cell r="D1109" t="str">
            <v xml:space="preserve">دفعه من توريدات الدهانات القبيصي </v>
          </cell>
          <cell r="E1109">
            <v>46135</v>
          </cell>
        </row>
        <row r="1110">
          <cell r="E1110">
            <v>46124</v>
          </cell>
        </row>
        <row r="1111">
          <cell r="D1111" t="str">
            <v xml:space="preserve">انتقالات أ/ احمد الميري </v>
          </cell>
          <cell r="E1111">
            <v>46120</v>
          </cell>
        </row>
        <row r="1112">
          <cell r="D1112" t="str">
            <v xml:space="preserve">من حساب بر الوالدين عرباوي الشروق توريدات متنوعه </v>
          </cell>
          <cell r="E1112">
            <v>46099</v>
          </cell>
        </row>
        <row r="1113">
          <cell r="D1113" t="str">
            <v xml:space="preserve">دفعه من توريدات عرباوي الشروق </v>
          </cell>
          <cell r="E1113">
            <v>46123</v>
          </cell>
        </row>
        <row r="1114">
          <cell r="D1114" t="str">
            <v xml:space="preserve">فواتير تشوينات عرباوي الشروق </v>
          </cell>
          <cell r="E1114">
            <v>46135</v>
          </cell>
        </row>
        <row r="1115">
          <cell r="D1115" t="str">
            <v xml:space="preserve">دفعه من حساب توريدات الكهرباء كايرو لايت </v>
          </cell>
          <cell r="E1115">
            <v>46028</v>
          </cell>
        </row>
        <row r="1116">
          <cell r="D1116" t="str">
            <v xml:space="preserve">دفعه من حساب كايرو لايت </v>
          </cell>
          <cell r="E1116">
            <v>46119</v>
          </cell>
        </row>
        <row r="1117">
          <cell r="E1117">
            <v>46089</v>
          </cell>
        </row>
        <row r="1118">
          <cell r="D1118" t="str">
            <v xml:space="preserve">دفعه من اعمال توريد الكهرباء </v>
          </cell>
          <cell r="E1118">
            <v>46128</v>
          </cell>
        </row>
        <row r="1119">
          <cell r="D1119" t="str">
            <v xml:space="preserve">دفعه من حساب توريدات الكهرباء </v>
          </cell>
          <cell r="E1119">
            <v>46139</v>
          </cell>
        </row>
        <row r="1120">
          <cell r="D1120" t="str">
            <v xml:space="preserve">دفعه من توريد كهرباء </v>
          </cell>
          <cell r="E1120">
            <v>46163</v>
          </cell>
        </row>
        <row r="1121">
          <cell r="D1121" t="str">
            <v>من حساب كريم النجار ( 40500 مدينتي +3000الاندلس +6500 الباتيو باقي 9500ج)</v>
          </cell>
          <cell r="E1121">
            <v>46097</v>
          </cell>
        </row>
        <row r="1122">
          <cell r="D1122" t="str">
            <v xml:space="preserve">نقل مرتجع الاخشاب من كريم النجار الي المخزن </v>
          </cell>
          <cell r="E1122">
            <v>46144</v>
          </cell>
        </row>
        <row r="1123">
          <cell r="D1123" t="str">
            <v xml:space="preserve">انتقالات الي كريم النجار لاستلام الاخشاب </v>
          </cell>
          <cell r="E1123">
            <v>46144</v>
          </cell>
        </row>
        <row r="1124">
          <cell r="D1124" t="str">
            <v xml:space="preserve">نقل مرتجعات من كريم النجار الي المخزن والي مصنع بدر </v>
          </cell>
          <cell r="E1124">
            <v>46161</v>
          </cell>
        </row>
        <row r="1125">
          <cell r="D1125" t="str">
            <v xml:space="preserve">من حساب لمبايه ياسر السيد توريدات كهرباء </v>
          </cell>
          <cell r="E1125">
            <v>46099</v>
          </cell>
        </row>
        <row r="1126">
          <cell r="D1126" t="str">
            <v xml:space="preserve">دفعه من اعمال توريد وتركيب الشاتر محمد امين </v>
          </cell>
          <cell r="E1126">
            <v>46163</v>
          </cell>
        </row>
        <row r="1127">
          <cell r="D1127" t="str">
            <v xml:space="preserve">دفعه من حساب توريد وتركيب الشاتر </v>
          </cell>
          <cell r="E1127">
            <v>46139</v>
          </cell>
        </row>
        <row r="1128">
          <cell r="D1128" t="str">
            <v xml:space="preserve">دفعه من اعمال توريدات الكهرباء </v>
          </cell>
          <cell r="E1128">
            <v>46037</v>
          </cell>
        </row>
        <row r="1129">
          <cell r="D1129" t="str">
            <v xml:space="preserve">دفعه من اعمال توريد وتركيب الجبس </v>
          </cell>
          <cell r="E1129">
            <v>46161</v>
          </cell>
        </row>
        <row r="1130">
          <cell r="E1130">
            <v>46121</v>
          </cell>
        </row>
        <row r="1131">
          <cell r="D1131" t="str">
            <v xml:space="preserve">دفعه من حساب اعمال توريد وتركيب الجبس </v>
          </cell>
          <cell r="E1131">
            <v>46139</v>
          </cell>
        </row>
        <row r="1132">
          <cell r="D1132" t="str">
            <v xml:space="preserve">فاتورة شراء برويطه عموله </v>
          </cell>
          <cell r="E1132">
            <v>46144</v>
          </cell>
        </row>
        <row r="1133">
          <cell r="D1133" t="str">
            <v xml:space="preserve">معاينات م / اسلام ( 5 معاينات *150ج ) </v>
          </cell>
          <cell r="E1133">
            <v>46109</v>
          </cell>
        </row>
        <row r="1134">
          <cell r="D1134" t="str">
            <v xml:space="preserve">معاينه م/ اسلام  أ/شيماءبدر + أ/علياء التجمع </v>
          </cell>
          <cell r="E1134">
            <v>46117</v>
          </cell>
        </row>
        <row r="1135">
          <cell r="D1135" t="str">
            <v xml:space="preserve">معاينه م/ محمود اشرف أ/شيماء بدر + الرحاب </v>
          </cell>
          <cell r="E1135">
            <v>46117</v>
          </cell>
        </row>
        <row r="1136">
          <cell r="D1136" t="str">
            <v xml:space="preserve">باقي حساب م/ باسل ( يحدد تكلفه المواقع لاحقا ) </v>
          </cell>
          <cell r="E1136">
            <v>46057</v>
          </cell>
        </row>
        <row r="1137">
          <cell r="D1137" t="str">
            <v xml:space="preserve">ايجار سيارة مشتريات ( عمرو العبور- سوديك - معادي فيو ) </v>
          </cell>
          <cell r="E1137">
            <v>46034</v>
          </cell>
        </row>
        <row r="1138">
          <cell r="D1138" t="str">
            <v xml:space="preserve">مصاريف انتقالات مشتريات ( معادي فيو+كناريا+ سوديك ) </v>
          </cell>
          <cell r="E1138">
            <v>46034</v>
          </cell>
        </row>
        <row r="1139">
          <cell r="D1139" t="str">
            <v xml:space="preserve">ايجار سيارة مشتريات ( الاندلس 364 +  الدقي 388  ) </v>
          </cell>
          <cell r="E1139">
            <v>46037</v>
          </cell>
        </row>
        <row r="1140">
          <cell r="D1140" t="str">
            <v xml:space="preserve">انتقالات للمواقع </v>
          </cell>
          <cell r="E1140">
            <v>46042</v>
          </cell>
        </row>
        <row r="1141">
          <cell r="D1141" t="str">
            <v xml:space="preserve">فرق عهدة لسامح مشتريات </v>
          </cell>
          <cell r="E1141">
            <v>46174</v>
          </cell>
        </row>
        <row r="1142">
          <cell r="D1142" t="str">
            <v xml:space="preserve">دفعه من توريدات السباكه   </v>
          </cell>
          <cell r="E1142">
            <v>46190</v>
          </cell>
        </row>
        <row r="1143">
          <cell r="D1143" t="str">
            <v xml:space="preserve">دفعه من حساب كريم النجار  من مواقع لحين التقفيل للموقع الخاص به </v>
          </cell>
          <cell r="E1143">
            <v>46189</v>
          </cell>
        </row>
        <row r="1144">
          <cell r="D1144" t="str">
            <v xml:space="preserve">دفعه من توريدات الدهانات    </v>
          </cell>
          <cell r="E1144">
            <v>46190</v>
          </cell>
        </row>
        <row r="1145">
          <cell r="C1145" t="str">
            <v>مواقع  Total</v>
          </cell>
        </row>
        <row r="1146">
          <cell r="C1146" t="str">
            <v>احمد زايد 401</v>
          </cell>
          <cell r="D1146" t="str">
            <v xml:space="preserve">دفعه من توريدات السباكه ( من فاتورة زايد 401 ) </v>
          </cell>
          <cell r="E1146">
            <v>46163</v>
          </cell>
        </row>
        <row r="1147">
          <cell r="D1147" t="str">
            <v xml:space="preserve">باقي فاتورة تاسيس السباكه  ( 16081 جرين 6 + 11379  سوديك ) </v>
          </cell>
          <cell r="E1147">
            <v>46182</v>
          </cell>
        </row>
        <row r="1148">
          <cell r="D1148" t="str">
            <v>دفعه مقدمه من اعمال تكييف جرين 6</v>
          </cell>
          <cell r="E1148">
            <v>46160</v>
          </cell>
        </row>
        <row r="1149">
          <cell r="D1149" t="str">
            <v xml:space="preserve">دفعه من اعمال المحارة </v>
          </cell>
          <cell r="E1149">
            <v>46177</v>
          </cell>
        </row>
        <row r="1150">
          <cell r="D1150" t="str">
            <v xml:space="preserve">دفعه من اعمال السباكه في جرين 6  ( اجمالي المقاوله 25600ج ) </v>
          </cell>
          <cell r="E1150">
            <v>46163</v>
          </cell>
        </row>
        <row r="1151">
          <cell r="D1151" t="str">
            <v xml:space="preserve">فاتورة سباكه تاسيس </v>
          </cell>
          <cell r="E1151">
            <v>46133</v>
          </cell>
        </row>
        <row r="1152">
          <cell r="D1152" t="str">
            <v xml:space="preserve">فاتورة جلبه وحنفيه تجهيز موقع </v>
          </cell>
          <cell r="E1152">
            <v>46151</v>
          </cell>
        </row>
        <row r="1153">
          <cell r="D1153" t="str">
            <v xml:space="preserve">تشوين خامات السباكه والعزل + اكراميه السائق </v>
          </cell>
          <cell r="E1153">
            <v>46159</v>
          </cell>
        </row>
        <row r="1154">
          <cell r="D1154" t="str">
            <v xml:space="preserve">2طن اسمنت*5800+تشوين 1000ج +12م رمل*1200ج+تشوين 3600ج </v>
          </cell>
          <cell r="E1154">
            <v>46159</v>
          </cell>
        </row>
        <row r="1155">
          <cell r="D1155" t="str">
            <v xml:space="preserve">نقل بضاعه تجهيز الموقع الي اكتوبر + استكمالات السلك </v>
          </cell>
          <cell r="E1155">
            <v>46154</v>
          </cell>
        </row>
        <row r="1156">
          <cell r="D1156" t="str">
            <v xml:space="preserve">4 يوميات مباني * 1700ج </v>
          </cell>
          <cell r="E1156">
            <v>46156</v>
          </cell>
        </row>
        <row r="1157">
          <cell r="D1157" t="str">
            <v xml:space="preserve">فاتورة تاسيس كهرباء </v>
          </cell>
          <cell r="E1157">
            <v>46133</v>
          </cell>
        </row>
        <row r="1158">
          <cell r="D1158" t="str">
            <v xml:space="preserve">فاتورة سلك ثرمو تجهيز الموقع </v>
          </cell>
          <cell r="E1158">
            <v>46154</v>
          </cell>
        </row>
        <row r="1159">
          <cell r="D1159" t="str">
            <v xml:space="preserve">3 نقله رتش *1300ج+83ش*10ج + مقاوله تكسير وتعبئه 3500ج </v>
          </cell>
          <cell r="E1159">
            <v>46152</v>
          </cell>
        </row>
        <row r="1160">
          <cell r="D1160" t="str">
            <v xml:space="preserve">8 متر رمل*400ج+ التشوين 8متر*300ج </v>
          </cell>
          <cell r="E1160">
            <v>46152</v>
          </cell>
        </row>
        <row r="1161">
          <cell r="D1161" t="str">
            <v>2ط.اسمنت*11600ج+3عتب*1500+8م رمل*3200+2000دوبل*9200+1000مصمط*3400ج</v>
          </cell>
          <cell r="E1161">
            <v>46153</v>
          </cell>
        </row>
        <row r="1162">
          <cell r="D1162" t="str">
            <v xml:space="preserve">فاتورة تجهيز موقع ( خرطوم + سلم +تجهيز باب مخزن </v>
          </cell>
          <cell r="E1162">
            <v>46154</v>
          </cell>
        </row>
        <row r="1163">
          <cell r="D1163" t="str">
            <v>متر سن 1200 بالتشوين 400ج+ اكراميه الامن100+10م مشمع 100ج +يوميه عمل تشوين خامات</v>
          </cell>
          <cell r="E1163">
            <v>46156</v>
          </cell>
        </row>
        <row r="1164">
          <cell r="D1164" t="str">
            <v xml:space="preserve">فاتورة شفاطات تجهيز بالنقل </v>
          </cell>
          <cell r="E1164">
            <v>46147</v>
          </cell>
        </row>
        <row r="1165">
          <cell r="D1165" t="str">
            <v xml:space="preserve">7فتحات كور*300+تركيب 3شفاطات+البلاور+اكراميه مشرف الصيانه +5 لفه فلسكبل </v>
          </cell>
          <cell r="E1165">
            <v>46184</v>
          </cell>
        </row>
        <row r="1166">
          <cell r="D1166" t="str">
            <v xml:space="preserve">دفعه من ايرادات احمد زايد 401 </v>
          </cell>
          <cell r="E1166">
            <v>46124</v>
          </cell>
        </row>
        <row r="1167">
          <cell r="D1167" t="str">
            <v>وارد دفعه ايرادات من جرين 6  زايد 401</v>
          </cell>
          <cell r="E1167">
            <v>46144</v>
          </cell>
        </row>
        <row r="1168">
          <cell r="D1168" t="str">
            <v>وارد دفعه من ايرادات جرين 6</v>
          </cell>
          <cell r="E1168">
            <v>46155</v>
          </cell>
        </row>
        <row r="1169">
          <cell r="D1169" t="str">
            <v xml:space="preserve">50%  من ايراد ثري دي أ/ احمد زايد 401  (   الباقي 13900ج ) </v>
          </cell>
          <cell r="E1169">
            <v>46082</v>
          </cell>
        </row>
        <row r="1170">
          <cell r="D1170" t="str">
            <v xml:space="preserve">دفعه من توريدات السباكه   </v>
          </cell>
          <cell r="E1170">
            <v>46190</v>
          </cell>
        </row>
        <row r="1171">
          <cell r="D1171" t="str">
            <v>دفعه من اعمال سباكه في جرين 6</v>
          </cell>
          <cell r="E1171">
            <v>46190</v>
          </cell>
        </row>
        <row r="1172">
          <cell r="D1172" t="str">
            <v xml:space="preserve">3 فواتير طلبات سباكه استكمال بيد م/ احمد يونس </v>
          </cell>
          <cell r="E1172">
            <v>46190</v>
          </cell>
        </row>
        <row r="1173">
          <cell r="D1173" t="str">
            <v xml:space="preserve">يوميه عامل تكسير ارضيات تسليك عمل السباك </v>
          </cell>
          <cell r="E1173">
            <v>46190</v>
          </cell>
        </row>
        <row r="1174">
          <cell r="D1174" t="str">
            <v xml:space="preserve">3 مجموعه عزل سيكا 107 + النقل </v>
          </cell>
          <cell r="E1174">
            <v>46193</v>
          </cell>
        </row>
        <row r="1175">
          <cell r="C1175" t="str">
            <v>احمد زايد 401 Total</v>
          </cell>
        </row>
        <row r="1176">
          <cell r="C1176" t="str">
            <v>الباتيو</v>
          </cell>
          <cell r="D1176" t="str">
            <v xml:space="preserve">فاتورة خامات رخام الباتيو </v>
          </cell>
          <cell r="E1176">
            <v>46032</v>
          </cell>
        </row>
        <row r="1177">
          <cell r="D1177" t="str">
            <v xml:space="preserve">فاتورة كهرباء الباتيو </v>
          </cell>
          <cell r="E1177">
            <v>46032</v>
          </cell>
        </row>
        <row r="1178">
          <cell r="D1178" t="str">
            <v>عمال خدمة موقع</v>
          </cell>
          <cell r="E1178">
            <v>46036</v>
          </cell>
        </row>
        <row r="1179">
          <cell r="C1179" t="str">
            <v>الباتيو Total</v>
          </cell>
        </row>
        <row r="1180">
          <cell r="C1180" t="str">
            <v>معادي ديونز 318</v>
          </cell>
          <cell r="D1180" t="str">
            <v xml:space="preserve">فاتورة سباكه تأسيس </v>
          </cell>
          <cell r="E1180">
            <v>46093</v>
          </cell>
        </row>
        <row r="1181">
          <cell r="D1181" t="str">
            <v xml:space="preserve">دفعه مقدمه من اعمال تكييف معادي ديونز ( اجمالي المقاوله 44795ج ) </v>
          </cell>
          <cell r="E1181">
            <v>46135</v>
          </cell>
        </row>
        <row r="1182">
          <cell r="D1182" t="str">
            <v xml:space="preserve">استكمال 75 % من دفعه مقدمه من تكيفات معادي ديونز </v>
          </cell>
          <cell r="E1182">
            <v>46135</v>
          </cell>
        </row>
        <row r="1183">
          <cell r="D1183" t="str">
            <v xml:space="preserve">باقي حساب معادي ديونز ( 5600ج ) </v>
          </cell>
          <cell r="E1183">
            <v>46147</v>
          </cell>
        </row>
        <row r="1184">
          <cell r="D1184" t="str">
            <v xml:space="preserve">دفعه من اعمال محارة معادي ديونز   ( الاجمالي 30700 ج ) </v>
          </cell>
          <cell r="E1184">
            <v>46148</v>
          </cell>
        </row>
        <row r="1185">
          <cell r="E1185">
            <v>46135</v>
          </cell>
        </row>
        <row r="1186">
          <cell r="D1186" t="str">
            <v xml:space="preserve">دفعه من اعمال المحارة </v>
          </cell>
          <cell r="E1186">
            <v>46166</v>
          </cell>
        </row>
        <row r="1187">
          <cell r="D1187" t="str">
            <v xml:space="preserve">50% من اعمال العزل </v>
          </cell>
          <cell r="E1187">
            <v>46156</v>
          </cell>
        </row>
        <row r="1188">
          <cell r="D1188" t="str">
            <v xml:space="preserve">باقي حساب عزل معادي ديونز </v>
          </cell>
          <cell r="E1188">
            <v>46184</v>
          </cell>
        </row>
        <row r="1189">
          <cell r="D1189" t="str">
            <v xml:space="preserve">دفعه من اعمال كهرباء معادي ديونز  (( 70000ج ) تاسيس وتشطيب واسقف ) </v>
          </cell>
          <cell r="E1189">
            <v>46135</v>
          </cell>
        </row>
        <row r="1190">
          <cell r="D1190" t="str">
            <v xml:space="preserve">دفعه من اعمال  تاسيس كهرباء معادي ديونز  (( 70000ج ) تاسيس وتشطيب واسقف ) </v>
          </cell>
          <cell r="E1190">
            <v>46142</v>
          </cell>
        </row>
        <row r="1191">
          <cell r="D1191" t="str">
            <v xml:space="preserve">تعديلات كهرباء في معادي ديونز </v>
          </cell>
          <cell r="E1191">
            <v>46184</v>
          </cell>
        </row>
        <row r="1192">
          <cell r="D1192" t="str">
            <v xml:space="preserve">الانتهاء من 50 % من اعمال تاسيس سباكه معادي ديونز </v>
          </cell>
          <cell r="E1192">
            <v>46152</v>
          </cell>
        </row>
        <row r="1193">
          <cell r="D1193" t="str">
            <v xml:space="preserve">دفعه من اعمال سباكه في معادي ديونز </v>
          </cell>
          <cell r="E1193">
            <v>46164</v>
          </cell>
        </row>
        <row r="1194">
          <cell r="D1194" t="str">
            <v xml:space="preserve">باقي حساب سباكه معادي ديونز </v>
          </cell>
          <cell r="E1194">
            <v>46184</v>
          </cell>
        </row>
        <row r="1195">
          <cell r="D1195" t="str">
            <v>طلبات سباكه تجهيز موقع 275+مصنعيه سباك 250</v>
          </cell>
          <cell r="E1195">
            <v>46120</v>
          </cell>
        </row>
        <row r="1196">
          <cell r="D1196" t="str">
            <v xml:space="preserve">عمل 4 فتحات كور   م/ احمد يونس  لزوم عمل السباك </v>
          </cell>
          <cell r="E1196">
            <v>46148</v>
          </cell>
        </row>
        <row r="1197">
          <cell r="D1197" t="str">
            <v xml:space="preserve">كوع عاده+8 م بولي   م/ احمد يونس </v>
          </cell>
          <cell r="E1197">
            <v>46159</v>
          </cell>
        </row>
        <row r="1198">
          <cell r="D1198" t="str">
            <v xml:space="preserve">نقل خامات الكهرباء </v>
          </cell>
          <cell r="E1198">
            <v>46093</v>
          </cell>
        </row>
        <row r="1199">
          <cell r="D1199" t="str">
            <v xml:space="preserve">رسوم تشوين </v>
          </cell>
          <cell r="E1199">
            <v>46131</v>
          </cell>
        </row>
        <row r="1200">
          <cell r="E1200">
            <v>46093</v>
          </cell>
        </row>
        <row r="1201">
          <cell r="D1201" t="str">
            <v xml:space="preserve">نقل مرتجع الالومونيوم الي المخزن </v>
          </cell>
          <cell r="E1201">
            <v>46144</v>
          </cell>
        </row>
        <row r="1202">
          <cell r="D1202" t="str">
            <v xml:space="preserve">يوميه تشوين خامات سباكه وكهرباء </v>
          </cell>
          <cell r="E1202">
            <v>46148</v>
          </cell>
        </row>
        <row r="1203">
          <cell r="D1203" t="str">
            <v xml:space="preserve">ونش الكمباوند للتشوينات </v>
          </cell>
          <cell r="E1203">
            <v>46179</v>
          </cell>
        </row>
        <row r="1204">
          <cell r="D1204" t="str">
            <v xml:space="preserve">مصنعيه مباني </v>
          </cell>
          <cell r="E1204">
            <v>46120</v>
          </cell>
        </row>
        <row r="1205">
          <cell r="D1205" t="str">
            <v xml:space="preserve">طن اسمنت+500طوبه + نقله رمل  لزوم مباني </v>
          </cell>
          <cell r="E1205">
            <v>46181</v>
          </cell>
        </row>
        <row r="1206">
          <cell r="D1206" t="str">
            <v xml:space="preserve">فاتورة تاسيس كهرباء </v>
          </cell>
          <cell r="E1206">
            <v>46133</v>
          </cell>
        </row>
        <row r="1207">
          <cell r="D1207" t="str">
            <v xml:space="preserve">فاتورة استكمال ساسيس كهرباء </v>
          </cell>
          <cell r="E1207">
            <v>46093</v>
          </cell>
        </row>
        <row r="1208">
          <cell r="D1208" t="str">
            <v xml:space="preserve">فاتورة كهرباء  سلك  المعادي ديونز </v>
          </cell>
          <cell r="E1208">
            <v>46090</v>
          </cell>
        </row>
        <row r="1209">
          <cell r="D1209" t="str">
            <v xml:space="preserve">فرق فاتورة استبدال لوحه كهرباء وقواطع </v>
          </cell>
          <cell r="E1209">
            <v>46121</v>
          </cell>
        </row>
        <row r="1210">
          <cell r="D1210" t="str">
            <v xml:space="preserve">سبراي لزوم تعليم نقاط الكهرباء </v>
          </cell>
          <cell r="E1210">
            <v>46132</v>
          </cell>
        </row>
        <row r="1211">
          <cell r="D1211" t="str">
            <v xml:space="preserve">نقل طلبيه الكهرباء </v>
          </cell>
          <cell r="E1211">
            <v>46133</v>
          </cell>
        </row>
        <row r="1212">
          <cell r="D1212" t="str">
            <v xml:space="preserve">5 لفه فليكسبل   م/ احمد يونس </v>
          </cell>
          <cell r="E1212">
            <v>46139</v>
          </cell>
        </row>
        <row r="1213">
          <cell r="D1213" t="str">
            <v xml:space="preserve">7 لفه فلكسبل 16مم  م / احمد يونس </v>
          </cell>
          <cell r="E1213">
            <v>46142</v>
          </cell>
        </row>
        <row r="1214">
          <cell r="D1214" t="str">
            <v xml:space="preserve">لفه فلكسبل + علبه فليشر </v>
          </cell>
          <cell r="E1214">
            <v>46144</v>
          </cell>
        </row>
        <row r="1215">
          <cell r="D1215" t="str">
            <v xml:space="preserve">فاتورة طلبات كهرباء + خرطوم مياه ( م/ احمد يونس </v>
          </cell>
          <cell r="E1215">
            <v>46148</v>
          </cell>
        </row>
        <row r="1216">
          <cell r="D1216" t="str">
            <v xml:space="preserve">5 لفه فلكسبل+3علبه فيشر +كلبسات ومسامير  م/ احمد يونس </v>
          </cell>
          <cell r="E1216">
            <v>46166</v>
          </cell>
        </row>
        <row r="1217">
          <cell r="D1217" t="str">
            <v xml:space="preserve">موظف كهرباء توصيل العداد + اكراميه الامن </v>
          </cell>
          <cell r="E1217">
            <v>46166</v>
          </cell>
        </row>
        <row r="1218">
          <cell r="D1218" t="str">
            <v xml:space="preserve">2 عماله نظافه موقع </v>
          </cell>
          <cell r="E1218">
            <v>46142</v>
          </cell>
        </row>
        <row r="1219">
          <cell r="D1219" t="str">
            <v xml:space="preserve">2 يوميه نظافه رتش ارضيات الحمامات وتجهيز العزل + 20 ش فارغه </v>
          </cell>
          <cell r="E1219">
            <v>46153</v>
          </cell>
        </row>
        <row r="1220">
          <cell r="D1220" t="str">
            <v xml:space="preserve">مقاوله هدم الحوائط </v>
          </cell>
          <cell r="E1220">
            <v>46093</v>
          </cell>
        </row>
        <row r="1221">
          <cell r="D1221" t="str">
            <v>5طن اسمنت*4250ج+2000دوبل*3600ج+12م رمل*250ج+1500مصمت*3000ج</v>
          </cell>
          <cell r="E1221">
            <v>46116</v>
          </cell>
        </row>
        <row r="1222">
          <cell r="D1222" t="str">
            <v>7عتب*300ج+تشوينهم1400ج+ايجار مسدس كانات 250+مترسن 500+تشوينه800ج</v>
          </cell>
          <cell r="E1222">
            <v>46120</v>
          </cell>
        </row>
        <row r="1223">
          <cell r="D1223" t="str">
            <v>تكسير حائط+تنزيل الرتش+ نظافه وترتيب الطوب +2شفرة مصعد80ج</v>
          </cell>
          <cell r="E1223">
            <v>46120</v>
          </cell>
        </row>
        <row r="1224">
          <cell r="D1224" t="str">
            <v xml:space="preserve">تكسير حوائط </v>
          </cell>
          <cell r="E1224">
            <v>46131</v>
          </cell>
        </row>
        <row r="1225">
          <cell r="D1225" t="str">
            <v>1300مصمت*4700+700احمر*2800+طن اسمنت*4250+12م رمل*3000+0.5م سن*300</v>
          </cell>
          <cell r="E1225">
            <v>46133</v>
          </cell>
        </row>
        <row r="1226">
          <cell r="D1226" t="str">
            <v>2 يوميه مباني *1700</v>
          </cell>
          <cell r="E1226">
            <v>46139</v>
          </cell>
        </row>
        <row r="1227">
          <cell r="D1227" t="str">
            <v xml:space="preserve">ايجار2 برميل+عامل تكسير+ اكراميه </v>
          </cell>
          <cell r="E1227">
            <v>46139</v>
          </cell>
        </row>
        <row r="1228">
          <cell r="D1228" t="str">
            <v>100ش فارغه لتعبئه الرتش700ج+500طوبه*1800ج+ تشوين السباكه والطوب2500ج</v>
          </cell>
          <cell r="E1228">
            <v>46145</v>
          </cell>
        </row>
        <row r="1229">
          <cell r="D1229" t="str">
            <v xml:space="preserve">يوميه تكسير محارة+ايجار هيلتي + ترتيب موقع </v>
          </cell>
          <cell r="E1229">
            <v>46166</v>
          </cell>
        </row>
        <row r="1230">
          <cell r="D1230" t="str">
            <v xml:space="preserve">اكراميه عمال التشوين </v>
          </cell>
          <cell r="E1230">
            <v>46133</v>
          </cell>
        </row>
        <row r="1231">
          <cell r="D1231" t="str">
            <v xml:space="preserve">فاتورة شفاطات تجهيز بالنقل </v>
          </cell>
          <cell r="E1231">
            <v>46144</v>
          </cell>
        </row>
        <row r="1232">
          <cell r="D1232" t="str">
            <v xml:space="preserve">عمل 4 فتحات كور   م/ احمد يونس </v>
          </cell>
          <cell r="E1232">
            <v>46142</v>
          </cell>
        </row>
        <row r="1233">
          <cell r="D1233" t="str">
            <v xml:space="preserve">مصنعيه تركيب الشفاطات + البلاور </v>
          </cell>
          <cell r="E1233">
            <v>46148</v>
          </cell>
        </row>
        <row r="1234">
          <cell r="D1234" t="str">
            <v xml:space="preserve">م. انتقالات  لزوم استلام شيك ومفتاح الموقع+ التفويضات </v>
          </cell>
          <cell r="E1234">
            <v>46089</v>
          </cell>
        </row>
        <row r="1235">
          <cell r="D1235" t="str">
            <v xml:space="preserve">دفعه من ايرادات معادي ديونز  ( شيك بنكي ) </v>
          </cell>
          <cell r="E1235">
            <v>46092</v>
          </cell>
        </row>
        <row r="1236">
          <cell r="D1236" t="str">
            <v xml:space="preserve">ايداع شيك معادي ديونز </v>
          </cell>
          <cell r="E1236">
            <v>46126</v>
          </cell>
        </row>
        <row r="1237">
          <cell r="D1237" t="str">
            <v xml:space="preserve">دفعه من ايرادات معادي ديونز ( تقفيل مرحله اولي ) </v>
          </cell>
          <cell r="E1237">
            <v>46158</v>
          </cell>
        </row>
        <row r="1238">
          <cell r="D1238" t="str">
            <v xml:space="preserve">وارد ايراد ثري دي معادي ديونز ( 12500ج ) الباقي 12500ج </v>
          </cell>
          <cell r="E1238">
            <v>46047</v>
          </cell>
        </row>
        <row r="1239">
          <cell r="D1239" t="str">
            <v xml:space="preserve">باقي ايراد ثري دي معادي ديونز ( اجمالي 25000ج ) </v>
          </cell>
          <cell r="E1239">
            <v>46118</v>
          </cell>
        </row>
        <row r="1240">
          <cell r="D1240" t="str">
            <v xml:space="preserve">باقي حساب فواتير السباكه </v>
          </cell>
          <cell r="E1240">
            <v>46188</v>
          </cell>
        </row>
        <row r="1241">
          <cell r="D1241" t="str">
            <v xml:space="preserve">يوميه مباني في معادي ديونز </v>
          </cell>
          <cell r="E1241">
            <v>46190</v>
          </cell>
        </row>
        <row r="1242">
          <cell r="D1242" t="str">
            <v xml:space="preserve">اوبر انتقالات عبد الرحمن محاسب استلام شيكات  ذهاب وعوده المقطم </v>
          </cell>
          <cell r="E1242">
            <v>46194</v>
          </cell>
        </row>
        <row r="1243">
          <cell r="C1243" t="str">
            <v>معادي ديونز 318 Total</v>
          </cell>
        </row>
        <row r="1244">
          <cell r="C1244" t="str">
            <v>ياسر القرنفل 354</v>
          </cell>
          <cell r="D1244" t="str">
            <v xml:space="preserve">دفعه مقدمه من اعمال تكييفات ياسر القرنفل </v>
          </cell>
          <cell r="E1244">
            <v>46147</v>
          </cell>
        </row>
        <row r="1245">
          <cell r="D1245" t="str">
            <v>دفعه من اعمال التكيفات في القرنفل 354</v>
          </cell>
          <cell r="E1245">
            <v>46159</v>
          </cell>
        </row>
        <row r="1246">
          <cell r="D1246" t="str">
            <v>دفعه من حساب تجهيز تكييفات القرنفل ( 78723 100% نحاس+75% صاج )</v>
          </cell>
          <cell r="E1246">
            <v>46160</v>
          </cell>
        </row>
        <row r="1247">
          <cell r="D1247" t="str">
            <v xml:space="preserve">30% من اعمال السباكه القرنفل ( المقاوله 30500ج ) </v>
          </cell>
          <cell r="E1247">
            <v>46163</v>
          </cell>
        </row>
        <row r="1248">
          <cell r="D1248" t="str">
            <v xml:space="preserve">دفعه من اعمال السباكه في الفرنفل ( المقاوله 30500ج ) واصل 16157ج </v>
          </cell>
          <cell r="E1248">
            <v>46174</v>
          </cell>
        </row>
        <row r="1249">
          <cell r="D1249" t="str">
            <v xml:space="preserve">دفعه من اعمال السباكه في الفرنفل ( المقاوله 30500ج ) واصل 24657 ج </v>
          </cell>
          <cell r="E1249">
            <v>46184</v>
          </cell>
        </row>
        <row r="1250">
          <cell r="D1250" t="str">
            <v>دفعه من حساب محارة القرنفل 354 ( 316.5*85ج ) = 26900 ج</v>
          </cell>
          <cell r="E1250">
            <v>46099</v>
          </cell>
        </row>
        <row r="1251">
          <cell r="D1251" t="str">
            <v xml:space="preserve">دفعه من حساب اعمال السباكه وتم طرده </v>
          </cell>
          <cell r="E1251">
            <v>46146</v>
          </cell>
        </row>
        <row r="1252">
          <cell r="D1252" t="str">
            <v xml:space="preserve">2 فواتير طلبات سباكه ياسر القرنفل </v>
          </cell>
          <cell r="E1252">
            <v>46184</v>
          </cell>
        </row>
        <row r="1253">
          <cell r="D1253" t="str">
            <v xml:space="preserve">فاتورة طلبات محارة </v>
          </cell>
          <cell r="E1253">
            <v>46091</v>
          </cell>
        </row>
        <row r="1254">
          <cell r="D1254" t="str">
            <v xml:space="preserve">تشوين وتوزيع خامات التشوينات </v>
          </cell>
          <cell r="E1254">
            <v>46097</v>
          </cell>
        </row>
        <row r="1255">
          <cell r="D1255" t="str">
            <v>تشوين ( 6م رمل + 1.5طن اسمنت + 0.5 م سن + 250 طوبه + رتش )</v>
          </cell>
          <cell r="E1255">
            <v>46090</v>
          </cell>
        </row>
        <row r="1256">
          <cell r="D1256" t="str">
            <v xml:space="preserve">اجمالي  اعمال الكهرباء في ششقتين القرنفل </v>
          </cell>
          <cell r="E1256">
            <v>46163</v>
          </cell>
        </row>
        <row r="1257">
          <cell r="D1257" t="str">
            <v xml:space="preserve"> يوميه نظافه و 10  ش فارغه </v>
          </cell>
          <cell r="E1257">
            <v>46152</v>
          </cell>
        </row>
        <row r="1258">
          <cell r="D1258" t="str">
            <v xml:space="preserve">يوميه عامل خدمه موقع </v>
          </cell>
          <cell r="E1258">
            <v>46156</v>
          </cell>
        </row>
        <row r="1259">
          <cell r="D1259" t="str">
            <v xml:space="preserve">3 يوميات لم رتش وتنزيل </v>
          </cell>
          <cell r="E1259">
            <v>46163</v>
          </cell>
        </row>
        <row r="1260">
          <cell r="D1260" t="str">
            <v>2 ش عازل 107 + النقل 100ج</v>
          </cell>
          <cell r="E1260">
            <v>46182</v>
          </cell>
        </row>
        <row r="1261">
          <cell r="D1261" t="str">
            <v xml:space="preserve">عمل نسخ مفاتيح للمواقع </v>
          </cell>
          <cell r="E1261">
            <v>46096</v>
          </cell>
        </row>
        <row r="1262">
          <cell r="D1262" t="str">
            <v xml:space="preserve">نقل طلبات تجهيز الموقع </v>
          </cell>
          <cell r="E1262">
            <v>46093</v>
          </cell>
        </row>
        <row r="1263">
          <cell r="D1263" t="str">
            <v xml:space="preserve"> 6م رمل + 1.5طن اسمنت + 0.5 م سن + 250 طوبه + رتش )</v>
          </cell>
          <cell r="E1263">
            <v>46096</v>
          </cell>
        </row>
        <row r="1264">
          <cell r="D1264" t="str">
            <v xml:space="preserve">حساب البنا + ايجار مسدس كانات </v>
          </cell>
          <cell r="E1264">
            <v>46109</v>
          </cell>
        </row>
        <row r="1265">
          <cell r="D1265" t="str">
            <v xml:space="preserve">فواتير طلبات حنفيات وخرطوم لزوم تجهيز الموقع ( بيد عبد الشكور ) </v>
          </cell>
          <cell r="E1265">
            <v>46121</v>
          </cell>
        </row>
        <row r="1266">
          <cell r="D1266" t="str">
            <v>4 يوميات خدمه موقع+نقل بورسلين + صب عتب 3.36م3</v>
          </cell>
          <cell r="E1266">
            <v>46163</v>
          </cell>
        </row>
        <row r="1267">
          <cell r="D1267" t="str">
            <v xml:space="preserve">يوميه تشوين طوب+يوميه تفتيح جريلات+يوميه مباني كتف حمام+ ش فارغه </v>
          </cell>
          <cell r="E1267">
            <v>46184</v>
          </cell>
        </row>
        <row r="1268">
          <cell r="D1268" t="str">
            <v xml:space="preserve">عمل فتاحات كور </v>
          </cell>
          <cell r="E1268">
            <v>46109</v>
          </cell>
        </row>
        <row r="1269">
          <cell r="D1269" t="str">
            <v xml:space="preserve">6 فتحات كور </v>
          </cell>
          <cell r="E1269">
            <v>46152</v>
          </cell>
        </row>
        <row r="1270">
          <cell r="D1270" t="str">
            <v>دفعه من ايرادات ياسر القرنفل 354</v>
          </cell>
          <cell r="E1270">
            <v>46089</v>
          </cell>
        </row>
        <row r="1271">
          <cell r="D1271" t="str">
            <v xml:space="preserve">وارد دفعه من ايرادات ياسر القرنفل </v>
          </cell>
          <cell r="E1271">
            <v>46144</v>
          </cell>
        </row>
        <row r="1272">
          <cell r="D1272" t="str">
            <v xml:space="preserve">دفعه من ايرادات ياسر القرنفل </v>
          </cell>
          <cell r="E1272">
            <v>46194</v>
          </cell>
        </row>
        <row r="1273">
          <cell r="E1273">
            <v>46193</v>
          </cell>
        </row>
        <row r="1274">
          <cell r="E1274">
            <v>46182</v>
          </cell>
        </row>
        <row r="1275">
          <cell r="E1275">
            <v>46174</v>
          </cell>
        </row>
        <row r="1276">
          <cell r="D1276" t="str">
            <v xml:space="preserve">باقي حساب تاسيس سباكه القرنفل ( 30500ج ) </v>
          </cell>
          <cell r="E1276">
            <v>46190</v>
          </cell>
        </row>
        <row r="1277">
          <cell r="D1277" t="str">
            <v>200طوبه دوبل*1100ج+ يوميه بنا ومساعد *1600ج +10كانات ربط -100 +8كانه حلوق150</v>
          </cell>
          <cell r="E1277">
            <v>46190</v>
          </cell>
        </row>
        <row r="1278">
          <cell r="D1278" t="str">
            <v>3 نقله رتش *2400ج  + تنزيل الرتش 48 ش *1600ج</v>
          </cell>
          <cell r="E1278">
            <v>46190</v>
          </cell>
        </row>
        <row r="1279">
          <cell r="D1279" t="str">
            <v xml:space="preserve">2 حلق توريد وتركيب </v>
          </cell>
          <cell r="E1279">
            <v>46190</v>
          </cell>
        </row>
        <row r="1280">
          <cell r="D1280" t="str">
            <v xml:space="preserve">يوميه عامل نظافه وتشوين </v>
          </cell>
          <cell r="E1280">
            <v>46190</v>
          </cell>
        </row>
        <row r="1281">
          <cell r="C1281" t="str">
            <v>ياسر القرنفل 354 Total</v>
          </cell>
        </row>
        <row r="1282">
          <cell r="C1282" t="str">
            <v>هاني القرنفل 355</v>
          </cell>
          <cell r="D1282" t="str">
            <v>دفعه مقدمه من اعمال تكييفات هاني القرنفل</v>
          </cell>
          <cell r="E1282">
            <v>46147</v>
          </cell>
        </row>
        <row r="1283">
          <cell r="D1283" t="str">
            <v xml:space="preserve">دفعه من حساب تجهيز تكييفات القرنفل  تقفيل حساب النحاس 59160ج </v>
          </cell>
          <cell r="E1283">
            <v>46160</v>
          </cell>
        </row>
        <row r="1284">
          <cell r="D1284" t="str">
            <v>دفعه من حساب محارة القرنفل 355 ( 238 * 85ج ) = 20300</v>
          </cell>
          <cell r="E1284">
            <v>46099</v>
          </cell>
        </row>
        <row r="1285">
          <cell r="D1285" t="str">
            <v xml:space="preserve">فاتورة طلبات محارة </v>
          </cell>
          <cell r="E1285">
            <v>46091</v>
          </cell>
        </row>
        <row r="1286">
          <cell r="D1286" t="str">
            <v xml:space="preserve">تشوين ( 6م رمل + 1.5طن اسمنت + 0.5 م سن + 250 طوبه + رتش ) </v>
          </cell>
          <cell r="E1286">
            <v>46090</v>
          </cell>
        </row>
        <row r="1287">
          <cell r="D1287" t="str">
            <v xml:space="preserve">تشوين وتوزيع خامات التشوينات </v>
          </cell>
          <cell r="E1287">
            <v>46097</v>
          </cell>
        </row>
        <row r="1288">
          <cell r="D1288" t="str">
            <v xml:space="preserve">10لفه فلكسبل+20 علبه ماجيك </v>
          </cell>
          <cell r="E1288">
            <v>46163</v>
          </cell>
        </row>
        <row r="1289">
          <cell r="D1289" t="str">
            <v xml:space="preserve">اجمالي  اعمال الكهرباء في ششقتين القرنفل </v>
          </cell>
          <cell r="E1289">
            <v>46163</v>
          </cell>
        </row>
        <row r="1290">
          <cell r="D1290" t="str">
            <v xml:space="preserve"> يوميه نظافه و 10  ش فارغه </v>
          </cell>
          <cell r="E1290">
            <v>46152</v>
          </cell>
        </row>
        <row r="1291">
          <cell r="D1291" t="str">
            <v xml:space="preserve">2 يوميه تكسير جلسه حمام الماستر+تنظيف الموقع ولم الرتش </v>
          </cell>
          <cell r="E1291">
            <v>46166</v>
          </cell>
        </row>
        <row r="1292">
          <cell r="D1292" t="str">
            <v xml:space="preserve">2 يوميه عماله نظافه بالموقع </v>
          </cell>
          <cell r="E1292">
            <v>46184</v>
          </cell>
        </row>
        <row r="1293">
          <cell r="D1293" t="str">
            <v xml:space="preserve">عمل نسخ مفاتيح للمواقع </v>
          </cell>
          <cell r="E1293">
            <v>46096</v>
          </cell>
        </row>
        <row r="1294">
          <cell r="D1294" t="str">
            <v xml:space="preserve">نقل طلبات تجهيز الموقع </v>
          </cell>
          <cell r="E1294">
            <v>46093</v>
          </cell>
        </row>
        <row r="1295">
          <cell r="D1295" t="str">
            <v xml:space="preserve"> 6م رمل + 1.5طن اسمنت + 0.5 م سن + 250 طوبه + رتش )</v>
          </cell>
          <cell r="E1295">
            <v>46096</v>
          </cell>
        </row>
        <row r="1296">
          <cell r="D1296" t="str">
            <v xml:space="preserve">حساب البنا + ايجار مسدس كانات </v>
          </cell>
          <cell r="E1296">
            <v>46109</v>
          </cell>
        </row>
        <row r="1297">
          <cell r="D1297" t="str">
            <v xml:space="preserve">فواتير طلبات حنفيات وخرطوم لزوم تجهيز الموقع ( بيد عبد الشكور ) </v>
          </cell>
          <cell r="E1297">
            <v>46121</v>
          </cell>
        </row>
        <row r="1298">
          <cell r="D1298" t="str">
            <v xml:space="preserve">اكراميه عمال تنزيل التكييف </v>
          </cell>
          <cell r="E1298">
            <v>46120</v>
          </cell>
        </row>
        <row r="1299">
          <cell r="D1299" t="str">
            <v xml:space="preserve">عمل فتاحات كور </v>
          </cell>
          <cell r="E1299">
            <v>46109</v>
          </cell>
        </row>
        <row r="1300">
          <cell r="D1300" t="str">
            <v xml:space="preserve">6 فتحات كور </v>
          </cell>
          <cell r="E1300">
            <v>46152</v>
          </cell>
        </row>
        <row r="1301">
          <cell r="D1301" t="str">
            <v>دفعه من ايرادات هاني القرنفل 355</v>
          </cell>
          <cell r="E1301">
            <v>46089</v>
          </cell>
        </row>
        <row r="1302">
          <cell r="D1302" t="str">
            <v xml:space="preserve">وارد دفعه من ايرادات هاني القرنفل </v>
          </cell>
          <cell r="E1302">
            <v>46144</v>
          </cell>
        </row>
        <row r="1303">
          <cell r="D1303" t="str">
            <v>نقله رتش *800ج  + تنزيل الرتش  45 ش *1600ج +10ش فارغه*100</v>
          </cell>
          <cell r="E1303">
            <v>46190</v>
          </cell>
        </row>
        <row r="1304">
          <cell r="C1304" t="str">
            <v>هاني القرنفل 355 Total</v>
          </cell>
        </row>
        <row r="1305">
          <cell r="C1305" t="str">
            <v xml:space="preserve">كناريا </v>
          </cell>
          <cell r="D1305" t="str">
            <v xml:space="preserve">باقي حساب تشطيب كهرباء كناريا </v>
          </cell>
          <cell r="E1305">
            <v>46029</v>
          </cell>
        </row>
        <row r="1306">
          <cell r="D1306" t="str">
            <v xml:space="preserve">يوميه تعديلات + تركيب ساوند سيستم </v>
          </cell>
          <cell r="E1306">
            <v>46086</v>
          </cell>
        </row>
        <row r="1307">
          <cell r="D1307" t="str">
            <v xml:space="preserve">دفعه من اعمال دهانات كناريا </v>
          </cell>
          <cell r="E1307">
            <v>46156</v>
          </cell>
        </row>
        <row r="1308">
          <cell r="D1308" t="str">
            <v xml:space="preserve">عربون حجز تشطيب الصحي من السلاب كناريا </v>
          </cell>
          <cell r="E1308">
            <v>46030</v>
          </cell>
        </row>
        <row r="1309">
          <cell r="D1309" t="str">
            <v xml:space="preserve">فاتورة تنكيل وشوش تشطيب السباكه </v>
          </cell>
          <cell r="E1309">
            <v>46097</v>
          </cell>
        </row>
        <row r="1310">
          <cell r="D1310" t="str">
            <v xml:space="preserve">باقي فاتورة الصحي كناريا (  87809 اجمالي الفاتورة - 5000 حجز سابق ) </v>
          </cell>
          <cell r="E1310">
            <v>46047</v>
          </cell>
        </row>
        <row r="1311">
          <cell r="D1311" t="str">
            <v xml:space="preserve">فاتورة تشطيب نواكل كناريا </v>
          </cell>
          <cell r="E1311">
            <v>46111</v>
          </cell>
        </row>
        <row r="1312">
          <cell r="D1312" t="str">
            <v xml:space="preserve">فاتورة خامات دهانات كناريا بيد عمرو ريحان </v>
          </cell>
          <cell r="E1312">
            <v>46135</v>
          </cell>
        </row>
        <row r="1313">
          <cell r="D1313" t="str">
            <v xml:space="preserve">فاتورة طلبات دهانات  بيد عمرو ريحان بعلم م/ احمد يونس </v>
          </cell>
          <cell r="E1313">
            <v>46142</v>
          </cell>
        </row>
        <row r="1314">
          <cell r="D1314" t="str">
            <v xml:space="preserve">لفه كرتون+15م مشمع*60ج </v>
          </cell>
          <cell r="E1314">
            <v>46142</v>
          </cell>
        </row>
        <row r="1315">
          <cell r="D1315" t="str">
            <v xml:space="preserve">فاتورة عينات دهانات كناريا </v>
          </cell>
          <cell r="E1315">
            <v>46147</v>
          </cell>
        </row>
        <row r="1316">
          <cell r="D1316" t="str">
            <v xml:space="preserve">نقله رتش </v>
          </cell>
          <cell r="E1316">
            <v>46036</v>
          </cell>
        </row>
        <row r="1317">
          <cell r="D1317" t="str">
            <v xml:space="preserve">تشوين صحي كناريا+100ج تصريح الامن+50 اكراميه السائق </v>
          </cell>
          <cell r="E1317">
            <v>46062</v>
          </cell>
        </row>
        <row r="1318">
          <cell r="D1318" t="str">
            <v xml:space="preserve">فاتورة استكمال كهرباء كناريا </v>
          </cell>
          <cell r="E1318">
            <v>46034</v>
          </cell>
        </row>
        <row r="1319">
          <cell r="D1319" t="str">
            <v xml:space="preserve">فاتورة ساوند سيستم </v>
          </cell>
          <cell r="E1319">
            <v>46046</v>
          </cell>
        </row>
        <row r="1320">
          <cell r="D1320" t="str">
            <v xml:space="preserve">فاتورة طلبات كهرباء لزوم التعديلات </v>
          </cell>
          <cell r="E1320">
            <v>46086</v>
          </cell>
        </row>
        <row r="1321">
          <cell r="D1321" t="str">
            <v xml:space="preserve">2 عمال نظافه وتنزيل الرتش </v>
          </cell>
          <cell r="E1321">
            <v>46036</v>
          </cell>
        </row>
        <row r="1322">
          <cell r="D1322" t="str">
            <v xml:space="preserve">2 ش اسمنت+نقله رمل بالنقل </v>
          </cell>
          <cell r="E1322">
            <v>46181</v>
          </cell>
        </row>
        <row r="1323">
          <cell r="D1323" t="str">
            <v xml:space="preserve">انتقالات وسط البلد الفيستات+ نواكل كناريا </v>
          </cell>
          <cell r="E1323">
            <v>46111</v>
          </cell>
        </row>
        <row r="1324">
          <cell r="D1324" t="str">
            <v xml:space="preserve">وارد دفعه من ايرادات كناريا </v>
          </cell>
          <cell r="E1324">
            <v>46041</v>
          </cell>
        </row>
        <row r="1325">
          <cell r="C1325" t="str">
            <v>كناريا  Total</v>
          </cell>
        </row>
        <row r="1326">
          <cell r="C1326" t="str">
            <v xml:space="preserve">معادي فيو </v>
          </cell>
          <cell r="D1326" t="str">
            <v xml:space="preserve">يوميه اعمال سيراميك في معادي فيو </v>
          </cell>
          <cell r="E1326">
            <v>46135</v>
          </cell>
        </row>
        <row r="1327">
          <cell r="D1327" t="str">
            <v xml:space="preserve">دفعه من اعمال دهانات داخلي معادي فيو  ( الباقي 3000ج ) </v>
          </cell>
          <cell r="E1327">
            <v>46142</v>
          </cell>
        </row>
        <row r="1328">
          <cell r="D1328" t="str">
            <v xml:space="preserve">دفعه من اعمال كهرباء معادي فيو </v>
          </cell>
          <cell r="E1328">
            <v>46135</v>
          </cell>
        </row>
        <row r="1329">
          <cell r="D1329" t="str">
            <v xml:space="preserve">دفعه من حساب تجاليد و نجارة معادي فيو </v>
          </cell>
          <cell r="E1329">
            <v>46039</v>
          </cell>
        </row>
        <row r="1330">
          <cell r="D1330" t="str">
            <v xml:space="preserve">دفعه من حساب ياسر النجار </v>
          </cell>
          <cell r="E1330">
            <v>46053</v>
          </cell>
        </row>
        <row r="1331">
          <cell r="D1331" t="str">
            <v xml:space="preserve">طقم تطويل دفن </v>
          </cell>
          <cell r="E1331">
            <v>46042</v>
          </cell>
        </row>
        <row r="1332">
          <cell r="D1332" t="str">
            <v xml:space="preserve">سيلكون عزل شريط    م/ منه </v>
          </cell>
          <cell r="E1332">
            <v>46181</v>
          </cell>
        </row>
        <row r="1333">
          <cell r="D1333" t="str">
            <v xml:space="preserve">فاتورة استكمال دهانات تشطيب  م/ اسلام زكريا </v>
          </cell>
          <cell r="E1333">
            <v>46138</v>
          </cell>
        </row>
        <row r="1334">
          <cell r="D1334" t="str">
            <v xml:space="preserve">2 فاتورة فيلوماستيك مذهل تشطيب دهانات+ طلبات نظافه ) م / اسلام </v>
          </cell>
          <cell r="E1334">
            <v>46139</v>
          </cell>
        </row>
        <row r="1335">
          <cell r="D1335" t="str">
            <v xml:space="preserve">فاتورة تشطيب دهانات   م/ اسلام </v>
          </cell>
          <cell r="E1335">
            <v>46141</v>
          </cell>
        </row>
        <row r="1336">
          <cell r="D1336" t="str">
            <v xml:space="preserve">فاتورة استكمال تشطيب كهرباء </v>
          </cell>
          <cell r="E1336">
            <v>46133</v>
          </cell>
        </row>
        <row r="1337">
          <cell r="D1337" t="str">
            <v xml:space="preserve">فاتورة تشطيب كهرباء معادي فيو </v>
          </cell>
          <cell r="E1337">
            <v>46121</v>
          </cell>
        </row>
        <row r="1338">
          <cell r="D1338" t="str">
            <v xml:space="preserve">فاتورة استكمال كهربباء ( 4 بانل  30سم ) </v>
          </cell>
          <cell r="E1338">
            <v>46144</v>
          </cell>
        </row>
        <row r="1339">
          <cell r="D1339" t="str">
            <v xml:space="preserve">فاتورة وصلات و حوامل شاشات </v>
          </cell>
          <cell r="E1339">
            <v>46147</v>
          </cell>
        </row>
        <row r="1340">
          <cell r="D1340" t="str">
            <v xml:space="preserve">فوط ومساحه وسكينه لزوم نظافه </v>
          </cell>
          <cell r="E1340">
            <v>46132</v>
          </cell>
        </row>
        <row r="1341">
          <cell r="D1341" t="str">
            <v xml:space="preserve">2 يوميه نظافه   م/ اسلام </v>
          </cell>
          <cell r="E1341">
            <v>46153</v>
          </cell>
        </row>
        <row r="1342">
          <cell r="D1342" t="str">
            <v xml:space="preserve">يوميه نظافه وخدمه موقع </v>
          </cell>
          <cell r="E1342">
            <v>46142</v>
          </cell>
        </row>
        <row r="1343">
          <cell r="E1343">
            <v>46133</v>
          </cell>
        </row>
        <row r="1344">
          <cell r="D1344" t="str">
            <v>اعمال زنبرة المطبخ</v>
          </cell>
          <cell r="E1344">
            <v>46028</v>
          </cell>
        </row>
        <row r="1345">
          <cell r="D1345" t="str">
            <v xml:space="preserve">اكراميه سائق سيراميك معادي فيو </v>
          </cell>
          <cell r="E1345">
            <v>46135</v>
          </cell>
        </row>
        <row r="1346">
          <cell r="D1346" t="str">
            <v xml:space="preserve">اكراميه الامن لعدم ايقاف الاعمال </v>
          </cell>
          <cell r="E1346">
            <v>46146</v>
          </cell>
        </row>
        <row r="1347">
          <cell r="D1347" t="str">
            <v xml:space="preserve">خراط تعديل مقبض باب المطبخ </v>
          </cell>
          <cell r="E1347">
            <v>46034</v>
          </cell>
        </row>
        <row r="1348">
          <cell r="D1348" t="str">
            <v>فاتورة من سوفت كلوز</v>
          </cell>
          <cell r="E1348">
            <v>46042</v>
          </cell>
        </row>
        <row r="1349">
          <cell r="D1349" t="str">
            <v xml:space="preserve">فرق استبدال مكنه سوفت كلوز بدل من سوسته </v>
          </cell>
          <cell r="E1349">
            <v>46089</v>
          </cell>
        </row>
        <row r="1350">
          <cell r="D1350" t="str">
            <v xml:space="preserve">فاتورة استكمال سيراميك  بين وحدات المطبخ </v>
          </cell>
          <cell r="E1350">
            <v>46132</v>
          </cell>
        </row>
        <row r="1351">
          <cell r="D1351" t="str">
            <v xml:space="preserve">مون لزوم تركيب سيراميك الباك سبلاش </v>
          </cell>
          <cell r="E1351">
            <v>46132</v>
          </cell>
        </row>
        <row r="1352">
          <cell r="D1352" t="str">
            <v xml:space="preserve">يوميه سيراميك ومساعد تقفيل البلاك سبلاش م / اسلام </v>
          </cell>
          <cell r="E1352">
            <v>46147</v>
          </cell>
        </row>
        <row r="1353">
          <cell r="D1353" t="str">
            <v xml:space="preserve">حامل شاشه </v>
          </cell>
          <cell r="E1353">
            <v>46154</v>
          </cell>
        </row>
        <row r="1354">
          <cell r="D1354" t="str">
            <v xml:space="preserve">تصنيع حامل بوت زراعه في حمام الضيوف </v>
          </cell>
          <cell r="E1354">
            <v>46154</v>
          </cell>
        </row>
        <row r="1355">
          <cell r="D1355" t="str">
            <v xml:space="preserve">فاتورة شفاطات </v>
          </cell>
          <cell r="E1355">
            <v>46121</v>
          </cell>
        </row>
        <row r="1356">
          <cell r="D1356" t="str">
            <v xml:space="preserve">دفعه من ايرادات معادي فيو </v>
          </cell>
          <cell r="E1356">
            <v>46117</v>
          </cell>
        </row>
        <row r="1357">
          <cell r="C1357" t="str">
            <v>معادي فيو  Total</v>
          </cell>
        </row>
        <row r="1358">
          <cell r="C1358" t="str">
            <v xml:space="preserve">وصال </v>
          </cell>
          <cell r="D1358" t="str">
            <v xml:space="preserve">دفعه من اعمال الواجهات في وصال </v>
          </cell>
          <cell r="E1358">
            <v>46030</v>
          </cell>
        </row>
        <row r="1359">
          <cell r="D1359" t="str">
            <v xml:space="preserve">اعمال سباكه في وصال </v>
          </cell>
          <cell r="E1359">
            <v>46029</v>
          </cell>
        </row>
        <row r="1360">
          <cell r="C1360" t="str">
            <v>وصال  Total</v>
          </cell>
        </row>
        <row r="1361">
          <cell r="C1361" t="str">
            <v>القصر 380</v>
          </cell>
          <cell r="D1361" t="str">
            <v xml:space="preserve">دفعه من اعمال محارة القصر </v>
          </cell>
          <cell r="E1361">
            <v>46121</v>
          </cell>
        </row>
        <row r="1362">
          <cell r="D1362" t="str">
            <v xml:space="preserve">50% من اعمال العزل </v>
          </cell>
          <cell r="E1362">
            <v>46156</v>
          </cell>
        </row>
        <row r="1363">
          <cell r="D1363" t="str">
            <v xml:space="preserve">باقي حساب العزل في القصر </v>
          </cell>
          <cell r="E1363">
            <v>46163</v>
          </cell>
        </row>
        <row r="1364">
          <cell r="D1364" t="str">
            <v>دفعه من اعمال سباكه القصر 67% تاسيس 5خزاناتوخلاطات دفن و 5حمامات  ومطبخ BR</v>
          </cell>
          <cell r="E1364">
            <v>46135</v>
          </cell>
        </row>
        <row r="1365">
          <cell r="D1365" t="str">
            <v xml:space="preserve">دفعه من اعمال السباكه في القصر </v>
          </cell>
          <cell r="E1365">
            <v>46148</v>
          </cell>
        </row>
        <row r="1366">
          <cell r="D1366" t="str">
            <v xml:space="preserve">اعمال صرف في المشروع القصر </v>
          </cell>
          <cell r="E1366">
            <v>46166</v>
          </cell>
        </row>
        <row r="1367">
          <cell r="D1367" t="str">
            <v xml:space="preserve">فاتورة عزل </v>
          </cell>
          <cell r="E1367">
            <v>46154</v>
          </cell>
        </row>
        <row r="1368">
          <cell r="D1368" t="str">
            <v xml:space="preserve">تشوين خامات العزل </v>
          </cell>
          <cell r="E1368">
            <v>46156</v>
          </cell>
        </row>
        <row r="1369">
          <cell r="D1369" t="str">
            <v xml:space="preserve">طلبات سباكه تجهيز موقع </v>
          </cell>
          <cell r="E1369">
            <v>46093</v>
          </cell>
        </row>
        <row r="1370">
          <cell r="D1370" t="str">
            <v xml:space="preserve">فاتورة شفاطات تجهيز بالنقل </v>
          </cell>
          <cell r="E1370">
            <v>46147</v>
          </cell>
        </row>
        <row r="1371">
          <cell r="D1371" t="str">
            <v xml:space="preserve">2فتحه كور8" + 4 فتحه كور 6" </v>
          </cell>
          <cell r="E1371">
            <v>46152</v>
          </cell>
        </row>
        <row r="1372">
          <cell r="D1372" t="str">
            <v>صاج شفاطات6"  4 حمامات1600ج+ صاج شفاطات 8" حمام كبير+مطبخ 1400</v>
          </cell>
          <cell r="E1372">
            <v>46163</v>
          </cell>
        </row>
        <row r="1373">
          <cell r="D1373" t="str">
            <v>دفعه من ايرادات القصر 380</v>
          </cell>
          <cell r="E1373">
            <v>46186</v>
          </cell>
        </row>
        <row r="1374">
          <cell r="E1374">
            <v>46121</v>
          </cell>
        </row>
        <row r="1375">
          <cell r="E1375">
            <v>46114</v>
          </cell>
        </row>
        <row r="1376">
          <cell r="D1376" t="str">
            <v>وارد دفعه من ايرادات القصر 380</v>
          </cell>
          <cell r="E1376">
            <v>46155</v>
          </cell>
        </row>
        <row r="1377">
          <cell r="D1377" t="str">
            <v xml:space="preserve">دفعه من ايراد ثري دي القصر 380 ( اجمالي الواصل 70000ج ) باقي 30000ج </v>
          </cell>
          <cell r="E1377">
            <v>46028</v>
          </cell>
        </row>
        <row r="1378">
          <cell r="D1378" t="str">
            <v xml:space="preserve">باقي ايرادات ثري دي عمرو هليوبوليس 380  ( الاجمالي 100000ج ) </v>
          </cell>
          <cell r="E1378">
            <v>46089</v>
          </cell>
        </row>
        <row r="1379">
          <cell r="D1379" t="str">
            <v>دفعه مقدمه من حساب مواسير فريون القصر 380</v>
          </cell>
          <cell r="E1379">
            <v>46188</v>
          </cell>
        </row>
        <row r="1380">
          <cell r="D1380" t="str">
            <v xml:space="preserve">9 فتحات كور لزوم مواسير الفريون </v>
          </cell>
          <cell r="E1380">
            <v>46190</v>
          </cell>
        </row>
        <row r="1381">
          <cell r="C1381" t="str">
            <v>القصر 380 Total</v>
          </cell>
        </row>
        <row r="1382">
          <cell r="C1382" t="str">
            <v>عشري وصال 398</v>
          </cell>
          <cell r="D1382" t="str">
            <v xml:space="preserve">دفعه من اعمال المحارة </v>
          </cell>
          <cell r="E1382">
            <v>46166</v>
          </cell>
        </row>
        <row r="1383">
          <cell r="D1383" t="str">
            <v xml:space="preserve">50% من مقاوله تكسير وتخليع بلاط  ( المقاوله 10000ج )    م/ اسلام </v>
          </cell>
          <cell r="E1383">
            <v>46153</v>
          </cell>
        </row>
        <row r="1384">
          <cell r="D1384" t="str">
            <v>باقي مقاوله التكسير في وصال5000ج + تنزيل 3نقلات رتش3000ج +80ش فارغه*600ج</v>
          </cell>
          <cell r="E1384">
            <v>46156</v>
          </cell>
        </row>
        <row r="1385">
          <cell r="D1385" t="str">
            <v>تنزيل 2 نقله رتش*2000ج+ش فارغه550ج+ 5000ج دفعه من مقاوله تكسير الرووف (7000ج</v>
          </cell>
          <cell r="E1385">
            <v>46162</v>
          </cell>
        </row>
        <row r="1386">
          <cell r="D1386" t="str">
            <v xml:space="preserve">باقي حساب مقاوله النظافه في وصال + 1450 نظافه وتعبئه رتش </v>
          </cell>
          <cell r="E1386">
            <v>46163</v>
          </cell>
        </row>
        <row r="1387">
          <cell r="D1387" t="str">
            <v xml:space="preserve">فاتورة سباكه تاسيس </v>
          </cell>
          <cell r="E1387">
            <v>46133</v>
          </cell>
        </row>
        <row r="1388">
          <cell r="D1388" t="str">
            <v xml:space="preserve">2 يوميه مباني </v>
          </cell>
          <cell r="E1388">
            <v>46162</v>
          </cell>
        </row>
        <row r="1389">
          <cell r="D1389" t="str">
            <v xml:space="preserve">روله صغيره + سكينه معجون </v>
          </cell>
          <cell r="E1389">
            <v>46131</v>
          </cell>
        </row>
        <row r="1390">
          <cell r="D1390" t="str">
            <v xml:space="preserve">نقله رتش </v>
          </cell>
          <cell r="E1390">
            <v>46141</v>
          </cell>
        </row>
        <row r="1391">
          <cell r="D1391" t="str">
            <v xml:space="preserve">نقل عفش قديم وصال </v>
          </cell>
          <cell r="E1391">
            <v>46121</v>
          </cell>
        </row>
        <row r="1392">
          <cell r="D1392" t="str">
            <v xml:space="preserve">2 نقله رتش     م/ اسلام  </v>
          </cell>
          <cell r="E1392">
            <v>46158</v>
          </cell>
        </row>
        <row r="1393">
          <cell r="E1393">
            <v>46155</v>
          </cell>
        </row>
        <row r="1394">
          <cell r="E1394">
            <v>46153</v>
          </cell>
        </row>
        <row r="1395">
          <cell r="D1395" t="str">
            <v xml:space="preserve">تشوين متر سن+2طن اسمنت + 2000 مصمط </v>
          </cell>
          <cell r="E1395">
            <v>46159</v>
          </cell>
        </row>
        <row r="1396">
          <cell r="D1396" t="str">
            <v xml:space="preserve">متر سن*770+2طن اسمنت*10400+2000مصمط*8000ج </v>
          </cell>
          <cell r="E1396">
            <v>46159</v>
          </cell>
        </row>
        <row r="1397">
          <cell r="D1397" t="str">
            <v xml:space="preserve">2 عتب ابواب </v>
          </cell>
          <cell r="E1397">
            <v>46161</v>
          </cell>
        </row>
        <row r="1398">
          <cell r="D1398" t="str">
            <v xml:space="preserve">فاتورة تأسيس كهرباء دوبلكس وصال </v>
          </cell>
          <cell r="E1398">
            <v>46121</v>
          </cell>
        </row>
        <row r="1399">
          <cell r="D1399" t="str">
            <v xml:space="preserve">فاتورة خامات (15ليد+15دوايه+ شريط لحام) بيد فرج كهربائي تجهيز موقع </v>
          </cell>
          <cell r="E1399">
            <v>46121</v>
          </cell>
        </row>
        <row r="1400">
          <cell r="D1400" t="str">
            <v xml:space="preserve">عامل ترتيب المخزن </v>
          </cell>
          <cell r="E1400">
            <v>46121</v>
          </cell>
        </row>
        <row r="1401">
          <cell r="D1401" t="str">
            <v xml:space="preserve">5 نقلات رتش + اكراميه الامن+ اكراميه السائق لتحيل زياده    محمود اشرف </v>
          </cell>
          <cell r="E1401">
            <v>46134</v>
          </cell>
        </row>
        <row r="1402">
          <cell r="D1402" t="str">
            <v xml:space="preserve">4 نقلات رتش  الاكراميه </v>
          </cell>
          <cell r="E1402">
            <v>46151</v>
          </cell>
        </row>
        <row r="1403">
          <cell r="D1403" t="str">
            <v xml:space="preserve">تشوين 4 نقلات رتش </v>
          </cell>
          <cell r="E1403">
            <v>46151</v>
          </cell>
        </row>
        <row r="1404">
          <cell r="D1404" t="str">
            <v xml:space="preserve">4  نقله رتش  م/ اسلام </v>
          </cell>
          <cell r="E1404">
            <v>46152</v>
          </cell>
        </row>
        <row r="1405">
          <cell r="D1405" t="str">
            <v xml:space="preserve">نظافه وتحميل 4 نقلات رتش </v>
          </cell>
          <cell r="E1405">
            <v>46152</v>
          </cell>
        </row>
        <row r="1406">
          <cell r="D1406" t="str">
            <v xml:space="preserve">تشوين 2 نقلات رتش </v>
          </cell>
          <cell r="E1406">
            <v>46153</v>
          </cell>
        </row>
        <row r="1407">
          <cell r="D1407" t="str">
            <v xml:space="preserve">نقله رتش  </v>
          </cell>
          <cell r="E1407">
            <v>46163</v>
          </cell>
        </row>
        <row r="1408">
          <cell r="D1408" t="str">
            <v xml:space="preserve">تنزيل نقله رتش 1000ج +ش فارغه 100ج + تشوين طوب وتزريع سياخ حديد مباني </v>
          </cell>
          <cell r="E1408">
            <v>46163</v>
          </cell>
        </row>
        <row r="1409">
          <cell r="D1409" t="str">
            <v xml:space="preserve">يوميات عماله في وصال  ( التشوين لو يتم ) </v>
          </cell>
          <cell r="E1409">
            <v>46177</v>
          </cell>
        </row>
        <row r="1410">
          <cell r="D1410" t="str">
            <v xml:space="preserve">دفعه من مقاوله اعمال معماري ( المقاوله 32000ج ) </v>
          </cell>
          <cell r="E1410">
            <v>46121</v>
          </cell>
        </row>
        <row r="1411">
          <cell r="D1411" t="str">
            <v xml:space="preserve">دفعه ثانيه من مقاوله عبد الرحمن معماري في وصال ( 32000ج - 12000ج ) </v>
          </cell>
          <cell r="E1411">
            <v>46133</v>
          </cell>
        </row>
        <row r="1412">
          <cell r="D1412" t="str">
            <v xml:space="preserve">دفعه ثالثه  من مقاوله عبد الرحمن معماري في وصال (   الواصل  17000ج ) </v>
          </cell>
          <cell r="E1412">
            <v>46135</v>
          </cell>
        </row>
        <row r="1413">
          <cell r="D1413" t="str">
            <v>4 عامل اعمال تعبئة و تنزيل رتش</v>
          </cell>
          <cell r="E1413">
            <v>46135</v>
          </cell>
        </row>
        <row r="1414">
          <cell r="D1414" t="str">
            <v>4 عمال فك و تحميل الحمام من سوديك ثم الإنتقال إلى وصال للتعبئة و تنزيل الرتش</v>
          </cell>
          <cell r="E1414">
            <v>46142</v>
          </cell>
        </row>
        <row r="1415">
          <cell r="D1415" t="str">
            <v>نسخه مفاتيح160ج + فاتورة المياه فبراير 200ج  + اوراق اعتماد برجوله 200ج  م/اسلام</v>
          </cell>
          <cell r="E1415">
            <v>46075</v>
          </cell>
        </row>
        <row r="1416">
          <cell r="D1416" t="str">
            <v xml:space="preserve">فاتورة مياه شهر 3+4 وصال 398 </v>
          </cell>
          <cell r="E1416">
            <v>46113</v>
          </cell>
        </row>
        <row r="1417">
          <cell r="D1417" t="str">
            <v xml:space="preserve">ايصال المياه </v>
          </cell>
          <cell r="E1417">
            <v>46146</v>
          </cell>
        </row>
        <row r="1418">
          <cell r="D1418" t="str">
            <v xml:space="preserve">اكراميه الامن في وصال م/ محمود اشرف </v>
          </cell>
          <cell r="E1418">
            <v>46117</v>
          </cell>
        </row>
        <row r="1419">
          <cell r="D1419" t="str">
            <v xml:space="preserve"> 100ج اكراميه الامن </v>
          </cell>
          <cell r="E1419">
            <v>46174</v>
          </cell>
        </row>
        <row r="1420">
          <cell r="D1420" t="str">
            <v xml:space="preserve">فاتورة شفاطات تجهيز بالنقل </v>
          </cell>
          <cell r="E1420">
            <v>46144</v>
          </cell>
        </row>
        <row r="1421">
          <cell r="D1421" t="str">
            <v xml:space="preserve">انتقالات مشتريات  لاستلام المفاتيح </v>
          </cell>
          <cell r="E1421">
            <v>46063</v>
          </cell>
        </row>
        <row r="1422">
          <cell r="D1422" t="str">
            <v xml:space="preserve">دفعه من ايرادات عشري وصال 398   </v>
          </cell>
          <cell r="E1422">
            <v>46114</v>
          </cell>
        </row>
        <row r="1423">
          <cell r="D1423" t="str">
            <v>دفعه من ايرادات عشري وصال 398</v>
          </cell>
          <cell r="E1423">
            <v>46134</v>
          </cell>
        </row>
        <row r="1424">
          <cell r="D1424" t="str">
            <v xml:space="preserve">دفعه من ايرادات عشري وصال </v>
          </cell>
          <cell r="E1424">
            <v>46174</v>
          </cell>
        </row>
        <row r="1425">
          <cell r="D1425" t="str">
            <v xml:space="preserve">50 % من ايراد ثري دي عشري وصال 398 ( الباقي 17500ج ) </v>
          </cell>
          <cell r="E1425">
            <v>46064</v>
          </cell>
        </row>
        <row r="1426">
          <cell r="D1426" t="str">
            <v xml:space="preserve">طرمبه باب +فرشه سلك وفرشه 2"  م / اسلام </v>
          </cell>
          <cell r="E1426">
            <v>46190</v>
          </cell>
        </row>
        <row r="1427">
          <cell r="D1427" t="str">
            <v xml:space="preserve">يوميه تكشيف في الخرسانات + ايجار هيلتي </v>
          </cell>
          <cell r="E1427">
            <v>46190</v>
          </cell>
        </row>
        <row r="1428">
          <cell r="C1428" t="str">
            <v>عشري وصال 398 Total</v>
          </cell>
        </row>
        <row r="1429">
          <cell r="C1429" t="str">
            <v xml:space="preserve">راس الحكمه </v>
          </cell>
          <cell r="D1429" t="str">
            <v xml:space="preserve">دفعه مقدمه من اعمال بوابه الجاردن ( المقاوله 13000ج ) </v>
          </cell>
          <cell r="E1429">
            <v>46063</v>
          </cell>
        </row>
        <row r="1430">
          <cell r="D1430" t="str">
            <v xml:space="preserve">باقي حساب  بوابه خشب الجاردن </v>
          </cell>
          <cell r="E1430">
            <v>46070</v>
          </cell>
        </row>
        <row r="1431">
          <cell r="D1431" t="str">
            <v xml:space="preserve">باقي حساب اعمال كهرباء راس الحكمه </v>
          </cell>
          <cell r="E1431">
            <v>46030</v>
          </cell>
        </row>
        <row r="1432">
          <cell r="D1432" t="str">
            <v xml:space="preserve">يوميه سباكه </v>
          </cell>
          <cell r="E1432">
            <v>46063</v>
          </cell>
        </row>
        <row r="1433">
          <cell r="D1433" t="str">
            <v xml:space="preserve">باقي حساب شوشه للاثاث ( النقل ) </v>
          </cell>
          <cell r="E1433">
            <v>46068</v>
          </cell>
        </row>
        <row r="1434">
          <cell r="D1434" t="str">
            <v xml:space="preserve">فني دش </v>
          </cell>
          <cell r="E1434">
            <v>46049</v>
          </cell>
        </row>
        <row r="1435">
          <cell r="D1435" t="str">
            <v xml:space="preserve">يوميه عامل نظافه </v>
          </cell>
          <cell r="E1435">
            <v>46063</v>
          </cell>
        </row>
        <row r="1436">
          <cell r="D1436" t="str">
            <v xml:space="preserve">شركه النظافه في راس الحكمه </v>
          </cell>
          <cell r="E1436">
            <v>46049</v>
          </cell>
        </row>
        <row r="1437">
          <cell r="D1437" t="str">
            <v xml:space="preserve">عماله شيل رتش ماقبل النظافه </v>
          </cell>
          <cell r="E1437">
            <v>46049</v>
          </cell>
        </row>
        <row r="1438">
          <cell r="C1438" t="str">
            <v>راس الحكمه  Total</v>
          </cell>
        </row>
        <row r="1439">
          <cell r="C1439" t="str">
            <v xml:space="preserve">نيو جيزة </v>
          </cell>
          <cell r="D1439" t="str">
            <v xml:space="preserve">خصم من حساب نيو جيزة  </v>
          </cell>
          <cell r="E1439">
            <v>46128</v>
          </cell>
        </row>
        <row r="1440">
          <cell r="D1440" t="str">
            <v xml:space="preserve">وارد دفعه ايرادات من نيو جيزة </v>
          </cell>
          <cell r="E1440">
            <v>46055</v>
          </cell>
        </row>
        <row r="1441">
          <cell r="C1441" t="str">
            <v>نيو جيزة  Total</v>
          </cell>
        </row>
        <row r="1442">
          <cell r="C1442" t="str">
            <v>سوديك</v>
          </cell>
          <cell r="D1442" t="str">
            <v xml:space="preserve">دفعه مطبخ سوديك </v>
          </cell>
          <cell r="E1442">
            <v>46097</v>
          </cell>
        </row>
        <row r="1443">
          <cell r="D1443" t="str">
            <v xml:space="preserve">دفعه دولايب سوديك </v>
          </cell>
          <cell r="E1443">
            <v>46097</v>
          </cell>
        </row>
        <row r="1444">
          <cell r="C1444" t="str">
            <v>سوديك Total</v>
          </cell>
        </row>
        <row r="1445">
          <cell r="C1445" t="str">
            <v>دوبلكس الشروق</v>
          </cell>
          <cell r="D1445" t="str">
            <v xml:space="preserve">تقفيل حساب دوبلكس الشروق </v>
          </cell>
          <cell r="E1445">
            <v>46099</v>
          </cell>
        </row>
        <row r="1446">
          <cell r="C1446" t="str">
            <v>دوبلكس الشروق Total</v>
          </cell>
        </row>
        <row r="1447">
          <cell r="C1447" t="str">
            <v xml:space="preserve">مديونيه قديمه </v>
          </cell>
          <cell r="D1447" t="str">
            <v xml:space="preserve">دفعه من حساب ناصر المقاول </v>
          </cell>
          <cell r="E1447">
            <v>46040</v>
          </cell>
        </row>
        <row r="1448">
          <cell r="D1448" t="str">
            <v xml:space="preserve">دفعه من مديونيه قديمه ( الباقي  19100ج ) </v>
          </cell>
          <cell r="E1448">
            <v>46070</v>
          </cell>
        </row>
        <row r="1449">
          <cell r="D1449" t="str">
            <v xml:space="preserve">دفعه من مديونيه قديمه ( الباقي  14100ج ) </v>
          </cell>
          <cell r="E1449">
            <v>46121</v>
          </cell>
        </row>
        <row r="1450">
          <cell r="C1450" t="str">
            <v>مديونيه قديمه  Total</v>
          </cell>
        </row>
        <row r="1451">
          <cell r="C1451" t="str">
            <v>مديونيه قديمه</v>
          </cell>
          <cell r="D1451" t="str">
            <v xml:space="preserve">دفعه من حساب ناصر المقاول ( الباقي 7100ج ) </v>
          </cell>
          <cell r="E1451">
            <v>46156</v>
          </cell>
        </row>
        <row r="1452">
          <cell r="D1452" t="str">
            <v xml:space="preserve">باقي حساب ناصر المقاول </v>
          </cell>
          <cell r="E1452">
            <v>46163</v>
          </cell>
        </row>
        <row r="1453">
          <cell r="C1453" t="str">
            <v>مديونيه قديمه Total</v>
          </cell>
        </row>
        <row r="1454">
          <cell r="C1454" t="str">
            <v xml:space="preserve">م. عموميه واداريه </v>
          </cell>
          <cell r="D1454" t="str">
            <v xml:space="preserve">زيارات صيانه الحاسبات ( 4 زيارات *750ج ) + شاحن لاب توب المشتريات </v>
          </cell>
          <cell r="E1454">
            <v>46027</v>
          </cell>
        </row>
        <row r="1455">
          <cell r="D1455" t="str">
            <v xml:space="preserve">فاتورة طلبات البوفيه </v>
          </cell>
          <cell r="E1455">
            <v>46034</v>
          </cell>
        </row>
        <row r="1456">
          <cell r="D1456" t="str">
            <v xml:space="preserve">اشتراك موقع بورديو </v>
          </cell>
          <cell r="E1456">
            <v>46036</v>
          </cell>
        </row>
        <row r="1457">
          <cell r="D1457" t="str">
            <v xml:space="preserve">مصاريف الانستا </v>
          </cell>
          <cell r="E1457">
            <v>46037</v>
          </cell>
        </row>
        <row r="1458">
          <cell r="D1458" t="str">
            <v xml:space="preserve">اكراميه فتحي البواب  ( تخصم من راتب منير ) نظافه المكتب والبوفيه </v>
          </cell>
          <cell r="E1458">
            <v>46042</v>
          </cell>
        </row>
        <row r="1459">
          <cell r="D1459" t="str">
            <v xml:space="preserve">2.75 كجم  بن للمكتب </v>
          </cell>
          <cell r="E1459">
            <v>46044</v>
          </cell>
        </row>
        <row r="1460">
          <cell r="D1460" t="str">
            <v xml:space="preserve">حساب مطبوعات الايصالات و الاختام </v>
          </cell>
          <cell r="E1460">
            <v>46046</v>
          </cell>
        </row>
        <row r="1461">
          <cell r="D1461" t="str">
            <v xml:space="preserve">سيستم الحضور والانصراف </v>
          </cell>
          <cell r="E1461">
            <v>46047</v>
          </cell>
        </row>
        <row r="1462">
          <cell r="D1462" t="str">
            <v xml:space="preserve">فاتورة تليفون الارضي </v>
          </cell>
          <cell r="E1462">
            <v>46049</v>
          </cell>
        </row>
        <row r="1463">
          <cell r="D1463" t="str">
            <v xml:space="preserve">فاتورة تليفون وسلك لزوم تعديل شبكه التليفون في المكتب </v>
          </cell>
          <cell r="E1463">
            <v>46050</v>
          </cell>
        </row>
        <row r="1464">
          <cell r="D1464" t="str">
            <v xml:space="preserve">فاتورة تليفون مشتريات </v>
          </cell>
          <cell r="E1464">
            <v>46147</v>
          </cell>
        </row>
        <row r="1465">
          <cell r="E1465">
            <v>46089</v>
          </cell>
        </row>
        <row r="1466">
          <cell r="E1466">
            <v>46062</v>
          </cell>
        </row>
        <row r="1467">
          <cell r="D1467" t="str">
            <v xml:space="preserve">فاتورة طلبات البوفيه  + النقل </v>
          </cell>
          <cell r="E1467">
            <v>46062</v>
          </cell>
        </row>
        <row r="1468">
          <cell r="D1468" t="str">
            <v xml:space="preserve">طلبات ضيافه لعميل </v>
          </cell>
          <cell r="E1468">
            <v>46063</v>
          </cell>
        </row>
        <row r="1469">
          <cell r="D1469" t="str">
            <v xml:space="preserve">تفعيل برنامج سكتش اب أ/ احمد الميري </v>
          </cell>
          <cell r="E1469">
            <v>46064</v>
          </cell>
        </row>
        <row r="1470">
          <cell r="D1470" t="str">
            <v xml:space="preserve">فاتورة طلبات زينه رمضان </v>
          </cell>
          <cell r="E1470">
            <v>46064</v>
          </cell>
        </row>
        <row r="1471">
          <cell r="D1471" t="str">
            <v xml:space="preserve">8 حجارة ريموت تكييفات </v>
          </cell>
          <cell r="E1471">
            <v>46068</v>
          </cell>
        </row>
        <row r="1472">
          <cell r="D1472" t="str">
            <v xml:space="preserve">مصاريف فتح حساب ال CIB </v>
          </cell>
          <cell r="E1472">
            <v>46069</v>
          </cell>
        </row>
        <row r="1473">
          <cell r="D1473" t="str">
            <v xml:space="preserve">كشاف توتال + حجارة </v>
          </cell>
          <cell r="E1473">
            <v>46069</v>
          </cell>
        </row>
        <row r="1474">
          <cell r="D1474" t="str">
            <v xml:space="preserve">طلبات زينه رمضان وفوانيس </v>
          </cell>
          <cell r="E1474">
            <v>46070</v>
          </cell>
        </row>
        <row r="1475">
          <cell r="D1475" t="str">
            <v xml:space="preserve">المحاسب القانوني  ( الاشتراك في المنظومه + الاستراك في التوكين + اتعاب 2000ج ) </v>
          </cell>
          <cell r="E1475">
            <v>46077</v>
          </cell>
        </row>
        <row r="1476">
          <cell r="D1476" t="str">
            <v xml:space="preserve">2 انبوبه سيليكون في المكتب اخدتهم المهندسه منه  ودفعت ثمنهم </v>
          </cell>
          <cell r="E1476">
            <v>46079</v>
          </cell>
        </row>
        <row r="1477">
          <cell r="D1477" t="str">
            <v xml:space="preserve">اشتراكات اون لاين </v>
          </cell>
          <cell r="E1477">
            <v>46085</v>
          </cell>
        </row>
        <row r="1478">
          <cell r="D1478" t="str">
            <v xml:space="preserve">حجز  عزومه رمضان </v>
          </cell>
          <cell r="E1478">
            <v>46090</v>
          </cell>
        </row>
        <row r="1479">
          <cell r="D1479" t="str">
            <v xml:space="preserve">مليء حبر ماكينه الطباعه وتغير رول شحم </v>
          </cell>
          <cell r="E1479">
            <v>46091</v>
          </cell>
        </row>
        <row r="1480">
          <cell r="D1480" t="str">
            <v xml:space="preserve">باقي حساب عزومه رمضان </v>
          </cell>
          <cell r="E1480">
            <v>46098</v>
          </cell>
        </row>
        <row r="1481">
          <cell r="D1481" t="str">
            <v xml:space="preserve">1/4 ك بن 250ج + اكراميه عزومه رمضان </v>
          </cell>
          <cell r="E1481">
            <v>46098</v>
          </cell>
        </row>
        <row r="1482">
          <cell r="D1482" t="str">
            <v xml:space="preserve">نقل وتشوين ( سوديك المكتب المخزن ) م / ايه </v>
          </cell>
          <cell r="E1482">
            <v>46099</v>
          </cell>
        </row>
        <row r="1483">
          <cell r="D1483" t="str">
            <v>بن للمكتب</v>
          </cell>
          <cell r="E1483">
            <v>46126</v>
          </cell>
        </row>
        <row r="1484">
          <cell r="E1484">
            <v>46109</v>
          </cell>
        </row>
        <row r="1485">
          <cell r="D1485" t="str">
            <v xml:space="preserve">منظفات للمكتب </v>
          </cell>
          <cell r="E1485">
            <v>46111</v>
          </cell>
        </row>
        <row r="1486">
          <cell r="D1486" t="str">
            <v xml:space="preserve">مشروبات للبوفيه </v>
          </cell>
          <cell r="E1486">
            <v>46111</v>
          </cell>
        </row>
        <row r="1487">
          <cell r="D1487" t="str">
            <v xml:space="preserve">2 رزمه ورق تصوير </v>
          </cell>
          <cell r="E1487">
            <v>46111</v>
          </cell>
        </row>
        <row r="1488">
          <cell r="D1488" t="str">
            <v xml:space="preserve">انتقلات مشتريات البوفيه </v>
          </cell>
          <cell r="E1488">
            <v>46111</v>
          </cell>
        </row>
        <row r="1489">
          <cell r="D1489" t="str">
            <v>طلبات ضيافه  ( لبن ونسكافيه للعملاء ) سامح</v>
          </cell>
          <cell r="E1489">
            <v>46113</v>
          </cell>
        </row>
        <row r="1490">
          <cell r="D1490" t="str">
            <v xml:space="preserve">سيستم ال HR </v>
          </cell>
          <cell r="E1490">
            <v>46116</v>
          </cell>
        </row>
        <row r="1491">
          <cell r="D1491" t="str">
            <v>10فيست*230+10هيلمت*350+2يونيفورم*240+2فيست مدير مواقع*315</v>
          </cell>
          <cell r="E1491">
            <v>46118</v>
          </cell>
        </row>
        <row r="1492">
          <cell r="D1492" t="str">
            <v xml:space="preserve">حجارة قلم لريموتات التكييف </v>
          </cell>
          <cell r="E1492">
            <v>46118</v>
          </cell>
        </row>
        <row r="1493">
          <cell r="D1493" t="str">
            <v xml:space="preserve">طلبات منظفات للمكتب </v>
          </cell>
          <cell r="E1493">
            <v>46121</v>
          </cell>
        </row>
        <row r="1494">
          <cell r="D1494" t="str">
            <v xml:space="preserve">5 كشكول سلك </v>
          </cell>
          <cell r="E1494">
            <v>46121</v>
          </cell>
        </row>
        <row r="1495">
          <cell r="D1495" t="str">
            <v xml:space="preserve">نقل بضاعه من مخزن المكتب الي المخزن الرئيسي </v>
          </cell>
          <cell r="E1495">
            <v>46121</v>
          </cell>
        </row>
        <row r="1496">
          <cell r="D1496" t="str">
            <v xml:space="preserve">رسوم استخراج سجل تجاري المكتب أ/ احمد اسماعيل </v>
          </cell>
          <cell r="E1496">
            <v>46121</v>
          </cell>
        </row>
        <row r="1497">
          <cell r="D1497" t="str">
            <v xml:space="preserve">م. انتقالات  أ.عبد الرحمن محاسب  لزوم استلام شيك </v>
          </cell>
          <cell r="E1497">
            <v>46121</v>
          </cell>
        </row>
        <row r="1498">
          <cell r="D1498" t="str">
            <v xml:space="preserve">نقل خامات الكهرباء من المخزن  و تشوينها بالموقع+ توضيب المخزن  مع أ/ سامح </v>
          </cell>
          <cell r="E1498">
            <v>46121</v>
          </cell>
        </row>
        <row r="1499">
          <cell r="D1499" t="str">
            <v xml:space="preserve">من حساب ال IT </v>
          </cell>
          <cell r="E1499">
            <v>46123</v>
          </cell>
        </row>
        <row r="1500">
          <cell r="D1500" t="str">
            <v xml:space="preserve">سكيت نوت م / ايه </v>
          </cell>
          <cell r="E1500">
            <v>46123</v>
          </cell>
        </row>
        <row r="1501">
          <cell r="D1501" t="str">
            <v xml:space="preserve">حساب صيانه سوفت وير الكاميرات </v>
          </cell>
          <cell r="E1501">
            <v>46124</v>
          </cell>
        </row>
        <row r="1502">
          <cell r="D1502" t="str">
            <v xml:space="preserve">فاتورة موبايلات المكتب </v>
          </cell>
          <cell r="E1502">
            <v>46127</v>
          </cell>
        </row>
        <row r="1503">
          <cell r="D1503" t="str">
            <v>اشتراك الدومين</v>
          </cell>
          <cell r="E1503">
            <v>46127</v>
          </cell>
        </row>
        <row r="1504">
          <cell r="D1504" t="str">
            <v xml:space="preserve">شراء كابلات تشغيل كاميرات المكتب </v>
          </cell>
          <cell r="E1504">
            <v>46132</v>
          </cell>
        </row>
        <row r="1505">
          <cell r="D1505" t="str">
            <v xml:space="preserve">ايجار سيارة + بنزين الذهاب والعوده  كريم النجار مع م/ ايه </v>
          </cell>
          <cell r="E1505">
            <v>46132</v>
          </cell>
        </row>
      </sheetData>
      <sheetData sheetId="5">
        <row r="1">
          <cell r="A1" t="str">
            <v>Details for Sum of Balance - رقم الحساب: 20, اسم الحساب: الخزينة , التوجية المحاسبي الاول: أصول متداوله -النقدية ومافي حكمها , التوجيه المحاسبي الاخير: الاصول, الشهر: (blank) (+)</v>
          </cell>
        </row>
        <row r="3">
          <cell r="A3" t="str">
            <v>رقم القيد</v>
          </cell>
          <cell r="B3" t="str">
            <v>تاريخ</v>
          </cell>
          <cell r="C3" t="str">
            <v>رقم الحساب</v>
          </cell>
          <cell r="D3" t="str">
            <v>اسم الحساب</v>
          </cell>
          <cell r="E3" t="str">
            <v>العملة</v>
          </cell>
        </row>
        <row r="4">
          <cell r="A4">
            <v>87</v>
          </cell>
          <cell r="B4">
            <v>46187</v>
          </cell>
          <cell r="C4">
            <v>20</v>
          </cell>
          <cell r="D4" t="str">
            <v xml:space="preserve">الخزينة </v>
          </cell>
        </row>
        <row r="5">
          <cell r="A5">
            <v>75</v>
          </cell>
          <cell r="B5">
            <v>46187</v>
          </cell>
          <cell r="C5">
            <v>20</v>
          </cell>
          <cell r="D5" t="str">
            <v xml:space="preserve">الخزينة </v>
          </cell>
        </row>
        <row r="6">
          <cell r="A6">
            <v>64</v>
          </cell>
          <cell r="B6">
            <v>46187</v>
          </cell>
          <cell r="C6">
            <v>20</v>
          </cell>
          <cell r="D6" t="str">
            <v xml:space="preserve">الخزينة </v>
          </cell>
        </row>
        <row r="7">
          <cell r="A7">
            <v>55</v>
          </cell>
          <cell r="B7">
            <v>46187</v>
          </cell>
          <cell r="C7">
            <v>20</v>
          </cell>
          <cell r="D7" t="str">
            <v xml:space="preserve">الخزينة </v>
          </cell>
        </row>
        <row r="8">
          <cell r="A8">
            <v>63</v>
          </cell>
          <cell r="B8">
            <v>46187</v>
          </cell>
          <cell r="C8">
            <v>20</v>
          </cell>
          <cell r="D8" t="str">
            <v xml:space="preserve">الخزينة </v>
          </cell>
        </row>
        <row r="9">
          <cell r="A9">
            <v>60</v>
          </cell>
          <cell r="B9">
            <v>46187</v>
          </cell>
          <cell r="C9">
            <v>20</v>
          </cell>
          <cell r="D9" t="str">
            <v xml:space="preserve">الخزينة </v>
          </cell>
        </row>
        <row r="10">
          <cell r="A10">
            <v>60</v>
          </cell>
          <cell r="B10">
            <v>46187</v>
          </cell>
          <cell r="C10">
            <v>20</v>
          </cell>
          <cell r="D10" t="str">
            <v xml:space="preserve">الخزينة </v>
          </cell>
        </row>
        <row r="11">
          <cell r="A11">
            <v>90</v>
          </cell>
          <cell r="B11">
            <v>46186</v>
          </cell>
          <cell r="C11">
            <v>20</v>
          </cell>
          <cell r="D11" t="str">
            <v xml:space="preserve">الخزينة </v>
          </cell>
        </row>
        <row r="12">
          <cell r="A12">
            <v>78</v>
          </cell>
          <cell r="B12">
            <v>46186</v>
          </cell>
          <cell r="C12">
            <v>20</v>
          </cell>
          <cell r="D12" t="str">
            <v xml:space="preserve">الخزينة </v>
          </cell>
        </row>
        <row r="13">
          <cell r="A13">
            <v>72</v>
          </cell>
          <cell r="B13">
            <v>46186</v>
          </cell>
          <cell r="C13">
            <v>20</v>
          </cell>
          <cell r="D13" t="str">
            <v xml:space="preserve">الخزينة </v>
          </cell>
        </row>
        <row r="14">
          <cell r="A14">
            <v>70</v>
          </cell>
          <cell r="B14">
            <v>46186</v>
          </cell>
          <cell r="C14">
            <v>20</v>
          </cell>
          <cell r="D14" t="str">
            <v xml:space="preserve">الخزينة </v>
          </cell>
        </row>
        <row r="15">
          <cell r="A15">
            <v>69</v>
          </cell>
          <cell r="B15">
            <v>46186</v>
          </cell>
          <cell r="C15">
            <v>20</v>
          </cell>
          <cell r="D15" t="str">
            <v xml:space="preserve">الخزينة </v>
          </cell>
        </row>
        <row r="16">
          <cell r="A16">
            <v>69</v>
          </cell>
          <cell r="B16">
            <v>46186</v>
          </cell>
          <cell r="C16">
            <v>20</v>
          </cell>
          <cell r="D16" t="str">
            <v xml:space="preserve">الخزينة </v>
          </cell>
        </row>
        <row r="17">
          <cell r="A17">
            <v>50</v>
          </cell>
          <cell r="B17">
            <v>46186</v>
          </cell>
          <cell r="C17">
            <v>20</v>
          </cell>
          <cell r="D17" t="str">
            <v xml:space="preserve">الخزينة </v>
          </cell>
        </row>
        <row r="18">
          <cell r="A18">
            <v>53</v>
          </cell>
          <cell r="B18">
            <v>46186</v>
          </cell>
          <cell r="C18">
            <v>20</v>
          </cell>
          <cell r="D18" t="str">
            <v xml:space="preserve">الخزينة </v>
          </cell>
        </row>
        <row r="19">
          <cell r="A19">
            <v>63</v>
          </cell>
          <cell r="B19">
            <v>46186</v>
          </cell>
          <cell r="C19">
            <v>20</v>
          </cell>
          <cell r="D19" t="str">
            <v xml:space="preserve">الخزينة </v>
          </cell>
        </row>
        <row r="20">
          <cell r="A20">
            <v>63</v>
          </cell>
          <cell r="B20">
            <v>46186</v>
          </cell>
          <cell r="C20">
            <v>20</v>
          </cell>
          <cell r="D20" t="str">
            <v xml:space="preserve">الخزينة </v>
          </cell>
        </row>
        <row r="21">
          <cell r="A21">
            <v>91</v>
          </cell>
          <cell r="B21">
            <v>46184</v>
          </cell>
          <cell r="C21">
            <v>20</v>
          </cell>
          <cell r="D21" t="str">
            <v xml:space="preserve">الخزينة </v>
          </cell>
        </row>
        <row r="22">
          <cell r="A22">
            <v>90</v>
          </cell>
          <cell r="B22">
            <v>46184</v>
          </cell>
          <cell r="C22">
            <v>20</v>
          </cell>
          <cell r="D22" t="str">
            <v xml:space="preserve">الخزينة </v>
          </cell>
        </row>
        <row r="23">
          <cell r="A23">
            <v>2</v>
          </cell>
          <cell r="B23">
            <v>46184</v>
          </cell>
          <cell r="C23">
            <v>20</v>
          </cell>
          <cell r="D23" t="str">
            <v xml:space="preserve">الخزينة </v>
          </cell>
        </row>
        <row r="24">
          <cell r="A24">
            <v>2</v>
          </cell>
          <cell r="B24">
            <v>46184</v>
          </cell>
          <cell r="C24">
            <v>20</v>
          </cell>
          <cell r="D24" t="str">
            <v xml:space="preserve">الخزينة </v>
          </cell>
        </row>
        <row r="25">
          <cell r="A25">
            <v>88</v>
          </cell>
          <cell r="B25">
            <v>46184</v>
          </cell>
          <cell r="C25">
            <v>20</v>
          </cell>
          <cell r="D25" t="str">
            <v xml:space="preserve">الخزينة </v>
          </cell>
        </row>
        <row r="26">
          <cell r="A26">
            <v>88</v>
          </cell>
          <cell r="B26">
            <v>46184</v>
          </cell>
          <cell r="C26">
            <v>20</v>
          </cell>
          <cell r="D26" t="str">
            <v xml:space="preserve">الخزينة </v>
          </cell>
        </row>
        <row r="27">
          <cell r="A27">
            <v>18</v>
          </cell>
          <cell r="B27">
            <v>46184</v>
          </cell>
          <cell r="C27">
            <v>20</v>
          </cell>
          <cell r="D27" t="str">
            <v xml:space="preserve">الخزينة </v>
          </cell>
        </row>
        <row r="28">
          <cell r="A28">
            <v>20</v>
          </cell>
          <cell r="B28">
            <v>46184</v>
          </cell>
          <cell r="C28">
            <v>20</v>
          </cell>
          <cell r="D28" t="str">
            <v xml:space="preserve">الخزينة </v>
          </cell>
        </row>
        <row r="29">
          <cell r="A29">
            <v>27</v>
          </cell>
          <cell r="B29">
            <v>46184</v>
          </cell>
          <cell r="C29">
            <v>20</v>
          </cell>
          <cell r="D29" t="str">
            <v xml:space="preserve">الخزينة </v>
          </cell>
        </row>
        <row r="30">
          <cell r="A30">
            <v>32</v>
          </cell>
          <cell r="B30">
            <v>46184</v>
          </cell>
          <cell r="C30">
            <v>20</v>
          </cell>
          <cell r="D30" t="str">
            <v xml:space="preserve">الخزينة </v>
          </cell>
        </row>
        <row r="31">
          <cell r="A31">
            <v>75</v>
          </cell>
          <cell r="B31">
            <v>46184</v>
          </cell>
          <cell r="C31">
            <v>20</v>
          </cell>
          <cell r="D31" t="str">
            <v xml:space="preserve">الخزينة </v>
          </cell>
        </row>
        <row r="32">
          <cell r="A32">
            <v>33</v>
          </cell>
          <cell r="B32">
            <v>46184</v>
          </cell>
          <cell r="C32">
            <v>20</v>
          </cell>
          <cell r="D32" t="str">
            <v xml:space="preserve">الخزينة </v>
          </cell>
        </row>
        <row r="33">
          <cell r="A33">
            <v>35</v>
          </cell>
          <cell r="B33">
            <v>46184</v>
          </cell>
          <cell r="C33">
            <v>20</v>
          </cell>
          <cell r="D33" t="str">
            <v xml:space="preserve">الخزينة </v>
          </cell>
        </row>
        <row r="34">
          <cell r="A34">
            <v>35</v>
          </cell>
          <cell r="B34">
            <v>46184</v>
          </cell>
          <cell r="C34">
            <v>20</v>
          </cell>
          <cell r="D34" t="str">
            <v xml:space="preserve">الخزينة </v>
          </cell>
        </row>
        <row r="35">
          <cell r="A35">
            <v>40</v>
          </cell>
          <cell r="B35">
            <v>46184</v>
          </cell>
          <cell r="C35">
            <v>20</v>
          </cell>
          <cell r="D35" t="str">
            <v xml:space="preserve">الخزينة </v>
          </cell>
        </row>
        <row r="36">
          <cell r="A36">
            <v>69</v>
          </cell>
          <cell r="B36">
            <v>46184</v>
          </cell>
          <cell r="C36">
            <v>20</v>
          </cell>
          <cell r="D36" t="str">
            <v xml:space="preserve">الخزينة </v>
          </cell>
        </row>
        <row r="37">
          <cell r="A37">
            <v>69</v>
          </cell>
          <cell r="B37">
            <v>46184</v>
          </cell>
          <cell r="C37">
            <v>20</v>
          </cell>
          <cell r="D37" t="str">
            <v xml:space="preserve">الخزينة </v>
          </cell>
        </row>
        <row r="38">
          <cell r="A38">
            <v>67</v>
          </cell>
          <cell r="B38">
            <v>46184</v>
          </cell>
          <cell r="C38">
            <v>20</v>
          </cell>
          <cell r="D38" t="str">
            <v xml:space="preserve">الخزينة </v>
          </cell>
        </row>
        <row r="39">
          <cell r="A39">
            <v>51</v>
          </cell>
          <cell r="B39">
            <v>46184</v>
          </cell>
          <cell r="C39">
            <v>20</v>
          </cell>
          <cell r="D39" t="str">
            <v xml:space="preserve">الخزينة </v>
          </cell>
        </row>
        <row r="40">
          <cell r="A40">
            <v>53</v>
          </cell>
          <cell r="B40">
            <v>46184</v>
          </cell>
          <cell r="C40">
            <v>20</v>
          </cell>
          <cell r="D40" t="str">
            <v xml:space="preserve">الخزينة </v>
          </cell>
        </row>
        <row r="41">
          <cell r="A41">
            <v>64</v>
          </cell>
          <cell r="B41">
            <v>46184</v>
          </cell>
          <cell r="C41">
            <v>20</v>
          </cell>
          <cell r="D41" t="str">
            <v xml:space="preserve">الخزينة </v>
          </cell>
        </row>
        <row r="42">
          <cell r="A42">
            <v>54</v>
          </cell>
          <cell r="B42">
            <v>46184</v>
          </cell>
          <cell r="C42">
            <v>20</v>
          </cell>
          <cell r="D42" t="str">
            <v xml:space="preserve">الخزينة </v>
          </cell>
        </row>
        <row r="43">
          <cell r="A43">
            <v>64</v>
          </cell>
          <cell r="B43">
            <v>46184</v>
          </cell>
          <cell r="C43">
            <v>20</v>
          </cell>
          <cell r="D43" t="str">
            <v xml:space="preserve">الخزينة </v>
          </cell>
        </row>
        <row r="44">
          <cell r="A44">
            <v>55</v>
          </cell>
          <cell r="B44">
            <v>46184</v>
          </cell>
          <cell r="C44">
            <v>20</v>
          </cell>
          <cell r="D44" t="str">
            <v xml:space="preserve">الخزينة </v>
          </cell>
        </row>
        <row r="45">
          <cell r="A45">
            <v>55</v>
          </cell>
          <cell r="B45">
            <v>46184</v>
          </cell>
          <cell r="C45">
            <v>20</v>
          </cell>
          <cell r="D45" t="str">
            <v xml:space="preserve">الخزينة </v>
          </cell>
        </row>
        <row r="46">
          <cell r="A46">
            <v>63</v>
          </cell>
          <cell r="B46">
            <v>46184</v>
          </cell>
          <cell r="C46">
            <v>20</v>
          </cell>
          <cell r="D46" t="str">
            <v xml:space="preserve">الخزينة </v>
          </cell>
        </row>
        <row r="47">
          <cell r="A47">
            <v>63</v>
          </cell>
          <cell r="B47">
            <v>46184</v>
          </cell>
          <cell r="C47">
            <v>20</v>
          </cell>
          <cell r="D47" t="str">
            <v xml:space="preserve">الخزينة </v>
          </cell>
        </row>
        <row r="48">
          <cell r="A48">
            <v>63</v>
          </cell>
          <cell r="B48">
            <v>46184</v>
          </cell>
          <cell r="C48">
            <v>20</v>
          </cell>
          <cell r="D48" t="str">
            <v xml:space="preserve">الخزينة </v>
          </cell>
        </row>
        <row r="49">
          <cell r="A49">
            <v>63</v>
          </cell>
          <cell r="B49">
            <v>46184</v>
          </cell>
          <cell r="C49">
            <v>20</v>
          </cell>
          <cell r="D49" t="str">
            <v xml:space="preserve">الخزينة </v>
          </cell>
        </row>
        <row r="50">
          <cell r="A50">
            <v>59</v>
          </cell>
          <cell r="B50">
            <v>46184</v>
          </cell>
          <cell r="C50">
            <v>20</v>
          </cell>
          <cell r="D50" t="str">
            <v xml:space="preserve">الخزينة </v>
          </cell>
        </row>
        <row r="51">
          <cell r="A51">
            <v>59</v>
          </cell>
          <cell r="B51">
            <v>46184</v>
          </cell>
          <cell r="C51">
            <v>20</v>
          </cell>
          <cell r="D51" t="str">
            <v xml:space="preserve">الخزينة </v>
          </cell>
        </row>
        <row r="52">
          <cell r="A52">
            <v>60</v>
          </cell>
          <cell r="B52">
            <v>46184</v>
          </cell>
          <cell r="C52">
            <v>20</v>
          </cell>
          <cell r="D52" t="str">
            <v xml:space="preserve">الخزينة </v>
          </cell>
        </row>
        <row r="53">
          <cell r="A53">
            <v>90</v>
          </cell>
          <cell r="B53">
            <v>46182</v>
          </cell>
          <cell r="C53">
            <v>20</v>
          </cell>
          <cell r="D53" t="str">
            <v xml:space="preserve">الخزينة </v>
          </cell>
        </row>
        <row r="54">
          <cell r="A54">
            <v>7</v>
          </cell>
          <cell r="B54">
            <v>46182</v>
          </cell>
          <cell r="C54">
            <v>20</v>
          </cell>
          <cell r="D54" t="str">
            <v xml:space="preserve">الخزينة </v>
          </cell>
        </row>
        <row r="55">
          <cell r="A55">
            <v>88</v>
          </cell>
          <cell r="B55">
            <v>46182</v>
          </cell>
          <cell r="C55">
            <v>20</v>
          </cell>
          <cell r="D55" t="str">
            <v xml:space="preserve">الخزينة </v>
          </cell>
        </row>
        <row r="56">
          <cell r="A56">
            <v>87</v>
          </cell>
          <cell r="B56">
            <v>46182</v>
          </cell>
          <cell r="C56">
            <v>20</v>
          </cell>
          <cell r="D56" t="str">
            <v xml:space="preserve">الخزينة </v>
          </cell>
        </row>
        <row r="57">
          <cell r="A57">
            <v>80</v>
          </cell>
          <cell r="B57">
            <v>46182</v>
          </cell>
          <cell r="C57">
            <v>20</v>
          </cell>
          <cell r="D57" t="str">
            <v xml:space="preserve">الخزينة </v>
          </cell>
        </row>
        <row r="58">
          <cell r="A58">
            <v>78</v>
          </cell>
          <cell r="B58">
            <v>46182</v>
          </cell>
          <cell r="C58">
            <v>20</v>
          </cell>
          <cell r="D58" t="str">
            <v xml:space="preserve">الخزينة </v>
          </cell>
        </row>
        <row r="59">
          <cell r="A59">
            <v>67</v>
          </cell>
          <cell r="B59">
            <v>46182</v>
          </cell>
          <cell r="C59">
            <v>20</v>
          </cell>
          <cell r="D59" t="str">
            <v xml:space="preserve">الخزينة </v>
          </cell>
        </row>
        <row r="60">
          <cell r="A60">
            <v>67</v>
          </cell>
          <cell r="B60">
            <v>46182</v>
          </cell>
          <cell r="C60">
            <v>20</v>
          </cell>
          <cell r="D60" t="str">
            <v xml:space="preserve">الخزينة </v>
          </cell>
        </row>
        <row r="61">
          <cell r="A61">
            <v>66</v>
          </cell>
          <cell r="B61">
            <v>46182</v>
          </cell>
          <cell r="C61">
            <v>20</v>
          </cell>
          <cell r="D61" t="str">
            <v xml:space="preserve">الخزينة </v>
          </cell>
        </row>
        <row r="62">
          <cell r="A62">
            <v>53</v>
          </cell>
          <cell r="B62">
            <v>46182</v>
          </cell>
          <cell r="C62">
            <v>20</v>
          </cell>
          <cell r="D62" t="str">
            <v xml:space="preserve">الخزينة </v>
          </cell>
        </row>
        <row r="63">
          <cell r="A63">
            <v>65</v>
          </cell>
          <cell r="B63">
            <v>46182</v>
          </cell>
          <cell r="C63">
            <v>20</v>
          </cell>
          <cell r="D63" t="str">
            <v xml:space="preserve">الخزينة </v>
          </cell>
        </row>
        <row r="64">
          <cell r="A64">
            <v>76</v>
          </cell>
          <cell r="B64">
            <v>46181</v>
          </cell>
          <cell r="C64">
            <v>20</v>
          </cell>
          <cell r="D64" t="str">
            <v xml:space="preserve">الخزينة </v>
          </cell>
        </row>
        <row r="65">
          <cell r="A65">
            <v>76</v>
          </cell>
          <cell r="B65">
            <v>46181</v>
          </cell>
          <cell r="C65">
            <v>20</v>
          </cell>
          <cell r="D65" t="str">
            <v xml:space="preserve">الخزينة </v>
          </cell>
        </row>
        <row r="66">
          <cell r="A66">
            <v>76</v>
          </cell>
          <cell r="B66">
            <v>46181</v>
          </cell>
          <cell r="C66">
            <v>20</v>
          </cell>
          <cell r="D66" t="str">
            <v xml:space="preserve">الخزينة </v>
          </cell>
        </row>
        <row r="67">
          <cell r="A67">
            <v>72</v>
          </cell>
          <cell r="B67">
            <v>46181</v>
          </cell>
          <cell r="C67">
            <v>20</v>
          </cell>
          <cell r="D67" t="str">
            <v xml:space="preserve">الخزينة </v>
          </cell>
        </row>
        <row r="68">
          <cell r="A68">
            <v>67</v>
          </cell>
          <cell r="B68">
            <v>46181</v>
          </cell>
          <cell r="C68">
            <v>20</v>
          </cell>
          <cell r="D68" t="str">
            <v xml:space="preserve">الخزينة </v>
          </cell>
        </row>
        <row r="69">
          <cell r="A69">
            <v>53</v>
          </cell>
          <cell r="B69">
            <v>46181</v>
          </cell>
          <cell r="C69">
            <v>20</v>
          </cell>
          <cell r="D69" t="str">
            <v xml:space="preserve">الخزينة </v>
          </cell>
        </row>
        <row r="70">
          <cell r="A70">
            <v>56</v>
          </cell>
          <cell r="B70">
            <v>46181</v>
          </cell>
          <cell r="C70">
            <v>20</v>
          </cell>
          <cell r="D70" t="str">
            <v xml:space="preserve">الخزينة </v>
          </cell>
        </row>
        <row r="71">
          <cell r="A71">
            <v>56</v>
          </cell>
          <cell r="B71">
            <v>46181</v>
          </cell>
          <cell r="C71">
            <v>20</v>
          </cell>
          <cell r="D71" t="str">
            <v xml:space="preserve">الخزينة </v>
          </cell>
        </row>
        <row r="72">
          <cell r="A72">
            <v>59</v>
          </cell>
          <cell r="B72">
            <v>46181</v>
          </cell>
          <cell r="C72">
            <v>20</v>
          </cell>
          <cell r="D72" t="str">
            <v xml:space="preserve">الخزينة </v>
          </cell>
        </row>
        <row r="73">
          <cell r="A73">
            <v>61</v>
          </cell>
          <cell r="B73">
            <v>46181</v>
          </cell>
          <cell r="C73">
            <v>20</v>
          </cell>
          <cell r="D73" t="str">
            <v xml:space="preserve">الخزينة </v>
          </cell>
        </row>
        <row r="74">
          <cell r="A74">
            <v>90</v>
          </cell>
          <cell r="B74">
            <v>46179</v>
          </cell>
          <cell r="C74">
            <v>20</v>
          </cell>
          <cell r="D74" t="str">
            <v xml:space="preserve">الخزينة </v>
          </cell>
        </row>
        <row r="75">
          <cell r="A75">
            <v>87</v>
          </cell>
          <cell r="B75">
            <v>46179</v>
          </cell>
          <cell r="C75">
            <v>20</v>
          </cell>
          <cell r="D75" t="str">
            <v xml:space="preserve">الخزينة </v>
          </cell>
        </row>
        <row r="76">
          <cell r="A76">
            <v>32</v>
          </cell>
          <cell r="B76">
            <v>46179</v>
          </cell>
          <cell r="C76">
            <v>20</v>
          </cell>
          <cell r="D76" t="str">
            <v xml:space="preserve">الخزينة </v>
          </cell>
        </row>
        <row r="77">
          <cell r="A77">
            <v>32</v>
          </cell>
          <cell r="B77">
            <v>46179</v>
          </cell>
          <cell r="C77">
            <v>20</v>
          </cell>
          <cell r="D77" t="str">
            <v xml:space="preserve">الخزينة </v>
          </cell>
        </row>
        <row r="78">
          <cell r="A78">
            <v>73</v>
          </cell>
          <cell r="B78">
            <v>46179</v>
          </cell>
          <cell r="C78">
            <v>20</v>
          </cell>
          <cell r="D78" t="str">
            <v xml:space="preserve">الخزينة </v>
          </cell>
        </row>
        <row r="79">
          <cell r="A79">
            <v>53</v>
          </cell>
          <cell r="B79">
            <v>46179</v>
          </cell>
          <cell r="C79">
            <v>20</v>
          </cell>
          <cell r="D79" t="str">
            <v xml:space="preserve">الخزينة </v>
          </cell>
        </row>
        <row r="80">
          <cell r="A80">
            <v>53</v>
          </cell>
          <cell r="B80">
            <v>46179</v>
          </cell>
          <cell r="C80">
            <v>20</v>
          </cell>
          <cell r="D80" t="str">
            <v xml:space="preserve">الخزينة </v>
          </cell>
        </row>
        <row r="81">
          <cell r="A81">
            <v>54</v>
          </cell>
          <cell r="B81">
            <v>46179</v>
          </cell>
          <cell r="C81">
            <v>20</v>
          </cell>
          <cell r="D81" t="str">
            <v xml:space="preserve">الخزينة </v>
          </cell>
        </row>
        <row r="82">
          <cell r="A82">
            <v>63</v>
          </cell>
          <cell r="B82">
            <v>46179</v>
          </cell>
          <cell r="C82">
            <v>20</v>
          </cell>
          <cell r="D82" t="str">
            <v xml:space="preserve">الخزينة </v>
          </cell>
        </row>
        <row r="83">
          <cell r="A83">
            <v>63</v>
          </cell>
          <cell r="B83">
            <v>46179</v>
          </cell>
          <cell r="C83">
            <v>20</v>
          </cell>
          <cell r="D83" t="str">
            <v xml:space="preserve">الخزينة </v>
          </cell>
        </row>
        <row r="84">
          <cell r="A84">
            <v>63</v>
          </cell>
          <cell r="B84">
            <v>46179</v>
          </cell>
          <cell r="C84">
            <v>20</v>
          </cell>
          <cell r="D84" t="str">
            <v xml:space="preserve">الخزينة </v>
          </cell>
        </row>
        <row r="85">
          <cell r="A85">
            <v>59</v>
          </cell>
          <cell r="B85">
            <v>46179</v>
          </cell>
          <cell r="C85">
            <v>20</v>
          </cell>
          <cell r="D85" t="str">
            <v xml:space="preserve">الخزينة </v>
          </cell>
        </row>
        <row r="86">
          <cell r="A86">
            <v>59</v>
          </cell>
          <cell r="B86">
            <v>46179</v>
          </cell>
          <cell r="C86">
            <v>20</v>
          </cell>
          <cell r="D86" t="str">
            <v xml:space="preserve">الخزينة </v>
          </cell>
        </row>
        <row r="87">
          <cell r="A87">
            <v>60</v>
          </cell>
          <cell r="B87">
            <v>46179</v>
          </cell>
          <cell r="C87">
            <v>20</v>
          </cell>
          <cell r="D87" t="str">
            <v xml:space="preserve">الخزينة </v>
          </cell>
        </row>
        <row r="88">
          <cell r="A88">
            <v>60</v>
          </cell>
          <cell r="B88">
            <v>46179</v>
          </cell>
          <cell r="C88">
            <v>20</v>
          </cell>
          <cell r="D88" t="str">
            <v xml:space="preserve">الخزينة </v>
          </cell>
        </row>
        <row r="89">
          <cell r="A89">
            <v>60</v>
          </cell>
          <cell r="B89">
            <v>46179</v>
          </cell>
          <cell r="C89">
            <v>20</v>
          </cell>
          <cell r="D89" t="str">
            <v xml:space="preserve">الخزينة </v>
          </cell>
        </row>
        <row r="90">
          <cell r="A90">
            <v>27</v>
          </cell>
          <cell r="B90">
            <v>46177</v>
          </cell>
          <cell r="C90">
            <v>20</v>
          </cell>
          <cell r="D90" t="str">
            <v xml:space="preserve">الخزينة </v>
          </cell>
        </row>
        <row r="91">
          <cell r="A91">
            <v>67</v>
          </cell>
          <cell r="B91">
            <v>46177</v>
          </cell>
          <cell r="C91">
            <v>20</v>
          </cell>
          <cell r="D91" t="str">
            <v xml:space="preserve">الخزينة </v>
          </cell>
        </row>
        <row r="92">
          <cell r="A92">
            <v>67</v>
          </cell>
          <cell r="B92">
            <v>46177</v>
          </cell>
          <cell r="C92">
            <v>20</v>
          </cell>
          <cell r="D92" t="str">
            <v xml:space="preserve">الخزينة </v>
          </cell>
        </row>
        <row r="93">
          <cell r="A93">
            <v>64</v>
          </cell>
          <cell r="B93">
            <v>46177</v>
          </cell>
          <cell r="C93">
            <v>20</v>
          </cell>
          <cell r="D93" t="str">
            <v xml:space="preserve">الخزينة </v>
          </cell>
        </row>
        <row r="94">
          <cell r="A94">
            <v>54</v>
          </cell>
          <cell r="B94">
            <v>46177</v>
          </cell>
          <cell r="C94">
            <v>20</v>
          </cell>
          <cell r="D94" t="str">
            <v xml:space="preserve">الخزينة </v>
          </cell>
        </row>
        <row r="95">
          <cell r="A95">
            <v>54</v>
          </cell>
          <cell r="B95">
            <v>46177</v>
          </cell>
          <cell r="C95">
            <v>20</v>
          </cell>
          <cell r="D95" t="str">
            <v xml:space="preserve">الخزينة </v>
          </cell>
        </row>
        <row r="96">
          <cell r="A96">
            <v>61</v>
          </cell>
          <cell r="B96">
            <v>46177</v>
          </cell>
          <cell r="C96">
            <v>20</v>
          </cell>
          <cell r="D96" t="str">
            <v xml:space="preserve">الخزينة </v>
          </cell>
        </row>
        <row r="97">
          <cell r="A97">
            <v>60</v>
          </cell>
          <cell r="B97">
            <v>46177</v>
          </cell>
          <cell r="C97">
            <v>20</v>
          </cell>
          <cell r="D97" t="str">
            <v xml:space="preserve">الخزينة </v>
          </cell>
        </row>
        <row r="98">
          <cell r="A98">
            <v>90</v>
          </cell>
          <cell r="B98">
            <v>46176</v>
          </cell>
          <cell r="C98">
            <v>20</v>
          </cell>
          <cell r="D98" t="str">
            <v xml:space="preserve">الخزينة </v>
          </cell>
        </row>
        <row r="99">
          <cell r="A99">
            <v>90</v>
          </cell>
          <cell r="B99">
            <v>46176</v>
          </cell>
          <cell r="C99">
            <v>20</v>
          </cell>
          <cell r="D99" t="str">
            <v xml:space="preserve">الخزينة </v>
          </cell>
        </row>
        <row r="100">
          <cell r="A100">
            <v>67</v>
          </cell>
          <cell r="B100">
            <v>46176</v>
          </cell>
          <cell r="C100">
            <v>20</v>
          </cell>
          <cell r="D100" t="str">
            <v xml:space="preserve">الخزينة </v>
          </cell>
        </row>
        <row r="101">
          <cell r="A101">
            <v>53</v>
          </cell>
          <cell r="B101">
            <v>46176</v>
          </cell>
          <cell r="C101">
            <v>20</v>
          </cell>
          <cell r="D101" t="str">
            <v xml:space="preserve">الخزينة </v>
          </cell>
        </row>
        <row r="102">
          <cell r="A102">
            <v>65</v>
          </cell>
          <cell r="B102">
            <v>46176</v>
          </cell>
          <cell r="C102">
            <v>20</v>
          </cell>
          <cell r="D102" t="str">
            <v xml:space="preserve">الخزينة </v>
          </cell>
        </row>
        <row r="103">
          <cell r="A103">
            <v>87</v>
          </cell>
          <cell r="B103">
            <v>46175</v>
          </cell>
          <cell r="C103">
            <v>20</v>
          </cell>
          <cell r="D103" t="str">
            <v xml:space="preserve">الخزينة </v>
          </cell>
        </row>
        <row r="104">
          <cell r="A104">
            <v>25</v>
          </cell>
          <cell r="B104">
            <v>46175</v>
          </cell>
          <cell r="C104">
            <v>20</v>
          </cell>
          <cell r="D104" t="str">
            <v xml:space="preserve">الخزينة </v>
          </cell>
        </row>
        <row r="105">
          <cell r="A105">
            <v>84</v>
          </cell>
          <cell r="B105">
            <v>46175</v>
          </cell>
          <cell r="C105">
            <v>20</v>
          </cell>
          <cell r="D105" t="str">
            <v xml:space="preserve">الخزينة </v>
          </cell>
        </row>
        <row r="106">
          <cell r="A106">
            <v>33</v>
          </cell>
          <cell r="B106">
            <v>46175</v>
          </cell>
          <cell r="C106">
            <v>20</v>
          </cell>
          <cell r="D106" t="str">
            <v xml:space="preserve">الخزينة </v>
          </cell>
        </row>
        <row r="107">
          <cell r="A107">
            <v>54</v>
          </cell>
          <cell r="B107">
            <v>46175</v>
          </cell>
          <cell r="C107">
            <v>20</v>
          </cell>
          <cell r="D107" t="str">
            <v xml:space="preserve">الخزينة </v>
          </cell>
        </row>
        <row r="108">
          <cell r="A108">
            <v>91</v>
          </cell>
          <cell r="B108">
            <v>46174</v>
          </cell>
          <cell r="C108">
            <v>20</v>
          </cell>
          <cell r="D108" t="str">
            <v xml:space="preserve">الخزينة </v>
          </cell>
        </row>
        <row r="109">
          <cell r="A109">
            <v>90</v>
          </cell>
          <cell r="B109">
            <v>46174</v>
          </cell>
          <cell r="C109">
            <v>20</v>
          </cell>
          <cell r="D109" t="str">
            <v xml:space="preserve">الخزينة </v>
          </cell>
        </row>
        <row r="110">
          <cell r="A110">
            <v>90</v>
          </cell>
          <cell r="B110">
            <v>46174</v>
          </cell>
          <cell r="C110">
            <v>20</v>
          </cell>
          <cell r="D110" t="str">
            <v xml:space="preserve">الخزينة </v>
          </cell>
        </row>
        <row r="111">
          <cell r="A111">
            <v>95</v>
          </cell>
          <cell r="B111">
            <v>46174</v>
          </cell>
          <cell r="C111">
            <v>20</v>
          </cell>
          <cell r="D111" t="str">
            <v xml:space="preserve">الخزينة </v>
          </cell>
        </row>
        <row r="112">
          <cell r="A112">
            <v>18</v>
          </cell>
          <cell r="B112">
            <v>46174</v>
          </cell>
          <cell r="C112">
            <v>20</v>
          </cell>
          <cell r="D112" t="str">
            <v xml:space="preserve">الخزينة </v>
          </cell>
        </row>
        <row r="113">
          <cell r="A113">
            <v>87</v>
          </cell>
          <cell r="B113">
            <v>46174</v>
          </cell>
          <cell r="C113">
            <v>20</v>
          </cell>
          <cell r="D113" t="str">
            <v xml:space="preserve">الخزينة </v>
          </cell>
        </row>
        <row r="114">
          <cell r="A114">
            <v>86</v>
          </cell>
          <cell r="B114">
            <v>46174</v>
          </cell>
          <cell r="C114">
            <v>20</v>
          </cell>
          <cell r="D114" t="str">
            <v xml:space="preserve">الخزينة </v>
          </cell>
        </row>
        <row r="115">
          <cell r="A115">
            <v>68</v>
          </cell>
          <cell r="B115">
            <v>46174</v>
          </cell>
          <cell r="C115">
            <v>20</v>
          </cell>
          <cell r="D115" t="str">
            <v xml:space="preserve">الخزينة </v>
          </cell>
        </row>
        <row r="116">
          <cell r="A116">
            <v>50</v>
          </cell>
          <cell r="B116">
            <v>46174</v>
          </cell>
          <cell r="C116">
            <v>20</v>
          </cell>
          <cell r="D116" t="str">
            <v xml:space="preserve">الخزينة </v>
          </cell>
        </row>
        <row r="117">
          <cell r="A117">
            <v>50</v>
          </cell>
          <cell r="B117">
            <v>46174</v>
          </cell>
          <cell r="C117">
            <v>20</v>
          </cell>
          <cell r="D117" t="str">
            <v xml:space="preserve">الخزينة </v>
          </cell>
        </row>
        <row r="118">
          <cell r="A118">
            <v>53</v>
          </cell>
          <cell r="B118">
            <v>46174</v>
          </cell>
          <cell r="C118">
            <v>20</v>
          </cell>
          <cell r="D118" t="str">
            <v xml:space="preserve">الخزينة </v>
          </cell>
        </row>
        <row r="119">
          <cell r="A119">
            <v>53</v>
          </cell>
          <cell r="B119">
            <v>46174</v>
          </cell>
          <cell r="C119">
            <v>20</v>
          </cell>
          <cell r="D119" t="str">
            <v xml:space="preserve">الخزينة </v>
          </cell>
        </row>
        <row r="120">
          <cell r="A120">
            <v>53</v>
          </cell>
          <cell r="B120">
            <v>46174</v>
          </cell>
          <cell r="C120">
            <v>20</v>
          </cell>
          <cell r="D120" t="str">
            <v xml:space="preserve">الخزينة </v>
          </cell>
        </row>
        <row r="121">
          <cell r="A121">
            <v>54</v>
          </cell>
          <cell r="B121">
            <v>46174</v>
          </cell>
          <cell r="C121">
            <v>20</v>
          </cell>
          <cell r="D121" t="str">
            <v xml:space="preserve">الخزينة </v>
          </cell>
        </row>
        <row r="122">
          <cell r="A122">
            <v>64</v>
          </cell>
          <cell r="B122">
            <v>46174</v>
          </cell>
          <cell r="C122">
            <v>20</v>
          </cell>
          <cell r="D122" t="str">
            <v xml:space="preserve">الخزينة </v>
          </cell>
        </row>
        <row r="123">
          <cell r="A123">
            <v>64</v>
          </cell>
          <cell r="B123">
            <v>46174</v>
          </cell>
          <cell r="C123">
            <v>20</v>
          </cell>
          <cell r="D123" t="str">
            <v xml:space="preserve">الخزينة </v>
          </cell>
        </row>
        <row r="124">
          <cell r="A124">
            <v>88</v>
          </cell>
          <cell r="B124">
            <v>46171</v>
          </cell>
          <cell r="C124">
            <v>20</v>
          </cell>
          <cell r="D124" t="str">
            <v xml:space="preserve">الخزينة </v>
          </cell>
        </row>
        <row r="125">
          <cell r="A125">
            <v>94</v>
          </cell>
          <cell r="B125">
            <v>46168</v>
          </cell>
          <cell r="C125">
            <v>20</v>
          </cell>
          <cell r="D125" t="str">
            <v xml:space="preserve">الخزينة </v>
          </cell>
        </row>
        <row r="126">
          <cell r="A126">
            <v>2</v>
          </cell>
          <cell r="B126">
            <v>46168</v>
          </cell>
          <cell r="C126">
            <v>20</v>
          </cell>
          <cell r="D126" t="str">
            <v xml:space="preserve">الخزينة </v>
          </cell>
        </row>
        <row r="127">
          <cell r="A127">
            <v>54</v>
          </cell>
          <cell r="B127">
            <v>46168</v>
          </cell>
          <cell r="C127">
            <v>20</v>
          </cell>
          <cell r="D127" t="str">
            <v xml:space="preserve">الخزينة </v>
          </cell>
        </row>
        <row r="128">
          <cell r="A128">
            <v>2</v>
          </cell>
          <cell r="B128">
            <v>46167</v>
          </cell>
          <cell r="C128">
            <v>20</v>
          </cell>
          <cell r="D128" t="str">
            <v xml:space="preserve">الخزينة </v>
          </cell>
        </row>
        <row r="129">
          <cell r="A129">
            <v>88</v>
          </cell>
          <cell r="B129">
            <v>46167</v>
          </cell>
          <cell r="C129">
            <v>20</v>
          </cell>
          <cell r="D129" t="str">
            <v xml:space="preserve">الخزينة </v>
          </cell>
        </row>
        <row r="130">
          <cell r="A130">
            <v>54</v>
          </cell>
          <cell r="B130">
            <v>46167</v>
          </cell>
          <cell r="C130">
            <v>20</v>
          </cell>
          <cell r="D130" t="str">
            <v xml:space="preserve">الخزينة </v>
          </cell>
        </row>
        <row r="131">
          <cell r="A131">
            <v>64</v>
          </cell>
          <cell r="B131">
            <v>46167</v>
          </cell>
          <cell r="C131">
            <v>20</v>
          </cell>
          <cell r="D131" t="str">
            <v xml:space="preserve">الخزينة </v>
          </cell>
        </row>
        <row r="132">
          <cell r="A132">
            <v>3</v>
          </cell>
          <cell r="B132">
            <v>46166</v>
          </cell>
          <cell r="C132">
            <v>20</v>
          </cell>
          <cell r="D132" t="str">
            <v xml:space="preserve">الخزينة </v>
          </cell>
        </row>
        <row r="133">
          <cell r="A133">
            <v>3</v>
          </cell>
          <cell r="B133">
            <v>46166</v>
          </cell>
          <cell r="C133">
            <v>20</v>
          </cell>
          <cell r="D133" t="str">
            <v xml:space="preserve">الخزينة </v>
          </cell>
        </row>
        <row r="134">
          <cell r="A134">
            <v>3</v>
          </cell>
          <cell r="B134">
            <v>46166</v>
          </cell>
          <cell r="C134">
            <v>20</v>
          </cell>
          <cell r="D134" t="str">
            <v xml:space="preserve">الخزينة </v>
          </cell>
        </row>
        <row r="135">
          <cell r="A135">
            <v>26</v>
          </cell>
          <cell r="B135">
            <v>46166</v>
          </cell>
          <cell r="C135">
            <v>20</v>
          </cell>
          <cell r="D135" t="str">
            <v xml:space="preserve">الخزينة </v>
          </cell>
        </row>
        <row r="136">
          <cell r="A136">
            <v>26</v>
          </cell>
          <cell r="B136">
            <v>46166</v>
          </cell>
          <cell r="C136">
            <v>20</v>
          </cell>
          <cell r="D136" t="str">
            <v xml:space="preserve">الخزينة </v>
          </cell>
        </row>
        <row r="137">
          <cell r="A137">
            <v>82</v>
          </cell>
          <cell r="B137">
            <v>46166</v>
          </cell>
          <cell r="C137">
            <v>20</v>
          </cell>
          <cell r="D137" t="str">
            <v xml:space="preserve">الخزينة </v>
          </cell>
        </row>
        <row r="138">
          <cell r="A138">
            <v>27</v>
          </cell>
          <cell r="B138">
            <v>46166</v>
          </cell>
          <cell r="C138">
            <v>20</v>
          </cell>
          <cell r="D138" t="str">
            <v xml:space="preserve">الخزينة </v>
          </cell>
        </row>
        <row r="139">
          <cell r="A139">
            <v>27</v>
          </cell>
          <cell r="B139">
            <v>46166</v>
          </cell>
          <cell r="C139">
            <v>20</v>
          </cell>
          <cell r="D139" t="str">
            <v xml:space="preserve">الخزينة </v>
          </cell>
        </row>
        <row r="140">
          <cell r="A140">
            <v>27</v>
          </cell>
          <cell r="B140">
            <v>46166</v>
          </cell>
          <cell r="C140">
            <v>20</v>
          </cell>
          <cell r="D140" t="str">
            <v xml:space="preserve">الخزينة </v>
          </cell>
        </row>
        <row r="141">
          <cell r="A141">
            <v>32</v>
          </cell>
          <cell r="B141">
            <v>46166</v>
          </cell>
          <cell r="C141">
            <v>20</v>
          </cell>
          <cell r="D141" t="str">
            <v xml:space="preserve">الخزينة </v>
          </cell>
        </row>
        <row r="142">
          <cell r="A142">
            <v>72</v>
          </cell>
          <cell r="B142">
            <v>46166</v>
          </cell>
          <cell r="C142">
            <v>20</v>
          </cell>
          <cell r="D142" t="str">
            <v xml:space="preserve">الخزينة </v>
          </cell>
        </row>
        <row r="143">
          <cell r="A143">
            <v>51</v>
          </cell>
          <cell r="B143">
            <v>46166</v>
          </cell>
          <cell r="C143">
            <v>20</v>
          </cell>
          <cell r="D143" t="str">
            <v xml:space="preserve">الخزينة </v>
          </cell>
        </row>
        <row r="144">
          <cell r="A144">
            <v>51</v>
          </cell>
          <cell r="B144">
            <v>46166</v>
          </cell>
          <cell r="C144">
            <v>20</v>
          </cell>
          <cell r="D144" t="str">
            <v xml:space="preserve">الخزينة </v>
          </cell>
        </row>
        <row r="145">
          <cell r="A145">
            <v>67</v>
          </cell>
          <cell r="B145">
            <v>46166</v>
          </cell>
          <cell r="C145">
            <v>20</v>
          </cell>
          <cell r="D145" t="str">
            <v xml:space="preserve">الخزينة </v>
          </cell>
        </row>
        <row r="146">
          <cell r="A146">
            <v>64</v>
          </cell>
          <cell r="B146">
            <v>46166</v>
          </cell>
          <cell r="C146">
            <v>20</v>
          </cell>
          <cell r="D146" t="str">
            <v xml:space="preserve">الخزينة </v>
          </cell>
        </row>
        <row r="147">
          <cell r="A147">
            <v>55</v>
          </cell>
          <cell r="B147">
            <v>46166</v>
          </cell>
          <cell r="C147">
            <v>20</v>
          </cell>
          <cell r="D147" t="str">
            <v xml:space="preserve">الخزينة </v>
          </cell>
        </row>
        <row r="148">
          <cell r="A148">
            <v>63</v>
          </cell>
          <cell r="B148">
            <v>46166</v>
          </cell>
          <cell r="C148">
            <v>20</v>
          </cell>
          <cell r="D148" t="str">
            <v xml:space="preserve">الخزينة </v>
          </cell>
        </row>
        <row r="149">
          <cell r="A149">
            <v>63</v>
          </cell>
          <cell r="B149">
            <v>46166</v>
          </cell>
          <cell r="C149">
            <v>20</v>
          </cell>
          <cell r="D149" t="str">
            <v xml:space="preserve">الخزينة </v>
          </cell>
        </row>
        <row r="150">
          <cell r="A150">
            <v>63</v>
          </cell>
          <cell r="B150">
            <v>46166</v>
          </cell>
          <cell r="C150">
            <v>20</v>
          </cell>
          <cell r="D150" t="str">
            <v xml:space="preserve">الخزينة </v>
          </cell>
        </row>
        <row r="151">
          <cell r="A151">
            <v>63</v>
          </cell>
          <cell r="B151">
            <v>46166</v>
          </cell>
          <cell r="C151">
            <v>20</v>
          </cell>
          <cell r="D151" t="str">
            <v xml:space="preserve">الخزينة </v>
          </cell>
        </row>
        <row r="152">
          <cell r="A152">
            <v>63</v>
          </cell>
          <cell r="B152">
            <v>46166</v>
          </cell>
          <cell r="C152">
            <v>20</v>
          </cell>
          <cell r="D152" t="str">
            <v xml:space="preserve">الخزينة </v>
          </cell>
        </row>
        <row r="153">
          <cell r="A153">
            <v>59</v>
          </cell>
          <cell r="B153">
            <v>46166</v>
          </cell>
          <cell r="C153">
            <v>20</v>
          </cell>
          <cell r="D153" t="str">
            <v xml:space="preserve">الخزينة </v>
          </cell>
        </row>
        <row r="154">
          <cell r="A154">
            <v>61</v>
          </cell>
          <cell r="B154">
            <v>46166</v>
          </cell>
          <cell r="C154">
            <v>20</v>
          </cell>
          <cell r="D154" t="str">
            <v xml:space="preserve">الخزينة </v>
          </cell>
        </row>
        <row r="155">
          <cell r="A155">
            <v>60</v>
          </cell>
          <cell r="B155">
            <v>46166</v>
          </cell>
          <cell r="C155">
            <v>20</v>
          </cell>
          <cell r="D155" t="str">
            <v xml:space="preserve">الخزينة </v>
          </cell>
        </row>
        <row r="156">
          <cell r="A156">
            <v>51</v>
          </cell>
          <cell r="B156">
            <v>46164</v>
          </cell>
          <cell r="C156">
            <v>20</v>
          </cell>
          <cell r="D156" t="str">
            <v xml:space="preserve">الخزينة </v>
          </cell>
        </row>
        <row r="157">
          <cell r="A157">
            <v>94</v>
          </cell>
          <cell r="B157">
            <v>46163</v>
          </cell>
          <cell r="C157">
            <v>20</v>
          </cell>
          <cell r="D157" t="str">
            <v xml:space="preserve">الخزينة </v>
          </cell>
        </row>
        <row r="158">
          <cell r="A158">
            <v>90</v>
          </cell>
          <cell r="B158">
            <v>46163</v>
          </cell>
          <cell r="C158">
            <v>20</v>
          </cell>
          <cell r="D158" t="str">
            <v xml:space="preserve">الخزينة </v>
          </cell>
        </row>
        <row r="159">
          <cell r="A159">
            <v>7</v>
          </cell>
          <cell r="B159">
            <v>46163</v>
          </cell>
          <cell r="C159">
            <v>20</v>
          </cell>
          <cell r="D159" t="str">
            <v xml:space="preserve">الخزينة </v>
          </cell>
        </row>
        <row r="160">
          <cell r="A160">
            <v>8</v>
          </cell>
          <cell r="B160">
            <v>46163</v>
          </cell>
          <cell r="C160">
            <v>20</v>
          </cell>
          <cell r="D160" t="str">
            <v xml:space="preserve">الخزينة </v>
          </cell>
        </row>
        <row r="161">
          <cell r="A161">
            <v>12</v>
          </cell>
          <cell r="B161">
            <v>46163</v>
          </cell>
          <cell r="C161">
            <v>20</v>
          </cell>
          <cell r="D161" t="str">
            <v xml:space="preserve">الخزينة </v>
          </cell>
        </row>
        <row r="162">
          <cell r="A162">
            <v>18</v>
          </cell>
          <cell r="B162">
            <v>46163</v>
          </cell>
          <cell r="C162">
            <v>20</v>
          </cell>
          <cell r="D162" t="str">
            <v xml:space="preserve">الخزينة </v>
          </cell>
        </row>
        <row r="163">
          <cell r="A163">
            <v>23</v>
          </cell>
          <cell r="B163">
            <v>46163</v>
          </cell>
          <cell r="C163">
            <v>20</v>
          </cell>
          <cell r="D163" t="str">
            <v xml:space="preserve">الخزينة </v>
          </cell>
        </row>
        <row r="164">
          <cell r="A164">
            <v>24</v>
          </cell>
          <cell r="B164">
            <v>46163</v>
          </cell>
          <cell r="C164">
            <v>20</v>
          </cell>
          <cell r="D164" t="str">
            <v xml:space="preserve">الخزينة </v>
          </cell>
        </row>
        <row r="165">
          <cell r="A165">
            <v>25</v>
          </cell>
          <cell r="B165">
            <v>46163</v>
          </cell>
          <cell r="C165">
            <v>20</v>
          </cell>
          <cell r="D165" t="str">
            <v xml:space="preserve">الخزينة </v>
          </cell>
        </row>
        <row r="166">
          <cell r="A166">
            <v>27</v>
          </cell>
          <cell r="B166">
            <v>46163</v>
          </cell>
          <cell r="C166">
            <v>20</v>
          </cell>
          <cell r="D166" t="str">
            <v xml:space="preserve">الخزينة </v>
          </cell>
        </row>
        <row r="167">
          <cell r="A167">
            <v>31</v>
          </cell>
          <cell r="B167">
            <v>46163</v>
          </cell>
          <cell r="C167">
            <v>20</v>
          </cell>
          <cell r="D167" t="str">
            <v xml:space="preserve">الخزينة </v>
          </cell>
        </row>
        <row r="168">
          <cell r="A168">
            <v>31</v>
          </cell>
          <cell r="B168">
            <v>46163</v>
          </cell>
          <cell r="C168">
            <v>20</v>
          </cell>
          <cell r="D168" t="str">
            <v xml:space="preserve">الخزينة </v>
          </cell>
        </row>
        <row r="169">
          <cell r="A169">
            <v>32</v>
          </cell>
          <cell r="B169">
            <v>46163</v>
          </cell>
          <cell r="C169">
            <v>20</v>
          </cell>
          <cell r="D169" t="str">
            <v xml:space="preserve">الخزينة </v>
          </cell>
        </row>
        <row r="170">
          <cell r="A170">
            <v>75</v>
          </cell>
          <cell r="B170">
            <v>46163</v>
          </cell>
          <cell r="C170">
            <v>20</v>
          </cell>
          <cell r="D170" t="str">
            <v xml:space="preserve">الخزينة </v>
          </cell>
        </row>
        <row r="171">
          <cell r="A171">
            <v>35</v>
          </cell>
          <cell r="B171">
            <v>46163</v>
          </cell>
          <cell r="C171">
            <v>20</v>
          </cell>
          <cell r="D171" t="str">
            <v xml:space="preserve">الخزينة </v>
          </cell>
        </row>
        <row r="172">
          <cell r="A172">
            <v>36</v>
          </cell>
          <cell r="B172">
            <v>46163</v>
          </cell>
          <cell r="C172">
            <v>20</v>
          </cell>
          <cell r="D172" t="str">
            <v xml:space="preserve">الخزينة </v>
          </cell>
        </row>
        <row r="173">
          <cell r="A173">
            <v>40</v>
          </cell>
          <cell r="B173">
            <v>46163</v>
          </cell>
          <cell r="C173">
            <v>20</v>
          </cell>
          <cell r="D173" t="str">
            <v xml:space="preserve">الخزينة </v>
          </cell>
        </row>
        <row r="174">
          <cell r="A174">
            <v>42</v>
          </cell>
          <cell r="B174">
            <v>46163</v>
          </cell>
          <cell r="C174">
            <v>20</v>
          </cell>
          <cell r="D174" t="str">
            <v xml:space="preserve">الخزينة </v>
          </cell>
        </row>
        <row r="175">
          <cell r="A175">
            <v>45</v>
          </cell>
          <cell r="B175">
            <v>46163</v>
          </cell>
          <cell r="C175">
            <v>20</v>
          </cell>
          <cell r="D175" t="str">
            <v xml:space="preserve">الخزينة </v>
          </cell>
        </row>
        <row r="176">
          <cell r="A176">
            <v>49</v>
          </cell>
          <cell r="B176">
            <v>46163</v>
          </cell>
          <cell r="C176">
            <v>20</v>
          </cell>
          <cell r="D176" t="str">
            <v xml:space="preserve">الخزينة </v>
          </cell>
        </row>
        <row r="177">
          <cell r="A177">
            <v>67</v>
          </cell>
          <cell r="B177">
            <v>46163</v>
          </cell>
          <cell r="C177">
            <v>20</v>
          </cell>
          <cell r="D177" t="str">
            <v xml:space="preserve">الخزينة </v>
          </cell>
        </row>
        <row r="178">
          <cell r="A178">
            <v>53</v>
          </cell>
          <cell r="B178">
            <v>46163</v>
          </cell>
          <cell r="C178">
            <v>20</v>
          </cell>
          <cell r="D178" t="str">
            <v xml:space="preserve">الخزينة </v>
          </cell>
        </row>
        <row r="179">
          <cell r="A179">
            <v>64</v>
          </cell>
          <cell r="B179">
            <v>46163</v>
          </cell>
          <cell r="C179">
            <v>20</v>
          </cell>
          <cell r="D179" t="str">
            <v xml:space="preserve">الخزينة </v>
          </cell>
        </row>
        <row r="180">
          <cell r="A180">
            <v>64</v>
          </cell>
          <cell r="B180">
            <v>46163</v>
          </cell>
          <cell r="C180">
            <v>20</v>
          </cell>
          <cell r="D180" t="str">
            <v xml:space="preserve">الخزينة </v>
          </cell>
        </row>
        <row r="181">
          <cell r="A181">
            <v>64</v>
          </cell>
          <cell r="B181">
            <v>46163</v>
          </cell>
          <cell r="C181">
            <v>20</v>
          </cell>
          <cell r="D181" t="str">
            <v xml:space="preserve">الخزينة </v>
          </cell>
        </row>
        <row r="182">
          <cell r="A182">
            <v>64</v>
          </cell>
          <cell r="B182">
            <v>46163</v>
          </cell>
          <cell r="C182">
            <v>20</v>
          </cell>
          <cell r="D182" t="str">
            <v xml:space="preserve">الخزينة </v>
          </cell>
        </row>
        <row r="183">
          <cell r="A183">
            <v>64</v>
          </cell>
          <cell r="B183">
            <v>46163</v>
          </cell>
          <cell r="C183">
            <v>20</v>
          </cell>
          <cell r="D183" t="str">
            <v xml:space="preserve">الخزينة </v>
          </cell>
        </row>
        <row r="184">
          <cell r="A184">
            <v>63</v>
          </cell>
          <cell r="B184">
            <v>46163</v>
          </cell>
          <cell r="C184">
            <v>20</v>
          </cell>
          <cell r="D184" t="str">
            <v xml:space="preserve">الخزينة </v>
          </cell>
        </row>
        <row r="185">
          <cell r="A185">
            <v>63</v>
          </cell>
          <cell r="B185">
            <v>46163</v>
          </cell>
          <cell r="C185">
            <v>20</v>
          </cell>
          <cell r="D185" t="str">
            <v xml:space="preserve">الخزينة </v>
          </cell>
        </row>
        <row r="186">
          <cell r="A186">
            <v>63</v>
          </cell>
          <cell r="B186">
            <v>46163</v>
          </cell>
          <cell r="C186">
            <v>20</v>
          </cell>
          <cell r="D186" t="str">
            <v xml:space="preserve">الخزينة </v>
          </cell>
        </row>
        <row r="187">
          <cell r="A187">
            <v>55</v>
          </cell>
          <cell r="B187">
            <v>46163</v>
          </cell>
          <cell r="C187">
            <v>20</v>
          </cell>
          <cell r="D187" t="str">
            <v xml:space="preserve">الخزينة </v>
          </cell>
        </row>
        <row r="188">
          <cell r="A188">
            <v>63</v>
          </cell>
          <cell r="B188">
            <v>46163</v>
          </cell>
          <cell r="C188">
            <v>20</v>
          </cell>
          <cell r="D188" t="str">
            <v xml:space="preserve">الخزينة </v>
          </cell>
        </row>
        <row r="189">
          <cell r="A189">
            <v>63</v>
          </cell>
          <cell r="B189">
            <v>46163</v>
          </cell>
          <cell r="C189">
            <v>20</v>
          </cell>
          <cell r="D189" t="str">
            <v xml:space="preserve">الخزينة </v>
          </cell>
        </row>
        <row r="190">
          <cell r="A190">
            <v>59</v>
          </cell>
          <cell r="B190">
            <v>46163</v>
          </cell>
          <cell r="C190">
            <v>20</v>
          </cell>
          <cell r="D190" t="str">
            <v xml:space="preserve">الخزينة </v>
          </cell>
        </row>
        <row r="191">
          <cell r="A191">
            <v>59</v>
          </cell>
          <cell r="B191">
            <v>46163</v>
          </cell>
          <cell r="C191">
            <v>20</v>
          </cell>
          <cell r="D191" t="str">
            <v xml:space="preserve">الخزينة </v>
          </cell>
        </row>
        <row r="192">
          <cell r="A192">
            <v>59</v>
          </cell>
          <cell r="B192">
            <v>46163</v>
          </cell>
          <cell r="C192">
            <v>20</v>
          </cell>
          <cell r="D192" t="str">
            <v xml:space="preserve">الخزينة </v>
          </cell>
        </row>
        <row r="193">
          <cell r="A193">
            <v>63</v>
          </cell>
          <cell r="B193">
            <v>46163</v>
          </cell>
          <cell r="C193">
            <v>20</v>
          </cell>
          <cell r="D193" t="str">
            <v xml:space="preserve">الخزينة </v>
          </cell>
        </row>
        <row r="194">
          <cell r="A194">
            <v>61</v>
          </cell>
          <cell r="B194">
            <v>46163</v>
          </cell>
          <cell r="C194">
            <v>20</v>
          </cell>
          <cell r="D194" t="str">
            <v xml:space="preserve">الخزينة </v>
          </cell>
        </row>
        <row r="195">
          <cell r="A195">
            <v>60</v>
          </cell>
          <cell r="B195">
            <v>46163</v>
          </cell>
          <cell r="C195">
            <v>20</v>
          </cell>
          <cell r="D195" t="str">
            <v xml:space="preserve">الخزينة </v>
          </cell>
        </row>
        <row r="196">
          <cell r="A196">
            <v>88</v>
          </cell>
          <cell r="B196">
            <v>46162</v>
          </cell>
          <cell r="C196">
            <v>20</v>
          </cell>
          <cell r="D196" t="str">
            <v xml:space="preserve">الخزينة </v>
          </cell>
        </row>
        <row r="197">
          <cell r="A197">
            <v>78</v>
          </cell>
          <cell r="B197">
            <v>46162</v>
          </cell>
          <cell r="C197">
            <v>20</v>
          </cell>
          <cell r="D197" t="str">
            <v xml:space="preserve">الخزينة </v>
          </cell>
        </row>
        <row r="198">
          <cell r="A198">
            <v>31</v>
          </cell>
          <cell r="B198">
            <v>46162</v>
          </cell>
          <cell r="C198">
            <v>20</v>
          </cell>
          <cell r="D198" t="str">
            <v xml:space="preserve">الخزينة </v>
          </cell>
        </row>
        <row r="199">
          <cell r="A199">
            <v>63</v>
          </cell>
          <cell r="B199">
            <v>46162</v>
          </cell>
          <cell r="C199">
            <v>20</v>
          </cell>
          <cell r="D199" t="str">
            <v xml:space="preserve">الخزينة </v>
          </cell>
        </row>
        <row r="200">
          <cell r="A200">
            <v>63</v>
          </cell>
          <cell r="B200">
            <v>46162</v>
          </cell>
          <cell r="C200">
            <v>20</v>
          </cell>
          <cell r="D200" t="str">
            <v xml:space="preserve">الخزينة </v>
          </cell>
        </row>
        <row r="201">
          <cell r="A201">
            <v>61</v>
          </cell>
          <cell r="B201">
            <v>46162</v>
          </cell>
          <cell r="C201">
            <v>20</v>
          </cell>
          <cell r="D201" t="str">
            <v xml:space="preserve">الخزينة </v>
          </cell>
        </row>
        <row r="202">
          <cell r="A202">
            <v>91</v>
          </cell>
          <cell r="B202">
            <v>46161</v>
          </cell>
          <cell r="C202">
            <v>20</v>
          </cell>
          <cell r="D202" t="str">
            <v xml:space="preserve">الخزينة </v>
          </cell>
        </row>
        <row r="203">
          <cell r="A203">
            <v>5</v>
          </cell>
          <cell r="B203">
            <v>46161</v>
          </cell>
          <cell r="C203">
            <v>20</v>
          </cell>
          <cell r="D203" t="str">
            <v xml:space="preserve">الخزينة </v>
          </cell>
        </row>
        <row r="204">
          <cell r="A204">
            <v>88</v>
          </cell>
          <cell r="B204">
            <v>46161</v>
          </cell>
          <cell r="C204">
            <v>20</v>
          </cell>
          <cell r="D204" t="str">
            <v xml:space="preserve">الخزينة </v>
          </cell>
        </row>
        <row r="205">
          <cell r="A205">
            <v>27</v>
          </cell>
          <cell r="B205">
            <v>46161</v>
          </cell>
          <cell r="C205">
            <v>20</v>
          </cell>
          <cell r="D205" t="str">
            <v xml:space="preserve">الخزينة </v>
          </cell>
        </row>
        <row r="206">
          <cell r="A206">
            <v>37</v>
          </cell>
          <cell r="B206">
            <v>46161</v>
          </cell>
          <cell r="C206">
            <v>20</v>
          </cell>
          <cell r="D206" t="str">
            <v xml:space="preserve">الخزينة </v>
          </cell>
        </row>
        <row r="207">
          <cell r="A207">
            <v>46</v>
          </cell>
          <cell r="B207">
            <v>46161</v>
          </cell>
          <cell r="C207">
            <v>20</v>
          </cell>
          <cell r="D207" t="str">
            <v xml:space="preserve">الخزينة </v>
          </cell>
        </row>
        <row r="208">
          <cell r="A208">
            <v>69</v>
          </cell>
          <cell r="B208">
            <v>46161</v>
          </cell>
          <cell r="C208">
            <v>20</v>
          </cell>
          <cell r="D208" t="str">
            <v xml:space="preserve">الخزينة </v>
          </cell>
        </row>
        <row r="209">
          <cell r="A209">
            <v>53</v>
          </cell>
          <cell r="B209">
            <v>46161</v>
          </cell>
          <cell r="C209">
            <v>20</v>
          </cell>
          <cell r="D209" t="str">
            <v xml:space="preserve">الخزينة </v>
          </cell>
        </row>
        <row r="210">
          <cell r="A210">
            <v>53</v>
          </cell>
          <cell r="B210">
            <v>46161</v>
          </cell>
          <cell r="C210">
            <v>20</v>
          </cell>
          <cell r="D210" t="str">
            <v xml:space="preserve">الخزينة </v>
          </cell>
        </row>
        <row r="211">
          <cell r="A211">
            <v>53</v>
          </cell>
          <cell r="B211">
            <v>46161</v>
          </cell>
          <cell r="C211">
            <v>20</v>
          </cell>
          <cell r="D211" t="str">
            <v xml:space="preserve">الخزينة </v>
          </cell>
        </row>
        <row r="212">
          <cell r="A212">
            <v>65</v>
          </cell>
          <cell r="B212">
            <v>46161</v>
          </cell>
          <cell r="C212">
            <v>20</v>
          </cell>
          <cell r="D212" t="str">
            <v xml:space="preserve">الخزينة </v>
          </cell>
        </row>
        <row r="213">
          <cell r="A213">
            <v>54</v>
          </cell>
          <cell r="B213">
            <v>46161</v>
          </cell>
          <cell r="C213">
            <v>20</v>
          </cell>
          <cell r="D213" t="str">
            <v xml:space="preserve">الخزينة </v>
          </cell>
        </row>
        <row r="214">
          <cell r="A214">
            <v>64</v>
          </cell>
          <cell r="B214">
            <v>46161</v>
          </cell>
          <cell r="C214">
            <v>20</v>
          </cell>
          <cell r="D214" t="str">
            <v xml:space="preserve">الخزينة </v>
          </cell>
        </row>
        <row r="215">
          <cell r="A215">
            <v>55</v>
          </cell>
          <cell r="B215">
            <v>46161</v>
          </cell>
          <cell r="C215">
            <v>20</v>
          </cell>
          <cell r="D215" t="str">
            <v xml:space="preserve">الخزينة </v>
          </cell>
        </row>
        <row r="216">
          <cell r="A216">
            <v>55</v>
          </cell>
          <cell r="B216">
            <v>46161</v>
          </cell>
          <cell r="C216">
            <v>20</v>
          </cell>
          <cell r="D216" t="str">
            <v xml:space="preserve">الخزينة </v>
          </cell>
        </row>
        <row r="217">
          <cell r="A217">
            <v>63</v>
          </cell>
          <cell r="B217">
            <v>46161</v>
          </cell>
          <cell r="C217">
            <v>20</v>
          </cell>
          <cell r="D217" t="str">
            <v xml:space="preserve">الخزينة </v>
          </cell>
        </row>
        <row r="218">
          <cell r="A218">
            <v>63</v>
          </cell>
          <cell r="B218">
            <v>46161</v>
          </cell>
          <cell r="C218">
            <v>20</v>
          </cell>
          <cell r="D218" t="str">
            <v xml:space="preserve">الخزينة </v>
          </cell>
        </row>
        <row r="219">
          <cell r="A219">
            <v>63</v>
          </cell>
          <cell r="B219">
            <v>46161</v>
          </cell>
          <cell r="C219">
            <v>20</v>
          </cell>
          <cell r="D219" t="str">
            <v xml:space="preserve">الخزينة </v>
          </cell>
        </row>
        <row r="220">
          <cell r="A220">
            <v>62</v>
          </cell>
          <cell r="B220">
            <v>46161</v>
          </cell>
          <cell r="C220">
            <v>20</v>
          </cell>
          <cell r="D220" t="str">
            <v xml:space="preserve">الخزينة </v>
          </cell>
        </row>
        <row r="221">
          <cell r="A221">
            <v>61</v>
          </cell>
          <cell r="B221">
            <v>46161</v>
          </cell>
          <cell r="C221">
            <v>20</v>
          </cell>
          <cell r="D221" t="str">
            <v xml:space="preserve">الخزينة </v>
          </cell>
        </row>
        <row r="222">
          <cell r="A222">
            <v>60</v>
          </cell>
          <cell r="B222">
            <v>46161</v>
          </cell>
          <cell r="C222">
            <v>20</v>
          </cell>
          <cell r="D222" t="str">
            <v xml:space="preserve">الخزينة </v>
          </cell>
        </row>
        <row r="223">
          <cell r="A223">
            <v>60</v>
          </cell>
          <cell r="B223">
            <v>46161</v>
          </cell>
          <cell r="C223">
            <v>20</v>
          </cell>
          <cell r="D223" t="str">
            <v xml:space="preserve">الخزينة </v>
          </cell>
        </row>
        <row r="224">
          <cell r="A224">
            <v>60</v>
          </cell>
          <cell r="B224">
            <v>46161</v>
          </cell>
          <cell r="C224">
            <v>20</v>
          </cell>
          <cell r="D224" t="str">
            <v xml:space="preserve">الخزينة </v>
          </cell>
        </row>
        <row r="225">
          <cell r="A225">
            <v>92</v>
          </cell>
          <cell r="B225">
            <v>46160</v>
          </cell>
          <cell r="C225">
            <v>20</v>
          </cell>
          <cell r="D225" t="str">
            <v xml:space="preserve">الخزينة </v>
          </cell>
        </row>
        <row r="226">
          <cell r="A226">
            <v>14</v>
          </cell>
          <cell r="B226">
            <v>46160</v>
          </cell>
          <cell r="C226">
            <v>20</v>
          </cell>
          <cell r="D226" t="str">
            <v xml:space="preserve">الخزينة </v>
          </cell>
        </row>
        <row r="227">
          <cell r="A227">
            <v>14</v>
          </cell>
          <cell r="B227">
            <v>46160</v>
          </cell>
          <cell r="C227">
            <v>20</v>
          </cell>
          <cell r="D227" t="str">
            <v xml:space="preserve">الخزينة </v>
          </cell>
        </row>
        <row r="228">
          <cell r="A228">
            <v>14</v>
          </cell>
          <cell r="B228">
            <v>46160</v>
          </cell>
          <cell r="C228">
            <v>20</v>
          </cell>
          <cell r="D228" t="str">
            <v xml:space="preserve">الخزينة </v>
          </cell>
        </row>
        <row r="229">
          <cell r="A229">
            <v>39</v>
          </cell>
          <cell r="B229">
            <v>46160</v>
          </cell>
          <cell r="C229">
            <v>20</v>
          </cell>
          <cell r="D229" t="str">
            <v xml:space="preserve">الخزينة </v>
          </cell>
        </row>
        <row r="230">
          <cell r="A230">
            <v>53</v>
          </cell>
          <cell r="B230">
            <v>46160</v>
          </cell>
          <cell r="C230">
            <v>20</v>
          </cell>
          <cell r="D230" t="str">
            <v xml:space="preserve">الخزينة </v>
          </cell>
        </row>
        <row r="231">
          <cell r="A231">
            <v>91</v>
          </cell>
          <cell r="B231">
            <v>46159</v>
          </cell>
          <cell r="C231">
            <v>20</v>
          </cell>
          <cell r="D231" t="str">
            <v xml:space="preserve">الخزينة </v>
          </cell>
        </row>
        <row r="232">
          <cell r="A232">
            <v>88</v>
          </cell>
          <cell r="B232">
            <v>46159</v>
          </cell>
          <cell r="C232">
            <v>20</v>
          </cell>
          <cell r="D232" t="str">
            <v xml:space="preserve">الخزينة </v>
          </cell>
        </row>
        <row r="233">
          <cell r="A233">
            <v>14</v>
          </cell>
          <cell r="B233">
            <v>46159</v>
          </cell>
          <cell r="C233">
            <v>20</v>
          </cell>
          <cell r="D233" t="str">
            <v xml:space="preserve">الخزينة </v>
          </cell>
        </row>
        <row r="234">
          <cell r="A234">
            <v>71</v>
          </cell>
          <cell r="B234">
            <v>46159</v>
          </cell>
          <cell r="C234">
            <v>20</v>
          </cell>
          <cell r="D234" t="str">
            <v xml:space="preserve">الخزينة </v>
          </cell>
        </row>
        <row r="235">
          <cell r="A235">
            <v>51</v>
          </cell>
          <cell r="B235">
            <v>46159</v>
          </cell>
          <cell r="C235">
            <v>20</v>
          </cell>
          <cell r="D235" t="str">
            <v xml:space="preserve">الخزينة </v>
          </cell>
        </row>
        <row r="236">
          <cell r="A236">
            <v>54</v>
          </cell>
          <cell r="B236">
            <v>46159</v>
          </cell>
          <cell r="C236">
            <v>20</v>
          </cell>
          <cell r="D236" t="str">
            <v xml:space="preserve">الخزينة </v>
          </cell>
        </row>
        <row r="237">
          <cell r="A237">
            <v>55</v>
          </cell>
          <cell r="B237">
            <v>46159</v>
          </cell>
          <cell r="C237">
            <v>20</v>
          </cell>
          <cell r="D237" t="str">
            <v xml:space="preserve">الخزينة </v>
          </cell>
        </row>
        <row r="238">
          <cell r="A238">
            <v>55</v>
          </cell>
          <cell r="B238">
            <v>46159</v>
          </cell>
          <cell r="C238">
            <v>20</v>
          </cell>
          <cell r="D238" t="str">
            <v xml:space="preserve">الخزينة </v>
          </cell>
        </row>
        <row r="239">
          <cell r="A239">
            <v>57</v>
          </cell>
          <cell r="B239">
            <v>46159</v>
          </cell>
          <cell r="C239">
            <v>20</v>
          </cell>
          <cell r="D239" t="str">
            <v xml:space="preserve">الخزينة </v>
          </cell>
        </row>
        <row r="240">
          <cell r="A240">
            <v>59</v>
          </cell>
          <cell r="B240">
            <v>46159</v>
          </cell>
          <cell r="C240">
            <v>20</v>
          </cell>
          <cell r="D240" t="str">
            <v xml:space="preserve">الخزينة </v>
          </cell>
        </row>
        <row r="241">
          <cell r="A241">
            <v>61</v>
          </cell>
          <cell r="B241">
            <v>46159</v>
          </cell>
          <cell r="C241">
            <v>20</v>
          </cell>
          <cell r="D241" t="str">
            <v xml:space="preserve">الخزينة </v>
          </cell>
        </row>
        <row r="242">
          <cell r="A242">
            <v>60</v>
          </cell>
          <cell r="B242">
            <v>46159</v>
          </cell>
          <cell r="C242">
            <v>20</v>
          </cell>
          <cell r="D242" t="str">
            <v xml:space="preserve">الخزينة </v>
          </cell>
        </row>
        <row r="243">
          <cell r="A243">
            <v>90</v>
          </cell>
          <cell r="B243">
            <v>46158</v>
          </cell>
          <cell r="C243">
            <v>20</v>
          </cell>
          <cell r="D243" t="str">
            <v xml:space="preserve">الخزينة </v>
          </cell>
        </row>
        <row r="244">
          <cell r="A244">
            <v>86</v>
          </cell>
          <cell r="B244">
            <v>46158</v>
          </cell>
          <cell r="C244">
            <v>20</v>
          </cell>
          <cell r="D244" t="str">
            <v xml:space="preserve">الخزينة </v>
          </cell>
        </row>
        <row r="245">
          <cell r="A245">
            <v>69</v>
          </cell>
          <cell r="B245">
            <v>46158</v>
          </cell>
          <cell r="C245">
            <v>20</v>
          </cell>
          <cell r="D245" t="str">
            <v xml:space="preserve">الخزينة </v>
          </cell>
        </row>
        <row r="246">
          <cell r="A246">
            <v>67</v>
          </cell>
          <cell r="B246">
            <v>46158</v>
          </cell>
          <cell r="C246">
            <v>20</v>
          </cell>
          <cell r="D246" t="str">
            <v xml:space="preserve">الخزينة </v>
          </cell>
        </row>
        <row r="247">
          <cell r="A247">
            <v>64</v>
          </cell>
          <cell r="B247">
            <v>46158</v>
          </cell>
          <cell r="C247">
            <v>20</v>
          </cell>
          <cell r="D247" t="str">
            <v xml:space="preserve">الخزينة </v>
          </cell>
        </row>
        <row r="248">
          <cell r="A248">
            <v>59</v>
          </cell>
          <cell r="B248">
            <v>46158</v>
          </cell>
          <cell r="C248">
            <v>20</v>
          </cell>
          <cell r="D248" t="str">
            <v xml:space="preserve">الخزينة </v>
          </cell>
        </row>
        <row r="249">
          <cell r="A249">
            <v>6</v>
          </cell>
          <cell r="B249">
            <v>46156</v>
          </cell>
          <cell r="C249">
            <v>20</v>
          </cell>
          <cell r="D249" t="str">
            <v xml:space="preserve">الخزينة </v>
          </cell>
        </row>
        <row r="250">
          <cell r="A250">
            <v>25</v>
          </cell>
          <cell r="B250">
            <v>46156</v>
          </cell>
          <cell r="C250">
            <v>20</v>
          </cell>
          <cell r="D250" t="str">
            <v xml:space="preserve">الخزينة </v>
          </cell>
        </row>
        <row r="251">
          <cell r="A251">
            <v>31</v>
          </cell>
          <cell r="B251">
            <v>46156</v>
          </cell>
          <cell r="C251">
            <v>20</v>
          </cell>
          <cell r="D251" t="str">
            <v xml:space="preserve">الخزينة </v>
          </cell>
        </row>
        <row r="252">
          <cell r="A252">
            <v>32</v>
          </cell>
          <cell r="B252">
            <v>46156</v>
          </cell>
          <cell r="C252">
            <v>20</v>
          </cell>
          <cell r="D252" t="str">
            <v xml:space="preserve">الخزينة </v>
          </cell>
        </row>
        <row r="253">
          <cell r="A253">
            <v>32</v>
          </cell>
          <cell r="B253">
            <v>46156</v>
          </cell>
          <cell r="C253">
            <v>20</v>
          </cell>
          <cell r="D253" t="str">
            <v xml:space="preserve">الخزينة </v>
          </cell>
        </row>
        <row r="254">
          <cell r="A254">
            <v>33</v>
          </cell>
          <cell r="B254">
            <v>46156</v>
          </cell>
          <cell r="C254">
            <v>20</v>
          </cell>
          <cell r="D254" t="str">
            <v xml:space="preserve">الخزينة </v>
          </cell>
        </row>
        <row r="255">
          <cell r="A255">
            <v>35</v>
          </cell>
          <cell r="B255">
            <v>46156</v>
          </cell>
          <cell r="C255">
            <v>20</v>
          </cell>
          <cell r="D255" t="str">
            <v xml:space="preserve">الخزينة </v>
          </cell>
        </row>
        <row r="256">
          <cell r="A256">
            <v>35</v>
          </cell>
          <cell r="B256">
            <v>46156</v>
          </cell>
          <cell r="C256">
            <v>20</v>
          </cell>
          <cell r="D256" t="str">
            <v xml:space="preserve">الخزينة </v>
          </cell>
        </row>
        <row r="257">
          <cell r="A257">
            <v>49</v>
          </cell>
          <cell r="B257">
            <v>46156</v>
          </cell>
          <cell r="C257">
            <v>20</v>
          </cell>
          <cell r="D257" t="str">
            <v xml:space="preserve">الخزينة </v>
          </cell>
        </row>
        <row r="258">
          <cell r="A258">
            <v>67</v>
          </cell>
          <cell r="B258">
            <v>46156</v>
          </cell>
          <cell r="C258">
            <v>20</v>
          </cell>
          <cell r="D258" t="str">
            <v xml:space="preserve">الخزينة </v>
          </cell>
        </row>
        <row r="259">
          <cell r="A259">
            <v>53</v>
          </cell>
          <cell r="B259">
            <v>46156</v>
          </cell>
          <cell r="C259">
            <v>20</v>
          </cell>
          <cell r="D259" t="str">
            <v xml:space="preserve">الخزينة </v>
          </cell>
        </row>
        <row r="260">
          <cell r="A260">
            <v>65</v>
          </cell>
          <cell r="B260">
            <v>46156</v>
          </cell>
          <cell r="C260">
            <v>20</v>
          </cell>
          <cell r="D260" t="str">
            <v xml:space="preserve">الخزينة </v>
          </cell>
        </row>
        <row r="261">
          <cell r="A261">
            <v>64</v>
          </cell>
          <cell r="B261">
            <v>46156</v>
          </cell>
          <cell r="C261">
            <v>20</v>
          </cell>
          <cell r="D261" t="str">
            <v xml:space="preserve">الخزينة </v>
          </cell>
        </row>
        <row r="262">
          <cell r="A262">
            <v>64</v>
          </cell>
          <cell r="B262">
            <v>46156</v>
          </cell>
          <cell r="C262">
            <v>20</v>
          </cell>
          <cell r="D262" t="str">
            <v xml:space="preserve">الخزينة </v>
          </cell>
        </row>
        <row r="263">
          <cell r="A263">
            <v>64</v>
          </cell>
          <cell r="B263">
            <v>46156</v>
          </cell>
          <cell r="C263">
            <v>20</v>
          </cell>
          <cell r="D263" t="str">
            <v xml:space="preserve">الخزينة </v>
          </cell>
        </row>
        <row r="264">
          <cell r="A264">
            <v>64</v>
          </cell>
          <cell r="B264">
            <v>46156</v>
          </cell>
          <cell r="C264">
            <v>20</v>
          </cell>
          <cell r="D264" t="str">
            <v xml:space="preserve">الخزينة </v>
          </cell>
        </row>
        <row r="265">
          <cell r="A265">
            <v>64</v>
          </cell>
          <cell r="B265">
            <v>46156</v>
          </cell>
          <cell r="C265">
            <v>20</v>
          </cell>
          <cell r="D265" t="str">
            <v xml:space="preserve">الخزينة </v>
          </cell>
        </row>
        <row r="266">
          <cell r="A266">
            <v>55</v>
          </cell>
          <cell r="B266">
            <v>46156</v>
          </cell>
          <cell r="C266">
            <v>20</v>
          </cell>
          <cell r="D266" t="str">
            <v xml:space="preserve">الخزينة </v>
          </cell>
        </row>
        <row r="267">
          <cell r="A267">
            <v>58</v>
          </cell>
          <cell r="B267">
            <v>46156</v>
          </cell>
          <cell r="C267">
            <v>20</v>
          </cell>
          <cell r="D267" t="str">
            <v xml:space="preserve">الخزينة </v>
          </cell>
        </row>
        <row r="268">
          <cell r="A268">
            <v>58</v>
          </cell>
          <cell r="B268">
            <v>46156</v>
          </cell>
          <cell r="C268">
            <v>20</v>
          </cell>
          <cell r="D268" t="str">
            <v xml:space="preserve">الخزينة </v>
          </cell>
        </row>
        <row r="269">
          <cell r="A269">
            <v>59</v>
          </cell>
          <cell r="B269">
            <v>46156</v>
          </cell>
          <cell r="C269">
            <v>20</v>
          </cell>
          <cell r="D269" t="str">
            <v xml:space="preserve">الخزينة </v>
          </cell>
        </row>
        <row r="270">
          <cell r="A270">
            <v>61</v>
          </cell>
          <cell r="B270">
            <v>46156</v>
          </cell>
          <cell r="C270">
            <v>20</v>
          </cell>
          <cell r="D270" t="str">
            <v xml:space="preserve">الخزينة </v>
          </cell>
        </row>
        <row r="271">
          <cell r="A271">
            <v>90</v>
          </cell>
          <cell r="B271">
            <v>46155</v>
          </cell>
          <cell r="C271">
            <v>20</v>
          </cell>
          <cell r="D271" t="str">
            <v xml:space="preserve">الخزينة </v>
          </cell>
        </row>
        <row r="272">
          <cell r="A272">
            <v>90</v>
          </cell>
          <cell r="B272">
            <v>46155</v>
          </cell>
          <cell r="C272">
            <v>20</v>
          </cell>
          <cell r="D272" t="str">
            <v xml:space="preserve">الخزينة </v>
          </cell>
        </row>
        <row r="273">
          <cell r="A273">
            <v>90</v>
          </cell>
          <cell r="B273">
            <v>46155</v>
          </cell>
          <cell r="C273">
            <v>20</v>
          </cell>
          <cell r="D273" t="str">
            <v xml:space="preserve">الخزينة </v>
          </cell>
        </row>
        <row r="274">
          <cell r="A274">
            <v>64</v>
          </cell>
          <cell r="B274">
            <v>46155</v>
          </cell>
          <cell r="C274">
            <v>20</v>
          </cell>
          <cell r="D274" t="str">
            <v xml:space="preserve">الخزينة </v>
          </cell>
        </row>
        <row r="275">
          <cell r="A275">
            <v>94</v>
          </cell>
          <cell r="B275">
            <v>46154</v>
          </cell>
          <cell r="C275">
            <v>20</v>
          </cell>
          <cell r="D275" t="str">
            <v xml:space="preserve">الخزينة </v>
          </cell>
        </row>
        <row r="276">
          <cell r="A276">
            <v>73</v>
          </cell>
          <cell r="B276">
            <v>46154</v>
          </cell>
          <cell r="C276">
            <v>20</v>
          </cell>
          <cell r="D276" t="str">
            <v xml:space="preserve">الخزينة </v>
          </cell>
        </row>
        <row r="277">
          <cell r="A277">
            <v>73</v>
          </cell>
          <cell r="B277">
            <v>46154</v>
          </cell>
          <cell r="C277">
            <v>20</v>
          </cell>
          <cell r="D277" t="str">
            <v xml:space="preserve">الخزينة </v>
          </cell>
        </row>
        <row r="278">
          <cell r="A278">
            <v>37</v>
          </cell>
          <cell r="B278">
            <v>46154</v>
          </cell>
          <cell r="C278">
            <v>20</v>
          </cell>
          <cell r="D278" t="str">
            <v xml:space="preserve">الخزينة </v>
          </cell>
        </row>
        <row r="279">
          <cell r="A279">
            <v>70</v>
          </cell>
          <cell r="B279">
            <v>46154</v>
          </cell>
          <cell r="C279">
            <v>20</v>
          </cell>
          <cell r="D279" t="str">
            <v xml:space="preserve">الخزينة </v>
          </cell>
        </row>
        <row r="280">
          <cell r="A280">
            <v>67</v>
          </cell>
          <cell r="B280">
            <v>46154</v>
          </cell>
          <cell r="C280">
            <v>20</v>
          </cell>
          <cell r="D280" t="str">
            <v xml:space="preserve">الخزينة </v>
          </cell>
        </row>
        <row r="281">
          <cell r="A281">
            <v>67</v>
          </cell>
          <cell r="B281">
            <v>46154</v>
          </cell>
          <cell r="C281">
            <v>20</v>
          </cell>
          <cell r="D281" t="str">
            <v xml:space="preserve">الخزينة </v>
          </cell>
        </row>
        <row r="282">
          <cell r="A282">
            <v>67</v>
          </cell>
          <cell r="B282">
            <v>46154</v>
          </cell>
          <cell r="C282">
            <v>20</v>
          </cell>
          <cell r="D282" t="str">
            <v xml:space="preserve">الخزينة </v>
          </cell>
        </row>
        <row r="283">
          <cell r="A283">
            <v>65</v>
          </cell>
          <cell r="B283">
            <v>46154</v>
          </cell>
          <cell r="C283">
            <v>20</v>
          </cell>
          <cell r="D283" t="str">
            <v xml:space="preserve">الخزينة </v>
          </cell>
        </row>
        <row r="284">
          <cell r="A284">
            <v>63</v>
          </cell>
          <cell r="B284">
            <v>46154</v>
          </cell>
          <cell r="C284">
            <v>20</v>
          </cell>
          <cell r="D284" t="str">
            <v xml:space="preserve">الخزينة </v>
          </cell>
        </row>
        <row r="285">
          <cell r="A285">
            <v>60</v>
          </cell>
          <cell r="B285">
            <v>46154</v>
          </cell>
          <cell r="C285">
            <v>20</v>
          </cell>
          <cell r="D285" t="str">
            <v xml:space="preserve">الخزينة </v>
          </cell>
        </row>
        <row r="286">
          <cell r="A286">
            <v>90</v>
          </cell>
          <cell r="B286">
            <v>46153</v>
          </cell>
          <cell r="C286">
            <v>20</v>
          </cell>
          <cell r="D286" t="str">
            <v xml:space="preserve">الخزينة </v>
          </cell>
        </row>
        <row r="287">
          <cell r="A287">
            <v>90</v>
          </cell>
          <cell r="B287">
            <v>46153</v>
          </cell>
          <cell r="C287">
            <v>20</v>
          </cell>
          <cell r="D287" t="str">
            <v xml:space="preserve">الخزينة </v>
          </cell>
        </row>
        <row r="288">
          <cell r="A288">
            <v>88</v>
          </cell>
          <cell r="B288">
            <v>46153</v>
          </cell>
          <cell r="C288">
            <v>20</v>
          </cell>
          <cell r="D288" t="str">
            <v xml:space="preserve">الخزينة </v>
          </cell>
        </row>
        <row r="289">
          <cell r="A289">
            <v>31</v>
          </cell>
          <cell r="B289">
            <v>46153</v>
          </cell>
          <cell r="C289">
            <v>20</v>
          </cell>
          <cell r="D289" t="str">
            <v xml:space="preserve">الخزينة </v>
          </cell>
        </row>
        <row r="290">
          <cell r="A290">
            <v>68</v>
          </cell>
          <cell r="B290">
            <v>46153</v>
          </cell>
          <cell r="C290">
            <v>20</v>
          </cell>
          <cell r="D290" t="str">
            <v xml:space="preserve">الخزينة </v>
          </cell>
        </row>
        <row r="291">
          <cell r="A291">
            <v>67</v>
          </cell>
          <cell r="B291">
            <v>46153</v>
          </cell>
          <cell r="C291">
            <v>20</v>
          </cell>
          <cell r="D291" t="str">
            <v xml:space="preserve">الخزينة </v>
          </cell>
        </row>
        <row r="292">
          <cell r="A292">
            <v>67</v>
          </cell>
          <cell r="B292">
            <v>46153</v>
          </cell>
          <cell r="C292">
            <v>20</v>
          </cell>
          <cell r="D292" t="str">
            <v xml:space="preserve">الخزينة </v>
          </cell>
        </row>
        <row r="293">
          <cell r="A293">
            <v>53</v>
          </cell>
          <cell r="B293">
            <v>46153</v>
          </cell>
          <cell r="C293">
            <v>20</v>
          </cell>
          <cell r="D293" t="str">
            <v xml:space="preserve">الخزينة </v>
          </cell>
        </row>
        <row r="294">
          <cell r="A294">
            <v>64</v>
          </cell>
          <cell r="B294">
            <v>46153</v>
          </cell>
          <cell r="C294">
            <v>20</v>
          </cell>
          <cell r="D294" t="str">
            <v xml:space="preserve">الخزينة </v>
          </cell>
        </row>
        <row r="295">
          <cell r="A295">
            <v>64</v>
          </cell>
          <cell r="B295">
            <v>46153</v>
          </cell>
          <cell r="C295">
            <v>20</v>
          </cell>
          <cell r="D295" t="str">
            <v xml:space="preserve">الخزينة </v>
          </cell>
        </row>
        <row r="296">
          <cell r="A296">
            <v>64</v>
          </cell>
          <cell r="B296">
            <v>46153</v>
          </cell>
          <cell r="C296">
            <v>20</v>
          </cell>
          <cell r="D296" t="str">
            <v xml:space="preserve">الخزينة </v>
          </cell>
        </row>
        <row r="297">
          <cell r="A297">
            <v>64</v>
          </cell>
          <cell r="B297">
            <v>46153</v>
          </cell>
          <cell r="C297">
            <v>20</v>
          </cell>
          <cell r="D297" t="str">
            <v xml:space="preserve">الخزينة </v>
          </cell>
        </row>
        <row r="298">
          <cell r="A298">
            <v>60</v>
          </cell>
          <cell r="B298">
            <v>46153</v>
          </cell>
          <cell r="C298">
            <v>20</v>
          </cell>
          <cell r="D298" t="str">
            <v xml:space="preserve">الخزينة </v>
          </cell>
        </row>
        <row r="299">
          <cell r="A299">
            <v>5</v>
          </cell>
          <cell r="B299">
            <v>46152</v>
          </cell>
          <cell r="C299">
            <v>20</v>
          </cell>
          <cell r="D299" t="str">
            <v xml:space="preserve">الخزينة </v>
          </cell>
        </row>
        <row r="300">
          <cell r="A300">
            <v>88</v>
          </cell>
          <cell r="B300">
            <v>46152</v>
          </cell>
          <cell r="C300">
            <v>20</v>
          </cell>
          <cell r="D300" t="str">
            <v xml:space="preserve">الخزينة </v>
          </cell>
        </row>
        <row r="301">
          <cell r="A301">
            <v>87</v>
          </cell>
          <cell r="B301">
            <v>46152</v>
          </cell>
          <cell r="C301">
            <v>20</v>
          </cell>
          <cell r="D301" t="str">
            <v xml:space="preserve">الخزينة </v>
          </cell>
        </row>
        <row r="302">
          <cell r="A302">
            <v>75</v>
          </cell>
          <cell r="B302">
            <v>46152</v>
          </cell>
          <cell r="C302">
            <v>20</v>
          </cell>
          <cell r="D302" t="str">
            <v xml:space="preserve">الخزينة </v>
          </cell>
        </row>
        <row r="303">
          <cell r="A303">
            <v>75</v>
          </cell>
          <cell r="B303">
            <v>46152</v>
          </cell>
          <cell r="C303">
            <v>20</v>
          </cell>
          <cell r="D303" t="str">
            <v xml:space="preserve">الخزينة </v>
          </cell>
        </row>
        <row r="304">
          <cell r="A304">
            <v>75</v>
          </cell>
          <cell r="B304">
            <v>46152</v>
          </cell>
          <cell r="C304">
            <v>20</v>
          </cell>
          <cell r="D304" t="str">
            <v xml:space="preserve">الخزينة </v>
          </cell>
        </row>
        <row r="305">
          <cell r="A305">
            <v>69</v>
          </cell>
          <cell r="B305">
            <v>46152</v>
          </cell>
          <cell r="C305">
            <v>20</v>
          </cell>
          <cell r="D305" t="str">
            <v xml:space="preserve">الخزينة </v>
          </cell>
        </row>
        <row r="306">
          <cell r="A306">
            <v>51</v>
          </cell>
          <cell r="B306">
            <v>46152</v>
          </cell>
          <cell r="C306">
            <v>20</v>
          </cell>
          <cell r="D306" t="str">
            <v xml:space="preserve">الخزينة </v>
          </cell>
        </row>
        <row r="307">
          <cell r="A307">
            <v>51</v>
          </cell>
          <cell r="B307">
            <v>46152</v>
          </cell>
          <cell r="C307">
            <v>20</v>
          </cell>
          <cell r="D307" t="str">
            <v xml:space="preserve">الخزينة </v>
          </cell>
        </row>
        <row r="308">
          <cell r="A308">
            <v>67</v>
          </cell>
          <cell r="B308">
            <v>46152</v>
          </cell>
          <cell r="C308">
            <v>20</v>
          </cell>
          <cell r="D308" t="str">
            <v xml:space="preserve">الخزينة </v>
          </cell>
        </row>
        <row r="309">
          <cell r="A309">
            <v>64</v>
          </cell>
          <cell r="B309">
            <v>46152</v>
          </cell>
          <cell r="C309">
            <v>20</v>
          </cell>
          <cell r="D309" t="str">
            <v xml:space="preserve">الخزينة </v>
          </cell>
        </row>
        <row r="310">
          <cell r="A310">
            <v>64</v>
          </cell>
          <cell r="B310">
            <v>46152</v>
          </cell>
          <cell r="C310">
            <v>20</v>
          </cell>
          <cell r="D310" t="str">
            <v xml:space="preserve">الخزينة </v>
          </cell>
        </row>
        <row r="311">
          <cell r="A311">
            <v>64</v>
          </cell>
          <cell r="B311">
            <v>46152</v>
          </cell>
          <cell r="C311">
            <v>20</v>
          </cell>
          <cell r="D311" t="str">
            <v xml:space="preserve">الخزينة </v>
          </cell>
        </row>
        <row r="312">
          <cell r="A312">
            <v>64</v>
          </cell>
          <cell r="B312">
            <v>46152</v>
          </cell>
          <cell r="C312">
            <v>20</v>
          </cell>
          <cell r="D312" t="str">
            <v xml:space="preserve">الخزينة </v>
          </cell>
        </row>
        <row r="313">
          <cell r="A313">
            <v>64</v>
          </cell>
          <cell r="B313">
            <v>46152</v>
          </cell>
          <cell r="C313">
            <v>20</v>
          </cell>
          <cell r="D313" t="str">
            <v xml:space="preserve">الخزينة </v>
          </cell>
        </row>
        <row r="314">
          <cell r="A314">
            <v>64</v>
          </cell>
          <cell r="B314">
            <v>46152</v>
          </cell>
          <cell r="C314">
            <v>20</v>
          </cell>
          <cell r="D314" t="str">
            <v xml:space="preserve">الخزينة </v>
          </cell>
        </row>
        <row r="315">
          <cell r="A315">
            <v>91</v>
          </cell>
          <cell r="B315">
            <v>46151</v>
          </cell>
          <cell r="C315">
            <v>20</v>
          </cell>
          <cell r="D315" t="str">
            <v xml:space="preserve">الخزينة </v>
          </cell>
        </row>
        <row r="316">
          <cell r="A316">
            <v>88</v>
          </cell>
          <cell r="B316">
            <v>46151</v>
          </cell>
          <cell r="C316">
            <v>20</v>
          </cell>
          <cell r="D316" t="str">
            <v xml:space="preserve">الخزينة </v>
          </cell>
        </row>
        <row r="317">
          <cell r="A317">
            <v>14</v>
          </cell>
          <cell r="B317">
            <v>46151</v>
          </cell>
          <cell r="C317">
            <v>20</v>
          </cell>
          <cell r="D317" t="str">
            <v xml:space="preserve">الخزينة </v>
          </cell>
        </row>
        <row r="318">
          <cell r="A318">
            <v>20</v>
          </cell>
          <cell r="B318">
            <v>46151</v>
          </cell>
          <cell r="C318">
            <v>20</v>
          </cell>
          <cell r="D318" t="str">
            <v xml:space="preserve">الخزينة </v>
          </cell>
        </row>
        <row r="319">
          <cell r="A319">
            <v>23</v>
          </cell>
          <cell r="B319">
            <v>46151</v>
          </cell>
          <cell r="C319">
            <v>20</v>
          </cell>
          <cell r="D319" t="str">
            <v xml:space="preserve">الخزينة </v>
          </cell>
        </row>
        <row r="320">
          <cell r="A320">
            <v>31</v>
          </cell>
          <cell r="B320">
            <v>46151</v>
          </cell>
          <cell r="C320">
            <v>20</v>
          </cell>
          <cell r="D320" t="str">
            <v xml:space="preserve">الخزينة </v>
          </cell>
        </row>
        <row r="321">
          <cell r="A321">
            <v>67</v>
          </cell>
          <cell r="B321">
            <v>46151</v>
          </cell>
          <cell r="C321">
            <v>20</v>
          </cell>
          <cell r="D321" t="str">
            <v xml:space="preserve">الخزينة </v>
          </cell>
        </row>
        <row r="322">
          <cell r="A322">
            <v>67</v>
          </cell>
          <cell r="B322">
            <v>46151</v>
          </cell>
          <cell r="C322">
            <v>20</v>
          </cell>
          <cell r="D322" t="str">
            <v xml:space="preserve">الخزينة </v>
          </cell>
        </row>
        <row r="323">
          <cell r="A323">
            <v>67</v>
          </cell>
          <cell r="B323">
            <v>46151</v>
          </cell>
          <cell r="C323">
            <v>20</v>
          </cell>
          <cell r="D323" t="str">
            <v xml:space="preserve">الخزينة </v>
          </cell>
        </row>
        <row r="324">
          <cell r="A324">
            <v>66</v>
          </cell>
          <cell r="B324">
            <v>46151</v>
          </cell>
          <cell r="C324">
            <v>20</v>
          </cell>
          <cell r="D324" t="str">
            <v xml:space="preserve">الخزينة </v>
          </cell>
        </row>
        <row r="325">
          <cell r="A325">
            <v>53</v>
          </cell>
          <cell r="B325">
            <v>46151</v>
          </cell>
          <cell r="C325">
            <v>20</v>
          </cell>
          <cell r="D325" t="str">
            <v xml:space="preserve">الخزينة </v>
          </cell>
        </row>
        <row r="326">
          <cell r="A326">
            <v>53</v>
          </cell>
          <cell r="B326">
            <v>46151</v>
          </cell>
          <cell r="C326">
            <v>20</v>
          </cell>
          <cell r="D326" t="str">
            <v xml:space="preserve">الخزينة </v>
          </cell>
        </row>
        <row r="327">
          <cell r="A327">
            <v>53</v>
          </cell>
          <cell r="B327">
            <v>46151</v>
          </cell>
          <cell r="C327">
            <v>20</v>
          </cell>
          <cell r="D327" t="str">
            <v xml:space="preserve">الخزينة </v>
          </cell>
        </row>
        <row r="328">
          <cell r="A328">
            <v>53</v>
          </cell>
          <cell r="B328">
            <v>46151</v>
          </cell>
          <cell r="C328">
            <v>20</v>
          </cell>
          <cell r="D328" t="str">
            <v xml:space="preserve">الخزينة </v>
          </cell>
        </row>
        <row r="329">
          <cell r="A329">
            <v>54</v>
          </cell>
          <cell r="B329">
            <v>46151</v>
          </cell>
          <cell r="C329">
            <v>20</v>
          </cell>
          <cell r="D329" t="str">
            <v xml:space="preserve">الخزينة </v>
          </cell>
        </row>
        <row r="330">
          <cell r="A330">
            <v>64</v>
          </cell>
          <cell r="B330">
            <v>46151</v>
          </cell>
          <cell r="C330">
            <v>20</v>
          </cell>
          <cell r="D330" t="str">
            <v xml:space="preserve">الخزينة </v>
          </cell>
        </row>
        <row r="331">
          <cell r="A331">
            <v>64</v>
          </cell>
          <cell r="B331">
            <v>46151</v>
          </cell>
          <cell r="C331">
            <v>20</v>
          </cell>
          <cell r="D331" t="str">
            <v xml:space="preserve">الخزينة </v>
          </cell>
        </row>
        <row r="332">
          <cell r="A332">
            <v>64</v>
          </cell>
          <cell r="B332">
            <v>46151</v>
          </cell>
          <cell r="C332">
            <v>20</v>
          </cell>
          <cell r="D332" t="str">
            <v xml:space="preserve">الخزينة </v>
          </cell>
        </row>
        <row r="333">
          <cell r="A333">
            <v>55</v>
          </cell>
          <cell r="B333">
            <v>46151</v>
          </cell>
          <cell r="C333">
            <v>20</v>
          </cell>
          <cell r="D333" t="str">
            <v xml:space="preserve">الخزينة </v>
          </cell>
        </row>
        <row r="334">
          <cell r="A334">
            <v>63</v>
          </cell>
          <cell r="B334">
            <v>46151</v>
          </cell>
          <cell r="C334">
            <v>20</v>
          </cell>
          <cell r="D334" t="str">
            <v xml:space="preserve">الخزينة </v>
          </cell>
        </row>
        <row r="335">
          <cell r="A335">
            <v>63</v>
          </cell>
          <cell r="B335">
            <v>46151</v>
          </cell>
          <cell r="C335">
            <v>20</v>
          </cell>
          <cell r="D335" t="str">
            <v xml:space="preserve">الخزينة </v>
          </cell>
        </row>
        <row r="336">
          <cell r="A336">
            <v>60</v>
          </cell>
          <cell r="B336">
            <v>46151</v>
          </cell>
          <cell r="C336">
            <v>20</v>
          </cell>
          <cell r="D336" t="str">
            <v xml:space="preserve">الخزينة </v>
          </cell>
        </row>
        <row r="337">
          <cell r="A337">
            <v>91</v>
          </cell>
          <cell r="B337">
            <v>46148</v>
          </cell>
          <cell r="C337">
            <v>20</v>
          </cell>
          <cell r="D337" t="str">
            <v xml:space="preserve">الخزينة </v>
          </cell>
        </row>
        <row r="338">
          <cell r="A338">
            <v>5</v>
          </cell>
          <cell r="B338">
            <v>46148</v>
          </cell>
          <cell r="C338">
            <v>20</v>
          </cell>
          <cell r="D338" t="str">
            <v xml:space="preserve">الخزينة </v>
          </cell>
        </row>
        <row r="339">
          <cell r="A339">
            <v>24</v>
          </cell>
          <cell r="B339">
            <v>46148</v>
          </cell>
          <cell r="C339">
            <v>20</v>
          </cell>
          <cell r="D339" t="str">
            <v xml:space="preserve">الخزينة </v>
          </cell>
        </row>
        <row r="340">
          <cell r="A340">
            <v>84</v>
          </cell>
          <cell r="B340">
            <v>46148</v>
          </cell>
          <cell r="C340">
            <v>20</v>
          </cell>
          <cell r="D340" t="str">
            <v xml:space="preserve">الخزينة </v>
          </cell>
        </row>
        <row r="341">
          <cell r="A341">
            <v>26</v>
          </cell>
          <cell r="B341">
            <v>46148</v>
          </cell>
          <cell r="C341">
            <v>20</v>
          </cell>
          <cell r="D341" t="str">
            <v xml:space="preserve">الخزينة </v>
          </cell>
        </row>
        <row r="342">
          <cell r="A342">
            <v>27</v>
          </cell>
          <cell r="B342">
            <v>46148</v>
          </cell>
          <cell r="C342">
            <v>20</v>
          </cell>
          <cell r="D342" t="str">
            <v xml:space="preserve">الخزينة </v>
          </cell>
        </row>
        <row r="343">
          <cell r="A343">
            <v>27</v>
          </cell>
          <cell r="B343">
            <v>46148</v>
          </cell>
          <cell r="C343">
            <v>20</v>
          </cell>
          <cell r="D343" t="str">
            <v xml:space="preserve">الخزينة </v>
          </cell>
        </row>
        <row r="344">
          <cell r="A344">
            <v>78</v>
          </cell>
          <cell r="B344">
            <v>46148</v>
          </cell>
          <cell r="C344">
            <v>20</v>
          </cell>
          <cell r="D344" t="str">
            <v xml:space="preserve">الخزينة </v>
          </cell>
        </row>
        <row r="345">
          <cell r="A345">
            <v>76</v>
          </cell>
          <cell r="B345">
            <v>46148</v>
          </cell>
          <cell r="C345">
            <v>20</v>
          </cell>
          <cell r="D345" t="str">
            <v xml:space="preserve">الخزينة </v>
          </cell>
        </row>
        <row r="346">
          <cell r="A346">
            <v>75</v>
          </cell>
          <cell r="B346">
            <v>46148</v>
          </cell>
          <cell r="C346">
            <v>20</v>
          </cell>
          <cell r="D346" t="str">
            <v xml:space="preserve">الخزينة </v>
          </cell>
        </row>
        <row r="347">
          <cell r="A347">
            <v>37</v>
          </cell>
          <cell r="B347">
            <v>46148</v>
          </cell>
          <cell r="C347">
            <v>20</v>
          </cell>
          <cell r="D347" t="str">
            <v xml:space="preserve">الخزينة </v>
          </cell>
        </row>
        <row r="348">
          <cell r="A348">
            <v>37</v>
          </cell>
          <cell r="B348">
            <v>46148</v>
          </cell>
          <cell r="C348">
            <v>20</v>
          </cell>
          <cell r="D348" t="str">
            <v xml:space="preserve">الخزينة </v>
          </cell>
        </row>
        <row r="349">
          <cell r="A349">
            <v>42</v>
          </cell>
          <cell r="B349">
            <v>46148</v>
          </cell>
          <cell r="C349">
            <v>20</v>
          </cell>
          <cell r="D349" t="str">
            <v xml:space="preserve">الخزينة </v>
          </cell>
        </row>
        <row r="350">
          <cell r="A350">
            <v>51</v>
          </cell>
          <cell r="B350">
            <v>46148</v>
          </cell>
          <cell r="C350">
            <v>20</v>
          </cell>
          <cell r="D350" t="str">
            <v xml:space="preserve">الخزينة </v>
          </cell>
        </row>
        <row r="351">
          <cell r="A351">
            <v>55</v>
          </cell>
          <cell r="B351">
            <v>46148</v>
          </cell>
          <cell r="C351">
            <v>20</v>
          </cell>
          <cell r="D351" t="str">
            <v xml:space="preserve">الخزينة </v>
          </cell>
        </row>
        <row r="352">
          <cell r="A352">
            <v>63</v>
          </cell>
          <cell r="B352">
            <v>46148</v>
          </cell>
          <cell r="C352">
            <v>20</v>
          </cell>
          <cell r="D352" t="str">
            <v xml:space="preserve">الخزينة </v>
          </cell>
        </row>
        <row r="353">
          <cell r="A353">
            <v>60</v>
          </cell>
          <cell r="B353">
            <v>46148</v>
          </cell>
          <cell r="C353">
            <v>20</v>
          </cell>
          <cell r="D353" t="str">
            <v xml:space="preserve">الخزينة </v>
          </cell>
        </row>
        <row r="354">
          <cell r="A354">
            <v>88</v>
          </cell>
          <cell r="B354">
            <v>46147</v>
          </cell>
          <cell r="C354">
            <v>20</v>
          </cell>
          <cell r="D354" t="str">
            <v xml:space="preserve">الخزينة </v>
          </cell>
        </row>
        <row r="355">
          <cell r="A355">
            <v>14</v>
          </cell>
          <cell r="B355">
            <v>46147</v>
          </cell>
          <cell r="C355">
            <v>20</v>
          </cell>
          <cell r="D355" t="str">
            <v xml:space="preserve">الخزينة </v>
          </cell>
        </row>
        <row r="356">
          <cell r="A356">
            <v>14</v>
          </cell>
          <cell r="B356">
            <v>46147</v>
          </cell>
          <cell r="C356">
            <v>20</v>
          </cell>
          <cell r="D356" t="str">
            <v xml:space="preserve">الخزينة </v>
          </cell>
        </row>
        <row r="357">
          <cell r="A357">
            <v>14</v>
          </cell>
          <cell r="B357">
            <v>46147</v>
          </cell>
          <cell r="C357">
            <v>20</v>
          </cell>
          <cell r="D357" t="str">
            <v xml:space="preserve">الخزينة </v>
          </cell>
        </row>
        <row r="358">
          <cell r="A358">
            <v>14</v>
          </cell>
          <cell r="B358">
            <v>46147</v>
          </cell>
          <cell r="C358">
            <v>20</v>
          </cell>
          <cell r="D358" t="str">
            <v xml:space="preserve">الخزينة </v>
          </cell>
        </row>
        <row r="359">
          <cell r="A359">
            <v>14</v>
          </cell>
          <cell r="B359">
            <v>46147</v>
          </cell>
          <cell r="C359">
            <v>20</v>
          </cell>
          <cell r="D359" t="str">
            <v xml:space="preserve">الخزينة </v>
          </cell>
        </row>
        <row r="360">
          <cell r="A360">
            <v>87</v>
          </cell>
          <cell r="B360">
            <v>46147</v>
          </cell>
          <cell r="C360">
            <v>20</v>
          </cell>
          <cell r="D360" t="str">
            <v xml:space="preserve">الخزينة </v>
          </cell>
        </row>
        <row r="361">
          <cell r="A361">
            <v>84</v>
          </cell>
          <cell r="B361">
            <v>46147</v>
          </cell>
          <cell r="C361">
            <v>20</v>
          </cell>
          <cell r="D361" t="str">
            <v xml:space="preserve">الخزينة </v>
          </cell>
        </row>
        <row r="362">
          <cell r="A362">
            <v>75</v>
          </cell>
          <cell r="B362">
            <v>46147</v>
          </cell>
          <cell r="C362">
            <v>20</v>
          </cell>
          <cell r="D362" t="str">
            <v xml:space="preserve">الخزينة </v>
          </cell>
        </row>
        <row r="363">
          <cell r="A363">
            <v>75</v>
          </cell>
          <cell r="B363">
            <v>46147</v>
          </cell>
          <cell r="C363">
            <v>20</v>
          </cell>
          <cell r="D363" t="str">
            <v xml:space="preserve">الخزينة </v>
          </cell>
        </row>
        <row r="364">
          <cell r="A364">
            <v>70</v>
          </cell>
          <cell r="B364">
            <v>46147</v>
          </cell>
          <cell r="C364">
            <v>20</v>
          </cell>
          <cell r="D364" t="str">
            <v xml:space="preserve">الخزينة </v>
          </cell>
        </row>
        <row r="365">
          <cell r="A365">
            <v>70</v>
          </cell>
          <cell r="B365">
            <v>46147</v>
          </cell>
          <cell r="C365">
            <v>20</v>
          </cell>
          <cell r="D365" t="str">
            <v xml:space="preserve">الخزينة </v>
          </cell>
        </row>
        <row r="366">
          <cell r="A366">
            <v>67</v>
          </cell>
          <cell r="B366">
            <v>46147</v>
          </cell>
          <cell r="C366">
            <v>20</v>
          </cell>
          <cell r="D366" t="str">
            <v xml:space="preserve">الخزينة </v>
          </cell>
        </row>
        <row r="367">
          <cell r="A367">
            <v>66</v>
          </cell>
          <cell r="B367">
            <v>46147</v>
          </cell>
          <cell r="C367">
            <v>20</v>
          </cell>
          <cell r="D367" t="str">
            <v xml:space="preserve">الخزينة </v>
          </cell>
        </row>
        <row r="368">
          <cell r="A368">
            <v>53</v>
          </cell>
          <cell r="B368">
            <v>46147</v>
          </cell>
          <cell r="C368">
            <v>20</v>
          </cell>
          <cell r="D368" t="str">
            <v xml:space="preserve">الخزينة </v>
          </cell>
        </row>
        <row r="369">
          <cell r="A369">
            <v>53</v>
          </cell>
          <cell r="B369">
            <v>46147</v>
          </cell>
          <cell r="C369">
            <v>20</v>
          </cell>
          <cell r="D369" t="str">
            <v xml:space="preserve">الخزينة </v>
          </cell>
        </row>
        <row r="370">
          <cell r="A370">
            <v>54</v>
          </cell>
          <cell r="B370">
            <v>46147</v>
          </cell>
          <cell r="C370">
            <v>20</v>
          </cell>
          <cell r="D370" t="str">
            <v xml:space="preserve">الخزينة </v>
          </cell>
        </row>
        <row r="371">
          <cell r="A371">
            <v>54</v>
          </cell>
          <cell r="B371">
            <v>46147</v>
          </cell>
          <cell r="C371">
            <v>20</v>
          </cell>
          <cell r="D371" t="str">
            <v xml:space="preserve">الخزينة </v>
          </cell>
        </row>
        <row r="372">
          <cell r="A372">
            <v>54</v>
          </cell>
          <cell r="B372">
            <v>46147</v>
          </cell>
          <cell r="C372">
            <v>20</v>
          </cell>
          <cell r="D372" t="str">
            <v xml:space="preserve">الخزينة </v>
          </cell>
        </row>
        <row r="373">
          <cell r="A373">
            <v>64</v>
          </cell>
          <cell r="B373">
            <v>46147</v>
          </cell>
          <cell r="C373">
            <v>20</v>
          </cell>
          <cell r="D373" t="str">
            <v xml:space="preserve">الخزينة </v>
          </cell>
        </row>
        <row r="374">
          <cell r="A374">
            <v>63</v>
          </cell>
          <cell r="B374">
            <v>46147</v>
          </cell>
          <cell r="C374">
            <v>20</v>
          </cell>
          <cell r="D374" t="str">
            <v xml:space="preserve">الخزينة </v>
          </cell>
        </row>
        <row r="375">
          <cell r="A375">
            <v>63</v>
          </cell>
          <cell r="B375">
            <v>46147</v>
          </cell>
          <cell r="C375">
            <v>20</v>
          </cell>
          <cell r="D375" t="str">
            <v xml:space="preserve">الخزينة </v>
          </cell>
        </row>
        <row r="376">
          <cell r="A376">
            <v>59</v>
          </cell>
          <cell r="B376">
            <v>46147</v>
          </cell>
          <cell r="C376">
            <v>20</v>
          </cell>
          <cell r="D376" t="str">
            <v xml:space="preserve">الخزينة </v>
          </cell>
        </row>
        <row r="377">
          <cell r="A377">
            <v>2</v>
          </cell>
          <cell r="B377">
            <v>46146</v>
          </cell>
          <cell r="C377">
            <v>20</v>
          </cell>
          <cell r="D377" t="str">
            <v xml:space="preserve">الخزينة </v>
          </cell>
        </row>
        <row r="378">
          <cell r="A378">
            <v>9</v>
          </cell>
          <cell r="B378">
            <v>46146</v>
          </cell>
          <cell r="C378">
            <v>20</v>
          </cell>
          <cell r="D378" t="str">
            <v xml:space="preserve">الخزينة </v>
          </cell>
        </row>
        <row r="379">
          <cell r="A379">
            <v>26</v>
          </cell>
          <cell r="B379">
            <v>46146</v>
          </cell>
          <cell r="C379">
            <v>20</v>
          </cell>
          <cell r="D379" t="str">
            <v xml:space="preserve">الخزينة </v>
          </cell>
        </row>
        <row r="380">
          <cell r="A380">
            <v>70</v>
          </cell>
          <cell r="B380">
            <v>46146</v>
          </cell>
          <cell r="C380">
            <v>20</v>
          </cell>
          <cell r="D380" t="str">
            <v xml:space="preserve">الخزينة </v>
          </cell>
        </row>
        <row r="381">
          <cell r="A381">
            <v>68</v>
          </cell>
          <cell r="B381">
            <v>46146</v>
          </cell>
          <cell r="C381">
            <v>20</v>
          </cell>
          <cell r="D381" t="str">
            <v xml:space="preserve">الخزينة </v>
          </cell>
        </row>
        <row r="382">
          <cell r="A382">
            <v>67</v>
          </cell>
          <cell r="B382">
            <v>46146</v>
          </cell>
          <cell r="C382">
            <v>20</v>
          </cell>
          <cell r="D382" t="str">
            <v xml:space="preserve">الخزينة </v>
          </cell>
        </row>
        <row r="383">
          <cell r="A383">
            <v>67</v>
          </cell>
          <cell r="B383">
            <v>46146</v>
          </cell>
          <cell r="C383">
            <v>20</v>
          </cell>
          <cell r="D383" t="str">
            <v xml:space="preserve">الخزينة </v>
          </cell>
        </row>
        <row r="384">
          <cell r="A384">
            <v>53</v>
          </cell>
          <cell r="B384">
            <v>46146</v>
          </cell>
          <cell r="C384">
            <v>20</v>
          </cell>
          <cell r="D384" t="str">
            <v xml:space="preserve">الخزينة </v>
          </cell>
        </row>
        <row r="385">
          <cell r="A385">
            <v>53</v>
          </cell>
          <cell r="B385">
            <v>46146</v>
          </cell>
          <cell r="C385">
            <v>20</v>
          </cell>
          <cell r="D385" t="str">
            <v xml:space="preserve">الخزينة </v>
          </cell>
        </row>
        <row r="386">
          <cell r="A386">
            <v>55</v>
          </cell>
          <cell r="B386">
            <v>46146</v>
          </cell>
          <cell r="C386">
            <v>20</v>
          </cell>
          <cell r="D386" t="str">
            <v xml:space="preserve">الخزينة </v>
          </cell>
        </row>
        <row r="387">
          <cell r="A387">
            <v>90</v>
          </cell>
          <cell r="B387">
            <v>46145</v>
          </cell>
          <cell r="C387">
            <v>20</v>
          </cell>
          <cell r="D387" t="str">
            <v xml:space="preserve">الخزينة </v>
          </cell>
        </row>
        <row r="388">
          <cell r="A388">
            <v>87</v>
          </cell>
          <cell r="B388">
            <v>46145</v>
          </cell>
          <cell r="C388">
            <v>20</v>
          </cell>
          <cell r="D388" t="str">
            <v xml:space="preserve">الخزينة </v>
          </cell>
        </row>
        <row r="389">
          <cell r="A389">
            <v>86</v>
          </cell>
          <cell r="B389">
            <v>46145</v>
          </cell>
          <cell r="C389">
            <v>20</v>
          </cell>
          <cell r="D389" t="str">
            <v xml:space="preserve">الخزينة </v>
          </cell>
        </row>
        <row r="390">
          <cell r="A390">
            <v>84</v>
          </cell>
          <cell r="B390">
            <v>46145</v>
          </cell>
          <cell r="C390">
            <v>20</v>
          </cell>
          <cell r="D390" t="str">
            <v xml:space="preserve">الخزينة </v>
          </cell>
        </row>
        <row r="391">
          <cell r="A391">
            <v>67</v>
          </cell>
          <cell r="B391">
            <v>46145</v>
          </cell>
          <cell r="C391">
            <v>20</v>
          </cell>
          <cell r="D391" t="str">
            <v xml:space="preserve">الخزينة </v>
          </cell>
        </row>
        <row r="392">
          <cell r="A392">
            <v>53</v>
          </cell>
          <cell r="B392">
            <v>46145</v>
          </cell>
          <cell r="C392">
            <v>20</v>
          </cell>
          <cell r="D392" t="str">
            <v xml:space="preserve">الخزينة </v>
          </cell>
        </row>
        <row r="393">
          <cell r="A393">
            <v>90</v>
          </cell>
          <cell r="B393">
            <v>46144</v>
          </cell>
          <cell r="C393">
            <v>20</v>
          </cell>
          <cell r="D393" t="str">
            <v xml:space="preserve">الخزينة </v>
          </cell>
        </row>
        <row r="394">
          <cell r="A394">
            <v>90</v>
          </cell>
          <cell r="B394">
            <v>46144</v>
          </cell>
          <cell r="C394">
            <v>20</v>
          </cell>
          <cell r="D394" t="str">
            <v xml:space="preserve">الخزينة </v>
          </cell>
        </row>
        <row r="395">
          <cell r="A395">
            <v>90</v>
          </cell>
          <cell r="B395">
            <v>46144</v>
          </cell>
          <cell r="C395">
            <v>20</v>
          </cell>
          <cell r="D395" t="str">
            <v xml:space="preserve">الخزينة </v>
          </cell>
        </row>
        <row r="396">
          <cell r="A396">
            <v>88</v>
          </cell>
          <cell r="B396">
            <v>46144</v>
          </cell>
          <cell r="C396">
            <v>20</v>
          </cell>
          <cell r="D396" t="str">
            <v xml:space="preserve">الخزينة </v>
          </cell>
        </row>
        <row r="397">
          <cell r="A397">
            <v>23</v>
          </cell>
          <cell r="B397">
            <v>46144</v>
          </cell>
          <cell r="C397">
            <v>20</v>
          </cell>
          <cell r="D397" t="str">
            <v xml:space="preserve">الخزينة </v>
          </cell>
        </row>
        <row r="398">
          <cell r="A398">
            <v>26</v>
          </cell>
          <cell r="B398">
            <v>46144</v>
          </cell>
          <cell r="C398">
            <v>20</v>
          </cell>
          <cell r="D398" t="str">
            <v xml:space="preserve">الخزينة </v>
          </cell>
        </row>
        <row r="399">
          <cell r="A399">
            <v>26</v>
          </cell>
          <cell r="B399">
            <v>46144</v>
          </cell>
          <cell r="C399">
            <v>20</v>
          </cell>
          <cell r="D399" t="str">
            <v xml:space="preserve">الخزينة </v>
          </cell>
        </row>
        <row r="400">
          <cell r="A400">
            <v>84</v>
          </cell>
          <cell r="B400">
            <v>46144</v>
          </cell>
          <cell r="C400">
            <v>20</v>
          </cell>
          <cell r="D400" t="str">
            <v xml:space="preserve">الخزينة </v>
          </cell>
        </row>
        <row r="401">
          <cell r="A401">
            <v>75</v>
          </cell>
          <cell r="B401">
            <v>46144</v>
          </cell>
          <cell r="C401">
            <v>20</v>
          </cell>
          <cell r="D401" t="str">
            <v xml:space="preserve">الخزينة </v>
          </cell>
        </row>
        <row r="402">
          <cell r="A402">
            <v>75</v>
          </cell>
          <cell r="B402">
            <v>46144</v>
          </cell>
          <cell r="C402">
            <v>20</v>
          </cell>
          <cell r="D402" t="str">
            <v xml:space="preserve">الخزينة </v>
          </cell>
        </row>
        <row r="403">
          <cell r="A403">
            <v>37</v>
          </cell>
          <cell r="B403">
            <v>46144</v>
          </cell>
          <cell r="C403">
            <v>20</v>
          </cell>
          <cell r="D403" t="str">
            <v xml:space="preserve">الخزينة </v>
          </cell>
        </row>
        <row r="404">
          <cell r="A404">
            <v>37</v>
          </cell>
          <cell r="B404">
            <v>46144</v>
          </cell>
          <cell r="C404">
            <v>20</v>
          </cell>
          <cell r="D404" t="str">
            <v xml:space="preserve">الخزينة </v>
          </cell>
        </row>
        <row r="405">
          <cell r="A405">
            <v>68</v>
          </cell>
          <cell r="B405">
            <v>46144</v>
          </cell>
          <cell r="C405">
            <v>20</v>
          </cell>
          <cell r="D405" t="str">
            <v xml:space="preserve">الخزينة </v>
          </cell>
        </row>
        <row r="406">
          <cell r="A406">
            <v>67</v>
          </cell>
          <cell r="B406">
            <v>46144</v>
          </cell>
          <cell r="C406">
            <v>20</v>
          </cell>
          <cell r="D406" t="str">
            <v xml:space="preserve">الخزينة </v>
          </cell>
        </row>
        <row r="407">
          <cell r="A407">
            <v>67</v>
          </cell>
          <cell r="B407">
            <v>46144</v>
          </cell>
          <cell r="C407">
            <v>20</v>
          </cell>
          <cell r="D407" t="str">
            <v xml:space="preserve">الخزينة </v>
          </cell>
        </row>
        <row r="408">
          <cell r="A408">
            <v>67</v>
          </cell>
          <cell r="B408">
            <v>46144</v>
          </cell>
          <cell r="C408">
            <v>20</v>
          </cell>
          <cell r="D408" t="str">
            <v xml:space="preserve">الخزينة </v>
          </cell>
        </row>
        <row r="409">
          <cell r="A409">
            <v>53</v>
          </cell>
          <cell r="B409">
            <v>46144</v>
          </cell>
          <cell r="C409">
            <v>20</v>
          </cell>
          <cell r="D409" t="str">
            <v xml:space="preserve">الخزينة </v>
          </cell>
        </row>
        <row r="410">
          <cell r="A410">
            <v>53</v>
          </cell>
          <cell r="B410">
            <v>46144</v>
          </cell>
          <cell r="C410">
            <v>20</v>
          </cell>
          <cell r="D410" t="str">
            <v xml:space="preserve">الخزينة </v>
          </cell>
        </row>
        <row r="411">
          <cell r="A411">
            <v>53</v>
          </cell>
          <cell r="B411">
            <v>46144</v>
          </cell>
          <cell r="C411">
            <v>20</v>
          </cell>
          <cell r="D411" t="str">
            <v xml:space="preserve">الخزينة </v>
          </cell>
        </row>
        <row r="412">
          <cell r="A412">
            <v>53</v>
          </cell>
          <cell r="B412">
            <v>46144</v>
          </cell>
          <cell r="C412">
            <v>20</v>
          </cell>
          <cell r="D412" t="str">
            <v xml:space="preserve">الخزينة </v>
          </cell>
        </row>
        <row r="413">
          <cell r="A413">
            <v>54</v>
          </cell>
          <cell r="B413">
            <v>46144</v>
          </cell>
          <cell r="C413">
            <v>20</v>
          </cell>
          <cell r="D413" t="str">
            <v xml:space="preserve">الخزينة </v>
          </cell>
        </row>
        <row r="414">
          <cell r="A414">
            <v>63</v>
          </cell>
          <cell r="B414">
            <v>46144</v>
          </cell>
          <cell r="C414">
            <v>20</v>
          </cell>
          <cell r="D414" t="str">
            <v xml:space="preserve">الخزينة </v>
          </cell>
        </row>
        <row r="415">
          <cell r="A415">
            <v>63</v>
          </cell>
          <cell r="B415">
            <v>46144</v>
          </cell>
          <cell r="C415">
            <v>20</v>
          </cell>
          <cell r="D415" t="str">
            <v xml:space="preserve">الخزينة </v>
          </cell>
        </row>
        <row r="416">
          <cell r="A416">
            <v>63</v>
          </cell>
          <cell r="B416">
            <v>46144</v>
          </cell>
          <cell r="C416">
            <v>20</v>
          </cell>
          <cell r="D416" t="str">
            <v xml:space="preserve">الخزينة </v>
          </cell>
        </row>
        <row r="417">
          <cell r="A417">
            <v>63</v>
          </cell>
          <cell r="B417">
            <v>46144</v>
          </cell>
          <cell r="C417">
            <v>20</v>
          </cell>
          <cell r="D417" t="str">
            <v xml:space="preserve">الخزينة </v>
          </cell>
        </row>
        <row r="418">
          <cell r="A418">
            <v>63</v>
          </cell>
          <cell r="B418">
            <v>46144</v>
          </cell>
          <cell r="C418">
            <v>20</v>
          </cell>
          <cell r="D418" t="str">
            <v xml:space="preserve">الخزينة </v>
          </cell>
        </row>
        <row r="419">
          <cell r="A419">
            <v>63</v>
          </cell>
          <cell r="B419">
            <v>46144</v>
          </cell>
          <cell r="C419">
            <v>20</v>
          </cell>
          <cell r="D419" t="str">
            <v xml:space="preserve">الخزينة </v>
          </cell>
        </row>
        <row r="420">
          <cell r="A420">
            <v>63</v>
          </cell>
          <cell r="B420">
            <v>46144</v>
          </cell>
          <cell r="C420">
            <v>20</v>
          </cell>
          <cell r="D420" t="str">
            <v xml:space="preserve">الخزينة </v>
          </cell>
        </row>
        <row r="421">
          <cell r="A421">
            <v>61</v>
          </cell>
          <cell r="B421">
            <v>46144</v>
          </cell>
          <cell r="C421">
            <v>20</v>
          </cell>
          <cell r="D421" t="str">
            <v xml:space="preserve">الخزينة </v>
          </cell>
        </row>
        <row r="422">
          <cell r="A422">
            <v>60</v>
          </cell>
          <cell r="B422">
            <v>46144</v>
          </cell>
          <cell r="C422">
            <v>20</v>
          </cell>
          <cell r="D422" t="str">
            <v xml:space="preserve">الخزينة </v>
          </cell>
        </row>
        <row r="423">
          <cell r="A423">
            <v>60</v>
          </cell>
          <cell r="B423">
            <v>46144</v>
          </cell>
          <cell r="C423">
            <v>20</v>
          </cell>
          <cell r="D423" t="str">
            <v xml:space="preserve">الخزينة </v>
          </cell>
        </row>
        <row r="424">
          <cell r="A424">
            <v>24</v>
          </cell>
          <cell r="B424">
            <v>46142</v>
          </cell>
          <cell r="C424">
            <v>20</v>
          </cell>
          <cell r="D424" t="str">
            <v xml:space="preserve">الخزينة </v>
          </cell>
        </row>
        <row r="425">
          <cell r="A425">
            <v>27</v>
          </cell>
          <cell r="B425">
            <v>46142</v>
          </cell>
          <cell r="C425">
            <v>20</v>
          </cell>
          <cell r="D425" t="str">
            <v xml:space="preserve">الخزينة </v>
          </cell>
        </row>
        <row r="426">
          <cell r="A426">
            <v>75</v>
          </cell>
          <cell r="B426">
            <v>46142</v>
          </cell>
          <cell r="C426">
            <v>20</v>
          </cell>
          <cell r="D426" t="str">
            <v xml:space="preserve">الخزينة </v>
          </cell>
        </row>
        <row r="427">
          <cell r="A427">
            <v>33</v>
          </cell>
          <cell r="B427">
            <v>46142</v>
          </cell>
          <cell r="C427">
            <v>20</v>
          </cell>
          <cell r="D427" t="str">
            <v xml:space="preserve">الخزينة </v>
          </cell>
        </row>
        <row r="428">
          <cell r="A428">
            <v>40</v>
          </cell>
          <cell r="B428">
            <v>46142</v>
          </cell>
          <cell r="C428">
            <v>20</v>
          </cell>
          <cell r="D428" t="str">
            <v xml:space="preserve">الخزينة </v>
          </cell>
        </row>
        <row r="429">
          <cell r="A429">
            <v>66</v>
          </cell>
          <cell r="B429">
            <v>46142</v>
          </cell>
          <cell r="C429">
            <v>20</v>
          </cell>
          <cell r="D429" t="str">
            <v xml:space="preserve">الخزينة </v>
          </cell>
        </row>
        <row r="430">
          <cell r="A430">
            <v>66</v>
          </cell>
          <cell r="B430">
            <v>46142</v>
          </cell>
          <cell r="C430">
            <v>20</v>
          </cell>
          <cell r="D430" t="str">
            <v xml:space="preserve">الخزينة </v>
          </cell>
        </row>
        <row r="431">
          <cell r="A431">
            <v>66</v>
          </cell>
          <cell r="B431">
            <v>46142</v>
          </cell>
          <cell r="C431">
            <v>20</v>
          </cell>
          <cell r="D431" t="str">
            <v xml:space="preserve">الخزينة </v>
          </cell>
        </row>
        <row r="432">
          <cell r="A432">
            <v>66</v>
          </cell>
          <cell r="B432">
            <v>46142</v>
          </cell>
          <cell r="C432">
            <v>20</v>
          </cell>
          <cell r="D432" t="str">
            <v xml:space="preserve">الخزينة </v>
          </cell>
        </row>
        <row r="433">
          <cell r="A433">
            <v>66</v>
          </cell>
          <cell r="B433">
            <v>46142</v>
          </cell>
          <cell r="C433">
            <v>20</v>
          </cell>
          <cell r="D433" t="str">
            <v xml:space="preserve">الخزينة </v>
          </cell>
        </row>
        <row r="434">
          <cell r="A434">
            <v>53</v>
          </cell>
          <cell r="B434">
            <v>46142</v>
          </cell>
          <cell r="C434">
            <v>20</v>
          </cell>
          <cell r="D434" t="str">
            <v xml:space="preserve">الخزينة </v>
          </cell>
        </row>
        <row r="435">
          <cell r="A435">
            <v>66</v>
          </cell>
          <cell r="B435">
            <v>46142</v>
          </cell>
          <cell r="C435">
            <v>20</v>
          </cell>
          <cell r="D435" t="str">
            <v xml:space="preserve">الخزينة </v>
          </cell>
        </row>
        <row r="436">
          <cell r="A436">
            <v>64</v>
          </cell>
          <cell r="B436">
            <v>46142</v>
          </cell>
          <cell r="C436">
            <v>20</v>
          </cell>
          <cell r="D436" t="str">
            <v xml:space="preserve">الخزينة </v>
          </cell>
        </row>
        <row r="437">
          <cell r="A437">
            <v>64</v>
          </cell>
          <cell r="B437">
            <v>46142</v>
          </cell>
          <cell r="C437">
            <v>20</v>
          </cell>
          <cell r="D437" t="str">
            <v xml:space="preserve">الخزينة </v>
          </cell>
        </row>
        <row r="438">
          <cell r="A438">
            <v>63</v>
          </cell>
          <cell r="B438">
            <v>46142</v>
          </cell>
          <cell r="C438">
            <v>20</v>
          </cell>
          <cell r="D438" t="str">
            <v xml:space="preserve">الخزينة </v>
          </cell>
        </row>
        <row r="439">
          <cell r="A439">
            <v>59</v>
          </cell>
          <cell r="B439">
            <v>46142</v>
          </cell>
          <cell r="C439">
            <v>20</v>
          </cell>
          <cell r="D439" t="str">
            <v xml:space="preserve">الخزينة </v>
          </cell>
        </row>
        <row r="440">
          <cell r="A440">
            <v>59</v>
          </cell>
          <cell r="B440">
            <v>46142</v>
          </cell>
          <cell r="C440">
            <v>20</v>
          </cell>
          <cell r="D440" t="str">
            <v xml:space="preserve">الخزينة </v>
          </cell>
        </row>
        <row r="441">
          <cell r="A441">
            <v>64</v>
          </cell>
          <cell r="B441">
            <v>46141</v>
          </cell>
          <cell r="C441">
            <v>20</v>
          </cell>
          <cell r="D441" t="str">
            <v xml:space="preserve">الخزينة </v>
          </cell>
        </row>
        <row r="442">
          <cell r="A442">
            <v>59</v>
          </cell>
          <cell r="B442">
            <v>46141</v>
          </cell>
          <cell r="C442">
            <v>20</v>
          </cell>
          <cell r="D442" t="str">
            <v xml:space="preserve">الخزينة </v>
          </cell>
        </row>
        <row r="443">
          <cell r="A443">
            <v>90</v>
          </cell>
          <cell r="B443">
            <v>46139</v>
          </cell>
          <cell r="C443">
            <v>20</v>
          </cell>
          <cell r="D443" t="str">
            <v xml:space="preserve">الخزينة </v>
          </cell>
        </row>
        <row r="444">
          <cell r="A444">
            <v>90</v>
          </cell>
          <cell r="B444">
            <v>46139</v>
          </cell>
          <cell r="C444">
            <v>20</v>
          </cell>
          <cell r="D444" t="str">
            <v xml:space="preserve">الخزينة </v>
          </cell>
        </row>
        <row r="445">
          <cell r="A445">
            <v>88</v>
          </cell>
          <cell r="B445">
            <v>46139</v>
          </cell>
          <cell r="C445">
            <v>20</v>
          </cell>
          <cell r="D445" t="str">
            <v xml:space="preserve">الخزينة </v>
          </cell>
        </row>
        <row r="446">
          <cell r="A446">
            <v>79</v>
          </cell>
          <cell r="B446">
            <v>46139</v>
          </cell>
          <cell r="C446">
            <v>20</v>
          </cell>
          <cell r="D446" t="str">
            <v xml:space="preserve">الخزينة </v>
          </cell>
        </row>
        <row r="447">
          <cell r="A447">
            <v>77</v>
          </cell>
          <cell r="B447">
            <v>46139</v>
          </cell>
          <cell r="C447">
            <v>20</v>
          </cell>
          <cell r="D447" t="str">
            <v xml:space="preserve">الخزينة </v>
          </cell>
        </row>
        <row r="448">
          <cell r="A448">
            <v>36</v>
          </cell>
          <cell r="B448">
            <v>46139</v>
          </cell>
          <cell r="C448">
            <v>20</v>
          </cell>
          <cell r="D448" t="str">
            <v xml:space="preserve">الخزينة </v>
          </cell>
        </row>
        <row r="449">
          <cell r="A449">
            <v>42</v>
          </cell>
          <cell r="B449">
            <v>46139</v>
          </cell>
          <cell r="C449">
            <v>20</v>
          </cell>
          <cell r="D449" t="str">
            <v xml:space="preserve">الخزينة </v>
          </cell>
        </row>
        <row r="450">
          <cell r="A450">
            <v>46</v>
          </cell>
          <cell r="B450">
            <v>46139</v>
          </cell>
          <cell r="C450">
            <v>20</v>
          </cell>
          <cell r="D450" t="str">
            <v xml:space="preserve">الخزينة </v>
          </cell>
        </row>
        <row r="451">
          <cell r="A451">
            <v>67</v>
          </cell>
          <cell r="B451">
            <v>46139</v>
          </cell>
          <cell r="C451">
            <v>20</v>
          </cell>
          <cell r="D451" t="str">
            <v xml:space="preserve">الخزينة </v>
          </cell>
        </row>
        <row r="452">
          <cell r="A452">
            <v>67</v>
          </cell>
          <cell r="B452">
            <v>46139</v>
          </cell>
          <cell r="C452">
            <v>20</v>
          </cell>
          <cell r="D452" t="str">
            <v xml:space="preserve">الخزينة </v>
          </cell>
        </row>
        <row r="453">
          <cell r="A453">
            <v>67</v>
          </cell>
          <cell r="B453">
            <v>46139</v>
          </cell>
          <cell r="C453">
            <v>20</v>
          </cell>
          <cell r="D453" t="str">
            <v xml:space="preserve">الخزينة </v>
          </cell>
        </row>
        <row r="454">
          <cell r="A454">
            <v>53</v>
          </cell>
          <cell r="B454">
            <v>46139</v>
          </cell>
          <cell r="C454">
            <v>20</v>
          </cell>
          <cell r="D454" t="str">
            <v xml:space="preserve">الخزينة </v>
          </cell>
        </row>
        <row r="455">
          <cell r="A455">
            <v>53</v>
          </cell>
          <cell r="B455">
            <v>46139</v>
          </cell>
          <cell r="C455">
            <v>20</v>
          </cell>
          <cell r="D455" t="str">
            <v xml:space="preserve">الخزينة </v>
          </cell>
        </row>
        <row r="456">
          <cell r="A456">
            <v>64</v>
          </cell>
          <cell r="B456">
            <v>46139</v>
          </cell>
          <cell r="C456">
            <v>20</v>
          </cell>
          <cell r="D456" t="str">
            <v xml:space="preserve">الخزينة </v>
          </cell>
        </row>
        <row r="457">
          <cell r="A457">
            <v>63</v>
          </cell>
          <cell r="B457">
            <v>46139</v>
          </cell>
          <cell r="C457">
            <v>20</v>
          </cell>
          <cell r="D457" t="str">
            <v xml:space="preserve">الخزينة </v>
          </cell>
        </row>
        <row r="458">
          <cell r="A458">
            <v>59</v>
          </cell>
          <cell r="B458">
            <v>46139</v>
          </cell>
          <cell r="C458">
            <v>20</v>
          </cell>
          <cell r="D458" t="str">
            <v xml:space="preserve">الخزينة </v>
          </cell>
        </row>
        <row r="459">
          <cell r="A459">
            <v>59</v>
          </cell>
          <cell r="B459">
            <v>46139</v>
          </cell>
          <cell r="C459">
            <v>20</v>
          </cell>
          <cell r="D459" t="str">
            <v xml:space="preserve">الخزينة </v>
          </cell>
        </row>
        <row r="460">
          <cell r="A460">
            <v>59</v>
          </cell>
          <cell r="B460">
            <v>46139</v>
          </cell>
          <cell r="C460">
            <v>20</v>
          </cell>
          <cell r="D460" t="str">
            <v xml:space="preserve">الخزينة </v>
          </cell>
        </row>
        <row r="461">
          <cell r="A461">
            <v>90</v>
          </cell>
          <cell r="B461">
            <v>46138</v>
          </cell>
          <cell r="C461">
            <v>20</v>
          </cell>
          <cell r="D461" t="str">
            <v xml:space="preserve">الخزينة </v>
          </cell>
        </row>
        <row r="462">
          <cell r="A462">
            <v>19</v>
          </cell>
          <cell r="B462">
            <v>46138</v>
          </cell>
          <cell r="C462">
            <v>20</v>
          </cell>
          <cell r="D462" t="str">
            <v xml:space="preserve">الخزينة </v>
          </cell>
        </row>
        <row r="463">
          <cell r="A463">
            <v>79</v>
          </cell>
          <cell r="B463">
            <v>46138</v>
          </cell>
          <cell r="C463">
            <v>20</v>
          </cell>
          <cell r="D463" t="str">
            <v xml:space="preserve">الخزينة </v>
          </cell>
        </row>
        <row r="464">
          <cell r="A464">
            <v>79</v>
          </cell>
          <cell r="B464">
            <v>46138</v>
          </cell>
          <cell r="C464">
            <v>20</v>
          </cell>
          <cell r="D464" t="str">
            <v xml:space="preserve">الخزينة </v>
          </cell>
        </row>
        <row r="465">
          <cell r="A465">
            <v>78</v>
          </cell>
          <cell r="B465">
            <v>46138</v>
          </cell>
          <cell r="C465">
            <v>20</v>
          </cell>
          <cell r="D465" t="str">
            <v xml:space="preserve">الخزينة </v>
          </cell>
        </row>
        <row r="466">
          <cell r="A466">
            <v>53</v>
          </cell>
          <cell r="B466">
            <v>46138</v>
          </cell>
          <cell r="C466">
            <v>20</v>
          </cell>
          <cell r="D466" t="str">
            <v xml:space="preserve">الخزينة </v>
          </cell>
        </row>
        <row r="467">
          <cell r="A467">
            <v>54</v>
          </cell>
          <cell r="B467">
            <v>46138</v>
          </cell>
          <cell r="C467">
            <v>20</v>
          </cell>
          <cell r="D467" t="str">
            <v xml:space="preserve">الخزينة </v>
          </cell>
        </row>
        <row r="468">
          <cell r="A468">
            <v>59</v>
          </cell>
          <cell r="B468">
            <v>46138</v>
          </cell>
          <cell r="C468">
            <v>20</v>
          </cell>
          <cell r="D468" t="str">
            <v xml:space="preserve">الخزينة </v>
          </cell>
        </row>
        <row r="469">
          <cell r="A469">
            <v>3</v>
          </cell>
          <cell r="B469">
            <v>46135</v>
          </cell>
          <cell r="C469">
            <v>20</v>
          </cell>
          <cell r="D469" t="str">
            <v xml:space="preserve">الخزينة </v>
          </cell>
        </row>
        <row r="470">
          <cell r="A470">
            <v>3</v>
          </cell>
          <cell r="B470">
            <v>46135</v>
          </cell>
          <cell r="C470">
            <v>20</v>
          </cell>
          <cell r="D470" t="str">
            <v xml:space="preserve">الخزينة </v>
          </cell>
        </row>
        <row r="471">
          <cell r="A471">
            <v>8</v>
          </cell>
          <cell r="B471">
            <v>46135</v>
          </cell>
          <cell r="C471">
            <v>20</v>
          </cell>
          <cell r="D471" t="str">
            <v xml:space="preserve">الخزينة </v>
          </cell>
        </row>
        <row r="472">
          <cell r="A472">
            <v>11</v>
          </cell>
          <cell r="B472">
            <v>46135</v>
          </cell>
          <cell r="C472">
            <v>20</v>
          </cell>
          <cell r="D472" t="str">
            <v xml:space="preserve">الخزينة </v>
          </cell>
        </row>
        <row r="473">
          <cell r="A473">
            <v>12</v>
          </cell>
          <cell r="B473">
            <v>46135</v>
          </cell>
          <cell r="C473">
            <v>20</v>
          </cell>
          <cell r="D473" t="str">
            <v xml:space="preserve">الخزينة </v>
          </cell>
        </row>
        <row r="474">
          <cell r="A474">
            <v>88</v>
          </cell>
          <cell r="B474">
            <v>46135</v>
          </cell>
          <cell r="C474">
            <v>20</v>
          </cell>
          <cell r="D474" t="str">
            <v xml:space="preserve">الخزينة </v>
          </cell>
        </row>
        <row r="475">
          <cell r="A475">
            <v>88</v>
          </cell>
          <cell r="B475">
            <v>46135</v>
          </cell>
          <cell r="C475">
            <v>20</v>
          </cell>
          <cell r="D475" t="str">
            <v xml:space="preserve">الخزينة </v>
          </cell>
        </row>
        <row r="476">
          <cell r="A476">
            <v>14</v>
          </cell>
          <cell r="B476">
            <v>46135</v>
          </cell>
          <cell r="C476">
            <v>20</v>
          </cell>
          <cell r="D476" t="str">
            <v xml:space="preserve">الخزينة </v>
          </cell>
        </row>
        <row r="477">
          <cell r="A477">
            <v>14</v>
          </cell>
          <cell r="B477">
            <v>46135</v>
          </cell>
          <cell r="C477">
            <v>20</v>
          </cell>
          <cell r="D477" t="str">
            <v xml:space="preserve">الخزينة </v>
          </cell>
        </row>
        <row r="478">
          <cell r="A478">
            <v>14</v>
          </cell>
          <cell r="B478">
            <v>46135</v>
          </cell>
          <cell r="C478">
            <v>20</v>
          </cell>
          <cell r="D478" t="str">
            <v xml:space="preserve">الخزينة </v>
          </cell>
        </row>
        <row r="479">
          <cell r="A479">
            <v>15</v>
          </cell>
          <cell r="B479">
            <v>46135</v>
          </cell>
          <cell r="C479">
            <v>20</v>
          </cell>
          <cell r="D479" t="str">
            <v xml:space="preserve">الخزينة </v>
          </cell>
        </row>
        <row r="480">
          <cell r="A480">
            <v>16</v>
          </cell>
          <cell r="B480">
            <v>46135</v>
          </cell>
          <cell r="C480">
            <v>20</v>
          </cell>
          <cell r="D480" t="str">
            <v xml:space="preserve">الخزينة </v>
          </cell>
        </row>
        <row r="481">
          <cell r="A481">
            <v>16</v>
          </cell>
          <cell r="B481">
            <v>46135</v>
          </cell>
          <cell r="C481">
            <v>20</v>
          </cell>
          <cell r="D481" t="str">
            <v xml:space="preserve">الخزينة </v>
          </cell>
        </row>
        <row r="482">
          <cell r="A482">
            <v>16</v>
          </cell>
          <cell r="B482">
            <v>46135</v>
          </cell>
          <cell r="C482">
            <v>20</v>
          </cell>
          <cell r="D482" t="str">
            <v xml:space="preserve">الخزينة </v>
          </cell>
        </row>
        <row r="483">
          <cell r="A483">
            <v>22</v>
          </cell>
          <cell r="B483">
            <v>46135</v>
          </cell>
          <cell r="C483">
            <v>20</v>
          </cell>
          <cell r="D483" t="str">
            <v xml:space="preserve">الخزينة </v>
          </cell>
        </row>
        <row r="484">
          <cell r="A484">
            <v>24</v>
          </cell>
          <cell r="B484">
            <v>46135</v>
          </cell>
          <cell r="C484">
            <v>20</v>
          </cell>
          <cell r="D484" t="str">
            <v xml:space="preserve">الخزينة </v>
          </cell>
        </row>
        <row r="485">
          <cell r="A485">
            <v>82</v>
          </cell>
          <cell r="B485">
            <v>46135</v>
          </cell>
          <cell r="C485">
            <v>20</v>
          </cell>
          <cell r="D485" t="str">
            <v xml:space="preserve">الخزينة </v>
          </cell>
        </row>
        <row r="486">
          <cell r="A486">
            <v>27</v>
          </cell>
          <cell r="B486">
            <v>46135</v>
          </cell>
          <cell r="C486">
            <v>20</v>
          </cell>
          <cell r="D486" t="str">
            <v xml:space="preserve">الخزينة </v>
          </cell>
        </row>
        <row r="487">
          <cell r="A487">
            <v>27</v>
          </cell>
          <cell r="B487">
            <v>46135</v>
          </cell>
          <cell r="C487">
            <v>20</v>
          </cell>
          <cell r="D487" t="str">
            <v xml:space="preserve">الخزينة </v>
          </cell>
        </row>
        <row r="488">
          <cell r="A488">
            <v>78</v>
          </cell>
          <cell r="B488">
            <v>46135</v>
          </cell>
          <cell r="C488">
            <v>20</v>
          </cell>
          <cell r="D488" t="str">
            <v xml:space="preserve">الخزينة </v>
          </cell>
        </row>
        <row r="489">
          <cell r="A489">
            <v>32</v>
          </cell>
          <cell r="B489">
            <v>46135</v>
          </cell>
          <cell r="C489">
            <v>20</v>
          </cell>
          <cell r="D489" t="str">
            <v xml:space="preserve">الخزينة </v>
          </cell>
        </row>
        <row r="490">
          <cell r="A490">
            <v>33</v>
          </cell>
          <cell r="B490">
            <v>46135</v>
          </cell>
          <cell r="C490">
            <v>20</v>
          </cell>
          <cell r="D490" t="str">
            <v xml:space="preserve">الخزينة </v>
          </cell>
        </row>
        <row r="491">
          <cell r="A491">
            <v>40</v>
          </cell>
          <cell r="B491">
            <v>46135</v>
          </cell>
          <cell r="C491">
            <v>20</v>
          </cell>
          <cell r="D491" t="str">
            <v xml:space="preserve">الخزينة </v>
          </cell>
        </row>
        <row r="492">
          <cell r="A492">
            <v>40</v>
          </cell>
          <cell r="B492">
            <v>46135</v>
          </cell>
          <cell r="C492">
            <v>20</v>
          </cell>
          <cell r="D492" t="str">
            <v xml:space="preserve">الخزينة </v>
          </cell>
        </row>
        <row r="493">
          <cell r="A493">
            <v>68</v>
          </cell>
          <cell r="B493">
            <v>46135</v>
          </cell>
          <cell r="C493">
            <v>20</v>
          </cell>
          <cell r="D493" t="str">
            <v xml:space="preserve">الخزينة </v>
          </cell>
        </row>
        <row r="494">
          <cell r="A494">
            <v>68</v>
          </cell>
          <cell r="B494">
            <v>46135</v>
          </cell>
          <cell r="C494">
            <v>20</v>
          </cell>
          <cell r="D494" t="str">
            <v xml:space="preserve">الخزينة </v>
          </cell>
        </row>
        <row r="495">
          <cell r="A495">
            <v>51</v>
          </cell>
          <cell r="B495">
            <v>46135</v>
          </cell>
          <cell r="C495">
            <v>20</v>
          </cell>
          <cell r="D495" t="str">
            <v xml:space="preserve">الخزينة </v>
          </cell>
        </row>
        <row r="496">
          <cell r="A496">
            <v>66</v>
          </cell>
          <cell r="B496">
            <v>46135</v>
          </cell>
          <cell r="C496">
            <v>20</v>
          </cell>
          <cell r="D496" t="str">
            <v xml:space="preserve">الخزينة </v>
          </cell>
        </row>
        <row r="497">
          <cell r="A497">
            <v>66</v>
          </cell>
          <cell r="B497">
            <v>46135</v>
          </cell>
          <cell r="C497">
            <v>20</v>
          </cell>
          <cell r="D497" t="str">
            <v xml:space="preserve">الخزينة </v>
          </cell>
        </row>
        <row r="498">
          <cell r="A498">
            <v>66</v>
          </cell>
          <cell r="B498">
            <v>46135</v>
          </cell>
          <cell r="C498">
            <v>20</v>
          </cell>
          <cell r="D498" t="str">
            <v xml:space="preserve">الخزينة </v>
          </cell>
        </row>
        <row r="499">
          <cell r="A499">
            <v>53</v>
          </cell>
          <cell r="B499">
            <v>46135</v>
          </cell>
          <cell r="C499">
            <v>20</v>
          </cell>
          <cell r="D499" t="str">
            <v xml:space="preserve">الخزينة </v>
          </cell>
        </row>
        <row r="500">
          <cell r="A500">
            <v>53</v>
          </cell>
          <cell r="B500">
            <v>46135</v>
          </cell>
          <cell r="C500">
            <v>20</v>
          </cell>
          <cell r="D500" t="str">
            <v xml:space="preserve">الخزينة </v>
          </cell>
        </row>
        <row r="501">
          <cell r="A501">
            <v>63</v>
          </cell>
          <cell r="B501">
            <v>46135</v>
          </cell>
          <cell r="C501">
            <v>20</v>
          </cell>
          <cell r="D501" t="str">
            <v xml:space="preserve">الخزينة </v>
          </cell>
        </row>
        <row r="502">
          <cell r="A502">
            <v>63</v>
          </cell>
          <cell r="B502">
            <v>46135</v>
          </cell>
          <cell r="C502">
            <v>20</v>
          </cell>
          <cell r="D502" t="str">
            <v xml:space="preserve">الخزينة </v>
          </cell>
        </row>
        <row r="503">
          <cell r="A503">
            <v>63</v>
          </cell>
          <cell r="B503">
            <v>46135</v>
          </cell>
          <cell r="C503">
            <v>20</v>
          </cell>
          <cell r="D503" t="str">
            <v xml:space="preserve">الخزينة </v>
          </cell>
        </row>
        <row r="504">
          <cell r="A504">
            <v>63</v>
          </cell>
          <cell r="B504">
            <v>46135</v>
          </cell>
          <cell r="C504">
            <v>20</v>
          </cell>
          <cell r="D504" t="str">
            <v xml:space="preserve">الخزينة </v>
          </cell>
        </row>
        <row r="505">
          <cell r="A505">
            <v>59</v>
          </cell>
          <cell r="B505">
            <v>46135</v>
          </cell>
          <cell r="C505">
            <v>20</v>
          </cell>
          <cell r="D505" t="str">
            <v xml:space="preserve">الخزينة </v>
          </cell>
        </row>
        <row r="506">
          <cell r="A506">
            <v>90</v>
          </cell>
          <cell r="B506">
            <v>46134</v>
          </cell>
          <cell r="C506">
            <v>20</v>
          </cell>
          <cell r="D506" t="str">
            <v xml:space="preserve">الخزينة </v>
          </cell>
        </row>
        <row r="507">
          <cell r="A507">
            <v>90</v>
          </cell>
          <cell r="B507">
            <v>46134</v>
          </cell>
          <cell r="C507">
            <v>20</v>
          </cell>
          <cell r="D507" t="str">
            <v xml:space="preserve">الخزينة </v>
          </cell>
        </row>
        <row r="508">
          <cell r="A508">
            <v>90</v>
          </cell>
          <cell r="B508">
            <v>46134</v>
          </cell>
          <cell r="C508">
            <v>20</v>
          </cell>
          <cell r="D508" t="str">
            <v xml:space="preserve">الخزينة </v>
          </cell>
        </row>
        <row r="509">
          <cell r="A509">
            <v>53</v>
          </cell>
          <cell r="B509">
            <v>46134</v>
          </cell>
          <cell r="C509">
            <v>20</v>
          </cell>
          <cell r="D509" t="str">
            <v xml:space="preserve">الخزينة </v>
          </cell>
        </row>
        <row r="510">
          <cell r="A510">
            <v>53</v>
          </cell>
          <cell r="B510">
            <v>46134</v>
          </cell>
          <cell r="C510">
            <v>20</v>
          </cell>
          <cell r="D510" t="str">
            <v xml:space="preserve">الخزينة </v>
          </cell>
        </row>
        <row r="511">
          <cell r="A511">
            <v>54</v>
          </cell>
          <cell r="B511">
            <v>46134</v>
          </cell>
          <cell r="C511">
            <v>20</v>
          </cell>
          <cell r="D511" t="str">
            <v xml:space="preserve">الخزينة </v>
          </cell>
        </row>
        <row r="512">
          <cell r="A512">
            <v>64</v>
          </cell>
          <cell r="B512">
            <v>46134</v>
          </cell>
          <cell r="C512">
            <v>20</v>
          </cell>
          <cell r="D512" t="str">
            <v xml:space="preserve">الخزينة </v>
          </cell>
        </row>
        <row r="513">
          <cell r="A513">
            <v>64</v>
          </cell>
          <cell r="B513">
            <v>46134</v>
          </cell>
          <cell r="C513">
            <v>20</v>
          </cell>
          <cell r="D513" t="str">
            <v xml:space="preserve">الخزينة </v>
          </cell>
        </row>
        <row r="514">
          <cell r="A514">
            <v>2</v>
          </cell>
          <cell r="B514">
            <v>46133</v>
          </cell>
          <cell r="C514">
            <v>20</v>
          </cell>
          <cell r="D514" t="str">
            <v xml:space="preserve">الخزينة </v>
          </cell>
        </row>
        <row r="515">
          <cell r="A515">
            <v>88</v>
          </cell>
          <cell r="B515">
            <v>46133</v>
          </cell>
          <cell r="C515">
            <v>20</v>
          </cell>
          <cell r="D515" t="str">
            <v xml:space="preserve">الخزينة </v>
          </cell>
        </row>
        <row r="516">
          <cell r="A516">
            <v>37</v>
          </cell>
          <cell r="B516">
            <v>46133</v>
          </cell>
          <cell r="C516">
            <v>20</v>
          </cell>
          <cell r="D516" t="str">
            <v xml:space="preserve">الخزينة </v>
          </cell>
        </row>
        <row r="517">
          <cell r="A517">
            <v>37</v>
          </cell>
          <cell r="B517">
            <v>46133</v>
          </cell>
          <cell r="C517">
            <v>20</v>
          </cell>
          <cell r="D517" t="str">
            <v xml:space="preserve">الخزينة </v>
          </cell>
        </row>
        <row r="518">
          <cell r="A518">
            <v>68</v>
          </cell>
          <cell r="B518">
            <v>46133</v>
          </cell>
          <cell r="C518">
            <v>20</v>
          </cell>
          <cell r="D518" t="str">
            <v xml:space="preserve">الخزينة </v>
          </cell>
        </row>
        <row r="519">
          <cell r="A519">
            <v>67</v>
          </cell>
          <cell r="B519">
            <v>46133</v>
          </cell>
          <cell r="C519">
            <v>20</v>
          </cell>
          <cell r="D519" t="str">
            <v xml:space="preserve">الخزينة </v>
          </cell>
        </row>
        <row r="520">
          <cell r="A520">
            <v>66</v>
          </cell>
          <cell r="B520">
            <v>46133</v>
          </cell>
          <cell r="C520">
            <v>20</v>
          </cell>
          <cell r="D520" t="str">
            <v xml:space="preserve">الخزينة </v>
          </cell>
        </row>
        <row r="521">
          <cell r="A521">
            <v>66</v>
          </cell>
          <cell r="B521">
            <v>46133</v>
          </cell>
          <cell r="C521">
            <v>20</v>
          </cell>
          <cell r="D521" t="str">
            <v xml:space="preserve">الخزينة </v>
          </cell>
        </row>
        <row r="522">
          <cell r="A522">
            <v>66</v>
          </cell>
          <cell r="B522">
            <v>46133</v>
          </cell>
          <cell r="C522">
            <v>20</v>
          </cell>
          <cell r="D522" t="str">
            <v xml:space="preserve">الخزينة </v>
          </cell>
        </row>
        <row r="523">
          <cell r="A523">
            <v>53</v>
          </cell>
          <cell r="B523">
            <v>46133</v>
          </cell>
          <cell r="C523">
            <v>20</v>
          </cell>
          <cell r="D523" t="str">
            <v xml:space="preserve">الخزينة </v>
          </cell>
        </row>
        <row r="524">
          <cell r="A524">
            <v>53</v>
          </cell>
          <cell r="B524">
            <v>46133</v>
          </cell>
          <cell r="C524">
            <v>20</v>
          </cell>
          <cell r="D524" t="str">
            <v xml:space="preserve">الخزينة </v>
          </cell>
        </row>
        <row r="525">
          <cell r="A525">
            <v>53</v>
          </cell>
          <cell r="B525">
            <v>46133</v>
          </cell>
          <cell r="C525">
            <v>20</v>
          </cell>
          <cell r="D525" t="str">
            <v xml:space="preserve">الخزينة </v>
          </cell>
        </row>
        <row r="526">
          <cell r="A526">
            <v>53</v>
          </cell>
          <cell r="B526">
            <v>46133</v>
          </cell>
          <cell r="C526">
            <v>20</v>
          </cell>
          <cell r="D526" t="str">
            <v xml:space="preserve">الخزينة </v>
          </cell>
        </row>
        <row r="527">
          <cell r="A527">
            <v>53</v>
          </cell>
          <cell r="B527">
            <v>46133</v>
          </cell>
          <cell r="C527">
            <v>20</v>
          </cell>
          <cell r="D527" t="str">
            <v xml:space="preserve">الخزينة </v>
          </cell>
        </row>
        <row r="528">
          <cell r="A528">
            <v>53</v>
          </cell>
          <cell r="B528">
            <v>46133</v>
          </cell>
          <cell r="C528">
            <v>20</v>
          </cell>
          <cell r="D528" t="str">
            <v xml:space="preserve">الخزينة </v>
          </cell>
        </row>
        <row r="529">
          <cell r="A529">
            <v>55</v>
          </cell>
          <cell r="B529">
            <v>46133</v>
          </cell>
          <cell r="C529">
            <v>20</v>
          </cell>
          <cell r="D529" t="str">
            <v xml:space="preserve">الخزينة </v>
          </cell>
        </row>
        <row r="530">
          <cell r="A530">
            <v>55</v>
          </cell>
          <cell r="B530">
            <v>46133</v>
          </cell>
          <cell r="C530">
            <v>20</v>
          </cell>
          <cell r="D530" t="str">
            <v xml:space="preserve">الخزينة </v>
          </cell>
        </row>
        <row r="531">
          <cell r="A531">
            <v>55</v>
          </cell>
          <cell r="B531">
            <v>46133</v>
          </cell>
          <cell r="C531">
            <v>20</v>
          </cell>
          <cell r="D531" t="str">
            <v xml:space="preserve">الخزينة </v>
          </cell>
        </row>
        <row r="532">
          <cell r="A532">
            <v>63</v>
          </cell>
          <cell r="B532">
            <v>46133</v>
          </cell>
          <cell r="C532">
            <v>20</v>
          </cell>
          <cell r="D532" t="str">
            <v xml:space="preserve">الخزينة </v>
          </cell>
        </row>
        <row r="533">
          <cell r="A533">
            <v>63</v>
          </cell>
          <cell r="B533">
            <v>46133</v>
          </cell>
          <cell r="C533">
            <v>20</v>
          </cell>
          <cell r="D533" t="str">
            <v xml:space="preserve">الخزينة </v>
          </cell>
        </row>
        <row r="534">
          <cell r="A534">
            <v>63</v>
          </cell>
          <cell r="B534">
            <v>46133</v>
          </cell>
          <cell r="C534">
            <v>20</v>
          </cell>
          <cell r="D534" t="str">
            <v xml:space="preserve">الخزينة </v>
          </cell>
        </row>
        <row r="535">
          <cell r="A535">
            <v>63</v>
          </cell>
          <cell r="B535">
            <v>46133</v>
          </cell>
          <cell r="C535">
            <v>20</v>
          </cell>
          <cell r="D535" t="str">
            <v xml:space="preserve">الخزينة </v>
          </cell>
        </row>
        <row r="536">
          <cell r="A536">
            <v>63</v>
          </cell>
          <cell r="B536">
            <v>46133</v>
          </cell>
          <cell r="C536">
            <v>20</v>
          </cell>
          <cell r="D536" t="str">
            <v xml:space="preserve">الخزينة </v>
          </cell>
        </row>
        <row r="537">
          <cell r="A537">
            <v>63</v>
          </cell>
          <cell r="B537">
            <v>46133</v>
          </cell>
          <cell r="C537">
            <v>20</v>
          </cell>
          <cell r="D537" t="str">
            <v xml:space="preserve">الخزينة </v>
          </cell>
        </row>
        <row r="538">
          <cell r="A538">
            <v>63</v>
          </cell>
          <cell r="B538">
            <v>46133</v>
          </cell>
          <cell r="C538">
            <v>20</v>
          </cell>
          <cell r="D538" t="str">
            <v xml:space="preserve">الخزينة </v>
          </cell>
        </row>
        <row r="539">
          <cell r="A539">
            <v>63</v>
          </cell>
          <cell r="B539">
            <v>46133</v>
          </cell>
          <cell r="C539">
            <v>20</v>
          </cell>
          <cell r="D539" t="str">
            <v xml:space="preserve">الخزينة </v>
          </cell>
        </row>
        <row r="540">
          <cell r="A540">
            <v>63</v>
          </cell>
          <cell r="B540">
            <v>46133</v>
          </cell>
          <cell r="C540">
            <v>20</v>
          </cell>
          <cell r="D540" t="str">
            <v xml:space="preserve">الخزينة </v>
          </cell>
        </row>
        <row r="541">
          <cell r="A541">
            <v>59</v>
          </cell>
          <cell r="B541">
            <v>46133</v>
          </cell>
          <cell r="C541">
            <v>20</v>
          </cell>
          <cell r="D541" t="str">
            <v xml:space="preserve">الخزينة </v>
          </cell>
        </row>
        <row r="542">
          <cell r="A542">
            <v>63</v>
          </cell>
          <cell r="B542">
            <v>46133</v>
          </cell>
          <cell r="C542">
            <v>20</v>
          </cell>
          <cell r="D542" t="str">
            <v xml:space="preserve">الخزينة </v>
          </cell>
        </row>
        <row r="543">
          <cell r="A543">
            <v>60</v>
          </cell>
          <cell r="B543">
            <v>46133</v>
          </cell>
          <cell r="C543">
            <v>20</v>
          </cell>
          <cell r="D543" t="str">
            <v xml:space="preserve">الخزينة </v>
          </cell>
        </row>
        <row r="544">
          <cell r="A544">
            <v>60</v>
          </cell>
          <cell r="B544">
            <v>46133</v>
          </cell>
          <cell r="C544">
            <v>20</v>
          </cell>
          <cell r="D544" t="str">
            <v xml:space="preserve">الخزينة </v>
          </cell>
        </row>
        <row r="545">
          <cell r="A545">
            <v>90</v>
          </cell>
          <cell r="B545">
            <v>46132</v>
          </cell>
          <cell r="C545">
            <v>20</v>
          </cell>
          <cell r="D545" t="str">
            <v xml:space="preserve">الخزينة </v>
          </cell>
        </row>
        <row r="546">
          <cell r="A546">
            <v>78</v>
          </cell>
          <cell r="B546">
            <v>46132</v>
          </cell>
          <cell r="C546">
            <v>20</v>
          </cell>
          <cell r="D546" t="str">
            <v xml:space="preserve">الخزينة </v>
          </cell>
        </row>
        <row r="547">
          <cell r="A547">
            <v>76</v>
          </cell>
          <cell r="B547">
            <v>46132</v>
          </cell>
          <cell r="C547">
            <v>20</v>
          </cell>
          <cell r="D547" t="str">
            <v xml:space="preserve">الخزينة </v>
          </cell>
        </row>
        <row r="548">
          <cell r="A548">
            <v>70</v>
          </cell>
          <cell r="B548">
            <v>46132</v>
          </cell>
          <cell r="C548">
            <v>20</v>
          </cell>
          <cell r="D548" t="str">
            <v xml:space="preserve">الخزينة </v>
          </cell>
        </row>
        <row r="549">
          <cell r="A549">
            <v>70</v>
          </cell>
          <cell r="B549">
            <v>46132</v>
          </cell>
          <cell r="C549">
            <v>20</v>
          </cell>
          <cell r="D549" t="str">
            <v xml:space="preserve">الخزينة </v>
          </cell>
        </row>
        <row r="550">
          <cell r="A550">
            <v>70</v>
          </cell>
          <cell r="B550">
            <v>46132</v>
          </cell>
          <cell r="C550">
            <v>20</v>
          </cell>
          <cell r="D550" t="str">
            <v xml:space="preserve">الخزينة </v>
          </cell>
        </row>
        <row r="551">
          <cell r="A551">
            <v>53</v>
          </cell>
          <cell r="B551">
            <v>46132</v>
          </cell>
          <cell r="C551">
            <v>20</v>
          </cell>
          <cell r="D551" t="str">
            <v xml:space="preserve">الخزينة </v>
          </cell>
        </row>
        <row r="552">
          <cell r="A552">
            <v>53</v>
          </cell>
          <cell r="B552">
            <v>46132</v>
          </cell>
          <cell r="C552">
            <v>20</v>
          </cell>
          <cell r="D552" t="str">
            <v xml:space="preserve">الخزينة </v>
          </cell>
        </row>
        <row r="553">
          <cell r="A553">
            <v>53</v>
          </cell>
          <cell r="B553">
            <v>46132</v>
          </cell>
          <cell r="C553">
            <v>20</v>
          </cell>
          <cell r="D553" t="str">
            <v xml:space="preserve">الخزينة </v>
          </cell>
        </row>
        <row r="554">
          <cell r="A554">
            <v>64</v>
          </cell>
          <cell r="B554">
            <v>46132</v>
          </cell>
          <cell r="C554">
            <v>20</v>
          </cell>
          <cell r="D554" t="str">
            <v xml:space="preserve">الخزينة </v>
          </cell>
        </row>
        <row r="555">
          <cell r="A555">
            <v>54</v>
          </cell>
          <cell r="B555">
            <v>46132</v>
          </cell>
          <cell r="C555">
            <v>20</v>
          </cell>
          <cell r="D555" t="str">
            <v xml:space="preserve">الخزينة </v>
          </cell>
        </row>
        <row r="556">
          <cell r="A556">
            <v>63</v>
          </cell>
          <cell r="B556">
            <v>46132</v>
          </cell>
          <cell r="C556">
            <v>20</v>
          </cell>
          <cell r="D556" t="str">
            <v xml:space="preserve">الخزينة </v>
          </cell>
        </row>
        <row r="557">
          <cell r="A557">
            <v>59</v>
          </cell>
          <cell r="B557">
            <v>46132</v>
          </cell>
          <cell r="C557">
            <v>20</v>
          </cell>
          <cell r="D557" t="str">
            <v xml:space="preserve">الخزينة </v>
          </cell>
        </row>
        <row r="558">
          <cell r="A558">
            <v>90</v>
          </cell>
          <cell r="B558">
            <v>46131</v>
          </cell>
          <cell r="C558">
            <v>20</v>
          </cell>
          <cell r="D558" t="str">
            <v xml:space="preserve">الخزينة </v>
          </cell>
        </row>
        <row r="559">
          <cell r="A559">
            <v>90</v>
          </cell>
          <cell r="B559">
            <v>46131</v>
          </cell>
          <cell r="C559">
            <v>20</v>
          </cell>
          <cell r="D559" t="str">
            <v xml:space="preserve">الخزينة </v>
          </cell>
        </row>
        <row r="560">
          <cell r="A560">
            <v>67</v>
          </cell>
          <cell r="B560">
            <v>46131</v>
          </cell>
          <cell r="C560">
            <v>20</v>
          </cell>
          <cell r="D560" t="str">
            <v xml:space="preserve">الخزينة </v>
          </cell>
        </row>
        <row r="561">
          <cell r="A561">
            <v>66</v>
          </cell>
          <cell r="B561">
            <v>46131</v>
          </cell>
          <cell r="C561">
            <v>20</v>
          </cell>
          <cell r="D561" t="str">
            <v xml:space="preserve">الخزينة </v>
          </cell>
        </row>
        <row r="562">
          <cell r="A562">
            <v>66</v>
          </cell>
          <cell r="B562">
            <v>46131</v>
          </cell>
          <cell r="C562">
            <v>20</v>
          </cell>
          <cell r="D562" t="str">
            <v xml:space="preserve">الخزينة </v>
          </cell>
        </row>
        <row r="563">
          <cell r="A563">
            <v>64</v>
          </cell>
          <cell r="B563">
            <v>46131</v>
          </cell>
          <cell r="C563">
            <v>20</v>
          </cell>
          <cell r="D563" t="str">
            <v xml:space="preserve">الخزينة </v>
          </cell>
        </row>
        <row r="564">
          <cell r="A564">
            <v>59</v>
          </cell>
          <cell r="B564">
            <v>46131</v>
          </cell>
          <cell r="C564">
            <v>20</v>
          </cell>
          <cell r="D564" t="str">
            <v xml:space="preserve">الخزينة </v>
          </cell>
        </row>
        <row r="565">
          <cell r="A565">
            <v>60</v>
          </cell>
          <cell r="B565">
            <v>46131</v>
          </cell>
          <cell r="C565">
            <v>20</v>
          </cell>
          <cell r="D565" t="str">
            <v xml:space="preserve">الخزينة </v>
          </cell>
        </row>
        <row r="566">
          <cell r="A566">
            <v>34</v>
          </cell>
          <cell r="B566">
            <v>46128</v>
          </cell>
          <cell r="C566">
            <v>20</v>
          </cell>
          <cell r="D566" t="str">
            <v xml:space="preserve">الخزينة </v>
          </cell>
        </row>
        <row r="567">
          <cell r="A567">
            <v>5</v>
          </cell>
          <cell r="B567">
            <v>46128</v>
          </cell>
          <cell r="C567">
            <v>20</v>
          </cell>
          <cell r="D567" t="str">
            <v xml:space="preserve">الخزينة </v>
          </cell>
        </row>
        <row r="568">
          <cell r="A568">
            <v>22</v>
          </cell>
          <cell r="B568">
            <v>46128</v>
          </cell>
          <cell r="C568">
            <v>20</v>
          </cell>
          <cell r="D568" t="str">
            <v xml:space="preserve">الخزينة </v>
          </cell>
        </row>
        <row r="569">
          <cell r="A569">
            <v>87</v>
          </cell>
          <cell r="B569">
            <v>46128</v>
          </cell>
          <cell r="C569">
            <v>20</v>
          </cell>
          <cell r="D569" t="str">
            <v xml:space="preserve">الخزينة </v>
          </cell>
        </row>
        <row r="570">
          <cell r="A570">
            <v>27</v>
          </cell>
          <cell r="B570">
            <v>46128</v>
          </cell>
          <cell r="C570">
            <v>20</v>
          </cell>
          <cell r="D570" t="str">
            <v xml:space="preserve">الخزينة </v>
          </cell>
        </row>
        <row r="571">
          <cell r="A571">
            <v>32</v>
          </cell>
          <cell r="B571">
            <v>46128</v>
          </cell>
          <cell r="C571">
            <v>20</v>
          </cell>
          <cell r="D571" t="str">
            <v xml:space="preserve">الخزينة </v>
          </cell>
        </row>
        <row r="572">
          <cell r="A572">
            <v>33</v>
          </cell>
          <cell r="B572">
            <v>46128</v>
          </cell>
          <cell r="C572">
            <v>20</v>
          </cell>
          <cell r="D572" t="str">
            <v xml:space="preserve">الخزينة </v>
          </cell>
        </row>
        <row r="573">
          <cell r="A573">
            <v>33</v>
          </cell>
          <cell r="B573">
            <v>46128</v>
          </cell>
          <cell r="C573">
            <v>20</v>
          </cell>
          <cell r="D573" t="str">
            <v xml:space="preserve">الخزينة </v>
          </cell>
        </row>
        <row r="574">
          <cell r="A574">
            <v>36</v>
          </cell>
          <cell r="B574">
            <v>46128</v>
          </cell>
          <cell r="C574">
            <v>20</v>
          </cell>
          <cell r="D574" t="str">
            <v xml:space="preserve">الخزينة </v>
          </cell>
        </row>
        <row r="575">
          <cell r="A575">
            <v>51</v>
          </cell>
          <cell r="B575">
            <v>46128</v>
          </cell>
          <cell r="C575">
            <v>20</v>
          </cell>
          <cell r="D575" t="str">
            <v xml:space="preserve">الخزينة </v>
          </cell>
        </row>
        <row r="576">
          <cell r="A576">
            <v>51</v>
          </cell>
          <cell r="B576">
            <v>46128</v>
          </cell>
          <cell r="C576">
            <v>20</v>
          </cell>
          <cell r="D576" t="str">
            <v xml:space="preserve">الخزينة </v>
          </cell>
        </row>
        <row r="577">
          <cell r="A577">
            <v>51</v>
          </cell>
          <cell r="B577">
            <v>46128</v>
          </cell>
          <cell r="C577">
            <v>20</v>
          </cell>
          <cell r="D577" t="str">
            <v xml:space="preserve">الخزينة </v>
          </cell>
        </row>
        <row r="578">
          <cell r="A578">
            <v>54</v>
          </cell>
          <cell r="B578">
            <v>46128</v>
          </cell>
          <cell r="C578">
            <v>20</v>
          </cell>
          <cell r="D578" t="str">
            <v xml:space="preserve">الخزينة </v>
          </cell>
        </row>
        <row r="579">
          <cell r="A579">
            <v>64</v>
          </cell>
          <cell r="B579">
            <v>46128</v>
          </cell>
          <cell r="C579">
            <v>20</v>
          </cell>
          <cell r="D579" t="str">
            <v xml:space="preserve">الخزينة </v>
          </cell>
        </row>
        <row r="580">
          <cell r="A580">
            <v>64</v>
          </cell>
          <cell r="B580">
            <v>46128</v>
          </cell>
          <cell r="C580">
            <v>20</v>
          </cell>
          <cell r="D580" t="str">
            <v xml:space="preserve">الخزينة </v>
          </cell>
        </row>
        <row r="581">
          <cell r="A581">
            <v>63</v>
          </cell>
          <cell r="B581">
            <v>46128</v>
          </cell>
          <cell r="C581">
            <v>20</v>
          </cell>
          <cell r="D581" t="str">
            <v xml:space="preserve">الخزينة </v>
          </cell>
        </row>
        <row r="582">
          <cell r="A582">
            <v>59</v>
          </cell>
          <cell r="B582">
            <v>46128</v>
          </cell>
          <cell r="C582">
            <v>20</v>
          </cell>
          <cell r="D582" t="str">
            <v xml:space="preserve">الخزينة </v>
          </cell>
        </row>
        <row r="583">
          <cell r="A583">
            <v>86</v>
          </cell>
          <cell r="B583">
            <v>46127</v>
          </cell>
          <cell r="C583">
            <v>20</v>
          </cell>
          <cell r="D583" t="str">
            <v xml:space="preserve">الخزينة </v>
          </cell>
        </row>
        <row r="584">
          <cell r="A584">
            <v>79</v>
          </cell>
          <cell r="B584">
            <v>46127</v>
          </cell>
          <cell r="C584">
            <v>20</v>
          </cell>
          <cell r="D584" t="str">
            <v xml:space="preserve">الخزينة </v>
          </cell>
        </row>
        <row r="585">
          <cell r="A585">
            <v>42</v>
          </cell>
          <cell r="B585">
            <v>46127</v>
          </cell>
          <cell r="C585">
            <v>20</v>
          </cell>
          <cell r="D585" t="str">
            <v xml:space="preserve">الخزينة </v>
          </cell>
        </row>
        <row r="586">
          <cell r="A586">
            <v>42</v>
          </cell>
          <cell r="B586">
            <v>46127</v>
          </cell>
          <cell r="C586">
            <v>20</v>
          </cell>
          <cell r="D586" t="str">
            <v xml:space="preserve">الخزينة </v>
          </cell>
        </row>
        <row r="587">
          <cell r="A587">
            <v>53</v>
          </cell>
          <cell r="B587">
            <v>46127</v>
          </cell>
          <cell r="C587">
            <v>20</v>
          </cell>
          <cell r="D587" t="str">
            <v xml:space="preserve">الخزينة </v>
          </cell>
        </row>
        <row r="588">
          <cell r="A588">
            <v>53</v>
          </cell>
          <cell r="B588">
            <v>46127</v>
          </cell>
          <cell r="C588">
            <v>20</v>
          </cell>
          <cell r="D588" t="str">
            <v xml:space="preserve">الخزينة </v>
          </cell>
        </row>
        <row r="589">
          <cell r="A589">
            <v>90</v>
          </cell>
          <cell r="B589">
            <v>46126</v>
          </cell>
          <cell r="C589">
            <v>20</v>
          </cell>
          <cell r="D589" t="str">
            <v xml:space="preserve">الخزينة </v>
          </cell>
        </row>
        <row r="590">
          <cell r="A590">
            <v>90</v>
          </cell>
          <cell r="B590">
            <v>46126</v>
          </cell>
          <cell r="C590">
            <v>20</v>
          </cell>
          <cell r="D590" t="str">
            <v xml:space="preserve">الخزينة </v>
          </cell>
        </row>
        <row r="591">
          <cell r="A591">
            <v>88</v>
          </cell>
          <cell r="B591">
            <v>46126</v>
          </cell>
          <cell r="C591">
            <v>20</v>
          </cell>
          <cell r="D591" t="str">
            <v xml:space="preserve">الخزينة </v>
          </cell>
        </row>
        <row r="592">
          <cell r="A592">
            <v>84</v>
          </cell>
          <cell r="B592">
            <v>46126</v>
          </cell>
          <cell r="C592">
            <v>20</v>
          </cell>
          <cell r="D592" t="str">
            <v xml:space="preserve">الخزينة </v>
          </cell>
        </row>
        <row r="593">
          <cell r="A593">
            <v>72</v>
          </cell>
          <cell r="B593">
            <v>46126</v>
          </cell>
          <cell r="C593">
            <v>20</v>
          </cell>
          <cell r="D593" t="str">
            <v xml:space="preserve">الخزينة </v>
          </cell>
        </row>
        <row r="594">
          <cell r="A594">
            <v>50</v>
          </cell>
          <cell r="B594">
            <v>46126</v>
          </cell>
          <cell r="C594">
            <v>20</v>
          </cell>
          <cell r="D594" t="str">
            <v xml:space="preserve">الخزينة </v>
          </cell>
        </row>
        <row r="595">
          <cell r="A595">
            <v>53</v>
          </cell>
          <cell r="B595">
            <v>46126</v>
          </cell>
          <cell r="C595">
            <v>20</v>
          </cell>
          <cell r="D595" t="str">
            <v xml:space="preserve">الخزينة </v>
          </cell>
        </row>
        <row r="596">
          <cell r="A596">
            <v>54</v>
          </cell>
          <cell r="B596">
            <v>46126</v>
          </cell>
          <cell r="C596">
            <v>20</v>
          </cell>
          <cell r="D596" t="str">
            <v xml:space="preserve">الخزينة </v>
          </cell>
        </row>
        <row r="597">
          <cell r="A597">
            <v>55</v>
          </cell>
          <cell r="B597">
            <v>46126</v>
          </cell>
          <cell r="C597">
            <v>20</v>
          </cell>
          <cell r="D597" t="str">
            <v xml:space="preserve">الخزينة </v>
          </cell>
        </row>
        <row r="598">
          <cell r="A598">
            <v>59</v>
          </cell>
          <cell r="B598">
            <v>46126</v>
          </cell>
          <cell r="C598">
            <v>20</v>
          </cell>
          <cell r="D598" t="str">
            <v xml:space="preserve">الخزينة </v>
          </cell>
        </row>
        <row r="599">
          <cell r="A599">
            <v>90</v>
          </cell>
          <cell r="B599">
            <v>46124</v>
          </cell>
          <cell r="C599">
            <v>20</v>
          </cell>
          <cell r="D599" t="str">
            <v xml:space="preserve">الخزينة </v>
          </cell>
        </row>
        <row r="600">
          <cell r="A600">
            <v>8</v>
          </cell>
          <cell r="B600">
            <v>46124</v>
          </cell>
          <cell r="C600">
            <v>20</v>
          </cell>
          <cell r="D600" t="str">
            <v xml:space="preserve">الخزينة </v>
          </cell>
        </row>
        <row r="601">
          <cell r="A601">
            <v>88</v>
          </cell>
          <cell r="B601">
            <v>46124</v>
          </cell>
          <cell r="C601">
            <v>20</v>
          </cell>
          <cell r="D601" t="str">
            <v xml:space="preserve">الخزينة </v>
          </cell>
        </row>
        <row r="602">
          <cell r="A602">
            <v>72</v>
          </cell>
          <cell r="B602">
            <v>46124</v>
          </cell>
          <cell r="C602">
            <v>20</v>
          </cell>
          <cell r="D602" t="str">
            <v xml:space="preserve">الخزينة </v>
          </cell>
        </row>
        <row r="603">
          <cell r="A603">
            <v>53</v>
          </cell>
          <cell r="B603">
            <v>46124</v>
          </cell>
          <cell r="C603">
            <v>20</v>
          </cell>
          <cell r="D603" t="str">
            <v xml:space="preserve">الخزينة </v>
          </cell>
        </row>
        <row r="604">
          <cell r="A604">
            <v>11</v>
          </cell>
          <cell r="B604">
            <v>46123</v>
          </cell>
          <cell r="C604">
            <v>20</v>
          </cell>
          <cell r="D604" t="str">
            <v xml:space="preserve">الخزينة </v>
          </cell>
        </row>
        <row r="605">
          <cell r="A605">
            <v>70</v>
          </cell>
          <cell r="B605">
            <v>46123</v>
          </cell>
          <cell r="C605">
            <v>20</v>
          </cell>
          <cell r="D605" t="str">
            <v xml:space="preserve">الخزينة </v>
          </cell>
        </row>
        <row r="606">
          <cell r="A606">
            <v>70</v>
          </cell>
          <cell r="B606">
            <v>46123</v>
          </cell>
          <cell r="C606">
            <v>20</v>
          </cell>
          <cell r="D606" t="str">
            <v xml:space="preserve">الخزينة </v>
          </cell>
        </row>
        <row r="607">
          <cell r="A607">
            <v>53</v>
          </cell>
          <cell r="B607">
            <v>46123</v>
          </cell>
          <cell r="C607">
            <v>20</v>
          </cell>
          <cell r="D607" t="str">
            <v xml:space="preserve">الخزينة </v>
          </cell>
        </row>
        <row r="608">
          <cell r="A608">
            <v>53</v>
          </cell>
          <cell r="B608">
            <v>46123</v>
          </cell>
          <cell r="C608">
            <v>20</v>
          </cell>
          <cell r="D608" t="str">
            <v xml:space="preserve">الخزينة </v>
          </cell>
        </row>
        <row r="609">
          <cell r="A609">
            <v>64</v>
          </cell>
          <cell r="B609">
            <v>46123</v>
          </cell>
          <cell r="C609">
            <v>20</v>
          </cell>
          <cell r="D609" t="str">
            <v xml:space="preserve">الخزينة </v>
          </cell>
        </row>
        <row r="610">
          <cell r="A610">
            <v>55</v>
          </cell>
          <cell r="B610">
            <v>46123</v>
          </cell>
          <cell r="C610">
            <v>20</v>
          </cell>
          <cell r="D610" t="str">
            <v xml:space="preserve">الخزينة </v>
          </cell>
        </row>
        <row r="611">
          <cell r="A611">
            <v>59</v>
          </cell>
          <cell r="B611">
            <v>46123</v>
          </cell>
          <cell r="C611">
            <v>20</v>
          </cell>
          <cell r="D611" t="str">
            <v xml:space="preserve">الخزينة </v>
          </cell>
        </row>
        <row r="612">
          <cell r="A612">
            <v>90</v>
          </cell>
          <cell r="B612">
            <v>46121</v>
          </cell>
          <cell r="C612">
            <v>20</v>
          </cell>
          <cell r="D612" t="str">
            <v xml:space="preserve">الخزينة </v>
          </cell>
        </row>
        <row r="613">
          <cell r="A613">
            <v>2</v>
          </cell>
          <cell r="B613">
            <v>46121</v>
          </cell>
          <cell r="C613">
            <v>20</v>
          </cell>
          <cell r="D613" t="str">
            <v xml:space="preserve">الخزينة </v>
          </cell>
        </row>
        <row r="614">
          <cell r="A614">
            <v>2</v>
          </cell>
          <cell r="B614">
            <v>46121</v>
          </cell>
          <cell r="C614">
            <v>20</v>
          </cell>
          <cell r="D614" t="str">
            <v xml:space="preserve">الخزينة </v>
          </cell>
        </row>
        <row r="615">
          <cell r="A615">
            <v>22</v>
          </cell>
          <cell r="B615">
            <v>46121</v>
          </cell>
          <cell r="C615">
            <v>20</v>
          </cell>
          <cell r="D615" t="str">
            <v xml:space="preserve">الخزينة </v>
          </cell>
        </row>
        <row r="616">
          <cell r="A616">
            <v>87</v>
          </cell>
          <cell r="B616">
            <v>46121</v>
          </cell>
          <cell r="C616">
            <v>20</v>
          </cell>
          <cell r="D616" t="str">
            <v xml:space="preserve">الخزينة </v>
          </cell>
        </row>
        <row r="617">
          <cell r="A617">
            <v>87</v>
          </cell>
          <cell r="B617">
            <v>46121</v>
          </cell>
          <cell r="C617">
            <v>20</v>
          </cell>
          <cell r="D617" t="str">
            <v xml:space="preserve">الخزينة </v>
          </cell>
        </row>
        <row r="618">
          <cell r="A618">
            <v>27</v>
          </cell>
          <cell r="B618">
            <v>46121</v>
          </cell>
          <cell r="C618">
            <v>20</v>
          </cell>
          <cell r="D618" t="str">
            <v xml:space="preserve">الخزينة </v>
          </cell>
        </row>
        <row r="619">
          <cell r="A619">
            <v>32</v>
          </cell>
          <cell r="B619">
            <v>46121</v>
          </cell>
          <cell r="C619">
            <v>20</v>
          </cell>
          <cell r="D619" t="str">
            <v xml:space="preserve">الخزينة </v>
          </cell>
        </row>
        <row r="620">
          <cell r="A620">
            <v>75</v>
          </cell>
          <cell r="B620">
            <v>46121</v>
          </cell>
          <cell r="C620">
            <v>20</v>
          </cell>
          <cell r="D620" t="str">
            <v xml:space="preserve">الخزينة </v>
          </cell>
        </row>
        <row r="621">
          <cell r="A621">
            <v>33</v>
          </cell>
          <cell r="B621">
            <v>46121</v>
          </cell>
          <cell r="C621">
            <v>20</v>
          </cell>
          <cell r="D621" t="str">
            <v xml:space="preserve">الخزينة </v>
          </cell>
        </row>
        <row r="622">
          <cell r="A622">
            <v>70</v>
          </cell>
          <cell r="B622">
            <v>46121</v>
          </cell>
          <cell r="C622">
            <v>20</v>
          </cell>
          <cell r="D622" t="str">
            <v xml:space="preserve">الخزينة </v>
          </cell>
        </row>
        <row r="623">
          <cell r="A623">
            <v>70</v>
          </cell>
          <cell r="B623">
            <v>46121</v>
          </cell>
          <cell r="C623">
            <v>20</v>
          </cell>
          <cell r="D623" t="str">
            <v xml:space="preserve">الخزينة </v>
          </cell>
        </row>
        <row r="624">
          <cell r="A624">
            <v>40</v>
          </cell>
          <cell r="B624">
            <v>46121</v>
          </cell>
          <cell r="C624">
            <v>20</v>
          </cell>
          <cell r="D624" t="str">
            <v xml:space="preserve">الخزينة </v>
          </cell>
        </row>
        <row r="625">
          <cell r="A625">
            <v>46</v>
          </cell>
          <cell r="B625">
            <v>46121</v>
          </cell>
          <cell r="C625">
            <v>20</v>
          </cell>
          <cell r="D625" t="str">
            <v xml:space="preserve">الخزينة </v>
          </cell>
        </row>
        <row r="626">
          <cell r="A626">
            <v>49</v>
          </cell>
          <cell r="B626">
            <v>46121</v>
          </cell>
          <cell r="C626">
            <v>20</v>
          </cell>
          <cell r="D626" t="str">
            <v xml:space="preserve">الخزينة </v>
          </cell>
        </row>
        <row r="627">
          <cell r="A627">
            <v>67</v>
          </cell>
          <cell r="B627">
            <v>46121</v>
          </cell>
          <cell r="C627">
            <v>20</v>
          </cell>
          <cell r="D627" t="str">
            <v xml:space="preserve">الخزينة </v>
          </cell>
        </row>
        <row r="628">
          <cell r="A628">
            <v>67</v>
          </cell>
          <cell r="B628">
            <v>46121</v>
          </cell>
          <cell r="C628">
            <v>20</v>
          </cell>
          <cell r="D628" t="str">
            <v xml:space="preserve">الخزينة </v>
          </cell>
        </row>
        <row r="629">
          <cell r="A629">
            <v>51</v>
          </cell>
          <cell r="B629">
            <v>46121</v>
          </cell>
          <cell r="C629">
            <v>20</v>
          </cell>
          <cell r="D629" t="str">
            <v xml:space="preserve">الخزينة </v>
          </cell>
        </row>
        <row r="630">
          <cell r="A630">
            <v>66</v>
          </cell>
          <cell r="B630">
            <v>46121</v>
          </cell>
          <cell r="C630">
            <v>20</v>
          </cell>
          <cell r="D630" t="str">
            <v xml:space="preserve">الخزينة </v>
          </cell>
        </row>
        <row r="631">
          <cell r="A631">
            <v>66</v>
          </cell>
          <cell r="B631">
            <v>46121</v>
          </cell>
          <cell r="C631">
            <v>20</v>
          </cell>
          <cell r="D631" t="str">
            <v xml:space="preserve">الخزينة </v>
          </cell>
        </row>
        <row r="632">
          <cell r="A632">
            <v>66</v>
          </cell>
          <cell r="B632">
            <v>46121</v>
          </cell>
          <cell r="C632">
            <v>20</v>
          </cell>
          <cell r="D632" t="str">
            <v xml:space="preserve">الخزينة </v>
          </cell>
        </row>
        <row r="633">
          <cell r="A633">
            <v>53</v>
          </cell>
          <cell r="B633">
            <v>46121</v>
          </cell>
          <cell r="C633">
            <v>20</v>
          </cell>
          <cell r="D633" t="str">
            <v xml:space="preserve">الخزينة </v>
          </cell>
        </row>
        <row r="634">
          <cell r="A634">
            <v>53</v>
          </cell>
          <cell r="B634">
            <v>46121</v>
          </cell>
          <cell r="C634">
            <v>20</v>
          </cell>
          <cell r="D634" t="str">
            <v xml:space="preserve">الخزينة </v>
          </cell>
        </row>
        <row r="635">
          <cell r="A635">
            <v>53</v>
          </cell>
          <cell r="B635">
            <v>46121</v>
          </cell>
          <cell r="C635">
            <v>20</v>
          </cell>
          <cell r="D635" t="str">
            <v xml:space="preserve">الخزينة </v>
          </cell>
        </row>
        <row r="636">
          <cell r="A636">
            <v>53</v>
          </cell>
          <cell r="B636">
            <v>46121</v>
          </cell>
          <cell r="C636">
            <v>20</v>
          </cell>
          <cell r="D636" t="str">
            <v xml:space="preserve">الخزينة </v>
          </cell>
        </row>
        <row r="637">
          <cell r="A637">
            <v>53</v>
          </cell>
          <cell r="B637">
            <v>46121</v>
          </cell>
          <cell r="C637">
            <v>20</v>
          </cell>
          <cell r="D637" t="str">
            <v xml:space="preserve">الخزينة </v>
          </cell>
        </row>
        <row r="638">
          <cell r="A638">
            <v>53</v>
          </cell>
          <cell r="B638">
            <v>46121</v>
          </cell>
          <cell r="C638">
            <v>20</v>
          </cell>
          <cell r="D638" t="str">
            <v xml:space="preserve">الخزينة </v>
          </cell>
        </row>
        <row r="639">
          <cell r="A639">
            <v>66</v>
          </cell>
          <cell r="B639">
            <v>46121</v>
          </cell>
          <cell r="C639">
            <v>20</v>
          </cell>
          <cell r="D639" t="str">
            <v xml:space="preserve">الخزينة </v>
          </cell>
        </row>
        <row r="640">
          <cell r="A640">
            <v>54</v>
          </cell>
          <cell r="B640">
            <v>46121</v>
          </cell>
          <cell r="C640">
            <v>20</v>
          </cell>
          <cell r="D640" t="str">
            <v xml:space="preserve">الخزينة </v>
          </cell>
        </row>
        <row r="641">
          <cell r="A641">
            <v>64</v>
          </cell>
          <cell r="B641">
            <v>46121</v>
          </cell>
          <cell r="C641">
            <v>20</v>
          </cell>
          <cell r="D641" t="str">
            <v xml:space="preserve">الخزينة </v>
          </cell>
        </row>
        <row r="642">
          <cell r="A642">
            <v>55</v>
          </cell>
          <cell r="B642">
            <v>46121</v>
          </cell>
          <cell r="C642">
            <v>20</v>
          </cell>
          <cell r="D642" t="str">
            <v xml:space="preserve">الخزينة </v>
          </cell>
        </row>
        <row r="643">
          <cell r="A643">
            <v>55</v>
          </cell>
          <cell r="B643">
            <v>46121</v>
          </cell>
          <cell r="C643">
            <v>20</v>
          </cell>
          <cell r="D643" t="str">
            <v xml:space="preserve">الخزينة </v>
          </cell>
        </row>
        <row r="644">
          <cell r="A644">
            <v>55</v>
          </cell>
          <cell r="B644">
            <v>46121</v>
          </cell>
          <cell r="C644">
            <v>20</v>
          </cell>
          <cell r="D644" t="str">
            <v xml:space="preserve">الخزينة </v>
          </cell>
        </row>
        <row r="645">
          <cell r="A645">
            <v>55</v>
          </cell>
          <cell r="B645">
            <v>46121</v>
          </cell>
          <cell r="C645">
            <v>20</v>
          </cell>
          <cell r="D645" t="str">
            <v xml:space="preserve">الخزينة </v>
          </cell>
        </row>
        <row r="646">
          <cell r="A646">
            <v>63</v>
          </cell>
          <cell r="B646">
            <v>46121</v>
          </cell>
          <cell r="C646">
            <v>20</v>
          </cell>
          <cell r="D646" t="str">
            <v xml:space="preserve">الخزينة </v>
          </cell>
        </row>
        <row r="647">
          <cell r="A647">
            <v>63</v>
          </cell>
          <cell r="B647">
            <v>46121</v>
          </cell>
          <cell r="C647">
            <v>20</v>
          </cell>
          <cell r="D647" t="str">
            <v xml:space="preserve">الخزينة </v>
          </cell>
        </row>
        <row r="648">
          <cell r="A648">
            <v>63</v>
          </cell>
          <cell r="B648">
            <v>46121</v>
          </cell>
          <cell r="C648">
            <v>20</v>
          </cell>
          <cell r="D648" t="str">
            <v xml:space="preserve">الخزينة </v>
          </cell>
        </row>
        <row r="649">
          <cell r="A649">
            <v>63</v>
          </cell>
          <cell r="B649">
            <v>46121</v>
          </cell>
          <cell r="C649">
            <v>20</v>
          </cell>
          <cell r="D649" t="str">
            <v xml:space="preserve">الخزينة </v>
          </cell>
        </row>
        <row r="650">
          <cell r="A650">
            <v>57</v>
          </cell>
          <cell r="B650">
            <v>46121</v>
          </cell>
          <cell r="C650">
            <v>20</v>
          </cell>
          <cell r="D650" t="str">
            <v xml:space="preserve">الخزينة </v>
          </cell>
        </row>
        <row r="651">
          <cell r="A651">
            <v>63</v>
          </cell>
          <cell r="B651">
            <v>46121</v>
          </cell>
          <cell r="C651">
            <v>20</v>
          </cell>
          <cell r="D651" t="str">
            <v xml:space="preserve">الخزينة </v>
          </cell>
        </row>
        <row r="652">
          <cell r="A652">
            <v>63</v>
          </cell>
          <cell r="B652">
            <v>46121</v>
          </cell>
          <cell r="C652">
            <v>20</v>
          </cell>
          <cell r="D652" t="str">
            <v xml:space="preserve">الخزينة </v>
          </cell>
        </row>
        <row r="653">
          <cell r="A653">
            <v>60</v>
          </cell>
          <cell r="B653">
            <v>46121</v>
          </cell>
          <cell r="C653">
            <v>20</v>
          </cell>
          <cell r="D653" t="str">
            <v xml:space="preserve">الخزينة </v>
          </cell>
        </row>
        <row r="654">
          <cell r="A654">
            <v>60</v>
          </cell>
          <cell r="B654">
            <v>46121</v>
          </cell>
          <cell r="C654">
            <v>20</v>
          </cell>
          <cell r="D654" t="str">
            <v xml:space="preserve">الخزينة </v>
          </cell>
        </row>
        <row r="655">
          <cell r="A655">
            <v>60</v>
          </cell>
          <cell r="B655">
            <v>46121</v>
          </cell>
          <cell r="C655">
            <v>20</v>
          </cell>
          <cell r="D655" t="str">
            <v xml:space="preserve">الخزينة </v>
          </cell>
        </row>
        <row r="656">
          <cell r="A656">
            <v>10</v>
          </cell>
          <cell r="B656">
            <v>46120</v>
          </cell>
          <cell r="C656">
            <v>20</v>
          </cell>
          <cell r="D656" t="str">
            <v xml:space="preserve">الخزينة </v>
          </cell>
        </row>
        <row r="657">
          <cell r="A657">
            <v>68</v>
          </cell>
          <cell r="B657">
            <v>46120</v>
          </cell>
          <cell r="C657">
            <v>20</v>
          </cell>
          <cell r="D657" t="str">
            <v xml:space="preserve">الخزينة </v>
          </cell>
        </row>
        <row r="658">
          <cell r="A658">
            <v>67</v>
          </cell>
          <cell r="B658">
            <v>46120</v>
          </cell>
          <cell r="C658">
            <v>20</v>
          </cell>
          <cell r="D658" t="str">
            <v xml:space="preserve">الخزينة </v>
          </cell>
        </row>
        <row r="659">
          <cell r="A659">
            <v>67</v>
          </cell>
          <cell r="B659">
            <v>46120</v>
          </cell>
          <cell r="C659">
            <v>20</v>
          </cell>
          <cell r="D659" t="str">
            <v xml:space="preserve">الخزينة </v>
          </cell>
        </row>
        <row r="660">
          <cell r="A660">
            <v>64</v>
          </cell>
          <cell r="B660">
            <v>46120</v>
          </cell>
          <cell r="C660">
            <v>20</v>
          </cell>
          <cell r="D660" t="str">
            <v xml:space="preserve">الخزينة </v>
          </cell>
        </row>
        <row r="661">
          <cell r="A661">
            <v>55</v>
          </cell>
          <cell r="B661">
            <v>46120</v>
          </cell>
          <cell r="C661">
            <v>20</v>
          </cell>
          <cell r="D661" t="str">
            <v xml:space="preserve">الخزينة </v>
          </cell>
        </row>
        <row r="662">
          <cell r="A662">
            <v>59</v>
          </cell>
          <cell r="B662">
            <v>46120</v>
          </cell>
          <cell r="C662">
            <v>20</v>
          </cell>
          <cell r="D662" t="str">
            <v xml:space="preserve">الخزينة </v>
          </cell>
        </row>
        <row r="663">
          <cell r="A663">
            <v>61</v>
          </cell>
          <cell r="B663">
            <v>46120</v>
          </cell>
          <cell r="C663">
            <v>20</v>
          </cell>
          <cell r="D663" t="str">
            <v xml:space="preserve">الخزينة </v>
          </cell>
        </row>
        <row r="664">
          <cell r="A664">
            <v>88</v>
          </cell>
          <cell r="B664">
            <v>46119</v>
          </cell>
          <cell r="C664">
            <v>20</v>
          </cell>
          <cell r="D664" t="str">
            <v xml:space="preserve">الخزينة </v>
          </cell>
        </row>
        <row r="665">
          <cell r="A665">
            <v>86</v>
          </cell>
          <cell r="B665">
            <v>46119</v>
          </cell>
          <cell r="C665">
            <v>20</v>
          </cell>
          <cell r="D665" t="str">
            <v xml:space="preserve">الخزينة </v>
          </cell>
        </row>
        <row r="666">
          <cell r="A666">
            <v>36</v>
          </cell>
          <cell r="B666">
            <v>46119</v>
          </cell>
          <cell r="C666">
            <v>20</v>
          </cell>
          <cell r="D666" t="str">
            <v xml:space="preserve">الخزينة </v>
          </cell>
        </row>
        <row r="667">
          <cell r="A667">
            <v>50</v>
          </cell>
          <cell r="B667">
            <v>46119</v>
          </cell>
          <cell r="C667">
            <v>20</v>
          </cell>
          <cell r="D667" t="str">
            <v xml:space="preserve">الخزينة </v>
          </cell>
        </row>
        <row r="668">
          <cell r="A668">
            <v>94</v>
          </cell>
          <cell r="B668">
            <v>46118</v>
          </cell>
          <cell r="C668">
            <v>20</v>
          </cell>
          <cell r="D668" t="str">
            <v xml:space="preserve">الخزينة </v>
          </cell>
        </row>
        <row r="669">
          <cell r="A669">
            <v>84</v>
          </cell>
          <cell r="B669">
            <v>46118</v>
          </cell>
          <cell r="C669">
            <v>20</v>
          </cell>
          <cell r="D669" t="str">
            <v xml:space="preserve">الخزينة </v>
          </cell>
        </row>
        <row r="670">
          <cell r="A670">
            <v>50</v>
          </cell>
          <cell r="B670">
            <v>46118</v>
          </cell>
          <cell r="C670">
            <v>20</v>
          </cell>
          <cell r="D670" t="str">
            <v xml:space="preserve">الخزينة </v>
          </cell>
        </row>
        <row r="671">
          <cell r="A671">
            <v>53</v>
          </cell>
          <cell r="B671">
            <v>46118</v>
          </cell>
          <cell r="C671">
            <v>20</v>
          </cell>
          <cell r="D671" t="str">
            <v xml:space="preserve">الخزينة </v>
          </cell>
        </row>
        <row r="672">
          <cell r="A672">
            <v>53</v>
          </cell>
          <cell r="B672">
            <v>46118</v>
          </cell>
          <cell r="C672">
            <v>20</v>
          </cell>
          <cell r="D672" t="str">
            <v xml:space="preserve">الخزينة </v>
          </cell>
        </row>
        <row r="673">
          <cell r="A673">
            <v>63</v>
          </cell>
          <cell r="B673">
            <v>46118</v>
          </cell>
          <cell r="C673">
            <v>20</v>
          </cell>
          <cell r="D673" t="str">
            <v xml:space="preserve">الخزينة </v>
          </cell>
        </row>
        <row r="674">
          <cell r="A674">
            <v>91</v>
          </cell>
          <cell r="B674">
            <v>46117</v>
          </cell>
          <cell r="C674">
            <v>20</v>
          </cell>
          <cell r="D674" t="str">
            <v xml:space="preserve">الخزينة </v>
          </cell>
        </row>
        <row r="675">
          <cell r="A675">
            <v>90</v>
          </cell>
          <cell r="B675">
            <v>46117</v>
          </cell>
          <cell r="C675">
            <v>20</v>
          </cell>
          <cell r="D675" t="str">
            <v xml:space="preserve">الخزينة </v>
          </cell>
        </row>
        <row r="676">
          <cell r="A676">
            <v>90</v>
          </cell>
          <cell r="B676">
            <v>46117</v>
          </cell>
          <cell r="C676">
            <v>20</v>
          </cell>
          <cell r="D676" t="str">
            <v xml:space="preserve">الخزينة </v>
          </cell>
        </row>
        <row r="677">
          <cell r="A677">
            <v>16</v>
          </cell>
          <cell r="B677">
            <v>46117</v>
          </cell>
          <cell r="C677">
            <v>20</v>
          </cell>
          <cell r="D677" t="str">
            <v xml:space="preserve">الخزينة </v>
          </cell>
        </row>
        <row r="678">
          <cell r="A678">
            <v>23</v>
          </cell>
          <cell r="B678">
            <v>46117</v>
          </cell>
          <cell r="C678">
            <v>20</v>
          </cell>
          <cell r="D678" t="str">
            <v xml:space="preserve">الخزينة </v>
          </cell>
        </row>
        <row r="679">
          <cell r="A679">
            <v>83</v>
          </cell>
          <cell r="B679">
            <v>46117</v>
          </cell>
          <cell r="C679">
            <v>20</v>
          </cell>
          <cell r="D679" t="str">
            <v xml:space="preserve">الخزينة </v>
          </cell>
        </row>
        <row r="680">
          <cell r="A680">
            <v>76</v>
          </cell>
          <cell r="B680">
            <v>46117</v>
          </cell>
          <cell r="C680">
            <v>20</v>
          </cell>
          <cell r="D680" t="str">
            <v xml:space="preserve">الخزينة </v>
          </cell>
        </row>
        <row r="681">
          <cell r="A681">
            <v>76</v>
          </cell>
          <cell r="B681">
            <v>46117</v>
          </cell>
          <cell r="C681">
            <v>20</v>
          </cell>
          <cell r="D681" t="str">
            <v xml:space="preserve">الخزينة </v>
          </cell>
        </row>
        <row r="682">
          <cell r="A682">
            <v>32</v>
          </cell>
          <cell r="B682">
            <v>46117</v>
          </cell>
          <cell r="C682">
            <v>20</v>
          </cell>
          <cell r="D682" t="str">
            <v xml:space="preserve">الخزينة </v>
          </cell>
        </row>
        <row r="683">
          <cell r="A683">
            <v>70</v>
          </cell>
          <cell r="B683">
            <v>46117</v>
          </cell>
          <cell r="C683">
            <v>20</v>
          </cell>
          <cell r="D683" t="str">
            <v xml:space="preserve">الخزينة </v>
          </cell>
        </row>
        <row r="684">
          <cell r="A684">
            <v>70</v>
          </cell>
          <cell r="B684">
            <v>46117</v>
          </cell>
          <cell r="C684">
            <v>20</v>
          </cell>
          <cell r="D684" t="str">
            <v xml:space="preserve">الخزينة </v>
          </cell>
        </row>
        <row r="685">
          <cell r="A685">
            <v>43</v>
          </cell>
          <cell r="B685">
            <v>46117</v>
          </cell>
          <cell r="C685">
            <v>20</v>
          </cell>
          <cell r="D685" t="str">
            <v xml:space="preserve">الخزينة </v>
          </cell>
        </row>
        <row r="686">
          <cell r="A686">
            <v>68</v>
          </cell>
          <cell r="B686">
            <v>46117</v>
          </cell>
          <cell r="C686">
            <v>20</v>
          </cell>
          <cell r="D686" t="str">
            <v xml:space="preserve">الخزينة </v>
          </cell>
        </row>
        <row r="687">
          <cell r="A687">
            <v>54</v>
          </cell>
          <cell r="B687">
            <v>46117</v>
          </cell>
          <cell r="C687">
            <v>20</v>
          </cell>
          <cell r="D687" t="str">
            <v xml:space="preserve">الخزينة </v>
          </cell>
        </row>
        <row r="688">
          <cell r="A688">
            <v>88</v>
          </cell>
          <cell r="B688">
            <v>46116</v>
          </cell>
          <cell r="C688">
            <v>20</v>
          </cell>
          <cell r="D688" t="str">
            <v xml:space="preserve">الخزينة </v>
          </cell>
        </row>
        <row r="689">
          <cell r="A689">
            <v>88</v>
          </cell>
          <cell r="B689">
            <v>46116</v>
          </cell>
          <cell r="C689">
            <v>20</v>
          </cell>
          <cell r="D689" t="str">
            <v xml:space="preserve">الخزينة </v>
          </cell>
        </row>
        <row r="690">
          <cell r="A690">
            <v>76</v>
          </cell>
          <cell r="B690">
            <v>46116</v>
          </cell>
          <cell r="C690">
            <v>20</v>
          </cell>
          <cell r="D690" t="str">
            <v xml:space="preserve">الخزينة </v>
          </cell>
        </row>
        <row r="691">
          <cell r="A691">
            <v>67</v>
          </cell>
          <cell r="B691">
            <v>46116</v>
          </cell>
          <cell r="C691">
            <v>20</v>
          </cell>
          <cell r="D691" t="str">
            <v xml:space="preserve">الخزينة </v>
          </cell>
        </row>
        <row r="692">
          <cell r="A692">
            <v>67</v>
          </cell>
          <cell r="B692">
            <v>46116</v>
          </cell>
          <cell r="C692">
            <v>20</v>
          </cell>
          <cell r="D692" t="str">
            <v xml:space="preserve">الخزينة </v>
          </cell>
        </row>
        <row r="693">
          <cell r="A693">
            <v>67</v>
          </cell>
          <cell r="B693">
            <v>46116</v>
          </cell>
          <cell r="C693">
            <v>20</v>
          </cell>
          <cell r="D693" t="str">
            <v xml:space="preserve">الخزينة </v>
          </cell>
        </row>
        <row r="694">
          <cell r="A694">
            <v>66</v>
          </cell>
          <cell r="B694">
            <v>46116</v>
          </cell>
          <cell r="C694">
            <v>20</v>
          </cell>
          <cell r="D694" t="str">
            <v xml:space="preserve">الخزينة </v>
          </cell>
        </row>
        <row r="695">
          <cell r="A695">
            <v>53</v>
          </cell>
          <cell r="B695">
            <v>46116</v>
          </cell>
          <cell r="C695">
            <v>20</v>
          </cell>
          <cell r="D695" t="str">
            <v xml:space="preserve">الخزينة </v>
          </cell>
        </row>
        <row r="696">
          <cell r="A696">
            <v>54</v>
          </cell>
          <cell r="B696">
            <v>46116</v>
          </cell>
          <cell r="C696">
            <v>20</v>
          </cell>
          <cell r="D696" t="str">
            <v xml:space="preserve">الخزينة </v>
          </cell>
        </row>
        <row r="697">
          <cell r="A697">
            <v>54</v>
          </cell>
          <cell r="B697">
            <v>46116</v>
          </cell>
          <cell r="C697">
            <v>20</v>
          </cell>
          <cell r="D697" t="str">
            <v xml:space="preserve">الخزينة </v>
          </cell>
        </row>
        <row r="698">
          <cell r="A698">
            <v>64</v>
          </cell>
          <cell r="B698">
            <v>46116</v>
          </cell>
          <cell r="C698">
            <v>20</v>
          </cell>
          <cell r="D698" t="str">
            <v xml:space="preserve">الخزينة </v>
          </cell>
        </row>
        <row r="699">
          <cell r="A699">
            <v>90</v>
          </cell>
          <cell r="B699">
            <v>46114</v>
          </cell>
          <cell r="C699">
            <v>20</v>
          </cell>
          <cell r="D699" t="str">
            <v xml:space="preserve">الخزينة </v>
          </cell>
        </row>
        <row r="700">
          <cell r="A700">
            <v>90</v>
          </cell>
          <cell r="B700">
            <v>46114</v>
          </cell>
          <cell r="C700">
            <v>20</v>
          </cell>
          <cell r="D700" t="str">
            <v xml:space="preserve">الخزينة </v>
          </cell>
        </row>
        <row r="701">
          <cell r="A701">
            <v>90</v>
          </cell>
          <cell r="B701">
            <v>46114</v>
          </cell>
          <cell r="C701">
            <v>20</v>
          </cell>
          <cell r="D701" t="str">
            <v xml:space="preserve">الخزينة </v>
          </cell>
        </row>
        <row r="702">
          <cell r="A702">
            <v>87</v>
          </cell>
          <cell r="B702">
            <v>46114</v>
          </cell>
          <cell r="C702">
            <v>20</v>
          </cell>
          <cell r="D702" t="str">
            <v xml:space="preserve">الخزينة </v>
          </cell>
        </row>
        <row r="703">
          <cell r="A703">
            <v>87</v>
          </cell>
          <cell r="B703">
            <v>46114</v>
          </cell>
          <cell r="C703">
            <v>20</v>
          </cell>
          <cell r="D703" t="str">
            <v xml:space="preserve">الخزينة </v>
          </cell>
        </row>
        <row r="704">
          <cell r="A704">
            <v>90</v>
          </cell>
          <cell r="B704">
            <v>46113</v>
          </cell>
          <cell r="C704">
            <v>20</v>
          </cell>
          <cell r="D704" t="str">
            <v xml:space="preserve">الخزينة </v>
          </cell>
        </row>
        <row r="705">
          <cell r="A705">
            <v>67</v>
          </cell>
          <cell r="B705">
            <v>46113</v>
          </cell>
          <cell r="C705">
            <v>20</v>
          </cell>
          <cell r="D705" t="str">
            <v xml:space="preserve">الخزينة </v>
          </cell>
        </row>
        <row r="706">
          <cell r="A706">
            <v>67</v>
          </cell>
          <cell r="B706">
            <v>46113</v>
          </cell>
          <cell r="C706">
            <v>20</v>
          </cell>
          <cell r="D706" t="str">
            <v xml:space="preserve">الخزينة </v>
          </cell>
        </row>
        <row r="707">
          <cell r="A707">
            <v>53</v>
          </cell>
          <cell r="B707">
            <v>46113</v>
          </cell>
          <cell r="C707">
            <v>20</v>
          </cell>
          <cell r="D707" t="str">
            <v xml:space="preserve">الخزينة </v>
          </cell>
        </row>
        <row r="708">
          <cell r="A708">
            <v>76</v>
          </cell>
          <cell r="B708">
            <v>46112</v>
          </cell>
          <cell r="C708">
            <v>20</v>
          </cell>
          <cell r="D708" t="str">
            <v xml:space="preserve">الخزينة </v>
          </cell>
        </row>
        <row r="709">
          <cell r="A709">
            <v>54</v>
          </cell>
          <cell r="B709">
            <v>46112</v>
          </cell>
          <cell r="C709">
            <v>20</v>
          </cell>
          <cell r="D709" t="str">
            <v xml:space="preserve">الخزينة </v>
          </cell>
        </row>
        <row r="710">
          <cell r="A710">
            <v>54</v>
          </cell>
          <cell r="B710">
            <v>46112</v>
          </cell>
          <cell r="C710">
            <v>20</v>
          </cell>
          <cell r="D710" t="str">
            <v xml:space="preserve">الخزينة </v>
          </cell>
        </row>
        <row r="711">
          <cell r="A711">
            <v>63</v>
          </cell>
          <cell r="B711">
            <v>46112</v>
          </cell>
          <cell r="C711">
            <v>20</v>
          </cell>
          <cell r="D711" t="str">
            <v xml:space="preserve">الخزينة </v>
          </cell>
        </row>
        <row r="712">
          <cell r="A712">
            <v>82</v>
          </cell>
          <cell r="B712">
            <v>46111</v>
          </cell>
          <cell r="C712">
            <v>20</v>
          </cell>
          <cell r="D712" t="str">
            <v xml:space="preserve">الخزينة </v>
          </cell>
        </row>
        <row r="713">
          <cell r="A713">
            <v>53</v>
          </cell>
          <cell r="B713">
            <v>46111</v>
          </cell>
          <cell r="C713">
            <v>20</v>
          </cell>
          <cell r="D713" t="str">
            <v xml:space="preserve">الخزينة </v>
          </cell>
        </row>
        <row r="714">
          <cell r="A714">
            <v>53</v>
          </cell>
          <cell r="B714">
            <v>46111</v>
          </cell>
          <cell r="C714">
            <v>20</v>
          </cell>
          <cell r="D714" t="str">
            <v xml:space="preserve">الخزينة </v>
          </cell>
        </row>
        <row r="715">
          <cell r="A715">
            <v>53</v>
          </cell>
          <cell r="B715">
            <v>46111</v>
          </cell>
          <cell r="C715">
            <v>20</v>
          </cell>
          <cell r="D715" t="str">
            <v xml:space="preserve">الخزينة </v>
          </cell>
        </row>
        <row r="716">
          <cell r="A716">
            <v>53</v>
          </cell>
          <cell r="B716">
            <v>46111</v>
          </cell>
          <cell r="C716">
            <v>20</v>
          </cell>
          <cell r="D716" t="str">
            <v xml:space="preserve">الخزينة </v>
          </cell>
        </row>
        <row r="717">
          <cell r="A717">
            <v>55</v>
          </cell>
          <cell r="B717">
            <v>46111</v>
          </cell>
          <cell r="C717">
            <v>20</v>
          </cell>
          <cell r="D717" t="str">
            <v xml:space="preserve">الخزينة </v>
          </cell>
        </row>
        <row r="718">
          <cell r="A718">
            <v>56</v>
          </cell>
          <cell r="B718">
            <v>46111</v>
          </cell>
          <cell r="C718">
            <v>20</v>
          </cell>
          <cell r="D718" t="str">
            <v xml:space="preserve">الخزينة </v>
          </cell>
        </row>
        <row r="719">
          <cell r="A719">
            <v>88</v>
          </cell>
          <cell r="B719">
            <v>46110</v>
          </cell>
          <cell r="C719">
            <v>20</v>
          </cell>
          <cell r="D719" t="str">
            <v xml:space="preserve">الخزينة </v>
          </cell>
        </row>
        <row r="720">
          <cell r="A720">
            <v>68</v>
          </cell>
          <cell r="B720">
            <v>46110</v>
          </cell>
          <cell r="C720">
            <v>20</v>
          </cell>
          <cell r="D720" t="str">
            <v xml:space="preserve">الخزينة </v>
          </cell>
        </row>
        <row r="721">
          <cell r="A721">
            <v>54</v>
          </cell>
          <cell r="B721">
            <v>46110</v>
          </cell>
          <cell r="C721">
            <v>20</v>
          </cell>
          <cell r="D721" t="str">
            <v xml:space="preserve">الخزينة </v>
          </cell>
        </row>
        <row r="722">
          <cell r="A722">
            <v>91</v>
          </cell>
          <cell r="B722">
            <v>46109</v>
          </cell>
          <cell r="C722">
            <v>20</v>
          </cell>
          <cell r="D722" t="str">
            <v xml:space="preserve">الخزينة </v>
          </cell>
        </row>
        <row r="723">
          <cell r="A723">
            <v>90</v>
          </cell>
          <cell r="B723">
            <v>46109</v>
          </cell>
          <cell r="C723">
            <v>20</v>
          </cell>
          <cell r="D723" t="str">
            <v xml:space="preserve">الخزينة </v>
          </cell>
        </row>
        <row r="724">
          <cell r="A724">
            <v>90</v>
          </cell>
          <cell r="B724">
            <v>46109</v>
          </cell>
          <cell r="C724">
            <v>20</v>
          </cell>
          <cell r="D724" t="str">
            <v xml:space="preserve">الخزينة </v>
          </cell>
        </row>
        <row r="725">
          <cell r="A725">
            <v>87</v>
          </cell>
          <cell r="B725">
            <v>46109</v>
          </cell>
          <cell r="C725">
            <v>20</v>
          </cell>
          <cell r="D725" t="str">
            <v xml:space="preserve">الخزينة </v>
          </cell>
        </row>
        <row r="726">
          <cell r="A726">
            <v>87</v>
          </cell>
          <cell r="B726">
            <v>46109</v>
          </cell>
          <cell r="C726">
            <v>20</v>
          </cell>
          <cell r="D726" t="str">
            <v xml:space="preserve">الخزينة </v>
          </cell>
        </row>
        <row r="727">
          <cell r="A727">
            <v>79</v>
          </cell>
          <cell r="B727">
            <v>46109</v>
          </cell>
          <cell r="C727">
            <v>20</v>
          </cell>
          <cell r="D727" t="str">
            <v xml:space="preserve">الخزينة </v>
          </cell>
        </row>
        <row r="728">
          <cell r="A728">
            <v>76</v>
          </cell>
          <cell r="B728">
            <v>46109</v>
          </cell>
          <cell r="C728">
            <v>20</v>
          </cell>
          <cell r="D728" t="str">
            <v xml:space="preserve">الخزينة </v>
          </cell>
        </row>
        <row r="729">
          <cell r="A729">
            <v>76</v>
          </cell>
          <cell r="B729">
            <v>46109</v>
          </cell>
          <cell r="C729">
            <v>20</v>
          </cell>
          <cell r="D729" t="str">
            <v xml:space="preserve">الخزينة </v>
          </cell>
        </row>
        <row r="730">
          <cell r="A730">
            <v>75</v>
          </cell>
          <cell r="B730">
            <v>46109</v>
          </cell>
          <cell r="C730">
            <v>20</v>
          </cell>
          <cell r="D730" t="str">
            <v xml:space="preserve">الخزينة </v>
          </cell>
        </row>
        <row r="731">
          <cell r="A731">
            <v>75</v>
          </cell>
          <cell r="B731">
            <v>46109</v>
          </cell>
          <cell r="C731">
            <v>20</v>
          </cell>
          <cell r="D731" t="str">
            <v xml:space="preserve">الخزينة </v>
          </cell>
        </row>
        <row r="732">
          <cell r="A732">
            <v>70</v>
          </cell>
          <cell r="B732">
            <v>46109</v>
          </cell>
          <cell r="C732">
            <v>20</v>
          </cell>
          <cell r="D732" t="str">
            <v xml:space="preserve">الخزينة </v>
          </cell>
        </row>
        <row r="733">
          <cell r="A733">
            <v>67</v>
          </cell>
          <cell r="B733">
            <v>46109</v>
          </cell>
          <cell r="C733">
            <v>20</v>
          </cell>
          <cell r="D733" t="str">
            <v xml:space="preserve">الخزينة </v>
          </cell>
        </row>
        <row r="734">
          <cell r="A734">
            <v>67</v>
          </cell>
          <cell r="B734">
            <v>46109</v>
          </cell>
          <cell r="C734">
            <v>20</v>
          </cell>
          <cell r="D734" t="str">
            <v xml:space="preserve">الخزينة </v>
          </cell>
        </row>
        <row r="735">
          <cell r="A735">
            <v>66</v>
          </cell>
          <cell r="B735">
            <v>46109</v>
          </cell>
          <cell r="C735">
            <v>20</v>
          </cell>
          <cell r="D735" t="str">
            <v xml:space="preserve">الخزينة </v>
          </cell>
        </row>
        <row r="736">
          <cell r="A736">
            <v>53</v>
          </cell>
          <cell r="B736">
            <v>46109</v>
          </cell>
          <cell r="C736">
            <v>20</v>
          </cell>
          <cell r="D736" t="str">
            <v xml:space="preserve">الخزينة </v>
          </cell>
        </row>
        <row r="737">
          <cell r="A737">
            <v>66</v>
          </cell>
          <cell r="B737">
            <v>46109</v>
          </cell>
          <cell r="C737">
            <v>20</v>
          </cell>
          <cell r="D737" t="str">
            <v xml:space="preserve">الخزينة </v>
          </cell>
        </row>
        <row r="738">
          <cell r="A738">
            <v>90</v>
          </cell>
          <cell r="B738">
            <v>46099</v>
          </cell>
          <cell r="C738">
            <v>20</v>
          </cell>
          <cell r="D738" t="str">
            <v xml:space="preserve">الخزينة </v>
          </cell>
        </row>
        <row r="739">
          <cell r="A739">
            <v>3</v>
          </cell>
          <cell r="B739">
            <v>46099</v>
          </cell>
          <cell r="C739">
            <v>20</v>
          </cell>
          <cell r="D739" t="str">
            <v xml:space="preserve">الخزينة </v>
          </cell>
        </row>
        <row r="740">
          <cell r="A740">
            <v>5</v>
          </cell>
          <cell r="B740">
            <v>46099</v>
          </cell>
          <cell r="C740">
            <v>20</v>
          </cell>
          <cell r="D740" t="str">
            <v xml:space="preserve">الخزينة </v>
          </cell>
        </row>
        <row r="741">
          <cell r="A741">
            <v>11</v>
          </cell>
          <cell r="B741">
            <v>46099</v>
          </cell>
          <cell r="C741">
            <v>20</v>
          </cell>
          <cell r="D741" t="str">
            <v xml:space="preserve">الخزينة </v>
          </cell>
        </row>
        <row r="742">
          <cell r="A742">
            <v>88</v>
          </cell>
          <cell r="B742">
            <v>46099</v>
          </cell>
          <cell r="C742">
            <v>20</v>
          </cell>
          <cell r="D742" t="str">
            <v xml:space="preserve">الخزينة </v>
          </cell>
        </row>
        <row r="743">
          <cell r="A743">
            <v>17</v>
          </cell>
          <cell r="B743">
            <v>46099</v>
          </cell>
          <cell r="C743">
            <v>20</v>
          </cell>
          <cell r="D743" t="str">
            <v xml:space="preserve">الخزينة </v>
          </cell>
        </row>
        <row r="744">
          <cell r="A744">
            <v>17</v>
          </cell>
          <cell r="B744">
            <v>46099</v>
          </cell>
          <cell r="C744">
            <v>20</v>
          </cell>
          <cell r="D744" t="str">
            <v xml:space="preserve">الخزينة </v>
          </cell>
        </row>
        <row r="745">
          <cell r="A745">
            <v>22</v>
          </cell>
          <cell r="B745">
            <v>46099</v>
          </cell>
          <cell r="C745">
            <v>20</v>
          </cell>
          <cell r="D745" t="str">
            <v xml:space="preserve">الخزينة </v>
          </cell>
        </row>
        <row r="746">
          <cell r="A746">
            <v>86</v>
          </cell>
          <cell r="B746">
            <v>46099</v>
          </cell>
          <cell r="C746">
            <v>20</v>
          </cell>
          <cell r="D746" t="str">
            <v xml:space="preserve">الخزينة </v>
          </cell>
        </row>
        <row r="747">
          <cell r="A747">
            <v>27</v>
          </cell>
          <cell r="B747">
            <v>46099</v>
          </cell>
          <cell r="C747">
            <v>20</v>
          </cell>
          <cell r="D747" t="str">
            <v xml:space="preserve">الخزينة </v>
          </cell>
        </row>
        <row r="748">
          <cell r="A748">
            <v>27</v>
          </cell>
          <cell r="B748">
            <v>46099</v>
          </cell>
          <cell r="C748">
            <v>20</v>
          </cell>
          <cell r="D748" t="str">
            <v xml:space="preserve">الخزينة </v>
          </cell>
        </row>
        <row r="749">
          <cell r="A749">
            <v>27</v>
          </cell>
          <cell r="B749">
            <v>46099</v>
          </cell>
          <cell r="C749">
            <v>20</v>
          </cell>
          <cell r="D749" t="str">
            <v xml:space="preserve">الخزينة </v>
          </cell>
        </row>
        <row r="750">
          <cell r="A750">
            <v>27</v>
          </cell>
          <cell r="B750">
            <v>46099</v>
          </cell>
          <cell r="C750">
            <v>20</v>
          </cell>
          <cell r="D750" t="str">
            <v xml:space="preserve">الخزينة </v>
          </cell>
        </row>
        <row r="751">
          <cell r="A751">
            <v>32</v>
          </cell>
          <cell r="B751">
            <v>46099</v>
          </cell>
          <cell r="C751">
            <v>20</v>
          </cell>
          <cell r="D751" t="str">
            <v xml:space="preserve">الخزينة </v>
          </cell>
        </row>
        <row r="752">
          <cell r="A752">
            <v>32</v>
          </cell>
          <cell r="B752">
            <v>46099</v>
          </cell>
          <cell r="C752">
            <v>20</v>
          </cell>
          <cell r="D752" t="str">
            <v xml:space="preserve">الخزينة </v>
          </cell>
        </row>
        <row r="753">
          <cell r="A753">
            <v>33</v>
          </cell>
          <cell r="B753">
            <v>46099</v>
          </cell>
          <cell r="C753">
            <v>20</v>
          </cell>
          <cell r="D753" t="str">
            <v xml:space="preserve">الخزينة </v>
          </cell>
        </row>
        <row r="754">
          <cell r="A754">
            <v>38</v>
          </cell>
          <cell r="B754">
            <v>46099</v>
          </cell>
          <cell r="C754">
            <v>20</v>
          </cell>
          <cell r="D754" t="str">
            <v xml:space="preserve">الخزينة </v>
          </cell>
        </row>
        <row r="755">
          <cell r="A755">
            <v>40</v>
          </cell>
          <cell r="B755">
            <v>46099</v>
          </cell>
          <cell r="C755">
            <v>20</v>
          </cell>
          <cell r="D755" t="str">
            <v xml:space="preserve">الخزينة </v>
          </cell>
        </row>
        <row r="756">
          <cell r="A756">
            <v>40</v>
          </cell>
          <cell r="B756">
            <v>46099</v>
          </cell>
          <cell r="C756">
            <v>20</v>
          </cell>
          <cell r="D756" t="str">
            <v xml:space="preserve">الخزينة </v>
          </cell>
        </row>
        <row r="757">
          <cell r="A757">
            <v>40</v>
          </cell>
          <cell r="B757">
            <v>46099</v>
          </cell>
          <cell r="C757">
            <v>20</v>
          </cell>
          <cell r="D757" t="str">
            <v xml:space="preserve">الخزينة </v>
          </cell>
        </row>
        <row r="758">
          <cell r="A758">
            <v>51</v>
          </cell>
          <cell r="B758">
            <v>46099</v>
          </cell>
          <cell r="C758">
            <v>20</v>
          </cell>
          <cell r="D758" t="str">
            <v xml:space="preserve">الخزينة </v>
          </cell>
        </row>
        <row r="759">
          <cell r="A759">
            <v>51</v>
          </cell>
          <cell r="B759">
            <v>46099</v>
          </cell>
          <cell r="C759">
            <v>20</v>
          </cell>
          <cell r="D759" t="str">
            <v xml:space="preserve">الخزينة </v>
          </cell>
        </row>
        <row r="760">
          <cell r="A760">
            <v>53</v>
          </cell>
          <cell r="B760">
            <v>46099</v>
          </cell>
          <cell r="C760">
            <v>20</v>
          </cell>
          <cell r="D760" t="str">
            <v xml:space="preserve">الخزينة </v>
          </cell>
        </row>
        <row r="761">
          <cell r="A761">
            <v>54</v>
          </cell>
          <cell r="B761">
            <v>46099</v>
          </cell>
          <cell r="C761">
            <v>20</v>
          </cell>
          <cell r="D761" t="str">
            <v xml:space="preserve">الخزينة </v>
          </cell>
        </row>
        <row r="762">
          <cell r="A762">
            <v>54</v>
          </cell>
          <cell r="B762">
            <v>46099</v>
          </cell>
          <cell r="C762">
            <v>20</v>
          </cell>
          <cell r="D762" t="str">
            <v xml:space="preserve">الخزينة </v>
          </cell>
        </row>
        <row r="763">
          <cell r="A763">
            <v>54</v>
          </cell>
          <cell r="B763">
            <v>46099</v>
          </cell>
          <cell r="C763">
            <v>20</v>
          </cell>
          <cell r="D763" t="str">
            <v xml:space="preserve">الخزينة </v>
          </cell>
        </row>
        <row r="764">
          <cell r="A764">
            <v>64</v>
          </cell>
          <cell r="B764">
            <v>46099</v>
          </cell>
          <cell r="C764">
            <v>20</v>
          </cell>
          <cell r="D764" t="str">
            <v xml:space="preserve">الخزينة </v>
          </cell>
        </row>
        <row r="765">
          <cell r="A765">
            <v>64</v>
          </cell>
          <cell r="B765">
            <v>46099</v>
          </cell>
          <cell r="C765">
            <v>20</v>
          </cell>
          <cell r="D765" t="str">
            <v xml:space="preserve">الخزينة </v>
          </cell>
        </row>
        <row r="766">
          <cell r="A766">
            <v>63</v>
          </cell>
          <cell r="B766">
            <v>46099</v>
          </cell>
          <cell r="C766">
            <v>20</v>
          </cell>
          <cell r="D766" t="str">
            <v xml:space="preserve">الخزينة </v>
          </cell>
        </row>
        <row r="767">
          <cell r="A767">
            <v>59</v>
          </cell>
          <cell r="B767">
            <v>46099</v>
          </cell>
          <cell r="C767">
            <v>20</v>
          </cell>
          <cell r="D767" t="str">
            <v xml:space="preserve">الخزينة </v>
          </cell>
        </row>
        <row r="768">
          <cell r="A768">
            <v>59</v>
          </cell>
          <cell r="B768">
            <v>46099</v>
          </cell>
          <cell r="C768">
            <v>20</v>
          </cell>
          <cell r="D768" t="str">
            <v xml:space="preserve">الخزينة </v>
          </cell>
        </row>
        <row r="769">
          <cell r="A769">
            <v>90</v>
          </cell>
          <cell r="B769">
            <v>46098</v>
          </cell>
          <cell r="C769">
            <v>20</v>
          </cell>
          <cell r="D769" t="str">
            <v xml:space="preserve">الخزينة </v>
          </cell>
        </row>
        <row r="770">
          <cell r="A770">
            <v>2</v>
          </cell>
          <cell r="B770">
            <v>46098</v>
          </cell>
          <cell r="C770">
            <v>20</v>
          </cell>
          <cell r="D770" t="str">
            <v xml:space="preserve">الخزينة </v>
          </cell>
        </row>
        <row r="771">
          <cell r="A771">
            <v>21</v>
          </cell>
          <cell r="B771">
            <v>46098</v>
          </cell>
          <cell r="C771">
            <v>20</v>
          </cell>
          <cell r="D771" t="str">
            <v xml:space="preserve">الخزينة </v>
          </cell>
        </row>
        <row r="772">
          <cell r="A772">
            <v>53</v>
          </cell>
          <cell r="B772">
            <v>46098</v>
          </cell>
          <cell r="C772">
            <v>20</v>
          </cell>
          <cell r="D772" t="str">
            <v xml:space="preserve">الخزينة </v>
          </cell>
        </row>
        <row r="773">
          <cell r="A773">
            <v>53</v>
          </cell>
          <cell r="B773">
            <v>46098</v>
          </cell>
          <cell r="C773">
            <v>20</v>
          </cell>
          <cell r="D773" t="str">
            <v xml:space="preserve">الخزينة </v>
          </cell>
        </row>
        <row r="774">
          <cell r="A774">
            <v>54</v>
          </cell>
          <cell r="B774">
            <v>46098</v>
          </cell>
          <cell r="C774">
            <v>20</v>
          </cell>
          <cell r="D774" t="str">
            <v xml:space="preserve">الخزينة </v>
          </cell>
        </row>
        <row r="775">
          <cell r="A775">
            <v>54</v>
          </cell>
          <cell r="B775">
            <v>46098</v>
          </cell>
          <cell r="C775">
            <v>20</v>
          </cell>
          <cell r="D775" t="str">
            <v xml:space="preserve">الخزينة </v>
          </cell>
        </row>
        <row r="776">
          <cell r="A776">
            <v>59</v>
          </cell>
          <cell r="B776">
            <v>46098</v>
          </cell>
          <cell r="C776">
            <v>20</v>
          </cell>
          <cell r="D776" t="str">
            <v xml:space="preserve">الخزينة </v>
          </cell>
        </row>
        <row r="777">
          <cell r="A777">
            <v>94</v>
          </cell>
          <cell r="B777">
            <v>46097</v>
          </cell>
          <cell r="C777">
            <v>20</v>
          </cell>
          <cell r="D777" t="str">
            <v xml:space="preserve">الخزينة </v>
          </cell>
        </row>
        <row r="778">
          <cell r="A778">
            <v>10</v>
          </cell>
          <cell r="B778">
            <v>46097</v>
          </cell>
          <cell r="C778">
            <v>20</v>
          </cell>
          <cell r="D778" t="str">
            <v xml:space="preserve">الخزينة </v>
          </cell>
        </row>
        <row r="779">
          <cell r="A779">
            <v>70</v>
          </cell>
          <cell r="B779">
            <v>46097</v>
          </cell>
          <cell r="C779">
            <v>20</v>
          </cell>
          <cell r="D779" t="str">
            <v xml:space="preserve">الخزينة </v>
          </cell>
        </row>
        <row r="780">
          <cell r="A780">
            <v>70</v>
          </cell>
          <cell r="B780">
            <v>46097</v>
          </cell>
          <cell r="C780">
            <v>20</v>
          </cell>
          <cell r="D780" t="str">
            <v xml:space="preserve">الخزينة </v>
          </cell>
        </row>
        <row r="781">
          <cell r="A781">
            <v>37</v>
          </cell>
          <cell r="B781">
            <v>46097</v>
          </cell>
          <cell r="C781">
            <v>20</v>
          </cell>
          <cell r="D781" t="str">
            <v xml:space="preserve">الخزينة </v>
          </cell>
        </row>
        <row r="782">
          <cell r="A782">
            <v>37</v>
          </cell>
          <cell r="B782">
            <v>46097</v>
          </cell>
          <cell r="C782">
            <v>20</v>
          </cell>
          <cell r="D782" t="str">
            <v xml:space="preserve">الخزينة </v>
          </cell>
        </row>
        <row r="783">
          <cell r="A783">
            <v>37</v>
          </cell>
          <cell r="B783">
            <v>46097</v>
          </cell>
          <cell r="C783">
            <v>20</v>
          </cell>
          <cell r="D783" t="str">
            <v xml:space="preserve">الخزينة </v>
          </cell>
        </row>
        <row r="784">
          <cell r="A784">
            <v>37</v>
          </cell>
          <cell r="B784">
            <v>46097</v>
          </cell>
          <cell r="C784">
            <v>20</v>
          </cell>
          <cell r="D784" t="str">
            <v xml:space="preserve">الخزينة </v>
          </cell>
        </row>
        <row r="785">
          <cell r="A785">
            <v>37</v>
          </cell>
          <cell r="B785">
            <v>46097</v>
          </cell>
          <cell r="C785">
            <v>20</v>
          </cell>
          <cell r="D785" t="str">
            <v xml:space="preserve">الخزينة </v>
          </cell>
        </row>
        <row r="786">
          <cell r="A786">
            <v>37</v>
          </cell>
          <cell r="B786">
            <v>46097</v>
          </cell>
          <cell r="C786">
            <v>20</v>
          </cell>
          <cell r="D786" t="str">
            <v xml:space="preserve">الخزينة </v>
          </cell>
        </row>
        <row r="787">
          <cell r="A787">
            <v>37</v>
          </cell>
          <cell r="B787">
            <v>46097</v>
          </cell>
          <cell r="C787">
            <v>20</v>
          </cell>
          <cell r="D787" t="str">
            <v xml:space="preserve">الخزينة </v>
          </cell>
        </row>
        <row r="788">
          <cell r="A788">
            <v>46</v>
          </cell>
          <cell r="B788">
            <v>46097</v>
          </cell>
          <cell r="C788">
            <v>20</v>
          </cell>
          <cell r="D788" t="str">
            <v xml:space="preserve">الخزينة </v>
          </cell>
        </row>
        <row r="789">
          <cell r="A789">
            <v>69</v>
          </cell>
          <cell r="B789">
            <v>46097</v>
          </cell>
          <cell r="C789">
            <v>20</v>
          </cell>
          <cell r="D789" t="str">
            <v xml:space="preserve">الخزينة </v>
          </cell>
        </row>
        <row r="790">
          <cell r="A790">
            <v>69</v>
          </cell>
          <cell r="B790">
            <v>46097</v>
          </cell>
          <cell r="C790">
            <v>20</v>
          </cell>
          <cell r="D790" t="str">
            <v xml:space="preserve">الخزينة </v>
          </cell>
        </row>
        <row r="791">
          <cell r="A791">
            <v>64</v>
          </cell>
          <cell r="B791">
            <v>46097</v>
          </cell>
          <cell r="C791">
            <v>20</v>
          </cell>
          <cell r="D791" t="str">
            <v xml:space="preserve">الخزينة </v>
          </cell>
        </row>
        <row r="792">
          <cell r="A792">
            <v>55</v>
          </cell>
          <cell r="B792">
            <v>46097</v>
          </cell>
          <cell r="C792">
            <v>20</v>
          </cell>
          <cell r="D792" t="str">
            <v xml:space="preserve">الخزينة </v>
          </cell>
        </row>
        <row r="793">
          <cell r="A793">
            <v>63</v>
          </cell>
          <cell r="B793">
            <v>46097</v>
          </cell>
          <cell r="C793">
            <v>20</v>
          </cell>
          <cell r="D793" t="str">
            <v xml:space="preserve">الخزينة </v>
          </cell>
        </row>
        <row r="794">
          <cell r="A794">
            <v>59</v>
          </cell>
          <cell r="B794">
            <v>46097</v>
          </cell>
          <cell r="C794">
            <v>20</v>
          </cell>
          <cell r="D794" t="str">
            <v xml:space="preserve">الخزينة </v>
          </cell>
        </row>
        <row r="795">
          <cell r="A795">
            <v>60</v>
          </cell>
          <cell r="B795">
            <v>46097</v>
          </cell>
          <cell r="C795">
            <v>20</v>
          </cell>
          <cell r="D795" t="str">
            <v xml:space="preserve">الخزينة </v>
          </cell>
        </row>
        <row r="796">
          <cell r="A796">
            <v>60</v>
          </cell>
          <cell r="B796">
            <v>46097</v>
          </cell>
          <cell r="C796">
            <v>20</v>
          </cell>
          <cell r="D796" t="str">
            <v xml:space="preserve">الخزينة </v>
          </cell>
        </row>
        <row r="797">
          <cell r="A797">
            <v>2</v>
          </cell>
          <cell r="B797">
            <v>46096</v>
          </cell>
          <cell r="C797">
            <v>20</v>
          </cell>
          <cell r="D797" t="str">
            <v xml:space="preserve">الخزينة </v>
          </cell>
        </row>
        <row r="798">
          <cell r="A798">
            <v>3</v>
          </cell>
          <cell r="B798">
            <v>46096</v>
          </cell>
          <cell r="C798">
            <v>20</v>
          </cell>
          <cell r="D798" t="str">
            <v xml:space="preserve">الخزينة </v>
          </cell>
        </row>
        <row r="799">
          <cell r="A799">
            <v>6</v>
          </cell>
          <cell r="B799">
            <v>46096</v>
          </cell>
          <cell r="C799">
            <v>20</v>
          </cell>
          <cell r="D799" t="str">
            <v xml:space="preserve">الخزينة </v>
          </cell>
        </row>
        <row r="800">
          <cell r="A800">
            <v>88</v>
          </cell>
          <cell r="B800">
            <v>46096</v>
          </cell>
          <cell r="C800">
            <v>20</v>
          </cell>
          <cell r="D800" t="str">
            <v xml:space="preserve">الخزينة </v>
          </cell>
        </row>
        <row r="801">
          <cell r="A801">
            <v>33</v>
          </cell>
          <cell r="B801">
            <v>46096</v>
          </cell>
          <cell r="C801">
            <v>20</v>
          </cell>
          <cell r="D801" t="str">
            <v xml:space="preserve">الخزينة </v>
          </cell>
        </row>
        <row r="802">
          <cell r="A802">
            <v>69</v>
          </cell>
          <cell r="B802">
            <v>46096</v>
          </cell>
          <cell r="C802">
            <v>20</v>
          </cell>
          <cell r="D802" t="str">
            <v xml:space="preserve">الخزينة </v>
          </cell>
        </row>
        <row r="803">
          <cell r="A803">
            <v>67</v>
          </cell>
          <cell r="B803">
            <v>46096</v>
          </cell>
          <cell r="C803">
            <v>20</v>
          </cell>
          <cell r="D803" t="str">
            <v xml:space="preserve">الخزينة </v>
          </cell>
        </row>
        <row r="804">
          <cell r="A804">
            <v>67</v>
          </cell>
          <cell r="B804">
            <v>46096</v>
          </cell>
          <cell r="C804">
            <v>20</v>
          </cell>
          <cell r="D804" t="str">
            <v xml:space="preserve">الخزينة </v>
          </cell>
        </row>
        <row r="805">
          <cell r="A805">
            <v>67</v>
          </cell>
          <cell r="B805">
            <v>46096</v>
          </cell>
          <cell r="C805">
            <v>20</v>
          </cell>
          <cell r="D805" t="str">
            <v xml:space="preserve">الخزينة </v>
          </cell>
        </row>
        <row r="806">
          <cell r="A806">
            <v>67</v>
          </cell>
          <cell r="B806">
            <v>46096</v>
          </cell>
          <cell r="C806">
            <v>20</v>
          </cell>
          <cell r="D806" t="str">
            <v xml:space="preserve">الخزينة </v>
          </cell>
        </row>
        <row r="807">
          <cell r="A807">
            <v>66</v>
          </cell>
          <cell r="B807">
            <v>46096</v>
          </cell>
          <cell r="C807">
            <v>20</v>
          </cell>
          <cell r="D807" t="str">
            <v xml:space="preserve">الخزينة </v>
          </cell>
        </row>
        <row r="808">
          <cell r="A808">
            <v>66</v>
          </cell>
          <cell r="B808">
            <v>46096</v>
          </cell>
          <cell r="C808">
            <v>20</v>
          </cell>
          <cell r="D808" t="str">
            <v xml:space="preserve">الخزينة </v>
          </cell>
        </row>
        <row r="809">
          <cell r="A809">
            <v>66</v>
          </cell>
          <cell r="B809">
            <v>46096</v>
          </cell>
          <cell r="C809">
            <v>20</v>
          </cell>
          <cell r="D809" t="str">
            <v xml:space="preserve">الخزينة </v>
          </cell>
        </row>
        <row r="810">
          <cell r="A810">
            <v>66</v>
          </cell>
          <cell r="B810">
            <v>46096</v>
          </cell>
          <cell r="C810">
            <v>20</v>
          </cell>
          <cell r="D810" t="str">
            <v xml:space="preserve">الخزينة </v>
          </cell>
        </row>
        <row r="811">
          <cell r="A811">
            <v>54</v>
          </cell>
          <cell r="B811">
            <v>46096</v>
          </cell>
          <cell r="C811">
            <v>20</v>
          </cell>
          <cell r="D811" t="str">
            <v xml:space="preserve">الخزينة </v>
          </cell>
        </row>
        <row r="812">
          <cell r="A812">
            <v>54</v>
          </cell>
          <cell r="B812">
            <v>46096</v>
          </cell>
          <cell r="C812">
            <v>20</v>
          </cell>
          <cell r="D812" t="str">
            <v xml:space="preserve">الخزينة </v>
          </cell>
        </row>
        <row r="813">
          <cell r="A813">
            <v>59</v>
          </cell>
          <cell r="B813">
            <v>46096</v>
          </cell>
          <cell r="C813">
            <v>20</v>
          </cell>
          <cell r="D813" t="str">
            <v xml:space="preserve">الخزينة </v>
          </cell>
        </row>
        <row r="814">
          <cell r="A814">
            <v>59</v>
          </cell>
          <cell r="B814">
            <v>46096</v>
          </cell>
          <cell r="C814">
            <v>20</v>
          </cell>
          <cell r="D814" t="str">
            <v xml:space="preserve">الخزينة </v>
          </cell>
        </row>
        <row r="815">
          <cell r="A815">
            <v>5</v>
          </cell>
          <cell r="B815">
            <v>46093</v>
          </cell>
          <cell r="C815">
            <v>20</v>
          </cell>
          <cell r="D815" t="str">
            <v xml:space="preserve">الخزينة </v>
          </cell>
        </row>
        <row r="816">
          <cell r="A816">
            <v>5</v>
          </cell>
          <cell r="B816">
            <v>46093</v>
          </cell>
          <cell r="C816">
            <v>20</v>
          </cell>
          <cell r="D816" t="str">
            <v xml:space="preserve">الخزينة </v>
          </cell>
        </row>
        <row r="817">
          <cell r="A817">
            <v>7</v>
          </cell>
          <cell r="B817">
            <v>46093</v>
          </cell>
          <cell r="C817">
            <v>20</v>
          </cell>
          <cell r="D817" t="str">
            <v xml:space="preserve">الخزينة </v>
          </cell>
        </row>
        <row r="818">
          <cell r="A818">
            <v>11</v>
          </cell>
          <cell r="B818">
            <v>46093</v>
          </cell>
          <cell r="C818">
            <v>20</v>
          </cell>
          <cell r="D818" t="str">
            <v xml:space="preserve">الخزينة </v>
          </cell>
        </row>
        <row r="819">
          <cell r="A819">
            <v>13</v>
          </cell>
          <cell r="B819">
            <v>46093</v>
          </cell>
          <cell r="C819">
            <v>20</v>
          </cell>
          <cell r="D819" t="str">
            <v xml:space="preserve">الخزينة </v>
          </cell>
        </row>
        <row r="820">
          <cell r="A820">
            <v>16</v>
          </cell>
          <cell r="B820">
            <v>46093</v>
          </cell>
          <cell r="C820">
            <v>20</v>
          </cell>
          <cell r="D820" t="str">
            <v xml:space="preserve">الخزينة </v>
          </cell>
        </row>
        <row r="821">
          <cell r="A821">
            <v>17</v>
          </cell>
          <cell r="B821">
            <v>46093</v>
          </cell>
          <cell r="C821">
            <v>20</v>
          </cell>
          <cell r="D821" t="str">
            <v xml:space="preserve">الخزينة </v>
          </cell>
        </row>
        <row r="822">
          <cell r="A822">
            <v>81</v>
          </cell>
          <cell r="B822">
            <v>46093</v>
          </cell>
          <cell r="C822">
            <v>20</v>
          </cell>
          <cell r="D822" t="str">
            <v xml:space="preserve">الخزينة </v>
          </cell>
        </row>
        <row r="823">
          <cell r="A823">
            <v>27</v>
          </cell>
          <cell r="B823">
            <v>46093</v>
          </cell>
          <cell r="C823">
            <v>20</v>
          </cell>
          <cell r="D823" t="str">
            <v xml:space="preserve">الخزينة </v>
          </cell>
        </row>
        <row r="824">
          <cell r="A824">
            <v>32</v>
          </cell>
          <cell r="B824">
            <v>46093</v>
          </cell>
          <cell r="C824">
            <v>20</v>
          </cell>
          <cell r="D824" t="str">
            <v xml:space="preserve">الخزينة </v>
          </cell>
        </row>
        <row r="825">
          <cell r="A825">
            <v>70</v>
          </cell>
          <cell r="B825">
            <v>46093</v>
          </cell>
          <cell r="C825">
            <v>20</v>
          </cell>
          <cell r="D825" t="str">
            <v xml:space="preserve">الخزينة </v>
          </cell>
        </row>
        <row r="826">
          <cell r="A826">
            <v>70</v>
          </cell>
          <cell r="B826">
            <v>46093</v>
          </cell>
          <cell r="C826">
            <v>20</v>
          </cell>
          <cell r="D826" t="str">
            <v xml:space="preserve">الخزينة </v>
          </cell>
        </row>
        <row r="827">
          <cell r="A827">
            <v>70</v>
          </cell>
          <cell r="B827">
            <v>46093</v>
          </cell>
          <cell r="C827">
            <v>20</v>
          </cell>
          <cell r="D827" t="str">
            <v xml:space="preserve">الخزينة </v>
          </cell>
        </row>
        <row r="828">
          <cell r="A828">
            <v>70</v>
          </cell>
          <cell r="B828">
            <v>46093</v>
          </cell>
          <cell r="C828">
            <v>20</v>
          </cell>
          <cell r="D828" t="str">
            <v xml:space="preserve">الخزينة </v>
          </cell>
        </row>
        <row r="829">
          <cell r="A829">
            <v>70</v>
          </cell>
          <cell r="B829">
            <v>46093</v>
          </cell>
          <cell r="C829">
            <v>20</v>
          </cell>
          <cell r="D829" t="str">
            <v xml:space="preserve">الخزينة </v>
          </cell>
        </row>
        <row r="830">
          <cell r="A830">
            <v>70</v>
          </cell>
          <cell r="B830">
            <v>46093</v>
          </cell>
          <cell r="C830">
            <v>20</v>
          </cell>
          <cell r="D830" t="str">
            <v xml:space="preserve">الخزينة </v>
          </cell>
        </row>
        <row r="831">
          <cell r="A831">
            <v>70</v>
          </cell>
          <cell r="B831">
            <v>46093</v>
          </cell>
          <cell r="C831">
            <v>20</v>
          </cell>
          <cell r="D831" t="str">
            <v xml:space="preserve">الخزينة </v>
          </cell>
        </row>
        <row r="832">
          <cell r="A832">
            <v>38</v>
          </cell>
          <cell r="B832">
            <v>46093</v>
          </cell>
          <cell r="C832">
            <v>20</v>
          </cell>
          <cell r="D832" t="str">
            <v xml:space="preserve">الخزينة </v>
          </cell>
        </row>
        <row r="833">
          <cell r="A833">
            <v>38</v>
          </cell>
          <cell r="B833">
            <v>46093</v>
          </cell>
          <cell r="C833">
            <v>20</v>
          </cell>
          <cell r="D833" t="str">
            <v xml:space="preserve">الخزينة </v>
          </cell>
        </row>
        <row r="834">
          <cell r="A834">
            <v>70</v>
          </cell>
          <cell r="B834">
            <v>46093</v>
          </cell>
          <cell r="C834">
            <v>20</v>
          </cell>
          <cell r="D834" t="str">
            <v xml:space="preserve">الخزينة </v>
          </cell>
        </row>
        <row r="835">
          <cell r="A835">
            <v>70</v>
          </cell>
          <cell r="B835">
            <v>46093</v>
          </cell>
          <cell r="C835">
            <v>20</v>
          </cell>
          <cell r="D835" t="str">
            <v xml:space="preserve">الخزينة </v>
          </cell>
        </row>
        <row r="836">
          <cell r="A836">
            <v>40</v>
          </cell>
          <cell r="B836">
            <v>46093</v>
          </cell>
          <cell r="C836">
            <v>20</v>
          </cell>
          <cell r="D836" t="str">
            <v xml:space="preserve">الخزينة </v>
          </cell>
        </row>
        <row r="837">
          <cell r="A837">
            <v>70</v>
          </cell>
          <cell r="B837">
            <v>46093</v>
          </cell>
          <cell r="C837">
            <v>20</v>
          </cell>
          <cell r="D837" t="str">
            <v xml:space="preserve">الخزينة </v>
          </cell>
        </row>
        <row r="838">
          <cell r="A838">
            <v>42</v>
          </cell>
          <cell r="B838">
            <v>46093</v>
          </cell>
          <cell r="C838">
            <v>20</v>
          </cell>
          <cell r="D838" t="str">
            <v xml:space="preserve">الخزينة </v>
          </cell>
        </row>
        <row r="839">
          <cell r="A839">
            <v>67</v>
          </cell>
          <cell r="B839">
            <v>46093</v>
          </cell>
          <cell r="C839">
            <v>20</v>
          </cell>
          <cell r="D839" t="str">
            <v xml:space="preserve">الخزينة </v>
          </cell>
        </row>
        <row r="840">
          <cell r="A840">
            <v>67</v>
          </cell>
          <cell r="B840">
            <v>46093</v>
          </cell>
          <cell r="C840">
            <v>20</v>
          </cell>
          <cell r="D840" t="str">
            <v xml:space="preserve">الخزينة </v>
          </cell>
        </row>
        <row r="841">
          <cell r="A841">
            <v>67</v>
          </cell>
          <cell r="B841">
            <v>46093</v>
          </cell>
          <cell r="C841">
            <v>20</v>
          </cell>
          <cell r="D841" t="str">
            <v xml:space="preserve">الخزينة </v>
          </cell>
        </row>
        <row r="842">
          <cell r="A842">
            <v>67</v>
          </cell>
          <cell r="B842">
            <v>46093</v>
          </cell>
          <cell r="C842">
            <v>20</v>
          </cell>
          <cell r="D842" t="str">
            <v xml:space="preserve">الخزينة </v>
          </cell>
        </row>
        <row r="843">
          <cell r="A843">
            <v>64</v>
          </cell>
          <cell r="B843">
            <v>46093</v>
          </cell>
          <cell r="C843">
            <v>20</v>
          </cell>
          <cell r="D843" t="str">
            <v xml:space="preserve">الخزينة </v>
          </cell>
        </row>
        <row r="844">
          <cell r="A844">
            <v>64</v>
          </cell>
          <cell r="B844">
            <v>46093</v>
          </cell>
          <cell r="C844">
            <v>20</v>
          </cell>
          <cell r="D844" t="str">
            <v xml:space="preserve">الخزينة </v>
          </cell>
        </row>
        <row r="845">
          <cell r="A845">
            <v>63</v>
          </cell>
          <cell r="B845">
            <v>46093</v>
          </cell>
          <cell r="C845">
            <v>20</v>
          </cell>
          <cell r="D845" t="str">
            <v xml:space="preserve">الخزينة </v>
          </cell>
        </row>
        <row r="846">
          <cell r="A846">
            <v>57</v>
          </cell>
          <cell r="B846">
            <v>46093</v>
          </cell>
          <cell r="C846">
            <v>20</v>
          </cell>
          <cell r="D846" t="str">
            <v xml:space="preserve">الخزينة </v>
          </cell>
        </row>
        <row r="847">
          <cell r="A847">
            <v>57</v>
          </cell>
          <cell r="B847">
            <v>46093</v>
          </cell>
          <cell r="C847">
            <v>20</v>
          </cell>
          <cell r="D847" t="str">
            <v xml:space="preserve">الخزينة </v>
          </cell>
        </row>
        <row r="848">
          <cell r="A848">
            <v>63</v>
          </cell>
          <cell r="B848">
            <v>46093</v>
          </cell>
          <cell r="C848">
            <v>20</v>
          </cell>
          <cell r="D848" t="str">
            <v xml:space="preserve">الخزينة </v>
          </cell>
        </row>
        <row r="849">
          <cell r="A849">
            <v>59</v>
          </cell>
          <cell r="B849">
            <v>46093</v>
          </cell>
          <cell r="C849">
            <v>20</v>
          </cell>
          <cell r="D849" t="str">
            <v xml:space="preserve">الخزينة </v>
          </cell>
        </row>
        <row r="850">
          <cell r="A850">
            <v>60</v>
          </cell>
          <cell r="B850">
            <v>46093</v>
          </cell>
          <cell r="C850">
            <v>20</v>
          </cell>
          <cell r="D850" t="str">
            <v xml:space="preserve">الخزينة </v>
          </cell>
        </row>
        <row r="851">
          <cell r="A851">
            <v>60</v>
          </cell>
          <cell r="B851">
            <v>46093</v>
          </cell>
          <cell r="C851">
            <v>20</v>
          </cell>
          <cell r="D851" t="str">
            <v xml:space="preserve">الخزينة </v>
          </cell>
        </row>
        <row r="852">
          <cell r="A852">
            <v>60</v>
          </cell>
          <cell r="B852">
            <v>46093</v>
          </cell>
          <cell r="C852">
            <v>20</v>
          </cell>
          <cell r="D852" t="str">
            <v xml:space="preserve">الخزينة </v>
          </cell>
        </row>
        <row r="853">
          <cell r="A853">
            <v>60</v>
          </cell>
          <cell r="B853">
            <v>46093</v>
          </cell>
          <cell r="C853">
            <v>20</v>
          </cell>
          <cell r="D853" t="str">
            <v xml:space="preserve">الخزينة </v>
          </cell>
        </row>
        <row r="854">
          <cell r="A854">
            <v>60</v>
          </cell>
          <cell r="B854">
            <v>46093</v>
          </cell>
          <cell r="C854">
            <v>20</v>
          </cell>
          <cell r="D854" t="str">
            <v xml:space="preserve">الخزينة </v>
          </cell>
        </row>
        <row r="855">
          <cell r="A855">
            <v>90</v>
          </cell>
          <cell r="B855">
            <v>46092</v>
          </cell>
          <cell r="C855">
            <v>20</v>
          </cell>
          <cell r="D855" t="str">
            <v xml:space="preserve">الخزينة </v>
          </cell>
        </row>
        <row r="856">
          <cell r="A856">
            <v>90</v>
          </cell>
          <cell r="B856">
            <v>46092</v>
          </cell>
          <cell r="C856">
            <v>20</v>
          </cell>
          <cell r="D856" t="str">
            <v xml:space="preserve">الخزينة </v>
          </cell>
        </row>
        <row r="857">
          <cell r="A857">
            <v>87</v>
          </cell>
          <cell r="B857">
            <v>46092</v>
          </cell>
          <cell r="C857">
            <v>20</v>
          </cell>
          <cell r="D857" t="str">
            <v xml:space="preserve">الخزينة </v>
          </cell>
        </row>
        <row r="858">
          <cell r="A858">
            <v>87</v>
          </cell>
          <cell r="B858">
            <v>46092</v>
          </cell>
          <cell r="C858">
            <v>20</v>
          </cell>
          <cell r="D858" t="str">
            <v xml:space="preserve">الخزينة </v>
          </cell>
        </row>
        <row r="859">
          <cell r="A859">
            <v>87</v>
          </cell>
          <cell r="B859">
            <v>46092</v>
          </cell>
          <cell r="C859">
            <v>20</v>
          </cell>
          <cell r="D859" t="str">
            <v xml:space="preserve">الخزينة </v>
          </cell>
        </row>
        <row r="860">
          <cell r="A860">
            <v>55</v>
          </cell>
          <cell r="B860">
            <v>46092</v>
          </cell>
          <cell r="C860">
            <v>20</v>
          </cell>
          <cell r="D860" t="str">
            <v xml:space="preserve">الخزينة </v>
          </cell>
        </row>
        <row r="861">
          <cell r="A861">
            <v>90</v>
          </cell>
          <cell r="B861">
            <v>46091</v>
          </cell>
          <cell r="C861">
            <v>20</v>
          </cell>
          <cell r="D861" t="str">
            <v xml:space="preserve">الخزينة </v>
          </cell>
        </row>
        <row r="862">
          <cell r="A862">
            <v>90</v>
          </cell>
          <cell r="B862">
            <v>46091</v>
          </cell>
          <cell r="C862">
            <v>20</v>
          </cell>
          <cell r="D862" t="str">
            <v xml:space="preserve">الخزينة </v>
          </cell>
        </row>
        <row r="863">
          <cell r="A863">
            <v>90</v>
          </cell>
          <cell r="B863">
            <v>46091</v>
          </cell>
          <cell r="C863">
            <v>20</v>
          </cell>
          <cell r="D863" t="str">
            <v xml:space="preserve">الخزينة </v>
          </cell>
        </row>
        <row r="864">
          <cell r="A864">
            <v>3</v>
          </cell>
          <cell r="B864">
            <v>46091</v>
          </cell>
          <cell r="C864">
            <v>20</v>
          </cell>
          <cell r="D864" t="str">
            <v xml:space="preserve">الخزينة </v>
          </cell>
        </row>
        <row r="865">
          <cell r="A865">
            <v>42</v>
          </cell>
          <cell r="B865">
            <v>46091</v>
          </cell>
          <cell r="C865">
            <v>20</v>
          </cell>
          <cell r="D865" t="str">
            <v xml:space="preserve">الخزينة </v>
          </cell>
        </row>
        <row r="866">
          <cell r="A866">
            <v>53</v>
          </cell>
          <cell r="B866">
            <v>46091</v>
          </cell>
          <cell r="C866">
            <v>20</v>
          </cell>
          <cell r="D866" t="str">
            <v xml:space="preserve">الخزينة </v>
          </cell>
        </row>
        <row r="867">
          <cell r="A867">
            <v>57</v>
          </cell>
          <cell r="B867">
            <v>46091</v>
          </cell>
          <cell r="C867">
            <v>20</v>
          </cell>
          <cell r="D867" t="str">
            <v xml:space="preserve">الخزينة </v>
          </cell>
        </row>
        <row r="868">
          <cell r="A868">
            <v>57</v>
          </cell>
          <cell r="B868">
            <v>46091</v>
          </cell>
          <cell r="C868">
            <v>20</v>
          </cell>
          <cell r="D868" t="str">
            <v xml:space="preserve">الخزينة </v>
          </cell>
        </row>
        <row r="869">
          <cell r="A869">
            <v>88</v>
          </cell>
          <cell r="B869">
            <v>46090</v>
          </cell>
          <cell r="C869">
            <v>20</v>
          </cell>
          <cell r="D869" t="str">
            <v xml:space="preserve">الخزينة </v>
          </cell>
        </row>
        <row r="870">
          <cell r="A870">
            <v>87</v>
          </cell>
          <cell r="B870">
            <v>46090</v>
          </cell>
          <cell r="C870">
            <v>20</v>
          </cell>
          <cell r="D870" t="str">
            <v xml:space="preserve">الخزينة </v>
          </cell>
        </row>
        <row r="871">
          <cell r="A871">
            <v>84</v>
          </cell>
          <cell r="B871">
            <v>46090</v>
          </cell>
          <cell r="C871">
            <v>20</v>
          </cell>
          <cell r="D871" t="str">
            <v xml:space="preserve">الخزينة </v>
          </cell>
        </row>
        <row r="872">
          <cell r="A872">
            <v>53</v>
          </cell>
          <cell r="B872">
            <v>46090</v>
          </cell>
          <cell r="C872">
            <v>20</v>
          </cell>
          <cell r="D872" t="str">
            <v xml:space="preserve">الخزينة </v>
          </cell>
        </row>
        <row r="873">
          <cell r="A873">
            <v>63</v>
          </cell>
          <cell r="B873">
            <v>46090</v>
          </cell>
          <cell r="C873">
            <v>20</v>
          </cell>
          <cell r="D873" t="str">
            <v xml:space="preserve">الخزينة </v>
          </cell>
        </row>
        <row r="874">
          <cell r="A874">
            <v>60</v>
          </cell>
          <cell r="B874">
            <v>46090</v>
          </cell>
          <cell r="C874">
            <v>20</v>
          </cell>
          <cell r="D874" t="str">
            <v xml:space="preserve">الخزينة </v>
          </cell>
        </row>
        <row r="875">
          <cell r="A875">
            <v>60</v>
          </cell>
          <cell r="B875">
            <v>46090</v>
          </cell>
          <cell r="C875">
            <v>20</v>
          </cell>
          <cell r="D875" t="str">
            <v xml:space="preserve">الخزينة </v>
          </cell>
        </row>
        <row r="876">
          <cell r="A876">
            <v>94</v>
          </cell>
          <cell r="B876">
            <v>46089</v>
          </cell>
          <cell r="C876">
            <v>20</v>
          </cell>
          <cell r="D876" t="str">
            <v xml:space="preserve">الخزينة </v>
          </cell>
        </row>
        <row r="877">
          <cell r="A877">
            <v>90</v>
          </cell>
          <cell r="B877">
            <v>46089</v>
          </cell>
          <cell r="C877">
            <v>20</v>
          </cell>
          <cell r="D877" t="str">
            <v xml:space="preserve">الخزينة </v>
          </cell>
        </row>
        <row r="878">
          <cell r="A878">
            <v>90</v>
          </cell>
          <cell r="B878">
            <v>46089</v>
          </cell>
          <cell r="C878">
            <v>20</v>
          </cell>
          <cell r="D878" t="str">
            <v xml:space="preserve">الخزينة </v>
          </cell>
        </row>
        <row r="879">
          <cell r="A879">
            <v>90</v>
          </cell>
          <cell r="B879">
            <v>46089</v>
          </cell>
          <cell r="C879">
            <v>20</v>
          </cell>
          <cell r="D879" t="str">
            <v xml:space="preserve">الخزينة </v>
          </cell>
        </row>
        <row r="880">
          <cell r="A880">
            <v>90</v>
          </cell>
          <cell r="B880">
            <v>46089</v>
          </cell>
          <cell r="C880">
            <v>20</v>
          </cell>
          <cell r="D880" t="str">
            <v xml:space="preserve">الخزينة </v>
          </cell>
        </row>
        <row r="881">
          <cell r="A881">
            <v>90</v>
          </cell>
          <cell r="B881">
            <v>46089</v>
          </cell>
          <cell r="C881">
            <v>20</v>
          </cell>
          <cell r="D881" t="str">
            <v xml:space="preserve">الخزينة </v>
          </cell>
        </row>
        <row r="882">
          <cell r="A882">
            <v>92</v>
          </cell>
          <cell r="B882">
            <v>46089</v>
          </cell>
          <cell r="C882">
            <v>20</v>
          </cell>
          <cell r="D882" t="str">
            <v xml:space="preserve">الخزينة </v>
          </cell>
        </row>
        <row r="883">
          <cell r="A883">
            <v>92</v>
          </cell>
          <cell r="B883">
            <v>46089</v>
          </cell>
          <cell r="C883">
            <v>20</v>
          </cell>
          <cell r="D883" t="str">
            <v xml:space="preserve">الخزينة </v>
          </cell>
        </row>
        <row r="884">
          <cell r="A884">
            <v>2</v>
          </cell>
          <cell r="B884">
            <v>46089</v>
          </cell>
          <cell r="C884">
            <v>20</v>
          </cell>
          <cell r="D884" t="str">
            <v xml:space="preserve">الخزينة </v>
          </cell>
        </row>
        <row r="885">
          <cell r="A885">
            <v>88</v>
          </cell>
          <cell r="B885">
            <v>46089</v>
          </cell>
          <cell r="C885">
            <v>20</v>
          </cell>
          <cell r="D885" t="str">
            <v xml:space="preserve">الخزينة </v>
          </cell>
        </row>
        <row r="886">
          <cell r="A886">
            <v>87</v>
          </cell>
          <cell r="B886">
            <v>46089</v>
          </cell>
          <cell r="C886">
            <v>20</v>
          </cell>
          <cell r="D886" t="str">
            <v xml:space="preserve">الخزينة </v>
          </cell>
        </row>
        <row r="887">
          <cell r="A887">
            <v>26</v>
          </cell>
          <cell r="B887">
            <v>46089</v>
          </cell>
          <cell r="C887">
            <v>20</v>
          </cell>
          <cell r="D887" t="str">
            <v xml:space="preserve">الخزينة </v>
          </cell>
        </row>
        <row r="888">
          <cell r="A888">
            <v>82</v>
          </cell>
          <cell r="B888">
            <v>46089</v>
          </cell>
          <cell r="C888">
            <v>20</v>
          </cell>
          <cell r="D888" t="str">
            <v xml:space="preserve">الخزينة </v>
          </cell>
        </row>
        <row r="889">
          <cell r="A889">
            <v>82</v>
          </cell>
          <cell r="B889">
            <v>46089</v>
          </cell>
          <cell r="C889">
            <v>20</v>
          </cell>
          <cell r="D889" t="str">
            <v xml:space="preserve">الخزينة </v>
          </cell>
        </row>
        <row r="890">
          <cell r="A890">
            <v>36</v>
          </cell>
          <cell r="B890">
            <v>46089</v>
          </cell>
          <cell r="C890">
            <v>20</v>
          </cell>
          <cell r="D890" t="str">
            <v xml:space="preserve">الخزينة </v>
          </cell>
        </row>
        <row r="891">
          <cell r="A891">
            <v>69</v>
          </cell>
          <cell r="B891">
            <v>46089</v>
          </cell>
          <cell r="C891">
            <v>20</v>
          </cell>
          <cell r="D891" t="str">
            <v xml:space="preserve">الخزينة </v>
          </cell>
        </row>
        <row r="892">
          <cell r="A892">
            <v>69</v>
          </cell>
          <cell r="B892">
            <v>46089</v>
          </cell>
          <cell r="C892">
            <v>20</v>
          </cell>
          <cell r="D892" t="str">
            <v xml:space="preserve">الخزينة </v>
          </cell>
        </row>
        <row r="893">
          <cell r="A893">
            <v>53</v>
          </cell>
          <cell r="B893">
            <v>46089</v>
          </cell>
          <cell r="C893">
            <v>20</v>
          </cell>
          <cell r="D893" t="str">
            <v xml:space="preserve">الخزينة </v>
          </cell>
        </row>
        <row r="894">
          <cell r="A894">
            <v>56</v>
          </cell>
          <cell r="B894">
            <v>46089</v>
          </cell>
          <cell r="C894">
            <v>20</v>
          </cell>
          <cell r="D894" t="str">
            <v xml:space="preserve">الخزينة </v>
          </cell>
        </row>
        <row r="895">
          <cell r="A895">
            <v>63</v>
          </cell>
          <cell r="B895">
            <v>46089</v>
          </cell>
          <cell r="C895">
            <v>20</v>
          </cell>
          <cell r="D895" t="str">
            <v xml:space="preserve">الخزينة </v>
          </cell>
        </row>
        <row r="896">
          <cell r="A896">
            <v>63</v>
          </cell>
          <cell r="B896">
            <v>46089</v>
          </cell>
          <cell r="C896">
            <v>20</v>
          </cell>
          <cell r="D896" t="str">
            <v xml:space="preserve">الخزينة </v>
          </cell>
        </row>
        <row r="897">
          <cell r="A897">
            <v>91</v>
          </cell>
          <cell r="B897">
            <v>46086</v>
          </cell>
          <cell r="C897">
            <v>20</v>
          </cell>
          <cell r="D897" t="str">
            <v xml:space="preserve">الخزينة </v>
          </cell>
        </row>
        <row r="898">
          <cell r="A898">
            <v>91</v>
          </cell>
          <cell r="B898">
            <v>46086</v>
          </cell>
          <cell r="C898">
            <v>20</v>
          </cell>
          <cell r="D898" t="str">
            <v xml:space="preserve">الخزينة </v>
          </cell>
        </row>
        <row r="899">
          <cell r="A899">
            <v>12</v>
          </cell>
          <cell r="B899">
            <v>46086</v>
          </cell>
          <cell r="C899">
            <v>20</v>
          </cell>
          <cell r="D899" t="str">
            <v xml:space="preserve">الخزينة </v>
          </cell>
        </row>
        <row r="900">
          <cell r="A900">
            <v>15</v>
          </cell>
          <cell r="B900">
            <v>46086</v>
          </cell>
          <cell r="C900">
            <v>20</v>
          </cell>
          <cell r="D900" t="str">
            <v xml:space="preserve">الخزينة </v>
          </cell>
        </row>
        <row r="901">
          <cell r="A901">
            <v>16</v>
          </cell>
          <cell r="B901">
            <v>46086</v>
          </cell>
          <cell r="C901">
            <v>20</v>
          </cell>
          <cell r="D901" t="str">
            <v xml:space="preserve">الخزينة </v>
          </cell>
        </row>
        <row r="902">
          <cell r="A902">
            <v>17</v>
          </cell>
          <cell r="B902">
            <v>46086</v>
          </cell>
          <cell r="C902">
            <v>20</v>
          </cell>
          <cell r="D902" t="str">
            <v xml:space="preserve">الخزينة </v>
          </cell>
        </row>
        <row r="903">
          <cell r="A903">
            <v>17</v>
          </cell>
          <cell r="B903">
            <v>46086</v>
          </cell>
          <cell r="C903">
            <v>20</v>
          </cell>
          <cell r="D903" t="str">
            <v xml:space="preserve">الخزينة </v>
          </cell>
        </row>
        <row r="904">
          <cell r="A904">
            <v>21</v>
          </cell>
          <cell r="B904">
            <v>46086</v>
          </cell>
          <cell r="C904">
            <v>20</v>
          </cell>
          <cell r="D904" t="str">
            <v xml:space="preserve">الخزينة </v>
          </cell>
        </row>
        <row r="905">
          <cell r="A905">
            <v>22</v>
          </cell>
          <cell r="B905">
            <v>46086</v>
          </cell>
          <cell r="C905">
            <v>20</v>
          </cell>
          <cell r="D905" t="str">
            <v xml:space="preserve">الخزينة </v>
          </cell>
        </row>
        <row r="906">
          <cell r="A906">
            <v>27</v>
          </cell>
          <cell r="B906">
            <v>46086</v>
          </cell>
          <cell r="C906">
            <v>20</v>
          </cell>
          <cell r="D906" t="str">
            <v xml:space="preserve">الخزينة </v>
          </cell>
        </row>
        <row r="907">
          <cell r="A907">
            <v>27</v>
          </cell>
          <cell r="B907">
            <v>46086</v>
          </cell>
          <cell r="C907">
            <v>20</v>
          </cell>
          <cell r="D907" t="str">
            <v xml:space="preserve">الخزينة </v>
          </cell>
        </row>
        <row r="908">
          <cell r="A908">
            <v>30</v>
          </cell>
          <cell r="B908">
            <v>46086</v>
          </cell>
          <cell r="C908">
            <v>20</v>
          </cell>
          <cell r="D908" t="str">
            <v xml:space="preserve">الخزينة </v>
          </cell>
        </row>
        <row r="909">
          <cell r="A909">
            <v>30</v>
          </cell>
          <cell r="B909">
            <v>46086</v>
          </cell>
          <cell r="C909">
            <v>20</v>
          </cell>
          <cell r="D909" t="str">
            <v xml:space="preserve">الخزينة </v>
          </cell>
        </row>
        <row r="910">
          <cell r="A910">
            <v>32</v>
          </cell>
          <cell r="B910">
            <v>46086</v>
          </cell>
          <cell r="C910">
            <v>20</v>
          </cell>
          <cell r="D910" t="str">
            <v xml:space="preserve">الخزينة </v>
          </cell>
        </row>
        <row r="911">
          <cell r="A911">
            <v>33</v>
          </cell>
          <cell r="B911">
            <v>46086</v>
          </cell>
          <cell r="C911">
            <v>20</v>
          </cell>
          <cell r="D911" t="str">
            <v xml:space="preserve">الخزينة </v>
          </cell>
        </row>
        <row r="912">
          <cell r="A912">
            <v>37</v>
          </cell>
          <cell r="B912">
            <v>46086</v>
          </cell>
          <cell r="C912">
            <v>20</v>
          </cell>
          <cell r="D912" t="str">
            <v xml:space="preserve">الخزينة </v>
          </cell>
        </row>
        <row r="913">
          <cell r="A913">
            <v>70</v>
          </cell>
          <cell r="B913">
            <v>46086</v>
          </cell>
          <cell r="C913">
            <v>20</v>
          </cell>
          <cell r="D913" t="str">
            <v xml:space="preserve">الخزينة </v>
          </cell>
        </row>
        <row r="914">
          <cell r="A914">
            <v>40</v>
          </cell>
          <cell r="B914">
            <v>46086</v>
          </cell>
          <cell r="C914">
            <v>20</v>
          </cell>
          <cell r="D914" t="str">
            <v xml:space="preserve">الخزينة </v>
          </cell>
        </row>
        <row r="915">
          <cell r="A915">
            <v>40</v>
          </cell>
          <cell r="B915">
            <v>46086</v>
          </cell>
          <cell r="C915">
            <v>20</v>
          </cell>
          <cell r="D915" t="str">
            <v xml:space="preserve">الخزينة </v>
          </cell>
        </row>
        <row r="916">
          <cell r="A916">
            <v>40</v>
          </cell>
          <cell r="B916">
            <v>46086</v>
          </cell>
          <cell r="C916">
            <v>20</v>
          </cell>
          <cell r="D916" t="str">
            <v xml:space="preserve">الخزينة </v>
          </cell>
        </row>
        <row r="917">
          <cell r="A917">
            <v>70</v>
          </cell>
          <cell r="B917">
            <v>46086</v>
          </cell>
          <cell r="C917">
            <v>20</v>
          </cell>
          <cell r="D917" t="str">
            <v xml:space="preserve">الخزينة </v>
          </cell>
        </row>
        <row r="918">
          <cell r="A918">
            <v>47</v>
          </cell>
          <cell r="B918">
            <v>46086</v>
          </cell>
          <cell r="C918">
            <v>20</v>
          </cell>
          <cell r="D918" t="str">
            <v xml:space="preserve">الخزينة </v>
          </cell>
        </row>
        <row r="919">
          <cell r="A919">
            <v>47</v>
          </cell>
          <cell r="B919">
            <v>46086</v>
          </cell>
          <cell r="C919">
            <v>20</v>
          </cell>
          <cell r="D919" t="str">
            <v xml:space="preserve">الخزينة </v>
          </cell>
        </row>
        <row r="920">
          <cell r="A920">
            <v>48</v>
          </cell>
          <cell r="B920">
            <v>46086</v>
          </cell>
          <cell r="C920">
            <v>20</v>
          </cell>
          <cell r="D920" t="str">
            <v xml:space="preserve">الخزينة </v>
          </cell>
        </row>
        <row r="921">
          <cell r="A921">
            <v>66</v>
          </cell>
          <cell r="B921">
            <v>46086</v>
          </cell>
          <cell r="C921">
            <v>20</v>
          </cell>
          <cell r="D921" t="str">
            <v xml:space="preserve">الخزينة </v>
          </cell>
        </row>
        <row r="922">
          <cell r="A922">
            <v>66</v>
          </cell>
          <cell r="B922">
            <v>46086</v>
          </cell>
          <cell r="C922">
            <v>20</v>
          </cell>
          <cell r="D922" t="str">
            <v xml:space="preserve">الخزينة </v>
          </cell>
        </row>
        <row r="923">
          <cell r="A923">
            <v>64</v>
          </cell>
          <cell r="B923">
            <v>46086</v>
          </cell>
          <cell r="C923">
            <v>20</v>
          </cell>
          <cell r="D923" t="str">
            <v xml:space="preserve">الخزينة </v>
          </cell>
        </row>
        <row r="924">
          <cell r="A924">
            <v>55</v>
          </cell>
          <cell r="B924">
            <v>46086</v>
          </cell>
          <cell r="C924">
            <v>20</v>
          </cell>
          <cell r="D924" t="str">
            <v xml:space="preserve">الخزينة </v>
          </cell>
        </row>
        <row r="925">
          <cell r="A925">
            <v>63</v>
          </cell>
          <cell r="B925">
            <v>46086</v>
          </cell>
          <cell r="C925">
            <v>20</v>
          </cell>
          <cell r="D925" t="str">
            <v xml:space="preserve">الخزينة </v>
          </cell>
        </row>
        <row r="926">
          <cell r="A926">
            <v>63</v>
          </cell>
          <cell r="B926">
            <v>46086</v>
          </cell>
          <cell r="C926">
            <v>20</v>
          </cell>
          <cell r="D926" t="str">
            <v xml:space="preserve">الخزينة </v>
          </cell>
        </row>
        <row r="927">
          <cell r="A927">
            <v>63</v>
          </cell>
          <cell r="B927">
            <v>46086</v>
          </cell>
          <cell r="C927">
            <v>20</v>
          </cell>
          <cell r="D927" t="str">
            <v xml:space="preserve">الخزينة </v>
          </cell>
        </row>
        <row r="928">
          <cell r="A928">
            <v>63</v>
          </cell>
          <cell r="B928">
            <v>46086</v>
          </cell>
          <cell r="C928">
            <v>20</v>
          </cell>
          <cell r="D928" t="str">
            <v xml:space="preserve">الخزينة </v>
          </cell>
        </row>
        <row r="929">
          <cell r="A929">
            <v>59</v>
          </cell>
          <cell r="B929">
            <v>46086</v>
          </cell>
          <cell r="C929">
            <v>20</v>
          </cell>
          <cell r="D929" t="str">
            <v xml:space="preserve">الخزينة </v>
          </cell>
        </row>
        <row r="930">
          <cell r="A930">
            <v>59</v>
          </cell>
          <cell r="B930">
            <v>46086</v>
          </cell>
          <cell r="C930">
            <v>20</v>
          </cell>
          <cell r="D930" t="str">
            <v xml:space="preserve">الخزينة </v>
          </cell>
        </row>
        <row r="931">
          <cell r="A931">
            <v>59</v>
          </cell>
          <cell r="B931">
            <v>46086</v>
          </cell>
          <cell r="C931">
            <v>20</v>
          </cell>
          <cell r="D931" t="str">
            <v xml:space="preserve">الخزينة </v>
          </cell>
        </row>
        <row r="932">
          <cell r="A932">
            <v>59</v>
          </cell>
          <cell r="B932">
            <v>46086</v>
          </cell>
          <cell r="C932">
            <v>20</v>
          </cell>
          <cell r="D932" t="str">
            <v xml:space="preserve">الخزينة </v>
          </cell>
        </row>
        <row r="933">
          <cell r="A933">
            <v>60</v>
          </cell>
          <cell r="B933">
            <v>46086</v>
          </cell>
          <cell r="C933">
            <v>20</v>
          </cell>
          <cell r="D933" t="str">
            <v xml:space="preserve">الخزينة </v>
          </cell>
        </row>
        <row r="934">
          <cell r="A934">
            <v>86</v>
          </cell>
          <cell r="B934">
            <v>46085</v>
          </cell>
          <cell r="C934">
            <v>20</v>
          </cell>
          <cell r="D934" t="str">
            <v xml:space="preserve">الخزينة </v>
          </cell>
        </row>
        <row r="935">
          <cell r="A935">
            <v>53</v>
          </cell>
          <cell r="B935">
            <v>46085</v>
          </cell>
          <cell r="C935">
            <v>20</v>
          </cell>
          <cell r="D935" t="str">
            <v xml:space="preserve">الخزينة </v>
          </cell>
        </row>
        <row r="936">
          <cell r="A936">
            <v>37</v>
          </cell>
          <cell r="B936">
            <v>46084</v>
          </cell>
          <cell r="C936">
            <v>20</v>
          </cell>
          <cell r="D936" t="str">
            <v xml:space="preserve">الخزينة </v>
          </cell>
        </row>
        <row r="937">
          <cell r="A937">
            <v>70</v>
          </cell>
          <cell r="B937">
            <v>46084</v>
          </cell>
          <cell r="C937">
            <v>20</v>
          </cell>
          <cell r="D937" t="str">
            <v xml:space="preserve">الخزينة </v>
          </cell>
        </row>
        <row r="938">
          <cell r="A938">
            <v>64</v>
          </cell>
          <cell r="B938">
            <v>46084</v>
          </cell>
          <cell r="C938">
            <v>20</v>
          </cell>
          <cell r="D938" t="str">
            <v xml:space="preserve">الخزينة </v>
          </cell>
        </row>
        <row r="939">
          <cell r="A939">
            <v>54</v>
          </cell>
          <cell r="B939">
            <v>46084</v>
          </cell>
          <cell r="C939">
            <v>20</v>
          </cell>
          <cell r="D939" t="str">
            <v xml:space="preserve">الخزينة </v>
          </cell>
        </row>
        <row r="940">
          <cell r="A940">
            <v>54</v>
          </cell>
          <cell r="B940">
            <v>46084</v>
          </cell>
          <cell r="C940">
            <v>20</v>
          </cell>
          <cell r="D940" t="str">
            <v xml:space="preserve">الخزينة </v>
          </cell>
        </row>
        <row r="941">
          <cell r="A941">
            <v>55</v>
          </cell>
          <cell r="B941">
            <v>46084</v>
          </cell>
          <cell r="C941">
            <v>20</v>
          </cell>
          <cell r="D941" t="str">
            <v xml:space="preserve">الخزينة </v>
          </cell>
        </row>
        <row r="942">
          <cell r="A942">
            <v>55</v>
          </cell>
          <cell r="B942">
            <v>46084</v>
          </cell>
          <cell r="C942">
            <v>20</v>
          </cell>
          <cell r="D942" t="str">
            <v xml:space="preserve">الخزينة </v>
          </cell>
        </row>
        <row r="943">
          <cell r="A943">
            <v>4</v>
          </cell>
          <cell r="B943">
            <v>46083</v>
          </cell>
          <cell r="C943">
            <v>20</v>
          </cell>
          <cell r="D943" t="str">
            <v xml:space="preserve">الخزينة </v>
          </cell>
        </row>
        <row r="944">
          <cell r="A944">
            <v>57</v>
          </cell>
          <cell r="B944">
            <v>46083</v>
          </cell>
          <cell r="C944">
            <v>20</v>
          </cell>
          <cell r="D944" t="str">
            <v xml:space="preserve">الخزينة </v>
          </cell>
        </row>
        <row r="945">
          <cell r="A945">
            <v>94</v>
          </cell>
          <cell r="B945">
            <v>46082</v>
          </cell>
          <cell r="C945">
            <v>20</v>
          </cell>
          <cell r="D945" t="str">
            <v xml:space="preserve">الخزينة </v>
          </cell>
        </row>
        <row r="946">
          <cell r="A946">
            <v>90</v>
          </cell>
          <cell r="B946">
            <v>46082</v>
          </cell>
          <cell r="C946">
            <v>20</v>
          </cell>
          <cell r="D946" t="str">
            <v xml:space="preserve">الخزينة </v>
          </cell>
        </row>
        <row r="947">
          <cell r="A947">
            <v>5</v>
          </cell>
          <cell r="B947">
            <v>46082</v>
          </cell>
          <cell r="C947">
            <v>20</v>
          </cell>
          <cell r="D947" t="str">
            <v xml:space="preserve">الخزينة </v>
          </cell>
        </row>
        <row r="948">
          <cell r="A948">
            <v>16</v>
          </cell>
          <cell r="B948">
            <v>46082</v>
          </cell>
          <cell r="C948">
            <v>20</v>
          </cell>
          <cell r="D948" t="str">
            <v xml:space="preserve">الخزينة </v>
          </cell>
        </row>
        <row r="949">
          <cell r="A949">
            <v>87</v>
          </cell>
          <cell r="B949">
            <v>46082</v>
          </cell>
          <cell r="C949">
            <v>20</v>
          </cell>
          <cell r="D949" t="str">
            <v xml:space="preserve">الخزينة </v>
          </cell>
        </row>
        <row r="950">
          <cell r="A950">
            <v>87</v>
          </cell>
          <cell r="B950">
            <v>46082</v>
          </cell>
          <cell r="C950">
            <v>20</v>
          </cell>
          <cell r="D950" t="str">
            <v xml:space="preserve">الخزينة </v>
          </cell>
        </row>
        <row r="951">
          <cell r="A951">
            <v>22</v>
          </cell>
          <cell r="B951">
            <v>46082</v>
          </cell>
          <cell r="C951">
            <v>20</v>
          </cell>
          <cell r="D951" t="str">
            <v xml:space="preserve">الخزينة </v>
          </cell>
        </row>
        <row r="952">
          <cell r="A952">
            <v>24</v>
          </cell>
          <cell r="B952">
            <v>46082</v>
          </cell>
          <cell r="C952">
            <v>20</v>
          </cell>
          <cell r="D952" t="str">
            <v xml:space="preserve">الخزينة </v>
          </cell>
        </row>
        <row r="953">
          <cell r="A953">
            <v>75</v>
          </cell>
          <cell r="B953">
            <v>46082</v>
          </cell>
          <cell r="C953">
            <v>20</v>
          </cell>
          <cell r="D953" t="str">
            <v xml:space="preserve">الخزينة </v>
          </cell>
        </row>
        <row r="954">
          <cell r="A954">
            <v>69</v>
          </cell>
          <cell r="B954">
            <v>46082</v>
          </cell>
          <cell r="C954">
            <v>20</v>
          </cell>
          <cell r="D954" t="str">
            <v xml:space="preserve">الخزينة </v>
          </cell>
        </row>
        <row r="955">
          <cell r="A955">
            <v>63</v>
          </cell>
          <cell r="B955">
            <v>46082</v>
          </cell>
          <cell r="C955">
            <v>20</v>
          </cell>
          <cell r="D955" t="str">
            <v xml:space="preserve">الخزينة </v>
          </cell>
        </row>
        <row r="956">
          <cell r="A956">
            <v>63</v>
          </cell>
          <cell r="B956">
            <v>46082</v>
          </cell>
          <cell r="C956">
            <v>20</v>
          </cell>
          <cell r="D956" t="str">
            <v xml:space="preserve">الخزينة </v>
          </cell>
        </row>
        <row r="957">
          <cell r="A957">
            <v>63</v>
          </cell>
          <cell r="B957">
            <v>46082</v>
          </cell>
          <cell r="C957">
            <v>20</v>
          </cell>
          <cell r="D957" t="str">
            <v xml:space="preserve">الخزينة </v>
          </cell>
        </row>
        <row r="958">
          <cell r="A958">
            <v>59</v>
          </cell>
          <cell r="B958">
            <v>46082</v>
          </cell>
          <cell r="C958">
            <v>20</v>
          </cell>
          <cell r="D958" t="str">
            <v xml:space="preserve">الخزينة </v>
          </cell>
        </row>
        <row r="959">
          <cell r="A959">
            <v>59</v>
          </cell>
          <cell r="B959">
            <v>46082</v>
          </cell>
          <cell r="C959">
            <v>20</v>
          </cell>
          <cell r="D959" t="str">
            <v xml:space="preserve">الخزينة </v>
          </cell>
        </row>
        <row r="960">
          <cell r="A960">
            <v>90</v>
          </cell>
          <cell r="B960">
            <v>46081</v>
          </cell>
          <cell r="C960">
            <v>20</v>
          </cell>
          <cell r="D960" t="str">
            <v xml:space="preserve">الخزينة </v>
          </cell>
        </row>
        <row r="961">
          <cell r="A961">
            <v>70</v>
          </cell>
          <cell r="B961">
            <v>46081</v>
          </cell>
          <cell r="C961">
            <v>20</v>
          </cell>
          <cell r="D961" t="str">
            <v xml:space="preserve">الخزينة </v>
          </cell>
        </row>
        <row r="962">
          <cell r="A962">
            <v>54</v>
          </cell>
          <cell r="B962">
            <v>46081</v>
          </cell>
          <cell r="C962">
            <v>20</v>
          </cell>
          <cell r="D962" t="str">
            <v xml:space="preserve">الخزينة </v>
          </cell>
        </row>
        <row r="963">
          <cell r="A963">
            <v>90</v>
          </cell>
          <cell r="B963">
            <v>46079</v>
          </cell>
          <cell r="C963">
            <v>20</v>
          </cell>
          <cell r="D963" t="str">
            <v xml:space="preserve">الخزينة </v>
          </cell>
        </row>
        <row r="964">
          <cell r="A964">
            <v>70</v>
          </cell>
          <cell r="B964">
            <v>46079</v>
          </cell>
          <cell r="C964">
            <v>20</v>
          </cell>
          <cell r="D964" t="str">
            <v xml:space="preserve">الخزينة </v>
          </cell>
        </row>
        <row r="965">
          <cell r="A965">
            <v>66</v>
          </cell>
          <cell r="B965">
            <v>46079</v>
          </cell>
          <cell r="C965">
            <v>20</v>
          </cell>
          <cell r="D965" t="str">
            <v xml:space="preserve">الخزينة </v>
          </cell>
        </row>
        <row r="966">
          <cell r="A966">
            <v>66</v>
          </cell>
          <cell r="B966">
            <v>46079</v>
          </cell>
          <cell r="C966">
            <v>20</v>
          </cell>
          <cell r="D966" t="str">
            <v xml:space="preserve">الخزينة </v>
          </cell>
        </row>
        <row r="967">
          <cell r="A967">
            <v>66</v>
          </cell>
          <cell r="B967">
            <v>46079</v>
          </cell>
          <cell r="C967">
            <v>20</v>
          </cell>
          <cell r="D967" t="str">
            <v xml:space="preserve">الخزينة </v>
          </cell>
        </row>
        <row r="968">
          <cell r="A968">
            <v>66</v>
          </cell>
          <cell r="B968">
            <v>46079</v>
          </cell>
          <cell r="C968">
            <v>20</v>
          </cell>
          <cell r="D968" t="str">
            <v xml:space="preserve">الخزينة </v>
          </cell>
        </row>
        <row r="969">
          <cell r="A969">
            <v>63</v>
          </cell>
          <cell r="B969">
            <v>46079</v>
          </cell>
          <cell r="C969">
            <v>20</v>
          </cell>
          <cell r="D969" t="str">
            <v xml:space="preserve">الخزينة </v>
          </cell>
        </row>
        <row r="970">
          <cell r="A970">
            <v>70</v>
          </cell>
          <cell r="B970">
            <v>46078</v>
          </cell>
          <cell r="C970">
            <v>20</v>
          </cell>
          <cell r="D970" t="str">
            <v xml:space="preserve">الخزينة </v>
          </cell>
        </row>
        <row r="971">
          <cell r="A971">
            <v>64</v>
          </cell>
          <cell r="B971">
            <v>46078</v>
          </cell>
          <cell r="C971">
            <v>20</v>
          </cell>
          <cell r="D971" t="str">
            <v xml:space="preserve">الخزينة </v>
          </cell>
        </row>
        <row r="972">
          <cell r="A972">
            <v>64</v>
          </cell>
          <cell r="B972">
            <v>46078</v>
          </cell>
          <cell r="C972">
            <v>20</v>
          </cell>
          <cell r="D972" t="str">
            <v xml:space="preserve">الخزينة </v>
          </cell>
        </row>
        <row r="973">
          <cell r="A973">
            <v>55</v>
          </cell>
          <cell r="B973">
            <v>46078</v>
          </cell>
          <cell r="C973">
            <v>20</v>
          </cell>
          <cell r="D973" t="str">
            <v xml:space="preserve">الخزينة </v>
          </cell>
        </row>
        <row r="974">
          <cell r="A974">
            <v>63</v>
          </cell>
          <cell r="B974">
            <v>46078</v>
          </cell>
          <cell r="C974">
            <v>20</v>
          </cell>
          <cell r="D974" t="str">
            <v xml:space="preserve">الخزينة </v>
          </cell>
        </row>
        <row r="975">
          <cell r="A975">
            <v>12</v>
          </cell>
          <cell r="B975">
            <v>46077</v>
          </cell>
          <cell r="C975">
            <v>20</v>
          </cell>
          <cell r="D975" t="str">
            <v xml:space="preserve">الخزينة </v>
          </cell>
        </row>
        <row r="976">
          <cell r="A976">
            <v>30</v>
          </cell>
          <cell r="B976">
            <v>46077</v>
          </cell>
          <cell r="C976">
            <v>20</v>
          </cell>
          <cell r="D976" t="str">
            <v xml:space="preserve">الخزينة </v>
          </cell>
        </row>
        <row r="977">
          <cell r="A977">
            <v>30</v>
          </cell>
          <cell r="B977">
            <v>46077</v>
          </cell>
          <cell r="C977">
            <v>20</v>
          </cell>
          <cell r="D977" t="str">
            <v xml:space="preserve">الخزينة </v>
          </cell>
        </row>
        <row r="978">
          <cell r="A978">
            <v>37</v>
          </cell>
          <cell r="B978">
            <v>46077</v>
          </cell>
          <cell r="C978">
            <v>20</v>
          </cell>
          <cell r="D978" t="str">
            <v xml:space="preserve">الخزينة </v>
          </cell>
        </row>
        <row r="979">
          <cell r="A979">
            <v>66</v>
          </cell>
          <cell r="B979">
            <v>46077</v>
          </cell>
          <cell r="C979">
            <v>20</v>
          </cell>
          <cell r="D979" t="str">
            <v xml:space="preserve">الخزينة </v>
          </cell>
        </row>
        <row r="980">
          <cell r="A980">
            <v>66</v>
          </cell>
          <cell r="B980">
            <v>46077</v>
          </cell>
          <cell r="C980">
            <v>20</v>
          </cell>
          <cell r="D980" t="str">
            <v xml:space="preserve">الخزينة </v>
          </cell>
        </row>
        <row r="981">
          <cell r="A981">
            <v>53</v>
          </cell>
          <cell r="B981">
            <v>46077</v>
          </cell>
          <cell r="C981">
            <v>20</v>
          </cell>
          <cell r="D981" t="str">
            <v xml:space="preserve">الخزينة </v>
          </cell>
        </row>
        <row r="982">
          <cell r="A982">
            <v>66</v>
          </cell>
          <cell r="B982">
            <v>46077</v>
          </cell>
          <cell r="C982">
            <v>20</v>
          </cell>
          <cell r="D982" t="str">
            <v xml:space="preserve">الخزينة </v>
          </cell>
        </row>
        <row r="983">
          <cell r="A983">
            <v>64</v>
          </cell>
          <cell r="B983">
            <v>46077</v>
          </cell>
          <cell r="C983">
            <v>20</v>
          </cell>
          <cell r="D983" t="str">
            <v xml:space="preserve">الخزينة </v>
          </cell>
        </row>
        <row r="984">
          <cell r="A984">
            <v>55</v>
          </cell>
          <cell r="B984">
            <v>46077</v>
          </cell>
          <cell r="C984">
            <v>20</v>
          </cell>
          <cell r="D984" t="str">
            <v xml:space="preserve">الخزينة </v>
          </cell>
        </row>
        <row r="985">
          <cell r="A985">
            <v>60</v>
          </cell>
          <cell r="B985">
            <v>46077</v>
          </cell>
          <cell r="C985">
            <v>20</v>
          </cell>
          <cell r="D985" t="str">
            <v xml:space="preserve">الخزينة </v>
          </cell>
        </row>
        <row r="986">
          <cell r="A986">
            <v>10</v>
          </cell>
          <cell r="B986">
            <v>46076</v>
          </cell>
          <cell r="C986">
            <v>20</v>
          </cell>
          <cell r="D986" t="str">
            <v xml:space="preserve">الخزينة </v>
          </cell>
        </row>
        <row r="987">
          <cell r="A987">
            <v>87</v>
          </cell>
          <cell r="B987">
            <v>46076</v>
          </cell>
          <cell r="C987">
            <v>20</v>
          </cell>
          <cell r="D987" t="str">
            <v xml:space="preserve">الخزينة </v>
          </cell>
        </row>
        <row r="988">
          <cell r="A988">
            <v>70</v>
          </cell>
          <cell r="B988">
            <v>46076</v>
          </cell>
          <cell r="C988">
            <v>20</v>
          </cell>
          <cell r="D988" t="str">
            <v xml:space="preserve">الخزينة </v>
          </cell>
        </row>
        <row r="989">
          <cell r="A989">
            <v>30</v>
          </cell>
          <cell r="B989">
            <v>46075</v>
          </cell>
          <cell r="C989">
            <v>20</v>
          </cell>
          <cell r="D989" t="str">
            <v xml:space="preserve">الخزينة </v>
          </cell>
        </row>
        <row r="990">
          <cell r="A990">
            <v>70</v>
          </cell>
          <cell r="B990">
            <v>46075</v>
          </cell>
          <cell r="C990">
            <v>20</v>
          </cell>
          <cell r="D990" t="str">
            <v xml:space="preserve">الخزينة </v>
          </cell>
        </row>
        <row r="991">
          <cell r="A991">
            <v>67</v>
          </cell>
          <cell r="B991">
            <v>46075</v>
          </cell>
          <cell r="C991">
            <v>20</v>
          </cell>
          <cell r="D991" t="str">
            <v xml:space="preserve">الخزينة </v>
          </cell>
        </row>
        <row r="992">
          <cell r="A992">
            <v>57</v>
          </cell>
          <cell r="B992">
            <v>46075</v>
          </cell>
          <cell r="C992">
            <v>20</v>
          </cell>
          <cell r="D992" t="str">
            <v xml:space="preserve">الخزينة </v>
          </cell>
        </row>
        <row r="993">
          <cell r="A993">
            <v>63</v>
          </cell>
          <cell r="B993">
            <v>46075</v>
          </cell>
          <cell r="C993">
            <v>20</v>
          </cell>
          <cell r="D993" t="str">
            <v xml:space="preserve">الخزينة </v>
          </cell>
        </row>
        <row r="994">
          <cell r="A994">
            <v>90</v>
          </cell>
          <cell r="B994">
            <v>46072</v>
          </cell>
          <cell r="C994">
            <v>20</v>
          </cell>
          <cell r="D994" t="str">
            <v xml:space="preserve">الخزينة </v>
          </cell>
        </row>
        <row r="995">
          <cell r="A995">
            <v>90</v>
          </cell>
          <cell r="B995">
            <v>46071</v>
          </cell>
          <cell r="C995">
            <v>20</v>
          </cell>
          <cell r="D995" t="str">
            <v xml:space="preserve">الخزينة </v>
          </cell>
        </row>
        <row r="996">
          <cell r="A996">
            <v>90</v>
          </cell>
          <cell r="B996">
            <v>46071</v>
          </cell>
          <cell r="C996">
            <v>20</v>
          </cell>
          <cell r="D996" t="str">
            <v xml:space="preserve">الخزينة </v>
          </cell>
        </row>
        <row r="997">
          <cell r="A997">
            <v>90</v>
          </cell>
          <cell r="B997">
            <v>46071</v>
          </cell>
          <cell r="C997">
            <v>20</v>
          </cell>
          <cell r="D997" t="str">
            <v xml:space="preserve">الخزينة </v>
          </cell>
        </row>
        <row r="998">
          <cell r="A998">
            <v>2</v>
          </cell>
          <cell r="B998">
            <v>46071</v>
          </cell>
          <cell r="C998">
            <v>20</v>
          </cell>
          <cell r="D998" t="str">
            <v xml:space="preserve">الخزينة </v>
          </cell>
        </row>
        <row r="999">
          <cell r="A999">
            <v>88</v>
          </cell>
          <cell r="B999">
            <v>46071</v>
          </cell>
          <cell r="C999">
            <v>20</v>
          </cell>
          <cell r="D999" t="str">
            <v xml:space="preserve">الخزينة </v>
          </cell>
        </row>
        <row r="1000">
          <cell r="A1000">
            <v>17</v>
          </cell>
          <cell r="B1000">
            <v>46071</v>
          </cell>
          <cell r="C1000">
            <v>20</v>
          </cell>
          <cell r="D1000" t="str">
            <v xml:space="preserve">الخزينة </v>
          </cell>
        </row>
        <row r="1001">
          <cell r="A1001">
            <v>87</v>
          </cell>
          <cell r="B1001">
            <v>46071</v>
          </cell>
          <cell r="C1001">
            <v>20</v>
          </cell>
          <cell r="D1001" t="str">
            <v xml:space="preserve">الخزينة </v>
          </cell>
        </row>
        <row r="1002">
          <cell r="A1002">
            <v>27</v>
          </cell>
          <cell r="B1002">
            <v>46071</v>
          </cell>
          <cell r="C1002">
            <v>20</v>
          </cell>
          <cell r="D1002" t="str">
            <v xml:space="preserve">الخزينة </v>
          </cell>
        </row>
        <row r="1003">
          <cell r="A1003">
            <v>27</v>
          </cell>
          <cell r="B1003">
            <v>46071</v>
          </cell>
          <cell r="C1003">
            <v>20</v>
          </cell>
          <cell r="D1003" t="str">
            <v xml:space="preserve">الخزينة </v>
          </cell>
        </row>
        <row r="1004">
          <cell r="A1004">
            <v>70</v>
          </cell>
          <cell r="B1004">
            <v>46071</v>
          </cell>
          <cell r="C1004">
            <v>20</v>
          </cell>
          <cell r="D1004" t="str">
            <v xml:space="preserve">الخزينة </v>
          </cell>
        </row>
        <row r="1005">
          <cell r="A1005">
            <v>40</v>
          </cell>
          <cell r="B1005">
            <v>46071</v>
          </cell>
          <cell r="C1005">
            <v>20</v>
          </cell>
          <cell r="D1005" t="str">
            <v xml:space="preserve">الخزينة </v>
          </cell>
        </row>
        <row r="1006">
          <cell r="A1006">
            <v>46</v>
          </cell>
          <cell r="B1006">
            <v>46071</v>
          </cell>
          <cell r="C1006">
            <v>20</v>
          </cell>
          <cell r="D1006" t="str">
            <v xml:space="preserve">الخزينة </v>
          </cell>
        </row>
        <row r="1007">
          <cell r="A1007">
            <v>67</v>
          </cell>
          <cell r="B1007">
            <v>46071</v>
          </cell>
          <cell r="C1007">
            <v>20</v>
          </cell>
          <cell r="D1007" t="str">
            <v xml:space="preserve">الخزينة </v>
          </cell>
        </row>
        <row r="1008">
          <cell r="A1008">
            <v>66</v>
          </cell>
          <cell r="B1008">
            <v>46071</v>
          </cell>
          <cell r="C1008">
            <v>20</v>
          </cell>
          <cell r="D1008" t="str">
            <v xml:space="preserve">الخزينة </v>
          </cell>
        </row>
        <row r="1009">
          <cell r="A1009">
            <v>53</v>
          </cell>
          <cell r="B1009">
            <v>46071</v>
          </cell>
          <cell r="C1009">
            <v>20</v>
          </cell>
          <cell r="D1009" t="str">
            <v xml:space="preserve">الخزينة </v>
          </cell>
        </row>
        <row r="1010">
          <cell r="A1010">
            <v>66</v>
          </cell>
          <cell r="B1010">
            <v>46071</v>
          </cell>
          <cell r="C1010">
            <v>20</v>
          </cell>
          <cell r="D1010" t="str">
            <v xml:space="preserve">الخزينة </v>
          </cell>
        </row>
        <row r="1011">
          <cell r="A1011">
            <v>66</v>
          </cell>
          <cell r="B1011">
            <v>46071</v>
          </cell>
          <cell r="C1011">
            <v>20</v>
          </cell>
          <cell r="D1011" t="str">
            <v xml:space="preserve">الخزينة </v>
          </cell>
        </row>
        <row r="1012">
          <cell r="A1012">
            <v>54</v>
          </cell>
          <cell r="B1012">
            <v>46071</v>
          </cell>
          <cell r="C1012">
            <v>20</v>
          </cell>
          <cell r="D1012" t="str">
            <v xml:space="preserve">الخزينة </v>
          </cell>
        </row>
        <row r="1013">
          <cell r="A1013">
            <v>54</v>
          </cell>
          <cell r="B1013">
            <v>46071</v>
          </cell>
          <cell r="C1013">
            <v>20</v>
          </cell>
          <cell r="D1013" t="str">
            <v xml:space="preserve">الخزينة </v>
          </cell>
        </row>
        <row r="1014">
          <cell r="A1014">
            <v>55</v>
          </cell>
          <cell r="B1014">
            <v>46071</v>
          </cell>
          <cell r="C1014">
            <v>20</v>
          </cell>
          <cell r="D1014" t="str">
            <v xml:space="preserve">الخزينة </v>
          </cell>
        </row>
        <row r="1015">
          <cell r="A1015">
            <v>59</v>
          </cell>
          <cell r="B1015">
            <v>46071</v>
          </cell>
          <cell r="C1015">
            <v>20</v>
          </cell>
          <cell r="D1015" t="str">
            <v xml:space="preserve">الخزينة </v>
          </cell>
        </row>
        <row r="1016">
          <cell r="A1016">
            <v>59</v>
          </cell>
          <cell r="B1016">
            <v>46071</v>
          </cell>
          <cell r="C1016">
            <v>20</v>
          </cell>
          <cell r="D1016" t="str">
            <v xml:space="preserve">الخزينة </v>
          </cell>
        </row>
        <row r="1017">
          <cell r="A1017">
            <v>59</v>
          </cell>
          <cell r="B1017">
            <v>46071</v>
          </cell>
          <cell r="C1017">
            <v>20</v>
          </cell>
          <cell r="D1017" t="str">
            <v xml:space="preserve">الخزينة </v>
          </cell>
        </row>
        <row r="1018">
          <cell r="A1018">
            <v>59</v>
          </cell>
          <cell r="B1018">
            <v>46071</v>
          </cell>
          <cell r="C1018">
            <v>20</v>
          </cell>
          <cell r="D1018" t="str">
            <v xml:space="preserve">الخزينة </v>
          </cell>
        </row>
        <row r="1019">
          <cell r="A1019">
            <v>60</v>
          </cell>
          <cell r="B1019">
            <v>46071</v>
          </cell>
          <cell r="C1019">
            <v>20</v>
          </cell>
          <cell r="D1019" t="str">
            <v xml:space="preserve">الخزينة </v>
          </cell>
        </row>
        <row r="1020">
          <cell r="A1020">
            <v>5</v>
          </cell>
          <cell r="B1020">
            <v>46070</v>
          </cell>
          <cell r="C1020">
            <v>20</v>
          </cell>
          <cell r="D1020" t="str">
            <v xml:space="preserve">الخزينة </v>
          </cell>
        </row>
        <row r="1021">
          <cell r="A1021">
            <v>89</v>
          </cell>
          <cell r="B1021">
            <v>46070</v>
          </cell>
          <cell r="C1021">
            <v>20</v>
          </cell>
          <cell r="D1021" t="str">
            <v xml:space="preserve">الخزينة </v>
          </cell>
        </row>
        <row r="1022">
          <cell r="A1022">
            <v>88</v>
          </cell>
          <cell r="B1022">
            <v>46070</v>
          </cell>
          <cell r="C1022">
            <v>20</v>
          </cell>
          <cell r="D1022" t="str">
            <v xml:space="preserve">الخزينة </v>
          </cell>
        </row>
        <row r="1023">
          <cell r="A1023">
            <v>88</v>
          </cell>
          <cell r="B1023">
            <v>46070</v>
          </cell>
          <cell r="C1023">
            <v>20</v>
          </cell>
          <cell r="D1023" t="str">
            <v xml:space="preserve">الخزينة </v>
          </cell>
        </row>
        <row r="1024">
          <cell r="A1024">
            <v>16</v>
          </cell>
          <cell r="B1024">
            <v>46070</v>
          </cell>
          <cell r="C1024">
            <v>20</v>
          </cell>
          <cell r="D1024" t="str">
            <v xml:space="preserve">الخزينة </v>
          </cell>
        </row>
        <row r="1025">
          <cell r="A1025">
            <v>85</v>
          </cell>
          <cell r="B1025">
            <v>46070</v>
          </cell>
          <cell r="C1025">
            <v>20</v>
          </cell>
          <cell r="D1025" t="str">
            <v xml:space="preserve">الخزينة </v>
          </cell>
        </row>
        <row r="1026">
          <cell r="A1026">
            <v>28</v>
          </cell>
          <cell r="B1026">
            <v>46070</v>
          </cell>
          <cell r="C1026">
            <v>20</v>
          </cell>
          <cell r="D1026" t="str">
            <v xml:space="preserve">الخزينة </v>
          </cell>
        </row>
        <row r="1027">
          <cell r="A1027">
            <v>33</v>
          </cell>
          <cell r="B1027">
            <v>46070</v>
          </cell>
          <cell r="C1027">
            <v>20</v>
          </cell>
          <cell r="D1027" t="str">
            <v xml:space="preserve">الخزينة </v>
          </cell>
        </row>
        <row r="1028">
          <cell r="A1028">
            <v>70</v>
          </cell>
          <cell r="B1028">
            <v>46070</v>
          </cell>
          <cell r="C1028">
            <v>20</v>
          </cell>
          <cell r="D1028" t="str">
            <v xml:space="preserve">الخزينة </v>
          </cell>
        </row>
        <row r="1029">
          <cell r="A1029">
            <v>70</v>
          </cell>
          <cell r="B1029">
            <v>46070</v>
          </cell>
          <cell r="C1029">
            <v>20</v>
          </cell>
          <cell r="D1029" t="str">
            <v xml:space="preserve">الخزينة </v>
          </cell>
        </row>
        <row r="1030">
          <cell r="A1030">
            <v>70</v>
          </cell>
          <cell r="B1030">
            <v>46070</v>
          </cell>
          <cell r="C1030">
            <v>20</v>
          </cell>
          <cell r="D1030" t="str">
            <v xml:space="preserve">الخزينة </v>
          </cell>
        </row>
        <row r="1031">
          <cell r="A1031">
            <v>68</v>
          </cell>
          <cell r="B1031">
            <v>46070</v>
          </cell>
          <cell r="C1031">
            <v>20</v>
          </cell>
          <cell r="D1031" t="str">
            <v xml:space="preserve">الخزينة </v>
          </cell>
        </row>
        <row r="1032">
          <cell r="A1032">
            <v>48</v>
          </cell>
          <cell r="B1032">
            <v>46070</v>
          </cell>
          <cell r="C1032">
            <v>20</v>
          </cell>
          <cell r="D1032" t="str">
            <v xml:space="preserve">الخزينة </v>
          </cell>
        </row>
        <row r="1033">
          <cell r="A1033">
            <v>49</v>
          </cell>
          <cell r="B1033">
            <v>46070</v>
          </cell>
          <cell r="C1033">
            <v>20</v>
          </cell>
          <cell r="D1033" t="str">
            <v xml:space="preserve">الخزينة </v>
          </cell>
        </row>
        <row r="1034">
          <cell r="A1034">
            <v>53</v>
          </cell>
          <cell r="B1034">
            <v>46070</v>
          </cell>
          <cell r="C1034">
            <v>20</v>
          </cell>
          <cell r="D1034" t="str">
            <v xml:space="preserve">الخزينة </v>
          </cell>
        </row>
        <row r="1035">
          <cell r="A1035">
            <v>64</v>
          </cell>
          <cell r="B1035">
            <v>46070</v>
          </cell>
          <cell r="C1035">
            <v>20</v>
          </cell>
          <cell r="D1035" t="str">
            <v xml:space="preserve">الخزينة </v>
          </cell>
        </row>
        <row r="1036">
          <cell r="A1036">
            <v>55</v>
          </cell>
          <cell r="B1036">
            <v>46070</v>
          </cell>
          <cell r="C1036">
            <v>20</v>
          </cell>
          <cell r="D1036" t="str">
            <v xml:space="preserve">الخزينة </v>
          </cell>
        </row>
        <row r="1037">
          <cell r="A1037">
            <v>63</v>
          </cell>
          <cell r="B1037">
            <v>46070</v>
          </cell>
          <cell r="C1037">
            <v>20</v>
          </cell>
          <cell r="D1037" t="str">
            <v xml:space="preserve">الخزينة </v>
          </cell>
        </row>
        <row r="1038">
          <cell r="A1038">
            <v>59</v>
          </cell>
          <cell r="B1038">
            <v>46070</v>
          </cell>
          <cell r="C1038">
            <v>20</v>
          </cell>
          <cell r="D1038" t="str">
            <v xml:space="preserve">الخزينة </v>
          </cell>
        </row>
        <row r="1039">
          <cell r="A1039">
            <v>60</v>
          </cell>
          <cell r="B1039">
            <v>46070</v>
          </cell>
          <cell r="C1039">
            <v>20</v>
          </cell>
          <cell r="D1039" t="str">
            <v xml:space="preserve">الخزينة </v>
          </cell>
        </row>
        <row r="1040">
          <cell r="A1040">
            <v>86</v>
          </cell>
          <cell r="B1040">
            <v>46069</v>
          </cell>
          <cell r="C1040">
            <v>20</v>
          </cell>
          <cell r="D1040" t="str">
            <v xml:space="preserve">الخزينة </v>
          </cell>
        </row>
        <row r="1041">
          <cell r="A1041">
            <v>37</v>
          </cell>
          <cell r="B1041">
            <v>46069</v>
          </cell>
          <cell r="C1041">
            <v>20</v>
          </cell>
          <cell r="D1041" t="str">
            <v xml:space="preserve">الخزينة </v>
          </cell>
        </row>
        <row r="1042">
          <cell r="A1042">
            <v>53</v>
          </cell>
          <cell r="B1042">
            <v>46069</v>
          </cell>
          <cell r="C1042">
            <v>20</v>
          </cell>
          <cell r="D1042" t="str">
            <v xml:space="preserve">الخزينة </v>
          </cell>
        </row>
        <row r="1043">
          <cell r="A1043">
            <v>53</v>
          </cell>
          <cell r="B1043">
            <v>46069</v>
          </cell>
          <cell r="C1043">
            <v>20</v>
          </cell>
          <cell r="D1043" t="str">
            <v xml:space="preserve">الخزينة </v>
          </cell>
        </row>
        <row r="1044">
          <cell r="A1044">
            <v>54</v>
          </cell>
          <cell r="B1044">
            <v>46069</v>
          </cell>
          <cell r="C1044">
            <v>20</v>
          </cell>
          <cell r="D1044" t="str">
            <v xml:space="preserve">الخزينة </v>
          </cell>
        </row>
        <row r="1045">
          <cell r="A1045">
            <v>90</v>
          </cell>
          <cell r="B1045">
            <v>46068</v>
          </cell>
          <cell r="C1045">
            <v>20</v>
          </cell>
          <cell r="D1045" t="str">
            <v xml:space="preserve">الخزينة </v>
          </cell>
        </row>
        <row r="1046">
          <cell r="A1046">
            <v>87</v>
          </cell>
          <cell r="B1046">
            <v>46068</v>
          </cell>
          <cell r="C1046">
            <v>20</v>
          </cell>
          <cell r="D1046" t="str">
            <v xml:space="preserve">الخزينة </v>
          </cell>
        </row>
        <row r="1047">
          <cell r="A1047">
            <v>68</v>
          </cell>
          <cell r="B1047">
            <v>46068</v>
          </cell>
          <cell r="C1047">
            <v>20</v>
          </cell>
          <cell r="D1047" t="str">
            <v xml:space="preserve">الخزينة </v>
          </cell>
        </row>
        <row r="1048">
          <cell r="A1048">
            <v>53</v>
          </cell>
          <cell r="B1048">
            <v>46068</v>
          </cell>
          <cell r="C1048">
            <v>20</v>
          </cell>
          <cell r="D1048" t="str">
            <v xml:space="preserve">الخزينة </v>
          </cell>
        </row>
        <row r="1049">
          <cell r="A1049">
            <v>56</v>
          </cell>
          <cell r="B1049">
            <v>46068</v>
          </cell>
          <cell r="C1049">
            <v>20</v>
          </cell>
          <cell r="D1049" t="str">
            <v xml:space="preserve">الخزينة </v>
          </cell>
        </row>
        <row r="1050">
          <cell r="A1050">
            <v>59</v>
          </cell>
          <cell r="B1050">
            <v>46068</v>
          </cell>
          <cell r="C1050">
            <v>20</v>
          </cell>
          <cell r="D1050" t="str">
            <v xml:space="preserve">الخزينة </v>
          </cell>
        </row>
        <row r="1051">
          <cell r="A1051">
            <v>60</v>
          </cell>
          <cell r="B1051">
            <v>46068</v>
          </cell>
          <cell r="C1051">
            <v>20</v>
          </cell>
          <cell r="D1051" t="str">
            <v xml:space="preserve">الخزينة </v>
          </cell>
        </row>
        <row r="1052">
          <cell r="A1052">
            <v>60</v>
          </cell>
          <cell r="B1052">
            <v>46068</v>
          </cell>
          <cell r="C1052">
            <v>20</v>
          </cell>
          <cell r="D1052" t="str">
            <v xml:space="preserve">الخزينة </v>
          </cell>
        </row>
        <row r="1053">
          <cell r="A1053">
            <v>60</v>
          </cell>
          <cell r="B1053">
            <v>46068</v>
          </cell>
          <cell r="C1053">
            <v>20</v>
          </cell>
          <cell r="D1053" t="str">
            <v xml:space="preserve">الخزينة </v>
          </cell>
        </row>
        <row r="1054">
          <cell r="A1054">
            <v>94</v>
          </cell>
          <cell r="B1054">
            <v>46067</v>
          </cell>
          <cell r="C1054">
            <v>20</v>
          </cell>
          <cell r="D1054" t="str">
            <v xml:space="preserve">الخزينة </v>
          </cell>
        </row>
        <row r="1055">
          <cell r="A1055">
            <v>90</v>
          </cell>
          <cell r="B1055">
            <v>46067</v>
          </cell>
          <cell r="C1055">
            <v>20</v>
          </cell>
          <cell r="D1055" t="str">
            <v xml:space="preserve">الخزينة </v>
          </cell>
        </row>
        <row r="1056">
          <cell r="A1056">
            <v>16</v>
          </cell>
          <cell r="B1056">
            <v>46067</v>
          </cell>
          <cell r="C1056">
            <v>20</v>
          </cell>
          <cell r="D1056" t="str">
            <v xml:space="preserve">الخزينة </v>
          </cell>
        </row>
        <row r="1057">
          <cell r="A1057">
            <v>64</v>
          </cell>
          <cell r="B1057">
            <v>46067</v>
          </cell>
          <cell r="C1057">
            <v>20</v>
          </cell>
          <cell r="D1057" t="str">
            <v xml:space="preserve">الخزينة </v>
          </cell>
        </row>
        <row r="1058">
          <cell r="A1058">
            <v>5</v>
          </cell>
          <cell r="B1058">
            <v>46065</v>
          </cell>
          <cell r="C1058">
            <v>20</v>
          </cell>
          <cell r="D1058" t="str">
            <v xml:space="preserve">الخزينة </v>
          </cell>
        </row>
        <row r="1059">
          <cell r="A1059">
            <v>5</v>
          </cell>
          <cell r="B1059">
            <v>46065</v>
          </cell>
          <cell r="C1059">
            <v>20</v>
          </cell>
          <cell r="D1059" t="str">
            <v xml:space="preserve">الخزينة </v>
          </cell>
        </row>
        <row r="1060">
          <cell r="A1060">
            <v>10</v>
          </cell>
          <cell r="B1060">
            <v>46065</v>
          </cell>
          <cell r="C1060">
            <v>20</v>
          </cell>
          <cell r="D1060" t="str">
            <v xml:space="preserve">الخزينة </v>
          </cell>
        </row>
        <row r="1061">
          <cell r="A1061">
            <v>17</v>
          </cell>
          <cell r="B1061">
            <v>46065</v>
          </cell>
          <cell r="C1061">
            <v>20</v>
          </cell>
          <cell r="D1061" t="str">
            <v xml:space="preserve">الخزينة </v>
          </cell>
        </row>
        <row r="1062">
          <cell r="A1062">
            <v>17</v>
          </cell>
          <cell r="B1062">
            <v>46065</v>
          </cell>
          <cell r="C1062">
            <v>20</v>
          </cell>
          <cell r="D1062" t="str">
            <v xml:space="preserve">الخزينة </v>
          </cell>
        </row>
        <row r="1063">
          <cell r="A1063">
            <v>21</v>
          </cell>
          <cell r="B1063">
            <v>46065</v>
          </cell>
          <cell r="C1063">
            <v>20</v>
          </cell>
          <cell r="D1063" t="str">
            <v xml:space="preserve">الخزينة </v>
          </cell>
        </row>
        <row r="1064">
          <cell r="A1064">
            <v>22</v>
          </cell>
          <cell r="B1064">
            <v>46065</v>
          </cell>
          <cell r="C1064">
            <v>20</v>
          </cell>
          <cell r="D1064" t="str">
            <v xml:space="preserve">الخزينة </v>
          </cell>
        </row>
        <row r="1065">
          <cell r="A1065">
            <v>24</v>
          </cell>
          <cell r="B1065">
            <v>46065</v>
          </cell>
          <cell r="C1065">
            <v>20</v>
          </cell>
          <cell r="D1065" t="str">
            <v xml:space="preserve">الخزينة </v>
          </cell>
        </row>
        <row r="1066">
          <cell r="A1066">
            <v>33</v>
          </cell>
          <cell r="B1066">
            <v>46065</v>
          </cell>
          <cell r="C1066">
            <v>20</v>
          </cell>
          <cell r="D1066" t="str">
            <v xml:space="preserve">الخزينة </v>
          </cell>
        </row>
        <row r="1067">
          <cell r="A1067">
            <v>70</v>
          </cell>
          <cell r="B1067">
            <v>46065</v>
          </cell>
          <cell r="C1067">
            <v>20</v>
          </cell>
          <cell r="D1067" t="str">
            <v xml:space="preserve">الخزينة </v>
          </cell>
        </row>
        <row r="1068">
          <cell r="A1068">
            <v>70</v>
          </cell>
          <cell r="B1068">
            <v>46065</v>
          </cell>
          <cell r="C1068">
            <v>20</v>
          </cell>
          <cell r="D1068" t="str">
            <v xml:space="preserve">الخزينة </v>
          </cell>
        </row>
        <row r="1069">
          <cell r="A1069">
            <v>40</v>
          </cell>
          <cell r="B1069">
            <v>46065</v>
          </cell>
          <cell r="C1069">
            <v>20</v>
          </cell>
          <cell r="D1069" t="str">
            <v xml:space="preserve">الخزينة </v>
          </cell>
        </row>
        <row r="1070">
          <cell r="A1070">
            <v>40</v>
          </cell>
          <cell r="B1070">
            <v>46065</v>
          </cell>
          <cell r="C1070">
            <v>20</v>
          </cell>
          <cell r="D1070" t="str">
            <v xml:space="preserve">الخزينة </v>
          </cell>
        </row>
        <row r="1071">
          <cell r="A1071">
            <v>41</v>
          </cell>
          <cell r="B1071">
            <v>46065</v>
          </cell>
          <cell r="C1071">
            <v>20</v>
          </cell>
          <cell r="D1071" t="str">
            <v xml:space="preserve">الخزينة </v>
          </cell>
        </row>
        <row r="1072">
          <cell r="A1072">
            <v>44</v>
          </cell>
          <cell r="B1072">
            <v>46065</v>
          </cell>
          <cell r="C1072">
            <v>20</v>
          </cell>
          <cell r="D1072" t="str">
            <v xml:space="preserve">الخزينة </v>
          </cell>
        </row>
        <row r="1073">
          <cell r="A1073">
            <v>44</v>
          </cell>
          <cell r="B1073">
            <v>46065</v>
          </cell>
          <cell r="C1073">
            <v>20</v>
          </cell>
          <cell r="D1073" t="str">
            <v xml:space="preserve">الخزينة </v>
          </cell>
        </row>
        <row r="1074">
          <cell r="A1074">
            <v>48</v>
          </cell>
          <cell r="B1074">
            <v>46065</v>
          </cell>
          <cell r="C1074">
            <v>20</v>
          </cell>
          <cell r="D1074" t="str">
            <v xml:space="preserve">الخزينة </v>
          </cell>
        </row>
        <row r="1075">
          <cell r="A1075">
            <v>51</v>
          </cell>
          <cell r="B1075">
            <v>46065</v>
          </cell>
          <cell r="C1075">
            <v>20</v>
          </cell>
          <cell r="D1075" t="str">
            <v xml:space="preserve">الخزينة </v>
          </cell>
        </row>
        <row r="1076">
          <cell r="A1076">
            <v>51</v>
          </cell>
          <cell r="B1076">
            <v>46065</v>
          </cell>
          <cell r="C1076">
            <v>20</v>
          </cell>
          <cell r="D1076" t="str">
            <v xml:space="preserve">الخزينة </v>
          </cell>
        </row>
        <row r="1077">
          <cell r="A1077">
            <v>67</v>
          </cell>
          <cell r="B1077">
            <v>46065</v>
          </cell>
          <cell r="C1077">
            <v>20</v>
          </cell>
          <cell r="D1077" t="str">
            <v xml:space="preserve">الخزينة </v>
          </cell>
        </row>
        <row r="1078">
          <cell r="A1078">
            <v>66</v>
          </cell>
          <cell r="B1078">
            <v>46065</v>
          </cell>
          <cell r="C1078">
            <v>20</v>
          </cell>
          <cell r="D1078" t="str">
            <v xml:space="preserve">الخزينة </v>
          </cell>
        </row>
        <row r="1079">
          <cell r="A1079">
            <v>66</v>
          </cell>
          <cell r="B1079">
            <v>46065</v>
          </cell>
          <cell r="C1079">
            <v>20</v>
          </cell>
          <cell r="D1079" t="str">
            <v xml:space="preserve">الخزينة </v>
          </cell>
        </row>
        <row r="1080">
          <cell r="A1080">
            <v>55</v>
          </cell>
          <cell r="B1080">
            <v>46065</v>
          </cell>
          <cell r="C1080">
            <v>20</v>
          </cell>
          <cell r="D1080" t="str">
            <v xml:space="preserve">الخزينة </v>
          </cell>
        </row>
        <row r="1081">
          <cell r="A1081">
            <v>55</v>
          </cell>
          <cell r="B1081">
            <v>46065</v>
          </cell>
          <cell r="C1081">
            <v>20</v>
          </cell>
          <cell r="D1081" t="str">
            <v xml:space="preserve">الخزينة </v>
          </cell>
        </row>
        <row r="1082">
          <cell r="A1082">
            <v>55</v>
          </cell>
          <cell r="B1082">
            <v>46065</v>
          </cell>
          <cell r="C1082">
            <v>20</v>
          </cell>
          <cell r="D1082" t="str">
            <v xml:space="preserve">الخزينة </v>
          </cell>
        </row>
        <row r="1083">
          <cell r="A1083">
            <v>57</v>
          </cell>
          <cell r="B1083">
            <v>46065</v>
          </cell>
          <cell r="C1083">
            <v>20</v>
          </cell>
          <cell r="D1083" t="str">
            <v xml:space="preserve">الخزينة </v>
          </cell>
        </row>
        <row r="1084">
          <cell r="A1084">
            <v>59</v>
          </cell>
          <cell r="B1084">
            <v>46065</v>
          </cell>
          <cell r="C1084">
            <v>20</v>
          </cell>
          <cell r="D1084" t="str">
            <v xml:space="preserve">الخزينة </v>
          </cell>
        </row>
        <row r="1085">
          <cell r="A1085">
            <v>59</v>
          </cell>
          <cell r="B1085">
            <v>46065</v>
          </cell>
          <cell r="C1085">
            <v>20</v>
          </cell>
          <cell r="D1085" t="str">
            <v xml:space="preserve">الخزينة </v>
          </cell>
        </row>
        <row r="1086">
          <cell r="A1086">
            <v>60</v>
          </cell>
          <cell r="B1086">
            <v>46065</v>
          </cell>
          <cell r="C1086">
            <v>20</v>
          </cell>
          <cell r="D1086" t="str">
            <v xml:space="preserve">الخزينة </v>
          </cell>
        </row>
        <row r="1087">
          <cell r="A1087">
            <v>94</v>
          </cell>
          <cell r="B1087">
            <v>46064</v>
          </cell>
          <cell r="C1087">
            <v>20</v>
          </cell>
          <cell r="D1087" t="str">
            <v xml:space="preserve">الخزينة </v>
          </cell>
        </row>
        <row r="1088">
          <cell r="A1088">
            <v>90</v>
          </cell>
          <cell r="B1088">
            <v>46064</v>
          </cell>
          <cell r="C1088">
            <v>20</v>
          </cell>
          <cell r="D1088" t="str">
            <v xml:space="preserve">الخزينة </v>
          </cell>
        </row>
        <row r="1089">
          <cell r="A1089">
            <v>90</v>
          </cell>
          <cell r="B1089">
            <v>46064</v>
          </cell>
          <cell r="C1089">
            <v>20</v>
          </cell>
          <cell r="D1089" t="str">
            <v xml:space="preserve">الخزينة </v>
          </cell>
        </row>
        <row r="1090">
          <cell r="A1090">
            <v>3</v>
          </cell>
          <cell r="B1090">
            <v>46064</v>
          </cell>
          <cell r="C1090">
            <v>20</v>
          </cell>
          <cell r="D1090" t="str">
            <v xml:space="preserve">الخزينة </v>
          </cell>
        </row>
        <row r="1091">
          <cell r="A1091">
            <v>10</v>
          </cell>
          <cell r="B1091">
            <v>46064</v>
          </cell>
          <cell r="C1091">
            <v>20</v>
          </cell>
          <cell r="D1091" t="str">
            <v xml:space="preserve">الخزينة </v>
          </cell>
        </row>
        <row r="1092">
          <cell r="A1092">
            <v>14</v>
          </cell>
          <cell r="B1092">
            <v>46064</v>
          </cell>
          <cell r="C1092">
            <v>20</v>
          </cell>
          <cell r="D1092" t="str">
            <v xml:space="preserve">الخزينة </v>
          </cell>
        </row>
        <row r="1093">
          <cell r="A1093">
            <v>14</v>
          </cell>
          <cell r="B1093">
            <v>46064</v>
          </cell>
          <cell r="C1093">
            <v>20</v>
          </cell>
          <cell r="D1093" t="str">
            <v xml:space="preserve">الخزينة </v>
          </cell>
        </row>
        <row r="1094">
          <cell r="A1094">
            <v>87</v>
          </cell>
          <cell r="B1094">
            <v>46064</v>
          </cell>
          <cell r="C1094">
            <v>20</v>
          </cell>
          <cell r="D1094" t="str">
            <v xml:space="preserve">الخزينة </v>
          </cell>
        </row>
        <row r="1095">
          <cell r="A1095">
            <v>70</v>
          </cell>
          <cell r="B1095">
            <v>46064</v>
          </cell>
          <cell r="C1095">
            <v>20</v>
          </cell>
          <cell r="D1095" t="str">
            <v xml:space="preserve">الخزينة </v>
          </cell>
        </row>
        <row r="1096">
          <cell r="A1096">
            <v>53</v>
          </cell>
          <cell r="B1096">
            <v>46064</v>
          </cell>
          <cell r="C1096">
            <v>20</v>
          </cell>
          <cell r="D1096" t="str">
            <v xml:space="preserve">الخزينة </v>
          </cell>
        </row>
        <row r="1097">
          <cell r="A1097">
            <v>53</v>
          </cell>
          <cell r="B1097">
            <v>46064</v>
          </cell>
          <cell r="C1097">
            <v>20</v>
          </cell>
          <cell r="D1097" t="str">
            <v xml:space="preserve">الخزينة </v>
          </cell>
        </row>
        <row r="1098">
          <cell r="A1098">
            <v>54</v>
          </cell>
          <cell r="B1098">
            <v>46064</v>
          </cell>
          <cell r="C1098">
            <v>20</v>
          </cell>
          <cell r="D1098" t="str">
            <v xml:space="preserve">الخزينة </v>
          </cell>
        </row>
        <row r="1099">
          <cell r="A1099">
            <v>64</v>
          </cell>
          <cell r="B1099">
            <v>46064</v>
          </cell>
          <cell r="C1099">
            <v>20</v>
          </cell>
          <cell r="D1099" t="str">
            <v xml:space="preserve">الخزينة </v>
          </cell>
        </row>
        <row r="1100">
          <cell r="A1100">
            <v>64</v>
          </cell>
          <cell r="B1100">
            <v>46064</v>
          </cell>
          <cell r="C1100">
            <v>20</v>
          </cell>
          <cell r="D1100" t="str">
            <v xml:space="preserve">الخزينة </v>
          </cell>
        </row>
        <row r="1101">
          <cell r="A1101">
            <v>55</v>
          </cell>
          <cell r="B1101">
            <v>46064</v>
          </cell>
          <cell r="C1101">
            <v>20</v>
          </cell>
          <cell r="D1101" t="str">
            <v xml:space="preserve">الخزينة </v>
          </cell>
        </row>
        <row r="1102">
          <cell r="A1102">
            <v>56</v>
          </cell>
          <cell r="B1102">
            <v>46064</v>
          </cell>
          <cell r="C1102">
            <v>20</v>
          </cell>
          <cell r="D1102" t="str">
            <v xml:space="preserve">الخزينة </v>
          </cell>
        </row>
        <row r="1103">
          <cell r="A1103">
            <v>60</v>
          </cell>
          <cell r="B1103">
            <v>46064</v>
          </cell>
          <cell r="C1103">
            <v>20</v>
          </cell>
          <cell r="D1103" t="str">
            <v xml:space="preserve">الخزينة </v>
          </cell>
        </row>
        <row r="1104">
          <cell r="A1104">
            <v>94</v>
          </cell>
          <cell r="B1104">
            <v>46063</v>
          </cell>
          <cell r="C1104">
            <v>20</v>
          </cell>
          <cell r="D1104" t="str">
            <v xml:space="preserve">الخزينة </v>
          </cell>
        </row>
        <row r="1105">
          <cell r="A1105">
            <v>90</v>
          </cell>
          <cell r="B1105">
            <v>46063</v>
          </cell>
          <cell r="C1105">
            <v>20</v>
          </cell>
          <cell r="D1105" t="str">
            <v xml:space="preserve">الخزينة </v>
          </cell>
        </row>
        <row r="1106">
          <cell r="A1106">
            <v>10</v>
          </cell>
          <cell r="B1106">
            <v>46063</v>
          </cell>
          <cell r="C1106">
            <v>20</v>
          </cell>
          <cell r="D1106" t="str">
            <v xml:space="preserve">الخزينة </v>
          </cell>
        </row>
        <row r="1107">
          <cell r="A1107">
            <v>26</v>
          </cell>
          <cell r="B1107">
            <v>46063</v>
          </cell>
          <cell r="C1107">
            <v>20</v>
          </cell>
          <cell r="D1107" t="str">
            <v xml:space="preserve">الخزينة </v>
          </cell>
        </row>
        <row r="1108">
          <cell r="A1108">
            <v>82</v>
          </cell>
          <cell r="B1108">
            <v>46063</v>
          </cell>
          <cell r="C1108">
            <v>20</v>
          </cell>
          <cell r="D1108" t="str">
            <v xml:space="preserve">الخزينة </v>
          </cell>
        </row>
        <row r="1109">
          <cell r="A1109">
            <v>82</v>
          </cell>
          <cell r="B1109">
            <v>46063</v>
          </cell>
          <cell r="C1109">
            <v>20</v>
          </cell>
          <cell r="D1109" t="str">
            <v xml:space="preserve">الخزينة </v>
          </cell>
        </row>
        <row r="1110">
          <cell r="A1110">
            <v>82</v>
          </cell>
          <cell r="B1110">
            <v>46063</v>
          </cell>
          <cell r="C1110">
            <v>20</v>
          </cell>
          <cell r="D1110" t="str">
            <v xml:space="preserve">الخزينة </v>
          </cell>
        </row>
        <row r="1111">
          <cell r="A1111">
            <v>28</v>
          </cell>
          <cell r="B1111">
            <v>46063</v>
          </cell>
          <cell r="C1111">
            <v>20</v>
          </cell>
          <cell r="D1111" t="str">
            <v xml:space="preserve">الخزينة </v>
          </cell>
        </row>
        <row r="1112">
          <cell r="A1112">
            <v>70</v>
          </cell>
          <cell r="B1112">
            <v>46063</v>
          </cell>
          <cell r="C1112">
            <v>20</v>
          </cell>
          <cell r="D1112" t="str">
            <v xml:space="preserve">الخزينة </v>
          </cell>
        </row>
        <row r="1113">
          <cell r="A1113">
            <v>69</v>
          </cell>
          <cell r="B1113">
            <v>46063</v>
          </cell>
          <cell r="C1113">
            <v>20</v>
          </cell>
          <cell r="D1113" t="str">
            <v xml:space="preserve">الخزينة </v>
          </cell>
        </row>
        <row r="1114">
          <cell r="A1114">
            <v>69</v>
          </cell>
          <cell r="B1114">
            <v>46063</v>
          </cell>
          <cell r="C1114">
            <v>20</v>
          </cell>
          <cell r="D1114" t="str">
            <v xml:space="preserve">الخزينة </v>
          </cell>
        </row>
        <row r="1115">
          <cell r="A1115">
            <v>67</v>
          </cell>
          <cell r="B1115">
            <v>46063</v>
          </cell>
          <cell r="C1115">
            <v>20</v>
          </cell>
          <cell r="D1115" t="str">
            <v xml:space="preserve">الخزينة </v>
          </cell>
        </row>
        <row r="1116">
          <cell r="A1116">
            <v>66</v>
          </cell>
          <cell r="B1116">
            <v>46063</v>
          </cell>
          <cell r="C1116">
            <v>20</v>
          </cell>
          <cell r="D1116" t="str">
            <v xml:space="preserve">الخزينة </v>
          </cell>
        </row>
        <row r="1117">
          <cell r="A1117">
            <v>66</v>
          </cell>
          <cell r="B1117">
            <v>46063</v>
          </cell>
          <cell r="C1117">
            <v>20</v>
          </cell>
          <cell r="D1117" t="str">
            <v xml:space="preserve">الخزينة </v>
          </cell>
        </row>
        <row r="1118">
          <cell r="A1118">
            <v>66</v>
          </cell>
          <cell r="B1118">
            <v>46063</v>
          </cell>
          <cell r="C1118">
            <v>20</v>
          </cell>
          <cell r="D1118" t="str">
            <v xml:space="preserve">الخزينة </v>
          </cell>
        </row>
        <row r="1119">
          <cell r="A1119">
            <v>53</v>
          </cell>
          <cell r="B1119">
            <v>46063</v>
          </cell>
          <cell r="C1119">
            <v>20</v>
          </cell>
          <cell r="D1119" t="str">
            <v xml:space="preserve">الخزينة </v>
          </cell>
        </row>
        <row r="1120">
          <cell r="A1120">
            <v>64</v>
          </cell>
          <cell r="B1120">
            <v>46063</v>
          </cell>
          <cell r="C1120">
            <v>20</v>
          </cell>
          <cell r="D1120" t="str">
            <v xml:space="preserve">الخزينة </v>
          </cell>
        </row>
        <row r="1121">
          <cell r="A1121">
            <v>64</v>
          </cell>
          <cell r="B1121">
            <v>46063</v>
          </cell>
          <cell r="C1121">
            <v>20</v>
          </cell>
          <cell r="D1121" t="str">
            <v xml:space="preserve">الخزينة </v>
          </cell>
        </row>
        <row r="1122">
          <cell r="A1122">
            <v>55</v>
          </cell>
          <cell r="B1122">
            <v>46063</v>
          </cell>
          <cell r="C1122">
            <v>20</v>
          </cell>
          <cell r="D1122" t="str">
            <v xml:space="preserve">الخزينة </v>
          </cell>
        </row>
        <row r="1123">
          <cell r="A1123">
            <v>55</v>
          </cell>
          <cell r="B1123">
            <v>46063</v>
          </cell>
          <cell r="C1123">
            <v>20</v>
          </cell>
          <cell r="D1123" t="str">
            <v xml:space="preserve">الخزينة </v>
          </cell>
        </row>
        <row r="1124">
          <cell r="A1124">
            <v>55</v>
          </cell>
          <cell r="B1124">
            <v>46063</v>
          </cell>
          <cell r="C1124">
            <v>20</v>
          </cell>
          <cell r="D1124" t="str">
            <v xml:space="preserve">الخزينة </v>
          </cell>
        </row>
        <row r="1125">
          <cell r="A1125">
            <v>56</v>
          </cell>
          <cell r="B1125">
            <v>46063</v>
          </cell>
          <cell r="C1125">
            <v>20</v>
          </cell>
          <cell r="D1125" t="str">
            <v xml:space="preserve">الخزينة </v>
          </cell>
        </row>
        <row r="1126">
          <cell r="A1126">
            <v>63</v>
          </cell>
          <cell r="B1126">
            <v>46063</v>
          </cell>
          <cell r="C1126">
            <v>20</v>
          </cell>
          <cell r="D1126" t="str">
            <v xml:space="preserve">الخزينة </v>
          </cell>
        </row>
        <row r="1127">
          <cell r="A1127">
            <v>10</v>
          </cell>
          <cell r="B1127">
            <v>46062</v>
          </cell>
          <cell r="C1127">
            <v>20</v>
          </cell>
          <cell r="D1127" t="str">
            <v xml:space="preserve">الخزينة </v>
          </cell>
        </row>
        <row r="1128">
          <cell r="A1128">
            <v>88</v>
          </cell>
          <cell r="B1128">
            <v>46062</v>
          </cell>
          <cell r="C1128">
            <v>20</v>
          </cell>
          <cell r="D1128" t="str">
            <v xml:space="preserve">الخزينة </v>
          </cell>
        </row>
        <row r="1129">
          <cell r="A1129">
            <v>87</v>
          </cell>
          <cell r="B1129">
            <v>46062</v>
          </cell>
          <cell r="C1129">
            <v>20</v>
          </cell>
          <cell r="D1129" t="str">
            <v xml:space="preserve">الخزينة </v>
          </cell>
        </row>
        <row r="1130">
          <cell r="A1130">
            <v>82</v>
          </cell>
          <cell r="B1130">
            <v>46062</v>
          </cell>
          <cell r="C1130">
            <v>20</v>
          </cell>
          <cell r="D1130" t="str">
            <v xml:space="preserve">الخزينة </v>
          </cell>
        </row>
        <row r="1131">
          <cell r="A1131">
            <v>78</v>
          </cell>
          <cell r="B1131">
            <v>46062</v>
          </cell>
          <cell r="C1131">
            <v>20</v>
          </cell>
          <cell r="D1131" t="str">
            <v xml:space="preserve">الخزينة </v>
          </cell>
        </row>
        <row r="1132">
          <cell r="A1132">
            <v>70</v>
          </cell>
          <cell r="B1132">
            <v>46062</v>
          </cell>
          <cell r="C1132">
            <v>20</v>
          </cell>
          <cell r="D1132" t="str">
            <v xml:space="preserve">الخزينة </v>
          </cell>
        </row>
        <row r="1133">
          <cell r="A1133">
            <v>67</v>
          </cell>
          <cell r="B1133">
            <v>46062</v>
          </cell>
          <cell r="C1133">
            <v>20</v>
          </cell>
          <cell r="D1133" t="str">
            <v xml:space="preserve">الخزينة </v>
          </cell>
        </row>
        <row r="1134">
          <cell r="A1134">
            <v>53</v>
          </cell>
          <cell r="B1134">
            <v>46062</v>
          </cell>
          <cell r="C1134">
            <v>20</v>
          </cell>
          <cell r="D1134" t="str">
            <v xml:space="preserve">الخزينة </v>
          </cell>
        </row>
        <row r="1135">
          <cell r="A1135">
            <v>53</v>
          </cell>
          <cell r="B1135">
            <v>46062</v>
          </cell>
          <cell r="C1135">
            <v>20</v>
          </cell>
          <cell r="D1135" t="str">
            <v xml:space="preserve">الخزينة </v>
          </cell>
        </row>
        <row r="1136">
          <cell r="A1136">
            <v>64</v>
          </cell>
          <cell r="B1136">
            <v>46062</v>
          </cell>
          <cell r="C1136">
            <v>20</v>
          </cell>
          <cell r="D1136" t="str">
            <v xml:space="preserve">الخزينة </v>
          </cell>
        </row>
        <row r="1137">
          <cell r="A1137">
            <v>56</v>
          </cell>
          <cell r="B1137">
            <v>46062</v>
          </cell>
          <cell r="C1137">
            <v>20</v>
          </cell>
          <cell r="D1137" t="str">
            <v xml:space="preserve">الخزينة </v>
          </cell>
        </row>
        <row r="1138">
          <cell r="A1138">
            <v>57</v>
          </cell>
          <cell r="B1138">
            <v>46062</v>
          </cell>
          <cell r="C1138">
            <v>20</v>
          </cell>
          <cell r="D1138" t="str">
            <v xml:space="preserve">الخزينة </v>
          </cell>
        </row>
        <row r="1139">
          <cell r="A1139">
            <v>63</v>
          </cell>
          <cell r="B1139">
            <v>46062</v>
          </cell>
          <cell r="C1139">
            <v>20</v>
          </cell>
          <cell r="D1139" t="str">
            <v xml:space="preserve">الخزينة </v>
          </cell>
        </row>
        <row r="1140">
          <cell r="A1140">
            <v>59</v>
          </cell>
          <cell r="B1140">
            <v>46062</v>
          </cell>
          <cell r="C1140">
            <v>20</v>
          </cell>
          <cell r="D1140" t="str">
            <v xml:space="preserve">الخزينة </v>
          </cell>
        </row>
        <row r="1141">
          <cell r="A1141">
            <v>59</v>
          </cell>
          <cell r="B1141">
            <v>46062</v>
          </cell>
          <cell r="C1141">
            <v>20</v>
          </cell>
          <cell r="D1141" t="str">
            <v xml:space="preserve">الخزينة </v>
          </cell>
        </row>
        <row r="1142">
          <cell r="A1142">
            <v>60</v>
          </cell>
          <cell r="B1142">
            <v>46062</v>
          </cell>
          <cell r="C1142">
            <v>20</v>
          </cell>
          <cell r="D1142" t="str">
            <v xml:space="preserve">الخزينة </v>
          </cell>
        </row>
        <row r="1143">
          <cell r="A1143">
            <v>60</v>
          </cell>
          <cell r="B1143">
            <v>46062</v>
          </cell>
          <cell r="C1143">
            <v>20</v>
          </cell>
          <cell r="D1143" t="str">
            <v xml:space="preserve">الخزينة </v>
          </cell>
        </row>
        <row r="1144">
          <cell r="A1144">
            <v>60</v>
          </cell>
          <cell r="B1144">
            <v>46062</v>
          </cell>
          <cell r="C1144">
            <v>20</v>
          </cell>
          <cell r="D1144" t="str">
            <v xml:space="preserve">الخزينة </v>
          </cell>
        </row>
        <row r="1145">
          <cell r="A1145">
            <v>60</v>
          </cell>
          <cell r="B1145">
            <v>46062</v>
          </cell>
          <cell r="C1145">
            <v>20</v>
          </cell>
          <cell r="D1145" t="str">
            <v xml:space="preserve">الخزينة </v>
          </cell>
        </row>
        <row r="1146">
          <cell r="A1146">
            <v>60</v>
          </cell>
          <cell r="B1146">
            <v>46062</v>
          </cell>
          <cell r="C1146">
            <v>20</v>
          </cell>
          <cell r="D1146" t="str">
            <v xml:space="preserve">الخزينة </v>
          </cell>
        </row>
        <row r="1147">
          <cell r="A1147">
            <v>60</v>
          </cell>
          <cell r="B1147">
            <v>46062</v>
          </cell>
          <cell r="C1147">
            <v>20</v>
          </cell>
          <cell r="D1147" t="str">
            <v xml:space="preserve">الخزينة </v>
          </cell>
        </row>
        <row r="1148">
          <cell r="A1148">
            <v>60</v>
          </cell>
          <cell r="B1148">
            <v>46062</v>
          </cell>
          <cell r="C1148">
            <v>20</v>
          </cell>
          <cell r="D1148" t="str">
            <v xml:space="preserve">الخزينة </v>
          </cell>
        </row>
        <row r="1149">
          <cell r="A1149">
            <v>94</v>
          </cell>
          <cell r="B1149">
            <v>46061</v>
          </cell>
          <cell r="C1149">
            <v>20</v>
          </cell>
          <cell r="D1149" t="str">
            <v xml:space="preserve">الخزينة </v>
          </cell>
        </row>
        <row r="1150">
          <cell r="A1150">
            <v>90</v>
          </cell>
          <cell r="B1150">
            <v>46061</v>
          </cell>
          <cell r="C1150">
            <v>20</v>
          </cell>
          <cell r="D1150" t="str">
            <v xml:space="preserve">الخزينة </v>
          </cell>
        </row>
        <row r="1151">
          <cell r="A1151">
            <v>2</v>
          </cell>
          <cell r="B1151">
            <v>46061</v>
          </cell>
          <cell r="C1151">
            <v>20</v>
          </cell>
          <cell r="D1151" t="str">
            <v xml:space="preserve">الخزينة </v>
          </cell>
        </row>
        <row r="1152">
          <cell r="A1152">
            <v>2</v>
          </cell>
          <cell r="B1152">
            <v>46061</v>
          </cell>
          <cell r="C1152">
            <v>20</v>
          </cell>
          <cell r="D1152" t="str">
            <v xml:space="preserve">الخزينة </v>
          </cell>
        </row>
        <row r="1153">
          <cell r="A1153">
            <v>10</v>
          </cell>
          <cell r="B1153">
            <v>46061</v>
          </cell>
          <cell r="C1153">
            <v>20</v>
          </cell>
          <cell r="D1153" t="str">
            <v xml:space="preserve">الخزينة </v>
          </cell>
        </row>
        <row r="1154">
          <cell r="A1154">
            <v>24</v>
          </cell>
          <cell r="B1154">
            <v>46061</v>
          </cell>
          <cell r="C1154">
            <v>20</v>
          </cell>
          <cell r="D1154" t="str">
            <v xml:space="preserve">الخزينة </v>
          </cell>
        </row>
        <row r="1155">
          <cell r="A1155">
            <v>59</v>
          </cell>
          <cell r="B1155">
            <v>46061</v>
          </cell>
          <cell r="C1155">
            <v>20</v>
          </cell>
          <cell r="D1155" t="str">
            <v xml:space="preserve">الخزينة </v>
          </cell>
        </row>
        <row r="1156">
          <cell r="A1156">
            <v>16</v>
          </cell>
          <cell r="B1156">
            <v>46060</v>
          </cell>
          <cell r="C1156">
            <v>20</v>
          </cell>
          <cell r="D1156" t="str">
            <v xml:space="preserve">الخزينة </v>
          </cell>
        </row>
        <row r="1157">
          <cell r="A1157">
            <v>72</v>
          </cell>
          <cell r="B1157">
            <v>46060</v>
          </cell>
          <cell r="C1157">
            <v>20</v>
          </cell>
          <cell r="D1157" t="str">
            <v xml:space="preserve">الخزينة </v>
          </cell>
        </row>
        <row r="1158">
          <cell r="A1158">
            <v>42</v>
          </cell>
          <cell r="B1158">
            <v>46060</v>
          </cell>
          <cell r="C1158">
            <v>20</v>
          </cell>
          <cell r="D1158" t="str">
            <v xml:space="preserve">الخزينة </v>
          </cell>
        </row>
        <row r="1159">
          <cell r="A1159">
            <v>42</v>
          </cell>
          <cell r="B1159">
            <v>46060</v>
          </cell>
          <cell r="C1159">
            <v>20</v>
          </cell>
          <cell r="D1159" t="str">
            <v xml:space="preserve">الخزينة </v>
          </cell>
        </row>
        <row r="1160">
          <cell r="A1160">
            <v>70</v>
          </cell>
          <cell r="B1160">
            <v>46060</v>
          </cell>
          <cell r="C1160">
            <v>20</v>
          </cell>
          <cell r="D1160" t="str">
            <v xml:space="preserve">الخزينة </v>
          </cell>
        </row>
        <row r="1161">
          <cell r="A1161">
            <v>63</v>
          </cell>
          <cell r="B1161">
            <v>46060</v>
          </cell>
          <cell r="C1161">
            <v>20</v>
          </cell>
          <cell r="D1161" t="str">
            <v xml:space="preserve">الخزينة </v>
          </cell>
        </row>
        <row r="1162">
          <cell r="A1162">
            <v>63</v>
          </cell>
          <cell r="B1162">
            <v>46060</v>
          </cell>
          <cell r="C1162">
            <v>20</v>
          </cell>
          <cell r="D1162" t="str">
            <v xml:space="preserve">الخزينة </v>
          </cell>
        </row>
        <row r="1163">
          <cell r="A1163">
            <v>59</v>
          </cell>
          <cell r="B1163">
            <v>46060</v>
          </cell>
          <cell r="C1163">
            <v>20</v>
          </cell>
          <cell r="D1163" t="str">
            <v xml:space="preserve">الخزينة </v>
          </cell>
        </row>
        <row r="1164">
          <cell r="A1164">
            <v>10</v>
          </cell>
          <cell r="B1164">
            <v>46058</v>
          </cell>
          <cell r="C1164">
            <v>20</v>
          </cell>
          <cell r="D1164" t="str">
            <v xml:space="preserve">الخزينة </v>
          </cell>
        </row>
        <row r="1165">
          <cell r="A1165">
            <v>88</v>
          </cell>
          <cell r="B1165">
            <v>46058</v>
          </cell>
          <cell r="C1165">
            <v>20</v>
          </cell>
          <cell r="D1165" t="str">
            <v xml:space="preserve">الخزينة </v>
          </cell>
        </row>
        <row r="1166">
          <cell r="A1166">
            <v>17</v>
          </cell>
          <cell r="B1166">
            <v>46058</v>
          </cell>
          <cell r="C1166">
            <v>20</v>
          </cell>
          <cell r="D1166" t="str">
            <v xml:space="preserve">الخزينة </v>
          </cell>
        </row>
        <row r="1167">
          <cell r="A1167">
            <v>22</v>
          </cell>
          <cell r="B1167">
            <v>46058</v>
          </cell>
          <cell r="C1167">
            <v>20</v>
          </cell>
          <cell r="D1167" t="str">
            <v xml:space="preserve">الخزينة </v>
          </cell>
        </row>
        <row r="1168">
          <cell r="A1168">
            <v>22</v>
          </cell>
          <cell r="B1168">
            <v>46058</v>
          </cell>
          <cell r="C1168">
            <v>20</v>
          </cell>
          <cell r="D1168" t="str">
            <v xml:space="preserve">الخزينة </v>
          </cell>
        </row>
        <row r="1169">
          <cell r="A1169">
            <v>27</v>
          </cell>
          <cell r="B1169">
            <v>46058</v>
          </cell>
          <cell r="C1169">
            <v>20</v>
          </cell>
          <cell r="D1169" t="str">
            <v xml:space="preserve">الخزينة </v>
          </cell>
        </row>
        <row r="1170">
          <cell r="A1170">
            <v>78</v>
          </cell>
          <cell r="B1170">
            <v>46058</v>
          </cell>
          <cell r="C1170">
            <v>20</v>
          </cell>
          <cell r="D1170" t="str">
            <v xml:space="preserve">الخزينة </v>
          </cell>
        </row>
        <row r="1171">
          <cell r="A1171">
            <v>33</v>
          </cell>
          <cell r="B1171">
            <v>46058</v>
          </cell>
          <cell r="C1171">
            <v>20</v>
          </cell>
          <cell r="D1171" t="str">
            <v xml:space="preserve">الخزينة </v>
          </cell>
        </row>
        <row r="1172">
          <cell r="A1172">
            <v>70</v>
          </cell>
          <cell r="B1172">
            <v>46058</v>
          </cell>
          <cell r="C1172">
            <v>20</v>
          </cell>
          <cell r="D1172" t="str">
            <v xml:space="preserve">الخزينة </v>
          </cell>
        </row>
        <row r="1173">
          <cell r="A1173">
            <v>40</v>
          </cell>
          <cell r="B1173">
            <v>46058</v>
          </cell>
          <cell r="C1173">
            <v>20</v>
          </cell>
          <cell r="D1173" t="str">
            <v xml:space="preserve">الخزينة </v>
          </cell>
        </row>
        <row r="1174">
          <cell r="A1174">
            <v>40</v>
          </cell>
          <cell r="B1174">
            <v>46058</v>
          </cell>
          <cell r="C1174">
            <v>20</v>
          </cell>
          <cell r="D1174" t="str">
            <v xml:space="preserve">الخزينة </v>
          </cell>
        </row>
        <row r="1175">
          <cell r="A1175">
            <v>70</v>
          </cell>
          <cell r="B1175">
            <v>46058</v>
          </cell>
          <cell r="C1175">
            <v>20</v>
          </cell>
          <cell r="D1175" t="str">
            <v xml:space="preserve">الخزينة </v>
          </cell>
        </row>
        <row r="1176">
          <cell r="A1176">
            <v>70</v>
          </cell>
          <cell r="B1176">
            <v>46058</v>
          </cell>
          <cell r="C1176">
            <v>20</v>
          </cell>
          <cell r="D1176" t="str">
            <v xml:space="preserve">الخزينة </v>
          </cell>
        </row>
        <row r="1177">
          <cell r="A1177">
            <v>45</v>
          </cell>
          <cell r="B1177">
            <v>46058</v>
          </cell>
          <cell r="C1177">
            <v>20</v>
          </cell>
          <cell r="D1177" t="str">
            <v xml:space="preserve">الخزينة </v>
          </cell>
        </row>
        <row r="1178">
          <cell r="A1178">
            <v>48</v>
          </cell>
          <cell r="B1178">
            <v>46058</v>
          </cell>
          <cell r="C1178">
            <v>20</v>
          </cell>
          <cell r="D1178" t="str">
            <v xml:space="preserve">الخزينة </v>
          </cell>
        </row>
        <row r="1179">
          <cell r="A1179">
            <v>48</v>
          </cell>
          <cell r="B1179">
            <v>46058</v>
          </cell>
          <cell r="C1179">
            <v>20</v>
          </cell>
          <cell r="D1179" t="str">
            <v xml:space="preserve">الخزينة </v>
          </cell>
        </row>
        <row r="1180">
          <cell r="A1180">
            <v>48</v>
          </cell>
          <cell r="B1180">
            <v>46058</v>
          </cell>
          <cell r="C1180">
            <v>20</v>
          </cell>
          <cell r="D1180" t="str">
            <v xml:space="preserve">الخزينة </v>
          </cell>
        </row>
        <row r="1181">
          <cell r="A1181">
            <v>48</v>
          </cell>
          <cell r="B1181">
            <v>46058</v>
          </cell>
          <cell r="C1181">
            <v>20</v>
          </cell>
          <cell r="D1181" t="str">
            <v xml:space="preserve">الخزينة </v>
          </cell>
        </row>
        <row r="1182">
          <cell r="A1182">
            <v>67</v>
          </cell>
          <cell r="B1182">
            <v>46058</v>
          </cell>
          <cell r="C1182">
            <v>20</v>
          </cell>
          <cell r="D1182" t="str">
            <v xml:space="preserve">الخزينة </v>
          </cell>
        </row>
        <row r="1183">
          <cell r="A1183">
            <v>67</v>
          </cell>
          <cell r="B1183">
            <v>46058</v>
          </cell>
          <cell r="C1183">
            <v>20</v>
          </cell>
          <cell r="D1183" t="str">
            <v xml:space="preserve">الخزينة </v>
          </cell>
        </row>
        <row r="1184">
          <cell r="A1184">
            <v>67</v>
          </cell>
          <cell r="B1184">
            <v>46058</v>
          </cell>
          <cell r="C1184">
            <v>20</v>
          </cell>
          <cell r="D1184" t="str">
            <v xml:space="preserve">الخزينة </v>
          </cell>
        </row>
        <row r="1185">
          <cell r="A1185">
            <v>66</v>
          </cell>
          <cell r="B1185">
            <v>46058</v>
          </cell>
          <cell r="C1185">
            <v>20</v>
          </cell>
          <cell r="D1185" t="str">
            <v xml:space="preserve">الخزينة </v>
          </cell>
        </row>
        <row r="1186">
          <cell r="A1186">
            <v>66</v>
          </cell>
          <cell r="B1186">
            <v>46058</v>
          </cell>
          <cell r="C1186">
            <v>20</v>
          </cell>
          <cell r="D1186" t="str">
            <v xml:space="preserve">الخزينة </v>
          </cell>
        </row>
        <row r="1187">
          <cell r="A1187">
            <v>54</v>
          </cell>
          <cell r="B1187">
            <v>46058</v>
          </cell>
          <cell r="C1187">
            <v>20</v>
          </cell>
          <cell r="D1187" t="str">
            <v xml:space="preserve">الخزينة </v>
          </cell>
        </row>
        <row r="1188">
          <cell r="A1188">
            <v>55</v>
          </cell>
          <cell r="B1188">
            <v>46058</v>
          </cell>
          <cell r="C1188">
            <v>20</v>
          </cell>
          <cell r="D1188" t="str">
            <v xml:space="preserve">الخزينة </v>
          </cell>
        </row>
        <row r="1189">
          <cell r="A1189">
            <v>55</v>
          </cell>
          <cell r="B1189">
            <v>46058</v>
          </cell>
          <cell r="C1189">
            <v>20</v>
          </cell>
          <cell r="D1189" t="str">
            <v xml:space="preserve">الخزينة </v>
          </cell>
        </row>
        <row r="1190">
          <cell r="A1190">
            <v>56</v>
          </cell>
          <cell r="B1190">
            <v>46058</v>
          </cell>
          <cell r="C1190">
            <v>20</v>
          </cell>
          <cell r="D1190" t="str">
            <v xml:space="preserve">الخزينة </v>
          </cell>
        </row>
        <row r="1191">
          <cell r="A1191">
            <v>56</v>
          </cell>
          <cell r="B1191">
            <v>46058</v>
          </cell>
          <cell r="C1191">
            <v>20</v>
          </cell>
          <cell r="D1191" t="str">
            <v xml:space="preserve">الخزينة </v>
          </cell>
        </row>
        <row r="1192">
          <cell r="A1192">
            <v>59</v>
          </cell>
          <cell r="B1192">
            <v>46058</v>
          </cell>
          <cell r="C1192">
            <v>20</v>
          </cell>
          <cell r="D1192" t="str">
            <v xml:space="preserve">الخزينة </v>
          </cell>
        </row>
        <row r="1193">
          <cell r="A1193">
            <v>59</v>
          </cell>
          <cell r="B1193">
            <v>46058</v>
          </cell>
          <cell r="C1193">
            <v>20</v>
          </cell>
          <cell r="D1193" t="str">
            <v xml:space="preserve">الخزينة </v>
          </cell>
        </row>
        <row r="1194">
          <cell r="A1194">
            <v>59</v>
          </cell>
          <cell r="B1194">
            <v>46058</v>
          </cell>
          <cell r="C1194">
            <v>20</v>
          </cell>
          <cell r="D1194" t="str">
            <v xml:space="preserve">الخزينة </v>
          </cell>
        </row>
        <row r="1195">
          <cell r="A1195">
            <v>61</v>
          </cell>
          <cell r="B1195">
            <v>46058</v>
          </cell>
          <cell r="C1195">
            <v>20</v>
          </cell>
          <cell r="D1195" t="str">
            <v xml:space="preserve">الخزينة </v>
          </cell>
        </row>
        <row r="1196">
          <cell r="A1196">
            <v>61</v>
          </cell>
          <cell r="B1196">
            <v>46058</v>
          </cell>
          <cell r="C1196">
            <v>20</v>
          </cell>
          <cell r="D1196" t="str">
            <v xml:space="preserve">الخزينة </v>
          </cell>
        </row>
        <row r="1197">
          <cell r="A1197">
            <v>60</v>
          </cell>
          <cell r="B1197">
            <v>46058</v>
          </cell>
          <cell r="C1197">
            <v>20</v>
          </cell>
          <cell r="D1197" t="str">
            <v xml:space="preserve">الخزينة </v>
          </cell>
        </row>
        <row r="1198">
          <cell r="A1198">
            <v>60</v>
          </cell>
          <cell r="B1198">
            <v>46058</v>
          </cell>
          <cell r="C1198">
            <v>20</v>
          </cell>
          <cell r="D1198" t="str">
            <v xml:space="preserve">الخزينة </v>
          </cell>
        </row>
        <row r="1199">
          <cell r="A1199">
            <v>90</v>
          </cell>
          <cell r="B1199">
            <v>46057</v>
          </cell>
          <cell r="C1199">
            <v>20</v>
          </cell>
          <cell r="D1199" t="str">
            <v xml:space="preserve">الخزينة </v>
          </cell>
        </row>
        <row r="1200">
          <cell r="A1200">
            <v>10</v>
          </cell>
          <cell r="B1200">
            <v>46057</v>
          </cell>
          <cell r="C1200">
            <v>20</v>
          </cell>
          <cell r="D1200" t="str">
            <v xml:space="preserve">الخزينة </v>
          </cell>
        </row>
        <row r="1201">
          <cell r="A1201">
            <v>10</v>
          </cell>
          <cell r="B1201">
            <v>46057</v>
          </cell>
          <cell r="C1201">
            <v>20</v>
          </cell>
          <cell r="D1201" t="str">
            <v xml:space="preserve">الخزينة </v>
          </cell>
        </row>
        <row r="1202">
          <cell r="A1202">
            <v>87</v>
          </cell>
          <cell r="B1202">
            <v>46057</v>
          </cell>
          <cell r="C1202">
            <v>20</v>
          </cell>
          <cell r="D1202" t="str">
            <v xml:space="preserve">الخزينة </v>
          </cell>
        </row>
        <row r="1203">
          <cell r="A1203">
            <v>87</v>
          </cell>
          <cell r="B1203">
            <v>46057</v>
          </cell>
          <cell r="C1203">
            <v>20</v>
          </cell>
          <cell r="D1203" t="str">
            <v xml:space="preserve">الخزينة </v>
          </cell>
        </row>
        <row r="1204">
          <cell r="A1204">
            <v>84</v>
          </cell>
          <cell r="B1204">
            <v>46057</v>
          </cell>
          <cell r="C1204">
            <v>20</v>
          </cell>
          <cell r="D1204" t="str">
            <v xml:space="preserve">الخزينة </v>
          </cell>
        </row>
        <row r="1205">
          <cell r="A1205">
            <v>79</v>
          </cell>
          <cell r="B1205">
            <v>46057</v>
          </cell>
          <cell r="C1205">
            <v>20</v>
          </cell>
          <cell r="D1205" t="str">
            <v xml:space="preserve">الخزينة </v>
          </cell>
        </row>
        <row r="1206">
          <cell r="A1206">
            <v>59</v>
          </cell>
          <cell r="B1206">
            <v>46057</v>
          </cell>
          <cell r="C1206">
            <v>20</v>
          </cell>
          <cell r="D1206" t="str">
            <v xml:space="preserve">الخزينة </v>
          </cell>
        </row>
        <row r="1207">
          <cell r="A1207">
            <v>59</v>
          </cell>
          <cell r="B1207">
            <v>46057</v>
          </cell>
          <cell r="C1207">
            <v>20</v>
          </cell>
          <cell r="D1207" t="str">
            <v xml:space="preserve">الخزينة </v>
          </cell>
        </row>
        <row r="1208">
          <cell r="A1208">
            <v>90</v>
          </cell>
          <cell r="B1208">
            <v>46056</v>
          </cell>
          <cell r="C1208">
            <v>20</v>
          </cell>
          <cell r="D1208" t="str">
            <v xml:space="preserve">الخزينة </v>
          </cell>
        </row>
        <row r="1209">
          <cell r="A1209">
            <v>90</v>
          </cell>
          <cell r="B1209">
            <v>46056</v>
          </cell>
          <cell r="C1209">
            <v>20</v>
          </cell>
          <cell r="D1209" t="str">
            <v xml:space="preserve">الخزينة </v>
          </cell>
        </row>
        <row r="1210">
          <cell r="A1210">
            <v>2</v>
          </cell>
          <cell r="B1210">
            <v>46056</v>
          </cell>
          <cell r="C1210">
            <v>20</v>
          </cell>
          <cell r="D1210" t="str">
            <v xml:space="preserve">الخزينة </v>
          </cell>
        </row>
        <row r="1211">
          <cell r="A1211">
            <v>5</v>
          </cell>
          <cell r="B1211">
            <v>46056</v>
          </cell>
          <cell r="C1211">
            <v>20</v>
          </cell>
          <cell r="D1211" t="str">
            <v xml:space="preserve">الخزينة </v>
          </cell>
        </row>
        <row r="1212">
          <cell r="A1212">
            <v>10</v>
          </cell>
          <cell r="B1212">
            <v>46056</v>
          </cell>
          <cell r="C1212">
            <v>20</v>
          </cell>
          <cell r="D1212" t="str">
            <v xml:space="preserve">الخزينة </v>
          </cell>
        </row>
        <row r="1213">
          <cell r="A1213">
            <v>10</v>
          </cell>
          <cell r="B1213">
            <v>46056</v>
          </cell>
          <cell r="C1213">
            <v>20</v>
          </cell>
          <cell r="D1213" t="str">
            <v xml:space="preserve">الخزينة </v>
          </cell>
        </row>
        <row r="1214">
          <cell r="A1214">
            <v>88</v>
          </cell>
          <cell r="B1214">
            <v>46056</v>
          </cell>
          <cell r="C1214">
            <v>20</v>
          </cell>
          <cell r="D1214" t="str">
            <v xml:space="preserve">الخزينة </v>
          </cell>
        </row>
        <row r="1215">
          <cell r="A1215">
            <v>86</v>
          </cell>
          <cell r="B1215">
            <v>46056</v>
          </cell>
          <cell r="C1215">
            <v>20</v>
          </cell>
          <cell r="D1215" t="str">
            <v xml:space="preserve">الخزينة </v>
          </cell>
        </row>
        <row r="1216">
          <cell r="A1216">
            <v>81</v>
          </cell>
          <cell r="B1216">
            <v>46056</v>
          </cell>
          <cell r="C1216">
            <v>20</v>
          </cell>
          <cell r="D1216" t="str">
            <v xml:space="preserve">الخزينة </v>
          </cell>
        </row>
        <row r="1217">
          <cell r="A1217">
            <v>37</v>
          </cell>
          <cell r="B1217">
            <v>46056</v>
          </cell>
          <cell r="C1217">
            <v>20</v>
          </cell>
          <cell r="D1217" t="str">
            <v xml:space="preserve">الخزينة </v>
          </cell>
        </row>
        <row r="1218">
          <cell r="A1218">
            <v>70</v>
          </cell>
          <cell r="B1218">
            <v>46056</v>
          </cell>
          <cell r="C1218">
            <v>20</v>
          </cell>
          <cell r="D1218" t="str">
            <v xml:space="preserve">الخزينة </v>
          </cell>
        </row>
        <row r="1219">
          <cell r="A1219">
            <v>66</v>
          </cell>
          <cell r="B1219">
            <v>46056</v>
          </cell>
          <cell r="C1219">
            <v>20</v>
          </cell>
          <cell r="D1219" t="str">
            <v xml:space="preserve">الخزينة </v>
          </cell>
        </row>
        <row r="1220">
          <cell r="A1220">
            <v>66</v>
          </cell>
          <cell r="B1220">
            <v>46056</v>
          </cell>
          <cell r="C1220">
            <v>20</v>
          </cell>
          <cell r="D1220" t="str">
            <v xml:space="preserve">الخزينة </v>
          </cell>
        </row>
        <row r="1221">
          <cell r="A1221">
            <v>66</v>
          </cell>
          <cell r="B1221">
            <v>46056</v>
          </cell>
          <cell r="C1221">
            <v>20</v>
          </cell>
          <cell r="D1221" t="str">
            <v xml:space="preserve">الخزينة </v>
          </cell>
        </row>
        <row r="1222">
          <cell r="A1222">
            <v>54</v>
          </cell>
          <cell r="B1222">
            <v>46056</v>
          </cell>
          <cell r="C1222">
            <v>20</v>
          </cell>
          <cell r="D1222" t="str">
            <v xml:space="preserve">الخزينة </v>
          </cell>
        </row>
        <row r="1223">
          <cell r="A1223">
            <v>63</v>
          </cell>
          <cell r="B1223">
            <v>46056</v>
          </cell>
          <cell r="C1223">
            <v>20</v>
          </cell>
          <cell r="D1223" t="str">
            <v xml:space="preserve">الخزينة </v>
          </cell>
        </row>
        <row r="1224">
          <cell r="A1224">
            <v>63</v>
          </cell>
          <cell r="B1224">
            <v>46056</v>
          </cell>
          <cell r="C1224">
            <v>20</v>
          </cell>
          <cell r="D1224" t="str">
            <v xml:space="preserve">الخزينة </v>
          </cell>
        </row>
        <row r="1225">
          <cell r="A1225">
            <v>63</v>
          </cell>
          <cell r="B1225">
            <v>46056</v>
          </cell>
          <cell r="C1225">
            <v>20</v>
          </cell>
          <cell r="D1225" t="str">
            <v xml:space="preserve">الخزينة </v>
          </cell>
        </row>
        <row r="1226">
          <cell r="A1226">
            <v>90</v>
          </cell>
          <cell r="B1226">
            <v>46055</v>
          </cell>
          <cell r="C1226">
            <v>20</v>
          </cell>
          <cell r="D1226" t="str">
            <v xml:space="preserve">الخزينة </v>
          </cell>
        </row>
        <row r="1227">
          <cell r="A1227">
            <v>90</v>
          </cell>
          <cell r="B1227">
            <v>46055</v>
          </cell>
          <cell r="C1227">
            <v>20</v>
          </cell>
          <cell r="D1227" t="str">
            <v xml:space="preserve">الخزينة </v>
          </cell>
        </row>
        <row r="1228">
          <cell r="A1228">
            <v>90</v>
          </cell>
          <cell r="B1228">
            <v>46055</v>
          </cell>
          <cell r="C1228">
            <v>20</v>
          </cell>
          <cell r="D1228" t="str">
            <v xml:space="preserve">الخزينة </v>
          </cell>
        </row>
        <row r="1229">
          <cell r="A1229">
            <v>87</v>
          </cell>
          <cell r="B1229">
            <v>46055</v>
          </cell>
          <cell r="C1229">
            <v>20</v>
          </cell>
          <cell r="D1229" t="str">
            <v xml:space="preserve">الخزينة </v>
          </cell>
        </row>
        <row r="1230">
          <cell r="A1230">
            <v>54</v>
          </cell>
          <cell r="B1230">
            <v>46055</v>
          </cell>
          <cell r="C1230">
            <v>20</v>
          </cell>
          <cell r="D1230" t="str">
            <v xml:space="preserve">الخزينة </v>
          </cell>
        </row>
        <row r="1231">
          <cell r="A1231">
            <v>90</v>
          </cell>
          <cell r="B1231">
            <v>46054</v>
          </cell>
          <cell r="C1231">
            <v>20</v>
          </cell>
          <cell r="D1231" t="str">
            <v xml:space="preserve">الخزينة </v>
          </cell>
        </row>
        <row r="1232">
          <cell r="A1232">
            <v>10</v>
          </cell>
          <cell r="B1232">
            <v>46054</v>
          </cell>
          <cell r="C1232">
            <v>20</v>
          </cell>
          <cell r="D1232" t="str">
            <v xml:space="preserve">الخزينة </v>
          </cell>
        </row>
        <row r="1233">
          <cell r="A1233">
            <v>17</v>
          </cell>
          <cell r="B1233">
            <v>46054</v>
          </cell>
          <cell r="C1233">
            <v>20</v>
          </cell>
          <cell r="D1233" t="str">
            <v xml:space="preserve">الخزينة </v>
          </cell>
        </row>
        <row r="1234">
          <cell r="A1234">
            <v>87</v>
          </cell>
          <cell r="B1234">
            <v>46054</v>
          </cell>
          <cell r="C1234">
            <v>20</v>
          </cell>
          <cell r="D1234" t="str">
            <v xml:space="preserve">الخزينة </v>
          </cell>
        </row>
        <row r="1235">
          <cell r="A1235">
            <v>70</v>
          </cell>
          <cell r="B1235">
            <v>46054</v>
          </cell>
          <cell r="C1235">
            <v>20</v>
          </cell>
          <cell r="D1235" t="str">
            <v xml:space="preserve">الخزينة </v>
          </cell>
        </row>
        <row r="1236">
          <cell r="A1236">
            <v>67</v>
          </cell>
          <cell r="B1236">
            <v>46054</v>
          </cell>
          <cell r="C1236">
            <v>20</v>
          </cell>
          <cell r="D1236" t="str">
            <v xml:space="preserve">الخزينة </v>
          </cell>
        </row>
        <row r="1237">
          <cell r="A1237">
            <v>54</v>
          </cell>
          <cell r="B1237">
            <v>46054</v>
          </cell>
          <cell r="C1237">
            <v>20</v>
          </cell>
          <cell r="D1237" t="str">
            <v xml:space="preserve">الخزينة </v>
          </cell>
        </row>
        <row r="1238">
          <cell r="A1238">
            <v>54</v>
          </cell>
          <cell r="B1238">
            <v>46054</v>
          </cell>
          <cell r="C1238">
            <v>20</v>
          </cell>
          <cell r="D1238" t="str">
            <v xml:space="preserve">الخزينة </v>
          </cell>
        </row>
        <row r="1239">
          <cell r="A1239">
            <v>54</v>
          </cell>
          <cell r="B1239">
            <v>46054</v>
          </cell>
          <cell r="C1239">
            <v>20</v>
          </cell>
          <cell r="D1239" t="str">
            <v xml:space="preserve">الخزينة </v>
          </cell>
        </row>
        <row r="1240">
          <cell r="A1240">
            <v>61</v>
          </cell>
          <cell r="B1240">
            <v>46054</v>
          </cell>
          <cell r="C1240">
            <v>20</v>
          </cell>
          <cell r="D1240" t="str">
            <v xml:space="preserve">الخزينة </v>
          </cell>
        </row>
        <row r="1241">
          <cell r="A1241">
            <v>61</v>
          </cell>
          <cell r="B1241">
            <v>46054</v>
          </cell>
          <cell r="C1241">
            <v>20</v>
          </cell>
          <cell r="D1241" t="str">
            <v xml:space="preserve">الخزينة </v>
          </cell>
        </row>
        <row r="1242">
          <cell r="A1242">
            <v>14</v>
          </cell>
          <cell r="B1242">
            <v>46053</v>
          </cell>
          <cell r="C1242">
            <v>20</v>
          </cell>
          <cell r="D1242" t="str">
            <v xml:space="preserve">الخزينة </v>
          </cell>
        </row>
        <row r="1243">
          <cell r="A1243">
            <v>14</v>
          </cell>
          <cell r="B1243">
            <v>46053</v>
          </cell>
          <cell r="C1243">
            <v>20</v>
          </cell>
          <cell r="D1243" t="str">
            <v xml:space="preserve">الخزينة </v>
          </cell>
        </row>
        <row r="1244">
          <cell r="A1244">
            <v>76</v>
          </cell>
          <cell r="B1244">
            <v>46053</v>
          </cell>
          <cell r="C1244">
            <v>20</v>
          </cell>
          <cell r="D1244" t="str">
            <v xml:space="preserve">الخزينة </v>
          </cell>
        </row>
        <row r="1245">
          <cell r="A1245">
            <v>52</v>
          </cell>
          <cell r="B1245">
            <v>46053</v>
          </cell>
          <cell r="C1245">
            <v>20</v>
          </cell>
          <cell r="D1245" t="str">
            <v xml:space="preserve">الخزينة </v>
          </cell>
        </row>
        <row r="1246">
          <cell r="A1246">
            <v>54</v>
          </cell>
          <cell r="B1246">
            <v>46053</v>
          </cell>
          <cell r="C1246">
            <v>20</v>
          </cell>
          <cell r="D1246" t="str">
            <v xml:space="preserve">الخزينة </v>
          </cell>
        </row>
        <row r="1247">
          <cell r="A1247">
            <v>91</v>
          </cell>
          <cell r="B1247">
            <v>46051</v>
          </cell>
          <cell r="C1247">
            <v>20</v>
          </cell>
          <cell r="D1247" t="str">
            <v xml:space="preserve">الخزينة </v>
          </cell>
        </row>
        <row r="1248">
          <cell r="A1248">
            <v>8</v>
          </cell>
          <cell r="B1248">
            <v>46051</v>
          </cell>
          <cell r="C1248">
            <v>20</v>
          </cell>
          <cell r="D1248" t="str">
            <v xml:space="preserve">الخزينة </v>
          </cell>
        </row>
        <row r="1249">
          <cell r="A1249">
            <v>8</v>
          </cell>
          <cell r="B1249">
            <v>46051</v>
          </cell>
          <cell r="C1249">
            <v>20</v>
          </cell>
          <cell r="D1249" t="str">
            <v xml:space="preserve">الخزينة </v>
          </cell>
        </row>
        <row r="1250">
          <cell r="A1250">
            <v>13</v>
          </cell>
          <cell r="B1250">
            <v>46051</v>
          </cell>
          <cell r="C1250">
            <v>20</v>
          </cell>
          <cell r="D1250" t="str">
            <v xml:space="preserve">الخزينة </v>
          </cell>
        </row>
        <row r="1251">
          <cell r="A1251">
            <v>70</v>
          </cell>
          <cell r="B1251">
            <v>46051</v>
          </cell>
          <cell r="C1251">
            <v>20</v>
          </cell>
          <cell r="D1251" t="str">
            <v xml:space="preserve">الخزينة </v>
          </cell>
        </row>
        <row r="1252">
          <cell r="A1252">
            <v>70</v>
          </cell>
          <cell r="B1252">
            <v>46051</v>
          </cell>
          <cell r="C1252">
            <v>20</v>
          </cell>
          <cell r="D1252" t="str">
            <v xml:space="preserve">الخزينة </v>
          </cell>
        </row>
        <row r="1253">
          <cell r="A1253">
            <v>70</v>
          </cell>
          <cell r="B1253">
            <v>46051</v>
          </cell>
          <cell r="C1253">
            <v>20</v>
          </cell>
          <cell r="D1253" t="str">
            <v xml:space="preserve">الخزينة </v>
          </cell>
        </row>
        <row r="1254">
          <cell r="A1254">
            <v>70</v>
          </cell>
          <cell r="B1254">
            <v>46051</v>
          </cell>
          <cell r="C1254">
            <v>20</v>
          </cell>
          <cell r="D1254" t="str">
            <v xml:space="preserve">الخزينة </v>
          </cell>
        </row>
        <row r="1255">
          <cell r="A1255">
            <v>70</v>
          </cell>
          <cell r="B1255">
            <v>46051</v>
          </cell>
          <cell r="C1255">
            <v>20</v>
          </cell>
          <cell r="D1255" t="str">
            <v xml:space="preserve">الخزينة </v>
          </cell>
        </row>
        <row r="1256">
          <cell r="A1256">
            <v>70</v>
          </cell>
          <cell r="B1256">
            <v>46051</v>
          </cell>
          <cell r="C1256">
            <v>20</v>
          </cell>
          <cell r="D1256" t="str">
            <v xml:space="preserve">الخزينة </v>
          </cell>
        </row>
        <row r="1257">
          <cell r="A1257">
            <v>67</v>
          </cell>
          <cell r="B1257">
            <v>46051</v>
          </cell>
          <cell r="C1257">
            <v>20</v>
          </cell>
          <cell r="D1257" t="str">
            <v xml:space="preserve">الخزينة </v>
          </cell>
        </row>
        <row r="1258">
          <cell r="A1258">
            <v>55</v>
          </cell>
          <cell r="B1258">
            <v>46051</v>
          </cell>
          <cell r="C1258">
            <v>20</v>
          </cell>
          <cell r="D1258" t="str">
            <v xml:space="preserve">الخزينة </v>
          </cell>
        </row>
        <row r="1259">
          <cell r="A1259">
            <v>56</v>
          </cell>
          <cell r="B1259">
            <v>46051</v>
          </cell>
          <cell r="C1259">
            <v>20</v>
          </cell>
          <cell r="D1259" t="str">
            <v xml:space="preserve">الخزينة </v>
          </cell>
        </row>
        <row r="1260">
          <cell r="A1260">
            <v>56</v>
          </cell>
          <cell r="B1260">
            <v>46051</v>
          </cell>
          <cell r="C1260">
            <v>20</v>
          </cell>
          <cell r="D1260" t="str">
            <v xml:space="preserve">الخزينة </v>
          </cell>
        </row>
        <row r="1261">
          <cell r="A1261">
            <v>63</v>
          </cell>
          <cell r="B1261">
            <v>46051</v>
          </cell>
          <cell r="C1261">
            <v>20</v>
          </cell>
          <cell r="D1261" t="str">
            <v xml:space="preserve">الخزينة </v>
          </cell>
        </row>
        <row r="1262">
          <cell r="A1262">
            <v>63</v>
          </cell>
          <cell r="B1262">
            <v>46051</v>
          </cell>
          <cell r="C1262">
            <v>20</v>
          </cell>
          <cell r="D1262" t="str">
            <v xml:space="preserve">الخزينة </v>
          </cell>
        </row>
        <row r="1263">
          <cell r="A1263">
            <v>60</v>
          </cell>
          <cell r="B1263">
            <v>46051</v>
          </cell>
          <cell r="C1263">
            <v>20</v>
          </cell>
          <cell r="D1263" t="str">
            <v xml:space="preserve">الخزينة </v>
          </cell>
        </row>
        <row r="1264">
          <cell r="A1264">
            <v>60</v>
          </cell>
          <cell r="B1264">
            <v>46051</v>
          </cell>
          <cell r="C1264">
            <v>20</v>
          </cell>
          <cell r="D1264" t="str">
            <v xml:space="preserve">الخزينة </v>
          </cell>
        </row>
        <row r="1265">
          <cell r="A1265">
            <v>90</v>
          </cell>
          <cell r="B1265">
            <v>46050</v>
          </cell>
          <cell r="C1265">
            <v>20</v>
          </cell>
          <cell r="D1265" t="str">
            <v xml:space="preserve">الخزينة </v>
          </cell>
        </row>
        <row r="1266">
          <cell r="A1266">
            <v>10</v>
          </cell>
          <cell r="B1266">
            <v>46050</v>
          </cell>
          <cell r="C1266">
            <v>20</v>
          </cell>
          <cell r="D1266" t="str">
            <v xml:space="preserve">الخزينة </v>
          </cell>
        </row>
        <row r="1267">
          <cell r="A1267">
            <v>22</v>
          </cell>
          <cell r="B1267">
            <v>46050</v>
          </cell>
          <cell r="C1267">
            <v>20</v>
          </cell>
          <cell r="D1267" t="str">
            <v xml:space="preserve">الخزينة </v>
          </cell>
        </row>
        <row r="1268">
          <cell r="A1268">
            <v>30</v>
          </cell>
          <cell r="B1268">
            <v>46050</v>
          </cell>
          <cell r="C1268">
            <v>20</v>
          </cell>
          <cell r="D1268" t="str">
            <v xml:space="preserve">الخزينة </v>
          </cell>
        </row>
        <row r="1269">
          <cell r="A1269">
            <v>75</v>
          </cell>
          <cell r="B1269">
            <v>46050</v>
          </cell>
          <cell r="C1269">
            <v>20</v>
          </cell>
          <cell r="D1269" t="str">
            <v xml:space="preserve">الخزينة </v>
          </cell>
        </row>
        <row r="1270">
          <cell r="A1270">
            <v>70</v>
          </cell>
          <cell r="B1270">
            <v>46050</v>
          </cell>
          <cell r="C1270">
            <v>20</v>
          </cell>
          <cell r="D1270" t="str">
            <v xml:space="preserve">الخزينة </v>
          </cell>
        </row>
        <row r="1271">
          <cell r="A1271">
            <v>40</v>
          </cell>
          <cell r="B1271">
            <v>46050</v>
          </cell>
          <cell r="C1271">
            <v>20</v>
          </cell>
          <cell r="D1271" t="str">
            <v xml:space="preserve">الخزينة </v>
          </cell>
        </row>
        <row r="1272">
          <cell r="A1272">
            <v>40</v>
          </cell>
          <cell r="B1272">
            <v>46050</v>
          </cell>
          <cell r="C1272">
            <v>20</v>
          </cell>
          <cell r="D1272" t="str">
            <v xml:space="preserve">الخزينة </v>
          </cell>
        </row>
        <row r="1273">
          <cell r="A1273">
            <v>45</v>
          </cell>
          <cell r="B1273">
            <v>46050</v>
          </cell>
          <cell r="C1273">
            <v>20</v>
          </cell>
          <cell r="D1273" t="str">
            <v xml:space="preserve">الخزينة </v>
          </cell>
        </row>
        <row r="1274">
          <cell r="A1274">
            <v>48</v>
          </cell>
          <cell r="B1274">
            <v>46050</v>
          </cell>
          <cell r="C1274">
            <v>20</v>
          </cell>
          <cell r="D1274" t="str">
            <v xml:space="preserve">الخزينة </v>
          </cell>
        </row>
        <row r="1275">
          <cell r="A1275">
            <v>66</v>
          </cell>
          <cell r="B1275">
            <v>46050</v>
          </cell>
          <cell r="C1275">
            <v>20</v>
          </cell>
          <cell r="D1275" t="str">
            <v xml:space="preserve">الخزينة </v>
          </cell>
        </row>
        <row r="1276">
          <cell r="A1276">
            <v>66</v>
          </cell>
          <cell r="B1276">
            <v>46050</v>
          </cell>
          <cell r="C1276">
            <v>20</v>
          </cell>
          <cell r="D1276" t="str">
            <v xml:space="preserve">الخزينة </v>
          </cell>
        </row>
        <row r="1277">
          <cell r="A1277">
            <v>53</v>
          </cell>
          <cell r="B1277">
            <v>46050</v>
          </cell>
          <cell r="C1277">
            <v>20</v>
          </cell>
          <cell r="D1277" t="str">
            <v xml:space="preserve">الخزينة </v>
          </cell>
        </row>
        <row r="1278">
          <cell r="A1278">
            <v>66</v>
          </cell>
          <cell r="B1278">
            <v>46050</v>
          </cell>
          <cell r="C1278">
            <v>20</v>
          </cell>
          <cell r="D1278" t="str">
            <v xml:space="preserve">الخزينة </v>
          </cell>
        </row>
        <row r="1279">
          <cell r="A1279">
            <v>66</v>
          </cell>
          <cell r="B1279">
            <v>46050</v>
          </cell>
          <cell r="C1279">
            <v>20</v>
          </cell>
          <cell r="D1279" t="str">
            <v xml:space="preserve">الخزينة </v>
          </cell>
        </row>
        <row r="1280">
          <cell r="A1280">
            <v>55</v>
          </cell>
          <cell r="B1280">
            <v>46050</v>
          </cell>
          <cell r="C1280">
            <v>20</v>
          </cell>
          <cell r="D1280" t="str">
            <v xml:space="preserve">الخزينة </v>
          </cell>
        </row>
        <row r="1281">
          <cell r="A1281">
            <v>59</v>
          </cell>
          <cell r="B1281">
            <v>46050</v>
          </cell>
          <cell r="C1281">
            <v>20</v>
          </cell>
          <cell r="D1281" t="str">
            <v xml:space="preserve">الخزينة </v>
          </cell>
        </row>
        <row r="1282">
          <cell r="A1282">
            <v>59</v>
          </cell>
          <cell r="B1282">
            <v>46050</v>
          </cell>
          <cell r="C1282">
            <v>20</v>
          </cell>
          <cell r="D1282" t="str">
            <v xml:space="preserve">الخزينة </v>
          </cell>
        </row>
        <row r="1283">
          <cell r="A1283">
            <v>59</v>
          </cell>
          <cell r="B1283">
            <v>46050</v>
          </cell>
          <cell r="C1283">
            <v>20</v>
          </cell>
          <cell r="D1283" t="str">
            <v xml:space="preserve">الخزينة </v>
          </cell>
        </row>
        <row r="1284">
          <cell r="A1284">
            <v>90</v>
          </cell>
          <cell r="B1284">
            <v>46049</v>
          </cell>
          <cell r="C1284">
            <v>20</v>
          </cell>
          <cell r="D1284" t="str">
            <v xml:space="preserve">الخزينة </v>
          </cell>
        </row>
        <row r="1285">
          <cell r="A1285">
            <v>90</v>
          </cell>
          <cell r="B1285">
            <v>46049</v>
          </cell>
          <cell r="C1285">
            <v>20</v>
          </cell>
          <cell r="D1285" t="str">
            <v xml:space="preserve">الخزينة </v>
          </cell>
        </row>
        <row r="1286">
          <cell r="A1286">
            <v>29</v>
          </cell>
          <cell r="B1286">
            <v>46049</v>
          </cell>
          <cell r="C1286">
            <v>20</v>
          </cell>
          <cell r="D1286" t="str">
            <v xml:space="preserve">الخزينة </v>
          </cell>
        </row>
        <row r="1287">
          <cell r="A1287">
            <v>53</v>
          </cell>
          <cell r="B1287">
            <v>46049</v>
          </cell>
          <cell r="C1287">
            <v>20</v>
          </cell>
          <cell r="D1287" t="str">
            <v xml:space="preserve">الخزينة </v>
          </cell>
        </row>
        <row r="1288">
          <cell r="A1288">
            <v>54</v>
          </cell>
          <cell r="B1288">
            <v>46049</v>
          </cell>
          <cell r="C1288">
            <v>20</v>
          </cell>
          <cell r="D1288" t="str">
            <v xml:space="preserve">الخزينة </v>
          </cell>
        </row>
        <row r="1289">
          <cell r="A1289">
            <v>54</v>
          </cell>
          <cell r="B1289">
            <v>46049</v>
          </cell>
          <cell r="C1289">
            <v>20</v>
          </cell>
          <cell r="D1289" t="str">
            <v xml:space="preserve">الخزينة </v>
          </cell>
        </row>
        <row r="1290">
          <cell r="A1290">
            <v>64</v>
          </cell>
          <cell r="B1290">
            <v>46049</v>
          </cell>
          <cell r="C1290">
            <v>20</v>
          </cell>
          <cell r="D1290" t="str">
            <v xml:space="preserve">الخزينة </v>
          </cell>
        </row>
        <row r="1291">
          <cell r="A1291">
            <v>64</v>
          </cell>
          <cell r="B1291">
            <v>46049</v>
          </cell>
          <cell r="C1291">
            <v>20</v>
          </cell>
          <cell r="D1291" t="str">
            <v xml:space="preserve">الخزينة </v>
          </cell>
        </row>
        <row r="1292">
          <cell r="A1292">
            <v>63</v>
          </cell>
          <cell r="B1292">
            <v>46049</v>
          </cell>
          <cell r="C1292">
            <v>20</v>
          </cell>
          <cell r="D1292" t="str">
            <v xml:space="preserve">الخزينة </v>
          </cell>
        </row>
        <row r="1293">
          <cell r="A1293">
            <v>59</v>
          </cell>
          <cell r="B1293">
            <v>46049</v>
          </cell>
          <cell r="C1293">
            <v>20</v>
          </cell>
          <cell r="D1293" t="str">
            <v xml:space="preserve">الخزينة </v>
          </cell>
        </row>
        <row r="1294">
          <cell r="A1294">
            <v>60</v>
          </cell>
          <cell r="B1294">
            <v>46049</v>
          </cell>
          <cell r="C1294">
            <v>20</v>
          </cell>
          <cell r="D1294" t="str">
            <v xml:space="preserve">الخزينة </v>
          </cell>
        </row>
        <row r="1295">
          <cell r="A1295">
            <v>90</v>
          </cell>
          <cell r="B1295">
            <v>46048</v>
          </cell>
          <cell r="C1295">
            <v>20</v>
          </cell>
          <cell r="D1295" t="str">
            <v xml:space="preserve">الخزينة </v>
          </cell>
        </row>
        <row r="1296">
          <cell r="A1296">
            <v>90</v>
          </cell>
          <cell r="B1296">
            <v>46048</v>
          </cell>
          <cell r="C1296">
            <v>20</v>
          </cell>
          <cell r="D1296" t="str">
            <v xml:space="preserve">الخزينة </v>
          </cell>
        </row>
        <row r="1297">
          <cell r="A1297">
            <v>10</v>
          </cell>
          <cell r="B1297">
            <v>46048</v>
          </cell>
          <cell r="C1297">
            <v>20</v>
          </cell>
          <cell r="D1297" t="str">
            <v xml:space="preserve">الخزينة </v>
          </cell>
        </row>
        <row r="1298">
          <cell r="A1298">
            <v>78</v>
          </cell>
          <cell r="B1298">
            <v>46048</v>
          </cell>
          <cell r="C1298">
            <v>20</v>
          </cell>
          <cell r="D1298" t="str">
            <v xml:space="preserve">الخزينة </v>
          </cell>
        </row>
        <row r="1299">
          <cell r="A1299">
            <v>64</v>
          </cell>
          <cell r="B1299">
            <v>46048</v>
          </cell>
          <cell r="C1299">
            <v>20</v>
          </cell>
          <cell r="D1299" t="str">
            <v xml:space="preserve">الخزينة </v>
          </cell>
        </row>
        <row r="1300">
          <cell r="A1300">
            <v>57</v>
          </cell>
          <cell r="B1300">
            <v>46048</v>
          </cell>
          <cell r="C1300">
            <v>20</v>
          </cell>
          <cell r="D1300" t="str">
            <v xml:space="preserve">الخزينة </v>
          </cell>
        </row>
        <row r="1301">
          <cell r="A1301">
            <v>60</v>
          </cell>
          <cell r="B1301">
            <v>46048</v>
          </cell>
          <cell r="C1301">
            <v>20</v>
          </cell>
          <cell r="D1301" t="str">
            <v xml:space="preserve">الخزينة </v>
          </cell>
        </row>
        <row r="1302">
          <cell r="A1302">
            <v>94</v>
          </cell>
          <cell r="B1302">
            <v>46047</v>
          </cell>
          <cell r="C1302">
            <v>20</v>
          </cell>
          <cell r="D1302" t="str">
            <v xml:space="preserve">الخزينة </v>
          </cell>
        </row>
        <row r="1303">
          <cell r="A1303">
            <v>93</v>
          </cell>
          <cell r="B1303">
            <v>46047</v>
          </cell>
          <cell r="C1303">
            <v>20</v>
          </cell>
          <cell r="D1303" t="str">
            <v xml:space="preserve">الخزينة </v>
          </cell>
        </row>
        <row r="1304">
          <cell r="A1304">
            <v>91</v>
          </cell>
          <cell r="B1304">
            <v>46047</v>
          </cell>
          <cell r="C1304">
            <v>20</v>
          </cell>
          <cell r="D1304" t="str">
            <v xml:space="preserve">الخزينة </v>
          </cell>
        </row>
        <row r="1305">
          <cell r="A1305">
            <v>90</v>
          </cell>
          <cell r="B1305">
            <v>46047</v>
          </cell>
          <cell r="C1305">
            <v>20</v>
          </cell>
          <cell r="D1305" t="str">
            <v xml:space="preserve">الخزينة </v>
          </cell>
        </row>
        <row r="1306">
          <cell r="A1306">
            <v>88</v>
          </cell>
          <cell r="B1306">
            <v>46047</v>
          </cell>
          <cell r="C1306">
            <v>20</v>
          </cell>
          <cell r="D1306" t="str">
            <v xml:space="preserve">الخزينة </v>
          </cell>
        </row>
        <row r="1307">
          <cell r="A1307">
            <v>87</v>
          </cell>
          <cell r="B1307">
            <v>46047</v>
          </cell>
          <cell r="C1307">
            <v>20</v>
          </cell>
          <cell r="D1307" t="str">
            <v xml:space="preserve">الخزينة </v>
          </cell>
        </row>
        <row r="1308">
          <cell r="A1308">
            <v>76</v>
          </cell>
          <cell r="B1308">
            <v>46047</v>
          </cell>
          <cell r="C1308">
            <v>20</v>
          </cell>
          <cell r="D1308" t="str">
            <v xml:space="preserve">الخزينة </v>
          </cell>
        </row>
        <row r="1309">
          <cell r="A1309">
            <v>53</v>
          </cell>
          <cell r="B1309">
            <v>46047</v>
          </cell>
          <cell r="C1309">
            <v>20</v>
          </cell>
          <cell r="D1309" t="str">
            <v xml:space="preserve">الخزينة </v>
          </cell>
        </row>
        <row r="1310">
          <cell r="A1310">
            <v>55</v>
          </cell>
          <cell r="B1310">
            <v>46047</v>
          </cell>
          <cell r="C1310">
            <v>20</v>
          </cell>
          <cell r="D1310" t="str">
            <v xml:space="preserve">الخزينة </v>
          </cell>
        </row>
        <row r="1311">
          <cell r="A1311">
            <v>56</v>
          </cell>
          <cell r="B1311">
            <v>46047</v>
          </cell>
          <cell r="C1311">
            <v>20</v>
          </cell>
          <cell r="D1311" t="str">
            <v xml:space="preserve">الخزينة </v>
          </cell>
        </row>
        <row r="1312">
          <cell r="A1312">
            <v>90</v>
          </cell>
          <cell r="B1312">
            <v>46046</v>
          </cell>
          <cell r="C1312">
            <v>20</v>
          </cell>
          <cell r="D1312" t="str">
            <v xml:space="preserve">الخزينة </v>
          </cell>
        </row>
        <row r="1313">
          <cell r="A1313">
            <v>82</v>
          </cell>
          <cell r="B1313">
            <v>46046</v>
          </cell>
          <cell r="C1313">
            <v>20</v>
          </cell>
          <cell r="D1313" t="str">
            <v xml:space="preserve">الخزينة </v>
          </cell>
        </row>
        <row r="1314">
          <cell r="A1314">
            <v>75</v>
          </cell>
          <cell r="B1314">
            <v>46046</v>
          </cell>
          <cell r="C1314">
            <v>20</v>
          </cell>
          <cell r="D1314" t="str">
            <v xml:space="preserve">الخزينة </v>
          </cell>
        </row>
        <row r="1315">
          <cell r="A1315">
            <v>70</v>
          </cell>
          <cell r="B1315">
            <v>46046</v>
          </cell>
          <cell r="C1315">
            <v>20</v>
          </cell>
          <cell r="D1315" t="str">
            <v xml:space="preserve">الخزينة </v>
          </cell>
        </row>
        <row r="1316">
          <cell r="A1316">
            <v>67</v>
          </cell>
          <cell r="B1316">
            <v>46046</v>
          </cell>
          <cell r="C1316">
            <v>20</v>
          </cell>
          <cell r="D1316" t="str">
            <v xml:space="preserve">الخزينة </v>
          </cell>
        </row>
        <row r="1317">
          <cell r="A1317">
            <v>67</v>
          </cell>
          <cell r="B1317">
            <v>46046</v>
          </cell>
          <cell r="C1317">
            <v>20</v>
          </cell>
          <cell r="D1317" t="str">
            <v xml:space="preserve">الخزينة </v>
          </cell>
        </row>
        <row r="1318">
          <cell r="A1318">
            <v>67</v>
          </cell>
          <cell r="B1318">
            <v>46046</v>
          </cell>
          <cell r="C1318">
            <v>20</v>
          </cell>
          <cell r="D1318" t="str">
            <v xml:space="preserve">الخزينة </v>
          </cell>
        </row>
        <row r="1319">
          <cell r="A1319">
            <v>53</v>
          </cell>
          <cell r="B1319">
            <v>46046</v>
          </cell>
          <cell r="C1319">
            <v>20</v>
          </cell>
          <cell r="D1319" t="str">
            <v xml:space="preserve">الخزينة </v>
          </cell>
        </row>
        <row r="1320">
          <cell r="A1320">
            <v>65</v>
          </cell>
          <cell r="B1320">
            <v>46046</v>
          </cell>
          <cell r="C1320">
            <v>20</v>
          </cell>
          <cell r="D1320" t="str">
            <v xml:space="preserve">الخزينة </v>
          </cell>
        </row>
        <row r="1321">
          <cell r="A1321">
            <v>55</v>
          </cell>
          <cell r="B1321">
            <v>46046</v>
          </cell>
          <cell r="C1321">
            <v>20</v>
          </cell>
          <cell r="D1321" t="str">
            <v xml:space="preserve">الخزينة </v>
          </cell>
        </row>
        <row r="1322">
          <cell r="A1322">
            <v>55</v>
          </cell>
          <cell r="B1322">
            <v>46046</v>
          </cell>
          <cell r="C1322">
            <v>20</v>
          </cell>
          <cell r="D1322" t="str">
            <v xml:space="preserve">الخزينة </v>
          </cell>
        </row>
        <row r="1323">
          <cell r="A1323">
            <v>55</v>
          </cell>
          <cell r="B1323">
            <v>46046</v>
          </cell>
          <cell r="C1323">
            <v>20</v>
          </cell>
          <cell r="D1323" t="str">
            <v xml:space="preserve">الخزينة </v>
          </cell>
        </row>
        <row r="1324">
          <cell r="A1324">
            <v>63</v>
          </cell>
          <cell r="B1324">
            <v>46046</v>
          </cell>
          <cell r="C1324">
            <v>20</v>
          </cell>
          <cell r="D1324" t="str">
            <v xml:space="preserve">الخزينة </v>
          </cell>
        </row>
        <row r="1325">
          <cell r="A1325">
            <v>63</v>
          </cell>
          <cell r="B1325">
            <v>46046</v>
          </cell>
          <cell r="C1325">
            <v>20</v>
          </cell>
          <cell r="D1325" t="str">
            <v xml:space="preserve">الخزينة </v>
          </cell>
        </row>
        <row r="1326">
          <cell r="A1326">
            <v>63</v>
          </cell>
          <cell r="B1326">
            <v>46046</v>
          </cell>
          <cell r="C1326">
            <v>20</v>
          </cell>
          <cell r="D1326" t="str">
            <v xml:space="preserve">الخزينة </v>
          </cell>
        </row>
        <row r="1327">
          <cell r="A1327">
            <v>57</v>
          </cell>
          <cell r="B1327">
            <v>46046</v>
          </cell>
          <cell r="C1327">
            <v>20</v>
          </cell>
          <cell r="D1327" t="str">
            <v xml:space="preserve">الخزينة </v>
          </cell>
        </row>
        <row r="1328">
          <cell r="A1328">
            <v>63</v>
          </cell>
          <cell r="B1328">
            <v>46046</v>
          </cell>
          <cell r="C1328">
            <v>20</v>
          </cell>
          <cell r="D1328" t="str">
            <v xml:space="preserve">الخزينة </v>
          </cell>
        </row>
        <row r="1329">
          <cell r="A1329">
            <v>63</v>
          </cell>
          <cell r="B1329">
            <v>46046</v>
          </cell>
          <cell r="C1329">
            <v>20</v>
          </cell>
          <cell r="D1329" t="str">
            <v xml:space="preserve">الخزينة </v>
          </cell>
        </row>
        <row r="1330">
          <cell r="A1330">
            <v>63</v>
          </cell>
          <cell r="B1330">
            <v>46046</v>
          </cell>
          <cell r="C1330">
            <v>20</v>
          </cell>
          <cell r="D1330" t="str">
            <v xml:space="preserve">الخزينة </v>
          </cell>
        </row>
        <row r="1331">
          <cell r="A1331">
            <v>63</v>
          </cell>
          <cell r="B1331">
            <v>46046</v>
          </cell>
          <cell r="C1331">
            <v>20</v>
          </cell>
          <cell r="D1331" t="str">
            <v xml:space="preserve">الخزينة </v>
          </cell>
        </row>
        <row r="1332">
          <cell r="A1332">
            <v>63</v>
          </cell>
          <cell r="B1332">
            <v>46046</v>
          </cell>
          <cell r="C1332">
            <v>20</v>
          </cell>
          <cell r="D1332" t="str">
            <v xml:space="preserve">الخزينة </v>
          </cell>
        </row>
        <row r="1333">
          <cell r="A1333">
            <v>59</v>
          </cell>
          <cell r="B1333">
            <v>46046</v>
          </cell>
          <cell r="C1333">
            <v>20</v>
          </cell>
          <cell r="D1333" t="str">
            <v xml:space="preserve">الخزينة </v>
          </cell>
        </row>
        <row r="1334">
          <cell r="A1334">
            <v>60</v>
          </cell>
          <cell r="B1334">
            <v>46046</v>
          </cell>
          <cell r="C1334">
            <v>20</v>
          </cell>
          <cell r="D1334" t="str">
            <v xml:space="preserve">الخزينة </v>
          </cell>
        </row>
        <row r="1335">
          <cell r="A1335">
            <v>90</v>
          </cell>
          <cell r="B1335">
            <v>46044</v>
          </cell>
          <cell r="C1335">
            <v>20</v>
          </cell>
          <cell r="D1335" t="str">
            <v xml:space="preserve">الخزينة </v>
          </cell>
        </row>
        <row r="1336">
          <cell r="A1336">
            <v>27</v>
          </cell>
          <cell r="B1336">
            <v>46044</v>
          </cell>
          <cell r="C1336">
            <v>20</v>
          </cell>
          <cell r="D1336" t="str">
            <v xml:space="preserve">الخزينة </v>
          </cell>
        </row>
        <row r="1337">
          <cell r="A1337">
            <v>70</v>
          </cell>
          <cell r="B1337">
            <v>46044</v>
          </cell>
          <cell r="C1337">
            <v>20</v>
          </cell>
          <cell r="D1337" t="str">
            <v xml:space="preserve">الخزينة </v>
          </cell>
        </row>
        <row r="1338">
          <cell r="A1338">
            <v>70</v>
          </cell>
          <cell r="B1338">
            <v>46044</v>
          </cell>
          <cell r="C1338">
            <v>20</v>
          </cell>
          <cell r="D1338" t="str">
            <v xml:space="preserve">الخزينة </v>
          </cell>
        </row>
        <row r="1339">
          <cell r="A1339">
            <v>40</v>
          </cell>
          <cell r="B1339">
            <v>46044</v>
          </cell>
          <cell r="C1339">
            <v>20</v>
          </cell>
          <cell r="D1339" t="str">
            <v xml:space="preserve">الخزينة </v>
          </cell>
        </row>
        <row r="1340">
          <cell r="A1340">
            <v>44</v>
          </cell>
          <cell r="B1340">
            <v>46044</v>
          </cell>
          <cell r="C1340">
            <v>20</v>
          </cell>
          <cell r="D1340" t="str">
            <v xml:space="preserve">الخزينة </v>
          </cell>
        </row>
        <row r="1341">
          <cell r="A1341">
            <v>48</v>
          </cell>
          <cell r="B1341">
            <v>46044</v>
          </cell>
          <cell r="C1341">
            <v>20</v>
          </cell>
          <cell r="D1341" t="str">
            <v xml:space="preserve">الخزينة </v>
          </cell>
        </row>
        <row r="1342">
          <cell r="A1342">
            <v>68</v>
          </cell>
          <cell r="B1342">
            <v>46044</v>
          </cell>
          <cell r="C1342">
            <v>20</v>
          </cell>
          <cell r="D1342" t="str">
            <v xml:space="preserve">الخزينة </v>
          </cell>
        </row>
        <row r="1343">
          <cell r="A1343">
            <v>66</v>
          </cell>
          <cell r="B1343">
            <v>46044</v>
          </cell>
          <cell r="C1343">
            <v>20</v>
          </cell>
          <cell r="D1343" t="str">
            <v xml:space="preserve">الخزينة </v>
          </cell>
        </row>
        <row r="1344">
          <cell r="A1344">
            <v>66</v>
          </cell>
          <cell r="B1344">
            <v>46044</v>
          </cell>
          <cell r="C1344">
            <v>20</v>
          </cell>
          <cell r="D1344" t="str">
            <v xml:space="preserve">الخزينة </v>
          </cell>
        </row>
        <row r="1345">
          <cell r="A1345">
            <v>66</v>
          </cell>
          <cell r="B1345">
            <v>46044</v>
          </cell>
          <cell r="C1345">
            <v>20</v>
          </cell>
          <cell r="D1345" t="str">
            <v xml:space="preserve">الخزينة </v>
          </cell>
        </row>
        <row r="1346">
          <cell r="A1346">
            <v>53</v>
          </cell>
          <cell r="B1346">
            <v>46044</v>
          </cell>
          <cell r="C1346">
            <v>20</v>
          </cell>
          <cell r="D1346" t="str">
            <v xml:space="preserve">الخزينة </v>
          </cell>
        </row>
        <row r="1347">
          <cell r="A1347">
            <v>66</v>
          </cell>
          <cell r="B1347">
            <v>46044</v>
          </cell>
          <cell r="C1347">
            <v>20</v>
          </cell>
          <cell r="D1347" t="str">
            <v xml:space="preserve">الخزينة </v>
          </cell>
        </row>
        <row r="1348">
          <cell r="A1348">
            <v>74</v>
          </cell>
          <cell r="B1348">
            <v>46043</v>
          </cell>
          <cell r="C1348">
            <v>20</v>
          </cell>
          <cell r="D1348" t="str">
            <v xml:space="preserve">الخزينة </v>
          </cell>
        </row>
        <row r="1349">
          <cell r="A1349">
            <v>12</v>
          </cell>
          <cell r="B1349">
            <v>46043</v>
          </cell>
          <cell r="C1349">
            <v>20</v>
          </cell>
          <cell r="D1349" t="str">
            <v xml:space="preserve">الخزينة </v>
          </cell>
        </row>
        <row r="1350">
          <cell r="A1350">
            <v>70</v>
          </cell>
          <cell r="B1350">
            <v>46043</v>
          </cell>
          <cell r="C1350">
            <v>20</v>
          </cell>
          <cell r="D1350" t="str">
            <v xml:space="preserve">الخزينة </v>
          </cell>
        </row>
        <row r="1351">
          <cell r="A1351">
            <v>70</v>
          </cell>
          <cell r="B1351">
            <v>46043</v>
          </cell>
          <cell r="C1351">
            <v>20</v>
          </cell>
          <cell r="D1351" t="str">
            <v xml:space="preserve">الخزينة </v>
          </cell>
        </row>
        <row r="1352">
          <cell r="A1352">
            <v>70</v>
          </cell>
          <cell r="B1352">
            <v>46043</v>
          </cell>
          <cell r="C1352">
            <v>20</v>
          </cell>
          <cell r="D1352" t="str">
            <v xml:space="preserve">الخزينة </v>
          </cell>
        </row>
        <row r="1353">
          <cell r="A1353">
            <v>45</v>
          </cell>
          <cell r="B1353">
            <v>46043</v>
          </cell>
          <cell r="C1353">
            <v>20</v>
          </cell>
          <cell r="D1353" t="str">
            <v xml:space="preserve">الخزينة </v>
          </cell>
        </row>
        <row r="1354">
          <cell r="A1354">
            <v>66</v>
          </cell>
          <cell r="B1354">
            <v>46043</v>
          </cell>
          <cell r="C1354">
            <v>20</v>
          </cell>
          <cell r="D1354" t="str">
            <v xml:space="preserve">الخزينة </v>
          </cell>
        </row>
        <row r="1355">
          <cell r="A1355">
            <v>66</v>
          </cell>
          <cell r="B1355">
            <v>46043</v>
          </cell>
          <cell r="C1355">
            <v>20</v>
          </cell>
          <cell r="D1355" t="str">
            <v xml:space="preserve">الخزينة </v>
          </cell>
        </row>
        <row r="1356">
          <cell r="A1356">
            <v>66</v>
          </cell>
          <cell r="B1356">
            <v>46043</v>
          </cell>
          <cell r="C1356">
            <v>20</v>
          </cell>
          <cell r="D1356" t="str">
            <v xml:space="preserve">الخزينة </v>
          </cell>
        </row>
        <row r="1357">
          <cell r="A1357">
            <v>66</v>
          </cell>
          <cell r="B1357">
            <v>46043</v>
          </cell>
          <cell r="C1357">
            <v>20</v>
          </cell>
          <cell r="D1357" t="str">
            <v xml:space="preserve">الخزينة </v>
          </cell>
        </row>
        <row r="1358">
          <cell r="A1358">
            <v>55</v>
          </cell>
          <cell r="B1358">
            <v>46043</v>
          </cell>
          <cell r="C1358">
            <v>20</v>
          </cell>
          <cell r="D1358" t="str">
            <v xml:space="preserve">الخزينة </v>
          </cell>
        </row>
        <row r="1359">
          <cell r="A1359">
            <v>82</v>
          </cell>
          <cell r="B1359">
            <v>46042</v>
          </cell>
          <cell r="C1359">
            <v>20</v>
          </cell>
          <cell r="D1359" t="str">
            <v xml:space="preserve">الخزينة </v>
          </cell>
        </row>
        <row r="1360">
          <cell r="A1360">
            <v>74</v>
          </cell>
          <cell r="B1360">
            <v>46042</v>
          </cell>
          <cell r="C1360">
            <v>20</v>
          </cell>
          <cell r="D1360" t="str">
            <v xml:space="preserve">الخزينة </v>
          </cell>
        </row>
        <row r="1361">
          <cell r="A1361">
            <v>70</v>
          </cell>
          <cell r="B1361">
            <v>46042</v>
          </cell>
          <cell r="C1361">
            <v>20</v>
          </cell>
          <cell r="D1361" t="str">
            <v xml:space="preserve">الخزينة </v>
          </cell>
        </row>
        <row r="1362">
          <cell r="A1362">
            <v>69</v>
          </cell>
          <cell r="B1362">
            <v>46042</v>
          </cell>
          <cell r="C1362">
            <v>20</v>
          </cell>
          <cell r="D1362" t="str">
            <v xml:space="preserve">الخزينة </v>
          </cell>
        </row>
        <row r="1363">
          <cell r="A1363">
            <v>69</v>
          </cell>
          <cell r="B1363">
            <v>46042</v>
          </cell>
          <cell r="C1363">
            <v>20</v>
          </cell>
          <cell r="D1363" t="str">
            <v xml:space="preserve">الخزينة </v>
          </cell>
        </row>
        <row r="1364">
          <cell r="A1364">
            <v>67</v>
          </cell>
          <cell r="B1364">
            <v>46042</v>
          </cell>
          <cell r="C1364">
            <v>20</v>
          </cell>
          <cell r="D1364" t="str">
            <v xml:space="preserve">الخزينة </v>
          </cell>
        </row>
        <row r="1365">
          <cell r="A1365">
            <v>67</v>
          </cell>
          <cell r="B1365">
            <v>46042</v>
          </cell>
          <cell r="C1365">
            <v>20</v>
          </cell>
          <cell r="D1365" t="str">
            <v xml:space="preserve">الخزينة </v>
          </cell>
        </row>
        <row r="1366">
          <cell r="A1366">
            <v>53</v>
          </cell>
          <cell r="B1366">
            <v>46042</v>
          </cell>
          <cell r="C1366">
            <v>20</v>
          </cell>
          <cell r="D1366" t="str">
            <v xml:space="preserve">الخزينة </v>
          </cell>
        </row>
        <row r="1367">
          <cell r="A1367">
            <v>54</v>
          </cell>
          <cell r="B1367">
            <v>46042</v>
          </cell>
          <cell r="C1367">
            <v>20</v>
          </cell>
          <cell r="D1367" t="str">
            <v xml:space="preserve">الخزينة </v>
          </cell>
        </row>
        <row r="1368">
          <cell r="A1368">
            <v>54</v>
          </cell>
          <cell r="B1368">
            <v>46042</v>
          </cell>
          <cell r="C1368">
            <v>20</v>
          </cell>
          <cell r="D1368" t="str">
            <v xml:space="preserve">الخزينة </v>
          </cell>
        </row>
        <row r="1369">
          <cell r="A1369">
            <v>55</v>
          </cell>
          <cell r="B1369">
            <v>46042</v>
          </cell>
          <cell r="C1369">
            <v>20</v>
          </cell>
          <cell r="D1369" t="str">
            <v xml:space="preserve">الخزينة </v>
          </cell>
        </row>
        <row r="1370">
          <cell r="A1370">
            <v>55</v>
          </cell>
          <cell r="B1370">
            <v>46042</v>
          </cell>
          <cell r="C1370">
            <v>20</v>
          </cell>
          <cell r="D1370" t="str">
            <v xml:space="preserve">الخزينة </v>
          </cell>
        </row>
        <row r="1371">
          <cell r="A1371">
            <v>60</v>
          </cell>
          <cell r="B1371">
            <v>46042</v>
          </cell>
          <cell r="C1371">
            <v>20</v>
          </cell>
          <cell r="D1371" t="str">
            <v xml:space="preserve">الخزينة </v>
          </cell>
        </row>
        <row r="1372">
          <cell r="A1372">
            <v>90</v>
          </cell>
          <cell r="B1372">
            <v>46041</v>
          </cell>
          <cell r="C1372">
            <v>20</v>
          </cell>
          <cell r="D1372" t="str">
            <v xml:space="preserve">الخزينة </v>
          </cell>
        </row>
        <row r="1373">
          <cell r="A1373">
            <v>5</v>
          </cell>
          <cell r="B1373">
            <v>46041</v>
          </cell>
          <cell r="C1373">
            <v>20</v>
          </cell>
          <cell r="D1373" t="str">
            <v xml:space="preserve">الخزينة </v>
          </cell>
        </row>
        <row r="1374">
          <cell r="A1374">
            <v>87</v>
          </cell>
          <cell r="B1374">
            <v>46041</v>
          </cell>
          <cell r="C1374">
            <v>20</v>
          </cell>
          <cell r="D1374" t="str">
            <v xml:space="preserve">الخزينة </v>
          </cell>
        </row>
        <row r="1375">
          <cell r="A1375">
            <v>29</v>
          </cell>
          <cell r="B1375">
            <v>46041</v>
          </cell>
          <cell r="C1375">
            <v>20</v>
          </cell>
          <cell r="D1375" t="str">
            <v xml:space="preserve">الخزينة </v>
          </cell>
        </row>
        <row r="1376">
          <cell r="A1376">
            <v>37</v>
          </cell>
          <cell r="B1376">
            <v>46041</v>
          </cell>
          <cell r="C1376">
            <v>20</v>
          </cell>
          <cell r="D1376" t="str">
            <v xml:space="preserve">الخزينة </v>
          </cell>
        </row>
        <row r="1377">
          <cell r="A1377">
            <v>37</v>
          </cell>
          <cell r="B1377">
            <v>46041</v>
          </cell>
          <cell r="C1377">
            <v>20</v>
          </cell>
          <cell r="D1377" t="str">
            <v xml:space="preserve">الخزينة </v>
          </cell>
        </row>
        <row r="1378">
          <cell r="A1378">
            <v>56</v>
          </cell>
          <cell r="B1378">
            <v>46041</v>
          </cell>
          <cell r="C1378">
            <v>20</v>
          </cell>
          <cell r="D1378" t="str">
            <v xml:space="preserve">الخزينة </v>
          </cell>
        </row>
        <row r="1379">
          <cell r="A1379">
            <v>59</v>
          </cell>
          <cell r="B1379">
            <v>46041</v>
          </cell>
          <cell r="C1379">
            <v>20</v>
          </cell>
          <cell r="D1379" t="str">
            <v xml:space="preserve">الخزينة </v>
          </cell>
        </row>
        <row r="1380">
          <cell r="A1380">
            <v>59</v>
          </cell>
          <cell r="B1380">
            <v>46041</v>
          </cell>
          <cell r="C1380">
            <v>20</v>
          </cell>
          <cell r="D1380" t="str">
            <v xml:space="preserve">الخزينة </v>
          </cell>
        </row>
        <row r="1381">
          <cell r="A1381">
            <v>90</v>
          </cell>
          <cell r="B1381">
            <v>46040</v>
          </cell>
          <cell r="C1381">
            <v>20</v>
          </cell>
          <cell r="D1381" t="str">
            <v xml:space="preserve">الخزينة </v>
          </cell>
        </row>
        <row r="1382">
          <cell r="A1382">
            <v>2</v>
          </cell>
          <cell r="B1382">
            <v>46040</v>
          </cell>
          <cell r="C1382">
            <v>20</v>
          </cell>
          <cell r="D1382" t="str">
            <v xml:space="preserve">الخزينة </v>
          </cell>
        </row>
        <row r="1383">
          <cell r="A1383">
            <v>10</v>
          </cell>
          <cell r="B1383">
            <v>46040</v>
          </cell>
          <cell r="C1383">
            <v>20</v>
          </cell>
          <cell r="D1383" t="str">
            <v xml:space="preserve">الخزينة </v>
          </cell>
        </row>
        <row r="1384">
          <cell r="A1384">
            <v>10</v>
          </cell>
          <cell r="B1384">
            <v>46040</v>
          </cell>
          <cell r="C1384">
            <v>20</v>
          </cell>
          <cell r="D1384" t="str">
            <v xml:space="preserve">الخزينة </v>
          </cell>
        </row>
        <row r="1385">
          <cell r="A1385">
            <v>88</v>
          </cell>
          <cell r="B1385">
            <v>46040</v>
          </cell>
          <cell r="C1385">
            <v>20</v>
          </cell>
          <cell r="D1385" t="str">
            <v xml:space="preserve">الخزينة </v>
          </cell>
        </row>
        <row r="1386">
          <cell r="A1386">
            <v>49</v>
          </cell>
          <cell r="B1386">
            <v>46040</v>
          </cell>
          <cell r="C1386">
            <v>20</v>
          </cell>
          <cell r="D1386" t="str">
            <v xml:space="preserve">الخزينة </v>
          </cell>
        </row>
        <row r="1387">
          <cell r="A1387">
            <v>90</v>
          </cell>
          <cell r="B1387">
            <v>46039</v>
          </cell>
          <cell r="C1387">
            <v>20</v>
          </cell>
          <cell r="D1387" t="str">
            <v xml:space="preserve">الخزينة </v>
          </cell>
        </row>
        <row r="1388">
          <cell r="A1388">
            <v>86</v>
          </cell>
          <cell r="B1388">
            <v>46039</v>
          </cell>
          <cell r="C1388">
            <v>20</v>
          </cell>
          <cell r="D1388" t="str">
            <v xml:space="preserve">الخزينة </v>
          </cell>
        </row>
        <row r="1389">
          <cell r="A1389">
            <v>42</v>
          </cell>
          <cell r="B1389">
            <v>46039</v>
          </cell>
          <cell r="C1389">
            <v>20</v>
          </cell>
          <cell r="D1389" t="str">
            <v xml:space="preserve">الخزينة </v>
          </cell>
        </row>
        <row r="1390">
          <cell r="A1390">
            <v>52</v>
          </cell>
          <cell r="B1390">
            <v>46039</v>
          </cell>
          <cell r="C1390">
            <v>20</v>
          </cell>
          <cell r="D1390" t="str">
            <v xml:space="preserve">الخزينة </v>
          </cell>
        </row>
        <row r="1391">
          <cell r="A1391">
            <v>67</v>
          </cell>
          <cell r="B1391">
            <v>46039</v>
          </cell>
          <cell r="C1391">
            <v>20</v>
          </cell>
          <cell r="D1391" t="str">
            <v xml:space="preserve">الخزينة </v>
          </cell>
        </row>
        <row r="1392">
          <cell r="A1392">
            <v>66</v>
          </cell>
          <cell r="B1392">
            <v>46039</v>
          </cell>
          <cell r="C1392">
            <v>20</v>
          </cell>
          <cell r="D1392" t="str">
            <v xml:space="preserve">الخزينة </v>
          </cell>
        </row>
        <row r="1393">
          <cell r="A1393">
            <v>66</v>
          </cell>
          <cell r="B1393">
            <v>46039</v>
          </cell>
          <cell r="C1393">
            <v>20</v>
          </cell>
          <cell r="D1393" t="str">
            <v xml:space="preserve">الخزينة </v>
          </cell>
        </row>
        <row r="1394">
          <cell r="A1394">
            <v>66</v>
          </cell>
          <cell r="B1394">
            <v>46039</v>
          </cell>
          <cell r="C1394">
            <v>20</v>
          </cell>
          <cell r="D1394" t="str">
            <v xml:space="preserve">الخزينة </v>
          </cell>
        </row>
        <row r="1395">
          <cell r="A1395">
            <v>66</v>
          </cell>
          <cell r="B1395">
            <v>46039</v>
          </cell>
          <cell r="C1395">
            <v>20</v>
          </cell>
          <cell r="D1395" t="str">
            <v xml:space="preserve">الخزينة </v>
          </cell>
        </row>
        <row r="1396">
          <cell r="A1396">
            <v>64</v>
          </cell>
          <cell r="B1396">
            <v>46039</v>
          </cell>
          <cell r="C1396">
            <v>20</v>
          </cell>
          <cell r="D1396" t="str">
            <v xml:space="preserve">الخزينة </v>
          </cell>
        </row>
        <row r="1397">
          <cell r="A1397">
            <v>55</v>
          </cell>
          <cell r="B1397">
            <v>46039</v>
          </cell>
          <cell r="C1397">
            <v>20</v>
          </cell>
          <cell r="D1397" t="str">
            <v xml:space="preserve">الخزينة </v>
          </cell>
        </row>
        <row r="1398">
          <cell r="A1398">
            <v>56</v>
          </cell>
          <cell r="B1398">
            <v>46039</v>
          </cell>
          <cell r="C1398">
            <v>20</v>
          </cell>
          <cell r="D1398" t="str">
            <v xml:space="preserve">الخزينة </v>
          </cell>
        </row>
        <row r="1399">
          <cell r="A1399">
            <v>63</v>
          </cell>
          <cell r="B1399">
            <v>46039</v>
          </cell>
          <cell r="C1399">
            <v>20</v>
          </cell>
          <cell r="D1399" t="str">
            <v xml:space="preserve">الخزينة </v>
          </cell>
        </row>
        <row r="1400">
          <cell r="A1400">
            <v>60</v>
          </cell>
          <cell r="B1400">
            <v>46039</v>
          </cell>
          <cell r="C1400">
            <v>20</v>
          </cell>
          <cell r="D1400" t="str">
            <v xml:space="preserve">الخزينة </v>
          </cell>
        </row>
        <row r="1401">
          <cell r="A1401">
            <v>90</v>
          </cell>
          <cell r="B1401">
            <v>46037</v>
          </cell>
          <cell r="C1401">
            <v>20</v>
          </cell>
          <cell r="D1401" t="str">
            <v xml:space="preserve">الخزينة </v>
          </cell>
        </row>
        <row r="1402">
          <cell r="A1402">
            <v>5</v>
          </cell>
          <cell r="B1402">
            <v>46037</v>
          </cell>
          <cell r="C1402">
            <v>20</v>
          </cell>
          <cell r="D1402" t="str">
            <v xml:space="preserve">الخزينة </v>
          </cell>
        </row>
        <row r="1403">
          <cell r="A1403">
            <v>82</v>
          </cell>
          <cell r="B1403">
            <v>46037</v>
          </cell>
          <cell r="C1403">
            <v>20</v>
          </cell>
          <cell r="D1403" t="str">
            <v xml:space="preserve">الخزينة </v>
          </cell>
        </row>
        <row r="1404">
          <cell r="A1404">
            <v>75</v>
          </cell>
          <cell r="B1404">
            <v>46037</v>
          </cell>
          <cell r="C1404">
            <v>20</v>
          </cell>
          <cell r="D1404" t="str">
            <v xml:space="preserve">الخزينة </v>
          </cell>
        </row>
        <row r="1405">
          <cell r="A1405">
            <v>70</v>
          </cell>
          <cell r="B1405">
            <v>46037</v>
          </cell>
          <cell r="C1405">
            <v>20</v>
          </cell>
          <cell r="D1405" t="str">
            <v xml:space="preserve">الخزينة </v>
          </cell>
        </row>
        <row r="1406">
          <cell r="A1406">
            <v>44</v>
          </cell>
          <cell r="B1406">
            <v>46037</v>
          </cell>
          <cell r="C1406">
            <v>20</v>
          </cell>
          <cell r="D1406" t="str">
            <v xml:space="preserve">الخزينة </v>
          </cell>
        </row>
        <row r="1407">
          <cell r="A1407">
            <v>48</v>
          </cell>
          <cell r="B1407">
            <v>46037</v>
          </cell>
          <cell r="C1407">
            <v>20</v>
          </cell>
          <cell r="D1407" t="str">
            <v xml:space="preserve">الخزينة </v>
          </cell>
        </row>
        <row r="1408">
          <cell r="A1408">
            <v>53</v>
          </cell>
          <cell r="B1408">
            <v>46037</v>
          </cell>
          <cell r="C1408">
            <v>20</v>
          </cell>
          <cell r="D1408" t="str">
            <v xml:space="preserve">الخزينة </v>
          </cell>
        </row>
        <row r="1409">
          <cell r="A1409">
            <v>55</v>
          </cell>
          <cell r="B1409">
            <v>46037</v>
          </cell>
          <cell r="C1409">
            <v>20</v>
          </cell>
          <cell r="D1409" t="str">
            <v xml:space="preserve">الخزينة </v>
          </cell>
        </row>
        <row r="1410">
          <cell r="A1410">
            <v>55</v>
          </cell>
          <cell r="B1410">
            <v>46037</v>
          </cell>
          <cell r="C1410">
            <v>20</v>
          </cell>
          <cell r="D1410" t="str">
            <v xml:space="preserve">الخزينة </v>
          </cell>
        </row>
        <row r="1411">
          <cell r="A1411">
            <v>55</v>
          </cell>
          <cell r="B1411">
            <v>46037</v>
          </cell>
          <cell r="C1411">
            <v>20</v>
          </cell>
          <cell r="D1411" t="str">
            <v xml:space="preserve">الخزينة </v>
          </cell>
        </row>
        <row r="1412">
          <cell r="A1412">
            <v>59</v>
          </cell>
          <cell r="B1412">
            <v>46037</v>
          </cell>
          <cell r="C1412">
            <v>20</v>
          </cell>
          <cell r="D1412" t="str">
            <v xml:space="preserve">الخزينة </v>
          </cell>
        </row>
        <row r="1413">
          <cell r="A1413">
            <v>59</v>
          </cell>
          <cell r="B1413">
            <v>46037</v>
          </cell>
          <cell r="C1413">
            <v>20</v>
          </cell>
          <cell r="D1413" t="str">
            <v xml:space="preserve">الخزينة </v>
          </cell>
        </row>
        <row r="1414">
          <cell r="A1414">
            <v>60</v>
          </cell>
          <cell r="B1414">
            <v>46037</v>
          </cell>
          <cell r="C1414">
            <v>20</v>
          </cell>
          <cell r="D1414" t="str">
            <v xml:space="preserve">الخزينة </v>
          </cell>
        </row>
        <row r="1415">
          <cell r="A1415">
            <v>90</v>
          </cell>
          <cell r="B1415">
            <v>46036</v>
          </cell>
          <cell r="C1415">
            <v>20</v>
          </cell>
          <cell r="D1415" t="str">
            <v xml:space="preserve">الخزينة </v>
          </cell>
        </row>
        <row r="1416">
          <cell r="A1416">
            <v>90</v>
          </cell>
          <cell r="B1416">
            <v>46036</v>
          </cell>
          <cell r="C1416">
            <v>20</v>
          </cell>
          <cell r="D1416" t="str">
            <v xml:space="preserve">الخزينة </v>
          </cell>
        </row>
        <row r="1417">
          <cell r="A1417">
            <v>2</v>
          </cell>
          <cell r="B1417">
            <v>46036</v>
          </cell>
          <cell r="C1417">
            <v>20</v>
          </cell>
          <cell r="D1417" t="str">
            <v xml:space="preserve">الخزينة </v>
          </cell>
        </row>
        <row r="1418">
          <cell r="A1418">
            <v>17</v>
          </cell>
          <cell r="B1418">
            <v>46036</v>
          </cell>
          <cell r="C1418">
            <v>20</v>
          </cell>
          <cell r="D1418" t="str">
            <v xml:space="preserve">الخزينة </v>
          </cell>
        </row>
        <row r="1419">
          <cell r="A1419">
            <v>21</v>
          </cell>
          <cell r="B1419">
            <v>46036</v>
          </cell>
          <cell r="C1419">
            <v>20</v>
          </cell>
          <cell r="D1419" t="str">
            <v xml:space="preserve">الخزينة </v>
          </cell>
        </row>
        <row r="1420">
          <cell r="A1420">
            <v>30</v>
          </cell>
          <cell r="B1420">
            <v>46036</v>
          </cell>
          <cell r="C1420">
            <v>20</v>
          </cell>
          <cell r="D1420" t="str">
            <v xml:space="preserve">الخزينة </v>
          </cell>
        </row>
        <row r="1421">
          <cell r="A1421">
            <v>33</v>
          </cell>
          <cell r="B1421">
            <v>46036</v>
          </cell>
          <cell r="C1421">
            <v>20</v>
          </cell>
          <cell r="D1421" t="str">
            <v xml:space="preserve">الخزينة </v>
          </cell>
        </row>
        <row r="1422">
          <cell r="A1422">
            <v>42</v>
          </cell>
          <cell r="B1422">
            <v>46036</v>
          </cell>
          <cell r="C1422">
            <v>20</v>
          </cell>
          <cell r="D1422" t="str">
            <v xml:space="preserve">الخزينة </v>
          </cell>
        </row>
        <row r="1423">
          <cell r="A1423">
            <v>42</v>
          </cell>
          <cell r="B1423">
            <v>46036</v>
          </cell>
          <cell r="C1423">
            <v>20</v>
          </cell>
          <cell r="D1423" t="str">
            <v xml:space="preserve">الخزينة </v>
          </cell>
        </row>
        <row r="1424">
          <cell r="A1424">
            <v>68</v>
          </cell>
          <cell r="B1424">
            <v>46036</v>
          </cell>
          <cell r="C1424">
            <v>20</v>
          </cell>
          <cell r="D1424" t="str">
            <v xml:space="preserve">الخزينة </v>
          </cell>
        </row>
        <row r="1425">
          <cell r="A1425">
            <v>67</v>
          </cell>
          <cell r="B1425">
            <v>46036</v>
          </cell>
          <cell r="C1425">
            <v>20</v>
          </cell>
          <cell r="D1425" t="str">
            <v xml:space="preserve">الخزينة </v>
          </cell>
        </row>
        <row r="1426">
          <cell r="A1426">
            <v>53</v>
          </cell>
          <cell r="B1426">
            <v>46036</v>
          </cell>
          <cell r="C1426">
            <v>20</v>
          </cell>
          <cell r="D1426" t="str">
            <v xml:space="preserve">الخزينة </v>
          </cell>
        </row>
        <row r="1427">
          <cell r="A1427">
            <v>66</v>
          </cell>
          <cell r="B1427">
            <v>46036</v>
          </cell>
          <cell r="C1427">
            <v>20</v>
          </cell>
          <cell r="D1427" t="str">
            <v xml:space="preserve">الخزينة </v>
          </cell>
        </row>
        <row r="1428">
          <cell r="A1428">
            <v>66</v>
          </cell>
          <cell r="B1428">
            <v>46036</v>
          </cell>
          <cell r="C1428">
            <v>20</v>
          </cell>
          <cell r="D1428" t="str">
            <v xml:space="preserve">الخزينة </v>
          </cell>
        </row>
        <row r="1429">
          <cell r="A1429">
            <v>66</v>
          </cell>
          <cell r="B1429">
            <v>46036</v>
          </cell>
          <cell r="C1429">
            <v>20</v>
          </cell>
          <cell r="D1429" t="str">
            <v xml:space="preserve">الخزينة </v>
          </cell>
        </row>
        <row r="1430">
          <cell r="A1430">
            <v>66</v>
          </cell>
          <cell r="B1430">
            <v>46036</v>
          </cell>
          <cell r="C1430">
            <v>20</v>
          </cell>
          <cell r="D1430" t="str">
            <v xml:space="preserve">الخزينة </v>
          </cell>
        </row>
        <row r="1431">
          <cell r="A1431">
            <v>64</v>
          </cell>
          <cell r="B1431">
            <v>46036</v>
          </cell>
          <cell r="C1431">
            <v>20</v>
          </cell>
          <cell r="D1431" t="str">
            <v xml:space="preserve">الخزينة </v>
          </cell>
        </row>
        <row r="1432">
          <cell r="A1432">
            <v>56</v>
          </cell>
          <cell r="B1432">
            <v>46036</v>
          </cell>
          <cell r="C1432">
            <v>20</v>
          </cell>
          <cell r="D1432" t="str">
            <v xml:space="preserve">الخزينة </v>
          </cell>
        </row>
        <row r="1433">
          <cell r="A1433">
            <v>57</v>
          </cell>
          <cell r="B1433">
            <v>46036</v>
          </cell>
          <cell r="C1433">
            <v>20</v>
          </cell>
          <cell r="D1433" t="str">
            <v xml:space="preserve">الخزينة </v>
          </cell>
        </row>
        <row r="1434">
          <cell r="A1434">
            <v>59</v>
          </cell>
          <cell r="B1434">
            <v>46036</v>
          </cell>
          <cell r="C1434">
            <v>20</v>
          </cell>
          <cell r="D1434" t="str">
            <v xml:space="preserve">الخزينة </v>
          </cell>
        </row>
        <row r="1435">
          <cell r="A1435">
            <v>60</v>
          </cell>
          <cell r="B1435">
            <v>46036</v>
          </cell>
          <cell r="C1435">
            <v>20</v>
          </cell>
          <cell r="D1435" t="str">
            <v xml:space="preserve">الخزينة </v>
          </cell>
        </row>
        <row r="1436">
          <cell r="A1436">
            <v>10</v>
          </cell>
          <cell r="B1436">
            <v>46035</v>
          </cell>
          <cell r="C1436">
            <v>20</v>
          </cell>
          <cell r="D1436" t="str">
            <v xml:space="preserve">الخزينة </v>
          </cell>
        </row>
        <row r="1437">
          <cell r="A1437">
            <v>87</v>
          </cell>
          <cell r="B1437">
            <v>46035</v>
          </cell>
          <cell r="C1437">
            <v>20</v>
          </cell>
          <cell r="D1437" t="str">
            <v xml:space="preserve">الخزينة </v>
          </cell>
        </row>
        <row r="1438">
          <cell r="A1438">
            <v>67</v>
          </cell>
          <cell r="B1438">
            <v>46035</v>
          </cell>
          <cell r="C1438">
            <v>20</v>
          </cell>
          <cell r="D1438" t="str">
            <v xml:space="preserve">الخزينة </v>
          </cell>
        </row>
        <row r="1439">
          <cell r="A1439">
            <v>90</v>
          </cell>
          <cell r="B1439">
            <v>46034</v>
          </cell>
          <cell r="C1439">
            <v>20</v>
          </cell>
          <cell r="D1439" t="str">
            <v xml:space="preserve">الخزينة </v>
          </cell>
        </row>
        <row r="1440">
          <cell r="A1440">
            <v>82</v>
          </cell>
          <cell r="B1440">
            <v>46034</v>
          </cell>
          <cell r="C1440">
            <v>20</v>
          </cell>
          <cell r="D1440" t="str">
            <v xml:space="preserve">الخزينة </v>
          </cell>
        </row>
        <row r="1441">
          <cell r="A1441">
            <v>82</v>
          </cell>
          <cell r="B1441">
            <v>46034</v>
          </cell>
          <cell r="C1441">
            <v>20</v>
          </cell>
          <cell r="D1441" t="str">
            <v xml:space="preserve">الخزينة </v>
          </cell>
        </row>
        <row r="1442">
          <cell r="A1442">
            <v>82</v>
          </cell>
          <cell r="B1442">
            <v>46034</v>
          </cell>
          <cell r="C1442">
            <v>20</v>
          </cell>
          <cell r="D1442" t="str">
            <v xml:space="preserve">الخزينة </v>
          </cell>
        </row>
        <row r="1443">
          <cell r="A1443">
            <v>37</v>
          </cell>
          <cell r="B1443">
            <v>46034</v>
          </cell>
          <cell r="C1443">
            <v>20</v>
          </cell>
          <cell r="D1443" t="str">
            <v xml:space="preserve">الخزينة </v>
          </cell>
        </row>
        <row r="1444">
          <cell r="A1444">
            <v>69</v>
          </cell>
          <cell r="B1444">
            <v>46034</v>
          </cell>
          <cell r="C1444">
            <v>20</v>
          </cell>
          <cell r="D1444" t="str">
            <v xml:space="preserve">الخزينة </v>
          </cell>
        </row>
        <row r="1445">
          <cell r="A1445">
            <v>46</v>
          </cell>
          <cell r="B1445">
            <v>46034</v>
          </cell>
          <cell r="C1445">
            <v>20</v>
          </cell>
          <cell r="D1445" t="str">
            <v xml:space="preserve">الخزينة </v>
          </cell>
        </row>
        <row r="1446">
          <cell r="A1446">
            <v>67</v>
          </cell>
          <cell r="B1446">
            <v>46034</v>
          </cell>
          <cell r="C1446">
            <v>20</v>
          </cell>
          <cell r="D1446" t="str">
            <v xml:space="preserve">الخزينة </v>
          </cell>
        </row>
        <row r="1447">
          <cell r="A1447">
            <v>53</v>
          </cell>
          <cell r="B1447">
            <v>46034</v>
          </cell>
          <cell r="C1447">
            <v>20</v>
          </cell>
          <cell r="D1447" t="str">
            <v xml:space="preserve">الخزينة </v>
          </cell>
        </row>
        <row r="1448">
          <cell r="A1448">
            <v>63</v>
          </cell>
          <cell r="B1448">
            <v>46034</v>
          </cell>
          <cell r="C1448">
            <v>20</v>
          </cell>
          <cell r="D1448" t="str">
            <v xml:space="preserve">الخزينة </v>
          </cell>
        </row>
        <row r="1449">
          <cell r="A1449">
            <v>63</v>
          </cell>
          <cell r="B1449">
            <v>46034</v>
          </cell>
          <cell r="C1449">
            <v>20</v>
          </cell>
          <cell r="D1449" t="str">
            <v xml:space="preserve">الخزينة </v>
          </cell>
        </row>
        <row r="1450">
          <cell r="A1450">
            <v>59</v>
          </cell>
          <cell r="B1450">
            <v>46034</v>
          </cell>
          <cell r="C1450">
            <v>20</v>
          </cell>
          <cell r="D1450" t="str">
            <v xml:space="preserve">الخزينة </v>
          </cell>
        </row>
        <row r="1451">
          <cell r="A1451">
            <v>61</v>
          </cell>
          <cell r="B1451">
            <v>46034</v>
          </cell>
          <cell r="C1451">
            <v>20</v>
          </cell>
          <cell r="D1451" t="str">
            <v xml:space="preserve">الخزينة </v>
          </cell>
        </row>
        <row r="1452">
          <cell r="A1452">
            <v>60</v>
          </cell>
          <cell r="B1452">
            <v>46034</v>
          </cell>
          <cell r="C1452">
            <v>20</v>
          </cell>
          <cell r="D1452" t="str">
            <v xml:space="preserve">الخزينة </v>
          </cell>
        </row>
        <row r="1453">
          <cell r="A1453">
            <v>60</v>
          </cell>
          <cell r="B1453">
            <v>46034</v>
          </cell>
          <cell r="C1453">
            <v>20</v>
          </cell>
          <cell r="D1453" t="str">
            <v xml:space="preserve">الخزينة </v>
          </cell>
        </row>
        <row r="1454">
          <cell r="A1454">
            <v>10</v>
          </cell>
          <cell r="B1454">
            <v>46033</v>
          </cell>
          <cell r="C1454">
            <v>20</v>
          </cell>
          <cell r="D1454" t="str">
            <v xml:space="preserve">الخزينة </v>
          </cell>
        </row>
        <row r="1455">
          <cell r="A1455">
            <v>14</v>
          </cell>
          <cell r="B1455">
            <v>46033</v>
          </cell>
          <cell r="C1455">
            <v>20</v>
          </cell>
          <cell r="D1455" t="str">
            <v xml:space="preserve">الخزينة </v>
          </cell>
        </row>
        <row r="1456">
          <cell r="A1456">
            <v>88</v>
          </cell>
          <cell r="B1456">
            <v>46033</v>
          </cell>
          <cell r="C1456">
            <v>20</v>
          </cell>
          <cell r="D1456" t="str">
            <v xml:space="preserve">الخزينة </v>
          </cell>
        </row>
        <row r="1457">
          <cell r="A1457">
            <v>87</v>
          </cell>
          <cell r="B1457">
            <v>46033</v>
          </cell>
          <cell r="C1457">
            <v>20</v>
          </cell>
          <cell r="D1457" t="str">
            <v xml:space="preserve">الخزينة </v>
          </cell>
        </row>
        <row r="1458">
          <cell r="A1458">
            <v>81</v>
          </cell>
          <cell r="B1458">
            <v>46033</v>
          </cell>
          <cell r="C1458">
            <v>20</v>
          </cell>
          <cell r="D1458" t="str">
            <v xml:space="preserve">الخزينة </v>
          </cell>
        </row>
        <row r="1459">
          <cell r="A1459">
            <v>67</v>
          </cell>
          <cell r="B1459">
            <v>46033</v>
          </cell>
          <cell r="C1459">
            <v>20</v>
          </cell>
          <cell r="D1459" t="str">
            <v xml:space="preserve">الخزينة </v>
          </cell>
        </row>
        <row r="1460">
          <cell r="A1460">
            <v>61</v>
          </cell>
          <cell r="B1460">
            <v>46033</v>
          </cell>
          <cell r="C1460">
            <v>20</v>
          </cell>
          <cell r="D1460" t="str">
            <v xml:space="preserve">الخزينة </v>
          </cell>
        </row>
        <row r="1461">
          <cell r="A1461">
            <v>61</v>
          </cell>
          <cell r="B1461">
            <v>46033</v>
          </cell>
          <cell r="C1461">
            <v>20</v>
          </cell>
          <cell r="D1461" t="str">
            <v xml:space="preserve">الخزينة </v>
          </cell>
        </row>
        <row r="1462">
          <cell r="A1462">
            <v>11</v>
          </cell>
          <cell r="B1462">
            <v>46032</v>
          </cell>
          <cell r="C1462">
            <v>20</v>
          </cell>
          <cell r="D1462" t="str">
            <v xml:space="preserve">الخزينة </v>
          </cell>
        </row>
        <row r="1463">
          <cell r="A1463">
            <v>11</v>
          </cell>
          <cell r="B1463">
            <v>46032</v>
          </cell>
          <cell r="C1463">
            <v>20</v>
          </cell>
          <cell r="D1463" t="str">
            <v xml:space="preserve">الخزينة </v>
          </cell>
        </row>
        <row r="1464">
          <cell r="A1464">
            <v>11</v>
          </cell>
          <cell r="B1464">
            <v>46032</v>
          </cell>
          <cell r="C1464">
            <v>20</v>
          </cell>
          <cell r="D1464" t="str">
            <v xml:space="preserve">الخزينة </v>
          </cell>
        </row>
        <row r="1465">
          <cell r="A1465">
            <v>11</v>
          </cell>
          <cell r="B1465">
            <v>46032</v>
          </cell>
          <cell r="C1465">
            <v>20</v>
          </cell>
          <cell r="D1465" t="str">
            <v xml:space="preserve">الخزينة </v>
          </cell>
        </row>
        <row r="1466">
          <cell r="A1466">
            <v>70</v>
          </cell>
          <cell r="B1466">
            <v>46032</v>
          </cell>
          <cell r="C1466">
            <v>20</v>
          </cell>
          <cell r="D1466" t="str">
            <v xml:space="preserve">الخزينة </v>
          </cell>
        </row>
        <row r="1467">
          <cell r="A1467">
            <v>90</v>
          </cell>
          <cell r="B1467">
            <v>46030</v>
          </cell>
          <cell r="C1467">
            <v>20</v>
          </cell>
          <cell r="D1467" t="str">
            <v xml:space="preserve">الخزينة </v>
          </cell>
        </row>
        <row r="1468">
          <cell r="A1468">
            <v>88</v>
          </cell>
          <cell r="B1468">
            <v>46030</v>
          </cell>
          <cell r="C1468">
            <v>20</v>
          </cell>
          <cell r="D1468" t="str">
            <v xml:space="preserve">الخزينة </v>
          </cell>
        </row>
        <row r="1469">
          <cell r="A1469">
            <v>27</v>
          </cell>
          <cell r="B1469">
            <v>46030</v>
          </cell>
          <cell r="C1469">
            <v>20</v>
          </cell>
          <cell r="D1469" t="str">
            <v xml:space="preserve">الخزينة </v>
          </cell>
        </row>
        <row r="1470">
          <cell r="A1470">
            <v>27</v>
          </cell>
          <cell r="B1470">
            <v>46030</v>
          </cell>
          <cell r="C1470">
            <v>20</v>
          </cell>
          <cell r="D1470" t="str">
            <v xml:space="preserve">الخزينة </v>
          </cell>
        </row>
        <row r="1471">
          <cell r="A1471">
            <v>70</v>
          </cell>
          <cell r="B1471">
            <v>46030</v>
          </cell>
          <cell r="C1471">
            <v>20</v>
          </cell>
          <cell r="D1471" t="str">
            <v xml:space="preserve">الخزينة </v>
          </cell>
        </row>
        <row r="1472">
          <cell r="A1472">
            <v>40</v>
          </cell>
          <cell r="B1472">
            <v>46030</v>
          </cell>
          <cell r="C1472">
            <v>20</v>
          </cell>
          <cell r="D1472" t="str">
            <v xml:space="preserve">الخزينة </v>
          </cell>
        </row>
        <row r="1473">
          <cell r="A1473">
            <v>40</v>
          </cell>
          <cell r="B1473">
            <v>46030</v>
          </cell>
          <cell r="C1473">
            <v>20</v>
          </cell>
          <cell r="D1473" t="str">
            <v xml:space="preserve">الخزينة </v>
          </cell>
        </row>
        <row r="1474">
          <cell r="A1474">
            <v>70</v>
          </cell>
          <cell r="B1474">
            <v>46030</v>
          </cell>
          <cell r="C1474">
            <v>20</v>
          </cell>
          <cell r="D1474" t="str">
            <v xml:space="preserve">الخزينة </v>
          </cell>
        </row>
        <row r="1475">
          <cell r="A1475">
            <v>66</v>
          </cell>
          <cell r="B1475">
            <v>46030</v>
          </cell>
          <cell r="C1475">
            <v>20</v>
          </cell>
          <cell r="D1475" t="str">
            <v xml:space="preserve">الخزينة </v>
          </cell>
        </row>
        <row r="1476">
          <cell r="A1476">
            <v>66</v>
          </cell>
          <cell r="B1476">
            <v>46030</v>
          </cell>
          <cell r="C1476">
            <v>20</v>
          </cell>
          <cell r="D1476" t="str">
            <v xml:space="preserve">الخزينة </v>
          </cell>
        </row>
        <row r="1477">
          <cell r="A1477">
            <v>66</v>
          </cell>
          <cell r="B1477">
            <v>46030</v>
          </cell>
          <cell r="C1477">
            <v>20</v>
          </cell>
          <cell r="D1477" t="str">
            <v xml:space="preserve">الخزينة </v>
          </cell>
        </row>
        <row r="1478">
          <cell r="A1478">
            <v>66</v>
          </cell>
          <cell r="B1478">
            <v>46030</v>
          </cell>
          <cell r="C1478">
            <v>20</v>
          </cell>
          <cell r="D1478" t="str">
            <v xml:space="preserve">الخزينة </v>
          </cell>
        </row>
        <row r="1479">
          <cell r="A1479">
            <v>54</v>
          </cell>
          <cell r="B1479">
            <v>46030</v>
          </cell>
          <cell r="C1479">
            <v>20</v>
          </cell>
          <cell r="D1479" t="str">
            <v xml:space="preserve">الخزينة </v>
          </cell>
        </row>
        <row r="1480">
          <cell r="A1480">
            <v>55</v>
          </cell>
          <cell r="B1480">
            <v>46030</v>
          </cell>
          <cell r="C1480">
            <v>20</v>
          </cell>
          <cell r="D1480" t="str">
            <v xml:space="preserve">الخزينة </v>
          </cell>
        </row>
        <row r="1481">
          <cell r="A1481">
            <v>63</v>
          </cell>
          <cell r="B1481">
            <v>46030</v>
          </cell>
          <cell r="C1481">
            <v>20</v>
          </cell>
          <cell r="D1481" t="str">
            <v xml:space="preserve">الخزينة </v>
          </cell>
        </row>
        <row r="1482">
          <cell r="A1482">
            <v>60</v>
          </cell>
          <cell r="B1482">
            <v>46030</v>
          </cell>
          <cell r="C1482">
            <v>20</v>
          </cell>
          <cell r="D1482" t="str">
            <v xml:space="preserve">الخزينة </v>
          </cell>
        </row>
        <row r="1483">
          <cell r="A1483">
            <v>10</v>
          </cell>
          <cell r="B1483">
            <v>46029</v>
          </cell>
          <cell r="C1483">
            <v>20</v>
          </cell>
          <cell r="D1483" t="str">
            <v xml:space="preserve">الخزينة </v>
          </cell>
        </row>
        <row r="1484">
          <cell r="A1484">
            <v>15</v>
          </cell>
          <cell r="B1484">
            <v>46029</v>
          </cell>
          <cell r="C1484">
            <v>20</v>
          </cell>
          <cell r="D1484" t="str">
            <v xml:space="preserve">الخزينة </v>
          </cell>
        </row>
        <row r="1485">
          <cell r="A1485">
            <v>88</v>
          </cell>
          <cell r="B1485">
            <v>46029</v>
          </cell>
          <cell r="C1485">
            <v>20</v>
          </cell>
          <cell r="D1485" t="str">
            <v xml:space="preserve">الخزينة </v>
          </cell>
        </row>
        <row r="1486">
          <cell r="A1486">
            <v>17</v>
          </cell>
          <cell r="B1486">
            <v>46029</v>
          </cell>
          <cell r="C1486">
            <v>20</v>
          </cell>
          <cell r="D1486" t="str">
            <v xml:space="preserve">الخزينة </v>
          </cell>
        </row>
        <row r="1487">
          <cell r="A1487">
            <v>33</v>
          </cell>
          <cell r="B1487">
            <v>46029</v>
          </cell>
          <cell r="C1487">
            <v>20</v>
          </cell>
          <cell r="D1487" t="str">
            <v xml:space="preserve">الخزينة </v>
          </cell>
        </row>
        <row r="1488">
          <cell r="A1488">
            <v>70</v>
          </cell>
          <cell r="B1488">
            <v>46029</v>
          </cell>
          <cell r="C1488">
            <v>20</v>
          </cell>
          <cell r="D1488" t="str">
            <v xml:space="preserve">الخزينة </v>
          </cell>
        </row>
        <row r="1489">
          <cell r="A1489">
            <v>48</v>
          </cell>
          <cell r="B1489">
            <v>46029</v>
          </cell>
          <cell r="C1489">
            <v>20</v>
          </cell>
          <cell r="D1489" t="str">
            <v xml:space="preserve">الخزينة </v>
          </cell>
        </row>
        <row r="1490">
          <cell r="A1490">
            <v>51</v>
          </cell>
          <cell r="B1490">
            <v>46029</v>
          </cell>
          <cell r="C1490">
            <v>20</v>
          </cell>
          <cell r="D1490" t="str">
            <v xml:space="preserve">الخزينة </v>
          </cell>
        </row>
        <row r="1491">
          <cell r="A1491">
            <v>54</v>
          </cell>
          <cell r="B1491">
            <v>46029</v>
          </cell>
          <cell r="C1491">
            <v>20</v>
          </cell>
          <cell r="D1491" t="str">
            <v xml:space="preserve">الخزينة </v>
          </cell>
        </row>
        <row r="1492">
          <cell r="A1492">
            <v>55</v>
          </cell>
          <cell r="B1492">
            <v>46029</v>
          </cell>
          <cell r="C1492">
            <v>20</v>
          </cell>
          <cell r="D1492" t="str">
            <v xml:space="preserve">الخزينة </v>
          </cell>
        </row>
        <row r="1493">
          <cell r="A1493">
            <v>61</v>
          </cell>
          <cell r="B1493">
            <v>46029</v>
          </cell>
          <cell r="C1493">
            <v>20</v>
          </cell>
          <cell r="D1493" t="str">
            <v xml:space="preserve">الخزينة </v>
          </cell>
        </row>
        <row r="1494">
          <cell r="A1494">
            <v>61</v>
          </cell>
          <cell r="B1494">
            <v>46029</v>
          </cell>
          <cell r="C1494">
            <v>20</v>
          </cell>
          <cell r="D1494" t="str">
            <v xml:space="preserve">الخزينة </v>
          </cell>
        </row>
        <row r="1495">
          <cell r="A1495">
            <v>94</v>
          </cell>
          <cell r="B1495">
            <v>46028</v>
          </cell>
          <cell r="C1495">
            <v>20</v>
          </cell>
          <cell r="D1495" t="str">
            <v xml:space="preserve">الخزينة </v>
          </cell>
        </row>
        <row r="1496">
          <cell r="A1496">
            <v>94</v>
          </cell>
          <cell r="B1496">
            <v>46028</v>
          </cell>
          <cell r="C1496">
            <v>20</v>
          </cell>
          <cell r="D1496" t="str">
            <v xml:space="preserve">الخزينة </v>
          </cell>
        </row>
        <row r="1497">
          <cell r="A1497">
            <v>76</v>
          </cell>
          <cell r="B1497">
            <v>46028</v>
          </cell>
          <cell r="C1497">
            <v>20</v>
          </cell>
          <cell r="D1497" t="str">
            <v xml:space="preserve">الخزينة </v>
          </cell>
        </row>
        <row r="1498">
          <cell r="A1498">
            <v>36</v>
          </cell>
          <cell r="B1498">
            <v>46028</v>
          </cell>
          <cell r="C1498">
            <v>20</v>
          </cell>
          <cell r="D1498" t="str">
            <v xml:space="preserve">الخزينة </v>
          </cell>
        </row>
        <row r="1499">
          <cell r="A1499">
            <v>46</v>
          </cell>
          <cell r="B1499">
            <v>46028</v>
          </cell>
          <cell r="C1499">
            <v>20</v>
          </cell>
          <cell r="D1499" t="str">
            <v xml:space="preserve">الخزينة </v>
          </cell>
        </row>
        <row r="1500">
          <cell r="A1500">
            <v>66</v>
          </cell>
          <cell r="B1500">
            <v>46028</v>
          </cell>
          <cell r="C1500">
            <v>20</v>
          </cell>
          <cell r="D1500" t="str">
            <v xml:space="preserve">الخزينة </v>
          </cell>
        </row>
        <row r="1501">
          <cell r="A1501">
            <v>66</v>
          </cell>
          <cell r="B1501">
            <v>46028</v>
          </cell>
          <cell r="C1501">
            <v>20</v>
          </cell>
          <cell r="D1501" t="str">
            <v xml:space="preserve">الخزينة </v>
          </cell>
        </row>
        <row r="1502">
          <cell r="A1502">
            <v>66</v>
          </cell>
          <cell r="B1502">
            <v>46028</v>
          </cell>
          <cell r="C1502">
            <v>20</v>
          </cell>
          <cell r="D1502" t="str">
            <v xml:space="preserve">الخزينة </v>
          </cell>
        </row>
        <row r="1503">
          <cell r="A1503">
            <v>54</v>
          </cell>
          <cell r="B1503">
            <v>46028</v>
          </cell>
          <cell r="C1503">
            <v>20</v>
          </cell>
          <cell r="D1503" t="str">
            <v xml:space="preserve">الخزينة </v>
          </cell>
        </row>
        <row r="1504">
          <cell r="A1504">
            <v>2</v>
          </cell>
          <cell r="B1504">
            <v>46027</v>
          </cell>
          <cell r="C1504">
            <v>20</v>
          </cell>
          <cell r="D1504" t="str">
            <v xml:space="preserve">الخزينة </v>
          </cell>
        </row>
        <row r="1505">
          <cell r="A1505">
            <v>88</v>
          </cell>
          <cell r="B1505">
            <v>46027</v>
          </cell>
          <cell r="C1505">
            <v>20</v>
          </cell>
          <cell r="D1505" t="str">
            <v xml:space="preserve">الخزينة </v>
          </cell>
        </row>
      </sheetData>
      <sheetData sheetId="6">
        <row r="1">
          <cell r="A1" t="str">
            <v>Details for Sum of Balance - رقم الحساب: 4061, اسم الحساب: (blank), التوجية المحاسبي الاول: موردين, التوجيه المحاسبي الاخير: الدائنون والأرصدة الدائنة الأخرى , الشهر: (blank) (+)</v>
          </cell>
        </row>
        <row r="3">
          <cell r="A3" t="str">
            <v>رقم القيد</v>
          </cell>
          <cell r="B3" t="str">
            <v>تاريخ</v>
          </cell>
          <cell r="C3" t="str">
            <v>رقم الحساب</v>
          </cell>
          <cell r="D3" t="str">
            <v>اسم الحساب</v>
          </cell>
          <cell r="E3" t="str">
            <v>العملة</v>
          </cell>
        </row>
        <row r="4">
          <cell r="A4">
            <v>10</v>
          </cell>
          <cell r="B4">
            <v>46054</v>
          </cell>
          <cell r="C4">
            <v>4061</v>
          </cell>
        </row>
        <row r="5">
          <cell r="A5">
            <v>10</v>
          </cell>
          <cell r="B5">
            <v>46050</v>
          </cell>
          <cell r="C5">
            <v>4061</v>
          </cell>
        </row>
        <row r="6">
          <cell r="A6">
            <v>10</v>
          </cell>
          <cell r="B6">
            <v>46048</v>
          </cell>
          <cell r="C6">
            <v>4061</v>
          </cell>
        </row>
      </sheetData>
      <sheetData sheetId="7">
        <row r="1">
          <cell r="A1" t="str">
            <v>Details for Sum of Balance - رقم الحساب: 4061, اسم الحساب: (blank), التوجية المحاسبي الاول: موردين, التوجيه المحاسبي الاخير: الدائنون والأرصدة الدائنة الأخرى , الشهر: (blank) (+)</v>
          </cell>
        </row>
        <row r="3">
          <cell r="A3" t="str">
            <v>رقم القيد</v>
          </cell>
          <cell r="B3" t="str">
            <v>تاريخ</v>
          </cell>
          <cell r="C3" t="str">
            <v>رقم الحساب</v>
          </cell>
          <cell r="D3" t="str">
            <v>اسم الحساب</v>
          </cell>
          <cell r="E3" t="str">
            <v>العملة</v>
          </cell>
        </row>
        <row r="4">
          <cell r="A4">
            <v>10</v>
          </cell>
          <cell r="B4">
            <v>46054</v>
          </cell>
          <cell r="C4">
            <v>4061</v>
          </cell>
        </row>
        <row r="5">
          <cell r="A5">
            <v>10</v>
          </cell>
          <cell r="B5">
            <v>46050</v>
          </cell>
          <cell r="C5">
            <v>4061</v>
          </cell>
        </row>
        <row r="6">
          <cell r="A6">
            <v>10</v>
          </cell>
          <cell r="B6">
            <v>46048</v>
          </cell>
          <cell r="C6">
            <v>4061</v>
          </cell>
        </row>
      </sheetData>
      <sheetData sheetId="8">
        <row r="1">
          <cell r="A1" t="str">
            <v>Details for Sum of Balance - رقم الحساب: 20, اسم الحساب: الخزينة , التوجية المحاسبي الاول: أصول متداوله -النقدية ومافي حكمها , التوجيه المحاسبي الاخير: الاصول, الشهر: (blank) (+)</v>
          </cell>
        </row>
        <row r="3">
          <cell r="A3" t="str">
            <v>رقم القيد</v>
          </cell>
          <cell r="B3" t="str">
            <v>تاريخ</v>
          </cell>
          <cell r="C3" t="str">
            <v>رقم الحساب</v>
          </cell>
          <cell r="D3" t="str">
            <v>اسم الحساب</v>
          </cell>
          <cell r="E3" t="str">
            <v>العملة</v>
          </cell>
        </row>
        <row r="4">
          <cell r="A4">
            <v>96</v>
          </cell>
          <cell r="B4">
            <v>46194</v>
          </cell>
          <cell r="C4">
            <v>20</v>
          </cell>
          <cell r="D4" t="str">
            <v xml:space="preserve">الخزينة </v>
          </cell>
        </row>
        <row r="5">
          <cell r="A5">
            <v>96</v>
          </cell>
          <cell r="B5">
            <v>46194</v>
          </cell>
          <cell r="C5">
            <v>20</v>
          </cell>
          <cell r="D5" t="str">
            <v xml:space="preserve">الخزينة </v>
          </cell>
        </row>
        <row r="6">
          <cell r="A6">
            <v>96</v>
          </cell>
          <cell r="B6">
            <v>46194</v>
          </cell>
          <cell r="C6">
            <v>20</v>
          </cell>
          <cell r="D6" t="str">
            <v xml:space="preserve">الخزينة </v>
          </cell>
        </row>
        <row r="7">
          <cell r="A7">
            <v>96</v>
          </cell>
          <cell r="B7">
            <v>46193</v>
          </cell>
          <cell r="C7">
            <v>20</v>
          </cell>
          <cell r="D7" t="str">
            <v xml:space="preserve">الخزينة </v>
          </cell>
        </row>
        <row r="8">
          <cell r="A8">
            <v>96</v>
          </cell>
          <cell r="B8">
            <v>46193</v>
          </cell>
          <cell r="C8">
            <v>20</v>
          </cell>
          <cell r="D8" t="str">
            <v xml:space="preserve">الخزينة </v>
          </cell>
        </row>
        <row r="9">
          <cell r="A9">
            <v>96</v>
          </cell>
          <cell r="B9">
            <v>46193</v>
          </cell>
          <cell r="C9">
            <v>20</v>
          </cell>
          <cell r="D9" t="str">
            <v xml:space="preserve">الخزينة </v>
          </cell>
        </row>
        <row r="10">
          <cell r="A10">
            <v>96</v>
          </cell>
          <cell r="B10">
            <v>46193</v>
          </cell>
          <cell r="C10">
            <v>20</v>
          </cell>
          <cell r="D10" t="str">
            <v xml:space="preserve">الخزينة </v>
          </cell>
        </row>
        <row r="11">
          <cell r="A11">
            <v>96</v>
          </cell>
          <cell r="B11">
            <v>46193</v>
          </cell>
          <cell r="C11">
            <v>20</v>
          </cell>
          <cell r="D11" t="str">
            <v xml:space="preserve">الخزينة </v>
          </cell>
        </row>
        <row r="12">
          <cell r="A12">
            <v>96</v>
          </cell>
          <cell r="B12">
            <v>46193</v>
          </cell>
          <cell r="C12">
            <v>20</v>
          </cell>
          <cell r="D12" t="str">
            <v xml:space="preserve">الخزينة </v>
          </cell>
        </row>
        <row r="13">
          <cell r="A13">
            <v>96</v>
          </cell>
          <cell r="B13">
            <v>46193</v>
          </cell>
          <cell r="C13">
            <v>20</v>
          </cell>
          <cell r="D13" t="str">
            <v xml:space="preserve">الخزينة </v>
          </cell>
        </row>
        <row r="14">
          <cell r="A14">
            <v>96</v>
          </cell>
          <cell r="B14">
            <v>46193</v>
          </cell>
          <cell r="C14">
            <v>20</v>
          </cell>
          <cell r="D14" t="str">
            <v xml:space="preserve">الخزينة </v>
          </cell>
        </row>
        <row r="15">
          <cell r="A15">
            <v>96</v>
          </cell>
          <cell r="B15">
            <v>46193</v>
          </cell>
          <cell r="C15">
            <v>20</v>
          </cell>
          <cell r="D15" t="str">
            <v xml:space="preserve">الخزينة </v>
          </cell>
        </row>
        <row r="16">
          <cell r="A16">
            <v>96</v>
          </cell>
          <cell r="B16">
            <v>46190</v>
          </cell>
          <cell r="C16">
            <v>20</v>
          </cell>
          <cell r="D16" t="str">
            <v xml:space="preserve">الخزينة </v>
          </cell>
        </row>
        <row r="17">
          <cell r="A17">
            <v>96</v>
          </cell>
          <cell r="B17">
            <v>46190</v>
          </cell>
          <cell r="C17">
            <v>20</v>
          </cell>
          <cell r="D17" t="str">
            <v xml:space="preserve">الخزينة </v>
          </cell>
        </row>
        <row r="18">
          <cell r="A18">
            <v>96</v>
          </cell>
          <cell r="B18">
            <v>46190</v>
          </cell>
          <cell r="C18">
            <v>20</v>
          </cell>
          <cell r="D18" t="str">
            <v xml:space="preserve">الخزينة </v>
          </cell>
        </row>
        <row r="19">
          <cell r="A19">
            <v>96</v>
          </cell>
          <cell r="B19">
            <v>46190</v>
          </cell>
          <cell r="C19">
            <v>20</v>
          </cell>
          <cell r="D19" t="str">
            <v xml:space="preserve">الخزينة </v>
          </cell>
        </row>
        <row r="20">
          <cell r="A20">
            <v>96</v>
          </cell>
          <cell r="B20">
            <v>46190</v>
          </cell>
          <cell r="C20">
            <v>20</v>
          </cell>
          <cell r="D20" t="str">
            <v xml:space="preserve">الخزينة </v>
          </cell>
        </row>
        <row r="21">
          <cell r="A21">
            <v>96</v>
          </cell>
          <cell r="B21">
            <v>46190</v>
          </cell>
          <cell r="C21">
            <v>20</v>
          </cell>
          <cell r="D21" t="str">
            <v xml:space="preserve">الخزينة </v>
          </cell>
        </row>
        <row r="22">
          <cell r="A22">
            <v>96</v>
          </cell>
          <cell r="B22">
            <v>46190</v>
          </cell>
          <cell r="C22">
            <v>20</v>
          </cell>
          <cell r="D22" t="str">
            <v xml:space="preserve">الخزينة </v>
          </cell>
        </row>
        <row r="23">
          <cell r="A23">
            <v>96</v>
          </cell>
          <cell r="B23">
            <v>46190</v>
          </cell>
          <cell r="C23">
            <v>20</v>
          </cell>
          <cell r="D23" t="str">
            <v xml:space="preserve">الخزينة </v>
          </cell>
        </row>
        <row r="24">
          <cell r="A24">
            <v>96</v>
          </cell>
          <cell r="B24">
            <v>46190</v>
          </cell>
          <cell r="C24">
            <v>20</v>
          </cell>
          <cell r="D24" t="str">
            <v xml:space="preserve">الخزينة </v>
          </cell>
        </row>
        <row r="25">
          <cell r="A25">
            <v>96</v>
          </cell>
          <cell r="B25">
            <v>46190</v>
          </cell>
          <cell r="C25">
            <v>20</v>
          </cell>
          <cell r="D25" t="str">
            <v xml:space="preserve">الخزينة </v>
          </cell>
        </row>
        <row r="26">
          <cell r="A26">
            <v>96</v>
          </cell>
          <cell r="B26">
            <v>46190</v>
          </cell>
          <cell r="C26">
            <v>20</v>
          </cell>
          <cell r="D26" t="str">
            <v xml:space="preserve">الخزينة </v>
          </cell>
        </row>
        <row r="27">
          <cell r="A27">
            <v>96</v>
          </cell>
          <cell r="B27">
            <v>46190</v>
          </cell>
          <cell r="C27">
            <v>20</v>
          </cell>
          <cell r="D27" t="str">
            <v xml:space="preserve">الخزينة </v>
          </cell>
        </row>
        <row r="28">
          <cell r="A28">
            <v>96</v>
          </cell>
          <cell r="B28">
            <v>46190</v>
          </cell>
          <cell r="C28">
            <v>20</v>
          </cell>
          <cell r="D28" t="str">
            <v xml:space="preserve">الخزينة </v>
          </cell>
        </row>
        <row r="29">
          <cell r="A29">
            <v>96</v>
          </cell>
          <cell r="B29">
            <v>46190</v>
          </cell>
          <cell r="C29">
            <v>20</v>
          </cell>
          <cell r="D29" t="str">
            <v xml:space="preserve">الخزينة </v>
          </cell>
        </row>
        <row r="30">
          <cell r="A30">
            <v>96</v>
          </cell>
          <cell r="B30">
            <v>46190</v>
          </cell>
          <cell r="C30">
            <v>20</v>
          </cell>
          <cell r="D30" t="str">
            <v xml:space="preserve">الخزينة </v>
          </cell>
        </row>
        <row r="31">
          <cell r="A31">
            <v>96</v>
          </cell>
          <cell r="B31">
            <v>46190</v>
          </cell>
          <cell r="C31">
            <v>20</v>
          </cell>
          <cell r="D31" t="str">
            <v xml:space="preserve">الخزينة </v>
          </cell>
        </row>
        <row r="32">
          <cell r="A32">
            <v>96</v>
          </cell>
          <cell r="B32">
            <v>46190</v>
          </cell>
          <cell r="C32">
            <v>20</v>
          </cell>
          <cell r="D32" t="str">
            <v xml:space="preserve">الخزينة </v>
          </cell>
        </row>
        <row r="33">
          <cell r="A33">
            <v>96</v>
          </cell>
          <cell r="B33">
            <v>46190</v>
          </cell>
          <cell r="C33">
            <v>20</v>
          </cell>
          <cell r="D33" t="str">
            <v xml:space="preserve">الخزينة </v>
          </cell>
        </row>
        <row r="34">
          <cell r="A34">
            <v>96</v>
          </cell>
          <cell r="B34">
            <v>46190</v>
          </cell>
          <cell r="C34">
            <v>20</v>
          </cell>
          <cell r="D34" t="str">
            <v xml:space="preserve">الخزينة </v>
          </cell>
        </row>
        <row r="35">
          <cell r="A35">
            <v>96</v>
          </cell>
          <cell r="B35">
            <v>46190</v>
          </cell>
          <cell r="C35">
            <v>20</v>
          </cell>
          <cell r="D35" t="str">
            <v xml:space="preserve">الخزينة </v>
          </cell>
        </row>
        <row r="36">
          <cell r="A36">
            <v>96</v>
          </cell>
          <cell r="B36">
            <v>46190</v>
          </cell>
          <cell r="C36">
            <v>20</v>
          </cell>
          <cell r="D36" t="str">
            <v xml:space="preserve">الخزينة </v>
          </cell>
        </row>
        <row r="37">
          <cell r="A37">
            <v>96</v>
          </cell>
          <cell r="B37">
            <v>46190</v>
          </cell>
          <cell r="C37">
            <v>20</v>
          </cell>
          <cell r="D37" t="str">
            <v xml:space="preserve">الخزينة </v>
          </cell>
        </row>
        <row r="38">
          <cell r="A38">
            <v>96</v>
          </cell>
          <cell r="B38">
            <v>46190</v>
          </cell>
          <cell r="C38">
            <v>20</v>
          </cell>
          <cell r="D38" t="str">
            <v xml:space="preserve">الخزينة </v>
          </cell>
        </row>
        <row r="39">
          <cell r="A39">
            <v>96</v>
          </cell>
          <cell r="B39">
            <v>46190</v>
          </cell>
          <cell r="C39">
            <v>20</v>
          </cell>
          <cell r="D39" t="str">
            <v xml:space="preserve">الخزينة </v>
          </cell>
        </row>
        <row r="40">
          <cell r="A40">
            <v>96</v>
          </cell>
          <cell r="B40">
            <v>46190</v>
          </cell>
          <cell r="C40">
            <v>20</v>
          </cell>
          <cell r="D40" t="str">
            <v xml:space="preserve">الخزينة </v>
          </cell>
        </row>
        <row r="41">
          <cell r="A41">
            <v>96</v>
          </cell>
          <cell r="B41">
            <v>46190</v>
          </cell>
          <cell r="C41">
            <v>20</v>
          </cell>
          <cell r="D41" t="str">
            <v xml:space="preserve">الخزينة </v>
          </cell>
        </row>
        <row r="42">
          <cell r="A42">
            <v>96</v>
          </cell>
          <cell r="B42">
            <v>46190</v>
          </cell>
          <cell r="C42">
            <v>20</v>
          </cell>
          <cell r="D42" t="str">
            <v xml:space="preserve">الخزينة </v>
          </cell>
        </row>
        <row r="43">
          <cell r="A43">
            <v>96</v>
          </cell>
          <cell r="B43">
            <v>46190</v>
          </cell>
          <cell r="C43">
            <v>20</v>
          </cell>
          <cell r="D43" t="str">
            <v xml:space="preserve">الخزينة </v>
          </cell>
        </row>
        <row r="44">
          <cell r="A44">
            <v>97</v>
          </cell>
          <cell r="B44">
            <v>46189</v>
          </cell>
          <cell r="C44">
            <v>20</v>
          </cell>
          <cell r="D44" t="str">
            <v xml:space="preserve">الخزينة </v>
          </cell>
        </row>
        <row r="45">
          <cell r="A45">
            <v>96</v>
          </cell>
          <cell r="B45">
            <v>46189</v>
          </cell>
          <cell r="C45">
            <v>20</v>
          </cell>
          <cell r="D45" t="str">
            <v xml:space="preserve">الخزينة </v>
          </cell>
        </row>
        <row r="46">
          <cell r="A46">
            <v>96</v>
          </cell>
          <cell r="B46">
            <v>46189</v>
          </cell>
          <cell r="C46">
            <v>20</v>
          </cell>
          <cell r="D46" t="str">
            <v xml:space="preserve">الخزينة </v>
          </cell>
        </row>
        <row r="47">
          <cell r="A47">
            <v>96</v>
          </cell>
          <cell r="B47">
            <v>46189</v>
          </cell>
          <cell r="C47">
            <v>20</v>
          </cell>
          <cell r="D47" t="str">
            <v xml:space="preserve">الخزينة </v>
          </cell>
        </row>
        <row r="48">
          <cell r="A48">
            <v>96</v>
          </cell>
          <cell r="B48">
            <v>46189</v>
          </cell>
          <cell r="C48">
            <v>20</v>
          </cell>
          <cell r="D48" t="str">
            <v xml:space="preserve">الخزينة </v>
          </cell>
        </row>
        <row r="49">
          <cell r="A49">
            <v>96</v>
          </cell>
          <cell r="B49">
            <v>46189</v>
          </cell>
          <cell r="C49">
            <v>20</v>
          </cell>
          <cell r="D49" t="str">
            <v xml:space="preserve">الخزينة </v>
          </cell>
        </row>
        <row r="50">
          <cell r="A50">
            <v>96</v>
          </cell>
          <cell r="B50">
            <v>46189</v>
          </cell>
          <cell r="C50">
            <v>20</v>
          </cell>
          <cell r="D50" t="str">
            <v xml:space="preserve">الخزينة </v>
          </cell>
        </row>
        <row r="51">
          <cell r="A51">
            <v>96</v>
          </cell>
          <cell r="B51">
            <v>46189</v>
          </cell>
          <cell r="C51">
            <v>20</v>
          </cell>
          <cell r="D51" t="str">
            <v xml:space="preserve">الخزينة </v>
          </cell>
        </row>
        <row r="52">
          <cell r="A52">
            <v>96</v>
          </cell>
          <cell r="B52">
            <v>46189</v>
          </cell>
          <cell r="C52">
            <v>20</v>
          </cell>
          <cell r="D52" t="str">
            <v xml:space="preserve">الخزينة </v>
          </cell>
        </row>
        <row r="53">
          <cell r="A53">
            <v>96</v>
          </cell>
          <cell r="B53">
            <v>46189</v>
          </cell>
          <cell r="C53">
            <v>20</v>
          </cell>
          <cell r="D53" t="str">
            <v xml:space="preserve">الخزينة </v>
          </cell>
        </row>
        <row r="54">
          <cell r="A54">
            <v>96</v>
          </cell>
          <cell r="B54">
            <v>46189</v>
          </cell>
          <cell r="C54">
            <v>20</v>
          </cell>
          <cell r="D54" t="str">
            <v xml:space="preserve">الخزينة </v>
          </cell>
        </row>
        <row r="55">
          <cell r="A55">
            <v>97</v>
          </cell>
          <cell r="B55">
            <v>46188</v>
          </cell>
          <cell r="C55">
            <v>20</v>
          </cell>
          <cell r="D55" t="str">
            <v xml:space="preserve">الخزينة </v>
          </cell>
        </row>
        <row r="56">
          <cell r="A56">
            <v>96</v>
          </cell>
          <cell r="B56">
            <v>46188</v>
          </cell>
          <cell r="C56">
            <v>20</v>
          </cell>
          <cell r="D56" t="str">
            <v xml:space="preserve">الخزينة </v>
          </cell>
        </row>
        <row r="57">
          <cell r="A57">
            <v>96</v>
          </cell>
          <cell r="B57">
            <v>46188</v>
          </cell>
          <cell r="C57">
            <v>20</v>
          </cell>
          <cell r="D57" t="str">
            <v xml:space="preserve">الخزينة </v>
          </cell>
        </row>
        <row r="58">
          <cell r="A58">
            <v>96</v>
          </cell>
          <cell r="B58">
            <v>46188</v>
          </cell>
          <cell r="C58">
            <v>20</v>
          </cell>
          <cell r="D58" t="str">
            <v xml:space="preserve">الخزينة </v>
          </cell>
        </row>
        <row r="59">
          <cell r="A59">
            <v>96</v>
          </cell>
          <cell r="B59">
            <v>46188</v>
          </cell>
          <cell r="C59">
            <v>20</v>
          </cell>
          <cell r="D59" t="str">
            <v xml:space="preserve">الخزينة </v>
          </cell>
        </row>
        <row r="60">
          <cell r="A60">
            <v>96</v>
          </cell>
          <cell r="B60">
            <v>46188</v>
          </cell>
          <cell r="C60">
            <v>20</v>
          </cell>
          <cell r="D60" t="str">
            <v xml:space="preserve">الخزينة </v>
          </cell>
        </row>
        <row r="61">
          <cell r="A61">
            <v>96</v>
          </cell>
          <cell r="B61">
            <v>46188</v>
          </cell>
          <cell r="C61">
            <v>20</v>
          </cell>
          <cell r="D61" t="str">
            <v xml:space="preserve">الخزينة </v>
          </cell>
        </row>
        <row r="62">
          <cell r="A62">
            <v>96</v>
          </cell>
          <cell r="B62">
            <v>46188</v>
          </cell>
          <cell r="C62">
            <v>20</v>
          </cell>
          <cell r="D62" t="str">
            <v xml:space="preserve">الخزينة </v>
          </cell>
        </row>
        <row r="63">
          <cell r="A63">
            <v>96</v>
          </cell>
          <cell r="B63">
            <v>46188</v>
          </cell>
          <cell r="C63">
            <v>20</v>
          </cell>
          <cell r="D63" t="str">
            <v xml:space="preserve">الخزينة </v>
          </cell>
        </row>
        <row r="64">
          <cell r="A64">
            <v>96</v>
          </cell>
          <cell r="B64">
            <v>46188</v>
          </cell>
          <cell r="C64">
            <v>20</v>
          </cell>
          <cell r="D64" t="str">
            <v xml:space="preserve">الخزينة </v>
          </cell>
        </row>
        <row r="65">
          <cell r="A65">
            <v>96</v>
          </cell>
          <cell r="B65">
            <v>46188</v>
          </cell>
          <cell r="C65">
            <v>20</v>
          </cell>
          <cell r="D65" t="str">
            <v xml:space="preserve">الخزينة </v>
          </cell>
        </row>
        <row r="66">
          <cell r="A66">
            <v>96</v>
          </cell>
          <cell r="B66">
            <v>46188</v>
          </cell>
          <cell r="C66">
            <v>20</v>
          </cell>
          <cell r="D66" t="str">
            <v xml:space="preserve">الخزينة </v>
          </cell>
        </row>
        <row r="67">
          <cell r="A67">
            <v>96</v>
          </cell>
          <cell r="B67">
            <v>46188</v>
          </cell>
          <cell r="C67">
            <v>20</v>
          </cell>
          <cell r="D67" t="str">
            <v xml:space="preserve">الخزينة </v>
          </cell>
        </row>
        <row r="68">
          <cell r="A68">
            <v>96</v>
          </cell>
          <cell r="B68">
            <v>46188</v>
          </cell>
          <cell r="C68">
            <v>20</v>
          </cell>
          <cell r="D68" t="str">
            <v xml:space="preserve">الخزينة </v>
          </cell>
        </row>
        <row r="69">
          <cell r="A69">
            <v>96</v>
          </cell>
          <cell r="B69">
            <v>46188</v>
          </cell>
          <cell r="C69">
            <v>20</v>
          </cell>
          <cell r="D69" t="str">
            <v xml:space="preserve">الخزينة </v>
          </cell>
        </row>
        <row r="70">
          <cell r="A70">
            <v>96</v>
          </cell>
          <cell r="B70">
            <v>46188</v>
          </cell>
          <cell r="C70">
            <v>20</v>
          </cell>
          <cell r="D70" t="str">
            <v xml:space="preserve">الخزينة </v>
          </cell>
        </row>
        <row r="71">
          <cell r="A71">
            <v>96</v>
          </cell>
          <cell r="B71">
            <v>46188</v>
          </cell>
          <cell r="C71">
            <v>20</v>
          </cell>
          <cell r="D71" t="str">
            <v xml:space="preserve">الخزينة </v>
          </cell>
        </row>
        <row r="72">
          <cell r="A72">
            <v>96</v>
          </cell>
          <cell r="B72">
            <v>46188</v>
          </cell>
          <cell r="C72">
            <v>20</v>
          </cell>
          <cell r="D72" t="str">
            <v xml:space="preserve">الخزينة </v>
          </cell>
        </row>
        <row r="73">
          <cell r="A73">
            <v>96</v>
          </cell>
          <cell r="B73">
            <v>46188</v>
          </cell>
          <cell r="C73">
            <v>20</v>
          </cell>
          <cell r="D73" t="str">
            <v xml:space="preserve">الخزينة </v>
          </cell>
        </row>
        <row r="74">
          <cell r="A74">
            <v>87</v>
          </cell>
          <cell r="B74">
            <v>46187</v>
          </cell>
          <cell r="C74">
            <v>20</v>
          </cell>
          <cell r="D74" t="str">
            <v xml:space="preserve">الخزينة </v>
          </cell>
        </row>
        <row r="75">
          <cell r="A75">
            <v>75</v>
          </cell>
          <cell r="B75">
            <v>46187</v>
          </cell>
          <cell r="C75">
            <v>20</v>
          </cell>
          <cell r="D75" t="str">
            <v xml:space="preserve">الخزينة </v>
          </cell>
        </row>
        <row r="76">
          <cell r="A76">
            <v>55</v>
          </cell>
          <cell r="B76">
            <v>46187</v>
          </cell>
          <cell r="C76">
            <v>20</v>
          </cell>
          <cell r="D76" t="str">
            <v xml:space="preserve">الخزينة </v>
          </cell>
        </row>
        <row r="77">
          <cell r="A77">
            <v>64</v>
          </cell>
          <cell r="B77">
            <v>46187</v>
          </cell>
          <cell r="C77">
            <v>20</v>
          </cell>
          <cell r="D77" t="str">
            <v xml:space="preserve">الخزينة </v>
          </cell>
        </row>
        <row r="78">
          <cell r="A78">
            <v>63</v>
          </cell>
          <cell r="B78">
            <v>46187</v>
          </cell>
          <cell r="C78">
            <v>20</v>
          </cell>
          <cell r="D78" t="str">
            <v xml:space="preserve">الخزينة </v>
          </cell>
        </row>
        <row r="79">
          <cell r="A79">
            <v>60</v>
          </cell>
          <cell r="B79">
            <v>46187</v>
          </cell>
          <cell r="C79">
            <v>20</v>
          </cell>
          <cell r="D79" t="str">
            <v xml:space="preserve">الخزينة </v>
          </cell>
        </row>
        <row r="80">
          <cell r="A80">
            <v>60</v>
          </cell>
          <cell r="B80">
            <v>46187</v>
          </cell>
          <cell r="C80">
            <v>20</v>
          </cell>
          <cell r="D80" t="str">
            <v xml:space="preserve">الخزينة </v>
          </cell>
        </row>
        <row r="81">
          <cell r="A81">
            <v>90</v>
          </cell>
          <cell r="B81">
            <v>46186</v>
          </cell>
          <cell r="C81">
            <v>20</v>
          </cell>
          <cell r="D81" t="str">
            <v xml:space="preserve">الخزينة </v>
          </cell>
        </row>
        <row r="82">
          <cell r="A82">
            <v>78</v>
          </cell>
          <cell r="B82">
            <v>46186</v>
          </cell>
          <cell r="C82">
            <v>20</v>
          </cell>
          <cell r="D82" t="str">
            <v xml:space="preserve">الخزينة </v>
          </cell>
        </row>
        <row r="83">
          <cell r="A83">
            <v>72</v>
          </cell>
          <cell r="B83">
            <v>46186</v>
          </cell>
          <cell r="C83">
            <v>20</v>
          </cell>
          <cell r="D83" t="str">
            <v xml:space="preserve">الخزينة </v>
          </cell>
        </row>
        <row r="84">
          <cell r="A84">
            <v>50</v>
          </cell>
          <cell r="B84">
            <v>46186</v>
          </cell>
          <cell r="C84">
            <v>20</v>
          </cell>
          <cell r="D84" t="str">
            <v xml:space="preserve">الخزينة </v>
          </cell>
        </row>
        <row r="85">
          <cell r="A85">
            <v>70</v>
          </cell>
          <cell r="B85">
            <v>46186</v>
          </cell>
          <cell r="C85">
            <v>20</v>
          </cell>
          <cell r="D85" t="str">
            <v xml:space="preserve">الخزينة </v>
          </cell>
        </row>
        <row r="86">
          <cell r="A86">
            <v>69</v>
          </cell>
          <cell r="B86">
            <v>46186</v>
          </cell>
          <cell r="C86">
            <v>20</v>
          </cell>
          <cell r="D86" t="str">
            <v xml:space="preserve">الخزينة </v>
          </cell>
        </row>
        <row r="87">
          <cell r="A87">
            <v>69</v>
          </cell>
          <cell r="B87">
            <v>46186</v>
          </cell>
          <cell r="C87">
            <v>20</v>
          </cell>
          <cell r="D87" t="str">
            <v xml:space="preserve">الخزينة </v>
          </cell>
        </row>
        <row r="88">
          <cell r="A88">
            <v>53</v>
          </cell>
          <cell r="B88">
            <v>46186</v>
          </cell>
          <cell r="C88">
            <v>20</v>
          </cell>
          <cell r="D88" t="str">
            <v xml:space="preserve">الخزينة </v>
          </cell>
        </row>
        <row r="89">
          <cell r="A89">
            <v>63</v>
          </cell>
          <cell r="B89">
            <v>46186</v>
          </cell>
          <cell r="C89">
            <v>20</v>
          </cell>
          <cell r="D89" t="str">
            <v xml:space="preserve">الخزينة </v>
          </cell>
        </row>
        <row r="90">
          <cell r="A90">
            <v>63</v>
          </cell>
          <cell r="B90">
            <v>46186</v>
          </cell>
          <cell r="C90">
            <v>20</v>
          </cell>
          <cell r="D90" t="str">
            <v xml:space="preserve">الخزينة </v>
          </cell>
        </row>
        <row r="91">
          <cell r="A91">
            <v>91</v>
          </cell>
          <cell r="B91">
            <v>46184</v>
          </cell>
          <cell r="C91">
            <v>20</v>
          </cell>
          <cell r="D91" t="str">
            <v xml:space="preserve">الخزينة </v>
          </cell>
        </row>
        <row r="92">
          <cell r="A92">
            <v>90</v>
          </cell>
          <cell r="B92">
            <v>46184</v>
          </cell>
          <cell r="C92">
            <v>20</v>
          </cell>
          <cell r="D92" t="str">
            <v xml:space="preserve">الخزينة </v>
          </cell>
        </row>
        <row r="93">
          <cell r="A93">
            <v>2</v>
          </cell>
          <cell r="B93">
            <v>46184</v>
          </cell>
          <cell r="C93">
            <v>20</v>
          </cell>
          <cell r="D93" t="str">
            <v xml:space="preserve">الخزينة </v>
          </cell>
        </row>
        <row r="94">
          <cell r="A94">
            <v>2</v>
          </cell>
          <cell r="B94">
            <v>46184</v>
          </cell>
          <cell r="C94">
            <v>20</v>
          </cell>
          <cell r="D94" t="str">
            <v xml:space="preserve">الخزينة </v>
          </cell>
        </row>
        <row r="95">
          <cell r="A95">
            <v>18</v>
          </cell>
          <cell r="B95">
            <v>46184</v>
          </cell>
          <cell r="C95">
            <v>20</v>
          </cell>
          <cell r="D95" t="str">
            <v xml:space="preserve">الخزينة </v>
          </cell>
        </row>
        <row r="96">
          <cell r="A96">
            <v>20</v>
          </cell>
          <cell r="B96">
            <v>46184</v>
          </cell>
          <cell r="C96">
            <v>20</v>
          </cell>
          <cell r="D96" t="str">
            <v xml:space="preserve">الخزينة </v>
          </cell>
        </row>
        <row r="97">
          <cell r="A97">
            <v>88</v>
          </cell>
          <cell r="B97">
            <v>46184</v>
          </cell>
          <cell r="C97">
            <v>20</v>
          </cell>
          <cell r="D97" t="str">
            <v xml:space="preserve">الخزينة </v>
          </cell>
        </row>
        <row r="98">
          <cell r="A98">
            <v>88</v>
          </cell>
          <cell r="B98">
            <v>46184</v>
          </cell>
          <cell r="C98">
            <v>20</v>
          </cell>
          <cell r="D98" t="str">
            <v xml:space="preserve">الخزينة </v>
          </cell>
        </row>
        <row r="99">
          <cell r="A99">
            <v>27</v>
          </cell>
          <cell r="B99">
            <v>46184</v>
          </cell>
          <cell r="C99">
            <v>20</v>
          </cell>
          <cell r="D99" t="str">
            <v xml:space="preserve">الخزينة </v>
          </cell>
        </row>
        <row r="100">
          <cell r="A100">
            <v>32</v>
          </cell>
          <cell r="B100">
            <v>46184</v>
          </cell>
          <cell r="C100">
            <v>20</v>
          </cell>
          <cell r="D100" t="str">
            <v xml:space="preserve">الخزينة </v>
          </cell>
        </row>
        <row r="101">
          <cell r="A101">
            <v>33</v>
          </cell>
          <cell r="B101">
            <v>46184</v>
          </cell>
          <cell r="C101">
            <v>20</v>
          </cell>
          <cell r="D101" t="str">
            <v xml:space="preserve">الخزينة </v>
          </cell>
        </row>
        <row r="102">
          <cell r="A102">
            <v>35</v>
          </cell>
          <cell r="B102">
            <v>46184</v>
          </cell>
          <cell r="C102">
            <v>20</v>
          </cell>
          <cell r="D102" t="str">
            <v xml:space="preserve">الخزينة </v>
          </cell>
        </row>
        <row r="103">
          <cell r="A103">
            <v>35</v>
          </cell>
          <cell r="B103">
            <v>46184</v>
          </cell>
          <cell r="C103">
            <v>20</v>
          </cell>
          <cell r="D103" t="str">
            <v xml:space="preserve">الخزينة </v>
          </cell>
        </row>
        <row r="104">
          <cell r="A104">
            <v>40</v>
          </cell>
          <cell r="B104">
            <v>46184</v>
          </cell>
          <cell r="C104">
            <v>20</v>
          </cell>
          <cell r="D104" t="str">
            <v xml:space="preserve">الخزينة </v>
          </cell>
        </row>
        <row r="105">
          <cell r="A105">
            <v>75</v>
          </cell>
          <cell r="B105">
            <v>46184</v>
          </cell>
          <cell r="C105">
            <v>20</v>
          </cell>
          <cell r="D105" t="str">
            <v xml:space="preserve">الخزينة </v>
          </cell>
        </row>
        <row r="106">
          <cell r="A106">
            <v>51</v>
          </cell>
          <cell r="B106">
            <v>46184</v>
          </cell>
          <cell r="C106">
            <v>20</v>
          </cell>
          <cell r="D106" t="str">
            <v xml:space="preserve">الخزينة </v>
          </cell>
        </row>
        <row r="107">
          <cell r="A107">
            <v>69</v>
          </cell>
          <cell r="B107">
            <v>46184</v>
          </cell>
          <cell r="C107">
            <v>20</v>
          </cell>
          <cell r="D107" t="str">
            <v xml:space="preserve">الخزينة </v>
          </cell>
        </row>
        <row r="108">
          <cell r="A108">
            <v>69</v>
          </cell>
          <cell r="B108">
            <v>46184</v>
          </cell>
          <cell r="C108">
            <v>20</v>
          </cell>
          <cell r="D108" t="str">
            <v xml:space="preserve">الخزينة </v>
          </cell>
        </row>
        <row r="109">
          <cell r="A109">
            <v>67</v>
          </cell>
          <cell r="B109">
            <v>46184</v>
          </cell>
          <cell r="C109">
            <v>20</v>
          </cell>
          <cell r="D109" t="str">
            <v xml:space="preserve">الخزينة </v>
          </cell>
        </row>
        <row r="110">
          <cell r="A110">
            <v>53</v>
          </cell>
          <cell r="B110">
            <v>46184</v>
          </cell>
          <cell r="C110">
            <v>20</v>
          </cell>
          <cell r="D110" t="str">
            <v xml:space="preserve">الخزينة </v>
          </cell>
        </row>
        <row r="111">
          <cell r="A111">
            <v>54</v>
          </cell>
          <cell r="B111">
            <v>46184</v>
          </cell>
          <cell r="C111">
            <v>20</v>
          </cell>
          <cell r="D111" t="str">
            <v xml:space="preserve">الخزينة </v>
          </cell>
        </row>
        <row r="112">
          <cell r="A112">
            <v>64</v>
          </cell>
          <cell r="B112">
            <v>46184</v>
          </cell>
          <cell r="C112">
            <v>20</v>
          </cell>
          <cell r="D112" t="str">
            <v xml:space="preserve">الخزينة </v>
          </cell>
        </row>
        <row r="113">
          <cell r="A113">
            <v>55</v>
          </cell>
          <cell r="B113">
            <v>46184</v>
          </cell>
          <cell r="C113">
            <v>20</v>
          </cell>
          <cell r="D113" t="str">
            <v xml:space="preserve">الخزينة </v>
          </cell>
        </row>
        <row r="114">
          <cell r="A114">
            <v>55</v>
          </cell>
          <cell r="B114">
            <v>46184</v>
          </cell>
          <cell r="C114">
            <v>20</v>
          </cell>
          <cell r="D114" t="str">
            <v xml:space="preserve">الخزينة </v>
          </cell>
        </row>
        <row r="115">
          <cell r="A115">
            <v>64</v>
          </cell>
          <cell r="B115">
            <v>46184</v>
          </cell>
          <cell r="C115">
            <v>20</v>
          </cell>
          <cell r="D115" t="str">
            <v xml:space="preserve">الخزينة </v>
          </cell>
        </row>
        <row r="116">
          <cell r="A116">
            <v>63</v>
          </cell>
          <cell r="B116">
            <v>46184</v>
          </cell>
          <cell r="C116">
            <v>20</v>
          </cell>
          <cell r="D116" t="str">
            <v xml:space="preserve">الخزينة </v>
          </cell>
        </row>
        <row r="117">
          <cell r="A117">
            <v>59</v>
          </cell>
          <cell r="B117">
            <v>46184</v>
          </cell>
          <cell r="C117">
            <v>20</v>
          </cell>
          <cell r="D117" t="str">
            <v xml:space="preserve">الخزينة </v>
          </cell>
        </row>
        <row r="118">
          <cell r="A118">
            <v>59</v>
          </cell>
          <cell r="B118">
            <v>46184</v>
          </cell>
          <cell r="C118">
            <v>20</v>
          </cell>
          <cell r="D118" t="str">
            <v xml:space="preserve">الخزينة </v>
          </cell>
        </row>
        <row r="119">
          <cell r="A119">
            <v>63</v>
          </cell>
          <cell r="B119">
            <v>46184</v>
          </cell>
          <cell r="C119">
            <v>20</v>
          </cell>
          <cell r="D119" t="str">
            <v xml:space="preserve">الخزينة </v>
          </cell>
        </row>
        <row r="120">
          <cell r="A120">
            <v>63</v>
          </cell>
          <cell r="B120">
            <v>46184</v>
          </cell>
          <cell r="C120">
            <v>20</v>
          </cell>
          <cell r="D120" t="str">
            <v xml:space="preserve">الخزينة </v>
          </cell>
        </row>
        <row r="121">
          <cell r="A121">
            <v>63</v>
          </cell>
          <cell r="B121">
            <v>46184</v>
          </cell>
          <cell r="C121">
            <v>20</v>
          </cell>
          <cell r="D121" t="str">
            <v xml:space="preserve">الخزينة </v>
          </cell>
        </row>
        <row r="122">
          <cell r="A122">
            <v>60</v>
          </cell>
          <cell r="B122">
            <v>46184</v>
          </cell>
          <cell r="C122">
            <v>20</v>
          </cell>
          <cell r="D122" t="str">
            <v xml:space="preserve">الخزينة </v>
          </cell>
        </row>
        <row r="123">
          <cell r="A123">
            <v>90</v>
          </cell>
          <cell r="B123">
            <v>46182</v>
          </cell>
          <cell r="C123">
            <v>20</v>
          </cell>
          <cell r="D123" t="str">
            <v xml:space="preserve">الخزينة </v>
          </cell>
        </row>
        <row r="124">
          <cell r="A124">
            <v>7</v>
          </cell>
          <cell r="B124">
            <v>46182</v>
          </cell>
          <cell r="C124">
            <v>20</v>
          </cell>
          <cell r="D124" t="str">
            <v xml:space="preserve">الخزينة </v>
          </cell>
        </row>
        <row r="125">
          <cell r="A125">
            <v>88</v>
          </cell>
          <cell r="B125">
            <v>46182</v>
          </cell>
          <cell r="C125">
            <v>20</v>
          </cell>
          <cell r="D125" t="str">
            <v xml:space="preserve">الخزينة </v>
          </cell>
        </row>
        <row r="126">
          <cell r="A126">
            <v>87</v>
          </cell>
          <cell r="B126">
            <v>46182</v>
          </cell>
          <cell r="C126">
            <v>20</v>
          </cell>
          <cell r="D126" t="str">
            <v xml:space="preserve">الخزينة </v>
          </cell>
        </row>
        <row r="127">
          <cell r="A127">
            <v>80</v>
          </cell>
          <cell r="B127">
            <v>46182</v>
          </cell>
          <cell r="C127">
            <v>20</v>
          </cell>
          <cell r="D127" t="str">
            <v xml:space="preserve">الخزينة </v>
          </cell>
        </row>
        <row r="128">
          <cell r="A128">
            <v>78</v>
          </cell>
          <cell r="B128">
            <v>46182</v>
          </cell>
          <cell r="C128">
            <v>20</v>
          </cell>
          <cell r="D128" t="str">
            <v xml:space="preserve">الخزينة </v>
          </cell>
        </row>
        <row r="129">
          <cell r="A129">
            <v>67</v>
          </cell>
          <cell r="B129">
            <v>46182</v>
          </cell>
          <cell r="C129">
            <v>20</v>
          </cell>
          <cell r="D129" t="str">
            <v xml:space="preserve">الخزينة </v>
          </cell>
        </row>
        <row r="130">
          <cell r="A130">
            <v>67</v>
          </cell>
          <cell r="B130">
            <v>46182</v>
          </cell>
          <cell r="C130">
            <v>20</v>
          </cell>
          <cell r="D130" t="str">
            <v xml:space="preserve">الخزينة </v>
          </cell>
        </row>
        <row r="131">
          <cell r="A131">
            <v>53</v>
          </cell>
          <cell r="B131">
            <v>46182</v>
          </cell>
          <cell r="C131">
            <v>20</v>
          </cell>
          <cell r="D131" t="str">
            <v xml:space="preserve">الخزينة </v>
          </cell>
        </row>
        <row r="132">
          <cell r="A132">
            <v>66</v>
          </cell>
          <cell r="B132">
            <v>46182</v>
          </cell>
          <cell r="C132">
            <v>20</v>
          </cell>
          <cell r="D132" t="str">
            <v xml:space="preserve">الخزينة </v>
          </cell>
        </row>
        <row r="133">
          <cell r="A133">
            <v>65</v>
          </cell>
          <cell r="B133">
            <v>46182</v>
          </cell>
          <cell r="C133">
            <v>20</v>
          </cell>
          <cell r="D133" t="str">
            <v xml:space="preserve">الخزينة </v>
          </cell>
        </row>
        <row r="134">
          <cell r="A134">
            <v>76</v>
          </cell>
          <cell r="B134">
            <v>46181</v>
          </cell>
          <cell r="C134">
            <v>20</v>
          </cell>
          <cell r="D134" t="str">
            <v xml:space="preserve">الخزينة </v>
          </cell>
        </row>
        <row r="135">
          <cell r="A135">
            <v>76</v>
          </cell>
          <cell r="B135">
            <v>46181</v>
          </cell>
          <cell r="C135">
            <v>20</v>
          </cell>
          <cell r="D135" t="str">
            <v xml:space="preserve">الخزينة </v>
          </cell>
        </row>
        <row r="136">
          <cell r="A136">
            <v>76</v>
          </cell>
          <cell r="B136">
            <v>46181</v>
          </cell>
          <cell r="C136">
            <v>20</v>
          </cell>
          <cell r="D136" t="str">
            <v xml:space="preserve">الخزينة </v>
          </cell>
        </row>
        <row r="137">
          <cell r="A137">
            <v>72</v>
          </cell>
          <cell r="B137">
            <v>46181</v>
          </cell>
          <cell r="C137">
            <v>20</v>
          </cell>
          <cell r="D137" t="str">
            <v xml:space="preserve">الخزينة </v>
          </cell>
        </row>
        <row r="138">
          <cell r="A138">
            <v>67</v>
          </cell>
          <cell r="B138">
            <v>46181</v>
          </cell>
          <cell r="C138">
            <v>20</v>
          </cell>
          <cell r="D138" t="str">
            <v xml:space="preserve">الخزينة </v>
          </cell>
        </row>
        <row r="139">
          <cell r="A139">
            <v>53</v>
          </cell>
          <cell r="B139">
            <v>46181</v>
          </cell>
          <cell r="C139">
            <v>20</v>
          </cell>
          <cell r="D139" t="str">
            <v xml:space="preserve">الخزينة </v>
          </cell>
        </row>
        <row r="140">
          <cell r="A140">
            <v>56</v>
          </cell>
          <cell r="B140">
            <v>46181</v>
          </cell>
          <cell r="C140">
            <v>20</v>
          </cell>
          <cell r="D140" t="str">
            <v xml:space="preserve">الخزينة </v>
          </cell>
        </row>
        <row r="141">
          <cell r="A141">
            <v>56</v>
          </cell>
          <cell r="B141">
            <v>46181</v>
          </cell>
          <cell r="C141">
            <v>20</v>
          </cell>
          <cell r="D141" t="str">
            <v xml:space="preserve">الخزينة </v>
          </cell>
        </row>
        <row r="142">
          <cell r="A142">
            <v>59</v>
          </cell>
          <cell r="B142">
            <v>46181</v>
          </cell>
          <cell r="C142">
            <v>20</v>
          </cell>
          <cell r="D142" t="str">
            <v xml:space="preserve">الخزينة </v>
          </cell>
        </row>
        <row r="143">
          <cell r="A143">
            <v>61</v>
          </cell>
          <cell r="B143">
            <v>46181</v>
          </cell>
          <cell r="C143">
            <v>20</v>
          </cell>
          <cell r="D143" t="str">
            <v xml:space="preserve">الخزينة </v>
          </cell>
        </row>
        <row r="144">
          <cell r="A144">
            <v>90</v>
          </cell>
          <cell r="B144">
            <v>46179</v>
          </cell>
          <cell r="C144">
            <v>20</v>
          </cell>
          <cell r="D144" t="str">
            <v xml:space="preserve">الخزينة </v>
          </cell>
        </row>
        <row r="145">
          <cell r="A145">
            <v>87</v>
          </cell>
          <cell r="B145">
            <v>46179</v>
          </cell>
          <cell r="C145">
            <v>20</v>
          </cell>
          <cell r="D145" t="str">
            <v xml:space="preserve">الخزينة </v>
          </cell>
        </row>
        <row r="146">
          <cell r="A146">
            <v>32</v>
          </cell>
          <cell r="B146">
            <v>46179</v>
          </cell>
          <cell r="C146">
            <v>20</v>
          </cell>
          <cell r="D146" t="str">
            <v xml:space="preserve">الخزينة </v>
          </cell>
        </row>
        <row r="147">
          <cell r="A147">
            <v>32</v>
          </cell>
          <cell r="B147">
            <v>46179</v>
          </cell>
          <cell r="C147">
            <v>20</v>
          </cell>
          <cell r="D147" t="str">
            <v xml:space="preserve">الخزينة </v>
          </cell>
        </row>
        <row r="148">
          <cell r="A148">
            <v>73</v>
          </cell>
          <cell r="B148">
            <v>46179</v>
          </cell>
          <cell r="C148">
            <v>20</v>
          </cell>
          <cell r="D148" t="str">
            <v xml:space="preserve">الخزينة </v>
          </cell>
        </row>
        <row r="149">
          <cell r="A149">
            <v>53</v>
          </cell>
          <cell r="B149">
            <v>46179</v>
          </cell>
          <cell r="C149">
            <v>20</v>
          </cell>
          <cell r="D149" t="str">
            <v xml:space="preserve">الخزينة </v>
          </cell>
        </row>
        <row r="150">
          <cell r="A150">
            <v>53</v>
          </cell>
          <cell r="B150">
            <v>46179</v>
          </cell>
          <cell r="C150">
            <v>20</v>
          </cell>
          <cell r="D150" t="str">
            <v xml:space="preserve">الخزينة </v>
          </cell>
        </row>
        <row r="151">
          <cell r="A151">
            <v>54</v>
          </cell>
          <cell r="B151">
            <v>46179</v>
          </cell>
          <cell r="C151">
            <v>20</v>
          </cell>
          <cell r="D151" t="str">
            <v xml:space="preserve">الخزينة </v>
          </cell>
        </row>
        <row r="152">
          <cell r="A152">
            <v>59</v>
          </cell>
          <cell r="B152">
            <v>46179</v>
          </cell>
          <cell r="C152">
            <v>20</v>
          </cell>
          <cell r="D152" t="str">
            <v xml:space="preserve">الخزينة </v>
          </cell>
        </row>
        <row r="153">
          <cell r="A153">
            <v>59</v>
          </cell>
          <cell r="B153">
            <v>46179</v>
          </cell>
          <cell r="C153">
            <v>20</v>
          </cell>
          <cell r="D153" t="str">
            <v xml:space="preserve">الخزينة </v>
          </cell>
        </row>
        <row r="154">
          <cell r="A154">
            <v>63</v>
          </cell>
          <cell r="B154">
            <v>46179</v>
          </cell>
          <cell r="C154">
            <v>20</v>
          </cell>
          <cell r="D154" t="str">
            <v xml:space="preserve">الخزينة </v>
          </cell>
        </row>
        <row r="155">
          <cell r="A155">
            <v>63</v>
          </cell>
          <cell r="B155">
            <v>46179</v>
          </cell>
          <cell r="C155">
            <v>20</v>
          </cell>
          <cell r="D155" t="str">
            <v xml:space="preserve">الخزينة </v>
          </cell>
        </row>
        <row r="156">
          <cell r="A156">
            <v>63</v>
          </cell>
          <cell r="B156">
            <v>46179</v>
          </cell>
          <cell r="C156">
            <v>20</v>
          </cell>
          <cell r="D156" t="str">
            <v xml:space="preserve">الخزينة </v>
          </cell>
        </row>
        <row r="157">
          <cell r="A157">
            <v>60</v>
          </cell>
          <cell r="B157">
            <v>46179</v>
          </cell>
          <cell r="C157">
            <v>20</v>
          </cell>
          <cell r="D157" t="str">
            <v xml:space="preserve">الخزينة </v>
          </cell>
        </row>
        <row r="158">
          <cell r="A158">
            <v>60</v>
          </cell>
          <cell r="B158">
            <v>46179</v>
          </cell>
          <cell r="C158">
            <v>20</v>
          </cell>
          <cell r="D158" t="str">
            <v xml:space="preserve">الخزينة </v>
          </cell>
        </row>
        <row r="159">
          <cell r="A159">
            <v>60</v>
          </cell>
          <cell r="B159">
            <v>46179</v>
          </cell>
          <cell r="C159">
            <v>20</v>
          </cell>
          <cell r="D159" t="str">
            <v xml:space="preserve">الخزينة </v>
          </cell>
        </row>
        <row r="160">
          <cell r="A160">
            <v>27</v>
          </cell>
          <cell r="B160">
            <v>46177</v>
          </cell>
          <cell r="C160">
            <v>20</v>
          </cell>
          <cell r="D160" t="str">
            <v xml:space="preserve">الخزينة </v>
          </cell>
        </row>
        <row r="161">
          <cell r="A161">
            <v>67</v>
          </cell>
          <cell r="B161">
            <v>46177</v>
          </cell>
          <cell r="C161">
            <v>20</v>
          </cell>
          <cell r="D161" t="str">
            <v xml:space="preserve">الخزينة </v>
          </cell>
        </row>
        <row r="162">
          <cell r="A162">
            <v>67</v>
          </cell>
          <cell r="B162">
            <v>46177</v>
          </cell>
          <cell r="C162">
            <v>20</v>
          </cell>
          <cell r="D162" t="str">
            <v xml:space="preserve">الخزينة </v>
          </cell>
        </row>
        <row r="163">
          <cell r="A163">
            <v>54</v>
          </cell>
          <cell r="B163">
            <v>46177</v>
          </cell>
          <cell r="C163">
            <v>20</v>
          </cell>
          <cell r="D163" t="str">
            <v xml:space="preserve">الخزينة </v>
          </cell>
        </row>
        <row r="164">
          <cell r="A164">
            <v>54</v>
          </cell>
          <cell r="B164">
            <v>46177</v>
          </cell>
          <cell r="C164">
            <v>20</v>
          </cell>
          <cell r="D164" t="str">
            <v xml:space="preserve">الخزينة </v>
          </cell>
        </row>
        <row r="165">
          <cell r="A165">
            <v>64</v>
          </cell>
          <cell r="B165">
            <v>46177</v>
          </cell>
          <cell r="C165">
            <v>20</v>
          </cell>
          <cell r="D165" t="str">
            <v xml:space="preserve">الخزينة </v>
          </cell>
        </row>
        <row r="166">
          <cell r="A166">
            <v>60</v>
          </cell>
          <cell r="B166">
            <v>46177</v>
          </cell>
          <cell r="C166">
            <v>20</v>
          </cell>
          <cell r="D166" t="str">
            <v xml:space="preserve">الخزينة </v>
          </cell>
        </row>
        <row r="167">
          <cell r="A167">
            <v>61</v>
          </cell>
          <cell r="B167">
            <v>46177</v>
          </cell>
          <cell r="C167">
            <v>20</v>
          </cell>
          <cell r="D167" t="str">
            <v xml:space="preserve">الخزينة </v>
          </cell>
        </row>
        <row r="168">
          <cell r="A168">
            <v>90</v>
          </cell>
          <cell r="B168">
            <v>46176</v>
          </cell>
          <cell r="C168">
            <v>20</v>
          </cell>
          <cell r="D168" t="str">
            <v xml:space="preserve">الخزينة </v>
          </cell>
        </row>
        <row r="169">
          <cell r="A169">
            <v>90</v>
          </cell>
          <cell r="B169">
            <v>46176</v>
          </cell>
          <cell r="C169">
            <v>20</v>
          </cell>
          <cell r="D169" t="str">
            <v xml:space="preserve">الخزينة </v>
          </cell>
        </row>
        <row r="170">
          <cell r="A170">
            <v>67</v>
          </cell>
          <cell r="B170">
            <v>46176</v>
          </cell>
          <cell r="C170">
            <v>20</v>
          </cell>
          <cell r="D170" t="str">
            <v xml:space="preserve">الخزينة </v>
          </cell>
        </row>
        <row r="171">
          <cell r="A171">
            <v>53</v>
          </cell>
          <cell r="B171">
            <v>46176</v>
          </cell>
          <cell r="C171">
            <v>20</v>
          </cell>
          <cell r="D171" t="str">
            <v xml:space="preserve">الخزينة </v>
          </cell>
        </row>
        <row r="172">
          <cell r="A172">
            <v>65</v>
          </cell>
          <cell r="B172">
            <v>46176</v>
          </cell>
          <cell r="C172">
            <v>20</v>
          </cell>
          <cell r="D172" t="str">
            <v xml:space="preserve">الخزينة </v>
          </cell>
        </row>
        <row r="173">
          <cell r="A173">
            <v>25</v>
          </cell>
          <cell r="B173">
            <v>46175</v>
          </cell>
          <cell r="C173">
            <v>20</v>
          </cell>
          <cell r="D173" t="str">
            <v xml:space="preserve">الخزينة </v>
          </cell>
        </row>
        <row r="174">
          <cell r="A174">
            <v>87</v>
          </cell>
          <cell r="B174">
            <v>46175</v>
          </cell>
          <cell r="C174">
            <v>20</v>
          </cell>
          <cell r="D174" t="str">
            <v xml:space="preserve">الخزينة </v>
          </cell>
        </row>
        <row r="175">
          <cell r="A175">
            <v>84</v>
          </cell>
          <cell r="B175">
            <v>46175</v>
          </cell>
          <cell r="C175">
            <v>20</v>
          </cell>
          <cell r="D175" t="str">
            <v xml:space="preserve">الخزينة </v>
          </cell>
        </row>
        <row r="176">
          <cell r="A176">
            <v>33</v>
          </cell>
          <cell r="B176">
            <v>46175</v>
          </cell>
          <cell r="C176">
            <v>20</v>
          </cell>
          <cell r="D176" t="str">
            <v xml:space="preserve">الخزينة </v>
          </cell>
        </row>
        <row r="177">
          <cell r="A177">
            <v>54</v>
          </cell>
          <cell r="B177">
            <v>46175</v>
          </cell>
          <cell r="C177">
            <v>20</v>
          </cell>
          <cell r="D177" t="str">
            <v xml:space="preserve">الخزينة </v>
          </cell>
        </row>
        <row r="178">
          <cell r="A178">
            <v>91</v>
          </cell>
          <cell r="B178">
            <v>46174</v>
          </cell>
          <cell r="C178">
            <v>20</v>
          </cell>
          <cell r="D178" t="str">
            <v xml:space="preserve">الخزينة </v>
          </cell>
        </row>
        <row r="179">
          <cell r="A179">
            <v>90</v>
          </cell>
          <cell r="B179">
            <v>46174</v>
          </cell>
          <cell r="C179">
            <v>20</v>
          </cell>
          <cell r="D179" t="str">
            <v xml:space="preserve">الخزينة </v>
          </cell>
        </row>
        <row r="180">
          <cell r="A180">
            <v>90</v>
          </cell>
          <cell r="B180">
            <v>46174</v>
          </cell>
          <cell r="C180">
            <v>20</v>
          </cell>
          <cell r="D180" t="str">
            <v xml:space="preserve">الخزينة </v>
          </cell>
        </row>
        <row r="181">
          <cell r="A181">
            <v>95</v>
          </cell>
          <cell r="B181">
            <v>46174</v>
          </cell>
          <cell r="C181">
            <v>20</v>
          </cell>
          <cell r="D181" t="str">
            <v xml:space="preserve">الخزينة </v>
          </cell>
        </row>
        <row r="182">
          <cell r="A182">
            <v>18</v>
          </cell>
          <cell r="B182">
            <v>46174</v>
          </cell>
          <cell r="C182">
            <v>20</v>
          </cell>
          <cell r="D182" t="str">
            <v xml:space="preserve">الخزينة </v>
          </cell>
        </row>
        <row r="183">
          <cell r="A183">
            <v>87</v>
          </cell>
          <cell r="B183">
            <v>46174</v>
          </cell>
          <cell r="C183">
            <v>20</v>
          </cell>
          <cell r="D183" t="str">
            <v xml:space="preserve">الخزينة </v>
          </cell>
        </row>
        <row r="184">
          <cell r="A184">
            <v>86</v>
          </cell>
          <cell r="B184">
            <v>46174</v>
          </cell>
          <cell r="C184">
            <v>20</v>
          </cell>
          <cell r="D184" t="str">
            <v xml:space="preserve">الخزينة </v>
          </cell>
        </row>
        <row r="185">
          <cell r="A185">
            <v>50</v>
          </cell>
          <cell r="B185">
            <v>46174</v>
          </cell>
          <cell r="C185">
            <v>20</v>
          </cell>
          <cell r="D185" t="str">
            <v xml:space="preserve">الخزينة </v>
          </cell>
        </row>
        <row r="186">
          <cell r="A186">
            <v>50</v>
          </cell>
          <cell r="B186">
            <v>46174</v>
          </cell>
          <cell r="C186">
            <v>20</v>
          </cell>
          <cell r="D186" t="str">
            <v xml:space="preserve">الخزينة </v>
          </cell>
        </row>
        <row r="187">
          <cell r="A187">
            <v>68</v>
          </cell>
          <cell r="B187">
            <v>46174</v>
          </cell>
          <cell r="C187">
            <v>20</v>
          </cell>
          <cell r="D187" t="str">
            <v xml:space="preserve">الخزينة </v>
          </cell>
        </row>
        <row r="188">
          <cell r="A188">
            <v>53</v>
          </cell>
          <cell r="B188">
            <v>46174</v>
          </cell>
          <cell r="C188">
            <v>20</v>
          </cell>
          <cell r="D188" t="str">
            <v xml:space="preserve">الخزينة </v>
          </cell>
        </row>
        <row r="189">
          <cell r="A189">
            <v>53</v>
          </cell>
          <cell r="B189">
            <v>46174</v>
          </cell>
          <cell r="C189">
            <v>20</v>
          </cell>
          <cell r="D189" t="str">
            <v xml:space="preserve">الخزينة </v>
          </cell>
        </row>
        <row r="190">
          <cell r="A190">
            <v>53</v>
          </cell>
          <cell r="B190">
            <v>46174</v>
          </cell>
          <cell r="C190">
            <v>20</v>
          </cell>
          <cell r="D190" t="str">
            <v xml:space="preserve">الخزينة </v>
          </cell>
        </row>
        <row r="191">
          <cell r="A191">
            <v>54</v>
          </cell>
          <cell r="B191">
            <v>46174</v>
          </cell>
          <cell r="C191">
            <v>20</v>
          </cell>
          <cell r="D191" t="str">
            <v xml:space="preserve">الخزينة </v>
          </cell>
        </row>
        <row r="192">
          <cell r="A192">
            <v>64</v>
          </cell>
          <cell r="B192">
            <v>46174</v>
          </cell>
          <cell r="C192">
            <v>20</v>
          </cell>
          <cell r="D192" t="str">
            <v xml:space="preserve">الخزينة </v>
          </cell>
        </row>
        <row r="193">
          <cell r="A193">
            <v>64</v>
          </cell>
          <cell r="B193">
            <v>46174</v>
          </cell>
          <cell r="C193">
            <v>20</v>
          </cell>
          <cell r="D193" t="str">
            <v xml:space="preserve">الخزينة </v>
          </cell>
        </row>
        <row r="194">
          <cell r="A194">
            <v>88</v>
          </cell>
          <cell r="B194">
            <v>46171</v>
          </cell>
          <cell r="C194">
            <v>20</v>
          </cell>
          <cell r="D194" t="str">
            <v xml:space="preserve">الخزينة </v>
          </cell>
        </row>
        <row r="195">
          <cell r="A195">
            <v>94</v>
          </cell>
          <cell r="B195">
            <v>46168</v>
          </cell>
          <cell r="C195">
            <v>20</v>
          </cell>
          <cell r="D195" t="str">
            <v xml:space="preserve">الخزينة </v>
          </cell>
        </row>
        <row r="196">
          <cell r="A196">
            <v>2</v>
          </cell>
          <cell r="B196">
            <v>46168</v>
          </cell>
          <cell r="C196">
            <v>20</v>
          </cell>
          <cell r="D196" t="str">
            <v xml:space="preserve">الخزينة </v>
          </cell>
        </row>
        <row r="197">
          <cell r="A197">
            <v>54</v>
          </cell>
          <cell r="B197">
            <v>46168</v>
          </cell>
          <cell r="C197">
            <v>20</v>
          </cell>
          <cell r="D197" t="str">
            <v xml:space="preserve">الخزينة </v>
          </cell>
        </row>
        <row r="198">
          <cell r="A198">
            <v>2</v>
          </cell>
          <cell r="B198">
            <v>46167</v>
          </cell>
          <cell r="C198">
            <v>20</v>
          </cell>
          <cell r="D198" t="str">
            <v xml:space="preserve">الخزينة </v>
          </cell>
        </row>
        <row r="199">
          <cell r="A199">
            <v>88</v>
          </cell>
          <cell r="B199">
            <v>46167</v>
          </cell>
          <cell r="C199">
            <v>20</v>
          </cell>
          <cell r="D199" t="str">
            <v xml:space="preserve">الخزينة </v>
          </cell>
        </row>
        <row r="200">
          <cell r="A200">
            <v>54</v>
          </cell>
          <cell r="B200">
            <v>46167</v>
          </cell>
          <cell r="C200">
            <v>20</v>
          </cell>
          <cell r="D200" t="str">
            <v xml:space="preserve">الخزينة </v>
          </cell>
        </row>
        <row r="201">
          <cell r="A201">
            <v>64</v>
          </cell>
          <cell r="B201">
            <v>46167</v>
          </cell>
          <cell r="C201">
            <v>20</v>
          </cell>
          <cell r="D201" t="str">
            <v xml:space="preserve">الخزينة </v>
          </cell>
        </row>
        <row r="202">
          <cell r="A202">
            <v>3</v>
          </cell>
          <cell r="B202">
            <v>46166</v>
          </cell>
          <cell r="C202">
            <v>20</v>
          </cell>
          <cell r="D202" t="str">
            <v xml:space="preserve">الخزينة </v>
          </cell>
        </row>
        <row r="203">
          <cell r="A203">
            <v>3</v>
          </cell>
          <cell r="B203">
            <v>46166</v>
          </cell>
          <cell r="C203">
            <v>20</v>
          </cell>
          <cell r="D203" t="str">
            <v xml:space="preserve">الخزينة </v>
          </cell>
        </row>
        <row r="204">
          <cell r="A204">
            <v>3</v>
          </cell>
          <cell r="B204">
            <v>46166</v>
          </cell>
          <cell r="C204">
            <v>20</v>
          </cell>
          <cell r="D204" t="str">
            <v xml:space="preserve">الخزينة </v>
          </cell>
        </row>
        <row r="205">
          <cell r="A205">
            <v>26</v>
          </cell>
          <cell r="B205">
            <v>46166</v>
          </cell>
          <cell r="C205">
            <v>20</v>
          </cell>
          <cell r="D205" t="str">
            <v xml:space="preserve">الخزينة </v>
          </cell>
        </row>
        <row r="206">
          <cell r="A206">
            <v>26</v>
          </cell>
          <cell r="B206">
            <v>46166</v>
          </cell>
          <cell r="C206">
            <v>20</v>
          </cell>
          <cell r="D206" t="str">
            <v xml:space="preserve">الخزينة </v>
          </cell>
        </row>
        <row r="207">
          <cell r="A207">
            <v>27</v>
          </cell>
          <cell r="B207">
            <v>46166</v>
          </cell>
          <cell r="C207">
            <v>20</v>
          </cell>
          <cell r="D207" t="str">
            <v xml:space="preserve">الخزينة </v>
          </cell>
        </row>
        <row r="208">
          <cell r="A208">
            <v>27</v>
          </cell>
          <cell r="B208">
            <v>46166</v>
          </cell>
          <cell r="C208">
            <v>20</v>
          </cell>
          <cell r="D208" t="str">
            <v xml:space="preserve">الخزينة </v>
          </cell>
        </row>
        <row r="209">
          <cell r="A209">
            <v>27</v>
          </cell>
          <cell r="B209">
            <v>46166</v>
          </cell>
          <cell r="C209">
            <v>20</v>
          </cell>
          <cell r="D209" t="str">
            <v xml:space="preserve">الخزينة </v>
          </cell>
        </row>
        <row r="210">
          <cell r="A210">
            <v>32</v>
          </cell>
          <cell r="B210">
            <v>46166</v>
          </cell>
          <cell r="C210">
            <v>20</v>
          </cell>
          <cell r="D210" t="str">
            <v xml:space="preserve">الخزينة </v>
          </cell>
        </row>
        <row r="211">
          <cell r="A211">
            <v>82</v>
          </cell>
          <cell r="B211">
            <v>46166</v>
          </cell>
          <cell r="C211">
            <v>20</v>
          </cell>
          <cell r="D211" t="str">
            <v xml:space="preserve">الخزينة </v>
          </cell>
        </row>
        <row r="212">
          <cell r="A212">
            <v>72</v>
          </cell>
          <cell r="B212">
            <v>46166</v>
          </cell>
          <cell r="C212">
            <v>20</v>
          </cell>
          <cell r="D212" t="str">
            <v xml:space="preserve">الخزينة </v>
          </cell>
        </row>
        <row r="213">
          <cell r="A213">
            <v>51</v>
          </cell>
          <cell r="B213">
            <v>46166</v>
          </cell>
          <cell r="C213">
            <v>20</v>
          </cell>
          <cell r="D213" t="str">
            <v xml:space="preserve">الخزينة </v>
          </cell>
        </row>
        <row r="214">
          <cell r="A214">
            <v>51</v>
          </cell>
          <cell r="B214">
            <v>46166</v>
          </cell>
          <cell r="C214">
            <v>20</v>
          </cell>
          <cell r="D214" t="str">
            <v xml:space="preserve">الخزينة </v>
          </cell>
        </row>
        <row r="215">
          <cell r="A215">
            <v>67</v>
          </cell>
          <cell r="B215">
            <v>46166</v>
          </cell>
          <cell r="C215">
            <v>20</v>
          </cell>
          <cell r="D215" t="str">
            <v xml:space="preserve">الخزينة </v>
          </cell>
        </row>
        <row r="216">
          <cell r="A216">
            <v>64</v>
          </cell>
          <cell r="B216">
            <v>46166</v>
          </cell>
          <cell r="C216">
            <v>20</v>
          </cell>
          <cell r="D216" t="str">
            <v xml:space="preserve">الخزينة </v>
          </cell>
        </row>
        <row r="217">
          <cell r="A217">
            <v>55</v>
          </cell>
          <cell r="B217">
            <v>46166</v>
          </cell>
          <cell r="C217">
            <v>20</v>
          </cell>
          <cell r="D217" t="str">
            <v xml:space="preserve">الخزينة </v>
          </cell>
        </row>
        <row r="218">
          <cell r="A218">
            <v>63</v>
          </cell>
          <cell r="B218">
            <v>46166</v>
          </cell>
          <cell r="C218">
            <v>20</v>
          </cell>
          <cell r="D218" t="str">
            <v xml:space="preserve">الخزينة </v>
          </cell>
        </row>
        <row r="219">
          <cell r="A219">
            <v>63</v>
          </cell>
          <cell r="B219">
            <v>46166</v>
          </cell>
          <cell r="C219">
            <v>20</v>
          </cell>
          <cell r="D219" t="str">
            <v xml:space="preserve">الخزينة </v>
          </cell>
        </row>
        <row r="220">
          <cell r="A220">
            <v>63</v>
          </cell>
          <cell r="B220">
            <v>46166</v>
          </cell>
          <cell r="C220">
            <v>20</v>
          </cell>
          <cell r="D220" t="str">
            <v xml:space="preserve">الخزينة </v>
          </cell>
        </row>
        <row r="221">
          <cell r="A221">
            <v>59</v>
          </cell>
          <cell r="B221">
            <v>46166</v>
          </cell>
          <cell r="C221">
            <v>20</v>
          </cell>
          <cell r="D221" t="str">
            <v xml:space="preserve">الخزينة </v>
          </cell>
        </row>
        <row r="222">
          <cell r="A222">
            <v>63</v>
          </cell>
          <cell r="B222">
            <v>46166</v>
          </cell>
          <cell r="C222">
            <v>20</v>
          </cell>
          <cell r="D222" t="str">
            <v xml:space="preserve">الخزينة </v>
          </cell>
        </row>
        <row r="223">
          <cell r="A223">
            <v>63</v>
          </cell>
          <cell r="B223">
            <v>46166</v>
          </cell>
          <cell r="C223">
            <v>20</v>
          </cell>
          <cell r="D223" t="str">
            <v xml:space="preserve">الخزينة </v>
          </cell>
        </row>
        <row r="224">
          <cell r="A224">
            <v>60</v>
          </cell>
          <cell r="B224">
            <v>46166</v>
          </cell>
          <cell r="C224">
            <v>20</v>
          </cell>
          <cell r="D224" t="str">
            <v xml:space="preserve">الخزينة </v>
          </cell>
        </row>
        <row r="225">
          <cell r="A225">
            <v>61</v>
          </cell>
          <cell r="B225">
            <v>46166</v>
          </cell>
          <cell r="C225">
            <v>20</v>
          </cell>
          <cell r="D225" t="str">
            <v xml:space="preserve">الخزينة </v>
          </cell>
        </row>
        <row r="226">
          <cell r="A226">
            <v>51</v>
          </cell>
          <cell r="B226">
            <v>46164</v>
          </cell>
          <cell r="C226">
            <v>20</v>
          </cell>
          <cell r="D226" t="str">
            <v xml:space="preserve">الخزينة </v>
          </cell>
        </row>
        <row r="227">
          <cell r="A227">
            <v>94</v>
          </cell>
          <cell r="B227">
            <v>46163</v>
          </cell>
          <cell r="C227">
            <v>20</v>
          </cell>
          <cell r="D227" t="str">
            <v xml:space="preserve">الخزينة </v>
          </cell>
        </row>
        <row r="228">
          <cell r="A228">
            <v>90</v>
          </cell>
          <cell r="B228">
            <v>46163</v>
          </cell>
          <cell r="C228">
            <v>20</v>
          </cell>
          <cell r="D228" t="str">
            <v xml:space="preserve">الخزينة </v>
          </cell>
        </row>
        <row r="229">
          <cell r="A229">
            <v>7</v>
          </cell>
          <cell r="B229">
            <v>46163</v>
          </cell>
          <cell r="C229">
            <v>20</v>
          </cell>
          <cell r="D229" t="str">
            <v xml:space="preserve">الخزينة </v>
          </cell>
        </row>
        <row r="230">
          <cell r="A230">
            <v>8</v>
          </cell>
          <cell r="B230">
            <v>46163</v>
          </cell>
          <cell r="C230">
            <v>20</v>
          </cell>
          <cell r="D230" t="str">
            <v xml:space="preserve">الخزينة </v>
          </cell>
        </row>
        <row r="231">
          <cell r="A231">
            <v>12</v>
          </cell>
          <cell r="B231">
            <v>46163</v>
          </cell>
          <cell r="C231">
            <v>20</v>
          </cell>
          <cell r="D231" t="str">
            <v xml:space="preserve">الخزينة </v>
          </cell>
        </row>
        <row r="232">
          <cell r="A232">
            <v>18</v>
          </cell>
          <cell r="B232">
            <v>46163</v>
          </cell>
          <cell r="C232">
            <v>20</v>
          </cell>
          <cell r="D232" t="str">
            <v xml:space="preserve">الخزينة </v>
          </cell>
        </row>
        <row r="233">
          <cell r="A233">
            <v>23</v>
          </cell>
          <cell r="B233">
            <v>46163</v>
          </cell>
          <cell r="C233">
            <v>20</v>
          </cell>
          <cell r="D233" t="str">
            <v xml:space="preserve">الخزينة </v>
          </cell>
        </row>
        <row r="234">
          <cell r="A234">
            <v>24</v>
          </cell>
          <cell r="B234">
            <v>46163</v>
          </cell>
          <cell r="C234">
            <v>20</v>
          </cell>
          <cell r="D234" t="str">
            <v xml:space="preserve">الخزينة </v>
          </cell>
        </row>
        <row r="235">
          <cell r="A235">
            <v>25</v>
          </cell>
          <cell r="B235">
            <v>46163</v>
          </cell>
          <cell r="C235">
            <v>20</v>
          </cell>
          <cell r="D235" t="str">
            <v xml:space="preserve">الخزينة </v>
          </cell>
        </row>
        <row r="236">
          <cell r="A236">
            <v>27</v>
          </cell>
          <cell r="B236">
            <v>46163</v>
          </cell>
          <cell r="C236">
            <v>20</v>
          </cell>
          <cell r="D236" t="str">
            <v xml:space="preserve">الخزينة </v>
          </cell>
        </row>
        <row r="237">
          <cell r="A237">
            <v>31</v>
          </cell>
          <cell r="B237">
            <v>46163</v>
          </cell>
          <cell r="C237">
            <v>20</v>
          </cell>
          <cell r="D237" t="str">
            <v xml:space="preserve">الخزينة </v>
          </cell>
        </row>
        <row r="238">
          <cell r="A238">
            <v>31</v>
          </cell>
          <cell r="B238">
            <v>46163</v>
          </cell>
          <cell r="C238">
            <v>20</v>
          </cell>
          <cell r="D238" t="str">
            <v xml:space="preserve">الخزينة </v>
          </cell>
        </row>
        <row r="239">
          <cell r="A239">
            <v>32</v>
          </cell>
          <cell r="B239">
            <v>46163</v>
          </cell>
          <cell r="C239">
            <v>20</v>
          </cell>
          <cell r="D239" t="str">
            <v xml:space="preserve">الخزينة </v>
          </cell>
        </row>
        <row r="240">
          <cell r="A240">
            <v>35</v>
          </cell>
          <cell r="B240">
            <v>46163</v>
          </cell>
          <cell r="C240">
            <v>20</v>
          </cell>
          <cell r="D240" t="str">
            <v xml:space="preserve">الخزينة </v>
          </cell>
        </row>
        <row r="241">
          <cell r="A241">
            <v>36</v>
          </cell>
          <cell r="B241">
            <v>46163</v>
          </cell>
          <cell r="C241">
            <v>20</v>
          </cell>
          <cell r="D241" t="str">
            <v xml:space="preserve">الخزينة </v>
          </cell>
        </row>
        <row r="242">
          <cell r="A242">
            <v>40</v>
          </cell>
          <cell r="B242">
            <v>46163</v>
          </cell>
          <cell r="C242">
            <v>20</v>
          </cell>
          <cell r="D242" t="str">
            <v xml:space="preserve">الخزينة </v>
          </cell>
        </row>
        <row r="243">
          <cell r="A243">
            <v>75</v>
          </cell>
          <cell r="B243">
            <v>46163</v>
          </cell>
          <cell r="C243">
            <v>20</v>
          </cell>
          <cell r="D243" t="str">
            <v xml:space="preserve">الخزينة </v>
          </cell>
        </row>
        <row r="244">
          <cell r="A244">
            <v>42</v>
          </cell>
          <cell r="B244">
            <v>46163</v>
          </cell>
          <cell r="C244">
            <v>20</v>
          </cell>
          <cell r="D244" t="str">
            <v xml:space="preserve">الخزينة </v>
          </cell>
        </row>
        <row r="245">
          <cell r="A245">
            <v>45</v>
          </cell>
          <cell r="B245">
            <v>46163</v>
          </cell>
          <cell r="C245">
            <v>20</v>
          </cell>
          <cell r="D245" t="str">
            <v xml:space="preserve">الخزينة </v>
          </cell>
        </row>
        <row r="246">
          <cell r="A246">
            <v>49</v>
          </cell>
          <cell r="B246">
            <v>46163</v>
          </cell>
          <cell r="C246">
            <v>20</v>
          </cell>
          <cell r="D246" t="str">
            <v xml:space="preserve">الخزينة </v>
          </cell>
        </row>
        <row r="247">
          <cell r="A247">
            <v>67</v>
          </cell>
          <cell r="B247">
            <v>46163</v>
          </cell>
          <cell r="C247">
            <v>20</v>
          </cell>
          <cell r="D247" t="str">
            <v xml:space="preserve">الخزينة </v>
          </cell>
        </row>
        <row r="248">
          <cell r="A248">
            <v>53</v>
          </cell>
          <cell r="B248">
            <v>46163</v>
          </cell>
          <cell r="C248">
            <v>20</v>
          </cell>
          <cell r="D248" t="str">
            <v xml:space="preserve">الخزينة </v>
          </cell>
        </row>
        <row r="249">
          <cell r="A249">
            <v>64</v>
          </cell>
          <cell r="B249">
            <v>46163</v>
          </cell>
          <cell r="C249">
            <v>20</v>
          </cell>
          <cell r="D249" t="str">
            <v xml:space="preserve">الخزينة </v>
          </cell>
        </row>
        <row r="250">
          <cell r="A250">
            <v>55</v>
          </cell>
          <cell r="B250">
            <v>46163</v>
          </cell>
          <cell r="C250">
            <v>20</v>
          </cell>
          <cell r="D250" t="str">
            <v xml:space="preserve">الخزينة </v>
          </cell>
        </row>
        <row r="251">
          <cell r="A251">
            <v>64</v>
          </cell>
          <cell r="B251">
            <v>46163</v>
          </cell>
          <cell r="C251">
            <v>20</v>
          </cell>
          <cell r="D251" t="str">
            <v xml:space="preserve">الخزينة </v>
          </cell>
        </row>
        <row r="252">
          <cell r="A252">
            <v>64</v>
          </cell>
          <cell r="B252">
            <v>46163</v>
          </cell>
          <cell r="C252">
            <v>20</v>
          </cell>
          <cell r="D252" t="str">
            <v xml:space="preserve">الخزينة </v>
          </cell>
        </row>
        <row r="253">
          <cell r="A253">
            <v>64</v>
          </cell>
          <cell r="B253">
            <v>46163</v>
          </cell>
          <cell r="C253">
            <v>20</v>
          </cell>
          <cell r="D253" t="str">
            <v xml:space="preserve">الخزينة </v>
          </cell>
        </row>
        <row r="254">
          <cell r="A254">
            <v>64</v>
          </cell>
          <cell r="B254">
            <v>46163</v>
          </cell>
          <cell r="C254">
            <v>20</v>
          </cell>
          <cell r="D254" t="str">
            <v xml:space="preserve">الخزينة </v>
          </cell>
        </row>
        <row r="255">
          <cell r="A255">
            <v>63</v>
          </cell>
          <cell r="B255">
            <v>46163</v>
          </cell>
          <cell r="C255">
            <v>20</v>
          </cell>
          <cell r="D255" t="str">
            <v xml:space="preserve">الخزينة </v>
          </cell>
        </row>
        <row r="256">
          <cell r="A256">
            <v>63</v>
          </cell>
          <cell r="B256">
            <v>46163</v>
          </cell>
          <cell r="C256">
            <v>20</v>
          </cell>
          <cell r="D256" t="str">
            <v xml:space="preserve">الخزينة </v>
          </cell>
        </row>
        <row r="257">
          <cell r="A257">
            <v>63</v>
          </cell>
          <cell r="B257">
            <v>46163</v>
          </cell>
          <cell r="C257">
            <v>20</v>
          </cell>
          <cell r="D257" t="str">
            <v xml:space="preserve">الخزينة </v>
          </cell>
        </row>
        <row r="258">
          <cell r="A258">
            <v>59</v>
          </cell>
          <cell r="B258">
            <v>46163</v>
          </cell>
          <cell r="C258">
            <v>20</v>
          </cell>
          <cell r="D258" t="str">
            <v xml:space="preserve">الخزينة </v>
          </cell>
        </row>
        <row r="259">
          <cell r="A259">
            <v>59</v>
          </cell>
          <cell r="B259">
            <v>46163</v>
          </cell>
          <cell r="C259">
            <v>20</v>
          </cell>
          <cell r="D259" t="str">
            <v xml:space="preserve">الخزينة </v>
          </cell>
        </row>
        <row r="260">
          <cell r="A260">
            <v>59</v>
          </cell>
          <cell r="B260">
            <v>46163</v>
          </cell>
          <cell r="C260">
            <v>20</v>
          </cell>
          <cell r="D260" t="str">
            <v xml:space="preserve">الخزينة </v>
          </cell>
        </row>
        <row r="261">
          <cell r="A261">
            <v>63</v>
          </cell>
          <cell r="B261">
            <v>46163</v>
          </cell>
          <cell r="C261">
            <v>20</v>
          </cell>
          <cell r="D261" t="str">
            <v xml:space="preserve">الخزينة </v>
          </cell>
        </row>
        <row r="262">
          <cell r="A262">
            <v>63</v>
          </cell>
          <cell r="B262">
            <v>46163</v>
          </cell>
          <cell r="C262">
            <v>20</v>
          </cell>
          <cell r="D262" t="str">
            <v xml:space="preserve">الخزينة </v>
          </cell>
        </row>
        <row r="263">
          <cell r="A263">
            <v>60</v>
          </cell>
          <cell r="B263">
            <v>46163</v>
          </cell>
          <cell r="C263">
            <v>20</v>
          </cell>
          <cell r="D263" t="str">
            <v xml:space="preserve">الخزينة </v>
          </cell>
        </row>
        <row r="264">
          <cell r="A264">
            <v>63</v>
          </cell>
          <cell r="B264">
            <v>46163</v>
          </cell>
          <cell r="C264">
            <v>20</v>
          </cell>
          <cell r="D264" t="str">
            <v xml:space="preserve">الخزينة </v>
          </cell>
        </row>
        <row r="265">
          <cell r="A265">
            <v>61</v>
          </cell>
          <cell r="B265">
            <v>46163</v>
          </cell>
          <cell r="C265">
            <v>20</v>
          </cell>
          <cell r="D265" t="str">
            <v xml:space="preserve">الخزينة </v>
          </cell>
        </row>
        <row r="266">
          <cell r="A266">
            <v>88</v>
          </cell>
          <cell r="B266">
            <v>46162</v>
          </cell>
          <cell r="C266">
            <v>20</v>
          </cell>
          <cell r="D266" t="str">
            <v xml:space="preserve">الخزينة </v>
          </cell>
        </row>
        <row r="267">
          <cell r="A267">
            <v>31</v>
          </cell>
          <cell r="B267">
            <v>46162</v>
          </cell>
          <cell r="C267">
            <v>20</v>
          </cell>
          <cell r="D267" t="str">
            <v xml:space="preserve">الخزينة </v>
          </cell>
        </row>
        <row r="268">
          <cell r="A268">
            <v>78</v>
          </cell>
          <cell r="B268">
            <v>46162</v>
          </cell>
          <cell r="C268">
            <v>20</v>
          </cell>
          <cell r="D268" t="str">
            <v xml:space="preserve">الخزينة </v>
          </cell>
        </row>
        <row r="269">
          <cell r="A269">
            <v>63</v>
          </cell>
          <cell r="B269">
            <v>46162</v>
          </cell>
          <cell r="C269">
            <v>20</v>
          </cell>
          <cell r="D269" t="str">
            <v xml:space="preserve">الخزينة </v>
          </cell>
        </row>
        <row r="270">
          <cell r="A270">
            <v>63</v>
          </cell>
          <cell r="B270">
            <v>46162</v>
          </cell>
          <cell r="C270">
            <v>20</v>
          </cell>
          <cell r="D270" t="str">
            <v xml:space="preserve">الخزينة </v>
          </cell>
        </row>
        <row r="271">
          <cell r="A271">
            <v>61</v>
          </cell>
          <cell r="B271">
            <v>46162</v>
          </cell>
          <cell r="C271">
            <v>20</v>
          </cell>
          <cell r="D271" t="str">
            <v xml:space="preserve">الخزينة </v>
          </cell>
        </row>
        <row r="272">
          <cell r="A272">
            <v>91</v>
          </cell>
          <cell r="B272">
            <v>46161</v>
          </cell>
          <cell r="C272">
            <v>20</v>
          </cell>
          <cell r="D272" t="str">
            <v xml:space="preserve">الخزينة </v>
          </cell>
        </row>
        <row r="273">
          <cell r="A273">
            <v>5</v>
          </cell>
          <cell r="B273">
            <v>46161</v>
          </cell>
          <cell r="C273">
            <v>20</v>
          </cell>
          <cell r="D273" t="str">
            <v xml:space="preserve">الخزينة </v>
          </cell>
        </row>
        <row r="274">
          <cell r="A274">
            <v>88</v>
          </cell>
          <cell r="B274">
            <v>46161</v>
          </cell>
          <cell r="C274">
            <v>20</v>
          </cell>
          <cell r="D274" t="str">
            <v xml:space="preserve">الخزينة </v>
          </cell>
        </row>
        <row r="275">
          <cell r="A275">
            <v>27</v>
          </cell>
          <cell r="B275">
            <v>46161</v>
          </cell>
          <cell r="C275">
            <v>20</v>
          </cell>
          <cell r="D275" t="str">
            <v xml:space="preserve">الخزينة </v>
          </cell>
        </row>
        <row r="276">
          <cell r="A276">
            <v>37</v>
          </cell>
          <cell r="B276">
            <v>46161</v>
          </cell>
          <cell r="C276">
            <v>20</v>
          </cell>
          <cell r="D276" t="str">
            <v xml:space="preserve">الخزينة </v>
          </cell>
        </row>
        <row r="277">
          <cell r="A277">
            <v>46</v>
          </cell>
          <cell r="B277">
            <v>46161</v>
          </cell>
          <cell r="C277">
            <v>20</v>
          </cell>
          <cell r="D277" t="str">
            <v xml:space="preserve">الخزينة </v>
          </cell>
        </row>
        <row r="278">
          <cell r="A278">
            <v>69</v>
          </cell>
          <cell r="B278">
            <v>46161</v>
          </cell>
          <cell r="C278">
            <v>20</v>
          </cell>
          <cell r="D278" t="str">
            <v xml:space="preserve">الخزينة </v>
          </cell>
        </row>
        <row r="279">
          <cell r="A279">
            <v>53</v>
          </cell>
          <cell r="B279">
            <v>46161</v>
          </cell>
          <cell r="C279">
            <v>20</v>
          </cell>
          <cell r="D279" t="str">
            <v xml:space="preserve">الخزينة </v>
          </cell>
        </row>
        <row r="280">
          <cell r="A280">
            <v>53</v>
          </cell>
          <cell r="B280">
            <v>46161</v>
          </cell>
          <cell r="C280">
            <v>20</v>
          </cell>
          <cell r="D280" t="str">
            <v xml:space="preserve">الخزينة </v>
          </cell>
        </row>
        <row r="281">
          <cell r="A281">
            <v>53</v>
          </cell>
          <cell r="B281">
            <v>46161</v>
          </cell>
          <cell r="C281">
            <v>20</v>
          </cell>
          <cell r="D281" t="str">
            <v xml:space="preserve">الخزينة </v>
          </cell>
        </row>
        <row r="282">
          <cell r="A282">
            <v>54</v>
          </cell>
          <cell r="B282">
            <v>46161</v>
          </cell>
          <cell r="C282">
            <v>20</v>
          </cell>
          <cell r="D282" t="str">
            <v xml:space="preserve">الخزينة </v>
          </cell>
        </row>
        <row r="283">
          <cell r="A283">
            <v>65</v>
          </cell>
          <cell r="B283">
            <v>46161</v>
          </cell>
          <cell r="C283">
            <v>20</v>
          </cell>
          <cell r="D283" t="str">
            <v xml:space="preserve">الخزينة </v>
          </cell>
        </row>
        <row r="284">
          <cell r="A284">
            <v>55</v>
          </cell>
          <cell r="B284">
            <v>46161</v>
          </cell>
          <cell r="C284">
            <v>20</v>
          </cell>
          <cell r="D284" t="str">
            <v xml:space="preserve">الخزينة </v>
          </cell>
        </row>
        <row r="285">
          <cell r="A285">
            <v>55</v>
          </cell>
          <cell r="B285">
            <v>46161</v>
          </cell>
          <cell r="C285">
            <v>20</v>
          </cell>
          <cell r="D285" t="str">
            <v xml:space="preserve">الخزينة </v>
          </cell>
        </row>
        <row r="286">
          <cell r="A286">
            <v>64</v>
          </cell>
          <cell r="B286">
            <v>46161</v>
          </cell>
          <cell r="C286">
            <v>20</v>
          </cell>
          <cell r="D286" t="str">
            <v xml:space="preserve">الخزينة </v>
          </cell>
        </row>
        <row r="287">
          <cell r="A287">
            <v>63</v>
          </cell>
          <cell r="B287">
            <v>46161</v>
          </cell>
          <cell r="C287">
            <v>20</v>
          </cell>
          <cell r="D287" t="str">
            <v xml:space="preserve">الخزينة </v>
          </cell>
        </row>
        <row r="288">
          <cell r="A288">
            <v>63</v>
          </cell>
          <cell r="B288">
            <v>46161</v>
          </cell>
          <cell r="C288">
            <v>20</v>
          </cell>
          <cell r="D288" t="str">
            <v xml:space="preserve">الخزينة </v>
          </cell>
        </row>
        <row r="289">
          <cell r="A289">
            <v>63</v>
          </cell>
          <cell r="B289">
            <v>46161</v>
          </cell>
          <cell r="C289">
            <v>20</v>
          </cell>
          <cell r="D289" t="str">
            <v xml:space="preserve">الخزينة </v>
          </cell>
        </row>
        <row r="290">
          <cell r="A290">
            <v>60</v>
          </cell>
          <cell r="B290">
            <v>46161</v>
          </cell>
          <cell r="C290">
            <v>20</v>
          </cell>
          <cell r="D290" t="str">
            <v xml:space="preserve">الخزينة </v>
          </cell>
        </row>
        <row r="291">
          <cell r="A291">
            <v>60</v>
          </cell>
          <cell r="B291">
            <v>46161</v>
          </cell>
          <cell r="C291">
            <v>20</v>
          </cell>
          <cell r="D291" t="str">
            <v xml:space="preserve">الخزينة </v>
          </cell>
        </row>
        <row r="292">
          <cell r="A292">
            <v>60</v>
          </cell>
          <cell r="B292">
            <v>46161</v>
          </cell>
          <cell r="C292">
            <v>20</v>
          </cell>
          <cell r="D292" t="str">
            <v xml:space="preserve">الخزينة </v>
          </cell>
        </row>
        <row r="293">
          <cell r="A293">
            <v>62</v>
          </cell>
          <cell r="B293">
            <v>46161</v>
          </cell>
          <cell r="C293">
            <v>20</v>
          </cell>
          <cell r="D293" t="str">
            <v xml:space="preserve">الخزينة </v>
          </cell>
        </row>
        <row r="294">
          <cell r="A294">
            <v>61</v>
          </cell>
          <cell r="B294">
            <v>46161</v>
          </cell>
          <cell r="C294">
            <v>20</v>
          </cell>
          <cell r="D294" t="str">
            <v xml:space="preserve">الخزينة </v>
          </cell>
        </row>
        <row r="295">
          <cell r="A295">
            <v>92</v>
          </cell>
          <cell r="B295">
            <v>46160</v>
          </cell>
          <cell r="C295">
            <v>20</v>
          </cell>
          <cell r="D295" t="str">
            <v xml:space="preserve">الخزينة </v>
          </cell>
        </row>
        <row r="296">
          <cell r="A296">
            <v>14</v>
          </cell>
          <cell r="B296">
            <v>46160</v>
          </cell>
          <cell r="C296">
            <v>20</v>
          </cell>
          <cell r="D296" t="str">
            <v xml:space="preserve">الخزينة </v>
          </cell>
        </row>
        <row r="297">
          <cell r="A297">
            <v>14</v>
          </cell>
          <cell r="B297">
            <v>46160</v>
          </cell>
          <cell r="C297">
            <v>20</v>
          </cell>
          <cell r="D297" t="str">
            <v xml:space="preserve">الخزينة </v>
          </cell>
        </row>
        <row r="298">
          <cell r="A298">
            <v>14</v>
          </cell>
          <cell r="B298">
            <v>46160</v>
          </cell>
          <cell r="C298">
            <v>20</v>
          </cell>
          <cell r="D298" t="str">
            <v xml:space="preserve">الخزينة </v>
          </cell>
        </row>
        <row r="299">
          <cell r="A299">
            <v>39</v>
          </cell>
          <cell r="B299">
            <v>46160</v>
          </cell>
          <cell r="C299">
            <v>20</v>
          </cell>
          <cell r="D299" t="str">
            <v xml:space="preserve">الخزينة </v>
          </cell>
        </row>
        <row r="300">
          <cell r="A300">
            <v>53</v>
          </cell>
          <cell r="B300">
            <v>46160</v>
          </cell>
          <cell r="C300">
            <v>20</v>
          </cell>
          <cell r="D300" t="str">
            <v xml:space="preserve">الخزينة </v>
          </cell>
        </row>
        <row r="301">
          <cell r="A301">
            <v>91</v>
          </cell>
          <cell r="B301">
            <v>46159</v>
          </cell>
          <cell r="C301">
            <v>20</v>
          </cell>
          <cell r="D301" t="str">
            <v xml:space="preserve">الخزينة </v>
          </cell>
        </row>
        <row r="302">
          <cell r="A302">
            <v>14</v>
          </cell>
          <cell r="B302">
            <v>46159</v>
          </cell>
          <cell r="C302">
            <v>20</v>
          </cell>
          <cell r="D302" t="str">
            <v xml:space="preserve">الخزينة </v>
          </cell>
        </row>
        <row r="303">
          <cell r="A303">
            <v>88</v>
          </cell>
          <cell r="B303">
            <v>46159</v>
          </cell>
          <cell r="C303">
            <v>20</v>
          </cell>
          <cell r="D303" t="str">
            <v xml:space="preserve">الخزينة </v>
          </cell>
        </row>
        <row r="304">
          <cell r="A304">
            <v>71</v>
          </cell>
          <cell r="B304">
            <v>46159</v>
          </cell>
          <cell r="C304">
            <v>20</v>
          </cell>
          <cell r="D304" t="str">
            <v xml:space="preserve">الخزينة </v>
          </cell>
        </row>
        <row r="305">
          <cell r="A305">
            <v>51</v>
          </cell>
          <cell r="B305">
            <v>46159</v>
          </cell>
          <cell r="C305">
            <v>20</v>
          </cell>
          <cell r="D305" t="str">
            <v xml:space="preserve">الخزينة </v>
          </cell>
        </row>
        <row r="306">
          <cell r="A306">
            <v>54</v>
          </cell>
          <cell r="B306">
            <v>46159</v>
          </cell>
          <cell r="C306">
            <v>20</v>
          </cell>
          <cell r="D306" t="str">
            <v xml:space="preserve">الخزينة </v>
          </cell>
        </row>
        <row r="307">
          <cell r="A307">
            <v>55</v>
          </cell>
          <cell r="B307">
            <v>46159</v>
          </cell>
          <cell r="C307">
            <v>20</v>
          </cell>
          <cell r="D307" t="str">
            <v xml:space="preserve">الخزينة </v>
          </cell>
        </row>
        <row r="308">
          <cell r="A308">
            <v>55</v>
          </cell>
          <cell r="B308">
            <v>46159</v>
          </cell>
          <cell r="C308">
            <v>20</v>
          </cell>
          <cell r="D308" t="str">
            <v xml:space="preserve">الخزينة </v>
          </cell>
        </row>
        <row r="309">
          <cell r="A309">
            <v>57</v>
          </cell>
          <cell r="B309">
            <v>46159</v>
          </cell>
          <cell r="C309">
            <v>20</v>
          </cell>
          <cell r="D309" t="str">
            <v xml:space="preserve">الخزينة </v>
          </cell>
        </row>
        <row r="310">
          <cell r="A310">
            <v>59</v>
          </cell>
          <cell r="B310">
            <v>46159</v>
          </cell>
          <cell r="C310">
            <v>20</v>
          </cell>
          <cell r="D310" t="str">
            <v xml:space="preserve">الخزينة </v>
          </cell>
        </row>
        <row r="311">
          <cell r="A311">
            <v>60</v>
          </cell>
          <cell r="B311">
            <v>46159</v>
          </cell>
          <cell r="C311">
            <v>20</v>
          </cell>
          <cell r="D311" t="str">
            <v xml:space="preserve">الخزينة </v>
          </cell>
        </row>
        <row r="312">
          <cell r="A312">
            <v>61</v>
          </cell>
          <cell r="B312">
            <v>46159</v>
          </cell>
          <cell r="C312">
            <v>20</v>
          </cell>
          <cell r="D312" t="str">
            <v xml:space="preserve">الخزينة </v>
          </cell>
        </row>
        <row r="313">
          <cell r="A313">
            <v>90</v>
          </cell>
          <cell r="B313">
            <v>46158</v>
          </cell>
          <cell r="C313">
            <v>20</v>
          </cell>
          <cell r="D313" t="str">
            <v xml:space="preserve">الخزينة </v>
          </cell>
        </row>
        <row r="314">
          <cell r="A314">
            <v>86</v>
          </cell>
          <cell r="B314">
            <v>46158</v>
          </cell>
          <cell r="C314">
            <v>20</v>
          </cell>
          <cell r="D314" t="str">
            <v xml:space="preserve">الخزينة </v>
          </cell>
        </row>
        <row r="315">
          <cell r="A315">
            <v>69</v>
          </cell>
          <cell r="B315">
            <v>46158</v>
          </cell>
          <cell r="C315">
            <v>20</v>
          </cell>
          <cell r="D315" t="str">
            <v xml:space="preserve">الخزينة </v>
          </cell>
        </row>
        <row r="316">
          <cell r="A316">
            <v>67</v>
          </cell>
          <cell r="B316">
            <v>46158</v>
          </cell>
          <cell r="C316">
            <v>20</v>
          </cell>
          <cell r="D316" t="str">
            <v xml:space="preserve">الخزينة </v>
          </cell>
        </row>
        <row r="317">
          <cell r="A317">
            <v>64</v>
          </cell>
          <cell r="B317">
            <v>46158</v>
          </cell>
          <cell r="C317">
            <v>20</v>
          </cell>
          <cell r="D317" t="str">
            <v xml:space="preserve">الخزينة </v>
          </cell>
        </row>
        <row r="318">
          <cell r="A318">
            <v>59</v>
          </cell>
          <cell r="B318">
            <v>46158</v>
          </cell>
          <cell r="C318">
            <v>20</v>
          </cell>
          <cell r="D318" t="str">
            <v xml:space="preserve">الخزينة </v>
          </cell>
        </row>
        <row r="319">
          <cell r="A319">
            <v>6</v>
          </cell>
          <cell r="B319">
            <v>46156</v>
          </cell>
          <cell r="C319">
            <v>20</v>
          </cell>
          <cell r="D319" t="str">
            <v xml:space="preserve">الخزينة </v>
          </cell>
        </row>
        <row r="320">
          <cell r="A320">
            <v>25</v>
          </cell>
          <cell r="B320">
            <v>46156</v>
          </cell>
          <cell r="C320">
            <v>20</v>
          </cell>
          <cell r="D320" t="str">
            <v xml:space="preserve">الخزينة </v>
          </cell>
        </row>
        <row r="321">
          <cell r="A321">
            <v>31</v>
          </cell>
          <cell r="B321">
            <v>46156</v>
          </cell>
          <cell r="C321">
            <v>20</v>
          </cell>
          <cell r="D321" t="str">
            <v xml:space="preserve">الخزينة </v>
          </cell>
        </row>
        <row r="322">
          <cell r="A322">
            <v>32</v>
          </cell>
          <cell r="B322">
            <v>46156</v>
          </cell>
          <cell r="C322">
            <v>20</v>
          </cell>
          <cell r="D322" t="str">
            <v xml:space="preserve">الخزينة </v>
          </cell>
        </row>
        <row r="323">
          <cell r="A323">
            <v>32</v>
          </cell>
          <cell r="B323">
            <v>46156</v>
          </cell>
          <cell r="C323">
            <v>20</v>
          </cell>
          <cell r="D323" t="str">
            <v xml:space="preserve">الخزينة </v>
          </cell>
        </row>
        <row r="324">
          <cell r="A324">
            <v>33</v>
          </cell>
          <cell r="B324">
            <v>46156</v>
          </cell>
          <cell r="C324">
            <v>20</v>
          </cell>
          <cell r="D324" t="str">
            <v xml:space="preserve">الخزينة </v>
          </cell>
        </row>
        <row r="325">
          <cell r="A325">
            <v>35</v>
          </cell>
          <cell r="B325">
            <v>46156</v>
          </cell>
          <cell r="C325">
            <v>20</v>
          </cell>
          <cell r="D325" t="str">
            <v xml:space="preserve">الخزينة </v>
          </cell>
        </row>
        <row r="326">
          <cell r="A326">
            <v>35</v>
          </cell>
          <cell r="B326">
            <v>46156</v>
          </cell>
          <cell r="C326">
            <v>20</v>
          </cell>
          <cell r="D326" t="str">
            <v xml:space="preserve">الخزينة </v>
          </cell>
        </row>
        <row r="327">
          <cell r="A327">
            <v>49</v>
          </cell>
          <cell r="B327">
            <v>46156</v>
          </cell>
          <cell r="C327">
            <v>20</v>
          </cell>
          <cell r="D327" t="str">
            <v xml:space="preserve">الخزينة </v>
          </cell>
        </row>
        <row r="328">
          <cell r="A328">
            <v>53</v>
          </cell>
          <cell r="B328">
            <v>46156</v>
          </cell>
          <cell r="C328">
            <v>20</v>
          </cell>
          <cell r="D328" t="str">
            <v xml:space="preserve">الخزينة </v>
          </cell>
        </row>
        <row r="329">
          <cell r="A329">
            <v>67</v>
          </cell>
          <cell r="B329">
            <v>46156</v>
          </cell>
          <cell r="C329">
            <v>20</v>
          </cell>
          <cell r="D329" t="str">
            <v xml:space="preserve">الخزينة </v>
          </cell>
        </row>
        <row r="330">
          <cell r="A330">
            <v>65</v>
          </cell>
          <cell r="B330">
            <v>46156</v>
          </cell>
          <cell r="C330">
            <v>20</v>
          </cell>
          <cell r="D330" t="str">
            <v xml:space="preserve">الخزينة </v>
          </cell>
        </row>
        <row r="331">
          <cell r="A331">
            <v>64</v>
          </cell>
          <cell r="B331">
            <v>46156</v>
          </cell>
          <cell r="C331">
            <v>20</v>
          </cell>
          <cell r="D331" t="str">
            <v xml:space="preserve">الخزينة </v>
          </cell>
        </row>
        <row r="332">
          <cell r="A332">
            <v>55</v>
          </cell>
          <cell r="B332">
            <v>46156</v>
          </cell>
          <cell r="C332">
            <v>20</v>
          </cell>
          <cell r="D332" t="str">
            <v xml:space="preserve">الخزينة </v>
          </cell>
        </row>
        <row r="333">
          <cell r="A333">
            <v>64</v>
          </cell>
          <cell r="B333">
            <v>46156</v>
          </cell>
          <cell r="C333">
            <v>20</v>
          </cell>
          <cell r="D333" t="str">
            <v xml:space="preserve">الخزينة </v>
          </cell>
        </row>
        <row r="334">
          <cell r="A334">
            <v>64</v>
          </cell>
          <cell r="B334">
            <v>46156</v>
          </cell>
          <cell r="C334">
            <v>20</v>
          </cell>
          <cell r="D334" t="str">
            <v xml:space="preserve">الخزينة </v>
          </cell>
        </row>
        <row r="335">
          <cell r="A335">
            <v>64</v>
          </cell>
          <cell r="B335">
            <v>46156</v>
          </cell>
          <cell r="C335">
            <v>20</v>
          </cell>
          <cell r="D335" t="str">
            <v xml:space="preserve">الخزينة </v>
          </cell>
        </row>
        <row r="336">
          <cell r="A336">
            <v>58</v>
          </cell>
          <cell r="B336">
            <v>46156</v>
          </cell>
          <cell r="C336">
            <v>20</v>
          </cell>
          <cell r="D336" t="str">
            <v xml:space="preserve">الخزينة </v>
          </cell>
        </row>
        <row r="337">
          <cell r="A337">
            <v>58</v>
          </cell>
          <cell r="B337">
            <v>46156</v>
          </cell>
          <cell r="C337">
            <v>20</v>
          </cell>
          <cell r="D337" t="str">
            <v xml:space="preserve">الخزينة </v>
          </cell>
        </row>
        <row r="338">
          <cell r="A338">
            <v>64</v>
          </cell>
          <cell r="B338">
            <v>46156</v>
          </cell>
          <cell r="C338">
            <v>20</v>
          </cell>
          <cell r="D338" t="str">
            <v xml:space="preserve">الخزينة </v>
          </cell>
        </row>
        <row r="339">
          <cell r="A339">
            <v>59</v>
          </cell>
          <cell r="B339">
            <v>46156</v>
          </cell>
          <cell r="C339">
            <v>20</v>
          </cell>
          <cell r="D339" t="str">
            <v xml:space="preserve">الخزينة </v>
          </cell>
        </row>
        <row r="340">
          <cell r="A340">
            <v>61</v>
          </cell>
          <cell r="B340">
            <v>46156</v>
          </cell>
          <cell r="C340">
            <v>20</v>
          </cell>
          <cell r="D340" t="str">
            <v xml:space="preserve">الخزينة </v>
          </cell>
        </row>
        <row r="341">
          <cell r="A341">
            <v>90</v>
          </cell>
          <cell r="B341">
            <v>46155</v>
          </cell>
          <cell r="C341">
            <v>20</v>
          </cell>
          <cell r="D341" t="str">
            <v xml:space="preserve">الخزينة </v>
          </cell>
        </row>
        <row r="342">
          <cell r="A342">
            <v>90</v>
          </cell>
          <cell r="B342">
            <v>46155</v>
          </cell>
          <cell r="C342">
            <v>20</v>
          </cell>
          <cell r="D342" t="str">
            <v xml:space="preserve">الخزينة </v>
          </cell>
        </row>
        <row r="343">
          <cell r="A343">
            <v>90</v>
          </cell>
          <cell r="B343">
            <v>46155</v>
          </cell>
          <cell r="C343">
            <v>20</v>
          </cell>
          <cell r="D343" t="str">
            <v xml:space="preserve">الخزينة </v>
          </cell>
        </row>
        <row r="344">
          <cell r="A344">
            <v>64</v>
          </cell>
          <cell r="B344">
            <v>46155</v>
          </cell>
          <cell r="C344">
            <v>20</v>
          </cell>
          <cell r="D344" t="str">
            <v xml:space="preserve">الخزينة </v>
          </cell>
        </row>
        <row r="345">
          <cell r="A345">
            <v>94</v>
          </cell>
          <cell r="B345">
            <v>46154</v>
          </cell>
          <cell r="C345">
            <v>20</v>
          </cell>
          <cell r="D345" t="str">
            <v xml:space="preserve">الخزينة </v>
          </cell>
        </row>
        <row r="346">
          <cell r="A346">
            <v>37</v>
          </cell>
          <cell r="B346">
            <v>46154</v>
          </cell>
          <cell r="C346">
            <v>20</v>
          </cell>
          <cell r="D346" t="str">
            <v xml:space="preserve">الخزينة </v>
          </cell>
        </row>
        <row r="347">
          <cell r="A347">
            <v>73</v>
          </cell>
          <cell r="B347">
            <v>46154</v>
          </cell>
          <cell r="C347">
            <v>20</v>
          </cell>
          <cell r="D347" t="str">
            <v xml:space="preserve">الخزينة </v>
          </cell>
        </row>
        <row r="348">
          <cell r="A348">
            <v>73</v>
          </cell>
          <cell r="B348">
            <v>46154</v>
          </cell>
          <cell r="C348">
            <v>20</v>
          </cell>
          <cell r="D348" t="str">
            <v xml:space="preserve">الخزينة </v>
          </cell>
        </row>
        <row r="349">
          <cell r="A349">
            <v>70</v>
          </cell>
          <cell r="B349">
            <v>46154</v>
          </cell>
          <cell r="C349">
            <v>20</v>
          </cell>
          <cell r="D349" t="str">
            <v xml:space="preserve">الخزينة </v>
          </cell>
        </row>
        <row r="350">
          <cell r="A350">
            <v>67</v>
          </cell>
          <cell r="B350">
            <v>46154</v>
          </cell>
          <cell r="C350">
            <v>20</v>
          </cell>
          <cell r="D350" t="str">
            <v xml:space="preserve">الخزينة </v>
          </cell>
        </row>
        <row r="351">
          <cell r="A351">
            <v>67</v>
          </cell>
          <cell r="B351">
            <v>46154</v>
          </cell>
          <cell r="C351">
            <v>20</v>
          </cell>
          <cell r="D351" t="str">
            <v xml:space="preserve">الخزينة </v>
          </cell>
        </row>
        <row r="352">
          <cell r="A352">
            <v>67</v>
          </cell>
          <cell r="B352">
            <v>46154</v>
          </cell>
          <cell r="C352">
            <v>20</v>
          </cell>
          <cell r="D352" t="str">
            <v xml:space="preserve">الخزينة </v>
          </cell>
        </row>
        <row r="353">
          <cell r="A353">
            <v>65</v>
          </cell>
          <cell r="B353">
            <v>46154</v>
          </cell>
          <cell r="C353">
            <v>20</v>
          </cell>
          <cell r="D353" t="str">
            <v xml:space="preserve">الخزينة </v>
          </cell>
        </row>
        <row r="354">
          <cell r="A354">
            <v>60</v>
          </cell>
          <cell r="B354">
            <v>46154</v>
          </cell>
          <cell r="C354">
            <v>20</v>
          </cell>
          <cell r="D354" t="str">
            <v xml:space="preserve">الخزينة </v>
          </cell>
        </row>
        <row r="355">
          <cell r="A355">
            <v>63</v>
          </cell>
          <cell r="B355">
            <v>46154</v>
          </cell>
          <cell r="C355">
            <v>20</v>
          </cell>
          <cell r="D355" t="str">
            <v xml:space="preserve">الخزينة </v>
          </cell>
        </row>
        <row r="356">
          <cell r="A356">
            <v>90</v>
          </cell>
          <cell r="B356">
            <v>46153</v>
          </cell>
          <cell r="C356">
            <v>20</v>
          </cell>
          <cell r="D356" t="str">
            <v xml:space="preserve">الخزينة </v>
          </cell>
        </row>
        <row r="357">
          <cell r="A357">
            <v>90</v>
          </cell>
          <cell r="B357">
            <v>46153</v>
          </cell>
          <cell r="C357">
            <v>20</v>
          </cell>
          <cell r="D357" t="str">
            <v xml:space="preserve">الخزينة </v>
          </cell>
        </row>
        <row r="358">
          <cell r="A358">
            <v>88</v>
          </cell>
          <cell r="B358">
            <v>46153</v>
          </cell>
          <cell r="C358">
            <v>20</v>
          </cell>
          <cell r="D358" t="str">
            <v xml:space="preserve">الخزينة </v>
          </cell>
        </row>
        <row r="359">
          <cell r="A359">
            <v>31</v>
          </cell>
          <cell r="B359">
            <v>46153</v>
          </cell>
          <cell r="C359">
            <v>20</v>
          </cell>
          <cell r="D359" t="str">
            <v xml:space="preserve">الخزينة </v>
          </cell>
        </row>
        <row r="360">
          <cell r="A360">
            <v>68</v>
          </cell>
          <cell r="B360">
            <v>46153</v>
          </cell>
          <cell r="C360">
            <v>20</v>
          </cell>
          <cell r="D360" t="str">
            <v xml:space="preserve">الخزينة </v>
          </cell>
        </row>
        <row r="361">
          <cell r="A361">
            <v>67</v>
          </cell>
          <cell r="B361">
            <v>46153</v>
          </cell>
          <cell r="C361">
            <v>20</v>
          </cell>
          <cell r="D361" t="str">
            <v xml:space="preserve">الخزينة </v>
          </cell>
        </row>
        <row r="362">
          <cell r="A362">
            <v>53</v>
          </cell>
          <cell r="B362">
            <v>46153</v>
          </cell>
          <cell r="C362">
            <v>20</v>
          </cell>
          <cell r="D362" t="str">
            <v xml:space="preserve">الخزينة </v>
          </cell>
        </row>
        <row r="363">
          <cell r="A363">
            <v>67</v>
          </cell>
          <cell r="B363">
            <v>46153</v>
          </cell>
          <cell r="C363">
            <v>20</v>
          </cell>
          <cell r="D363" t="str">
            <v xml:space="preserve">الخزينة </v>
          </cell>
        </row>
        <row r="364">
          <cell r="A364">
            <v>64</v>
          </cell>
          <cell r="B364">
            <v>46153</v>
          </cell>
          <cell r="C364">
            <v>20</v>
          </cell>
          <cell r="D364" t="str">
            <v xml:space="preserve">الخزينة </v>
          </cell>
        </row>
        <row r="365">
          <cell r="A365">
            <v>64</v>
          </cell>
          <cell r="B365">
            <v>46153</v>
          </cell>
          <cell r="C365">
            <v>20</v>
          </cell>
          <cell r="D365" t="str">
            <v xml:space="preserve">الخزينة </v>
          </cell>
        </row>
        <row r="366">
          <cell r="A366">
            <v>64</v>
          </cell>
          <cell r="B366">
            <v>46153</v>
          </cell>
          <cell r="C366">
            <v>20</v>
          </cell>
          <cell r="D366" t="str">
            <v xml:space="preserve">الخزينة </v>
          </cell>
        </row>
        <row r="367">
          <cell r="A367">
            <v>64</v>
          </cell>
          <cell r="B367">
            <v>46153</v>
          </cell>
          <cell r="C367">
            <v>20</v>
          </cell>
          <cell r="D367" t="str">
            <v xml:space="preserve">الخزينة </v>
          </cell>
        </row>
        <row r="368">
          <cell r="A368">
            <v>60</v>
          </cell>
          <cell r="B368">
            <v>46153</v>
          </cell>
          <cell r="C368">
            <v>20</v>
          </cell>
          <cell r="D368" t="str">
            <v xml:space="preserve">الخزينة </v>
          </cell>
        </row>
        <row r="369">
          <cell r="A369">
            <v>5</v>
          </cell>
          <cell r="B369">
            <v>46152</v>
          </cell>
          <cell r="C369">
            <v>20</v>
          </cell>
          <cell r="D369" t="str">
            <v xml:space="preserve">الخزينة </v>
          </cell>
        </row>
        <row r="370">
          <cell r="A370">
            <v>88</v>
          </cell>
          <cell r="B370">
            <v>46152</v>
          </cell>
          <cell r="C370">
            <v>20</v>
          </cell>
          <cell r="D370" t="str">
            <v xml:space="preserve">الخزينة </v>
          </cell>
        </row>
        <row r="371">
          <cell r="A371">
            <v>87</v>
          </cell>
          <cell r="B371">
            <v>46152</v>
          </cell>
          <cell r="C371">
            <v>20</v>
          </cell>
          <cell r="D371" t="str">
            <v xml:space="preserve">الخزينة </v>
          </cell>
        </row>
        <row r="372">
          <cell r="A372">
            <v>75</v>
          </cell>
          <cell r="B372">
            <v>46152</v>
          </cell>
          <cell r="C372">
            <v>20</v>
          </cell>
          <cell r="D372" t="str">
            <v xml:space="preserve">الخزينة </v>
          </cell>
        </row>
        <row r="373">
          <cell r="A373">
            <v>75</v>
          </cell>
          <cell r="B373">
            <v>46152</v>
          </cell>
          <cell r="C373">
            <v>20</v>
          </cell>
          <cell r="D373" t="str">
            <v xml:space="preserve">الخزينة </v>
          </cell>
        </row>
        <row r="374">
          <cell r="A374">
            <v>75</v>
          </cell>
          <cell r="B374">
            <v>46152</v>
          </cell>
          <cell r="C374">
            <v>20</v>
          </cell>
          <cell r="D374" t="str">
            <v xml:space="preserve">الخزينة </v>
          </cell>
        </row>
        <row r="375">
          <cell r="A375">
            <v>51</v>
          </cell>
          <cell r="B375">
            <v>46152</v>
          </cell>
          <cell r="C375">
            <v>20</v>
          </cell>
          <cell r="D375" t="str">
            <v xml:space="preserve">الخزينة </v>
          </cell>
        </row>
        <row r="376">
          <cell r="A376">
            <v>51</v>
          </cell>
          <cell r="B376">
            <v>46152</v>
          </cell>
          <cell r="C376">
            <v>20</v>
          </cell>
          <cell r="D376" t="str">
            <v xml:space="preserve">الخزينة </v>
          </cell>
        </row>
        <row r="377">
          <cell r="A377">
            <v>69</v>
          </cell>
          <cell r="B377">
            <v>46152</v>
          </cell>
          <cell r="C377">
            <v>20</v>
          </cell>
          <cell r="D377" t="str">
            <v xml:space="preserve">الخزينة </v>
          </cell>
        </row>
        <row r="378">
          <cell r="A378">
            <v>67</v>
          </cell>
          <cell r="B378">
            <v>46152</v>
          </cell>
          <cell r="C378">
            <v>20</v>
          </cell>
          <cell r="D378" t="str">
            <v xml:space="preserve">الخزينة </v>
          </cell>
        </row>
        <row r="379">
          <cell r="A379">
            <v>64</v>
          </cell>
          <cell r="B379">
            <v>46152</v>
          </cell>
          <cell r="C379">
            <v>20</v>
          </cell>
          <cell r="D379" t="str">
            <v xml:space="preserve">الخزينة </v>
          </cell>
        </row>
        <row r="380">
          <cell r="A380">
            <v>64</v>
          </cell>
          <cell r="B380">
            <v>46152</v>
          </cell>
          <cell r="C380">
            <v>20</v>
          </cell>
          <cell r="D380" t="str">
            <v xml:space="preserve">الخزينة </v>
          </cell>
        </row>
        <row r="381">
          <cell r="A381">
            <v>64</v>
          </cell>
          <cell r="B381">
            <v>46152</v>
          </cell>
          <cell r="C381">
            <v>20</v>
          </cell>
          <cell r="D381" t="str">
            <v xml:space="preserve">الخزينة </v>
          </cell>
        </row>
        <row r="382">
          <cell r="A382">
            <v>64</v>
          </cell>
          <cell r="B382">
            <v>46152</v>
          </cell>
          <cell r="C382">
            <v>20</v>
          </cell>
          <cell r="D382" t="str">
            <v xml:space="preserve">الخزينة </v>
          </cell>
        </row>
        <row r="383">
          <cell r="A383">
            <v>64</v>
          </cell>
          <cell r="B383">
            <v>46152</v>
          </cell>
          <cell r="C383">
            <v>20</v>
          </cell>
          <cell r="D383" t="str">
            <v xml:space="preserve">الخزينة </v>
          </cell>
        </row>
        <row r="384">
          <cell r="A384">
            <v>64</v>
          </cell>
          <cell r="B384">
            <v>46152</v>
          </cell>
          <cell r="C384">
            <v>20</v>
          </cell>
          <cell r="D384" t="str">
            <v xml:space="preserve">الخزينة </v>
          </cell>
        </row>
        <row r="385">
          <cell r="A385">
            <v>91</v>
          </cell>
          <cell r="B385">
            <v>46151</v>
          </cell>
          <cell r="C385">
            <v>20</v>
          </cell>
          <cell r="D385" t="str">
            <v xml:space="preserve">الخزينة </v>
          </cell>
        </row>
        <row r="386">
          <cell r="A386">
            <v>14</v>
          </cell>
          <cell r="B386">
            <v>46151</v>
          </cell>
          <cell r="C386">
            <v>20</v>
          </cell>
          <cell r="D386" t="str">
            <v xml:space="preserve">الخزينة </v>
          </cell>
        </row>
        <row r="387">
          <cell r="A387">
            <v>20</v>
          </cell>
          <cell r="B387">
            <v>46151</v>
          </cell>
          <cell r="C387">
            <v>20</v>
          </cell>
          <cell r="D387" t="str">
            <v xml:space="preserve">الخزينة </v>
          </cell>
        </row>
        <row r="388">
          <cell r="A388">
            <v>23</v>
          </cell>
          <cell r="B388">
            <v>46151</v>
          </cell>
          <cell r="C388">
            <v>20</v>
          </cell>
          <cell r="D388" t="str">
            <v xml:space="preserve">الخزينة </v>
          </cell>
        </row>
        <row r="389">
          <cell r="A389">
            <v>88</v>
          </cell>
          <cell r="B389">
            <v>46151</v>
          </cell>
          <cell r="C389">
            <v>20</v>
          </cell>
          <cell r="D389" t="str">
            <v xml:space="preserve">الخزينة </v>
          </cell>
        </row>
        <row r="390">
          <cell r="A390">
            <v>31</v>
          </cell>
          <cell r="B390">
            <v>46151</v>
          </cell>
          <cell r="C390">
            <v>20</v>
          </cell>
          <cell r="D390" t="str">
            <v xml:space="preserve">الخزينة </v>
          </cell>
        </row>
        <row r="391">
          <cell r="A391">
            <v>67</v>
          </cell>
          <cell r="B391">
            <v>46151</v>
          </cell>
          <cell r="C391">
            <v>20</v>
          </cell>
          <cell r="D391" t="str">
            <v xml:space="preserve">الخزينة </v>
          </cell>
        </row>
        <row r="392">
          <cell r="A392">
            <v>67</v>
          </cell>
          <cell r="B392">
            <v>46151</v>
          </cell>
          <cell r="C392">
            <v>20</v>
          </cell>
          <cell r="D392" t="str">
            <v xml:space="preserve">الخزينة </v>
          </cell>
        </row>
        <row r="393">
          <cell r="A393">
            <v>53</v>
          </cell>
          <cell r="B393">
            <v>46151</v>
          </cell>
          <cell r="C393">
            <v>20</v>
          </cell>
          <cell r="D393" t="str">
            <v xml:space="preserve">الخزينة </v>
          </cell>
        </row>
        <row r="394">
          <cell r="A394">
            <v>53</v>
          </cell>
          <cell r="B394">
            <v>46151</v>
          </cell>
          <cell r="C394">
            <v>20</v>
          </cell>
          <cell r="D394" t="str">
            <v xml:space="preserve">الخزينة </v>
          </cell>
        </row>
        <row r="395">
          <cell r="A395">
            <v>53</v>
          </cell>
          <cell r="B395">
            <v>46151</v>
          </cell>
          <cell r="C395">
            <v>20</v>
          </cell>
          <cell r="D395" t="str">
            <v xml:space="preserve">الخزينة </v>
          </cell>
        </row>
        <row r="396">
          <cell r="A396">
            <v>53</v>
          </cell>
          <cell r="B396">
            <v>46151</v>
          </cell>
          <cell r="C396">
            <v>20</v>
          </cell>
          <cell r="D396" t="str">
            <v xml:space="preserve">الخزينة </v>
          </cell>
        </row>
        <row r="397">
          <cell r="A397">
            <v>67</v>
          </cell>
          <cell r="B397">
            <v>46151</v>
          </cell>
          <cell r="C397">
            <v>20</v>
          </cell>
          <cell r="D397" t="str">
            <v xml:space="preserve">الخزينة </v>
          </cell>
        </row>
        <row r="398">
          <cell r="A398">
            <v>66</v>
          </cell>
          <cell r="B398">
            <v>46151</v>
          </cell>
          <cell r="C398">
            <v>20</v>
          </cell>
          <cell r="D398" t="str">
            <v xml:space="preserve">الخزينة </v>
          </cell>
        </row>
        <row r="399">
          <cell r="A399">
            <v>54</v>
          </cell>
          <cell r="B399">
            <v>46151</v>
          </cell>
          <cell r="C399">
            <v>20</v>
          </cell>
          <cell r="D399" t="str">
            <v xml:space="preserve">الخزينة </v>
          </cell>
        </row>
        <row r="400">
          <cell r="A400">
            <v>55</v>
          </cell>
          <cell r="B400">
            <v>46151</v>
          </cell>
          <cell r="C400">
            <v>20</v>
          </cell>
          <cell r="D400" t="str">
            <v xml:space="preserve">الخزينة </v>
          </cell>
        </row>
        <row r="401">
          <cell r="A401">
            <v>64</v>
          </cell>
          <cell r="B401">
            <v>46151</v>
          </cell>
          <cell r="C401">
            <v>20</v>
          </cell>
          <cell r="D401" t="str">
            <v xml:space="preserve">الخزينة </v>
          </cell>
        </row>
        <row r="402">
          <cell r="A402">
            <v>64</v>
          </cell>
          <cell r="B402">
            <v>46151</v>
          </cell>
          <cell r="C402">
            <v>20</v>
          </cell>
          <cell r="D402" t="str">
            <v xml:space="preserve">الخزينة </v>
          </cell>
        </row>
        <row r="403">
          <cell r="A403">
            <v>64</v>
          </cell>
          <cell r="B403">
            <v>46151</v>
          </cell>
          <cell r="C403">
            <v>20</v>
          </cell>
          <cell r="D403" t="str">
            <v xml:space="preserve">الخزينة </v>
          </cell>
        </row>
        <row r="404">
          <cell r="A404">
            <v>63</v>
          </cell>
          <cell r="B404">
            <v>46151</v>
          </cell>
          <cell r="C404">
            <v>20</v>
          </cell>
          <cell r="D404" t="str">
            <v xml:space="preserve">الخزينة </v>
          </cell>
        </row>
        <row r="405">
          <cell r="A405">
            <v>63</v>
          </cell>
          <cell r="B405">
            <v>46151</v>
          </cell>
          <cell r="C405">
            <v>20</v>
          </cell>
          <cell r="D405" t="str">
            <v xml:space="preserve">الخزينة </v>
          </cell>
        </row>
        <row r="406">
          <cell r="A406">
            <v>60</v>
          </cell>
          <cell r="B406">
            <v>46151</v>
          </cell>
          <cell r="C406">
            <v>20</v>
          </cell>
          <cell r="D406" t="str">
            <v xml:space="preserve">الخزينة </v>
          </cell>
        </row>
        <row r="407">
          <cell r="A407">
            <v>91</v>
          </cell>
          <cell r="B407">
            <v>46148</v>
          </cell>
          <cell r="C407">
            <v>20</v>
          </cell>
          <cell r="D407" t="str">
            <v xml:space="preserve">الخزينة </v>
          </cell>
        </row>
        <row r="408">
          <cell r="A408">
            <v>5</v>
          </cell>
          <cell r="B408">
            <v>46148</v>
          </cell>
          <cell r="C408">
            <v>20</v>
          </cell>
          <cell r="D408" t="str">
            <v xml:space="preserve">الخزينة </v>
          </cell>
        </row>
        <row r="409">
          <cell r="A409">
            <v>24</v>
          </cell>
          <cell r="B409">
            <v>46148</v>
          </cell>
          <cell r="C409">
            <v>20</v>
          </cell>
          <cell r="D409" t="str">
            <v xml:space="preserve">الخزينة </v>
          </cell>
        </row>
        <row r="410">
          <cell r="A410">
            <v>26</v>
          </cell>
          <cell r="B410">
            <v>46148</v>
          </cell>
          <cell r="C410">
            <v>20</v>
          </cell>
          <cell r="D410" t="str">
            <v xml:space="preserve">الخزينة </v>
          </cell>
        </row>
        <row r="411">
          <cell r="A411">
            <v>27</v>
          </cell>
          <cell r="B411">
            <v>46148</v>
          </cell>
          <cell r="C411">
            <v>20</v>
          </cell>
          <cell r="D411" t="str">
            <v xml:space="preserve">الخزينة </v>
          </cell>
        </row>
        <row r="412">
          <cell r="A412">
            <v>27</v>
          </cell>
          <cell r="B412">
            <v>46148</v>
          </cell>
          <cell r="C412">
            <v>20</v>
          </cell>
          <cell r="D412" t="str">
            <v xml:space="preserve">الخزينة </v>
          </cell>
        </row>
        <row r="413">
          <cell r="A413">
            <v>84</v>
          </cell>
          <cell r="B413">
            <v>46148</v>
          </cell>
          <cell r="C413">
            <v>20</v>
          </cell>
          <cell r="D413" t="str">
            <v xml:space="preserve">الخزينة </v>
          </cell>
        </row>
        <row r="414">
          <cell r="A414">
            <v>78</v>
          </cell>
          <cell r="B414">
            <v>46148</v>
          </cell>
          <cell r="C414">
            <v>20</v>
          </cell>
          <cell r="D414" t="str">
            <v xml:space="preserve">الخزينة </v>
          </cell>
        </row>
        <row r="415">
          <cell r="A415">
            <v>37</v>
          </cell>
          <cell r="B415">
            <v>46148</v>
          </cell>
          <cell r="C415">
            <v>20</v>
          </cell>
          <cell r="D415" t="str">
            <v xml:space="preserve">الخزينة </v>
          </cell>
        </row>
        <row r="416">
          <cell r="A416">
            <v>37</v>
          </cell>
          <cell r="B416">
            <v>46148</v>
          </cell>
          <cell r="C416">
            <v>20</v>
          </cell>
          <cell r="D416" t="str">
            <v xml:space="preserve">الخزينة </v>
          </cell>
        </row>
        <row r="417">
          <cell r="A417">
            <v>76</v>
          </cell>
          <cell r="B417">
            <v>46148</v>
          </cell>
          <cell r="C417">
            <v>20</v>
          </cell>
          <cell r="D417" t="str">
            <v xml:space="preserve">الخزينة </v>
          </cell>
        </row>
        <row r="418">
          <cell r="A418">
            <v>75</v>
          </cell>
          <cell r="B418">
            <v>46148</v>
          </cell>
          <cell r="C418">
            <v>20</v>
          </cell>
          <cell r="D418" t="str">
            <v xml:space="preserve">الخزينة </v>
          </cell>
        </row>
        <row r="419">
          <cell r="A419">
            <v>42</v>
          </cell>
          <cell r="B419">
            <v>46148</v>
          </cell>
          <cell r="C419">
            <v>20</v>
          </cell>
          <cell r="D419" t="str">
            <v xml:space="preserve">الخزينة </v>
          </cell>
        </row>
        <row r="420">
          <cell r="A420">
            <v>51</v>
          </cell>
          <cell r="B420">
            <v>46148</v>
          </cell>
          <cell r="C420">
            <v>20</v>
          </cell>
          <cell r="D420" t="str">
            <v xml:space="preserve">الخزينة </v>
          </cell>
        </row>
        <row r="421">
          <cell r="A421">
            <v>55</v>
          </cell>
          <cell r="B421">
            <v>46148</v>
          </cell>
          <cell r="C421">
            <v>20</v>
          </cell>
          <cell r="D421" t="str">
            <v xml:space="preserve">الخزينة </v>
          </cell>
        </row>
        <row r="422">
          <cell r="A422">
            <v>63</v>
          </cell>
          <cell r="B422">
            <v>46148</v>
          </cell>
          <cell r="C422">
            <v>20</v>
          </cell>
          <cell r="D422" t="str">
            <v xml:space="preserve">الخزينة </v>
          </cell>
        </row>
        <row r="423">
          <cell r="A423">
            <v>60</v>
          </cell>
          <cell r="B423">
            <v>46148</v>
          </cell>
          <cell r="C423">
            <v>20</v>
          </cell>
          <cell r="D423" t="str">
            <v xml:space="preserve">الخزينة </v>
          </cell>
        </row>
        <row r="424">
          <cell r="A424">
            <v>14</v>
          </cell>
          <cell r="B424">
            <v>46147</v>
          </cell>
          <cell r="C424">
            <v>20</v>
          </cell>
          <cell r="D424" t="str">
            <v xml:space="preserve">الخزينة </v>
          </cell>
        </row>
        <row r="425">
          <cell r="A425">
            <v>14</v>
          </cell>
          <cell r="B425">
            <v>46147</v>
          </cell>
          <cell r="C425">
            <v>20</v>
          </cell>
          <cell r="D425" t="str">
            <v xml:space="preserve">الخزينة </v>
          </cell>
        </row>
        <row r="426">
          <cell r="A426">
            <v>14</v>
          </cell>
          <cell r="B426">
            <v>46147</v>
          </cell>
          <cell r="C426">
            <v>20</v>
          </cell>
          <cell r="D426" t="str">
            <v xml:space="preserve">الخزينة </v>
          </cell>
        </row>
        <row r="427">
          <cell r="A427">
            <v>14</v>
          </cell>
          <cell r="B427">
            <v>46147</v>
          </cell>
          <cell r="C427">
            <v>20</v>
          </cell>
          <cell r="D427" t="str">
            <v xml:space="preserve">الخزينة </v>
          </cell>
        </row>
        <row r="428">
          <cell r="A428">
            <v>14</v>
          </cell>
          <cell r="B428">
            <v>46147</v>
          </cell>
          <cell r="C428">
            <v>20</v>
          </cell>
          <cell r="D428" t="str">
            <v xml:space="preserve">الخزينة </v>
          </cell>
        </row>
        <row r="429">
          <cell r="A429">
            <v>88</v>
          </cell>
          <cell r="B429">
            <v>46147</v>
          </cell>
          <cell r="C429">
            <v>20</v>
          </cell>
          <cell r="D429" t="str">
            <v xml:space="preserve">الخزينة </v>
          </cell>
        </row>
        <row r="430">
          <cell r="A430">
            <v>87</v>
          </cell>
          <cell r="B430">
            <v>46147</v>
          </cell>
          <cell r="C430">
            <v>20</v>
          </cell>
          <cell r="D430" t="str">
            <v xml:space="preserve">الخزينة </v>
          </cell>
        </row>
        <row r="431">
          <cell r="A431">
            <v>84</v>
          </cell>
          <cell r="B431">
            <v>46147</v>
          </cell>
          <cell r="C431">
            <v>20</v>
          </cell>
          <cell r="D431" t="str">
            <v xml:space="preserve">الخزينة </v>
          </cell>
        </row>
        <row r="432">
          <cell r="A432">
            <v>75</v>
          </cell>
          <cell r="B432">
            <v>46147</v>
          </cell>
          <cell r="C432">
            <v>20</v>
          </cell>
          <cell r="D432" t="str">
            <v xml:space="preserve">الخزينة </v>
          </cell>
        </row>
        <row r="433">
          <cell r="A433">
            <v>75</v>
          </cell>
          <cell r="B433">
            <v>46147</v>
          </cell>
          <cell r="C433">
            <v>20</v>
          </cell>
          <cell r="D433" t="str">
            <v xml:space="preserve">الخزينة </v>
          </cell>
        </row>
        <row r="434">
          <cell r="A434">
            <v>70</v>
          </cell>
          <cell r="B434">
            <v>46147</v>
          </cell>
          <cell r="C434">
            <v>20</v>
          </cell>
          <cell r="D434" t="str">
            <v xml:space="preserve">الخزينة </v>
          </cell>
        </row>
        <row r="435">
          <cell r="A435">
            <v>70</v>
          </cell>
          <cell r="B435">
            <v>46147</v>
          </cell>
          <cell r="C435">
            <v>20</v>
          </cell>
          <cell r="D435" t="str">
            <v xml:space="preserve">الخزينة </v>
          </cell>
        </row>
        <row r="436">
          <cell r="A436">
            <v>53</v>
          </cell>
          <cell r="B436">
            <v>46147</v>
          </cell>
          <cell r="C436">
            <v>20</v>
          </cell>
          <cell r="D436" t="str">
            <v xml:space="preserve">الخزينة </v>
          </cell>
        </row>
        <row r="437">
          <cell r="A437">
            <v>53</v>
          </cell>
          <cell r="B437">
            <v>46147</v>
          </cell>
          <cell r="C437">
            <v>20</v>
          </cell>
          <cell r="D437" t="str">
            <v xml:space="preserve">الخزينة </v>
          </cell>
        </row>
        <row r="438">
          <cell r="A438">
            <v>67</v>
          </cell>
          <cell r="B438">
            <v>46147</v>
          </cell>
          <cell r="C438">
            <v>20</v>
          </cell>
          <cell r="D438" t="str">
            <v xml:space="preserve">الخزينة </v>
          </cell>
        </row>
        <row r="439">
          <cell r="A439">
            <v>66</v>
          </cell>
          <cell r="B439">
            <v>46147</v>
          </cell>
          <cell r="C439">
            <v>20</v>
          </cell>
          <cell r="D439" t="str">
            <v xml:space="preserve">الخزينة </v>
          </cell>
        </row>
        <row r="440">
          <cell r="A440">
            <v>54</v>
          </cell>
          <cell r="B440">
            <v>46147</v>
          </cell>
          <cell r="C440">
            <v>20</v>
          </cell>
          <cell r="D440" t="str">
            <v xml:space="preserve">الخزينة </v>
          </cell>
        </row>
        <row r="441">
          <cell r="A441">
            <v>54</v>
          </cell>
          <cell r="B441">
            <v>46147</v>
          </cell>
          <cell r="C441">
            <v>20</v>
          </cell>
          <cell r="D441" t="str">
            <v xml:space="preserve">الخزينة </v>
          </cell>
        </row>
        <row r="442">
          <cell r="A442">
            <v>54</v>
          </cell>
          <cell r="B442">
            <v>46147</v>
          </cell>
          <cell r="C442">
            <v>20</v>
          </cell>
          <cell r="D442" t="str">
            <v xml:space="preserve">الخزينة </v>
          </cell>
        </row>
        <row r="443">
          <cell r="A443">
            <v>64</v>
          </cell>
          <cell r="B443">
            <v>46147</v>
          </cell>
          <cell r="C443">
            <v>20</v>
          </cell>
          <cell r="D443" t="str">
            <v xml:space="preserve">الخزينة </v>
          </cell>
        </row>
        <row r="444">
          <cell r="A444">
            <v>63</v>
          </cell>
          <cell r="B444">
            <v>46147</v>
          </cell>
          <cell r="C444">
            <v>20</v>
          </cell>
          <cell r="D444" t="str">
            <v xml:space="preserve">الخزينة </v>
          </cell>
        </row>
        <row r="445">
          <cell r="A445">
            <v>59</v>
          </cell>
          <cell r="B445">
            <v>46147</v>
          </cell>
          <cell r="C445">
            <v>20</v>
          </cell>
          <cell r="D445" t="str">
            <v xml:space="preserve">الخزينة </v>
          </cell>
        </row>
        <row r="446">
          <cell r="A446">
            <v>63</v>
          </cell>
          <cell r="B446">
            <v>46147</v>
          </cell>
          <cell r="C446">
            <v>20</v>
          </cell>
          <cell r="D446" t="str">
            <v xml:space="preserve">الخزينة </v>
          </cell>
        </row>
        <row r="447">
          <cell r="A447">
            <v>2</v>
          </cell>
          <cell r="B447">
            <v>46146</v>
          </cell>
          <cell r="C447">
            <v>20</v>
          </cell>
          <cell r="D447" t="str">
            <v xml:space="preserve">الخزينة </v>
          </cell>
        </row>
        <row r="448">
          <cell r="A448">
            <v>9</v>
          </cell>
          <cell r="B448">
            <v>46146</v>
          </cell>
          <cell r="C448">
            <v>20</v>
          </cell>
          <cell r="D448" t="str">
            <v xml:space="preserve">الخزينة </v>
          </cell>
        </row>
        <row r="449">
          <cell r="A449">
            <v>26</v>
          </cell>
          <cell r="B449">
            <v>46146</v>
          </cell>
          <cell r="C449">
            <v>20</v>
          </cell>
          <cell r="D449" t="str">
            <v xml:space="preserve">الخزينة </v>
          </cell>
        </row>
        <row r="450">
          <cell r="A450">
            <v>70</v>
          </cell>
          <cell r="B450">
            <v>46146</v>
          </cell>
          <cell r="C450">
            <v>20</v>
          </cell>
          <cell r="D450" t="str">
            <v xml:space="preserve">الخزينة </v>
          </cell>
        </row>
        <row r="451">
          <cell r="A451">
            <v>68</v>
          </cell>
          <cell r="B451">
            <v>46146</v>
          </cell>
          <cell r="C451">
            <v>20</v>
          </cell>
          <cell r="D451" t="str">
            <v xml:space="preserve">الخزينة </v>
          </cell>
        </row>
        <row r="452">
          <cell r="A452">
            <v>67</v>
          </cell>
          <cell r="B452">
            <v>46146</v>
          </cell>
          <cell r="C452">
            <v>20</v>
          </cell>
          <cell r="D452" t="str">
            <v xml:space="preserve">الخزينة </v>
          </cell>
        </row>
        <row r="453">
          <cell r="A453">
            <v>53</v>
          </cell>
          <cell r="B453">
            <v>46146</v>
          </cell>
          <cell r="C453">
            <v>20</v>
          </cell>
          <cell r="D453" t="str">
            <v xml:space="preserve">الخزينة </v>
          </cell>
        </row>
        <row r="454">
          <cell r="A454">
            <v>53</v>
          </cell>
          <cell r="B454">
            <v>46146</v>
          </cell>
          <cell r="C454">
            <v>20</v>
          </cell>
          <cell r="D454" t="str">
            <v xml:space="preserve">الخزينة </v>
          </cell>
        </row>
        <row r="455">
          <cell r="A455">
            <v>67</v>
          </cell>
          <cell r="B455">
            <v>46146</v>
          </cell>
          <cell r="C455">
            <v>20</v>
          </cell>
          <cell r="D455" t="str">
            <v xml:space="preserve">الخزينة </v>
          </cell>
        </row>
        <row r="456">
          <cell r="A456">
            <v>55</v>
          </cell>
          <cell r="B456">
            <v>46146</v>
          </cell>
          <cell r="C456">
            <v>20</v>
          </cell>
          <cell r="D456" t="str">
            <v xml:space="preserve">الخزينة </v>
          </cell>
        </row>
        <row r="457">
          <cell r="A457">
            <v>90</v>
          </cell>
          <cell r="B457">
            <v>46145</v>
          </cell>
          <cell r="C457">
            <v>20</v>
          </cell>
          <cell r="D457" t="str">
            <v xml:space="preserve">الخزينة </v>
          </cell>
        </row>
        <row r="458">
          <cell r="A458">
            <v>87</v>
          </cell>
          <cell r="B458">
            <v>46145</v>
          </cell>
          <cell r="C458">
            <v>20</v>
          </cell>
          <cell r="D458" t="str">
            <v xml:space="preserve">الخزينة </v>
          </cell>
        </row>
        <row r="459">
          <cell r="A459">
            <v>86</v>
          </cell>
          <cell r="B459">
            <v>46145</v>
          </cell>
          <cell r="C459">
            <v>20</v>
          </cell>
          <cell r="D459" t="str">
            <v xml:space="preserve">الخزينة </v>
          </cell>
        </row>
        <row r="460">
          <cell r="A460">
            <v>84</v>
          </cell>
          <cell r="B460">
            <v>46145</v>
          </cell>
          <cell r="C460">
            <v>20</v>
          </cell>
          <cell r="D460" t="str">
            <v xml:space="preserve">الخزينة </v>
          </cell>
        </row>
        <row r="461">
          <cell r="A461">
            <v>67</v>
          </cell>
          <cell r="B461">
            <v>46145</v>
          </cell>
          <cell r="C461">
            <v>20</v>
          </cell>
          <cell r="D461" t="str">
            <v xml:space="preserve">الخزينة </v>
          </cell>
        </row>
        <row r="462">
          <cell r="A462">
            <v>53</v>
          </cell>
          <cell r="B462">
            <v>46145</v>
          </cell>
          <cell r="C462">
            <v>20</v>
          </cell>
          <cell r="D462" t="str">
            <v xml:space="preserve">الخزينة </v>
          </cell>
        </row>
        <row r="463">
          <cell r="A463">
            <v>90</v>
          </cell>
          <cell r="B463">
            <v>46144</v>
          </cell>
          <cell r="C463">
            <v>20</v>
          </cell>
          <cell r="D463" t="str">
            <v xml:space="preserve">الخزينة </v>
          </cell>
        </row>
        <row r="464">
          <cell r="A464">
            <v>90</v>
          </cell>
          <cell r="B464">
            <v>46144</v>
          </cell>
          <cell r="C464">
            <v>20</v>
          </cell>
          <cell r="D464" t="str">
            <v xml:space="preserve">الخزينة </v>
          </cell>
        </row>
        <row r="465">
          <cell r="A465">
            <v>90</v>
          </cell>
          <cell r="B465">
            <v>46144</v>
          </cell>
          <cell r="C465">
            <v>20</v>
          </cell>
          <cell r="D465" t="str">
            <v xml:space="preserve">الخزينة </v>
          </cell>
        </row>
        <row r="466">
          <cell r="A466">
            <v>23</v>
          </cell>
          <cell r="B466">
            <v>46144</v>
          </cell>
          <cell r="C466">
            <v>20</v>
          </cell>
          <cell r="D466" t="str">
            <v xml:space="preserve">الخزينة </v>
          </cell>
        </row>
        <row r="467">
          <cell r="A467">
            <v>88</v>
          </cell>
          <cell r="B467">
            <v>46144</v>
          </cell>
          <cell r="C467">
            <v>20</v>
          </cell>
          <cell r="D467" t="str">
            <v xml:space="preserve">الخزينة </v>
          </cell>
        </row>
        <row r="468">
          <cell r="A468">
            <v>26</v>
          </cell>
          <cell r="B468">
            <v>46144</v>
          </cell>
          <cell r="C468">
            <v>20</v>
          </cell>
          <cell r="D468" t="str">
            <v xml:space="preserve">الخزينة </v>
          </cell>
        </row>
        <row r="469">
          <cell r="A469">
            <v>26</v>
          </cell>
          <cell r="B469">
            <v>46144</v>
          </cell>
          <cell r="C469">
            <v>20</v>
          </cell>
          <cell r="D469" t="str">
            <v xml:space="preserve">الخزينة </v>
          </cell>
        </row>
        <row r="470">
          <cell r="A470">
            <v>84</v>
          </cell>
          <cell r="B470">
            <v>46144</v>
          </cell>
          <cell r="C470">
            <v>20</v>
          </cell>
          <cell r="D470" t="str">
            <v xml:space="preserve">الخزينة </v>
          </cell>
        </row>
        <row r="471">
          <cell r="A471">
            <v>37</v>
          </cell>
          <cell r="B471">
            <v>46144</v>
          </cell>
          <cell r="C471">
            <v>20</v>
          </cell>
          <cell r="D471" t="str">
            <v xml:space="preserve">الخزينة </v>
          </cell>
        </row>
        <row r="472">
          <cell r="A472">
            <v>37</v>
          </cell>
          <cell r="B472">
            <v>46144</v>
          </cell>
          <cell r="C472">
            <v>20</v>
          </cell>
          <cell r="D472" t="str">
            <v xml:space="preserve">الخزينة </v>
          </cell>
        </row>
        <row r="473">
          <cell r="A473">
            <v>75</v>
          </cell>
          <cell r="B473">
            <v>46144</v>
          </cell>
          <cell r="C473">
            <v>20</v>
          </cell>
          <cell r="D473" t="str">
            <v xml:space="preserve">الخزينة </v>
          </cell>
        </row>
        <row r="474">
          <cell r="A474">
            <v>75</v>
          </cell>
          <cell r="B474">
            <v>46144</v>
          </cell>
          <cell r="C474">
            <v>20</v>
          </cell>
          <cell r="D474" t="str">
            <v xml:space="preserve">الخزينة </v>
          </cell>
        </row>
        <row r="475">
          <cell r="A475">
            <v>68</v>
          </cell>
          <cell r="B475">
            <v>46144</v>
          </cell>
          <cell r="C475">
            <v>20</v>
          </cell>
          <cell r="D475" t="str">
            <v xml:space="preserve">الخزينة </v>
          </cell>
        </row>
        <row r="476">
          <cell r="A476">
            <v>67</v>
          </cell>
          <cell r="B476">
            <v>46144</v>
          </cell>
          <cell r="C476">
            <v>20</v>
          </cell>
          <cell r="D476" t="str">
            <v xml:space="preserve">الخزينة </v>
          </cell>
        </row>
        <row r="477">
          <cell r="A477">
            <v>67</v>
          </cell>
          <cell r="B477">
            <v>46144</v>
          </cell>
          <cell r="C477">
            <v>20</v>
          </cell>
          <cell r="D477" t="str">
            <v xml:space="preserve">الخزينة </v>
          </cell>
        </row>
        <row r="478">
          <cell r="A478">
            <v>53</v>
          </cell>
          <cell r="B478">
            <v>46144</v>
          </cell>
          <cell r="C478">
            <v>20</v>
          </cell>
          <cell r="D478" t="str">
            <v xml:space="preserve">الخزينة </v>
          </cell>
        </row>
        <row r="479">
          <cell r="A479">
            <v>53</v>
          </cell>
          <cell r="B479">
            <v>46144</v>
          </cell>
          <cell r="C479">
            <v>20</v>
          </cell>
          <cell r="D479" t="str">
            <v xml:space="preserve">الخزينة </v>
          </cell>
        </row>
        <row r="480">
          <cell r="A480">
            <v>53</v>
          </cell>
          <cell r="B480">
            <v>46144</v>
          </cell>
          <cell r="C480">
            <v>20</v>
          </cell>
          <cell r="D480" t="str">
            <v xml:space="preserve">الخزينة </v>
          </cell>
        </row>
        <row r="481">
          <cell r="A481">
            <v>53</v>
          </cell>
          <cell r="B481">
            <v>46144</v>
          </cell>
          <cell r="C481">
            <v>20</v>
          </cell>
          <cell r="D481" t="str">
            <v xml:space="preserve">الخزينة </v>
          </cell>
        </row>
        <row r="482">
          <cell r="A482">
            <v>67</v>
          </cell>
          <cell r="B482">
            <v>46144</v>
          </cell>
          <cell r="C482">
            <v>20</v>
          </cell>
          <cell r="D482" t="str">
            <v xml:space="preserve">الخزينة </v>
          </cell>
        </row>
        <row r="483">
          <cell r="A483">
            <v>54</v>
          </cell>
          <cell r="B483">
            <v>46144</v>
          </cell>
          <cell r="C483">
            <v>20</v>
          </cell>
          <cell r="D483" t="str">
            <v xml:space="preserve">الخزينة </v>
          </cell>
        </row>
        <row r="484">
          <cell r="A484">
            <v>63</v>
          </cell>
          <cell r="B484">
            <v>46144</v>
          </cell>
          <cell r="C484">
            <v>20</v>
          </cell>
          <cell r="D484" t="str">
            <v xml:space="preserve">الخزينة </v>
          </cell>
        </row>
        <row r="485">
          <cell r="A485">
            <v>63</v>
          </cell>
          <cell r="B485">
            <v>46144</v>
          </cell>
          <cell r="C485">
            <v>20</v>
          </cell>
          <cell r="D485" t="str">
            <v xml:space="preserve">الخزينة </v>
          </cell>
        </row>
        <row r="486">
          <cell r="A486">
            <v>63</v>
          </cell>
          <cell r="B486">
            <v>46144</v>
          </cell>
          <cell r="C486">
            <v>20</v>
          </cell>
          <cell r="D486" t="str">
            <v xml:space="preserve">الخزينة </v>
          </cell>
        </row>
        <row r="487">
          <cell r="A487">
            <v>63</v>
          </cell>
          <cell r="B487">
            <v>46144</v>
          </cell>
          <cell r="C487">
            <v>20</v>
          </cell>
          <cell r="D487" t="str">
            <v xml:space="preserve">الخزينة </v>
          </cell>
        </row>
        <row r="488">
          <cell r="A488">
            <v>63</v>
          </cell>
          <cell r="B488">
            <v>46144</v>
          </cell>
          <cell r="C488">
            <v>20</v>
          </cell>
          <cell r="D488" t="str">
            <v xml:space="preserve">الخزينة </v>
          </cell>
        </row>
        <row r="489">
          <cell r="A489">
            <v>63</v>
          </cell>
          <cell r="B489">
            <v>46144</v>
          </cell>
          <cell r="C489">
            <v>20</v>
          </cell>
          <cell r="D489" t="str">
            <v xml:space="preserve">الخزينة </v>
          </cell>
        </row>
        <row r="490">
          <cell r="A490">
            <v>63</v>
          </cell>
          <cell r="B490">
            <v>46144</v>
          </cell>
          <cell r="C490">
            <v>20</v>
          </cell>
          <cell r="D490" t="str">
            <v xml:space="preserve">الخزينة </v>
          </cell>
        </row>
        <row r="491">
          <cell r="A491">
            <v>60</v>
          </cell>
          <cell r="B491">
            <v>46144</v>
          </cell>
          <cell r="C491">
            <v>20</v>
          </cell>
          <cell r="D491" t="str">
            <v xml:space="preserve">الخزينة </v>
          </cell>
        </row>
        <row r="492">
          <cell r="A492">
            <v>60</v>
          </cell>
          <cell r="B492">
            <v>46144</v>
          </cell>
          <cell r="C492">
            <v>20</v>
          </cell>
          <cell r="D492" t="str">
            <v xml:space="preserve">الخزينة </v>
          </cell>
        </row>
        <row r="493">
          <cell r="A493">
            <v>61</v>
          </cell>
          <cell r="B493">
            <v>46144</v>
          </cell>
          <cell r="C493">
            <v>20</v>
          </cell>
          <cell r="D493" t="str">
            <v xml:space="preserve">الخزينة </v>
          </cell>
        </row>
        <row r="494">
          <cell r="A494">
            <v>24</v>
          </cell>
          <cell r="B494">
            <v>46142</v>
          </cell>
          <cell r="C494">
            <v>20</v>
          </cell>
          <cell r="D494" t="str">
            <v xml:space="preserve">الخزينة </v>
          </cell>
        </row>
        <row r="495">
          <cell r="A495">
            <v>27</v>
          </cell>
          <cell r="B495">
            <v>46142</v>
          </cell>
          <cell r="C495">
            <v>20</v>
          </cell>
          <cell r="D495" t="str">
            <v xml:space="preserve">الخزينة </v>
          </cell>
        </row>
        <row r="496">
          <cell r="A496">
            <v>33</v>
          </cell>
          <cell r="B496">
            <v>46142</v>
          </cell>
          <cell r="C496">
            <v>20</v>
          </cell>
          <cell r="D496" t="str">
            <v xml:space="preserve">الخزينة </v>
          </cell>
        </row>
        <row r="497">
          <cell r="A497">
            <v>75</v>
          </cell>
          <cell r="B497">
            <v>46142</v>
          </cell>
          <cell r="C497">
            <v>20</v>
          </cell>
          <cell r="D497" t="str">
            <v xml:space="preserve">الخزينة </v>
          </cell>
        </row>
        <row r="498">
          <cell r="A498">
            <v>40</v>
          </cell>
          <cell r="B498">
            <v>46142</v>
          </cell>
          <cell r="C498">
            <v>20</v>
          </cell>
          <cell r="D498" t="str">
            <v xml:space="preserve">الخزينة </v>
          </cell>
        </row>
        <row r="499">
          <cell r="A499">
            <v>53</v>
          </cell>
          <cell r="B499">
            <v>46142</v>
          </cell>
          <cell r="C499">
            <v>20</v>
          </cell>
          <cell r="D499" t="str">
            <v xml:space="preserve">الخزينة </v>
          </cell>
        </row>
        <row r="500">
          <cell r="A500">
            <v>66</v>
          </cell>
          <cell r="B500">
            <v>46142</v>
          </cell>
          <cell r="C500">
            <v>20</v>
          </cell>
          <cell r="D500" t="str">
            <v xml:space="preserve">الخزينة </v>
          </cell>
        </row>
        <row r="501">
          <cell r="A501">
            <v>66</v>
          </cell>
          <cell r="B501">
            <v>46142</v>
          </cell>
          <cell r="C501">
            <v>20</v>
          </cell>
          <cell r="D501" t="str">
            <v xml:space="preserve">الخزينة </v>
          </cell>
        </row>
        <row r="502">
          <cell r="A502">
            <v>66</v>
          </cell>
          <cell r="B502">
            <v>46142</v>
          </cell>
          <cell r="C502">
            <v>20</v>
          </cell>
          <cell r="D502" t="str">
            <v xml:space="preserve">الخزينة </v>
          </cell>
        </row>
        <row r="503">
          <cell r="A503">
            <v>66</v>
          </cell>
          <cell r="B503">
            <v>46142</v>
          </cell>
          <cell r="C503">
            <v>20</v>
          </cell>
          <cell r="D503" t="str">
            <v xml:space="preserve">الخزينة </v>
          </cell>
        </row>
        <row r="504">
          <cell r="A504">
            <v>66</v>
          </cell>
          <cell r="B504">
            <v>46142</v>
          </cell>
          <cell r="C504">
            <v>20</v>
          </cell>
          <cell r="D504" t="str">
            <v xml:space="preserve">الخزينة </v>
          </cell>
        </row>
        <row r="505">
          <cell r="A505">
            <v>66</v>
          </cell>
          <cell r="B505">
            <v>46142</v>
          </cell>
          <cell r="C505">
            <v>20</v>
          </cell>
          <cell r="D505" t="str">
            <v xml:space="preserve">الخزينة </v>
          </cell>
        </row>
        <row r="506">
          <cell r="A506">
            <v>64</v>
          </cell>
          <cell r="B506">
            <v>46142</v>
          </cell>
          <cell r="C506">
            <v>20</v>
          </cell>
          <cell r="D506" t="str">
            <v xml:space="preserve">الخزينة </v>
          </cell>
        </row>
        <row r="507">
          <cell r="A507">
            <v>64</v>
          </cell>
          <cell r="B507">
            <v>46142</v>
          </cell>
          <cell r="C507">
            <v>20</v>
          </cell>
          <cell r="D507" t="str">
            <v xml:space="preserve">الخزينة </v>
          </cell>
        </row>
        <row r="508">
          <cell r="A508">
            <v>63</v>
          </cell>
          <cell r="B508">
            <v>46142</v>
          </cell>
          <cell r="C508">
            <v>20</v>
          </cell>
          <cell r="D508" t="str">
            <v xml:space="preserve">الخزينة </v>
          </cell>
        </row>
        <row r="509">
          <cell r="A509">
            <v>59</v>
          </cell>
          <cell r="B509">
            <v>46142</v>
          </cell>
          <cell r="C509">
            <v>20</v>
          </cell>
          <cell r="D509" t="str">
            <v xml:space="preserve">الخزينة </v>
          </cell>
        </row>
        <row r="510">
          <cell r="A510">
            <v>59</v>
          </cell>
          <cell r="B510">
            <v>46142</v>
          </cell>
          <cell r="C510">
            <v>20</v>
          </cell>
          <cell r="D510" t="str">
            <v xml:space="preserve">الخزينة </v>
          </cell>
        </row>
        <row r="511">
          <cell r="A511">
            <v>64</v>
          </cell>
          <cell r="B511">
            <v>46141</v>
          </cell>
          <cell r="C511">
            <v>20</v>
          </cell>
          <cell r="D511" t="str">
            <v xml:space="preserve">الخزينة </v>
          </cell>
        </row>
        <row r="512">
          <cell r="A512">
            <v>59</v>
          </cell>
          <cell r="B512">
            <v>46141</v>
          </cell>
          <cell r="C512">
            <v>20</v>
          </cell>
          <cell r="D512" t="str">
            <v xml:space="preserve">الخزينة </v>
          </cell>
        </row>
        <row r="513">
          <cell r="A513">
            <v>90</v>
          </cell>
          <cell r="B513">
            <v>46139</v>
          </cell>
          <cell r="C513">
            <v>20</v>
          </cell>
          <cell r="D513" t="str">
            <v xml:space="preserve">الخزينة </v>
          </cell>
        </row>
        <row r="514">
          <cell r="A514">
            <v>90</v>
          </cell>
          <cell r="B514">
            <v>46139</v>
          </cell>
          <cell r="C514">
            <v>20</v>
          </cell>
          <cell r="D514" t="str">
            <v xml:space="preserve">الخزينة </v>
          </cell>
        </row>
        <row r="515">
          <cell r="A515">
            <v>88</v>
          </cell>
          <cell r="B515">
            <v>46139</v>
          </cell>
          <cell r="C515">
            <v>20</v>
          </cell>
          <cell r="D515" t="str">
            <v xml:space="preserve">الخزينة </v>
          </cell>
        </row>
        <row r="516">
          <cell r="A516">
            <v>36</v>
          </cell>
          <cell r="B516">
            <v>46139</v>
          </cell>
          <cell r="C516">
            <v>20</v>
          </cell>
          <cell r="D516" t="str">
            <v xml:space="preserve">الخزينة </v>
          </cell>
        </row>
        <row r="517">
          <cell r="A517">
            <v>79</v>
          </cell>
          <cell r="B517">
            <v>46139</v>
          </cell>
          <cell r="C517">
            <v>20</v>
          </cell>
          <cell r="D517" t="str">
            <v xml:space="preserve">الخزينة </v>
          </cell>
        </row>
        <row r="518">
          <cell r="A518">
            <v>77</v>
          </cell>
          <cell r="B518">
            <v>46139</v>
          </cell>
          <cell r="C518">
            <v>20</v>
          </cell>
          <cell r="D518" t="str">
            <v xml:space="preserve">الخزينة </v>
          </cell>
        </row>
        <row r="519">
          <cell r="A519">
            <v>42</v>
          </cell>
          <cell r="B519">
            <v>46139</v>
          </cell>
          <cell r="C519">
            <v>20</v>
          </cell>
          <cell r="D519" t="str">
            <v xml:space="preserve">الخزينة </v>
          </cell>
        </row>
        <row r="520">
          <cell r="A520">
            <v>46</v>
          </cell>
          <cell r="B520">
            <v>46139</v>
          </cell>
          <cell r="C520">
            <v>20</v>
          </cell>
          <cell r="D520" t="str">
            <v xml:space="preserve">الخزينة </v>
          </cell>
        </row>
        <row r="521">
          <cell r="A521">
            <v>67</v>
          </cell>
          <cell r="B521">
            <v>46139</v>
          </cell>
          <cell r="C521">
            <v>20</v>
          </cell>
          <cell r="D521" t="str">
            <v xml:space="preserve">الخزينة </v>
          </cell>
        </row>
        <row r="522">
          <cell r="A522">
            <v>67</v>
          </cell>
          <cell r="B522">
            <v>46139</v>
          </cell>
          <cell r="C522">
            <v>20</v>
          </cell>
          <cell r="D522" t="str">
            <v xml:space="preserve">الخزينة </v>
          </cell>
        </row>
        <row r="523">
          <cell r="A523">
            <v>53</v>
          </cell>
          <cell r="B523">
            <v>46139</v>
          </cell>
          <cell r="C523">
            <v>20</v>
          </cell>
          <cell r="D523" t="str">
            <v xml:space="preserve">الخزينة </v>
          </cell>
        </row>
        <row r="524">
          <cell r="A524">
            <v>53</v>
          </cell>
          <cell r="B524">
            <v>46139</v>
          </cell>
          <cell r="C524">
            <v>20</v>
          </cell>
          <cell r="D524" t="str">
            <v xml:space="preserve">الخزينة </v>
          </cell>
        </row>
        <row r="525">
          <cell r="A525">
            <v>67</v>
          </cell>
          <cell r="B525">
            <v>46139</v>
          </cell>
          <cell r="C525">
            <v>20</v>
          </cell>
          <cell r="D525" t="str">
            <v xml:space="preserve">الخزينة </v>
          </cell>
        </row>
        <row r="526">
          <cell r="A526">
            <v>64</v>
          </cell>
          <cell r="B526">
            <v>46139</v>
          </cell>
          <cell r="C526">
            <v>20</v>
          </cell>
          <cell r="D526" t="str">
            <v xml:space="preserve">الخزينة </v>
          </cell>
        </row>
        <row r="527">
          <cell r="A527">
            <v>63</v>
          </cell>
          <cell r="B527">
            <v>46139</v>
          </cell>
          <cell r="C527">
            <v>20</v>
          </cell>
          <cell r="D527" t="str">
            <v xml:space="preserve">الخزينة </v>
          </cell>
        </row>
        <row r="528">
          <cell r="A528">
            <v>59</v>
          </cell>
          <cell r="B528">
            <v>46139</v>
          </cell>
          <cell r="C528">
            <v>20</v>
          </cell>
          <cell r="D528" t="str">
            <v xml:space="preserve">الخزينة </v>
          </cell>
        </row>
        <row r="529">
          <cell r="A529">
            <v>59</v>
          </cell>
          <cell r="B529">
            <v>46139</v>
          </cell>
          <cell r="C529">
            <v>20</v>
          </cell>
          <cell r="D529" t="str">
            <v xml:space="preserve">الخزينة </v>
          </cell>
        </row>
        <row r="530">
          <cell r="A530">
            <v>59</v>
          </cell>
          <cell r="B530">
            <v>46139</v>
          </cell>
          <cell r="C530">
            <v>20</v>
          </cell>
          <cell r="D530" t="str">
            <v xml:space="preserve">الخزينة </v>
          </cell>
        </row>
        <row r="531">
          <cell r="A531">
            <v>90</v>
          </cell>
          <cell r="B531">
            <v>46138</v>
          </cell>
          <cell r="C531">
            <v>20</v>
          </cell>
          <cell r="D531" t="str">
            <v xml:space="preserve">الخزينة </v>
          </cell>
        </row>
        <row r="532">
          <cell r="A532">
            <v>19</v>
          </cell>
          <cell r="B532">
            <v>46138</v>
          </cell>
          <cell r="C532">
            <v>20</v>
          </cell>
          <cell r="D532" t="str">
            <v xml:space="preserve">الخزينة </v>
          </cell>
        </row>
        <row r="533">
          <cell r="A533">
            <v>79</v>
          </cell>
          <cell r="B533">
            <v>46138</v>
          </cell>
          <cell r="C533">
            <v>20</v>
          </cell>
          <cell r="D533" t="str">
            <v xml:space="preserve">الخزينة </v>
          </cell>
        </row>
        <row r="534">
          <cell r="A534">
            <v>79</v>
          </cell>
          <cell r="B534">
            <v>46138</v>
          </cell>
          <cell r="C534">
            <v>20</v>
          </cell>
          <cell r="D534" t="str">
            <v xml:space="preserve">الخزينة </v>
          </cell>
        </row>
        <row r="535">
          <cell r="A535">
            <v>78</v>
          </cell>
          <cell r="B535">
            <v>46138</v>
          </cell>
          <cell r="C535">
            <v>20</v>
          </cell>
          <cell r="D535" t="str">
            <v xml:space="preserve">الخزينة </v>
          </cell>
        </row>
        <row r="536">
          <cell r="A536">
            <v>53</v>
          </cell>
          <cell r="B536">
            <v>46138</v>
          </cell>
          <cell r="C536">
            <v>20</v>
          </cell>
          <cell r="D536" t="str">
            <v xml:space="preserve">الخزينة </v>
          </cell>
        </row>
        <row r="537">
          <cell r="A537">
            <v>54</v>
          </cell>
          <cell r="B537">
            <v>46138</v>
          </cell>
          <cell r="C537">
            <v>20</v>
          </cell>
          <cell r="D537" t="str">
            <v xml:space="preserve">الخزينة </v>
          </cell>
        </row>
        <row r="538">
          <cell r="A538">
            <v>59</v>
          </cell>
          <cell r="B538">
            <v>46138</v>
          </cell>
          <cell r="C538">
            <v>20</v>
          </cell>
          <cell r="D538" t="str">
            <v xml:space="preserve">الخزينة </v>
          </cell>
        </row>
        <row r="539">
          <cell r="A539">
            <v>3</v>
          </cell>
          <cell r="B539">
            <v>46135</v>
          </cell>
          <cell r="C539">
            <v>20</v>
          </cell>
          <cell r="D539" t="str">
            <v xml:space="preserve">الخزينة </v>
          </cell>
        </row>
        <row r="540">
          <cell r="A540">
            <v>3</v>
          </cell>
          <cell r="B540">
            <v>46135</v>
          </cell>
          <cell r="C540">
            <v>20</v>
          </cell>
          <cell r="D540" t="str">
            <v xml:space="preserve">الخزينة </v>
          </cell>
        </row>
        <row r="541">
          <cell r="A541">
            <v>8</v>
          </cell>
          <cell r="B541">
            <v>46135</v>
          </cell>
          <cell r="C541">
            <v>20</v>
          </cell>
          <cell r="D541" t="str">
            <v xml:space="preserve">الخزينة </v>
          </cell>
        </row>
        <row r="542">
          <cell r="A542">
            <v>11</v>
          </cell>
          <cell r="B542">
            <v>46135</v>
          </cell>
          <cell r="C542">
            <v>20</v>
          </cell>
          <cell r="D542" t="str">
            <v xml:space="preserve">الخزينة </v>
          </cell>
        </row>
        <row r="543">
          <cell r="A543">
            <v>12</v>
          </cell>
          <cell r="B543">
            <v>46135</v>
          </cell>
          <cell r="C543">
            <v>20</v>
          </cell>
          <cell r="D543" t="str">
            <v xml:space="preserve">الخزينة </v>
          </cell>
        </row>
        <row r="544">
          <cell r="A544">
            <v>14</v>
          </cell>
          <cell r="B544">
            <v>46135</v>
          </cell>
          <cell r="C544">
            <v>20</v>
          </cell>
          <cell r="D544" t="str">
            <v xml:space="preserve">الخزينة </v>
          </cell>
        </row>
        <row r="545">
          <cell r="A545">
            <v>14</v>
          </cell>
          <cell r="B545">
            <v>46135</v>
          </cell>
          <cell r="C545">
            <v>20</v>
          </cell>
          <cell r="D545" t="str">
            <v xml:space="preserve">الخزينة </v>
          </cell>
        </row>
        <row r="546">
          <cell r="A546">
            <v>14</v>
          </cell>
          <cell r="B546">
            <v>46135</v>
          </cell>
          <cell r="C546">
            <v>20</v>
          </cell>
          <cell r="D546" t="str">
            <v xml:space="preserve">الخزينة </v>
          </cell>
        </row>
        <row r="547">
          <cell r="A547">
            <v>15</v>
          </cell>
          <cell r="B547">
            <v>46135</v>
          </cell>
          <cell r="C547">
            <v>20</v>
          </cell>
          <cell r="D547" t="str">
            <v xml:space="preserve">الخزينة </v>
          </cell>
        </row>
        <row r="548">
          <cell r="A548">
            <v>16</v>
          </cell>
          <cell r="B548">
            <v>46135</v>
          </cell>
          <cell r="C548">
            <v>20</v>
          </cell>
          <cell r="D548" t="str">
            <v xml:space="preserve">الخزينة </v>
          </cell>
        </row>
        <row r="549">
          <cell r="A549">
            <v>16</v>
          </cell>
          <cell r="B549">
            <v>46135</v>
          </cell>
          <cell r="C549">
            <v>20</v>
          </cell>
          <cell r="D549" t="str">
            <v xml:space="preserve">الخزينة </v>
          </cell>
        </row>
        <row r="550">
          <cell r="A550">
            <v>16</v>
          </cell>
          <cell r="B550">
            <v>46135</v>
          </cell>
          <cell r="C550">
            <v>20</v>
          </cell>
          <cell r="D550" t="str">
            <v xml:space="preserve">الخزينة </v>
          </cell>
        </row>
        <row r="551">
          <cell r="A551">
            <v>22</v>
          </cell>
          <cell r="B551">
            <v>46135</v>
          </cell>
          <cell r="C551">
            <v>20</v>
          </cell>
          <cell r="D551" t="str">
            <v xml:space="preserve">الخزينة </v>
          </cell>
        </row>
        <row r="552">
          <cell r="A552">
            <v>24</v>
          </cell>
          <cell r="B552">
            <v>46135</v>
          </cell>
          <cell r="C552">
            <v>20</v>
          </cell>
          <cell r="D552" t="str">
            <v xml:space="preserve">الخزينة </v>
          </cell>
        </row>
        <row r="553">
          <cell r="A553">
            <v>88</v>
          </cell>
          <cell r="B553">
            <v>46135</v>
          </cell>
          <cell r="C553">
            <v>20</v>
          </cell>
          <cell r="D553" t="str">
            <v xml:space="preserve">الخزينة </v>
          </cell>
        </row>
        <row r="554">
          <cell r="A554">
            <v>88</v>
          </cell>
          <cell r="B554">
            <v>46135</v>
          </cell>
          <cell r="C554">
            <v>20</v>
          </cell>
          <cell r="D554" t="str">
            <v xml:space="preserve">الخزينة </v>
          </cell>
        </row>
        <row r="555">
          <cell r="A555">
            <v>27</v>
          </cell>
          <cell r="B555">
            <v>46135</v>
          </cell>
          <cell r="C555">
            <v>20</v>
          </cell>
          <cell r="D555" t="str">
            <v xml:space="preserve">الخزينة </v>
          </cell>
        </row>
        <row r="556">
          <cell r="A556">
            <v>27</v>
          </cell>
          <cell r="B556">
            <v>46135</v>
          </cell>
          <cell r="C556">
            <v>20</v>
          </cell>
          <cell r="D556" t="str">
            <v xml:space="preserve">الخزينة </v>
          </cell>
        </row>
        <row r="557">
          <cell r="A557">
            <v>32</v>
          </cell>
          <cell r="B557">
            <v>46135</v>
          </cell>
          <cell r="C557">
            <v>20</v>
          </cell>
          <cell r="D557" t="str">
            <v xml:space="preserve">الخزينة </v>
          </cell>
        </row>
        <row r="558">
          <cell r="A558">
            <v>33</v>
          </cell>
          <cell r="B558">
            <v>46135</v>
          </cell>
          <cell r="C558">
            <v>20</v>
          </cell>
          <cell r="D558" t="str">
            <v xml:space="preserve">الخزينة </v>
          </cell>
        </row>
        <row r="559">
          <cell r="A559">
            <v>82</v>
          </cell>
          <cell r="B559">
            <v>46135</v>
          </cell>
          <cell r="C559">
            <v>20</v>
          </cell>
          <cell r="D559" t="str">
            <v xml:space="preserve">الخزينة </v>
          </cell>
        </row>
        <row r="560">
          <cell r="A560">
            <v>78</v>
          </cell>
          <cell r="B560">
            <v>46135</v>
          </cell>
          <cell r="C560">
            <v>20</v>
          </cell>
          <cell r="D560" t="str">
            <v xml:space="preserve">الخزينة </v>
          </cell>
        </row>
        <row r="561">
          <cell r="A561">
            <v>40</v>
          </cell>
          <cell r="B561">
            <v>46135</v>
          </cell>
          <cell r="C561">
            <v>20</v>
          </cell>
          <cell r="D561" t="str">
            <v xml:space="preserve">الخزينة </v>
          </cell>
        </row>
        <row r="562">
          <cell r="A562">
            <v>40</v>
          </cell>
          <cell r="B562">
            <v>46135</v>
          </cell>
          <cell r="C562">
            <v>20</v>
          </cell>
          <cell r="D562" t="str">
            <v xml:space="preserve">الخزينة </v>
          </cell>
        </row>
        <row r="563">
          <cell r="A563">
            <v>51</v>
          </cell>
          <cell r="B563">
            <v>46135</v>
          </cell>
          <cell r="C563">
            <v>20</v>
          </cell>
          <cell r="D563" t="str">
            <v xml:space="preserve">الخزينة </v>
          </cell>
        </row>
        <row r="564">
          <cell r="A564">
            <v>68</v>
          </cell>
          <cell r="B564">
            <v>46135</v>
          </cell>
          <cell r="C564">
            <v>20</v>
          </cell>
          <cell r="D564" t="str">
            <v xml:space="preserve">الخزينة </v>
          </cell>
        </row>
        <row r="565">
          <cell r="A565">
            <v>68</v>
          </cell>
          <cell r="B565">
            <v>46135</v>
          </cell>
          <cell r="C565">
            <v>20</v>
          </cell>
          <cell r="D565" t="str">
            <v xml:space="preserve">الخزينة </v>
          </cell>
        </row>
        <row r="566">
          <cell r="A566">
            <v>53</v>
          </cell>
          <cell r="B566">
            <v>46135</v>
          </cell>
          <cell r="C566">
            <v>20</v>
          </cell>
          <cell r="D566" t="str">
            <v xml:space="preserve">الخزينة </v>
          </cell>
        </row>
        <row r="567">
          <cell r="A567">
            <v>53</v>
          </cell>
          <cell r="B567">
            <v>46135</v>
          </cell>
          <cell r="C567">
            <v>20</v>
          </cell>
          <cell r="D567" t="str">
            <v xml:space="preserve">الخزينة </v>
          </cell>
        </row>
        <row r="568">
          <cell r="A568">
            <v>66</v>
          </cell>
          <cell r="B568">
            <v>46135</v>
          </cell>
          <cell r="C568">
            <v>20</v>
          </cell>
          <cell r="D568" t="str">
            <v xml:space="preserve">الخزينة </v>
          </cell>
        </row>
        <row r="569">
          <cell r="A569">
            <v>66</v>
          </cell>
          <cell r="B569">
            <v>46135</v>
          </cell>
          <cell r="C569">
            <v>20</v>
          </cell>
          <cell r="D569" t="str">
            <v xml:space="preserve">الخزينة </v>
          </cell>
        </row>
        <row r="570">
          <cell r="A570">
            <v>66</v>
          </cell>
          <cell r="B570">
            <v>46135</v>
          </cell>
          <cell r="C570">
            <v>20</v>
          </cell>
          <cell r="D570" t="str">
            <v xml:space="preserve">الخزينة </v>
          </cell>
        </row>
        <row r="571">
          <cell r="A571">
            <v>63</v>
          </cell>
          <cell r="B571">
            <v>46135</v>
          </cell>
          <cell r="C571">
            <v>20</v>
          </cell>
          <cell r="D571" t="str">
            <v xml:space="preserve">الخزينة </v>
          </cell>
        </row>
        <row r="572">
          <cell r="A572">
            <v>59</v>
          </cell>
          <cell r="B572">
            <v>46135</v>
          </cell>
          <cell r="C572">
            <v>20</v>
          </cell>
          <cell r="D572" t="str">
            <v xml:space="preserve">الخزينة </v>
          </cell>
        </row>
        <row r="573">
          <cell r="A573">
            <v>63</v>
          </cell>
          <cell r="B573">
            <v>46135</v>
          </cell>
          <cell r="C573">
            <v>20</v>
          </cell>
          <cell r="D573" t="str">
            <v xml:space="preserve">الخزينة </v>
          </cell>
        </row>
        <row r="574">
          <cell r="A574">
            <v>63</v>
          </cell>
          <cell r="B574">
            <v>46135</v>
          </cell>
          <cell r="C574">
            <v>20</v>
          </cell>
          <cell r="D574" t="str">
            <v xml:space="preserve">الخزينة </v>
          </cell>
        </row>
        <row r="575">
          <cell r="A575">
            <v>63</v>
          </cell>
          <cell r="B575">
            <v>46135</v>
          </cell>
          <cell r="C575">
            <v>20</v>
          </cell>
          <cell r="D575" t="str">
            <v xml:space="preserve">الخزينة </v>
          </cell>
        </row>
        <row r="576">
          <cell r="A576">
            <v>90</v>
          </cell>
          <cell r="B576">
            <v>46134</v>
          </cell>
          <cell r="C576">
            <v>20</v>
          </cell>
          <cell r="D576" t="str">
            <v xml:space="preserve">الخزينة </v>
          </cell>
        </row>
        <row r="577">
          <cell r="A577">
            <v>90</v>
          </cell>
          <cell r="B577">
            <v>46134</v>
          </cell>
          <cell r="C577">
            <v>20</v>
          </cell>
          <cell r="D577" t="str">
            <v xml:space="preserve">الخزينة </v>
          </cell>
        </row>
        <row r="578">
          <cell r="A578">
            <v>90</v>
          </cell>
          <cell r="B578">
            <v>46134</v>
          </cell>
          <cell r="C578">
            <v>20</v>
          </cell>
          <cell r="D578" t="str">
            <v xml:space="preserve">الخزينة </v>
          </cell>
        </row>
        <row r="579">
          <cell r="A579">
            <v>53</v>
          </cell>
          <cell r="B579">
            <v>46134</v>
          </cell>
          <cell r="C579">
            <v>20</v>
          </cell>
          <cell r="D579" t="str">
            <v xml:space="preserve">الخزينة </v>
          </cell>
        </row>
        <row r="580">
          <cell r="A580">
            <v>53</v>
          </cell>
          <cell r="B580">
            <v>46134</v>
          </cell>
          <cell r="C580">
            <v>20</v>
          </cell>
          <cell r="D580" t="str">
            <v xml:space="preserve">الخزينة </v>
          </cell>
        </row>
        <row r="581">
          <cell r="A581">
            <v>54</v>
          </cell>
          <cell r="B581">
            <v>46134</v>
          </cell>
          <cell r="C581">
            <v>20</v>
          </cell>
          <cell r="D581" t="str">
            <v xml:space="preserve">الخزينة </v>
          </cell>
        </row>
        <row r="582">
          <cell r="A582">
            <v>64</v>
          </cell>
          <cell r="B582">
            <v>46134</v>
          </cell>
          <cell r="C582">
            <v>20</v>
          </cell>
          <cell r="D582" t="str">
            <v xml:space="preserve">الخزينة </v>
          </cell>
        </row>
        <row r="583">
          <cell r="A583">
            <v>64</v>
          </cell>
          <cell r="B583">
            <v>46134</v>
          </cell>
          <cell r="C583">
            <v>20</v>
          </cell>
          <cell r="D583" t="str">
            <v xml:space="preserve">الخزينة </v>
          </cell>
        </row>
        <row r="584">
          <cell r="A584">
            <v>2</v>
          </cell>
          <cell r="B584">
            <v>46133</v>
          </cell>
          <cell r="C584">
            <v>20</v>
          </cell>
          <cell r="D584" t="str">
            <v xml:space="preserve">الخزينة </v>
          </cell>
        </row>
        <row r="585">
          <cell r="A585">
            <v>88</v>
          </cell>
          <cell r="B585">
            <v>46133</v>
          </cell>
          <cell r="C585">
            <v>20</v>
          </cell>
          <cell r="D585" t="str">
            <v xml:space="preserve">الخزينة </v>
          </cell>
        </row>
        <row r="586">
          <cell r="A586">
            <v>37</v>
          </cell>
          <cell r="B586">
            <v>46133</v>
          </cell>
          <cell r="C586">
            <v>20</v>
          </cell>
          <cell r="D586" t="str">
            <v xml:space="preserve">الخزينة </v>
          </cell>
        </row>
        <row r="587">
          <cell r="A587">
            <v>37</v>
          </cell>
          <cell r="B587">
            <v>46133</v>
          </cell>
          <cell r="C587">
            <v>20</v>
          </cell>
          <cell r="D587" t="str">
            <v xml:space="preserve">الخزينة </v>
          </cell>
        </row>
        <row r="588">
          <cell r="A588">
            <v>68</v>
          </cell>
          <cell r="B588">
            <v>46133</v>
          </cell>
          <cell r="C588">
            <v>20</v>
          </cell>
          <cell r="D588" t="str">
            <v xml:space="preserve">الخزينة </v>
          </cell>
        </row>
        <row r="589">
          <cell r="A589">
            <v>67</v>
          </cell>
          <cell r="B589">
            <v>46133</v>
          </cell>
          <cell r="C589">
            <v>20</v>
          </cell>
          <cell r="D589" t="str">
            <v xml:space="preserve">الخزينة </v>
          </cell>
        </row>
        <row r="590">
          <cell r="A590">
            <v>53</v>
          </cell>
          <cell r="B590">
            <v>46133</v>
          </cell>
          <cell r="C590">
            <v>20</v>
          </cell>
          <cell r="D590" t="str">
            <v xml:space="preserve">الخزينة </v>
          </cell>
        </row>
        <row r="591">
          <cell r="A591">
            <v>53</v>
          </cell>
          <cell r="B591">
            <v>46133</v>
          </cell>
          <cell r="C591">
            <v>20</v>
          </cell>
          <cell r="D591" t="str">
            <v xml:space="preserve">الخزينة </v>
          </cell>
        </row>
        <row r="592">
          <cell r="A592">
            <v>53</v>
          </cell>
          <cell r="B592">
            <v>46133</v>
          </cell>
          <cell r="C592">
            <v>20</v>
          </cell>
          <cell r="D592" t="str">
            <v xml:space="preserve">الخزينة </v>
          </cell>
        </row>
        <row r="593">
          <cell r="A593">
            <v>53</v>
          </cell>
          <cell r="B593">
            <v>46133</v>
          </cell>
          <cell r="C593">
            <v>20</v>
          </cell>
          <cell r="D593" t="str">
            <v xml:space="preserve">الخزينة </v>
          </cell>
        </row>
        <row r="594">
          <cell r="A594">
            <v>53</v>
          </cell>
          <cell r="B594">
            <v>46133</v>
          </cell>
          <cell r="C594">
            <v>20</v>
          </cell>
          <cell r="D594" t="str">
            <v xml:space="preserve">الخزينة </v>
          </cell>
        </row>
        <row r="595">
          <cell r="A595">
            <v>53</v>
          </cell>
          <cell r="B595">
            <v>46133</v>
          </cell>
          <cell r="C595">
            <v>20</v>
          </cell>
          <cell r="D595" t="str">
            <v xml:space="preserve">الخزينة </v>
          </cell>
        </row>
        <row r="596">
          <cell r="A596">
            <v>66</v>
          </cell>
          <cell r="B596">
            <v>46133</v>
          </cell>
          <cell r="C596">
            <v>20</v>
          </cell>
          <cell r="D596" t="str">
            <v xml:space="preserve">الخزينة </v>
          </cell>
        </row>
        <row r="597">
          <cell r="A597">
            <v>66</v>
          </cell>
          <cell r="B597">
            <v>46133</v>
          </cell>
          <cell r="C597">
            <v>20</v>
          </cell>
          <cell r="D597" t="str">
            <v xml:space="preserve">الخزينة </v>
          </cell>
        </row>
        <row r="598">
          <cell r="A598">
            <v>66</v>
          </cell>
          <cell r="B598">
            <v>46133</v>
          </cell>
          <cell r="C598">
            <v>20</v>
          </cell>
          <cell r="D598" t="str">
            <v xml:space="preserve">الخزينة </v>
          </cell>
        </row>
        <row r="599">
          <cell r="A599">
            <v>55</v>
          </cell>
          <cell r="B599">
            <v>46133</v>
          </cell>
          <cell r="C599">
            <v>20</v>
          </cell>
          <cell r="D599" t="str">
            <v xml:space="preserve">الخزينة </v>
          </cell>
        </row>
        <row r="600">
          <cell r="A600">
            <v>55</v>
          </cell>
          <cell r="B600">
            <v>46133</v>
          </cell>
          <cell r="C600">
            <v>20</v>
          </cell>
          <cell r="D600" t="str">
            <v xml:space="preserve">الخزينة </v>
          </cell>
        </row>
        <row r="601">
          <cell r="A601">
            <v>55</v>
          </cell>
          <cell r="B601">
            <v>46133</v>
          </cell>
          <cell r="C601">
            <v>20</v>
          </cell>
          <cell r="D601" t="str">
            <v xml:space="preserve">الخزينة </v>
          </cell>
        </row>
        <row r="602">
          <cell r="A602">
            <v>63</v>
          </cell>
          <cell r="B602">
            <v>46133</v>
          </cell>
          <cell r="C602">
            <v>20</v>
          </cell>
          <cell r="D602" t="str">
            <v xml:space="preserve">الخزينة </v>
          </cell>
        </row>
        <row r="603">
          <cell r="A603">
            <v>63</v>
          </cell>
          <cell r="B603">
            <v>46133</v>
          </cell>
          <cell r="C603">
            <v>20</v>
          </cell>
          <cell r="D603" t="str">
            <v xml:space="preserve">الخزينة </v>
          </cell>
        </row>
        <row r="604">
          <cell r="A604">
            <v>63</v>
          </cell>
          <cell r="B604">
            <v>46133</v>
          </cell>
          <cell r="C604">
            <v>20</v>
          </cell>
          <cell r="D604" t="str">
            <v xml:space="preserve">الخزينة </v>
          </cell>
        </row>
        <row r="605">
          <cell r="A605">
            <v>59</v>
          </cell>
          <cell r="B605">
            <v>46133</v>
          </cell>
          <cell r="C605">
            <v>20</v>
          </cell>
          <cell r="D605" t="str">
            <v xml:space="preserve">الخزينة </v>
          </cell>
        </row>
        <row r="606">
          <cell r="A606">
            <v>63</v>
          </cell>
          <cell r="B606">
            <v>46133</v>
          </cell>
          <cell r="C606">
            <v>20</v>
          </cell>
          <cell r="D606" t="str">
            <v xml:space="preserve">الخزينة </v>
          </cell>
        </row>
        <row r="607">
          <cell r="A607">
            <v>63</v>
          </cell>
          <cell r="B607">
            <v>46133</v>
          </cell>
          <cell r="C607">
            <v>20</v>
          </cell>
          <cell r="D607" t="str">
            <v xml:space="preserve">الخزينة </v>
          </cell>
        </row>
        <row r="608">
          <cell r="A608">
            <v>63</v>
          </cell>
          <cell r="B608">
            <v>46133</v>
          </cell>
          <cell r="C608">
            <v>20</v>
          </cell>
          <cell r="D608" t="str">
            <v xml:space="preserve">الخزينة </v>
          </cell>
        </row>
        <row r="609">
          <cell r="A609">
            <v>63</v>
          </cell>
          <cell r="B609">
            <v>46133</v>
          </cell>
          <cell r="C609">
            <v>20</v>
          </cell>
          <cell r="D609" t="str">
            <v xml:space="preserve">الخزينة </v>
          </cell>
        </row>
        <row r="610">
          <cell r="A610">
            <v>63</v>
          </cell>
          <cell r="B610">
            <v>46133</v>
          </cell>
          <cell r="C610">
            <v>20</v>
          </cell>
          <cell r="D610" t="str">
            <v xml:space="preserve">الخزينة </v>
          </cell>
        </row>
        <row r="611">
          <cell r="A611">
            <v>63</v>
          </cell>
          <cell r="B611">
            <v>46133</v>
          </cell>
          <cell r="C611">
            <v>20</v>
          </cell>
          <cell r="D611" t="str">
            <v xml:space="preserve">الخزينة </v>
          </cell>
        </row>
        <row r="612">
          <cell r="A612">
            <v>60</v>
          </cell>
          <cell r="B612">
            <v>46133</v>
          </cell>
          <cell r="C612">
            <v>20</v>
          </cell>
          <cell r="D612" t="str">
            <v xml:space="preserve">الخزينة </v>
          </cell>
        </row>
        <row r="613">
          <cell r="A613">
            <v>60</v>
          </cell>
          <cell r="B613">
            <v>46133</v>
          </cell>
          <cell r="C613">
            <v>20</v>
          </cell>
          <cell r="D613" t="str">
            <v xml:space="preserve">الخزينة </v>
          </cell>
        </row>
        <row r="614">
          <cell r="A614">
            <v>63</v>
          </cell>
          <cell r="B614">
            <v>46133</v>
          </cell>
          <cell r="C614">
            <v>20</v>
          </cell>
          <cell r="D614" t="str">
            <v xml:space="preserve">الخزينة </v>
          </cell>
        </row>
        <row r="615">
          <cell r="A615">
            <v>90</v>
          </cell>
          <cell r="B615">
            <v>46132</v>
          </cell>
          <cell r="C615">
            <v>20</v>
          </cell>
          <cell r="D615" t="str">
            <v xml:space="preserve">الخزينة </v>
          </cell>
        </row>
        <row r="616">
          <cell r="A616">
            <v>78</v>
          </cell>
          <cell r="B616">
            <v>46132</v>
          </cell>
          <cell r="C616">
            <v>20</v>
          </cell>
          <cell r="D616" t="str">
            <v xml:space="preserve">الخزينة </v>
          </cell>
        </row>
        <row r="617">
          <cell r="A617">
            <v>76</v>
          </cell>
          <cell r="B617">
            <v>46132</v>
          </cell>
          <cell r="C617">
            <v>20</v>
          </cell>
          <cell r="D617" t="str">
            <v xml:space="preserve">الخزينة </v>
          </cell>
        </row>
        <row r="618">
          <cell r="A618">
            <v>70</v>
          </cell>
          <cell r="B618">
            <v>46132</v>
          </cell>
          <cell r="C618">
            <v>20</v>
          </cell>
          <cell r="D618" t="str">
            <v xml:space="preserve">الخزينة </v>
          </cell>
        </row>
        <row r="619">
          <cell r="A619">
            <v>70</v>
          </cell>
          <cell r="B619">
            <v>46132</v>
          </cell>
          <cell r="C619">
            <v>20</v>
          </cell>
          <cell r="D619" t="str">
            <v xml:space="preserve">الخزينة </v>
          </cell>
        </row>
        <row r="620">
          <cell r="A620">
            <v>70</v>
          </cell>
          <cell r="B620">
            <v>46132</v>
          </cell>
          <cell r="C620">
            <v>20</v>
          </cell>
          <cell r="D620" t="str">
            <v xml:space="preserve">الخزينة </v>
          </cell>
        </row>
        <row r="621">
          <cell r="A621">
            <v>53</v>
          </cell>
          <cell r="B621">
            <v>46132</v>
          </cell>
          <cell r="C621">
            <v>20</v>
          </cell>
          <cell r="D621" t="str">
            <v xml:space="preserve">الخزينة </v>
          </cell>
        </row>
        <row r="622">
          <cell r="A622">
            <v>53</v>
          </cell>
          <cell r="B622">
            <v>46132</v>
          </cell>
          <cell r="C622">
            <v>20</v>
          </cell>
          <cell r="D622" t="str">
            <v xml:space="preserve">الخزينة </v>
          </cell>
        </row>
        <row r="623">
          <cell r="A623">
            <v>53</v>
          </cell>
          <cell r="B623">
            <v>46132</v>
          </cell>
          <cell r="C623">
            <v>20</v>
          </cell>
          <cell r="D623" t="str">
            <v xml:space="preserve">الخزينة </v>
          </cell>
        </row>
        <row r="624">
          <cell r="A624">
            <v>54</v>
          </cell>
          <cell r="B624">
            <v>46132</v>
          </cell>
          <cell r="C624">
            <v>20</v>
          </cell>
          <cell r="D624" t="str">
            <v xml:space="preserve">الخزينة </v>
          </cell>
        </row>
        <row r="625">
          <cell r="A625">
            <v>64</v>
          </cell>
          <cell r="B625">
            <v>46132</v>
          </cell>
          <cell r="C625">
            <v>20</v>
          </cell>
          <cell r="D625" t="str">
            <v xml:space="preserve">الخزينة </v>
          </cell>
        </row>
        <row r="626">
          <cell r="A626">
            <v>63</v>
          </cell>
          <cell r="B626">
            <v>46132</v>
          </cell>
          <cell r="C626">
            <v>20</v>
          </cell>
          <cell r="D626" t="str">
            <v xml:space="preserve">الخزينة </v>
          </cell>
        </row>
        <row r="627">
          <cell r="A627">
            <v>59</v>
          </cell>
          <cell r="B627">
            <v>46132</v>
          </cell>
          <cell r="C627">
            <v>20</v>
          </cell>
          <cell r="D627" t="str">
            <v xml:space="preserve">الخزينة </v>
          </cell>
        </row>
        <row r="628">
          <cell r="A628">
            <v>90</v>
          </cell>
          <cell r="B628">
            <v>46131</v>
          </cell>
          <cell r="C628">
            <v>20</v>
          </cell>
          <cell r="D628" t="str">
            <v xml:space="preserve">الخزينة </v>
          </cell>
        </row>
        <row r="629">
          <cell r="A629">
            <v>90</v>
          </cell>
          <cell r="B629">
            <v>46131</v>
          </cell>
          <cell r="C629">
            <v>20</v>
          </cell>
          <cell r="D629" t="str">
            <v xml:space="preserve">الخزينة </v>
          </cell>
        </row>
        <row r="630">
          <cell r="A630">
            <v>67</v>
          </cell>
          <cell r="B630">
            <v>46131</v>
          </cell>
          <cell r="C630">
            <v>20</v>
          </cell>
          <cell r="D630" t="str">
            <v xml:space="preserve">الخزينة </v>
          </cell>
        </row>
        <row r="631">
          <cell r="A631">
            <v>66</v>
          </cell>
          <cell r="B631">
            <v>46131</v>
          </cell>
          <cell r="C631">
            <v>20</v>
          </cell>
          <cell r="D631" t="str">
            <v xml:space="preserve">الخزينة </v>
          </cell>
        </row>
        <row r="632">
          <cell r="A632">
            <v>66</v>
          </cell>
          <cell r="B632">
            <v>46131</v>
          </cell>
          <cell r="C632">
            <v>20</v>
          </cell>
          <cell r="D632" t="str">
            <v xml:space="preserve">الخزينة </v>
          </cell>
        </row>
        <row r="633">
          <cell r="A633">
            <v>64</v>
          </cell>
          <cell r="B633">
            <v>46131</v>
          </cell>
          <cell r="C633">
            <v>20</v>
          </cell>
          <cell r="D633" t="str">
            <v xml:space="preserve">الخزينة </v>
          </cell>
        </row>
        <row r="634">
          <cell r="A634">
            <v>59</v>
          </cell>
          <cell r="B634">
            <v>46131</v>
          </cell>
          <cell r="C634">
            <v>20</v>
          </cell>
          <cell r="D634" t="str">
            <v xml:space="preserve">الخزينة </v>
          </cell>
        </row>
        <row r="635">
          <cell r="A635">
            <v>60</v>
          </cell>
          <cell r="B635">
            <v>46131</v>
          </cell>
          <cell r="C635">
            <v>20</v>
          </cell>
          <cell r="D635" t="str">
            <v xml:space="preserve">الخزينة </v>
          </cell>
        </row>
        <row r="636">
          <cell r="A636">
            <v>34</v>
          </cell>
          <cell r="B636">
            <v>46128</v>
          </cell>
          <cell r="C636">
            <v>20</v>
          </cell>
          <cell r="D636" t="str">
            <v xml:space="preserve">الخزينة </v>
          </cell>
        </row>
        <row r="637">
          <cell r="A637">
            <v>5</v>
          </cell>
          <cell r="B637">
            <v>46128</v>
          </cell>
          <cell r="C637">
            <v>20</v>
          </cell>
          <cell r="D637" t="str">
            <v xml:space="preserve">الخزينة </v>
          </cell>
        </row>
        <row r="638">
          <cell r="A638">
            <v>22</v>
          </cell>
          <cell r="B638">
            <v>46128</v>
          </cell>
          <cell r="C638">
            <v>20</v>
          </cell>
          <cell r="D638" t="str">
            <v xml:space="preserve">الخزينة </v>
          </cell>
        </row>
        <row r="639">
          <cell r="A639">
            <v>27</v>
          </cell>
          <cell r="B639">
            <v>46128</v>
          </cell>
          <cell r="C639">
            <v>20</v>
          </cell>
          <cell r="D639" t="str">
            <v xml:space="preserve">الخزينة </v>
          </cell>
        </row>
        <row r="640">
          <cell r="A640">
            <v>87</v>
          </cell>
          <cell r="B640">
            <v>46128</v>
          </cell>
          <cell r="C640">
            <v>20</v>
          </cell>
          <cell r="D640" t="str">
            <v xml:space="preserve">الخزينة </v>
          </cell>
        </row>
        <row r="641">
          <cell r="A641">
            <v>32</v>
          </cell>
          <cell r="B641">
            <v>46128</v>
          </cell>
          <cell r="C641">
            <v>20</v>
          </cell>
          <cell r="D641" t="str">
            <v xml:space="preserve">الخزينة </v>
          </cell>
        </row>
        <row r="642">
          <cell r="A642">
            <v>33</v>
          </cell>
          <cell r="B642">
            <v>46128</v>
          </cell>
          <cell r="C642">
            <v>20</v>
          </cell>
          <cell r="D642" t="str">
            <v xml:space="preserve">الخزينة </v>
          </cell>
        </row>
        <row r="643">
          <cell r="A643">
            <v>33</v>
          </cell>
          <cell r="B643">
            <v>46128</v>
          </cell>
          <cell r="C643">
            <v>20</v>
          </cell>
          <cell r="D643" t="str">
            <v xml:space="preserve">الخزينة </v>
          </cell>
        </row>
        <row r="644">
          <cell r="A644">
            <v>36</v>
          </cell>
          <cell r="B644">
            <v>46128</v>
          </cell>
          <cell r="C644">
            <v>20</v>
          </cell>
          <cell r="D644" t="str">
            <v xml:space="preserve">الخزينة </v>
          </cell>
        </row>
        <row r="645">
          <cell r="A645">
            <v>51</v>
          </cell>
          <cell r="B645">
            <v>46128</v>
          </cell>
          <cell r="C645">
            <v>20</v>
          </cell>
          <cell r="D645" t="str">
            <v xml:space="preserve">الخزينة </v>
          </cell>
        </row>
        <row r="646">
          <cell r="A646">
            <v>51</v>
          </cell>
          <cell r="B646">
            <v>46128</v>
          </cell>
          <cell r="C646">
            <v>20</v>
          </cell>
          <cell r="D646" t="str">
            <v xml:space="preserve">الخزينة </v>
          </cell>
        </row>
        <row r="647">
          <cell r="A647">
            <v>51</v>
          </cell>
          <cell r="B647">
            <v>46128</v>
          </cell>
          <cell r="C647">
            <v>20</v>
          </cell>
          <cell r="D647" t="str">
            <v xml:space="preserve">الخزينة </v>
          </cell>
        </row>
        <row r="648">
          <cell r="A648">
            <v>54</v>
          </cell>
          <cell r="B648">
            <v>46128</v>
          </cell>
          <cell r="C648">
            <v>20</v>
          </cell>
          <cell r="D648" t="str">
            <v xml:space="preserve">الخزينة </v>
          </cell>
        </row>
        <row r="649">
          <cell r="A649">
            <v>64</v>
          </cell>
          <cell r="B649">
            <v>46128</v>
          </cell>
          <cell r="C649">
            <v>20</v>
          </cell>
          <cell r="D649" t="str">
            <v xml:space="preserve">الخزينة </v>
          </cell>
        </row>
        <row r="650">
          <cell r="A650">
            <v>64</v>
          </cell>
          <cell r="B650">
            <v>46128</v>
          </cell>
          <cell r="C650">
            <v>20</v>
          </cell>
          <cell r="D650" t="str">
            <v xml:space="preserve">الخزينة </v>
          </cell>
        </row>
        <row r="651">
          <cell r="A651">
            <v>59</v>
          </cell>
          <cell r="B651">
            <v>46128</v>
          </cell>
          <cell r="C651">
            <v>20</v>
          </cell>
          <cell r="D651" t="str">
            <v xml:space="preserve">الخزينة </v>
          </cell>
        </row>
        <row r="652">
          <cell r="A652">
            <v>63</v>
          </cell>
          <cell r="B652">
            <v>46128</v>
          </cell>
          <cell r="C652">
            <v>20</v>
          </cell>
          <cell r="D652" t="str">
            <v xml:space="preserve">الخزينة </v>
          </cell>
        </row>
        <row r="653">
          <cell r="A653">
            <v>86</v>
          </cell>
          <cell r="B653">
            <v>46127</v>
          </cell>
          <cell r="C653">
            <v>20</v>
          </cell>
          <cell r="D653" t="str">
            <v xml:space="preserve">الخزينة </v>
          </cell>
        </row>
        <row r="654">
          <cell r="A654">
            <v>79</v>
          </cell>
          <cell r="B654">
            <v>46127</v>
          </cell>
          <cell r="C654">
            <v>20</v>
          </cell>
          <cell r="D654" t="str">
            <v xml:space="preserve">الخزينة </v>
          </cell>
        </row>
        <row r="655">
          <cell r="A655">
            <v>42</v>
          </cell>
          <cell r="B655">
            <v>46127</v>
          </cell>
          <cell r="C655">
            <v>20</v>
          </cell>
          <cell r="D655" t="str">
            <v xml:space="preserve">الخزينة </v>
          </cell>
        </row>
        <row r="656">
          <cell r="A656">
            <v>42</v>
          </cell>
          <cell r="B656">
            <v>46127</v>
          </cell>
          <cell r="C656">
            <v>20</v>
          </cell>
          <cell r="D656" t="str">
            <v xml:space="preserve">الخزينة </v>
          </cell>
        </row>
        <row r="657">
          <cell r="A657">
            <v>53</v>
          </cell>
          <cell r="B657">
            <v>46127</v>
          </cell>
          <cell r="C657">
            <v>20</v>
          </cell>
          <cell r="D657" t="str">
            <v xml:space="preserve">الخزينة </v>
          </cell>
        </row>
        <row r="658">
          <cell r="A658">
            <v>53</v>
          </cell>
          <cell r="B658">
            <v>46127</v>
          </cell>
          <cell r="C658">
            <v>20</v>
          </cell>
          <cell r="D658" t="str">
            <v xml:space="preserve">الخزينة </v>
          </cell>
        </row>
        <row r="659">
          <cell r="A659">
            <v>90</v>
          </cell>
          <cell r="B659">
            <v>46126</v>
          </cell>
          <cell r="C659">
            <v>20</v>
          </cell>
          <cell r="D659" t="str">
            <v xml:space="preserve">الخزينة </v>
          </cell>
        </row>
        <row r="660">
          <cell r="A660">
            <v>90</v>
          </cell>
          <cell r="B660">
            <v>46126</v>
          </cell>
          <cell r="C660">
            <v>20</v>
          </cell>
          <cell r="D660" t="str">
            <v xml:space="preserve">الخزينة </v>
          </cell>
        </row>
        <row r="661">
          <cell r="A661">
            <v>88</v>
          </cell>
          <cell r="B661">
            <v>46126</v>
          </cell>
          <cell r="C661">
            <v>20</v>
          </cell>
          <cell r="D661" t="str">
            <v xml:space="preserve">الخزينة </v>
          </cell>
        </row>
        <row r="662">
          <cell r="A662">
            <v>84</v>
          </cell>
          <cell r="B662">
            <v>46126</v>
          </cell>
          <cell r="C662">
            <v>20</v>
          </cell>
          <cell r="D662" t="str">
            <v xml:space="preserve">الخزينة </v>
          </cell>
        </row>
        <row r="663">
          <cell r="A663">
            <v>72</v>
          </cell>
          <cell r="B663">
            <v>46126</v>
          </cell>
          <cell r="C663">
            <v>20</v>
          </cell>
          <cell r="D663" t="str">
            <v xml:space="preserve">الخزينة </v>
          </cell>
        </row>
        <row r="664">
          <cell r="A664">
            <v>50</v>
          </cell>
          <cell r="B664">
            <v>46126</v>
          </cell>
          <cell r="C664">
            <v>20</v>
          </cell>
          <cell r="D664" t="str">
            <v xml:space="preserve">الخزينة </v>
          </cell>
        </row>
        <row r="665">
          <cell r="A665">
            <v>53</v>
          </cell>
          <cell r="B665">
            <v>46126</v>
          </cell>
          <cell r="C665">
            <v>20</v>
          </cell>
          <cell r="D665" t="str">
            <v xml:space="preserve">الخزينة </v>
          </cell>
        </row>
        <row r="666">
          <cell r="A666">
            <v>54</v>
          </cell>
          <cell r="B666">
            <v>46126</v>
          </cell>
          <cell r="C666">
            <v>20</v>
          </cell>
          <cell r="D666" t="str">
            <v xml:space="preserve">الخزينة </v>
          </cell>
        </row>
        <row r="667">
          <cell r="A667">
            <v>55</v>
          </cell>
          <cell r="B667">
            <v>46126</v>
          </cell>
          <cell r="C667">
            <v>20</v>
          </cell>
          <cell r="D667" t="str">
            <v xml:space="preserve">الخزينة </v>
          </cell>
        </row>
        <row r="668">
          <cell r="A668">
            <v>59</v>
          </cell>
          <cell r="B668">
            <v>46126</v>
          </cell>
          <cell r="C668">
            <v>20</v>
          </cell>
          <cell r="D668" t="str">
            <v xml:space="preserve">الخزينة </v>
          </cell>
        </row>
        <row r="669">
          <cell r="A669">
            <v>90</v>
          </cell>
          <cell r="B669">
            <v>46124</v>
          </cell>
          <cell r="C669">
            <v>20</v>
          </cell>
          <cell r="D669" t="str">
            <v xml:space="preserve">الخزينة </v>
          </cell>
        </row>
        <row r="670">
          <cell r="A670">
            <v>8</v>
          </cell>
          <cell r="B670">
            <v>46124</v>
          </cell>
          <cell r="C670">
            <v>20</v>
          </cell>
          <cell r="D670" t="str">
            <v xml:space="preserve">الخزينة </v>
          </cell>
        </row>
        <row r="671">
          <cell r="A671">
            <v>88</v>
          </cell>
          <cell r="B671">
            <v>46124</v>
          </cell>
          <cell r="C671">
            <v>20</v>
          </cell>
          <cell r="D671" t="str">
            <v xml:space="preserve">الخزينة </v>
          </cell>
        </row>
        <row r="672">
          <cell r="A672">
            <v>72</v>
          </cell>
          <cell r="B672">
            <v>46124</v>
          </cell>
          <cell r="C672">
            <v>20</v>
          </cell>
          <cell r="D672" t="str">
            <v xml:space="preserve">الخزينة </v>
          </cell>
        </row>
        <row r="673">
          <cell r="A673">
            <v>53</v>
          </cell>
          <cell r="B673">
            <v>46124</v>
          </cell>
          <cell r="C673">
            <v>20</v>
          </cell>
          <cell r="D673" t="str">
            <v xml:space="preserve">الخزينة </v>
          </cell>
        </row>
        <row r="674">
          <cell r="A674">
            <v>11</v>
          </cell>
          <cell r="B674">
            <v>46123</v>
          </cell>
          <cell r="C674">
            <v>20</v>
          </cell>
          <cell r="D674" t="str">
            <v xml:space="preserve">الخزينة </v>
          </cell>
        </row>
        <row r="675">
          <cell r="A675">
            <v>70</v>
          </cell>
          <cell r="B675">
            <v>46123</v>
          </cell>
          <cell r="C675">
            <v>20</v>
          </cell>
          <cell r="D675" t="str">
            <v xml:space="preserve">الخزينة </v>
          </cell>
        </row>
        <row r="676">
          <cell r="A676">
            <v>70</v>
          </cell>
          <cell r="B676">
            <v>46123</v>
          </cell>
          <cell r="C676">
            <v>20</v>
          </cell>
          <cell r="D676" t="str">
            <v xml:space="preserve">الخزينة </v>
          </cell>
        </row>
        <row r="677">
          <cell r="A677">
            <v>53</v>
          </cell>
          <cell r="B677">
            <v>46123</v>
          </cell>
          <cell r="C677">
            <v>20</v>
          </cell>
          <cell r="D677" t="str">
            <v xml:space="preserve">الخزينة </v>
          </cell>
        </row>
        <row r="678">
          <cell r="A678">
            <v>53</v>
          </cell>
          <cell r="B678">
            <v>46123</v>
          </cell>
          <cell r="C678">
            <v>20</v>
          </cell>
          <cell r="D678" t="str">
            <v xml:space="preserve">الخزينة </v>
          </cell>
        </row>
        <row r="679">
          <cell r="A679">
            <v>55</v>
          </cell>
          <cell r="B679">
            <v>46123</v>
          </cell>
          <cell r="C679">
            <v>20</v>
          </cell>
          <cell r="D679" t="str">
            <v xml:space="preserve">الخزينة </v>
          </cell>
        </row>
        <row r="680">
          <cell r="A680">
            <v>64</v>
          </cell>
          <cell r="B680">
            <v>46123</v>
          </cell>
          <cell r="C680">
            <v>20</v>
          </cell>
          <cell r="D680" t="str">
            <v xml:space="preserve">الخزينة </v>
          </cell>
        </row>
        <row r="681">
          <cell r="A681">
            <v>59</v>
          </cell>
          <cell r="B681">
            <v>46123</v>
          </cell>
          <cell r="C681">
            <v>20</v>
          </cell>
          <cell r="D681" t="str">
            <v xml:space="preserve">الخزينة </v>
          </cell>
        </row>
        <row r="682">
          <cell r="A682">
            <v>90</v>
          </cell>
          <cell r="B682">
            <v>46121</v>
          </cell>
          <cell r="C682">
            <v>20</v>
          </cell>
          <cell r="D682" t="str">
            <v xml:space="preserve">الخزينة </v>
          </cell>
        </row>
        <row r="683">
          <cell r="A683">
            <v>2</v>
          </cell>
          <cell r="B683">
            <v>46121</v>
          </cell>
          <cell r="C683">
            <v>20</v>
          </cell>
          <cell r="D683" t="str">
            <v xml:space="preserve">الخزينة </v>
          </cell>
        </row>
        <row r="684">
          <cell r="A684">
            <v>2</v>
          </cell>
          <cell r="B684">
            <v>46121</v>
          </cell>
          <cell r="C684">
            <v>20</v>
          </cell>
          <cell r="D684" t="str">
            <v xml:space="preserve">الخزينة </v>
          </cell>
        </row>
        <row r="685">
          <cell r="A685">
            <v>22</v>
          </cell>
          <cell r="B685">
            <v>46121</v>
          </cell>
          <cell r="C685">
            <v>20</v>
          </cell>
          <cell r="D685" t="str">
            <v xml:space="preserve">الخزينة </v>
          </cell>
        </row>
        <row r="686">
          <cell r="A686">
            <v>27</v>
          </cell>
          <cell r="B686">
            <v>46121</v>
          </cell>
          <cell r="C686">
            <v>20</v>
          </cell>
          <cell r="D686" t="str">
            <v xml:space="preserve">الخزينة </v>
          </cell>
        </row>
        <row r="687">
          <cell r="A687">
            <v>87</v>
          </cell>
          <cell r="B687">
            <v>46121</v>
          </cell>
          <cell r="C687">
            <v>20</v>
          </cell>
          <cell r="D687" t="str">
            <v xml:space="preserve">الخزينة </v>
          </cell>
        </row>
        <row r="688">
          <cell r="A688">
            <v>87</v>
          </cell>
          <cell r="B688">
            <v>46121</v>
          </cell>
          <cell r="C688">
            <v>20</v>
          </cell>
          <cell r="D688" t="str">
            <v xml:space="preserve">الخزينة </v>
          </cell>
        </row>
        <row r="689">
          <cell r="A689">
            <v>32</v>
          </cell>
          <cell r="B689">
            <v>46121</v>
          </cell>
          <cell r="C689">
            <v>20</v>
          </cell>
          <cell r="D689" t="str">
            <v xml:space="preserve">الخزينة </v>
          </cell>
        </row>
        <row r="690">
          <cell r="A690">
            <v>33</v>
          </cell>
          <cell r="B690">
            <v>46121</v>
          </cell>
          <cell r="C690">
            <v>20</v>
          </cell>
          <cell r="D690" t="str">
            <v xml:space="preserve">الخزينة </v>
          </cell>
        </row>
        <row r="691">
          <cell r="A691">
            <v>75</v>
          </cell>
          <cell r="B691">
            <v>46121</v>
          </cell>
          <cell r="C691">
            <v>20</v>
          </cell>
          <cell r="D691" t="str">
            <v xml:space="preserve">الخزينة </v>
          </cell>
        </row>
        <row r="692">
          <cell r="A692">
            <v>40</v>
          </cell>
          <cell r="B692">
            <v>46121</v>
          </cell>
          <cell r="C692">
            <v>20</v>
          </cell>
          <cell r="D692" t="str">
            <v xml:space="preserve">الخزينة </v>
          </cell>
        </row>
        <row r="693">
          <cell r="A693">
            <v>46</v>
          </cell>
          <cell r="B693">
            <v>46121</v>
          </cell>
          <cell r="C693">
            <v>20</v>
          </cell>
          <cell r="D693" t="str">
            <v xml:space="preserve">الخزينة </v>
          </cell>
        </row>
        <row r="694">
          <cell r="A694">
            <v>70</v>
          </cell>
          <cell r="B694">
            <v>46121</v>
          </cell>
          <cell r="C694">
            <v>20</v>
          </cell>
          <cell r="D694" t="str">
            <v xml:space="preserve">الخزينة </v>
          </cell>
        </row>
        <row r="695">
          <cell r="A695">
            <v>70</v>
          </cell>
          <cell r="B695">
            <v>46121</v>
          </cell>
          <cell r="C695">
            <v>20</v>
          </cell>
          <cell r="D695" t="str">
            <v xml:space="preserve">الخزينة </v>
          </cell>
        </row>
        <row r="696">
          <cell r="A696">
            <v>49</v>
          </cell>
          <cell r="B696">
            <v>46121</v>
          </cell>
          <cell r="C696">
            <v>20</v>
          </cell>
          <cell r="D696" t="str">
            <v xml:space="preserve">الخزينة </v>
          </cell>
        </row>
        <row r="697">
          <cell r="A697">
            <v>51</v>
          </cell>
          <cell r="B697">
            <v>46121</v>
          </cell>
          <cell r="C697">
            <v>20</v>
          </cell>
          <cell r="D697" t="str">
            <v xml:space="preserve">الخزينة </v>
          </cell>
        </row>
        <row r="698">
          <cell r="A698">
            <v>67</v>
          </cell>
          <cell r="B698">
            <v>46121</v>
          </cell>
          <cell r="C698">
            <v>20</v>
          </cell>
          <cell r="D698" t="str">
            <v xml:space="preserve">الخزينة </v>
          </cell>
        </row>
        <row r="699">
          <cell r="A699">
            <v>67</v>
          </cell>
          <cell r="B699">
            <v>46121</v>
          </cell>
          <cell r="C699">
            <v>20</v>
          </cell>
          <cell r="D699" t="str">
            <v xml:space="preserve">الخزينة </v>
          </cell>
        </row>
        <row r="700">
          <cell r="A700">
            <v>53</v>
          </cell>
          <cell r="B700">
            <v>46121</v>
          </cell>
          <cell r="C700">
            <v>20</v>
          </cell>
          <cell r="D700" t="str">
            <v xml:space="preserve">الخزينة </v>
          </cell>
        </row>
        <row r="701">
          <cell r="A701">
            <v>53</v>
          </cell>
          <cell r="B701">
            <v>46121</v>
          </cell>
          <cell r="C701">
            <v>20</v>
          </cell>
          <cell r="D701" t="str">
            <v xml:space="preserve">الخزينة </v>
          </cell>
        </row>
        <row r="702">
          <cell r="A702">
            <v>53</v>
          </cell>
          <cell r="B702">
            <v>46121</v>
          </cell>
          <cell r="C702">
            <v>20</v>
          </cell>
          <cell r="D702" t="str">
            <v xml:space="preserve">الخزينة </v>
          </cell>
        </row>
        <row r="703">
          <cell r="A703">
            <v>53</v>
          </cell>
          <cell r="B703">
            <v>46121</v>
          </cell>
          <cell r="C703">
            <v>20</v>
          </cell>
          <cell r="D703" t="str">
            <v xml:space="preserve">الخزينة </v>
          </cell>
        </row>
        <row r="704">
          <cell r="A704">
            <v>53</v>
          </cell>
          <cell r="B704">
            <v>46121</v>
          </cell>
          <cell r="C704">
            <v>20</v>
          </cell>
          <cell r="D704" t="str">
            <v xml:space="preserve">الخزينة </v>
          </cell>
        </row>
        <row r="705">
          <cell r="A705">
            <v>53</v>
          </cell>
          <cell r="B705">
            <v>46121</v>
          </cell>
          <cell r="C705">
            <v>20</v>
          </cell>
          <cell r="D705" t="str">
            <v xml:space="preserve">الخزينة </v>
          </cell>
        </row>
        <row r="706">
          <cell r="A706">
            <v>66</v>
          </cell>
          <cell r="B706">
            <v>46121</v>
          </cell>
          <cell r="C706">
            <v>20</v>
          </cell>
          <cell r="D706" t="str">
            <v xml:space="preserve">الخزينة </v>
          </cell>
        </row>
        <row r="707">
          <cell r="A707">
            <v>66</v>
          </cell>
          <cell r="B707">
            <v>46121</v>
          </cell>
          <cell r="C707">
            <v>20</v>
          </cell>
          <cell r="D707" t="str">
            <v xml:space="preserve">الخزينة </v>
          </cell>
        </row>
        <row r="708">
          <cell r="A708">
            <v>66</v>
          </cell>
          <cell r="B708">
            <v>46121</v>
          </cell>
          <cell r="C708">
            <v>20</v>
          </cell>
          <cell r="D708" t="str">
            <v xml:space="preserve">الخزينة </v>
          </cell>
        </row>
        <row r="709">
          <cell r="A709">
            <v>54</v>
          </cell>
          <cell r="B709">
            <v>46121</v>
          </cell>
          <cell r="C709">
            <v>20</v>
          </cell>
          <cell r="D709" t="str">
            <v xml:space="preserve">الخزينة </v>
          </cell>
        </row>
        <row r="710">
          <cell r="A710">
            <v>66</v>
          </cell>
          <cell r="B710">
            <v>46121</v>
          </cell>
          <cell r="C710">
            <v>20</v>
          </cell>
          <cell r="D710" t="str">
            <v xml:space="preserve">الخزينة </v>
          </cell>
        </row>
        <row r="711">
          <cell r="A711">
            <v>55</v>
          </cell>
          <cell r="B711">
            <v>46121</v>
          </cell>
          <cell r="C711">
            <v>20</v>
          </cell>
          <cell r="D711" t="str">
            <v xml:space="preserve">الخزينة </v>
          </cell>
        </row>
        <row r="712">
          <cell r="A712">
            <v>55</v>
          </cell>
          <cell r="B712">
            <v>46121</v>
          </cell>
          <cell r="C712">
            <v>20</v>
          </cell>
          <cell r="D712" t="str">
            <v xml:space="preserve">الخزينة </v>
          </cell>
        </row>
        <row r="713">
          <cell r="A713">
            <v>55</v>
          </cell>
          <cell r="B713">
            <v>46121</v>
          </cell>
          <cell r="C713">
            <v>20</v>
          </cell>
          <cell r="D713" t="str">
            <v xml:space="preserve">الخزينة </v>
          </cell>
        </row>
        <row r="714">
          <cell r="A714">
            <v>55</v>
          </cell>
          <cell r="B714">
            <v>46121</v>
          </cell>
          <cell r="C714">
            <v>20</v>
          </cell>
          <cell r="D714" t="str">
            <v xml:space="preserve">الخزينة </v>
          </cell>
        </row>
        <row r="715">
          <cell r="A715">
            <v>64</v>
          </cell>
          <cell r="B715">
            <v>46121</v>
          </cell>
          <cell r="C715">
            <v>20</v>
          </cell>
          <cell r="D715" t="str">
            <v xml:space="preserve">الخزينة </v>
          </cell>
        </row>
        <row r="716">
          <cell r="A716">
            <v>57</v>
          </cell>
          <cell r="B716">
            <v>46121</v>
          </cell>
          <cell r="C716">
            <v>20</v>
          </cell>
          <cell r="D716" t="str">
            <v xml:space="preserve">الخزينة </v>
          </cell>
        </row>
        <row r="717">
          <cell r="A717">
            <v>63</v>
          </cell>
          <cell r="B717">
            <v>46121</v>
          </cell>
          <cell r="C717">
            <v>20</v>
          </cell>
          <cell r="D717" t="str">
            <v xml:space="preserve">الخزينة </v>
          </cell>
        </row>
        <row r="718">
          <cell r="A718">
            <v>63</v>
          </cell>
          <cell r="B718">
            <v>46121</v>
          </cell>
          <cell r="C718">
            <v>20</v>
          </cell>
          <cell r="D718" t="str">
            <v xml:space="preserve">الخزينة </v>
          </cell>
        </row>
        <row r="719">
          <cell r="A719">
            <v>63</v>
          </cell>
          <cell r="B719">
            <v>46121</v>
          </cell>
          <cell r="C719">
            <v>20</v>
          </cell>
          <cell r="D719" t="str">
            <v xml:space="preserve">الخزينة </v>
          </cell>
        </row>
        <row r="720">
          <cell r="A720">
            <v>63</v>
          </cell>
          <cell r="B720">
            <v>46121</v>
          </cell>
          <cell r="C720">
            <v>20</v>
          </cell>
          <cell r="D720" t="str">
            <v xml:space="preserve">الخزينة </v>
          </cell>
        </row>
        <row r="721">
          <cell r="A721">
            <v>63</v>
          </cell>
          <cell r="B721">
            <v>46121</v>
          </cell>
          <cell r="C721">
            <v>20</v>
          </cell>
          <cell r="D721" t="str">
            <v xml:space="preserve">الخزينة </v>
          </cell>
        </row>
        <row r="722">
          <cell r="A722">
            <v>63</v>
          </cell>
          <cell r="B722">
            <v>46121</v>
          </cell>
          <cell r="C722">
            <v>20</v>
          </cell>
          <cell r="D722" t="str">
            <v xml:space="preserve">الخزينة </v>
          </cell>
        </row>
        <row r="723">
          <cell r="A723">
            <v>60</v>
          </cell>
          <cell r="B723">
            <v>46121</v>
          </cell>
          <cell r="C723">
            <v>20</v>
          </cell>
          <cell r="D723" t="str">
            <v xml:space="preserve">الخزينة </v>
          </cell>
        </row>
        <row r="724">
          <cell r="A724">
            <v>60</v>
          </cell>
          <cell r="B724">
            <v>46121</v>
          </cell>
          <cell r="C724">
            <v>20</v>
          </cell>
          <cell r="D724" t="str">
            <v xml:space="preserve">الخزينة </v>
          </cell>
        </row>
        <row r="725">
          <cell r="A725">
            <v>60</v>
          </cell>
          <cell r="B725">
            <v>46121</v>
          </cell>
          <cell r="C725">
            <v>20</v>
          </cell>
          <cell r="D725" t="str">
            <v xml:space="preserve">الخزينة </v>
          </cell>
        </row>
        <row r="726">
          <cell r="A726">
            <v>10</v>
          </cell>
          <cell r="B726">
            <v>46120</v>
          </cell>
          <cell r="C726">
            <v>20</v>
          </cell>
          <cell r="D726" t="str">
            <v xml:space="preserve">الخزينة </v>
          </cell>
        </row>
        <row r="727">
          <cell r="A727">
            <v>68</v>
          </cell>
          <cell r="B727">
            <v>46120</v>
          </cell>
          <cell r="C727">
            <v>20</v>
          </cell>
          <cell r="D727" t="str">
            <v xml:space="preserve">الخزينة </v>
          </cell>
        </row>
        <row r="728">
          <cell r="A728">
            <v>67</v>
          </cell>
          <cell r="B728">
            <v>46120</v>
          </cell>
          <cell r="C728">
            <v>20</v>
          </cell>
          <cell r="D728" t="str">
            <v xml:space="preserve">الخزينة </v>
          </cell>
        </row>
        <row r="729">
          <cell r="A729">
            <v>67</v>
          </cell>
          <cell r="B729">
            <v>46120</v>
          </cell>
          <cell r="C729">
            <v>20</v>
          </cell>
          <cell r="D729" t="str">
            <v xml:space="preserve">الخزينة </v>
          </cell>
        </row>
        <row r="730">
          <cell r="A730">
            <v>55</v>
          </cell>
          <cell r="B730">
            <v>46120</v>
          </cell>
          <cell r="C730">
            <v>20</v>
          </cell>
          <cell r="D730" t="str">
            <v xml:space="preserve">الخزينة </v>
          </cell>
        </row>
        <row r="731">
          <cell r="A731">
            <v>64</v>
          </cell>
          <cell r="B731">
            <v>46120</v>
          </cell>
          <cell r="C731">
            <v>20</v>
          </cell>
          <cell r="D731" t="str">
            <v xml:space="preserve">الخزينة </v>
          </cell>
        </row>
        <row r="732">
          <cell r="A732">
            <v>59</v>
          </cell>
          <cell r="B732">
            <v>46120</v>
          </cell>
          <cell r="C732">
            <v>20</v>
          </cell>
          <cell r="D732" t="str">
            <v xml:space="preserve">الخزينة </v>
          </cell>
        </row>
        <row r="733">
          <cell r="A733">
            <v>61</v>
          </cell>
          <cell r="B733">
            <v>46120</v>
          </cell>
          <cell r="C733">
            <v>20</v>
          </cell>
          <cell r="D733" t="str">
            <v xml:space="preserve">الخزينة </v>
          </cell>
        </row>
        <row r="734">
          <cell r="A734">
            <v>88</v>
          </cell>
          <cell r="B734">
            <v>46119</v>
          </cell>
          <cell r="C734">
            <v>20</v>
          </cell>
          <cell r="D734" t="str">
            <v xml:space="preserve">الخزينة </v>
          </cell>
        </row>
        <row r="735">
          <cell r="A735">
            <v>86</v>
          </cell>
          <cell r="B735">
            <v>46119</v>
          </cell>
          <cell r="C735">
            <v>20</v>
          </cell>
          <cell r="D735" t="str">
            <v xml:space="preserve">الخزينة </v>
          </cell>
        </row>
        <row r="736">
          <cell r="A736">
            <v>36</v>
          </cell>
          <cell r="B736">
            <v>46119</v>
          </cell>
          <cell r="C736">
            <v>20</v>
          </cell>
          <cell r="D736" t="str">
            <v xml:space="preserve">الخزينة </v>
          </cell>
        </row>
        <row r="737">
          <cell r="A737">
            <v>50</v>
          </cell>
          <cell r="B737">
            <v>46119</v>
          </cell>
          <cell r="C737">
            <v>20</v>
          </cell>
          <cell r="D737" t="str">
            <v xml:space="preserve">الخزينة </v>
          </cell>
        </row>
        <row r="738">
          <cell r="A738">
            <v>94</v>
          </cell>
          <cell r="B738">
            <v>46118</v>
          </cell>
          <cell r="C738">
            <v>20</v>
          </cell>
          <cell r="D738" t="str">
            <v xml:space="preserve">الخزينة </v>
          </cell>
        </row>
        <row r="739">
          <cell r="A739">
            <v>84</v>
          </cell>
          <cell r="B739">
            <v>46118</v>
          </cell>
          <cell r="C739">
            <v>20</v>
          </cell>
          <cell r="D739" t="str">
            <v xml:space="preserve">الخزينة </v>
          </cell>
        </row>
        <row r="740">
          <cell r="A740">
            <v>50</v>
          </cell>
          <cell r="B740">
            <v>46118</v>
          </cell>
          <cell r="C740">
            <v>20</v>
          </cell>
          <cell r="D740" t="str">
            <v xml:space="preserve">الخزينة </v>
          </cell>
        </row>
        <row r="741">
          <cell r="A741">
            <v>53</v>
          </cell>
          <cell r="B741">
            <v>46118</v>
          </cell>
          <cell r="C741">
            <v>20</v>
          </cell>
          <cell r="D741" t="str">
            <v xml:space="preserve">الخزينة </v>
          </cell>
        </row>
        <row r="742">
          <cell r="A742">
            <v>53</v>
          </cell>
          <cell r="B742">
            <v>46118</v>
          </cell>
          <cell r="C742">
            <v>20</v>
          </cell>
          <cell r="D742" t="str">
            <v xml:space="preserve">الخزينة </v>
          </cell>
        </row>
        <row r="743">
          <cell r="A743">
            <v>63</v>
          </cell>
          <cell r="B743">
            <v>46118</v>
          </cell>
          <cell r="C743">
            <v>20</v>
          </cell>
          <cell r="D743" t="str">
            <v xml:space="preserve">الخزينة </v>
          </cell>
        </row>
        <row r="744">
          <cell r="A744">
            <v>91</v>
          </cell>
          <cell r="B744">
            <v>46117</v>
          </cell>
          <cell r="C744">
            <v>20</v>
          </cell>
          <cell r="D744" t="str">
            <v xml:space="preserve">الخزينة </v>
          </cell>
        </row>
        <row r="745">
          <cell r="A745">
            <v>90</v>
          </cell>
          <cell r="B745">
            <v>46117</v>
          </cell>
          <cell r="C745">
            <v>20</v>
          </cell>
          <cell r="D745" t="str">
            <v xml:space="preserve">الخزينة </v>
          </cell>
        </row>
        <row r="746">
          <cell r="A746">
            <v>90</v>
          </cell>
          <cell r="B746">
            <v>46117</v>
          </cell>
          <cell r="C746">
            <v>20</v>
          </cell>
          <cell r="D746" t="str">
            <v xml:space="preserve">الخزينة </v>
          </cell>
        </row>
        <row r="747">
          <cell r="A747">
            <v>16</v>
          </cell>
          <cell r="B747">
            <v>46117</v>
          </cell>
          <cell r="C747">
            <v>20</v>
          </cell>
          <cell r="D747" t="str">
            <v xml:space="preserve">الخزينة </v>
          </cell>
        </row>
        <row r="748">
          <cell r="A748">
            <v>23</v>
          </cell>
          <cell r="B748">
            <v>46117</v>
          </cell>
          <cell r="C748">
            <v>20</v>
          </cell>
          <cell r="D748" t="str">
            <v xml:space="preserve">الخزينة </v>
          </cell>
        </row>
        <row r="749">
          <cell r="A749">
            <v>32</v>
          </cell>
          <cell r="B749">
            <v>46117</v>
          </cell>
          <cell r="C749">
            <v>20</v>
          </cell>
          <cell r="D749" t="str">
            <v xml:space="preserve">الخزينة </v>
          </cell>
        </row>
        <row r="750">
          <cell r="A750">
            <v>83</v>
          </cell>
          <cell r="B750">
            <v>46117</v>
          </cell>
          <cell r="C750">
            <v>20</v>
          </cell>
          <cell r="D750" t="str">
            <v xml:space="preserve">الخزينة </v>
          </cell>
        </row>
        <row r="751">
          <cell r="A751">
            <v>76</v>
          </cell>
          <cell r="B751">
            <v>46117</v>
          </cell>
          <cell r="C751">
            <v>20</v>
          </cell>
          <cell r="D751" t="str">
            <v xml:space="preserve">الخزينة </v>
          </cell>
        </row>
        <row r="752">
          <cell r="A752">
            <v>76</v>
          </cell>
          <cell r="B752">
            <v>46117</v>
          </cell>
          <cell r="C752">
            <v>20</v>
          </cell>
          <cell r="D752" t="str">
            <v xml:space="preserve">الخزينة </v>
          </cell>
        </row>
        <row r="753">
          <cell r="A753">
            <v>43</v>
          </cell>
          <cell r="B753">
            <v>46117</v>
          </cell>
          <cell r="C753">
            <v>20</v>
          </cell>
          <cell r="D753" t="str">
            <v xml:space="preserve">الخزينة </v>
          </cell>
        </row>
        <row r="754">
          <cell r="A754">
            <v>70</v>
          </cell>
          <cell r="B754">
            <v>46117</v>
          </cell>
          <cell r="C754">
            <v>20</v>
          </cell>
          <cell r="D754" t="str">
            <v xml:space="preserve">الخزينة </v>
          </cell>
        </row>
        <row r="755">
          <cell r="A755">
            <v>70</v>
          </cell>
          <cell r="B755">
            <v>46117</v>
          </cell>
          <cell r="C755">
            <v>20</v>
          </cell>
          <cell r="D755" t="str">
            <v xml:space="preserve">الخزينة </v>
          </cell>
        </row>
        <row r="756">
          <cell r="A756">
            <v>68</v>
          </cell>
          <cell r="B756">
            <v>46117</v>
          </cell>
          <cell r="C756">
            <v>20</v>
          </cell>
          <cell r="D756" t="str">
            <v xml:space="preserve">الخزينة </v>
          </cell>
        </row>
        <row r="757">
          <cell r="A757">
            <v>54</v>
          </cell>
          <cell r="B757">
            <v>46117</v>
          </cell>
          <cell r="C757">
            <v>20</v>
          </cell>
          <cell r="D757" t="str">
            <v xml:space="preserve">الخزينة </v>
          </cell>
        </row>
        <row r="758">
          <cell r="A758">
            <v>88</v>
          </cell>
          <cell r="B758">
            <v>46116</v>
          </cell>
          <cell r="C758">
            <v>20</v>
          </cell>
          <cell r="D758" t="str">
            <v xml:space="preserve">الخزينة </v>
          </cell>
        </row>
        <row r="759">
          <cell r="A759">
            <v>88</v>
          </cell>
          <cell r="B759">
            <v>46116</v>
          </cell>
          <cell r="C759">
            <v>20</v>
          </cell>
          <cell r="D759" t="str">
            <v xml:space="preserve">الخزينة </v>
          </cell>
        </row>
        <row r="760">
          <cell r="A760">
            <v>76</v>
          </cell>
          <cell r="B760">
            <v>46116</v>
          </cell>
          <cell r="C760">
            <v>20</v>
          </cell>
          <cell r="D760" t="str">
            <v xml:space="preserve">الخزينة </v>
          </cell>
        </row>
        <row r="761">
          <cell r="A761">
            <v>67</v>
          </cell>
          <cell r="B761">
            <v>46116</v>
          </cell>
          <cell r="C761">
            <v>20</v>
          </cell>
          <cell r="D761" t="str">
            <v xml:space="preserve">الخزينة </v>
          </cell>
        </row>
        <row r="762">
          <cell r="A762">
            <v>67</v>
          </cell>
          <cell r="B762">
            <v>46116</v>
          </cell>
          <cell r="C762">
            <v>20</v>
          </cell>
          <cell r="D762" t="str">
            <v xml:space="preserve">الخزينة </v>
          </cell>
        </row>
        <row r="763">
          <cell r="A763">
            <v>53</v>
          </cell>
          <cell r="B763">
            <v>46116</v>
          </cell>
          <cell r="C763">
            <v>20</v>
          </cell>
          <cell r="D763" t="str">
            <v xml:space="preserve">الخزينة </v>
          </cell>
        </row>
        <row r="764">
          <cell r="A764">
            <v>67</v>
          </cell>
          <cell r="B764">
            <v>46116</v>
          </cell>
          <cell r="C764">
            <v>20</v>
          </cell>
          <cell r="D764" t="str">
            <v xml:space="preserve">الخزينة </v>
          </cell>
        </row>
        <row r="765">
          <cell r="A765">
            <v>66</v>
          </cell>
          <cell r="B765">
            <v>46116</v>
          </cell>
          <cell r="C765">
            <v>20</v>
          </cell>
          <cell r="D765" t="str">
            <v xml:space="preserve">الخزينة </v>
          </cell>
        </row>
        <row r="766">
          <cell r="A766">
            <v>54</v>
          </cell>
          <cell r="B766">
            <v>46116</v>
          </cell>
          <cell r="C766">
            <v>20</v>
          </cell>
          <cell r="D766" t="str">
            <v xml:space="preserve">الخزينة </v>
          </cell>
        </row>
        <row r="767">
          <cell r="A767">
            <v>54</v>
          </cell>
          <cell r="B767">
            <v>46116</v>
          </cell>
          <cell r="C767">
            <v>20</v>
          </cell>
          <cell r="D767" t="str">
            <v xml:space="preserve">الخزينة </v>
          </cell>
        </row>
        <row r="768">
          <cell r="A768">
            <v>64</v>
          </cell>
          <cell r="B768">
            <v>46116</v>
          </cell>
          <cell r="C768">
            <v>20</v>
          </cell>
          <cell r="D768" t="str">
            <v xml:space="preserve">الخزينة </v>
          </cell>
        </row>
        <row r="769">
          <cell r="A769">
            <v>90</v>
          </cell>
          <cell r="B769">
            <v>46114</v>
          </cell>
          <cell r="C769">
            <v>20</v>
          </cell>
          <cell r="D769" t="str">
            <v xml:space="preserve">الخزينة </v>
          </cell>
        </row>
        <row r="770">
          <cell r="A770">
            <v>90</v>
          </cell>
          <cell r="B770">
            <v>46114</v>
          </cell>
          <cell r="C770">
            <v>20</v>
          </cell>
          <cell r="D770" t="str">
            <v xml:space="preserve">الخزينة </v>
          </cell>
        </row>
        <row r="771">
          <cell r="A771">
            <v>90</v>
          </cell>
          <cell r="B771">
            <v>46114</v>
          </cell>
          <cell r="C771">
            <v>20</v>
          </cell>
          <cell r="D771" t="str">
            <v xml:space="preserve">الخزينة </v>
          </cell>
        </row>
        <row r="772">
          <cell r="A772">
            <v>87</v>
          </cell>
          <cell r="B772">
            <v>46114</v>
          </cell>
          <cell r="C772">
            <v>20</v>
          </cell>
          <cell r="D772" t="str">
            <v xml:space="preserve">الخزينة </v>
          </cell>
        </row>
        <row r="773">
          <cell r="A773">
            <v>87</v>
          </cell>
          <cell r="B773">
            <v>46114</v>
          </cell>
          <cell r="C773">
            <v>20</v>
          </cell>
          <cell r="D773" t="str">
            <v xml:space="preserve">الخزينة </v>
          </cell>
        </row>
        <row r="774">
          <cell r="A774">
            <v>90</v>
          </cell>
          <cell r="B774">
            <v>46113</v>
          </cell>
          <cell r="C774">
            <v>20</v>
          </cell>
          <cell r="D774" t="str">
            <v xml:space="preserve">الخزينة </v>
          </cell>
        </row>
        <row r="775">
          <cell r="A775">
            <v>67</v>
          </cell>
          <cell r="B775">
            <v>46113</v>
          </cell>
          <cell r="C775">
            <v>20</v>
          </cell>
          <cell r="D775" t="str">
            <v xml:space="preserve">الخزينة </v>
          </cell>
        </row>
        <row r="776">
          <cell r="A776">
            <v>67</v>
          </cell>
          <cell r="B776">
            <v>46113</v>
          </cell>
          <cell r="C776">
            <v>20</v>
          </cell>
          <cell r="D776" t="str">
            <v xml:space="preserve">الخزينة </v>
          </cell>
        </row>
        <row r="777">
          <cell r="A777">
            <v>53</v>
          </cell>
          <cell r="B777">
            <v>46113</v>
          </cell>
          <cell r="C777">
            <v>20</v>
          </cell>
          <cell r="D777" t="str">
            <v xml:space="preserve">الخزينة </v>
          </cell>
        </row>
        <row r="778">
          <cell r="A778">
            <v>76</v>
          </cell>
          <cell r="B778">
            <v>46112</v>
          </cell>
          <cell r="C778">
            <v>20</v>
          </cell>
          <cell r="D778" t="str">
            <v xml:space="preserve">الخزينة </v>
          </cell>
        </row>
        <row r="779">
          <cell r="A779">
            <v>54</v>
          </cell>
          <cell r="B779">
            <v>46112</v>
          </cell>
          <cell r="C779">
            <v>20</v>
          </cell>
          <cell r="D779" t="str">
            <v xml:space="preserve">الخزينة </v>
          </cell>
        </row>
        <row r="780">
          <cell r="A780">
            <v>54</v>
          </cell>
          <cell r="B780">
            <v>46112</v>
          </cell>
          <cell r="C780">
            <v>20</v>
          </cell>
          <cell r="D780" t="str">
            <v xml:space="preserve">الخزينة </v>
          </cell>
        </row>
        <row r="781">
          <cell r="A781">
            <v>63</v>
          </cell>
          <cell r="B781">
            <v>46112</v>
          </cell>
          <cell r="C781">
            <v>20</v>
          </cell>
          <cell r="D781" t="str">
            <v xml:space="preserve">الخزينة </v>
          </cell>
        </row>
        <row r="782">
          <cell r="A782">
            <v>82</v>
          </cell>
          <cell r="B782">
            <v>46111</v>
          </cell>
          <cell r="C782">
            <v>20</v>
          </cell>
          <cell r="D782" t="str">
            <v xml:space="preserve">الخزينة </v>
          </cell>
        </row>
        <row r="783">
          <cell r="A783">
            <v>53</v>
          </cell>
          <cell r="B783">
            <v>46111</v>
          </cell>
          <cell r="C783">
            <v>20</v>
          </cell>
          <cell r="D783" t="str">
            <v xml:space="preserve">الخزينة </v>
          </cell>
        </row>
        <row r="784">
          <cell r="A784">
            <v>53</v>
          </cell>
          <cell r="B784">
            <v>46111</v>
          </cell>
          <cell r="C784">
            <v>20</v>
          </cell>
          <cell r="D784" t="str">
            <v xml:space="preserve">الخزينة </v>
          </cell>
        </row>
        <row r="785">
          <cell r="A785">
            <v>53</v>
          </cell>
          <cell r="B785">
            <v>46111</v>
          </cell>
          <cell r="C785">
            <v>20</v>
          </cell>
          <cell r="D785" t="str">
            <v xml:space="preserve">الخزينة </v>
          </cell>
        </row>
        <row r="786">
          <cell r="A786">
            <v>53</v>
          </cell>
          <cell r="B786">
            <v>46111</v>
          </cell>
          <cell r="C786">
            <v>20</v>
          </cell>
          <cell r="D786" t="str">
            <v xml:space="preserve">الخزينة </v>
          </cell>
        </row>
        <row r="787">
          <cell r="A787">
            <v>55</v>
          </cell>
          <cell r="B787">
            <v>46111</v>
          </cell>
          <cell r="C787">
            <v>20</v>
          </cell>
          <cell r="D787" t="str">
            <v xml:space="preserve">الخزينة </v>
          </cell>
        </row>
        <row r="788">
          <cell r="A788">
            <v>56</v>
          </cell>
          <cell r="B788">
            <v>46111</v>
          </cell>
          <cell r="C788">
            <v>20</v>
          </cell>
          <cell r="D788" t="str">
            <v xml:space="preserve">الخزينة </v>
          </cell>
        </row>
        <row r="789">
          <cell r="A789">
            <v>88</v>
          </cell>
          <cell r="B789">
            <v>46110</v>
          </cell>
          <cell r="C789">
            <v>20</v>
          </cell>
          <cell r="D789" t="str">
            <v xml:space="preserve">الخزينة </v>
          </cell>
        </row>
        <row r="790">
          <cell r="A790">
            <v>68</v>
          </cell>
          <cell r="B790">
            <v>46110</v>
          </cell>
          <cell r="C790">
            <v>20</v>
          </cell>
          <cell r="D790" t="str">
            <v xml:space="preserve">الخزينة </v>
          </cell>
        </row>
        <row r="791">
          <cell r="A791">
            <v>54</v>
          </cell>
          <cell r="B791">
            <v>46110</v>
          </cell>
          <cell r="C791">
            <v>20</v>
          </cell>
          <cell r="D791" t="str">
            <v xml:space="preserve">الخزينة </v>
          </cell>
        </row>
        <row r="792">
          <cell r="A792">
            <v>91</v>
          </cell>
          <cell r="B792">
            <v>46109</v>
          </cell>
          <cell r="C792">
            <v>20</v>
          </cell>
          <cell r="D792" t="str">
            <v xml:space="preserve">الخزينة </v>
          </cell>
        </row>
        <row r="793">
          <cell r="A793">
            <v>90</v>
          </cell>
          <cell r="B793">
            <v>46109</v>
          </cell>
          <cell r="C793">
            <v>20</v>
          </cell>
          <cell r="D793" t="str">
            <v xml:space="preserve">الخزينة </v>
          </cell>
        </row>
        <row r="794">
          <cell r="A794">
            <v>90</v>
          </cell>
          <cell r="B794">
            <v>46109</v>
          </cell>
          <cell r="C794">
            <v>20</v>
          </cell>
          <cell r="D794" t="str">
            <v xml:space="preserve">الخزينة </v>
          </cell>
        </row>
        <row r="795">
          <cell r="A795">
            <v>87</v>
          </cell>
          <cell r="B795">
            <v>46109</v>
          </cell>
          <cell r="C795">
            <v>20</v>
          </cell>
          <cell r="D795" t="str">
            <v xml:space="preserve">الخزينة </v>
          </cell>
        </row>
        <row r="796">
          <cell r="A796">
            <v>87</v>
          </cell>
          <cell r="B796">
            <v>46109</v>
          </cell>
          <cell r="C796">
            <v>20</v>
          </cell>
          <cell r="D796" t="str">
            <v xml:space="preserve">الخزينة </v>
          </cell>
        </row>
        <row r="797">
          <cell r="A797">
            <v>79</v>
          </cell>
          <cell r="B797">
            <v>46109</v>
          </cell>
          <cell r="C797">
            <v>20</v>
          </cell>
          <cell r="D797" t="str">
            <v xml:space="preserve">الخزينة </v>
          </cell>
        </row>
        <row r="798">
          <cell r="A798">
            <v>76</v>
          </cell>
          <cell r="B798">
            <v>46109</v>
          </cell>
          <cell r="C798">
            <v>20</v>
          </cell>
          <cell r="D798" t="str">
            <v xml:space="preserve">الخزينة </v>
          </cell>
        </row>
        <row r="799">
          <cell r="A799">
            <v>76</v>
          </cell>
          <cell r="B799">
            <v>46109</v>
          </cell>
          <cell r="C799">
            <v>20</v>
          </cell>
          <cell r="D799" t="str">
            <v xml:space="preserve">الخزينة </v>
          </cell>
        </row>
        <row r="800">
          <cell r="A800">
            <v>75</v>
          </cell>
          <cell r="B800">
            <v>46109</v>
          </cell>
          <cell r="C800">
            <v>20</v>
          </cell>
          <cell r="D800" t="str">
            <v xml:space="preserve">الخزينة </v>
          </cell>
        </row>
        <row r="801">
          <cell r="A801">
            <v>75</v>
          </cell>
          <cell r="B801">
            <v>46109</v>
          </cell>
          <cell r="C801">
            <v>20</v>
          </cell>
          <cell r="D801" t="str">
            <v xml:space="preserve">الخزينة </v>
          </cell>
        </row>
        <row r="802">
          <cell r="A802">
            <v>70</v>
          </cell>
          <cell r="B802">
            <v>46109</v>
          </cell>
          <cell r="C802">
            <v>20</v>
          </cell>
          <cell r="D802" t="str">
            <v xml:space="preserve">الخزينة </v>
          </cell>
        </row>
        <row r="803">
          <cell r="A803">
            <v>67</v>
          </cell>
          <cell r="B803">
            <v>46109</v>
          </cell>
          <cell r="C803">
            <v>20</v>
          </cell>
          <cell r="D803" t="str">
            <v xml:space="preserve">الخزينة </v>
          </cell>
        </row>
        <row r="804">
          <cell r="A804">
            <v>67</v>
          </cell>
          <cell r="B804">
            <v>46109</v>
          </cell>
          <cell r="C804">
            <v>20</v>
          </cell>
          <cell r="D804" t="str">
            <v xml:space="preserve">الخزينة </v>
          </cell>
        </row>
        <row r="805">
          <cell r="A805">
            <v>53</v>
          </cell>
          <cell r="B805">
            <v>46109</v>
          </cell>
          <cell r="C805">
            <v>20</v>
          </cell>
          <cell r="D805" t="str">
            <v xml:space="preserve">الخزينة </v>
          </cell>
        </row>
        <row r="806">
          <cell r="A806">
            <v>66</v>
          </cell>
          <cell r="B806">
            <v>46109</v>
          </cell>
          <cell r="C806">
            <v>20</v>
          </cell>
          <cell r="D806" t="str">
            <v xml:space="preserve">الخزينة </v>
          </cell>
        </row>
        <row r="807">
          <cell r="A807">
            <v>66</v>
          </cell>
          <cell r="B807">
            <v>46109</v>
          </cell>
          <cell r="C807">
            <v>20</v>
          </cell>
          <cell r="D807" t="str">
            <v xml:space="preserve">الخزينة </v>
          </cell>
        </row>
        <row r="808">
          <cell r="A808">
            <v>90</v>
          </cell>
          <cell r="B808">
            <v>46099</v>
          </cell>
          <cell r="C808">
            <v>20</v>
          </cell>
          <cell r="D808" t="str">
            <v xml:space="preserve">الخزينة </v>
          </cell>
        </row>
        <row r="809">
          <cell r="A809">
            <v>3</v>
          </cell>
          <cell r="B809">
            <v>46099</v>
          </cell>
          <cell r="C809">
            <v>20</v>
          </cell>
          <cell r="D809" t="str">
            <v xml:space="preserve">الخزينة </v>
          </cell>
        </row>
        <row r="810">
          <cell r="A810">
            <v>5</v>
          </cell>
          <cell r="B810">
            <v>46099</v>
          </cell>
          <cell r="C810">
            <v>20</v>
          </cell>
          <cell r="D810" t="str">
            <v xml:space="preserve">الخزينة </v>
          </cell>
        </row>
        <row r="811">
          <cell r="A811">
            <v>11</v>
          </cell>
          <cell r="B811">
            <v>46099</v>
          </cell>
          <cell r="C811">
            <v>20</v>
          </cell>
          <cell r="D811" t="str">
            <v xml:space="preserve">الخزينة </v>
          </cell>
        </row>
        <row r="812">
          <cell r="A812">
            <v>17</v>
          </cell>
          <cell r="B812">
            <v>46099</v>
          </cell>
          <cell r="C812">
            <v>20</v>
          </cell>
          <cell r="D812" t="str">
            <v xml:space="preserve">الخزينة </v>
          </cell>
        </row>
        <row r="813">
          <cell r="A813">
            <v>17</v>
          </cell>
          <cell r="B813">
            <v>46099</v>
          </cell>
          <cell r="C813">
            <v>20</v>
          </cell>
          <cell r="D813" t="str">
            <v xml:space="preserve">الخزينة </v>
          </cell>
        </row>
        <row r="814">
          <cell r="A814">
            <v>22</v>
          </cell>
          <cell r="B814">
            <v>46099</v>
          </cell>
          <cell r="C814">
            <v>20</v>
          </cell>
          <cell r="D814" t="str">
            <v xml:space="preserve">الخزينة </v>
          </cell>
        </row>
        <row r="815">
          <cell r="A815">
            <v>88</v>
          </cell>
          <cell r="B815">
            <v>46099</v>
          </cell>
          <cell r="C815">
            <v>20</v>
          </cell>
          <cell r="D815" t="str">
            <v xml:space="preserve">الخزينة </v>
          </cell>
        </row>
        <row r="816">
          <cell r="A816">
            <v>27</v>
          </cell>
          <cell r="B816">
            <v>46099</v>
          </cell>
          <cell r="C816">
            <v>20</v>
          </cell>
          <cell r="D816" t="str">
            <v xml:space="preserve">الخزينة </v>
          </cell>
        </row>
        <row r="817">
          <cell r="A817">
            <v>27</v>
          </cell>
          <cell r="B817">
            <v>46099</v>
          </cell>
          <cell r="C817">
            <v>20</v>
          </cell>
          <cell r="D817" t="str">
            <v xml:space="preserve">الخزينة </v>
          </cell>
        </row>
        <row r="818">
          <cell r="A818">
            <v>27</v>
          </cell>
          <cell r="B818">
            <v>46099</v>
          </cell>
          <cell r="C818">
            <v>20</v>
          </cell>
          <cell r="D818" t="str">
            <v xml:space="preserve">الخزينة </v>
          </cell>
        </row>
        <row r="819">
          <cell r="A819">
            <v>27</v>
          </cell>
          <cell r="B819">
            <v>46099</v>
          </cell>
          <cell r="C819">
            <v>20</v>
          </cell>
          <cell r="D819" t="str">
            <v xml:space="preserve">الخزينة </v>
          </cell>
        </row>
        <row r="820">
          <cell r="A820">
            <v>32</v>
          </cell>
          <cell r="B820">
            <v>46099</v>
          </cell>
          <cell r="C820">
            <v>20</v>
          </cell>
          <cell r="D820" t="str">
            <v xml:space="preserve">الخزينة </v>
          </cell>
        </row>
        <row r="821">
          <cell r="A821">
            <v>32</v>
          </cell>
          <cell r="B821">
            <v>46099</v>
          </cell>
          <cell r="C821">
            <v>20</v>
          </cell>
          <cell r="D821" t="str">
            <v xml:space="preserve">الخزينة </v>
          </cell>
        </row>
        <row r="822">
          <cell r="A822">
            <v>86</v>
          </cell>
          <cell r="B822">
            <v>46099</v>
          </cell>
          <cell r="C822">
            <v>20</v>
          </cell>
          <cell r="D822" t="str">
            <v xml:space="preserve">الخزينة </v>
          </cell>
        </row>
        <row r="823">
          <cell r="A823">
            <v>33</v>
          </cell>
          <cell r="B823">
            <v>46099</v>
          </cell>
          <cell r="C823">
            <v>20</v>
          </cell>
          <cell r="D823" t="str">
            <v xml:space="preserve">الخزينة </v>
          </cell>
        </row>
        <row r="824">
          <cell r="A824">
            <v>38</v>
          </cell>
          <cell r="B824">
            <v>46099</v>
          </cell>
          <cell r="C824">
            <v>20</v>
          </cell>
          <cell r="D824" t="str">
            <v xml:space="preserve">الخزينة </v>
          </cell>
        </row>
        <row r="825">
          <cell r="A825">
            <v>40</v>
          </cell>
          <cell r="B825">
            <v>46099</v>
          </cell>
          <cell r="C825">
            <v>20</v>
          </cell>
          <cell r="D825" t="str">
            <v xml:space="preserve">الخزينة </v>
          </cell>
        </row>
        <row r="826">
          <cell r="A826">
            <v>40</v>
          </cell>
          <cell r="B826">
            <v>46099</v>
          </cell>
          <cell r="C826">
            <v>20</v>
          </cell>
          <cell r="D826" t="str">
            <v xml:space="preserve">الخزينة </v>
          </cell>
        </row>
        <row r="827">
          <cell r="A827">
            <v>40</v>
          </cell>
          <cell r="B827">
            <v>46099</v>
          </cell>
          <cell r="C827">
            <v>20</v>
          </cell>
          <cell r="D827" t="str">
            <v xml:space="preserve">الخزينة </v>
          </cell>
        </row>
        <row r="828">
          <cell r="A828">
            <v>51</v>
          </cell>
          <cell r="B828">
            <v>46099</v>
          </cell>
          <cell r="C828">
            <v>20</v>
          </cell>
          <cell r="D828" t="str">
            <v xml:space="preserve">الخزينة </v>
          </cell>
        </row>
        <row r="829">
          <cell r="A829">
            <v>51</v>
          </cell>
          <cell r="B829">
            <v>46099</v>
          </cell>
          <cell r="C829">
            <v>20</v>
          </cell>
          <cell r="D829" t="str">
            <v xml:space="preserve">الخزينة </v>
          </cell>
        </row>
        <row r="830">
          <cell r="A830">
            <v>53</v>
          </cell>
          <cell r="B830">
            <v>46099</v>
          </cell>
          <cell r="C830">
            <v>20</v>
          </cell>
          <cell r="D830" t="str">
            <v xml:space="preserve">الخزينة </v>
          </cell>
        </row>
        <row r="831">
          <cell r="A831">
            <v>54</v>
          </cell>
          <cell r="B831">
            <v>46099</v>
          </cell>
          <cell r="C831">
            <v>20</v>
          </cell>
          <cell r="D831" t="str">
            <v xml:space="preserve">الخزينة </v>
          </cell>
        </row>
        <row r="832">
          <cell r="A832">
            <v>54</v>
          </cell>
          <cell r="B832">
            <v>46099</v>
          </cell>
          <cell r="C832">
            <v>20</v>
          </cell>
          <cell r="D832" t="str">
            <v xml:space="preserve">الخزينة </v>
          </cell>
        </row>
        <row r="833">
          <cell r="A833">
            <v>54</v>
          </cell>
          <cell r="B833">
            <v>46099</v>
          </cell>
          <cell r="C833">
            <v>20</v>
          </cell>
          <cell r="D833" t="str">
            <v xml:space="preserve">الخزينة </v>
          </cell>
        </row>
        <row r="834">
          <cell r="A834">
            <v>64</v>
          </cell>
          <cell r="B834">
            <v>46099</v>
          </cell>
          <cell r="C834">
            <v>20</v>
          </cell>
          <cell r="D834" t="str">
            <v xml:space="preserve">الخزينة </v>
          </cell>
        </row>
        <row r="835">
          <cell r="A835">
            <v>64</v>
          </cell>
          <cell r="B835">
            <v>46099</v>
          </cell>
          <cell r="C835">
            <v>20</v>
          </cell>
          <cell r="D835" t="str">
            <v xml:space="preserve">الخزينة </v>
          </cell>
        </row>
        <row r="836">
          <cell r="A836">
            <v>59</v>
          </cell>
          <cell r="B836">
            <v>46099</v>
          </cell>
          <cell r="C836">
            <v>20</v>
          </cell>
          <cell r="D836" t="str">
            <v xml:space="preserve">الخزينة </v>
          </cell>
        </row>
        <row r="837">
          <cell r="A837">
            <v>59</v>
          </cell>
          <cell r="B837">
            <v>46099</v>
          </cell>
          <cell r="C837">
            <v>20</v>
          </cell>
          <cell r="D837" t="str">
            <v xml:space="preserve">الخزينة </v>
          </cell>
        </row>
        <row r="838">
          <cell r="A838">
            <v>63</v>
          </cell>
          <cell r="B838">
            <v>46099</v>
          </cell>
          <cell r="C838">
            <v>20</v>
          </cell>
          <cell r="D838" t="str">
            <v xml:space="preserve">الخزينة </v>
          </cell>
        </row>
        <row r="839">
          <cell r="A839">
            <v>90</v>
          </cell>
          <cell r="B839">
            <v>46098</v>
          </cell>
          <cell r="C839">
            <v>20</v>
          </cell>
          <cell r="D839" t="str">
            <v xml:space="preserve">الخزينة </v>
          </cell>
        </row>
        <row r="840">
          <cell r="A840">
            <v>2</v>
          </cell>
          <cell r="B840">
            <v>46098</v>
          </cell>
          <cell r="C840">
            <v>20</v>
          </cell>
          <cell r="D840" t="str">
            <v xml:space="preserve">الخزينة </v>
          </cell>
        </row>
        <row r="841">
          <cell r="A841">
            <v>21</v>
          </cell>
          <cell r="B841">
            <v>46098</v>
          </cell>
          <cell r="C841">
            <v>20</v>
          </cell>
          <cell r="D841" t="str">
            <v xml:space="preserve">الخزينة </v>
          </cell>
        </row>
        <row r="842">
          <cell r="A842">
            <v>53</v>
          </cell>
          <cell r="B842">
            <v>46098</v>
          </cell>
          <cell r="C842">
            <v>20</v>
          </cell>
          <cell r="D842" t="str">
            <v xml:space="preserve">الخزينة </v>
          </cell>
        </row>
        <row r="843">
          <cell r="A843">
            <v>53</v>
          </cell>
          <cell r="B843">
            <v>46098</v>
          </cell>
          <cell r="C843">
            <v>20</v>
          </cell>
          <cell r="D843" t="str">
            <v xml:space="preserve">الخزينة </v>
          </cell>
        </row>
        <row r="844">
          <cell r="A844">
            <v>54</v>
          </cell>
          <cell r="B844">
            <v>46098</v>
          </cell>
          <cell r="C844">
            <v>20</v>
          </cell>
          <cell r="D844" t="str">
            <v xml:space="preserve">الخزينة </v>
          </cell>
        </row>
        <row r="845">
          <cell r="A845">
            <v>54</v>
          </cell>
          <cell r="B845">
            <v>46098</v>
          </cell>
          <cell r="C845">
            <v>20</v>
          </cell>
          <cell r="D845" t="str">
            <v xml:space="preserve">الخزينة </v>
          </cell>
        </row>
        <row r="846">
          <cell r="A846">
            <v>59</v>
          </cell>
          <cell r="B846">
            <v>46098</v>
          </cell>
          <cell r="C846">
            <v>20</v>
          </cell>
          <cell r="D846" t="str">
            <v xml:space="preserve">الخزينة </v>
          </cell>
        </row>
        <row r="847">
          <cell r="A847">
            <v>94</v>
          </cell>
          <cell r="B847">
            <v>46097</v>
          </cell>
          <cell r="C847">
            <v>20</v>
          </cell>
          <cell r="D847" t="str">
            <v xml:space="preserve">الخزينة </v>
          </cell>
        </row>
        <row r="848">
          <cell r="A848">
            <v>10</v>
          </cell>
          <cell r="B848">
            <v>46097</v>
          </cell>
          <cell r="C848">
            <v>20</v>
          </cell>
          <cell r="D848" t="str">
            <v xml:space="preserve">الخزينة </v>
          </cell>
        </row>
        <row r="849">
          <cell r="A849">
            <v>37</v>
          </cell>
          <cell r="B849">
            <v>46097</v>
          </cell>
          <cell r="C849">
            <v>20</v>
          </cell>
          <cell r="D849" t="str">
            <v xml:space="preserve">الخزينة </v>
          </cell>
        </row>
        <row r="850">
          <cell r="A850">
            <v>37</v>
          </cell>
          <cell r="B850">
            <v>46097</v>
          </cell>
          <cell r="C850">
            <v>20</v>
          </cell>
          <cell r="D850" t="str">
            <v xml:space="preserve">الخزينة </v>
          </cell>
        </row>
        <row r="851">
          <cell r="A851">
            <v>37</v>
          </cell>
          <cell r="B851">
            <v>46097</v>
          </cell>
          <cell r="C851">
            <v>20</v>
          </cell>
          <cell r="D851" t="str">
            <v xml:space="preserve">الخزينة </v>
          </cell>
        </row>
        <row r="852">
          <cell r="A852">
            <v>37</v>
          </cell>
          <cell r="B852">
            <v>46097</v>
          </cell>
          <cell r="C852">
            <v>20</v>
          </cell>
          <cell r="D852" t="str">
            <v xml:space="preserve">الخزينة </v>
          </cell>
        </row>
        <row r="853">
          <cell r="A853">
            <v>37</v>
          </cell>
          <cell r="B853">
            <v>46097</v>
          </cell>
          <cell r="C853">
            <v>20</v>
          </cell>
          <cell r="D853" t="str">
            <v xml:space="preserve">الخزينة </v>
          </cell>
        </row>
        <row r="854">
          <cell r="A854">
            <v>37</v>
          </cell>
          <cell r="B854">
            <v>46097</v>
          </cell>
          <cell r="C854">
            <v>20</v>
          </cell>
          <cell r="D854" t="str">
            <v xml:space="preserve">الخزينة </v>
          </cell>
        </row>
        <row r="855">
          <cell r="A855">
            <v>37</v>
          </cell>
          <cell r="B855">
            <v>46097</v>
          </cell>
          <cell r="C855">
            <v>20</v>
          </cell>
          <cell r="D855" t="str">
            <v xml:space="preserve">الخزينة </v>
          </cell>
        </row>
        <row r="856">
          <cell r="A856">
            <v>46</v>
          </cell>
          <cell r="B856">
            <v>46097</v>
          </cell>
          <cell r="C856">
            <v>20</v>
          </cell>
          <cell r="D856" t="str">
            <v xml:space="preserve">الخزينة </v>
          </cell>
        </row>
        <row r="857">
          <cell r="A857">
            <v>70</v>
          </cell>
          <cell r="B857">
            <v>46097</v>
          </cell>
          <cell r="C857">
            <v>20</v>
          </cell>
          <cell r="D857" t="str">
            <v xml:space="preserve">الخزينة </v>
          </cell>
        </row>
        <row r="858">
          <cell r="A858">
            <v>70</v>
          </cell>
          <cell r="B858">
            <v>46097</v>
          </cell>
          <cell r="C858">
            <v>20</v>
          </cell>
          <cell r="D858" t="str">
            <v xml:space="preserve">الخزينة </v>
          </cell>
        </row>
        <row r="859">
          <cell r="A859">
            <v>69</v>
          </cell>
          <cell r="B859">
            <v>46097</v>
          </cell>
          <cell r="C859">
            <v>20</v>
          </cell>
          <cell r="D859" t="str">
            <v xml:space="preserve">الخزينة </v>
          </cell>
        </row>
        <row r="860">
          <cell r="A860">
            <v>69</v>
          </cell>
          <cell r="B860">
            <v>46097</v>
          </cell>
          <cell r="C860">
            <v>20</v>
          </cell>
          <cell r="D860" t="str">
            <v xml:space="preserve">الخزينة </v>
          </cell>
        </row>
        <row r="861">
          <cell r="A861">
            <v>55</v>
          </cell>
          <cell r="B861">
            <v>46097</v>
          </cell>
          <cell r="C861">
            <v>20</v>
          </cell>
          <cell r="D861" t="str">
            <v xml:space="preserve">الخزينة </v>
          </cell>
        </row>
        <row r="862">
          <cell r="A862">
            <v>64</v>
          </cell>
          <cell r="B862">
            <v>46097</v>
          </cell>
          <cell r="C862">
            <v>20</v>
          </cell>
          <cell r="D862" t="str">
            <v xml:space="preserve">الخزينة </v>
          </cell>
        </row>
        <row r="863">
          <cell r="A863">
            <v>59</v>
          </cell>
          <cell r="B863">
            <v>46097</v>
          </cell>
          <cell r="C863">
            <v>20</v>
          </cell>
          <cell r="D863" t="str">
            <v xml:space="preserve">الخزينة </v>
          </cell>
        </row>
        <row r="864">
          <cell r="A864">
            <v>63</v>
          </cell>
          <cell r="B864">
            <v>46097</v>
          </cell>
          <cell r="C864">
            <v>20</v>
          </cell>
          <cell r="D864" t="str">
            <v xml:space="preserve">الخزينة </v>
          </cell>
        </row>
        <row r="865">
          <cell r="A865">
            <v>60</v>
          </cell>
          <cell r="B865">
            <v>46097</v>
          </cell>
          <cell r="C865">
            <v>20</v>
          </cell>
          <cell r="D865" t="str">
            <v xml:space="preserve">الخزينة </v>
          </cell>
        </row>
        <row r="866">
          <cell r="A866">
            <v>60</v>
          </cell>
          <cell r="B866">
            <v>46097</v>
          </cell>
          <cell r="C866">
            <v>20</v>
          </cell>
          <cell r="D866" t="str">
            <v xml:space="preserve">الخزينة </v>
          </cell>
        </row>
        <row r="867">
          <cell r="A867">
            <v>2</v>
          </cell>
          <cell r="B867">
            <v>46096</v>
          </cell>
          <cell r="C867">
            <v>20</v>
          </cell>
          <cell r="D867" t="str">
            <v xml:space="preserve">الخزينة </v>
          </cell>
        </row>
        <row r="868">
          <cell r="A868">
            <v>3</v>
          </cell>
          <cell r="B868">
            <v>46096</v>
          </cell>
          <cell r="C868">
            <v>20</v>
          </cell>
          <cell r="D868" t="str">
            <v xml:space="preserve">الخزينة </v>
          </cell>
        </row>
        <row r="869">
          <cell r="A869">
            <v>6</v>
          </cell>
          <cell r="B869">
            <v>46096</v>
          </cell>
          <cell r="C869">
            <v>20</v>
          </cell>
          <cell r="D869" t="str">
            <v xml:space="preserve">الخزينة </v>
          </cell>
        </row>
        <row r="870">
          <cell r="A870">
            <v>88</v>
          </cell>
          <cell r="B870">
            <v>46096</v>
          </cell>
          <cell r="C870">
            <v>20</v>
          </cell>
          <cell r="D870" t="str">
            <v xml:space="preserve">الخزينة </v>
          </cell>
        </row>
        <row r="871">
          <cell r="A871">
            <v>33</v>
          </cell>
          <cell r="B871">
            <v>46096</v>
          </cell>
          <cell r="C871">
            <v>20</v>
          </cell>
          <cell r="D871" t="str">
            <v xml:space="preserve">الخزينة </v>
          </cell>
        </row>
        <row r="872">
          <cell r="A872">
            <v>69</v>
          </cell>
          <cell r="B872">
            <v>46096</v>
          </cell>
          <cell r="C872">
            <v>20</v>
          </cell>
          <cell r="D872" t="str">
            <v xml:space="preserve">الخزينة </v>
          </cell>
        </row>
        <row r="873">
          <cell r="A873">
            <v>67</v>
          </cell>
          <cell r="B873">
            <v>46096</v>
          </cell>
          <cell r="C873">
            <v>20</v>
          </cell>
          <cell r="D873" t="str">
            <v xml:space="preserve">الخزينة </v>
          </cell>
        </row>
        <row r="874">
          <cell r="A874">
            <v>67</v>
          </cell>
          <cell r="B874">
            <v>46096</v>
          </cell>
          <cell r="C874">
            <v>20</v>
          </cell>
          <cell r="D874" t="str">
            <v xml:space="preserve">الخزينة </v>
          </cell>
        </row>
        <row r="875">
          <cell r="A875">
            <v>67</v>
          </cell>
          <cell r="B875">
            <v>46096</v>
          </cell>
          <cell r="C875">
            <v>20</v>
          </cell>
          <cell r="D875" t="str">
            <v xml:space="preserve">الخزينة </v>
          </cell>
        </row>
        <row r="876">
          <cell r="A876">
            <v>67</v>
          </cell>
          <cell r="B876">
            <v>46096</v>
          </cell>
          <cell r="C876">
            <v>20</v>
          </cell>
          <cell r="D876" t="str">
            <v xml:space="preserve">الخزينة </v>
          </cell>
        </row>
        <row r="877">
          <cell r="A877">
            <v>66</v>
          </cell>
          <cell r="B877">
            <v>46096</v>
          </cell>
          <cell r="C877">
            <v>20</v>
          </cell>
          <cell r="D877" t="str">
            <v xml:space="preserve">الخزينة </v>
          </cell>
        </row>
        <row r="878">
          <cell r="A878">
            <v>54</v>
          </cell>
          <cell r="B878">
            <v>46096</v>
          </cell>
          <cell r="C878">
            <v>20</v>
          </cell>
          <cell r="D878" t="str">
            <v xml:space="preserve">الخزينة </v>
          </cell>
        </row>
        <row r="879">
          <cell r="A879">
            <v>54</v>
          </cell>
          <cell r="B879">
            <v>46096</v>
          </cell>
          <cell r="C879">
            <v>20</v>
          </cell>
          <cell r="D879" t="str">
            <v xml:space="preserve">الخزينة </v>
          </cell>
        </row>
        <row r="880">
          <cell r="A880">
            <v>66</v>
          </cell>
          <cell r="B880">
            <v>46096</v>
          </cell>
          <cell r="C880">
            <v>20</v>
          </cell>
          <cell r="D880" t="str">
            <v xml:space="preserve">الخزينة </v>
          </cell>
        </row>
        <row r="881">
          <cell r="A881">
            <v>66</v>
          </cell>
          <cell r="B881">
            <v>46096</v>
          </cell>
          <cell r="C881">
            <v>20</v>
          </cell>
          <cell r="D881" t="str">
            <v xml:space="preserve">الخزينة </v>
          </cell>
        </row>
        <row r="882">
          <cell r="A882">
            <v>66</v>
          </cell>
          <cell r="B882">
            <v>46096</v>
          </cell>
          <cell r="C882">
            <v>20</v>
          </cell>
          <cell r="D882" t="str">
            <v xml:space="preserve">الخزينة </v>
          </cell>
        </row>
        <row r="883">
          <cell r="A883">
            <v>59</v>
          </cell>
          <cell r="B883">
            <v>46096</v>
          </cell>
          <cell r="C883">
            <v>20</v>
          </cell>
          <cell r="D883" t="str">
            <v xml:space="preserve">الخزينة </v>
          </cell>
        </row>
        <row r="884">
          <cell r="A884">
            <v>59</v>
          </cell>
          <cell r="B884">
            <v>46096</v>
          </cell>
          <cell r="C884">
            <v>20</v>
          </cell>
          <cell r="D884" t="str">
            <v xml:space="preserve">الخزينة </v>
          </cell>
        </row>
        <row r="885">
          <cell r="A885">
            <v>5</v>
          </cell>
          <cell r="B885">
            <v>46093</v>
          </cell>
          <cell r="C885">
            <v>20</v>
          </cell>
          <cell r="D885" t="str">
            <v xml:space="preserve">الخزينة </v>
          </cell>
        </row>
        <row r="886">
          <cell r="A886">
            <v>5</v>
          </cell>
          <cell r="B886">
            <v>46093</v>
          </cell>
          <cell r="C886">
            <v>20</v>
          </cell>
          <cell r="D886" t="str">
            <v xml:space="preserve">الخزينة </v>
          </cell>
        </row>
        <row r="887">
          <cell r="A887">
            <v>7</v>
          </cell>
          <cell r="B887">
            <v>46093</v>
          </cell>
          <cell r="C887">
            <v>20</v>
          </cell>
          <cell r="D887" t="str">
            <v xml:space="preserve">الخزينة </v>
          </cell>
        </row>
        <row r="888">
          <cell r="A888">
            <v>11</v>
          </cell>
          <cell r="B888">
            <v>46093</v>
          </cell>
          <cell r="C888">
            <v>20</v>
          </cell>
          <cell r="D888" t="str">
            <v xml:space="preserve">الخزينة </v>
          </cell>
        </row>
        <row r="889">
          <cell r="A889">
            <v>13</v>
          </cell>
          <cell r="B889">
            <v>46093</v>
          </cell>
          <cell r="C889">
            <v>20</v>
          </cell>
          <cell r="D889" t="str">
            <v xml:space="preserve">الخزينة </v>
          </cell>
        </row>
        <row r="890">
          <cell r="A890">
            <v>16</v>
          </cell>
          <cell r="B890">
            <v>46093</v>
          </cell>
          <cell r="C890">
            <v>20</v>
          </cell>
          <cell r="D890" t="str">
            <v xml:space="preserve">الخزينة </v>
          </cell>
        </row>
        <row r="891">
          <cell r="A891">
            <v>17</v>
          </cell>
          <cell r="B891">
            <v>46093</v>
          </cell>
          <cell r="C891">
            <v>20</v>
          </cell>
          <cell r="D891" t="str">
            <v xml:space="preserve">الخزينة </v>
          </cell>
        </row>
        <row r="892">
          <cell r="A892">
            <v>27</v>
          </cell>
          <cell r="B892">
            <v>46093</v>
          </cell>
          <cell r="C892">
            <v>20</v>
          </cell>
          <cell r="D892" t="str">
            <v xml:space="preserve">الخزينة </v>
          </cell>
        </row>
        <row r="893">
          <cell r="A893">
            <v>32</v>
          </cell>
          <cell r="B893">
            <v>46093</v>
          </cell>
          <cell r="C893">
            <v>20</v>
          </cell>
          <cell r="D893" t="str">
            <v xml:space="preserve">الخزينة </v>
          </cell>
        </row>
        <row r="894">
          <cell r="A894">
            <v>81</v>
          </cell>
          <cell r="B894">
            <v>46093</v>
          </cell>
          <cell r="C894">
            <v>20</v>
          </cell>
          <cell r="D894" t="str">
            <v xml:space="preserve">الخزينة </v>
          </cell>
        </row>
        <row r="895">
          <cell r="A895">
            <v>38</v>
          </cell>
          <cell r="B895">
            <v>46093</v>
          </cell>
          <cell r="C895">
            <v>20</v>
          </cell>
          <cell r="D895" t="str">
            <v xml:space="preserve">الخزينة </v>
          </cell>
        </row>
        <row r="896">
          <cell r="A896">
            <v>38</v>
          </cell>
          <cell r="B896">
            <v>46093</v>
          </cell>
          <cell r="C896">
            <v>20</v>
          </cell>
          <cell r="D896" t="str">
            <v xml:space="preserve">الخزينة </v>
          </cell>
        </row>
        <row r="897">
          <cell r="A897">
            <v>40</v>
          </cell>
          <cell r="B897">
            <v>46093</v>
          </cell>
          <cell r="C897">
            <v>20</v>
          </cell>
          <cell r="D897" t="str">
            <v xml:space="preserve">الخزينة </v>
          </cell>
        </row>
        <row r="898">
          <cell r="A898">
            <v>42</v>
          </cell>
          <cell r="B898">
            <v>46093</v>
          </cell>
          <cell r="C898">
            <v>20</v>
          </cell>
          <cell r="D898" t="str">
            <v xml:space="preserve">الخزينة </v>
          </cell>
        </row>
        <row r="899">
          <cell r="A899">
            <v>70</v>
          </cell>
          <cell r="B899">
            <v>46093</v>
          </cell>
          <cell r="C899">
            <v>20</v>
          </cell>
          <cell r="D899" t="str">
            <v xml:space="preserve">الخزينة </v>
          </cell>
        </row>
        <row r="900">
          <cell r="A900">
            <v>70</v>
          </cell>
          <cell r="B900">
            <v>46093</v>
          </cell>
          <cell r="C900">
            <v>20</v>
          </cell>
          <cell r="D900" t="str">
            <v xml:space="preserve">الخزينة </v>
          </cell>
        </row>
        <row r="901">
          <cell r="A901">
            <v>70</v>
          </cell>
          <cell r="B901">
            <v>46093</v>
          </cell>
          <cell r="C901">
            <v>20</v>
          </cell>
          <cell r="D901" t="str">
            <v xml:space="preserve">الخزينة </v>
          </cell>
        </row>
        <row r="902">
          <cell r="A902">
            <v>70</v>
          </cell>
          <cell r="B902">
            <v>46093</v>
          </cell>
          <cell r="C902">
            <v>20</v>
          </cell>
          <cell r="D902" t="str">
            <v xml:space="preserve">الخزينة </v>
          </cell>
        </row>
        <row r="903">
          <cell r="A903">
            <v>70</v>
          </cell>
          <cell r="B903">
            <v>46093</v>
          </cell>
          <cell r="C903">
            <v>20</v>
          </cell>
          <cell r="D903" t="str">
            <v xml:space="preserve">الخزينة </v>
          </cell>
        </row>
        <row r="904">
          <cell r="A904">
            <v>70</v>
          </cell>
          <cell r="B904">
            <v>46093</v>
          </cell>
          <cell r="C904">
            <v>20</v>
          </cell>
          <cell r="D904" t="str">
            <v xml:space="preserve">الخزينة </v>
          </cell>
        </row>
        <row r="905">
          <cell r="A905">
            <v>70</v>
          </cell>
          <cell r="B905">
            <v>46093</v>
          </cell>
          <cell r="C905">
            <v>20</v>
          </cell>
          <cell r="D905" t="str">
            <v xml:space="preserve">الخزينة </v>
          </cell>
        </row>
        <row r="906">
          <cell r="A906">
            <v>70</v>
          </cell>
          <cell r="B906">
            <v>46093</v>
          </cell>
          <cell r="C906">
            <v>20</v>
          </cell>
          <cell r="D906" t="str">
            <v xml:space="preserve">الخزينة </v>
          </cell>
        </row>
        <row r="907">
          <cell r="A907">
            <v>70</v>
          </cell>
          <cell r="B907">
            <v>46093</v>
          </cell>
          <cell r="C907">
            <v>20</v>
          </cell>
          <cell r="D907" t="str">
            <v xml:space="preserve">الخزينة </v>
          </cell>
        </row>
        <row r="908">
          <cell r="A908">
            <v>70</v>
          </cell>
          <cell r="B908">
            <v>46093</v>
          </cell>
          <cell r="C908">
            <v>20</v>
          </cell>
          <cell r="D908" t="str">
            <v xml:space="preserve">الخزينة </v>
          </cell>
        </row>
        <row r="909">
          <cell r="A909">
            <v>67</v>
          </cell>
          <cell r="B909">
            <v>46093</v>
          </cell>
          <cell r="C909">
            <v>20</v>
          </cell>
          <cell r="D909" t="str">
            <v xml:space="preserve">الخزينة </v>
          </cell>
        </row>
        <row r="910">
          <cell r="A910">
            <v>67</v>
          </cell>
          <cell r="B910">
            <v>46093</v>
          </cell>
          <cell r="C910">
            <v>20</v>
          </cell>
          <cell r="D910" t="str">
            <v xml:space="preserve">الخزينة </v>
          </cell>
        </row>
        <row r="911">
          <cell r="A911">
            <v>67</v>
          </cell>
          <cell r="B911">
            <v>46093</v>
          </cell>
          <cell r="C911">
            <v>20</v>
          </cell>
          <cell r="D911" t="str">
            <v xml:space="preserve">الخزينة </v>
          </cell>
        </row>
        <row r="912">
          <cell r="A912">
            <v>67</v>
          </cell>
          <cell r="B912">
            <v>46093</v>
          </cell>
          <cell r="C912">
            <v>20</v>
          </cell>
          <cell r="D912" t="str">
            <v xml:space="preserve">الخزينة </v>
          </cell>
        </row>
        <row r="913">
          <cell r="A913">
            <v>64</v>
          </cell>
          <cell r="B913">
            <v>46093</v>
          </cell>
          <cell r="C913">
            <v>20</v>
          </cell>
          <cell r="D913" t="str">
            <v xml:space="preserve">الخزينة </v>
          </cell>
        </row>
        <row r="914">
          <cell r="A914">
            <v>57</v>
          </cell>
          <cell r="B914">
            <v>46093</v>
          </cell>
          <cell r="C914">
            <v>20</v>
          </cell>
          <cell r="D914" t="str">
            <v xml:space="preserve">الخزينة </v>
          </cell>
        </row>
        <row r="915">
          <cell r="A915">
            <v>57</v>
          </cell>
          <cell r="B915">
            <v>46093</v>
          </cell>
          <cell r="C915">
            <v>20</v>
          </cell>
          <cell r="D915" t="str">
            <v xml:space="preserve">الخزينة </v>
          </cell>
        </row>
        <row r="916">
          <cell r="A916">
            <v>64</v>
          </cell>
          <cell r="B916">
            <v>46093</v>
          </cell>
          <cell r="C916">
            <v>20</v>
          </cell>
          <cell r="D916" t="str">
            <v xml:space="preserve">الخزينة </v>
          </cell>
        </row>
        <row r="917">
          <cell r="A917">
            <v>63</v>
          </cell>
          <cell r="B917">
            <v>46093</v>
          </cell>
          <cell r="C917">
            <v>20</v>
          </cell>
          <cell r="D917" t="str">
            <v xml:space="preserve">الخزينة </v>
          </cell>
        </row>
        <row r="918">
          <cell r="A918">
            <v>59</v>
          </cell>
          <cell r="B918">
            <v>46093</v>
          </cell>
          <cell r="C918">
            <v>20</v>
          </cell>
          <cell r="D918" t="str">
            <v xml:space="preserve">الخزينة </v>
          </cell>
        </row>
        <row r="919">
          <cell r="A919">
            <v>63</v>
          </cell>
          <cell r="B919">
            <v>46093</v>
          </cell>
          <cell r="C919">
            <v>20</v>
          </cell>
          <cell r="D919" t="str">
            <v xml:space="preserve">الخزينة </v>
          </cell>
        </row>
        <row r="920">
          <cell r="A920">
            <v>60</v>
          </cell>
          <cell r="B920">
            <v>46093</v>
          </cell>
          <cell r="C920">
            <v>20</v>
          </cell>
          <cell r="D920" t="str">
            <v xml:space="preserve">الخزينة </v>
          </cell>
        </row>
        <row r="921">
          <cell r="A921">
            <v>60</v>
          </cell>
          <cell r="B921">
            <v>46093</v>
          </cell>
          <cell r="C921">
            <v>20</v>
          </cell>
          <cell r="D921" t="str">
            <v xml:space="preserve">الخزينة </v>
          </cell>
        </row>
        <row r="922">
          <cell r="A922">
            <v>60</v>
          </cell>
          <cell r="B922">
            <v>46093</v>
          </cell>
          <cell r="C922">
            <v>20</v>
          </cell>
          <cell r="D922" t="str">
            <v xml:space="preserve">الخزينة </v>
          </cell>
        </row>
        <row r="923">
          <cell r="A923">
            <v>60</v>
          </cell>
          <cell r="B923">
            <v>46093</v>
          </cell>
          <cell r="C923">
            <v>20</v>
          </cell>
          <cell r="D923" t="str">
            <v xml:space="preserve">الخزينة </v>
          </cell>
        </row>
        <row r="924">
          <cell r="A924">
            <v>60</v>
          </cell>
          <cell r="B924">
            <v>46093</v>
          </cell>
          <cell r="C924">
            <v>20</v>
          </cell>
          <cell r="D924" t="str">
            <v xml:space="preserve">الخزينة </v>
          </cell>
        </row>
        <row r="925">
          <cell r="A925">
            <v>90</v>
          </cell>
          <cell r="B925">
            <v>46092</v>
          </cell>
          <cell r="C925">
            <v>20</v>
          </cell>
          <cell r="D925" t="str">
            <v xml:space="preserve">الخزينة </v>
          </cell>
        </row>
        <row r="926">
          <cell r="A926">
            <v>90</v>
          </cell>
          <cell r="B926">
            <v>46092</v>
          </cell>
          <cell r="C926">
            <v>20</v>
          </cell>
          <cell r="D926" t="str">
            <v xml:space="preserve">الخزينة </v>
          </cell>
        </row>
        <row r="927">
          <cell r="A927">
            <v>87</v>
          </cell>
          <cell r="B927">
            <v>46092</v>
          </cell>
          <cell r="C927">
            <v>20</v>
          </cell>
          <cell r="D927" t="str">
            <v xml:space="preserve">الخزينة </v>
          </cell>
        </row>
        <row r="928">
          <cell r="A928">
            <v>87</v>
          </cell>
          <cell r="B928">
            <v>46092</v>
          </cell>
          <cell r="C928">
            <v>20</v>
          </cell>
          <cell r="D928" t="str">
            <v xml:space="preserve">الخزينة </v>
          </cell>
        </row>
        <row r="929">
          <cell r="A929">
            <v>87</v>
          </cell>
          <cell r="B929">
            <v>46092</v>
          </cell>
          <cell r="C929">
            <v>20</v>
          </cell>
          <cell r="D929" t="str">
            <v xml:space="preserve">الخزينة </v>
          </cell>
        </row>
        <row r="930">
          <cell r="A930">
            <v>55</v>
          </cell>
          <cell r="B930">
            <v>46092</v>
          </cell>
          <cell r="C930">
            <v>20</v>
          </cell>
          <cell r="D930" t="str">
            <v xml:space="preserve">الخزينة </v>
          </cell>
        </row>
        <row r="931">
          <cell r="A931">
            <v>90</v>
          </cell>
          <cell r="B931">
            <v>46091</v>
          </cell>
          <cell r="C931">
            <v>20</v>
          </cell>
          <cell r="D931" t="str">
            <v xml:space="preserve">الخزينة </v>
          </cell>
        </row>
        <row r="932">
          <cell r="A932">
            <v>90</v>
          </cell>
          <cell r="B932">
            <v>46091</v>
          </cell>
          <cell r="C932">
            <v>20</v>
          </cell>
          <cell r="D932" t="str">
            <v xml:space="preserve">الخزينة </v>
          </cell>
        </row>
        <row r="933">
          <cell r="A933">
            <v>90</v>
          </cell>
          <cell r="B933">
            <v>46091</v>
          </cell>
          <cell r="C933">
            <v>20</v>
          </cell>
          <cell r="D933" t="str">
            <v xml:space="preserve">الخزينة </v>
          </cell>
        </row>
        <row r="934">
          <cell r="A934">
            <v>3</v>
          </cell>
          <cell r="B934">
            <v>46091</v>
          </cell>
          <cell r="C934">
            <v>20</v>
          </cell>
          <cell r="D934" t="str">
            <v xml:space="preserve">الخزينة </v>
          </cell>
        </row>
        <row r="935">
          <cell r="A935">
            <v>42</v>
          </cell>
          <cell r="B935">
            <v>46091</v>
          </cell>
          <cell r="C935">
            <v>20</v>
          </cell>
          <cell r="D935" t="str">
            <v xml:space="preserve">الخزينة </v>
          </cell>
        </row>
        <row r="936">
          <cell r="A936">
            <v>53</v>
          </cell>
          <cell r="B936">
            <v>46091</v>
          </cell>
          <cell r="C936">
            <v>20</v>
          </cell>
          <cell r="D936" t="str">
            <v xml:space="preserve">الخزينة </v>
          </cell>
        </row>
        <row r="937">
          <cell r="A937">
            <v>57</v>
          </cell>
          <cell r="B937">
            <v>46091</v>
          </cell>
          <cell r="C937">
            <v>20</v>
          </cell>
          <cell r="D937" t="str">
            <v xml:space="preserve">الخزينة </v>
          </cell>
        </row>
        <row r="938">
          <cell r="A938">
            <v>57</v>
          </cell>
          <cell r="B938">
            <v>46091</v>
          </cell>
          <cell r="C938">
            <v>20</v>
          </cell>
          <cell r="D938" t="str">
            <v xml:space="preserve">الخزينة </v>
          </cell>
        </row>
        <row r="939">
          <cell r="A939">
            <v>88</v>
          </cell>
          <cell r="B939">
            <v>46090</v>
          </cell>
          <cell r="C939">
            <v>20</v>
          </cell>
          <cell r="D939" t="str">
            <v xml:space="preserve">الخزينة </v>
          </cell>
        </row>
        <row r="940">
          <cell r="A940">
            <v>87</v>
          </cell>
          <cell r="B940">
            <v>46090</v>
          </cell>
          <cell r="C940">
            <v>20</v>
          </cell>
          <cell r="D940" t="str">
            <v xml:space="preserve">الخزينة </v>
          </cell>
        </row>
        <row r="941">
          <cell r="A941">
            <v>84</v>
          </cell>
          <cell r="B941">
            <v>46090</v>
          </cell>
          <cell r="C941">
            <v>20</v>
          </cell>
          <cell r="D941" t="str">
            <v xml:space="preserve">الخزينة </v>
          </cell>
        </row>
        <row r="942">
          <cell r="A942">
            <v>53</v>
          </cell>
          <cell r="B942">
            <v>46090</v>
          </cell>
          <cell r="C942">
            <v>20</v>
          </cell>
          <cell r="D942" t="str">
            <v xml:space="preserve">الخزينة </v>
          </cell>
        </row>
        <row r="943">
          <cell r="A943">
            <v>63</v>
          </cell>
          <cell r="B943">
            <v>46090</v>
          </cell>
          <cell r="C943">
            <v>20</v>
          </cell>
          <cell r="D943" t="str">
            <v xml:space="preserve">الخزينة </v>
          </cell>
        </row>
        <row r="944">
          <cell r="A944">
            <v>60</v>
          </cell>
          <cell r="B944">
            <v>46090</v>
          </cell>
          <cell r="C944">
            <v>20</v>
          </cell>
          <cell r="D944" t="str">
            <v xml:space="preserve">الخزينة </v>
          </cell>
        </row>
        <row r="945">
          <cell r="A945">
            <v>60</v>
          </cell>
          <cell r="B945">
            <v>46090</v>
          </cell>
          <cell r="C945">
            <v>20</v>
          </cell>
          <cell r="D945" t="str">
            <v xml:space="preserve">الخزينة </v>
          </cell>
        </row>
        <row r="946">
          <cell r="A946">
            <v>94</v>
          </cell>
          <cell r="B946">
            <v>46089</v>
          </cell>
          <cell r="C946">
            <v>20</v>
          </cell>
          <cell r="D946" t="str">
            <v xml:space="preserve">الخزينة </v>
          </cell>
        </row>
        <row r="947">
          <cell r="A947">
            <v>90</v>
          </cell>
          <cell r="B947">
            <v>46089</v>
          </cell>
          <cell r="C947">
            <v>20</v>
          </cell>
          <cell r="D947" t="str">
            <v xml:space="preserve">الخزينة </v>
          </cell>
        </row>
        <row r="948">
          <cell r="A948">
            <v>90</v>
          </cell>
          <cell r="B948">
            <v>46089</v>
          </cell>
          <cell r="C948">
            <v>20</v>
          </cell>
          <cell r="D948" t="str">
            <v xml:space="preserve">الخزينة </v>
          </cell>
        </row>
        <row r="949">
          <cell r="A949">
            <v>90</v>
          </cell>
          <cell r="B949">
            <v>46089</v>
          </cell>
          <cell r="C949">
            <v>20</v>
          </cell>
          <cell r="D949" t="str">
            <v xml:space="preserve">الخزينة </v>
          </cell>
        </row>
        <row r="950">
          <cell r="A950">
            <v>90</v>
          </cell>
          <cell r="B950">
            <v>46089</v>
          </cell>
          <cell r="C950">
            <v>20</v>
          </cell>
          <cell r="D950" t="str">
            <v xml:space="preserve">الخزينة </v>
          </cell>
        </row>
        <row r="951">
          <cell r="A951">
            <v>90</v>
          </cell>
          <cell r="B951">
            <v>46089</v>
          </cell>
          <cell r="C951">
            <v>20</v>
          </cell>
          <cell r="D951" t="str">
            <v xml:space="preserve">الخزينة </v>
          </cell>
        </row>
        <row r="952">
          <cell r="A952">
            <v>2</v>
          </cell>
          <cell r="B952">
            <v>46089</v>
          </cell>
          <cell r="C952">
            <v>20</v>
          </cell>
          <cell r="D952" t="str">
            <v xml:space="preserve">الخزينة </v>
          </cell>
        </row>
        <row r="953">
          <cell r="A953">
            <v>92</v>
          </cell>
          <cell r="B953">
            <v>46089</v>
          </cell>
          <cell r="C953">
            <v>20</v>
          </cell>
          <cell r="D953" t="str">
            <v xml:space="preserve">الخزينة </v>
          </cell>
        </row>
        <row r="954">
          <cell r="A954">
            <v>92</v>
          </cell>
          <cell r="B954">
            <v>46089</v>
          </cell>
          <cell r="C954">
            <v>20</v>
          </cell>
          <cell r="D954" t="str">
            <v xml:space="preserve">الخزينة </v>
          </cell>
        </row>
        <row r="955">
          <cell r="A955">
            <v>26</v>
          </cell>
          <cell r="B955">
            <v>46089</v>
          </cell>
          <cell r="C955">
            <v>20</v>
          </cell>
          <cell r="D955" t="str">
            <v xml:space="preserve">الخزينة </v>
          </cell>
        </row>
        <row r="956">
          <cell r="A956">
            <v>88</v>
          </cell>
          <cell r="B956">
            <v>46089</v>
          </cell>
          <cell r="C956">
            <v>20</v>
          </cell>
          <cell r="D956" t="str">
            <v xml:space="preserve">الخزينة </v>
          </cell>
        </row>
        <row r="957">
          <cell r="A957">
            <v>87</v>
          </cell>
          <cell r="B957">
            <v>46089</v>
          </cell>
          <cell r="C957">
            <v>20</v>
          </cell>
          <cell r="D957" t="str">
            <v xml:space="preserve">الخزينة </v>
          </cell>
        </row>
        <row r="958">
          <cell r="A958">
            <v>82</v>
          </cell>
          <cell r="B958">
            <v>46089</v>
          </cell>
          <cell r="C958">
            <v>20</v>
          </cell>
          <cell r="D958" t="str">
            <v xml:space="preserve">الخزينة </v>
          </cell>
        </row>
        <row r="959">
          <cell r="A959">
            <v>36</v>
          </cell>
          <cell r="B959">
            <v>46089</v>
          </cell>
          <cell r="C959">
            <v>20</v>
          </cell>
          <cell r="D959" t="str">
            <v xml:space="preserve">الخزينة </v>
          </cell>
        </row>
        <row r="960">
          <cell r="A960">
            <v>82</v>
          </cell>
          <cell r="B960">
            <v>46089</v>
          </cell>
          <cell r="C960">
            <v>20</v>
          </cell>
          <cell r="D960" t="str">
            <v xml:space="preserve">الخزينة </v>
          </cell>
        </row>
        <row r="961">
          <cell r="A961">
            <v>69</v>
          </cell>
          <cell r="B961">
            <v>46089</v>
          </cell>
          <cell r="C961">
            <v>20</v>
          </cell>
          <cell r="D961" t="str">
            <v xml:space="preserve">الخزينة </v>
          </cell>
        </row>
        <row r="962">
          <cell r="A962">
            <v>69</v>
          </cell>
          <cell r="B962">
            <v>46089</v>
          </cell>
          <cell r="C962">
            <v>20</v>
          </cell>
          <cell r="D962" t="str">
            <v xml:space="preserve">الخزينة </v>
          </cell>
        </row>
        <row r="963">
          <cell r="A963">
            <v>53</v>
          </cell>
          <cell r="B963">
            <v>46089</v>
          </cell>
          <cell r="C963">
            <v>20</v>
          </cell>
          <cell r="D963" t="str">
            <v xml:space="preserve">الخزينة </v>
          </cell>
        </row>
        <row r="964">
          <cell r="A964">
            <v>56</v>
          </cell>
          <cell r="B964">
            <v>46089</v>
          </cell>
          <cell r="C964">
            <v>20</v>
          </cell>
          <cell r="D964" t="str">
            <v xml:space="preserve">الخزينة </v>
          </cell>
        </row>
        <row r="965">
          <cell r="A965">
            <v>63</v>
          </cell>
          <cell r="B965">
            <v>46089</v>
          </cell>
          <cell r="C965">
            <v>20</v>
          </cell>
          <cell r="D965" t="str">
            <v xml:space="preserve">الخزينة </v>
          </cell>
        </row>
        <row r="966">
          <cell r="A966">
            <v>63</v>
          </cell>
          <cell r="B966">
            <v>46089</v>
          </cell>
          <cell r="C966">
            <v>20</v>
          </cell>
          <cell r="D966" t="str">
            <v xml:space="preserve">الخزينة </v>
          </cell>
        </row>
        <row r="967">
          <cell r="A967">
            <v>91</v>
          </cell>
          <cell r="B967">
            <v>46086</v>
          </cell>
          <cell r="C967">
            <v>20</v>
          </cell>
          <cell r="D967" t="str">
            <v xml:space="preserve">الخزينة </v>
          </cell>
        </row>
        <row r="968">
          <cell r="A968">
            <v>91</v>
          </cell>
          <cell r="B968">
            <v>46086</v>
          </cell>
          <cell r="C968">
            <v>20</v>
          </cell>
          <cell r="D968" t="str">
            <v xml:space="preserve">الخزينة </v>
          </cell>
        </row>
        <row r="969">
          <cell r="A969">
            <v>12</v>
          </cell>
          <cell r="B969">
            <v>46086</v>
          </cell>
          <cell r="C969">
            <v>20</v>
          </cell>
          <cell r="D969" t="str">
            <v xml:space="preserve">الخزينة </v>
          </cell>
        </row>
        <row r="970">
          <cell r="A970">
            <v>15</v>
          </cell>
          <cell r="B970">
            <v>46086</v>
          </cell>
          <cell r="C970">
            <v>20</v>
          </cell>
          <cell r="D970" t="str">
            <v xml:space="preserve">الخزينة </v>
          </cell>
        </row>
        <row r="971">
          <cell r="A971">
            <v>16</v>
          </cell>
          <cell r="B971">
            <v>46086</v>
          </cell>
          <cell r="C971">
            <v>20</v>
          </cell>
          <cell r="D971" t="str">
            <v xml:space="preserve">الخزينة </v>
          </cell>
        </row>
        <row r="972">
          <cell r="A972">
            <v>17</v>
          </cell>
          <cell r="B972">
            <v>46086</v>
          </cell>
          <cell r="C972">
            <v>20</v>
          </cell>
          <cell r="D972" t="str">
            <v xml:space="preserve">الخزينة </v>
          </cell>
        </row>
        <row r="973">
          <cell r="A973">
            <v>17</v>
          </cell>
          <cell r="B973">
            <v>46086</v>
          </cell>
          <cell r="C973">
            <v>20</v>
          </cell>
          <cell r="D973" t="str">
            <v xml:space="preserve">الخزينة </v>
          </cell>
        </row>
        <row r="974">
          <cell r="A974">
            <v>21</v>
          </cell>
          <cell r="B974">
            <v>46086</v>
          </cell>
          <cell r="C974">
            <v>20</v>
          </cell>
          <cell r="D974" t="str">
            <v xml:space="preserve">الخزينة </v>
          </cell>
        </row>
        <row r="975">
          <cell r="A975">
            <v>22</v>
          </cell>
          <cell r="B975">
            <v>46086</v>
          </cell>
          <cell r="C975">
            <v>20</v>
          </cell>
          <cell r="D975" t="str">
            <v xml:space="preserve">الخزينة </v>
          </cell>
        </row>
        <row r="976">
          <cell r="A976">
            <v>27</v>
          </cell>
          <cell r="B976">
            <v>46086</v>
          </cell>
          <cell r="C976">
            <v>20</v>
          </cell>
          <cell r="D976" t="str">
            <v xml:space="preserve">الخزينة </v>
          </cell>
        </row>
        <row r="977">
          <cell r="A977">
            <v>27</v>
          </cell>
          <cell r="B977">
            <v>46086</v>
          </cell>
          <cell r="C977">
            <v>20</v>
          </cell>
          <cell r="D977" t="str">
            <v xml:space="preserve">الخزينة </v>
          </cell>
        </row>
        <row r="978">
          <cell r="A978">
            <v>30</v>
          </cell>
          <cell r="B978">
            <v>46086</v>
          </cell>
          <cell r="C978">
            <v>20</v>
          </cell>
          <cell r="D978" t="str">
            <v xml:space="preserve">الخزينة </v>
          </cell>
        </row>
        <row r="979">
          <cell r="A979">
            <v>30</v>
          </cell>
          <cell r="B979">
            <v>46086</v>
          </cell>
          <cell r="C979">
            <v>20</v>
          </cell>
          <cell r="D979" t="str">
            <v xml:space="preserve">الخزينة </v>
          </cell>
        </row>
        <row r="980">
          <cell r="A980">
            <v>32</v>
          </cell>
          <cell r="B980">
            <v>46086</v>
          </cell>
          <cell r="C980">
            <v>20</v>
          </cell>
          <cell r="D980" t="str">
            <v xml:space="preserve">الخزينة </v>
          </cell>
        </row>
        <row r="981">
          <cell r="A981">
            <v>33</v>
          </cell>
          <cell r="B981">
            <v>46086</v>
          </cell>
          <cell r="C981">
            <v>20</v>
          </cell>
          <cell r="D981" t="str">
            <v xml:space="preserve">الخزينة </v>
          </cell>
        </row>
        <row r="982">
          <cell r="A982">
            <v>37</v>
          </cell>
          <cell r="B982">
            <v>46086</v>
          </cell>
          <cell r="C982">
            <v>20</v>
          </cell>
          <cell r="D982" t="str">
            <v xml:space="preserve">الخزينة </v>
          </cell>
        </row>
        <row r="983">
          <cell r="A983">
            <v>40</v>
          </cell>
          <cell r="B983">
            <v>46086</v>
          </cell>
          <cell r="C983">
            <v>20</v>
          </cell>
          <cell r="D983" t="str">
            <v xml:space="preserve">الخزينة </v>
          </cell>
        </row>
        <row r="984">
          <cell r="A984">
            <v>40</v>
          </cell>
          <cell r="B984">
            <v>46086</v>
          </cell>
          <cell r="C984">
            <v>20</v>
          </cell>
          <cell r="D984" t="str">
            <v xml:space="preserve">الخزينة </v>
          </cell>
        </row>
        <row r="985">
          <cell r="A985">
            <v>40</v>
          </cell>
          <cell r="B985">
            <v>46086</v>
          </cell>
          <cell r="C985">
            <v>20</v>
          </cell>
          <cell r="D985" t="str">
            <v xml:space="preserve">الخزينة </v>
          </cell>
        </row>
        <row r="986">
          <cell r="A986">
            <v>47</v>
          </cell>
          <cell r="B986">
            <v>46086</v>
          </cell>
          <cell r="C986">
            <v>20</v>
          </cell>
          <cell r="D986" t="str">
            <v xml:space="preserve">الخزينة </v>
          </cell>
        </row>
        <row r="987">
          <cell r="A987">
            <v>47</v>
          </cell>
          <cell r="B987">
            <v>46086</v>
          </cell>
          <cell r="C987">
            <v>20</v>
          </cell>
          <cell r="D987" t="str">
            <v xml:space="preserve">الخزينة </v>
          </cell>
        </row>
        <row r="988">
          <cell r="A988">
            <v>48</v>
          </cell>
          <cell r="B988">
            <v>46086</v>
          </cell>
          <cell r="C988">
            <v>20</v>
          </cell>
          <cell r="D988" t="str">
            <v xml:space="preserve">الخزينة </v>
          </cell>
        </row>
        <row r="989">
          <cell r="A989">
            <v>70</v>
          </cell>
          <cell r="B989">
            <v>46086</v>
          </cell>
          <cell r="C989">
            <v>20</v>
          </cell>
          <cell r="D989" t="str">
            <v xml:space="preserve">الخزينة </v>
          </cell>
        </row>
        <row r="990">
          <cell r="A990">
            <v>70</v>
          </cell>
          <cell r="B990">
            <v>46086</v>
          </cell>
          <cell r="C990">
            <v>20</v>
          </cell>
          <cell r="D990" t="str">
            <v xml:space="preserve">الخزينة </v>
          </cell>
        </row>
        <row r="991">
          <cell r="A991">
            <v>66</v>
          </cell>
          <cell r="B991">
            <v>46086</v>
          </cell>
          <cell r="C991">
            <v>20</v>
          </cell>
          <cell r="D991" t="str">
            <v xml:space="preserve">الخزينة </v>
          </cell>
        </row>
        <row r="992">
          <cell r="A992">
            <v>66</v>
          </cell>
          <cell r="B992">
            <v>46086</v>
          </cell>
          <cell r="C992">
            <v>20</v>
          </cell>
          <cell r="D992" t="str">
            <v xml:space="preserve">الخزينة </v>
          </cell>
        </row>
        <row r="993">
          <cell r="A993">
            <v>55</v>
          </cell>
          <cell r="B993">
            <v>46086</v>
          </cell>
          <cell r="C993">
            <v>20</v>
          </cell>
          <cell r="D993" t="str">
            <v xml:space="preserve">الخزينة </v>
          </cell>
        </row>
        <row r="994">
          <cell r="A994">
            <v>64</v>
          </cell>
          <cell r="B994">
            <v>46086</v>
          </cell>
          <cell r="C994">
            <v>20</v>
          </cell>
          <cell r="D994" t="str">
            <v xml:space="preserve">الخزينة </v>
          </cell>
        </row>
        <row r="995">
          <cell r="A995">
            <v>63</v>
          </cell>
          <cell r="B995">
            <v>46086</v>
          </cell>
          <cell r="C995">
            <v>20</v>
          </cell>
          <cell r="D995" t="str">
            <v xml:space="preserve">الخزينة </v>
          </cell>
        </row>
        <row r="996">
          <cell r="A996">
            <v>63</v>
          </cell>
          <cell r="B996">
            <v>46086</v>
          </cell>
          <cell r="C996">
            <v>20</v>
          </cell>
          <cell r="D996" t="str">
            <v xml:space="preserve">الخزينة </v>
          </cell>
        </row>
        <row r="997">
          <cell r="A997">
            <v>59</v>
          </cell>
          <cell r="B997">
            <v>46086</v>
          </cell>
          <cell r="C997">
            <v>20</v>
          </cell>
          <cell r="D997" t="str">
            <v xml:space="preserve">الخزينة </v>
          </cell>
        </row>
        <row r="998">
          <cell r="A998">
            <v>59</v>
          </cell>
          <cell r="B998">
            <v>46086</v>
          </cell>
          <cell r="C998">
            <v>20</v>
          </cell>
          <cell r="D998" t="str">
            <v xml:space="preserve">الخزينة </v>
          </cell>
        </row>
        <row r="999">
          <cell r="A999">
            <v>59</v>
          </cell>
          <cell r="B999">
            <v>46086</v>
          </cell>
          <cell r="C999">
            <v>20</v>
          </cell>
          <cell r="D999" t="str">
            <v xml:space="preserve">الخزينة </v>
          </cell>
        </row>
        <row r="1000">
          <cell r="A1000">
            <v>59</v>
          </cell>
          <cell r="B1000">
            <v>46086</v>
          </cell>
          <cell r="C1000">
            <v>20</v>
          </cell>
          <cell r="D1000" t="str">
            <v xml:space="preserve">الخزينة </v>
          </cell>
        </row>
        <row r="1001">
          <cell r="A1001">
            <v>63</v>
          </cell>
          <cell r="B1001">
            <v>46086</v>
          </cell>
          <cell r="C1001">
            <v>20</v>
          </cell>
          <cell r="D1001" t="str">
            <v xml:space="preserve">الخزينة </v>
          </cell>
        </row>
        <row r="1002">
          <cell r="A1002">
            <v>63</v>
          </cell>
          <cell r="B1002">
            <v>46086</v>
          </cell>
          <cell r="C1002">
            <v>20</v>
          </cell>
          <cell r="D1002" t="str">
            <v xml:space="preserve">الخزينة </v>
          </cell>
        </row>
        <row r="1003">
          <cell r="A1003">
            <v>60</v>
          </cell>
          <cell r="B1003">
            <v>46086</v>
          </cell>
          <cell r="C1003">
            <v>20</v>
          </cell>
          <cell r="D1003" t="str">
            <v xml:space="preserve">الخزينة </v>
          </cell>
        </row>
        <row r="1004">
          <cell r="A1004">
            <v>86</v>
          </cell>
          <cell r="B1004">
            <v>46085</v>
          </cell>
          <cell r="C1004">
            <v>20</v>
          </cell>
          <cell r="D1004" t="str">
            <v xml:space="preserve">الخزينة </v>
          </cell>
        </row>
        <row r="1005">
          <cell r="A1005">
            <v>53</v>
          </cell>
          <cell r="B1005">
            <v>46085</v>
          </cell>
          <cell r="C1005">
            <v>20</v>
          </cell>
          <cell r="D1005" t="str">
            <v xml:space="preserve">الخزينة </v>
          </cell>
        </row>
        <row r="1006">
          <cell r="A1006">
            <v>37</v>
          </cell>
          <cell r="B1006">
            <v>46084</v>
          </cell>
          <cell r="C1006">
            <v>20</v>
          </cell>
          <cell r="D1006" t="str">
            <v xml:space="preserve">الخزينة </v>
          </cell>
        </row>
        <row r="1007">
          <cell r="A1007">
            <v>70</v>
          </cell>
          <cell r="B1007">
            <v>46084</v>
          </cell>
          <cell r="C1007">
            <v>20</v>
          </cell>
          <cell r="D1007" t="str">
            <v xml:space="preserve">الخزينة </v>
          </cell>
        </row>
        <row r="1008">
          <cell r="A1008">
            <v>54</v>
          </cell>
          <cell r="B1008">
            <v>46084</v>
          </cell>
          <cell r="C1008">
            <v>20</v>
          </cell>
          <cell r="D1008" t="str">
            <v xml:space="preserve">الخزينة </v>
          </cell>
        </row>
        <row r="1009">
          <cell r="A1009">
            <v>54</v>
          </cell>
          <cell r="B1009">
            <v>46084</v>
          </cell>
          <cell r="C1009">
            <v>20</v>
          </cell>
          <cell r="D1009" t="str">
            <v xml:space="preserve">الخزينة </v>
          </cell>
        </row>
        <row r="1010">
          <cell r="A1010">
            <v>55</v>
          </cell>
          <cell r="B1010">
            <v>46084</v>
          </cell>
          <cell r="C1010">
            <v>20</v>
          </cell>
          <cell r="D1010" t="str">
            <v xml:space="preserve">الخزينة </v>
          </cell>
        </row>
        <row r="1011">
          <cell r="A1011">
            <v>55</v>
          </cell>
          <cell r="B1011">
            <v>46084</v>
          </cell>
          <cell r="C1011">
            <v>20</v>
          </cell>
          <cell r="D1011" t="str">
            <v xml:space="preserve">الخزينة </v>
          </cell>
        </row>
        <row r="1012">
          <cell r="A1012">
            <v>64</v>
          </cell>
          <cell r="B1012">
            <v>46084</v>
          </cell>
          <cell r="C1012">
            <v>20</v>
          </cell>
          <cell r="D1012" t="str">
            <v xml:space="preserve">الخزينة </v>
          </cell>
        </row>
        <row r="1013">
          <cell r="A1013">
            <v>4</v>
          </cell>
          <cell r="B1013">
            <v>46083</v>
          </cell>
          <cell r="C1013">
            <v>20</v>
          </cell>
          <cell r="D1013" t="str">
            <v xml:space="preserve">الخزينة </v>
          </cell>
        </row>
        <row r="1014">
          <cell r="A1014">
            <v>57</v>
          </cell>
          <cell r="B1014">
            <v>46083</v>
          </cell>
          <cell r="C1014">
            <v>20</v>
          </cell>
          <cell r="D1014" t="str">
            <v xml:space="preserve">الخزينة </v>
          </cell>
        </row>
        <row r="1015">
          <cell r="A1015">
            <v>94</v>
          </cell>
          <cell r="B1015">
            <v>46082</v>
          </cell>
          <cell r="C1015">
            <v>20</v>
          </cell>
          <cell r="D1015" t="str">
            <v xml:space="preserve">الخزينة </v>
          </cell>
        </row>
        <row r="1016">
          <cell r="A1016">
            <v>90</v>
          </cell>
          <cell r="B1016">
            <v>46082</v>
          </cell>
          <cell r="C1016">
            <v>20</v>
          </cell>
          <cell r="D1016" t="str">
            <v xml:space="preserve">الخزينة </v>
          </cell>
        </row>
        <row r="1017">
          <cell r="A1017">
            <v>5</v>
          </cell>
          <cell r="B1017">
            <v>46082</v>
          </cell>
          <cell r="C1017">
            <v>20</v>
          </cell>
          <cell r="D1017" t="str">
            <v xml:space="preserve">الخزينة </v>
          </cell>
        </row>
        <row r="1018">
          <cell r="A1018">
            <v>16</v>
          </cell>
          <cell r="B1018">
            <v>46082</v>
          </cell>
          <cell r="C1018">
            <v>20</v>
          </cell>
          <cell r="D1018" t="str">
            <v xml:space="preserve">الخزينة </v>
          </cell>
        </row>
        <row r="1019">
          <cell r="A1019">
            <v>22</v>
          </cell>
          <cell r="B1019">
            <v>46082</v>
          </cell>
          <cell r="C1019">
            <v>20</v>
          </cell>
          <cell r="D1019" t="str">
            <v xml:space="preserve">الخزينة </v>
          </cell>
        </row>
        <row r="1020">
          <cell r="A1020">
            <v>24</v>
          </cell>
          <cell r="B1020">
            <v>46082</v>
          </cell>
          <cell r="C1020">
            <v>20</v>
          </cell>
          <cell r="D1020" t="str">
            <v xml:space="preserve">الخزينة </v>
          </cell>
        </row>
        <row r="1021">
          <cell r="A1021">
            <v>87</v>
          </cell>
          <cell r="B1021">
            <v>46082</v>
          </cell>
          <cell r="C1021">
            <v>20</v>
          </cell>
          <cell r="D1021" t="str">
            <v xml:space="preserve">الخزينة </v>
          </cell>
        </row>
        <row r="1022">
          <cell r="A1022">
            <v>87</v>
          </cell>
          <cell r="B1022">
            <v>46082</v>
          </cell>
          <cell r="C1022">
            <v>20</v>
          </cell>
          <cell r="D1022" t="str">
            <v xml:space="preserve">الخزينة </v>
          </cell>
        </row>
        <row r="1023">
          <cell r="A1023">
            <v>75</v>
          </cell>
          <cell r="B1023">
            <v>46082</v>
          </cell>
          <cell r="C1023">
            <v>20</v>
          </cell>
          <cell r="D1023" t="str">
            <v xml:space="preserve">الخزينة </v>
          </cell>
        </row>
        <row r="1024">
          <cell r="A1024">
            <v>69</v>
          </cell>
          <cell r="B1024">
            <v>46082</v>
          </cell>
          <cell r="C1024">
            <v>20</v>
          </cell>
          <cell r="D1024" t="str">
            <v xml:space="preserve">الخزينة </v>
          </cell>
        </row>
        <row r="1025">
          <cell r="A1025">
            <v>63</v>
          </cell>
          <cell r="B1025">
            <v>46082</v>
          </cell>
          <cell r="C1025">
            <v>20</v>
          </cell>
          <cell r="D1025" t="str">
            <v xml:space="preserve">الخزينة </v>
          </cell>
        </row>
        <row r="1026">
          <cell r="A1026">
            <v>59</v>
          </cell>
          <cell r="B1026">
            <v>46082</v>
          </cell>
          <cell r="C1026">
            <v>20</v>
          </cell>
          <cell r="D1026" t="str">
            <v xml:space="preserve">الخزينة </v>
          </cell>
        </row>
        <row r="1027">
          <cell r="A1027">
            <v>59</v>
          </cell>
          <cell r="B1027">
            <v>46082</v>
          </cell>
          <cell r="C1027">
            <v>20</v>
          </cell>
          <cell r="D1027" t="str">
            <v xml:space="preserve">الخزينة </v>
          </cell>
        </row>
        <row r="1028">
          <cell r="A1028">
            <v>63</v>
          </cell>
          <cell r="B1028">
            <v>46082</v>
          </cell>
          <cell r="C1028">
            <v>20</v>
          </cell>
          <cell r="D1028" t="str">
            <v xml:space="preserve">الخزينة </v>
          </cell>
        </row>
        <row r="1029">
          <cell r="A1029">
            <v>63</v>
          </cell>
          <cell r="B1029">
            <v>46082</v>
          </cell>
          <cell r="C1029">
            <v>20</v>
          </cell>
          <cell r="D1029" t="str">
            <v xml:space="preserve">الخزينة </v>
          </cell>
        </row>
        <row r="1030">
          <cell r="A1030">
            <v>90</v>
          </cell>
          <cell r="B1030">
            <v>46081</v>
          </cell>
          <cell r="C1030">
            <v>20</v>
          </cell>
          <cell r="D1030" t="str">
            <v xml:space="preserve">الخزينة </v>
          </cell>
        </row>
        <row r="1031">
          <cell r="A1031">
            <v>70</v>
          </cell>
          <cell r="B1031">
            <v>46081</v>
          </cell>
          <cell r="C1031">
            <v>20</v>
          </cell>
          <cell r="D1031" t="str">
            <v xml:space="preserve">الخزينة </v>
          </cell>
        </row>
        <row r="1032">
          <cell r="A1032">
            <v>54</v>
          </cell>
          <cell r="B1032">
            <v>46081</v>
          </cell>
          <cell r="C1032">
            <v>20</v>
          </cell>
          <cell r="D1032" t="str">
            <v xml:space="preserve">الخزينة </v>
          </cell>
        </row>
        <row r="1033">
          <cell r="A1033">
            <v>90</v>
          </cell>
          <cell r="B1033">
            <v>46079</v>
          </cell>
          <cell r="C1033">
            <v>20</v>
          </cell>
          <cell r="D1033" t="str">
            <v xml:space="preserve">الخزينة </v>
          </cell>
        </row>
        <row r="1034">
          <cell r="A1034">
            <v>70</v>
          </cell>
          <cell r="B1034">
            <v>46079</v>
          </cell>
          <cell r="C1034">
            <v>20</v>
          </cell>
          <cell r="D1034" t="str">
            <v xml:space="preserve">الخزينة </v>
          </cell>
        </row>
        <row r="1035">
          <cell r="A1035">
            <v>66</v>
          </cell>
          <cell r="B1035">
            <v>46079</v>
          </cell>
          <cell r="C1035">
            <v>20</v>
          </cell>
          <cell r="D1035" t="str">
            <v xml:space="preserve">الخزينة </v>
          </cell>
        </row>
        <row r="1036">
          <cell r="A1036">
            <v>66</v>
          </cell>
          <cell r="B1036">
            <v>46079</v>
          </cell>
          <cell r="C1036">
            <v>20</v>
          </cell>
          <cell r="D1036" t="str">
            <v xml:space="preserve">الخزينة </v>
          </cell>
        </row>
        <row r="1037">
          <cell r="A1037">
            <v>66</v>
          </cell>
          <cell r="B1037">
            <v>46079</v>
          </cell>
          <cell r="C1037">
            <v>20</v>
          </cell>
          <cell r="D1037" t="str">
            <v xml:space="preserve">الخزينة </v>
          </cell>
        </row>
        <row r="1038">
          <cell r="A1038">
            <v>66</v>
          </cell>
          <cell r="B1038">
            <v>46079</v>
          </cell>
          <cell r="C1038">
            <v>20</v>
          </cell>
          <cell r="D1038" t="str">
            <v xml:space="preserve">الخزينة </v>
          </cell>
        </row>
        <row r="1039">
          <cell r="A1039">
            <v>63</v>
          </cell>
          <cell r="B1039">
            <v>46079</v>
          </cell>
          <cell r="C1039">
            <v>20</v>
          </cell>
          <cell r="D1039" t="str">
            <v xml:space="preserve">الخزينة </v>
          </cell>
        </row>
        <row r="1040">
          <cell r="A1040">
            <v>70</v>
          </cell>
          <cell r="B1040">
            <v>46078</v>
          </cell>
          <cell r="C1040">
            <v>20</v>
          </cell>
          <cell r="D1040" t="str">
            <v xml:space="preserve">الخزينة </v>
          </cell>
        </row>
        <row r="1041">
          <cell r="A1041">
            <v>55</v>
          </cell>
          <cell r="B1041">
            <v>46078</v>
          </cell>
          <cell r="C1041">
            <v>20</v>
          </cell>
          <cell r="D1041" t="str">
            <v xml:space="preserve">الخزينة </v>
          </cell>
        </row>
        <row r="1042">
          <cell r="A1042">
            <v>64</v>
          </cell>
          <cell r="B1042">
            <v>46078</v>
          </cell>
          <cell r="C1042">
            <v>20</v>
          </cell>
          <cell r="D1042" t="str">
            <v xml:space="preserve">الخزينة </v>
          </cell>
        </row>
        <row r="1043">
          <cell r="A1043">
            <v>64</v>
          </cell>
          <cell r="B1043">
            <v>46078</v>
          </cell>
          <cell r="C1043">
            <v>20</v>
          </cell>
          <cell r="D1043" t="str">
            <v xml:space="preserve">الخزينة </v>
          </cell>
        </row>
        <row r="1044">
          <cell r="A1044">
            <v>63</v>
          </cell>
          <cell r="B1044">
            <v>46078</v>
          </cell>
          <cell r="C1044">
            <v>20</v>
          </cell>
          <cell r="D1044" t="str">
            <v xml:space="preserve">الخزينة </v>
          </cell>
        </row>
        <row r="1045">
          <cell r="A1045">
            <v>12</v>
          </cell>
          <cell r="B1045">
            <v>46077</v>
          </cell>
          <cell r="C1045">
            <v>20</v>
          </cell>
          <cell r="D1045" t="str">
            <v xml:space="preserve">الخزينة </v>
          </cell>
        </row>
        <row r="1046">
          <cell r="A1046">
            <v>30</v>
          </cell>
          <cell r="B1046">
            <v>46077</v>
          </cell>
          <cell r="C1046">
            <v>20</v>
          </cell>
          <cell r="D1046" t="str">
            <v xml:space="preserve">الخزينة </v>
          </cell>
        </row>
        <row r="1047">
          <cell r="A1047">
            <v>30</v>
          </cell>
          <cell r="B1047">
            <v>46077</v>
          </cell>
          <cell r="C1047">
            <v>20</v>
          </cell>
          <cell r="D1047" t="str">
            <v xml:space="preserve">الخزينة </v>
          </cell>
        </row>
        <row r="1048">
          <cell r="A1048">
            <v>37</v>
          </cell>
          <cell r="B1048">
            <v>46077</v>
          </cell>
          <cell r="C1048">
            <v>20</v>
          </cell>
          <cell r="D1048" t="str">
            <v xml:space="preserve">الخزينة </v>
          </cell>
        </row>
        <row r="1049">
          <cell r="A1049">
            <v>53</v>
          </cell>
          <cell r="B1049">
            <v>46077</v>
          </cell>
          <cell r="C1049">
            <v>20</v>
          </cell>
          <cell r="D1049" t="str">
            <v xml:space="preserve">الخزينة </v>
          </cell>
        </row>
        <row r="1050">
          <cell r="A1050">
            <v>66</v>
          </cell>
          <cell r="B1050">
            <v>46077</v>
          </cell>
          <cell r="C1050">
            <v>20</v>
          </cell>
          <cell r="D1050" t="str">
            <v xml:space="preserve">الخزينة </v>
          </cell>
        </row>
        <row r="1051">
          <cell r="A1051">
            <v>66</v>
          </cell>
          <cell r="B1051">
            <v>46077</v>
          </cell>
          <cell r="C1051">
            <v>20</v>
          </cell>
          <cell r="D1051" t="str">
            <v xml:space="preserve">الخزينة </v>
          </cell>
        </row>
        <row r="1052">
          <cell r="A1052">
            <v>66</v>
          </cell>
          <cell r="B1052">
            <v>46077</v>
          </cell>
          <cell r="C1052">
            <v>20</v>
          </cell>
          <cell r="D1052" t="str">
            <v xml:space="preserve">الخزينة </v>
          </cell>
        </row>
        <row r="1053">
          <cell r="A1053">
            <v>55</v>
          </cell>
          <cell r="B1053">
            <v>46077</v>
          </cell>
          <cell r="C1053">
            <v>20</v>
          </cell>
          <cell r="D1053" t="str">
            <v xml:space="preserve">الخزينة </v>
          </cell>
        </row>
        <row r="1054">
          <cell r="A1054">
            <v>64</v>
          </cell>
          <cell r="B1054">
            <v>46077</v>
          </cell>
          <cell r="C1054">
            <v>20</v>
          </cell>
          <cell r="D1054" t="str">
            <v xml:space="preserve">الخزينة </v>
          </cell>
        </row>
        <row r="1055">
          <cell r="A1055">
            <v>60</v>
          </cell>
          <cell r="B1055">
            <v>46077</v>
          </cell>
          <cell r="C1055">
            <v>20</v>
          </cell>
          <cell r="D1055" t="str">
            <v xml:space="preserve">الخزينة </v>
          </cell>
        </row>
        <row r="1056">
          <cell r="A1056">
            <v>10</v>
          </cell>
          <cell r="B1056">
            <v>46076</v>
          </cell>
          <cell r="C1056">
            <v>20</v>
          </cell>
          <cell r="D1056" t="str">
            <v xml:space="preserve">الخزينة </v>
          </cell>
        </row>
        <row r="1057">
          <cell r="A1057">
            <v>87</v>
          </cell>
          <cell r="B1057">
            <v>46076</v>
          </cell>
          <cell r="C1057">
            <v>20</v>
          </cell>
          <cell r="D1057" t="str">
            <v xml:space="preserve">الخزينة </v>
          </cell>
        </row>
        <row r="1058">
          <cell r="A1058">
            <v>70</v>
          </cell>
          <cell r="B1058">
            <v>46076</v>
          </cell>
          <cell r="C1058">
            <v>20</v>
          </cell>
          <cell r="D1058" t="str">
            <v xml:space="preserve">الخزينة </v>
          </cell>
        </row>
        <row r="1059">
          <cell r="A1059">
            <v>30</v>
          </cell>
          <cell r="B1059">
            <v>46075</v>
          </cell>
          <cell r="C1059">
            <v>20</v>
          </cell>
          <cell r="D1059" t="str">
            <v xml:space="preserve">الخزينة </v>
          </cell>
        </row>
        <row r="1060">
          <cell r="A1060">
            <v>70</v>
          </cell>
          <cell r="B1060">
            <v>46075</v>
          </cell>
          <cell r="C1060">
            <v>20</v>
          </cell>
          <cell r="D1060" t="str">
            <v xml:space="preserve">الخزينة </v>
          </cell>
        </row>
        <row r="1061">
          <cell r="A1061">
            <v>67</v>
          </cell>
          <cell r="B1061">
            <v>46075</v>
          </cell>
          <cell r="C1061">
            <v>20</v>
          </cell>
          <cell r="D1061" t="str">
            <v xml:space="preserve">الخزينة </v>
          </cell>
        </row>
        <row r="1062">
          <cell r="A1062">
            <v>57</v>
          </cell>
          <cell r="B1062">
            <v>46075</v>
          </cell>
          <cell r="C1062">
            <v>20</v>
          </cell>
          <cell r="D1062" t="str">
            <v xml:space="preserve">الخزينة </v>
          </cell>
        </row>
        <row r="1063">
          <cell r="A1063">
            <v>63</v>
          </cell>
          <cell r="B1063">
            <v>46075</v>
          </cell>
          <cell r="C1063">
            <v>20</v>
          </cell>
          <cell r="D1063" t="str">
            <v xml:space="preserve">الخزينة </v>
          </cell>
        </row>
        <row r="1064">
          <cell r="A1064">
            <v>90</v>
          </cell>
          <cell r="B1064">
            <v>46072</v>
          </cell>
          <cell r="C1064">
            <v>20</v>
          </cell>
          <cell r="D1064" t="str">
            <v xml:space="preserve">الخزينة </v>
          </cell>
        </row>
        <row r="1065">
          <cell r="A1065">
            <v>90</v>
          </cell>
          <cell r="B1065">
            <v>46071</v>
          </cell>
          <cell r="C1065">
            <v>20</v>
          </cell>
          <cell r="D1065" t="str">
            <v xml:space="preserve">الخزينة </v>
          </cell>
        </row>
        <row r="1066">
          <cell r="A1066">
            <v>90</v>
          </cell>
          <cell r="B1066">
            <v>46071</v>
          </cell>
          <cell r="C1066">
            <v>20</v>
          </cell>
          <cell r="D1066" t="str">
            <v xml:space="preserve">الخزينة </v>
          </cell>
        </row>
        <row r="1067">
          <cell r="A1067">
            <v>90</v>
          </cell>
          <cell r="B1067">
            <v>46071</v>
          </cell>
          <cell r="C1067">
            <v>20</v>
          </cell>
          <cell r="D1067" t="str">
            <v xml:space="preserve">الخزينة </v>
          </cell>
        </row>
        <row r="1068">
          <cell r="A1068">
            <v>2</v>
          </cell>
          <cell r="B1068">
            <v>46071</v>
          </cell>
          <cell r="C1068">
            <v>20</v>
          </cell>
          <cell r="D1068" t="str">
            <v xml:space="preserve">الخزينة </v>
          </cell>
        </row>
        <row r="1069">
          <cell r="A1069">
            <v>17</v>
          </cell>
          <cell r="B1069">
            <v>46071</v>
          </cell>
          <cell r="C1069">
            <v>20</v>
          </cell>
          <cell r="D1069" t="str">
            <v xml:space="preserve">الخزينة </v>
          </cell>
        </row>
        <row r="1070">
          <cell r="A1070">
            <v>88</v>
          </cell>
          <cell r="B1070">
            <v>46071</v>
          </cell>
          <cell r="C1070">
            <v>20</v>
          </cell>
          <cell r="D1070" t="str">
            <v xml:space="preserve">الخزينة </v>
          </cell>
        </row>
        <row r="1071">
          <cell r="A1071">
            <v>27</v>
          </cell>
          <cell r="B1071">
            <v>46071</v>
          </cell>
          <cell r="C1071">
            <v>20</v>
          </cell>
          <cell r="D1071" t="str">
            <v xml:space="preserve">الخزينة </v>
          </cell>
        </row>
        <row r="1072">
          <cell r="A1072">
            <v>27</v>
          </cell>
          <cell r="B1072">
            <v>46071</v>
          </cell>
          <cell r="C1072">
            <v>20</v>
          </cell>
          <cell r="D1072" t="str">
            <v xml:space="preserve">الخزينة </v>
          </cell>
        </row>
        <row r="1073">
          <cell r="A1073">
            <v>87</v>
          </cell>
          <cell r="B1073">
            <v>46071</v>
          </cell>
          <cell r="C1073">
            <v>20</v>
          </cell>
          <cell r="D1073" t="str">
            <v xml:space="preserve">الخزينة </v>
          </cell>
        </row>
        <row r="1074">
          <cell r="A1074">
            <v>40</v>
          </cell>
          <cell r="B1074">
            <v>46071</v>
          </cell>
          <cell r="C1074">
            <v>20</v>
          </cell>
          <cell r="D1074" t="str">
            <v xml:space="preserve">الخزينة </v>
          </cell>
        </row>
        <row r="1075">
          <cell r="A1075">
            <v>46</v>
          </cell>
          <cell r="B1075">
            <v>46071</v>
          </cell>
          <cell r="C1075">
            <v>20</v>
          </cell>
          <cell r="D1075" t="str">
            <v xml:space="preserve">الخزينة </v>
          </cell>
        </row>
        <row r="1076">
          <cell r="A1076">
            <v>70</v>
          </cell>
          <cell r="B1076">
            <v>46071</v>
          </cell>
          <cell r="C1076">
            <v>20</v>
          </cell>
          <cell r="D1076" t="str">
            <v xml:space="preserve">الخزينة </v>
          </cell>
        </row>
        <row r="1077">
          <cell r="A1077">
            <v>53</v>
          </cell>
          <cell r="B1077">
            <v>46071</v>
          </cell>
          <cell r="C1077">
            <v>20</v>
          </cell>
          <cell r="D1077" t="str">
            <v xml:space="preserve">الخزينة </v>
          </cell>
        </row>
        <row r="1078">
          <cell r="A1078">
            <v>67</v>
          </cell>
          <cell r="B1078">
            <v>46071</v>
          </cell>
          <cell r="C1078">
            <v>20</v>
          </cell>
          <cell r="D1078" t="str">
            <v xml:space="preserve">الخزينة </v>
          </cell>
        </row>
        <row r="1079">
          <cell r="A1079">
            <v>54</v>
          </cell>
          <cell r="B1079">
            <v>46071</v>
          </cell>
          <cell r="C1079">
            <v>20</v>
          </cell>
          <cell r="D1079" t="str">
            <v xml:space="preserve">الخزينة </v>
          </cell>
        </row>
        <row r="1080">
          <cell r="A1080">
            <v>54</v>
          </cell>
          <cell r="B1080">
            <v>46071</v>
          </cell>
          <cell r="C1080">
            <v>20</v>
          </cell>
          <cell r="D1080" t="str">
            <v xml:space="preserve">الخزينة </v>
          </cell>
        </row>
        <row r="1081">
          <cell r="A1081">
            <v>66</v>
          </cell>
          <cell r="B1081">
            <v>46071</v>
          </cell>
          <cell r="C1081">
            <v>20</v>
          </cell>
          <cell r="D1081" t="str">
            <v xml:space="preserve">الخزينة </v>
          </cell>
        </row>
        <row r="1082">
          <cell r="A1082">
            <v>66</v>
          </cell>
          <cell r="B1082">
            <v>46071</v>
          </cell>
          <cell r="C1082">
            <v>20</v>
          </cell>
          <cell r="D1082" t="str">
            <v xml:space="preserve">الخزينة </v>
          </cell>
        </row>
        <row r="1083">
          <cell r="A1083">
            <v>66</v>
          </cell>
          <cell r="B1083">
            <v>46071</v>
          </cell>
          <cell r="C1083">
            <v>20</v>
          </cell>
          <cell r="D1083" t="str">
            <v xml:space="preserve">الخزينة </v>
          </cell>
        </row>
        <row r="1084">
          <cell r="A1084">
            <v>55</v>
          </cell>
          <cell r="B1084">
            <v>46071</v>
          </cell>
          <cell r="C1084">
            <v>20</v>
          </cell>
          <cell r="D1084" t="str">
            <v xml:space="preserve">الخزينة </v>
          </cell>
        </row>
        <row r="1085">
          <cell r="A1085">
            <v>59</v>
          </cell>
          <cell r="B1085">
            <v>46071</v>
          </cell>
          <cell r="C1085">
            <v>20</v>
          </cell>
          <cell r="D1085" t="str">
            <v xml:space="preserve">الخزينة </v>
          </cell>
        </row>
        <row r="1086">
          <cell r="A1086">
            <v>59</v>
          </cell>
          <cell r="B1086">
            <v>46071</v>
          </cell>
          <cell r="C1086">
            <v>20</v>
          </cell>
          <cell r="D1086" t="str">
            <v xml:space="preserve">الخزينة </v>
          </cell>
        </row>
        <row r="1087">
          <cell r="A1087">
            <v>59</v>
          </cell>
          <cell r="B1087">
            <v>46071</v>
          </cell>
          <cell r="C1087">
            <v>20</v>
          </cell>
          <cell r="D1087" t="str">
            <v xml:space="preserve">الخزينة </v>
          </cell>
        </row>
        <row r="1088">
          <cell r="A1088">
            <v>59</v>
          </cell>
          <cell r="B1088">
            <v>46071</v>
          </cell>
          <cell r="C1088">
            <v>20</v>
          </cell>
          <cell r="D1088" t="str">
            <v xml:space="preserve">الخزينة </v>
          </cell>
        </row>
        <row r="1089">
          <cell r="A1089">
            <v>60</v>
          </cell>
          <cell r="B1089">
            <v>46071</v>
          </cell>
          <cell r="C1089">
            <v>20</v>
          </cell>
          <cell r="D1089" t="str">
            <v xml:space="preserve">الخزينة </v>
          </cell>
        </row>
        <row r="1090">
          <cell r="A1090">
            <v>5</v>
          </cell>
          <cell r="B1090">
            <v>46070</v>
          </cell>
          <cell r="C1090">
            <v>20</v>
          </cell>
          <cell r="D1090" t="str">
            <v xml:space="preserve">الخزينة </v>
          </cell>
        </row>
        <row r="1091">
          <cell r="A1091">
            <v>16</v>
          </cell>
          <cell r="B1091">
            <v>46070</v>
          </cell>
          <cell r="C1091">
            <v>20</v>
          </cell>
          <cell r="D1091" t="str">
            <v xml:space="preserve">الخزينة </v>
          </cell>
        </row>
        <row r="1092">
          <cell r="A1092">
            <v>89</v>
          </cell>
          <cell r="B1092">
            <v>46070</v>
          </cell>
          <cell r="C1092">
            <v>20</v>
          </cell>
          <cell r="D1092" t="str">
            <v xml:space="preserve">الخزينة </v>
          </cell>
        </row>
        <row r="1093">
          <cell r="A1093">
            <v>88</v>
          </cell>
          <cell r="B1093">
            <v>46070</v>
          </cell>
          <cell r="C1093">
            <v>20</v>
          </cell>
          <cell r="D1093" t="str">
            <v xml:space="preserve">الخزينة </v>
          </cell>
        </row>
        <row r="1094">
          <cell r="A1094">
            <v>88</v>
          </cell>
          <cell r="B1094">
            <v>46070</v>
          </cell>
          <cell r="C1094">
            <v>20</v>
          </cell>
          <cell r="D1094" t="str">
            <v xml:space="preserve">الخزينة </v>
          </cell>
        </row>
        <row r="1095">
          <cell r="A1095">
            <v>28</v>
          </cell>
          <cell r="B1095">
            <v>46070</v>
          </cell>
          <cell r="C1095">
            <v>20</v>
          </cell>
          <cell r="D1095" t="str">
            <v xml:space="preserve">الخزينة </v>
          </cell>
        </row>
        <row r="1096">
          <cell r="A1096">
            <v>85</v>
          </cell>
          <cell r="B1096">
            <v>46070</v>
          </cell>
          <cell r="C1096">
            <v>20</v>
          </cell>
          <cell r="D1096" t="str">
            <v xml:space="preserve">الخزينة </v>
          </cell>
        </row>
        <row r="1097">
          <cell r="A1097">
            <v>33</v>
          </cell>
          <cell r="B1097">
            <v>46070</v>
          </cell>
          <cell r="C1097">
            <v>20</v>
          </cell>
          <cell r="D1097" t="str">
            <v xml:space="preserve">الخزينة </v>
          </cell>
        </row>
        <row r="1098">
          <cell r="A1098">
            <v>48</v>
          </cell>
          <cell r="B1098">
            <v>46070</v>
          </cell>
          <cell r="C1098">
            <v>20</v>
          </cell>
          <cell r="D1098" t="str">
            <v xml:space="preserve">الخزينة </v>
          </cell>
        </row>
        <row r="1099">
          <cell r="A1099">
            <v>70</v>
          </cell>
          <cell r="B1099">
            <v>46070</v>
          </cell>
          <cell r="C1099">
            <v>20</v>
          </cell>
          <cell r="D1099" t="str">
            <v xml:space="preserve">الخزينة </v>
          </cell>
        </row>
        <row r="1100">
          <cell r="A1100">
            <v>49</v>
          </cell>
          <cell r="B1100">
            <v>46070</v>
          </cell>
          <cell r="C1100">
            <v>20</v>
          </cell>
          <cell r="D1100" t="str">
            <v xml:space="preserve">الخزينة </v>
          </cell>
        </row>
        <row r="1101">
          <cell r="A1101">
            <v>70</v>
          </cell>
          <cell r="B1101">
            <v>46070</v>
          </cell>
          <cell r="C1101">
            <v>20</v>
          </cell>
          <cell r="D1101" t="str">
            <v xml:space="preserve">الخزينة </v>
          </cell>
        </row>
        <row r="1102">
          <cell r="A1102">
            <v>70</v>
          </cell>
          <cell r="B1102">
            <v>46070</v>
          </cell>
          <cell r="C1102">
            <v>20</v>
          </cell>
          <cell r="D1102" t="str">
            <v xml:space="preserve">الخزينة </v>
          </cell>
        </row>
        <row r="1103">
          <cell r="A1103">
            <v>68</v>
          </cell>
          <cell r="B1103">
            <v>46070</v>
          </cell>
          <cell r="C1103">
            <v>20</v>
          </cell>
          <cell r="D1103" t="str">
            <v xml:space="preserve">الخزينة </v>
          </cell>
        </row>
        <row r="1104">
          <cell r="A1104">
            <v>53</v>
          </cell>
          <cell r="B1104">
            <v>46070</v>
          </cell>
          <cell r="C1104">
            <v>20</v>
          </cell>
          <cell r="D1104" t="str">
            <v xml:space="preserve">الخزينة </v>
          </cell>
        </row>
        <row r="1105">
          <cell r="A1105">
            <v>55</v>
          </cell>
          <cell r="B1105">
            <v>46070</v>
          </cell>
          <cell r="C1105">
            <v>20</v>
          </cell>
          <cell r="D1105" t="str">
            <v xml:space="preserve">الخزينة </v>
          </cell>
        </row>
        <row r="1106">
          <cell r="A1106">
            <v>64</v>
          </cell>
          <cell r="B1106">
            <v>46070</v>
          </cell>
          <cell r="C1106">
            <v>20</v>
          </cell>
          <cell r="D1106" t="str">
            <v xml:space="preserve">الخزينة </v>
          </cell>
        </row>
        <row r="1107">
          <cell r="A1107">
            <v>59</v>
          </cell>
          <cell r="B1107">
            <v>46070</v>
          </cell>
          <cell r="C1107">
            <v>20</v>
          </cell>
          <cell r="D1107" t="str">
            <v xml:space="preserve">الخزينة </v>
          </cell>
        </row>
        <row r="1108">
          <cell r="A1108">
            <v>63</v>
          </cell>
          <cell r="B1108">
            <v>46070</v>
          </cell>
          <cell r="C1108">
            <v>20</v>
          </cell>
          <cell r="D1108" t="str">
            <v xml:space="preserve">الخزينة </v>
          </cell>
        </row>
        <row r="1109">
          <cell r="A1109">
            <v>60</v>
          </cell>
          <cell r="B1109">
            <v>46070</v>
          </cell>
          <cell r="C1109">
            <v>20</v>
          </cell>
          <cell r="D1109" t="str">
            <v xml:space="preserve">الخزينة </v>
          </cell>
        </row>
        <row r="1110">
          <cell r="A1110">
            <v>86</v>
          </cell>
          <cell r="B1110">
            <v>46069</v>
          </cell>
          <cell r="C1110">
            <v>20</v>
          </cell>
          <cell r="D1110" t="str">
            <v xml:space="preserve">الخزينة </v>
          </cell>
        </row>
        <row r="1111">
          <cell r="A1111">
            <v>37</v>
          </cell>
          <cell r="B1111">
            <v>46069</v>
          </cell>
          <cell r="C1111">
            <v>20</v>
          </cell>
          <cell r="D1111" t="str">
            <v xml:space="preserve">الخزينة </v>
          </cell>
        </row>
        <row r="1112">
          <cell r="A1112">
            <v>53</v>
          </cell>
          <cell r="B1112">
            <v>46069</v>
          </cell>
          <cell r="C1112">
            <v>20</v>
          </cell>
          <cell r="D1112" t="str">
            <v xml:space="preserve">الخزينة </v>
          </cell>
        </row>
        <row r="1113">
          <cell r="A1113">
            <v>53</v>
          </cell>
          <cell r="B1113">
            <v>46069</v>
          </cell>
          <cell r="C1113">
            <v>20</v>
          </cell>
          <cell r="D1113" t="str">
            <v xml:space="preserve">الخزينة </v>
          </cell>
        </row>
        <row r="1114">
          <cell r="A1114">
            <v>54</v>
          </cell>
          <cell r="B1114">
            <v>46069</v>
          </cell>
          <cell r="C1114">
            <v>20</v>
          </cell>
          <cell r="D1114" t="str">
            <v xml:space="preserve">الخزينة </v>
          </cell>
        </row>
        <row r="1115">
          <cell r="A1115">
            <v>90</v>
          </cell>
          <cell r="B1115">
            <v>46068</v>
          </cell>
          <cell r="C1115">
            <v>20</v>
          </cell>
          <cell r="D1115" t="str">
            <v xml:space="preserve">الخزينة </v>
          </cell>
        </row>
        <row r="1116">
          <cell r="A1116">
            <v>87</v>
          </cell>
          <cell r="B1116">
            <v>46068</v>
          </cell>
          <cell r="C1116">
            <v>20</v>
          </cell>
          <cell r="D1116" t="str">
            <v xml:space="preserve">الخزينة </v>
          </cell>
        </row>
        <row r="1117">
          <cell r="A1117">
            <v>68</v>
          </cell>
          <cell r="B1117">
            <v>46068</v>
          </cell>
          <cell r="C1117">
            <v>20</v>
          </cell>
          <cell r="D1117" t="str">
            <v xml:space="preserve">الخزينة </v>
          </cell>
        </row>
        <row r="1118">
          <cell r="A1118">
            <v>53</v>
          </cell>
          <cell r="B1118">
            <v>46068</v>
          </cell>
          <cell r="C1118">
            <v>20</v>
          </cell>
          <cell r="D1118" t="str">
            <v xml:space="preserve">الخزينة </v>
          </cell>
        </row>
        <row r="1119">
          <cell r="A1119">
            <v>56</v>
          </cell>
          <cell r="B1119">
            <v>46068</v>
          </cell>
          <cell r="C1119">
            <v>20</v>
          </cell>
          <cell r="D1119" t="str">
            <v xml:space="preserve">الخزينة </v>
          </cell>
        </row>
        <row r="1120">
          <cell r="A1120">
            <v>59</v>
          </cell>
          <cell r="B1120">
            <v>46068</v>
          </cell>
          <cell r="C1120">
            <v>20</v>
          </cell>
          <cell r="D1120" t="str">
            <v xml:space="preserve">الخزينة </v>
          </cell>
        </row>
        <row r="1121">
          <cell r="A1121">
            <v>60</v>
          </cell>
          <cell r="B1121">
            <v>46068</v>
          </cell>
          <cell r="C1121">
            <v>20</v>
          </cell>
          <cell r="D1121" t="str">
            <v xml:space="preserve">الخزينة </v>
          </cell>
        </row>
        <row r="1122">
          <cell r="A1122">
            <v>60</v>
          </cell>
          <cell r="B1122">
            <v>46068</v>
          </cell>
          <cell r="C1122">
            <v>20</v>
          </cell>
          <cell r="D1122" t="str">
            <v xml:space="preserve">الخزينة </v>
          </cell>
        </row>
        <row r="1123">
          <cell r="A1123">
            <v>60</v>
          </cell>
          <cell r="B1123">
            <v>46068</v>
          </cell>
          <cell r="C1123">
            <v>20</v>
          </cell>
          <cell r="D1123" t="str">
            <v xml:space="preserve">الخزينة </v>
          </cell>
        </row>
        <row r="1124">
          <cell r="A1124">
            <v>94</v>
          </cell>
          <cell r="B1124">
            <v>46067</v>
          </cell>
          <cell r="C1124">
            <v>20</v>
          </cell>
          <cell r="D1124" t="str">
            <v xml:space="preserve">الخزينة </v>
          </cell>
        </row>
        <row r="1125">
          <cell r="A1125">
            <v>90</v>
          </cell>
          <cell r="B1125">
            <v>46067</v>
          </cell>
          <cell r="C1125">
            <v>20</v>
          </cell>
          <cell r="D1125" t="str">
            <v xml:space="preserve">الخزينة </v>
          </cell>
        </row>
        <row r="1126">
          <cell r="A1126">
            <v>16</v>
          </cell>
          <cell r="B1126">
            <v>46067</v>
          </cell>
          <cell r="C1126">
            <v>20</v>
          </cell>
          <cell r="D1126" t="str">
            <v xml:space="preserve">الخزينة </v>
          </cell>
        </row>
        <row r="1127">
          <cell r="A1127">
            <v>64</v>
          </cell>
          <cell r="B1127">
            <v>46067</v>
          </cell>
          <cell r="C1127">
            <v>20</v>
          </cell>
          <cell r="D1127" t="str">
            <v xml:space="preserve">الخزينة </v>
          </cell>
        </row>
        <row r="1128">
          <cell r="A1128">
            <v>5</v>
          </cell>
          <cell r="B1128">
            <v>46065</v>
          </cell>
          <cell r="C1128">
            <v>20</v>
          </cell>
          <cell r="D1128" t="str">
            <v xml:space="preserve">الخزينة </v>
          </cell>
        </row>
        <row r="1129">
          <cell r="A1129">
            <v>5</v>
          </cell>
          <cell r="B1129">
            <v>46065</v>
          </cell>
          <cell r="C1129">
            <v>20</v>
          </cell>
          <cell r="D1129" t="str">
            <v xml:space="preserve">الخزينة </v>
          </cell>
        </row>
        <row r="1130">
          <cell r="A1130">
            <v>10</v>
          </cell>
          <cell r="B1130">
            <v>46065</v>
          </cell>
          <cell r="C1130">
            <v>20</v>
          </cell>
          <cell r="D1130" t="str">
            <v xml:space="preserve">الخزينة </v>
          </cell>
        </row>
        <row r="1131">
          <cell r="A1131">
            <v>17</v>
          </cell>
          <cell r="B1131">
            <v>46065</v>
          </cell>
          <cell r="C1131">
            <v>20</v>
          </cell>
          <cell r="D1131" t="str">
            <v xml:space="preserve">الخزينة </v>
          </cell>
        </row>
        <row r="1132">
          <cell r="A1132">
            <v>17</v>
          </cell>
          <cell r="B1132">
            <v>46065</v>
          </cell>
          <cell r="C1132">
            <v>20</v>
          </cell>
          <cell r="D1132" t="str">
            <v xml:space="preserve">الخزينة </v>
          </cell>
        </row>
        <row r="1133">
          <cell r="A1133">
            <v>21</v>
          </cell>
          <cell r="B1133">
            <v>46065</v>
          </cell>
          <cell r="C1133">
            <v>20</v>
          </cell>
          <cell r="D1133" t="str">
            <v xml:space="preserve">الخزينة </v>
          </cell>
        </row>
        <row r="1134">
          <cell r="A1134">
            <v>22</v>
          </cell>
          <cell r="B1134">
            <v>46065</v>
          </cell>
          <cell r="C1134">
            <v>20</v>
          </cell>
          <cell r="D1134" t="str">
            <v xml:space="preserve">الخزينة </v>
          </cell>
        </row>
        <row r="1135">
          <cell r="A1135">
            <v>24</v>
          </cell>
          <cell r="B1135">
            <v>46065</v>
          </cell>
          <cell r="C1135">
            <v>20</v>
          </cell>
          <cell r="D1135" t="str">
            <v xml:space="preserve">الخزينة </v>
          </cell>
        </row>
        <row r="1136">
          <cell r="A1136">
            <v>33</v>
          </cell>
          <cell r="B1136">
            <v>46065</v>
          </cell>
          <cell r="C1136">
            <v>20</v>
          </cell>
          <cell r="D1136" t="str">
            <v xml:space="preserve">الخزينة </v>
          </cell>
        </row>
        <row r="1137">
          <cell r="A1137">
            <v>40</v>
          </cell>
          <cell r="B1137">
            <v>46065</v>
          </cell>
          <cell r="C1137">
            <v>20</v>
          </cell>
          <cell r="D1137" t="str">
            <v xml:space="preserve">الخزينة </v>
          </cell>
        </row>
        <row r="1138">
          <cell r="A1138">
            <v>40</v>
          </cell>
          <cell r="B1138">
            <v>46065</v>
          </cell>
          <cell r="C1138">
            <v>20</v>
          </cell>
          <cell r="D1138" t="str">
            <v xml:space="preserve">الخزينة </v>
          </cell>
        </row>
        <row r="1139">
          <cell r="A1139">
            <v>41</v>
          </cell>
          <cell r="B1139">
            <v>46065</v>
          </cell>
          <cell r="C1139">
            <v>20</v>
          </cell>
          <cell r="D1139" t="str">
            <v xml:space="preserve">الخزينة </v>
          </cell>
        </row>
        <row r="1140">
          <cell r="A1140">
            <v>44</v>
          </cell>
          <cell r="B1140">
            <v>46065</v>
          </cell>
          <cell r="C1140">
            <v>20</v>
          </cell>
          <cell r="D1140" t="str">
            <v xml:space="preserve">الخزينة </v>
          </cell>
        </row>
        <row r="1141">
          <cell r="A1141">
            <v>44</v>
          </cell>
          <cell r="B1141">
            <v>46065</v>
          </cell>
          <cell r="C1141">
            <v>20</v>
          </cell>
          <cell r="D1141" t="str">
            <v xml:space="preserve">الخزينة </v>
          </cell>
        </row>
        <row r="1142">
          <cell r="A1142">
            <v>70</v>
          </cell>
          <cell r="B1142">
            <v>46065</v>
          </cell>
          <cell r="C1142">
            <v>20</v>
          </cell>
          <cell r="D1142" t="str">
            <v xml:space="preserve">الخزينة </v>
          </cell>
        </row>
        <row r="1143">
          <cell r="A1143">
            <v>48</v>
          </cell>
          <cell r="B1143">
            <v>46065</v>
          </cell>
          <cell r="C1143">
            <v>20</v>
          </cell>
          <cell r="D1143" t="str">
            <v xml:space="preserve">الخزينة </v>
          </cell>
        </row>
        <row r="1144">
          <cell r="A1144">
            <v>70</v>
          </cell>
          <cell r="B1144">
            <v>46065</v>
          </cell>
          <cell r="C1144">
            <v>20</v>
          </cell>
          <cell r="D1144" t="str">
            <v xml:space="preserve">الخزينة </v>
          </cell>
        </row>
        <row r="1145">
          <cell r="A1145">
            <v>51</v>
          </cell>
          <cell r="B1145">
            <v>46065</v>
          </cell>
          <cell r="C1145">
            <v>20</v>
          </cell>
          <cell r="D1145" t="str">
            <v xml:space="preserve">الخزينة </v>
          </cell>
        </row>
        <row r="1146">
          <cell r="A1146">
            <v>51</v>
          </cell>
          <cell r="B1146">
            <v>46065</v>
          </cell>
          <cell r="C1146">
            <v>20</v>
          </cell>
          <cell r="D1146" t="str">
            <v xml:space="preserve">الخزينة </v>
          </cell>
        </row>
        <row r="1147">
          <cell r="A1147">
            <v>67</v>
          </cell>
          <cell r="B1147">
            <v>46065</v>
          </cell>
          <cell r="C1147">
            <v>20</v>
          </cell>
          <cell r="D1147" t="str">
            <v xml:space="preserve">الخزينة </v>
          </cell>
        </row>
        <row r="1148">
          <cell r="A1148">
            <v>66</v>
          </cell>
          <cell r="B1148">
            <v>46065</v>
          </cell>
          <cell r="C1148">
            <v>20</v>
          </cell>
          <cell r="D1148" t="str">
            <v xml:space="preserve">الخزينة </v>
          </cell>
        </row>
        <row r="1149">
          <cell r="A1149">
            <v>66</v>
          </cell>
          <cell r="B1149">
            <v>46065</v>
          </cell>
          <cell r="C1149">
            <v>20</v>
          </cell>
          <cell r="D1149" t="str">
            <v xml:space="preserve">الخزينة </v>
          </cell>
        </row>
        <row r="1150">
          <cell r="A1150">
            <v>55</v>
          </cell>
          <cell r="B1150">
            <v>46065</v>
          </cell>
          <cell r="C1150">
            <v>20</v>
          </cell>
          <cell r="D1150" t="str">
            <v xml:space="preserve">الخزينة </v>
          </cell>
        </row>
        <row r="1151">
          <cell r="A1151">
            <v>55</v>
          </cell>
          <cell r="B1151">
            <v>46065</v>
          </cell>
          <cell r="C1151">
            <v>20</v>
          </cell>
          <cell r="D1151" t="str">
            <v xml:space="preserve">الخزينة </v>
          </cell>
        </row>
        <row r="1152">
          <cell r="A1152">
            <v>55</v>
          </cell>
          <cell r="B1152">
            <v>46065</v>
          </cell>
          <cell r="C1152">
            <v>20</v>
          </cell>
          <cell r="D1152" t="str">
            <v xml:space="preserve">الخزينة </v>
          </cell>
        </row>
        <row r="1153">
          <cell r="A1153">
            <v>57</v>
          </cell>
          <cell r="B1153">
            <v>46065</v>
          </cell>
          <cell r="C1153">
            <v>20</v>
          </cell>
          <cell r="D1153" t="str">
            <v xml:space="preserve">الخزينة </v>
          </cell>
        </row>
        <row r="1154">
          <cell r="A1154">
            <v>59</v>
          </cell>
          <cell r="B1154">
            <v>46065</v>
          </cell>
          <cell r="C1154">
            <v>20</v>
          </cell>
          <cell r="D1154" t="str">
            <v xml:space="preserve">الخزينة </v>
          </cell>
        </row>
        <row r="1155">
          <cell r="A1155">
            <v>59</v>
          </cell>
          <cell r="B1155">
            <v>46065</v>
          </cell>
          <cell r="C1155">
            <v>20</v>
          </cell>
          <cell r="D1155" t="str">
            <v xml:space="preserve">الخزينة </v>
          </cell>
        </row>
        <row r="1156">
          <cell r="A1156">
            <v>60</v>
          </cell>
          <cell r="B1156">
            <v>46065</v>
          </cell>
          <cell r="C1156">
            <v>20</v>
          </cell>
          <cell r="D1156" t="str">
            <v xml:space="preserve">الخزينة </v>
          </cell>
        </row>
        <row r="1157">
          <cell r="A1157">
            <v>94</v>
          </cell>
          <cell r="B1157">
            <v>46064</v>
          </cell>
          <cell r="C1157">
            <v>20</v>
          </cell>
          <cell r="D1157" t="str">
            <v xml:space="preserve">الخزينة </v>
          </cell>
        </row>
        <row r="1158">
          <cell r="A1158">
            <v>90</v>
          </cell>
          <cell r="B1158">
            <v>46064</v>
          </cell>
          <cell r="C1158">
            <v>20</v>
          </cell>
          <cell r="D1158" t="str">
            <v xml:space="preserve">الخزينة </v>
          </cell>
        </row>
        <row r="1159">
          <cell r="A1159">
            <v>90</v>
          </cell>
          <cell r="B1159">
            <v>46064</v>
          </cell>
          <cell r="C1159">
            <v>20</v>
          </cell>
          <cell r="D1159" t="str">
            <v xml:space="preserve">الخزينة </v>
          </cell>
        </row>
        <row r="1160">
          <cell r="A1160">
            <v>3</v>
          </cell>
          <cell r="B1160">
            <v>46064</v>
          </cell>
          <cell r="C1160">
            <v>20</v>
          </cell>
          <cell r="D1160" t="str">
            <v xml:space="preserve">الخزينة </v>
          </cell>
        </row>
        <row r="1161">
          <cell r="A1161">
            <v>10</v>
          </cell>
          <cell r="B1161">
            <v>46064</v>
          </cell>
          <cell r="C1161">
            <v>20</v>
          </cell>
          <cell r="D1161" t="str">
            <v xml:space="preserve">الخزينة </v>
          </cell>
        </row>
        <row r="1162">
          <cell r="A1162">
            <v>14</v>
          </cell>
          <cell r="B1162">
            <v>46064</v>
          </cell>
          <cell r="C1162">
            <v>20</v>
          </cell>
          <cell r="D1162" t="str">
            <v xml:space="preserve">الخزينة </v>
          </cell>
        </row>
        <row r="1163">
          <cell r="A1163">
            <v>14</v>
          </cell>
          <cell r="B1163">
            <v>46064</v>
          </cell>
          <cell r="C1163">
            <v>20</v>
          </cell>
          <cell r="D1163" t="str">
            <v xml:space="preserve">الخزينة </v>
          </cell>
        </row>
        <row r="1164">
          <cell r="A1164">
            <v>87</v>
          </cell>
          <cell r="B1164">
            <v>46064</v>
          </cell>
          <cell r="C1164">
            <v>20</v>
          </cell>
          <cell r="D1164" t="str">
            <v xml:space="preserve">الخزينة </v>
          </cell>
        </row>
        <row r="1165">
          <cell r="A1165">
            <v>70</v>
          </cell>
          <cell r="B1165">
            <v>46064</v>
          </cell>
          <cell r="C1165">
            <v>20</v>
          </cell>
          <cell r="D1165" t="str">
            <v xml:space="preserve">الخزينة </v>
          </cell>
        </row>
        <row r="1166">
          <cell r="A1166">
            <v>53</v>
          </cell>
          <cell r="B1166">
            <v>46064</v>
          </cell>
          <cell r="C1166">
            <v>20</v>
          </cell>
          <cell r="D1166" t="str">
            <v xml:space="preserve">الخزينة </v>
          </cell>
        </row>
        <row r="1167">
          <cell r="A1167">
            <v>53</v>
          </cell>
          <cell r="B1167">
            <v>46064</v>
          </cell>
          <cell r="C1167">
            <v>20</v>
          </cell>
          <cell r="D1167" t="str">
            <v xml:space="preserve">الخزينة </v>
          </cell>
        </row>
        <row r="1168">
          <cell r="A1168">
            <v>54</v>
          </cell>
          <cell r="B1168">
            <v>46064</v>
          </cell>
          <cell r="C1168">
            <v>20</v>
          </cell>
          <cell r="D1168" t="str">
            <v xml:space="preserve">الخزينة </v>
          </cell>
        </row>
        <row r="1169">
          <cell r="A1169">
            <v>55</v>
          </cell>
          <cell r="B1169">
            <v>46064</v>
          </cell>
          <cell r="C1169">
            <v>20</v>
          </cell>
          <cell r="D1169" t="str">
            <v xml:space="preserve">الخزينة </v>
          </cell>
        </row>
        <row r="1170">
          <cell r="A1170">
            <v>56</v>
          </cell>
          <cell r="B1170">
            <v>46064</v>
          </cell>
          <cell r="C1170">
            <v>20</v>
          </cell>
          <cell r="D1170" t="str">
            <v xml:space="preserve">الخزينة </v>
          </cell>
        </row>
        <row r="1171">
          <cell r="A1171">
            <v>64</v>
          </cell>
          <cell r="B1171">
            <v>46064</v>
          </cell>
          <cell r="C1171">
            <v>20</v>
          </cell>
          <cell r="D1171" t="str">
            <v xml:space="preserve">الخزينة </v>
          </cell>
        </row>
        <row r="1172">
          <cell r="A1172">
            <v>64</v>
          </cell>
          <cell r="B1172">
            <v>46064</v>
          </cell>
          <cell r="C1172">
            <v>20</v>
          </cell>
          <cell r="D1172" t="str">
            <v xml:space="preserve">الخزينة </v>
          </cell>
        </row>
        <row r="1173">
          <cell r="A1173">
            <v>60</v>
          </cell>
          <cell r="B1173">
            <v>46064</v>
          </cell>
          <cell r="C1173">
            <v>20</v>
          </cell>
          <cell r="D1173" t="str">
            <v xml:space="preserve">الخزينة </v>
          </cell>
        </row>
        <row r="1174">
          <cell r="A1174">
            <v>94</v>
          </cell>
          <cell r="B1174">
            <v>46063</v>
          </cell>
          <cell r="C1174">
            <v>20</v>
          </cell>
          <cell r="D1174" t="str">
            <v xml:space="preserve">الخزينة </v>
          </cell>
        </row>
        <row r="1175">
          <cell r="A1175">
            <v>90</v>
          </cell>
          <cell r="B1175">
            <v>46063</v>
          </cell>
          <cell r="C1175">
            <v>20</v>
          </cell>
          <cell r="D1175" t="str">
            <v xml:space="preserve">الخزينة </v>
          </cell>
        </row>
        <row r="1176">
          <cell r="A1176">
            <v>10</v>
          </cell>
          <cell r="B1176">
            <v>46063</v>
          </cell>
          <cell r="C1176">
            <v>20</v>
          </cell>
          <cell r="D1176" t="str">
            <v xml:space="preserve">الخزينة </v>
          </cell>
        </row>
        <row r="1177">
          <cell r="A1177">
            <v>26</v>
          </cell>
          <cell r="B1177">
            <v>46063</v>
          </cell>
          <cell r="C1177">
            <v>20</v>
          </cell>
          <cell r="D1177" t="str">
            <v xml:space="preserve">الخزينة </v>
          </cell>
        </row>
        <row r="1178">
          <cell r="A1178">
            <v>28</v>
          </cell>
          <cell r="B1178">
            <v>46063</v>
          </cell>
          <cell r="C1178">
            <v>20</v>
          </cell>
          <cell r="D1178" t="str">
            <v xml:space="preserve">الخزينة </v>
          </cell>
        </row>
        <row r="1179">
          <cell r="A1179">
            <v>82</v>
          </cell>
          <cell r="B1179">
            <v>46063</v>
          </cell>
          <cell r="C1179">
            <v>20</v>
          </cell>
          <cell r="D1179" t="str">
            <v xml:space="preserve">الخزينة </v>
          </cell>
        </row>
        <row r="1180">
          <cell r="A1180">
            <v>82</v>
          </cell>
          <cell r="B1180">
            <v>46063</v>
          </cell>
          <cell r="C1180">
            <v>20</v>
          </cell>
          <cell r="D1180" t="str">
            <v xml:space="preserve">الخزينة </v>
          </cell>
        </row>
        <row r="1181">
          <cell r="A1181">
            <v>82</v>
          </cell>
          <cell r="B1181">
            <v>46063</v>
          </cell>
          <cell r="C1181">
            <v>20</v>
          </cell>
          <cell r="D1181" t="str">
            <v xml:space="preserve">الخزينة </v>
          </cell>
        </row>
        <row r="1182">
          <cell r="A1182">
            <v>70</v>
          </cell>
          <cell r="B1182">
            <v>46063</v>
          </cell>
          <cell r="C1182">
            <v>20</v>
          </cell>
          <cell r="D1182" t="str">
            <v xml:space="preserve">الخزينة </v>
          </cell>
        </row>
        <row r="1183">
          <cell r="A1183">
            <v>69</v>
          </cell>
          <cell r="B1183">
            <v>46063</v>
          </cell>
          <cell r="C1183">
            <v>20</v>
          </cell>
          <cell r="D1183" t="str">
            <v xml:space="preserve">الخزينة </v>
          </cell>
        </row>
        <row r="1184">
          <cell r="A1184">
            <v>69</v>
          </cell>
          <cell r="B1184">
            <v>46063</v>
          </cell>
          <cell r="C1184">
            <v>20</v>
          </cell>
          <cell r="D1184" t="str">
            <v xml:space="preserve">الخزينة </v>
          </cell>
        </row>
        <row r="1185">
          <cell r="A1185">
            <v>53</v>
          </cell>
          <cell r="B1185">
            <v>46063</v>
          </cell>
          <cell r="C1185">
            <v>20</v>
          </cell>
          <cell r="D1185" t="str">
            <v xml:space="preserve">الخزينة </v>
          </cell>
        </row>
        <row r="1186">
          <cell r="A1186">
            <v>67</v>
          </cell>
          <cell r="B1186">
            <v>46063</v>
          </cell>
          <cell r="C1186">
            <v>20</v>
          </cell>
          <cell r="D1186" t="str">
            <v xml:space="preserve">الخزينة </v>
          </cell>
        </row>
        <row r="1187">
          <cell r="A1187">
            <v>66</v>
          </cell>
          <cell r="B1187">
            <v>46063</v>
          </cell>
          <cell r="C1187">
            <v>20</v>
          </cell>
          <cell r="D1187" t="str">
            <v xml:space="preserve">الخزينة </v>
          </cell>
        </row>
        <row r="1188">
          <cell r="A1188">
            <v>66</v>
          </cell>
          <cell r="B1188">
            <v>46063</v>
          </cell>
          <cell r="C1188">
            <v>20</v>
          </cell>
          <cell r="D1188" t="str">
            <v xml:space="preserve">الخزينة </v>
          </cell>
        </row>
        <row r="1189">
          <cell r="A1189">
            <v>66</v>
          </cell>
          <cell r="B1189">
            <v>46063</v>
          </cell>
          <cell r="C1189">
            <v>20</v>
          </cell>
          <cell r="D1189" t="str">
            <v xml:space="preserve">الخزينة </v>
          </cell>
        </row>
        <row r="1190">
          <cell r="A1190">
            <v>55</v>
          </cell>
          <cell r="B1190">
            <v>46063</v>
          </cell>
          <cell r="C1190">
            <v>20</v>
          </cell>
          <cell r="D1190" t="str">
            <v xml:space="preserve">الخزينة </v>
          </cell>
        </row>
        <row r="1191">
          <cell r="A1191">
            <v>55</v>
          </cell>
          <cell r="B1191">
            <v>46063</v>
          </cell>
          <cell r="C1191">
            <v>20</v>
          </cell>
          <cell r="D1191" t="str">
            <v xml:space="preserve">الخزينة </v>
          </cell>
        </row>
        <row r="1192">
          <cell r="A1192">
            <v>55</v>
          </cell>
          <cell r="B1192">
            <v>46063</v>
          </cell>
          <cell r="C1192">
            <v>20</v>
          </cell>
          <cell r="D1192" t="str">
            <v xml:space="preserve">الخزينة </v>
          </cell>
        </row>
        <row r="1193">
          <cell r="A1193">
            <v>56</v>
          </cell>
          <cell r="B1193">
            <v>46063</v>
          </cell>
          <cell r="C1193">
            <v>20</v>
          </cell>
          <cell r="D1193" t="str">
            <v xml:space="preserve">الخزينة </v>
          </cell>
        </row>
        <row r="1194">
          <cell r="A1194">
            <v>64</v>
          </cell>
          <cell r="B1194">
            <v>46063</v>
          </cell>
          <cell r="C1194">
            <v>20</v>
          </cell>
          <cell r="D1194" t="str">
            <v xml:space="preserve">الخزينة </v>
          </cell>
        </row>
        <row r="1195">
          <cell r="A1195">
            <v>64</v>
          </cell>
          <cell r="B1195">
            <v>46063</v>
          </cell>
          <cell r="C1195">
            <v>20</v>
          </cell>
          <cell r="D1195" t="str">
            <v xml:space="preserve">الخزينة </v>
          </cell>
        </row>
        <row r="1196">
          <cell r="A1196">
            <v>63</v>
          </cell>
          <cell r="B1196">
            <v>46063</v>
          </cell>
          <cell r="C1196">
            <v>20</v>
          </cell>
          <cell r="D1196" t="str">
            <v xml:space="preserve">الخزينة </v>
          </cell>
        </row>
        <row r="1197">
          <cell r="A1197">
            <v>10</v>
          </cell>
          <cell r="B1197">
            <v>46062</v>
          </cell>
          <cell r="C1197">
            <v>20</v>
          </cell>
          <cell r="D1197" t="str">
            <v xml:space="preserve">الخزينة </v>
          </cell>
        </row>
        <row r="1198">
          <cell r="A1198">
            <v>88</v>
          </cell>
          <cell r="B1198">
            <v>46062</v>
          </cell>
          <cell r="C1198">
            <v>20</v>
          </cell>
          <cell r="D1198" t="str">
            <v xml:space="preserve">الخزينة </v>
          </cell>
        </row>
        <row r="1199">
          <cell r="A1199">
            <v>87</v>
          </cell>
          <cell r="B1199">
            <v>46062</v>
          </cell>
          <cell r="C1199">
            <v>20</v>
          </cell>
          <cell r="D1199" t="str">
            <v xml:space="preserve">الخزينة </v>
          </cell>
        </row>
        <row r="1200">
          <cell r="A1200">
            <v>82</v>
          </cell>
          <cell r="B1200">
            <v>46062</v>
          </cell>
          <cell r="C1200">
            <v>20</v>
          </cell>
          <cell r="D1200" t="str">
            <v xml:space="preserve">الخزينة </v>
          </cell>
        </row>
        <row r="1201">
          <cell r="A1201">
            <v>78</v>
          </cell>
          <cell r="B1201">
            <v>46062</v>
          </cell>
          <cell r="C1201">
            <v>20</v>
          </cell>
          <cell r="D1201" t="str">
            <v xml:space="preserve">الخزينة </v>
          </cell>
        </row>
        <row r="1202">
          <cell r="A1202">
            <v>70</v>
          </cell>
          <cell r="B1202">
            <v>46062</v>
          </cell>
          <cell r="C1202">
            <v>20</v>
          </cell>
          <cell r="D1202" t="str">
            <v xml:space="preserve">الخزينة </v>
          </cell>
        </row>
        <row r="1203">
          <cell r="A1203">
            <v>53</v>
          </cell>
          <cell r="B1203">
            <v>46062</v>
          </cell>
          <cell r="C1203">
            <v>20</v>
          </cell>
          <cell r="D1203" t="str">
            <v xml:space="preserve">الخزينة </v>
          </cell>
        </row>
        <row r="1204">
          <cell r="A1204">
            <v>53</v>
          </cell>
          <cell r="B1204">
            <v>46062</v>
          </cell>
          <cell r="C1204">
            <v>20</v>
          </cell>
          <cell r="D1204" t="str">
            <v xml:space="preserve">الخزينة </v>
          </cell>
        </row>
        <row r="1205">
          <cell r="A1205">
            <v>67</v>
          </cell>
          <cell r="B1205">
            <v>46062</v>
          </cell>
          <cell r="C1205">
            <v>20</v>
          </cell>
          <cell r="D1205" t="str">
            <v xml:space="preserve">الخزينة </v>
          </cell>
        </row>
        <row r="1206">
          <cell r="A1206">
            <v>56</v>
          </cell>
          <cell r="B1206">
            <v>46062</v>
          </cell>
          <cell r="C1206">
            <v>20</v>
          </cell>
          <cell r="D1206" t="str">
            <v xml:space="preserve">الخزينة </v>
          </cell>
        </row>
        <row r="1207">
          <cell r="A1207">
            <v>57</v>
          </cell>
          <cell r="B1207">
            <v>46062</v>
          </cell>
          <cell r="C1207">
            <v>20</v>
          </cell>
          <cell r="D1207" t="str">
            <v xml:space="preserve">الخزينة </v>
          </cell>
        </row>
        <row r="1208">
          <cell r="A1208">
            <v>64</v>
          </cell>
          <cell r="B1208">
            <v>46062</v>
          </cell>
          <cell r="C1208">
            <v>20</v>
          </cell>
          <cell r="D1208" t="str">
            <v xml:space="preserve">الخزينة </v>
          </cell>
        </row>
        <row r="1209">
          <cell r="A1209">
            <v>59</v>
          </cell>
          <cell r="B1209">
            <v>46062</v>
          </cell>
          <cell r="C1209">
            <v>20</v>
          </cell>
          <cell r="D1209" t="str">
            <v xml:space="preserve">الخزينة </v>
          </cell>
        </row>
        <row r="1210">
          <cell r="A1210">
            <v>59</v>
          </cell>
          <cell r="B1210">
            <v>46062</v>
          </cell>
          <cell r="C1210">
            <v>20</v>
          </cell>
          <cell r="D1210" t="str">
            <v xml:space="preserve">الخزينة </v>
          </cell>
        </row>
        <row r="1211">
          <cell r="A1211">
            <v>63</v>
          </cell>
          <cell r="B1211">
            <v>46062</v>
          </cell>
          <cell r="C1211">
            <v>20</v>
          </cell>
          <cell r="D1211" t="str">
            <v xml:space="preserve">الخزينة </v>
          </cell>
        </row>
        <row r="1212">
          <cell r="A1212">
            <v>60</v>
          </cell>
          <cell r="B1212">
            <v>46062</v>
          </cell>
          <cell r="C1212">
            <v>20</v>
          </cell>
          <cell r="D1212" t="str">
            <v xml:space="preserve">الخزينة </v>
          </cell>
        </row>
        <row r="1213">
          <cell r="A1213">
            <v>60</v>
          </cell>
          <cell r="B1213">
            <v>46062</v>
          </cell>
          <cell r="C1213">
            <v>20</v>
          </cell>
          <cell r="D1213" t="str">
            <v xml:space="preserve">الخزينة </v>
          </cell>
        </row>
        <row r="1214">
          <cell r="A1214">
            <v>60</v>
          </cell>
          <cell r="B1214">
            <v>46062</v>
          </cell>
          <cell r="C1214">
            <v>20</v>
          </cell>
          <cell r="D1214" t="str">
            <v xml:space="preserve">الخزينة </v>
          </cell>
        </row>
        <row r="1215">
          <cell r="A1215">
            <v>60</v>
          </cell>
          <cell r="B1215">
            <v>46062</v>
          </cell>
          <cell r="C1215">
            <v>20</v>
          </cell>
          <cell r="D1215" t="str">
            <v xml:space="preserve">الخزينة </v>
          </cell>
        </row>
        <row r="1216">
          <cell r="A1216">
            <v>60</v>
          </cell>
          <cell r="B1216">
            <v>46062</v>
          </cell>
          <cell r="C1216">
            <v>20</v>
          </cell>
          <cell r="D1216" t="str">
            <v xml:space="preserve">الخزينة </v>
          </cell>
        </row>
        <row r="1217">
          <cell r="A1217">
            <v>60</v>
          </cell>
          <cell r="B1217">
            <v>46062</v>
          </cell>
          <cell r="C1217">
            <v>20</v>
          </cell>
          <cell r="D1217" t="str">
            <v xml:space="preserve">الخزينة </v>
          </cell>
        </row>
        <row r="1218">
          <cell r="A1218">
            <v>60</v>
          </cell>
          <cell r="B1218">
            <v>46062</v>
          </cell>
          <cell r="C1218">
            <v>20</v>
          </cell>
          <cell r="D1218" t="str">
            <v xml:space="preserve">الخزينة </v>
          </cell>
        </row>
        <row r="1219">
          <cell r="A1219">
            <v>94</v>
          </cell>
          <cell r="B1219">
            <v>46061</v>
          </cell>
          <cell r="C1219">
            <v>20</v>
          </cell>
          <cell r="D1219" t="str">
            <v xml:space="preserve">الخزينة </v>
          </cell>
        </row>
        <row r="1220">
          <cell r="A1220">
            <v>90</v>
          </cell>
          <cell r="B1220">
            <v>46061</v>
          </cell>
          <cell r="C1220">
            <v>20</v>
          </cell>
          <cell r="D1220" t="str">
            <v xml:space="preserve">الخزينة </v>
          </cell>
        </row>
        <row r="1221">
          <cell r="A1221">
            <v>2</v>
          </cell>
          <cell r="B1221">
            <v>46061</v>
          </cell>
          <cell r="C1221">
            <v>20</v>
          </cell>
          <cell r="D1221" t="str">
            <v xml:space="preserve">الخزينة </v>
          </cell>
        </row>
        <row r="1222">
          <cell r="A1222">
            <v>2</v>
          </cell>
          <cell r="B1222">
            <v>46061</v>
          </cell>
          <cell r="C1222">
            <v>20</v>
          </cell>
          <cell r="D1222" t="str">
            <v xml:space="preserve">الخزينة </v>
          </cell>
        </row>
        <row r="1223">
          <cell r="A1223">
            <v>10</v>
          </cell>
          <cell r="B1223">
            <v>46061</v>
          </cell>
          <cell r="C1223">
            <v>20</v>
          </cell>
          <cell r="D1223" t="str">
            <v xml:space="preserve">الخزينة </v>
          </cell>
        </row>
        <row r="1224">
          <cell r="A1224">
            <v>24</v>
          </cell>
          <cell r="B1224">
            <v>46061</v>
          </cell>
          <cell r="C1224">
            <v>20</v>
          </cell>
          <cell r="D1224" t="str">
            <v xml:space="preserve">الخزينة </v>
          </cell>
        </row>
        <row r="1225">
          <cell r="A1225">
            <v>59</v>
          </cell>
          <cell r="B1225">
            <v>46061</v>
          </cell>
          <cell r="C1225">
            <v>20</v>
          </cell>
          <cell r="D1225" t="str">
            <v xml:space="preserve">الخزينة </v>
          </cell>
        </row>
        <row r="1226">
          <cell r="A1226">
            <v>16</v>
          </cell>
          <cell r="B1226">
            <v>46060</v>
          </cell>
          <cell r="C1226">
            <v>20</v>
          </cell>
          <cell r="D1226" t="str">
            <v xml:space="preserve">الخزينة </v>
          </cell>
        </row>
        <row r="1227">
          <cell r="A1227">
            <v>42</v>
          </cell>
          <cell r="B1227">
            <v>46060</v>
          </cell>
          <cell r="C1227">
            <v>20</v>
          </cell>
          <cell r="D1227" t="str">
            <v xml:space="preserve">الخزينة </v>
          </cell>
        </row>
        <row r="1228">
          <cell r="A1228">
            <v>42</v>
          </cell>
          <cell r="B1228">
            <v>46060</v>
          </cell>
          <cell r="C1228">
            <v>20</v>
          </cell>
          <cell r="D1228" t="str">
            <v xml:space="preserve">الخزينة </v>
          </cell>
        </row>
        <row r="1229">
          <cell r="A1229">
            <v>72</v>
          </cell>
          <cell r="B1229">
            <v>46060</v>
          </cell>
          <cell r="C1229">
            <v>20</v>
          </cell>
          <cell r="D1229" t="str">
            <v xml:space="preserve">الخزينة </v>
          </cell>
        </row>
        <row r="1230">
          <cell r="A1230">
            <v>70</v>
          </cell>
          <cell r="B1230">
            <v>46060</v>
          </cell>
          <cell r="C1230">
            <v>20</v>
          </cell>
          <cell r="D1230" t="str">
            <v xml:space="preserve">الخزينة </v>
          </cell>
        </row>
        <row r="1231">
          <cell r="A1231">
            <v>59</v>
          </cell>
          <cell r="B1231">
            <v>46060</v>
          </cell>
          <cell r="C1231">
            <v>20</v>
          </cell>
          <cell r="D1231" t="str">
            <v xml:space="preserve">الخزينة </v>
          </cell>
        </row>
        <row r="1232">
          <cell r="A1232">
            <v>63</v>
          </cell>
          <cell r="B1232">
            <v>46060</v>
          </cell>
          <cell r="C1232">
            <v>20</v>
          </cell>
          <cell r="D1232" t="str">
            <v xml:space="preserve">الخزينة </v>
          </cell>
        </row>
        <row r="1233">
          <cell r="A1233">
            <v>63</v>
          </cell>
          <cell r="B1233">
            <v>46060</v>
          </cell>
          <cell r="C1233">
            <v>20</v>
          </cell>
          <cell r="D1233" t="str">
            <v xml:space="preserve">الخزينة </v>
          </cell>
        </row>
        <row r="1234">
          <cell r="A1234">
            <v>10</v>
          </cell>
          <cell r="B1234">
            <v>46058</v>
          </cell>
          <cell r="C1234">
            <v>20</v>
          </cell>
          <cell r="D1234" t="str">
            <v xml:space="preserve">الخزينة </v>
          </cell>
        </row>
        <row r="1235">
          <cell r="A1235">
            <v>17</v>
          </cell>
          <cell r="B1235">
            <v>46058</v>
          </cell>
          <cell r="C1235">
            <v>20</v>
          </cell>
          <cell r="D1235" t="str">
            <v xml:space="preserve">الخزينة </v>
          </cell>
        </row>
        <row r="1236">
          <cell r="A1236">
            <v>22</v>
          </cell>
          <cell r="B1236">
            <v>46058</v>
          </cell>
          <cell r="C1236">
            <v>20</v>
          </cell>
          <cell r="D1236" t="str">
            <v xml:space="preserve">الخزينة </v>
          </cell>
        </row>
        <row r="1237">
          <cell r="A1237">
            <v>22</v>
          </cell>
          <cell r="B1237">
            <v>46058</v>
          </cell>
          <cell r="C1237">
            <v>20</v>
          </cell>
          <cell r="D1237" t="str">
            <v xml:space="preserve">الخزينة </v>
          </cell>
        </row>
        <row r="1238">
          <cell r="A1238">
            <v>88</v>
          </cell>
          <cell r="B1238">
            <v>46058</v>
          </cell>
          <cell r="C1238">
            <v>20</v>
          </cell>
          <cell r="D1238" t="str">
            <v xml:space="preserve">الخزينة </v>
          </cell>
        </row>
        <row r="1239">
          <cell r="A1239">
            <v>27</v>
          </cell>
          <cell r="B1239">
            <v>46058</v>
          </cell>
          <cell r="C1239">
            <v>20</v>
          </cell>
          <cell r="D1239" t="str">
            <v xml:space="preserve">الخزينة </v>
          </cell>
        </row>
        <row r="1240">
          <cell r="A1240">
            <v>33</v>
          </cell>
          <cell r="B1240">
            <v>46058</v>
          </cell>
          <cell r="C1240">
            <v>20</v>
          </cell>
          <cell r="D1240" t="str">
            <v xml:space="preserve">الخزينة </v>
          </cell>
        </row>
        <row r="1241">
          <cell r="A1241">
            <v>78</v>
          </cell>
          <cell r="B1241">
            <v>46058</v>
          </cell>
          <cell r="C1241">
            <v>20</v>
          </cell>
          <cell r="D1241" t="str">
            <v xml:space="preserve">الخزينة </v>
          </cell>
        </row>
        <row r="1242">
          <cell r="A1242">
            <v>40</v>
          </cell>
          <cell r="B1242">
            <v>46058</v>
          </cell>
          <cell r="C1242">
            <v>20</v>
          </cell>
          <cell r="D1242" t="str">
            <v xml:space="preserve">الخزينة </v>
          </cell>
        </row>
        <row r="1243">
          <cell r="A1243">
            <v>40</v>
          </cell>
          <cell r="B1243">
            <v>46058</v>
          </cell>
          <cell r="C1243">
            <v>20</v>
          </cell>
          <cell r="D1243" t="str">
            <v xml:space="preserve">الخزينة </v>
          </cell>
        </row>
        <row r="1244">
          <cell r="A1244">
            <v>45</v>
          </cell>
          <cell r="B1244">
            <v>46058</v>
          </cell>
          <cell r="C1244">
            <v>20</v>
          </cell>
          <cell r="D1244" t="str">
            <v xml:space="preserve">الخزينة </v>
          </cell>
        </row>
        <row r="1245">
          <cell r="A1245">
            <v>48</v>
          </cell>
          <cell r="B1245">
            <v>46058</v>
          </cell>
          <cell r="C1245">
            <v>20</v>
          </cell>
          <cell r="D1245" t="str">
            <v xml:space="preserve">الخزينة </v>
          </cell>
        </row>
        <row r="1246">
          <cell r="A1246">
            <v>48</v>
          </cell>
          <cell r="B1246">
            <v>46058</v>
          </cell>
          <cell r="C1246">
            <v>20</v>
          </cell>
          <cell r="D1246" t="str">
            <v xml:space="preserve">الخزينة </v>
          </cell>
        </row>
        <row r="1247">
          <cell r="A1247">
            <v>48</v>
          </cell>
          <cell r="B1247">
            <v>46058</v>
          </cell>
          <cell r="C1247">
            <v>20</v>
          </cell>
          <cell r="D1247" t="str">
            <v xml:space="preserve">الخزينة </v>
          </cell>
        </row>
        <row r="1248">
          <cell r="A1248">
            <v>48</v>
          </cell>
          <cell r="B1248">
            <v>46058</v>
          </cell>
          <cell r="C1248">
            <v>20</v>
          </cell>
          <cell r="D1248" t="str">
            <v xml:space="preserve">الخزينة </v>
          </cell>
        </row>
        <row r="1249">
          <cell r="A1249">
            <v>70</v>
          </cell>
          <cell r="B1249">
            <v>46058</v>
          </cell>
          <cell r="C1249">
            <v>20</v>
          </cell>
          <cell r="D1249" t="str">
            <v xml:space="preserve">الخزينة </v>
          </cell>
        </row>
        <row r="1250">
          <cell r="A1250">
            <v>70</v>
          </cell>
          <cell r="B1250">
            <v>46058</v>
          </cell>
          <cell r="C1250">
            <v>20</v>
          </cell>
          <cell r="D1250" t="str">
            <v xml:space="preserve">الخزينة </v>
          </cell>
        </row>
        <row r="1251">
          <cell r="A1251">
            <v>70</v>
          </cell>
          <cell r="B1251">
            <v>46058</v>
          </cell>
          <cell r="C1251">
            <v>20</v>
          </cell>
          <cell r="D1251" t="str">
            <v xml:space="preserve">الخزينة </v>
          </cell>
        </row>
        <row r="1252">
          <cell r="A1252">
            <v>67</v>
          </cell>
          <cell r="B1252">
            <v>46058</v>
          </cell>
          <cell r="C1252">
            <v>20</v>
          </cell>
          <cell r="D1252" t="str">
            <v xml:space="preserve">الخزينة </v>
          </cell>
        </row>
        <row r="1253">
          <cell r="A1253">
            <v>67</v>
          </cell>
          <cell r="B1253">
            <v>46058</v>
          </cell>
          <cell r="C1253">
            <v>20</v>
          </cell>
          <cell r="D1253" t="str">
            <v xml:space="preserve">الخزينة </v>
          </cell>
        </row>
        <row r="1254">
          <cell r="A1254">
            <v>67</v>
          </cell>
          <cell r="B1254">
            <v>46058</v>
          </cell>
          <cell r="C1254">
            <v>20</v>
          </cell>
          <cell r="D1254" t="str">
            <v xml:space="preserve">الخزينة </v>
          </cell>
        </row>
        <row r="1255">
          <cell r="A1255">
            <v>54</v>
          </cell>
          <cell r="B1255">
            <v>46058</v>
          </cell>
          <cell r="C1255">
            <v>20</v>
          </cell>
          <cell r="D1255" t="str">
            <v xml:space="preserve">الخزينة </v>
          </cell>
        </row>
        <row r="1256">
          <cell r="A1256">
            <v>66</v>
          </cell>
          <cell r="B1256">
            <v>46058</v>
          </cell>
          <cell r="C1256">
            <v>20</v>
          </cell>
          <cell r="D1256" t="str">
            <v xml:space="preserve">الخزينة </v>
          </cell>
        </row>
        <row r="1257">
          <cell r="A1257">
            <v>66</v>
          </cell>
          <cell r="B1257">
            <v>46058</v>
          </cell>
          <cell r="C1257">
            <v>20</v>
          </cell>
          <cell r="D1257" t="str">
            <v xml:space="preserve">الخزينة </v>
          </cell>
        </row>
        <row r="1258">
          <cell r="A1258">
            <v>55</v>
          </cell>
          <cell r="B1258">
            <v>46058</v>
          </cell>
          <cell r="C1258">
            <v>20</v>
          </cell>
          <cell r="D1258" t="str">
            <v xml:space="preserve">الخزينة </v>
          </cell>
        </row>
        <row r="1259">
          <cell r="A1259">
            <v>55</v>
          </cell>
          <cell r="B1259">
            <v>46058</v>
          </cell>
          <cell r="C1259">
            <v>20</v>
          </cell>
          <cell r="D1259" t="str">
            <v xml:space="preserve">الخزينة </v>
          </cell>
        </row>
        <row r="1260">
          <cell r="A1260">
            <v>56</v>
          </cell>
          <cell r="B1260">
            <v>46058</v>
          </cell>
          <cell r="C1260">
            <v>20</v>
          </cell>
          <cell r="D1260" t="str">
            <v xml:space="preserve">الخزينة </v>
          </cell>
        </row>
        <row r="1261">
          <cell r="A1261">
            <v>56</v>
          </cell>
          <cell r="B1261">
            <v>46058</v>
          </cell>
          <cell r="C1261">
            <v>20</v>
          </cell>
          <cell r="D1261" t="str">
            <v xml:space="preserve">الخزينة </v>
          </cell>
        </row>
        <row r="1262">
          <cell r="A1262">
            <v>59</v>
          </cell>
          <cell r="B1262">
            <v>46058</v>
          </cell>
          <cell r="C1262">
            <v>20</v>
          </cell>
          <cell r="D1262" t="str">
            <v xml:space="preserve">الخزينة </v>
          </cell>
        </row>
        <row r="1263">
          <cell r="A1263">
            <v>59</v>
          </cell>
          <cell r="B1263">
            <v>46058</v>
          </cell>
          <cell r="C1263">
            <v>20</v>
          </cell>
          <cell r="D1263" t="str">
            <v xml:space="preserve">الخزينة </v>
          </cell>
        </row>
        <row r="1264">
          <cell r="A1264">
            <v>59</v>
          </cell>
          <cell r="B1264">
            <v>46058</v>
          </cell>
          <cell r="C1264">
            <v>20</v>
          </cell>
          <cell r="D1264" t="str">
            <v xml:space="preserve">الخزينة </v>
          </cell>
        </row>
        <row r="1265">
          <cell r="A1265">
            <v>60</v>
          </cell>
          <cell r="B1265">
            <v>46058</v>
          </cell>
          <cell r="C1265">
            <v>20</v>
          </cell>
          <cell r="D1265" t="str">
            <v xml:space="preserve">الخزينة </v>
          </cell>
        </row>
        <row r="1266">
          <cell r="A1266">
            <v>60</v>
          </cell>
          <cell r="B1266">
            <v>46058</v>
          </cell>
          <cell r="C1266">
            <v>20</v>
          </cell>
          <cell r="D1266" t="str">
            <v xml:space="preserve">الخزينة </v>
          </cell>
        </row>
        <row r="1267">
          <cell r="A1267">
            <v>61</v>
          </cell>
          <cell r="B1267">
            <v>46058</v>
          </cell>
          <cell r="C1267">
            <v>20</v>
          </cell>
          <cell r="D1267" t="str">
            <v xml:space="preserve">الخزينة </v>
          </cell>
        </row>
        <row r="1268">
          <cell r="A1268">
            <v>61</v>
          </cell>
          <cell r="B1268">
            <v>46058</v>
          </cell>
          <cell r="C1268">
            <v>20</v>
          </cell>
          <cell r="D1268" t="str">
            <v xml:space="preserve">الخزينة </v>
          </cell>
        </row>
        <row r="1269">
          <cell r="A1269">
            <v>90</v>
          </cell>
          <cell r="B1269">
            <v>46057</v>
          </cell>
          <cell r="C1269">
            <v>20</v>
          </cell>
          <cell r="D1269" t="str">
            <v xml:space="preserve">الخزينة </v>
          </cell>
        </row>
        <row r="1270">
          <cell r="A1270">
            <v>10</v>
          </cell>
          <cell r="B1270">
            <v>46057</v>
          </cell>
          <cell r="C1270">
            <v>20</v>
          </cell>
          <cell r="D1270" t="str">
            <v xml:space="preserve">الخزينة </v>
          </cell>
        </row>
        <row r="1271">
          <cell r="A1271">
            <v>10</v>
          </cell>
          <cell r="B1271">
            <v>46057</v>
          </cell>
          <cell r="C1271">
            <v>20</v>
          </cell>
          <cell r="D1271" t="str">
            <v xml:space="preserve">الخزينة </v>
          </cell>
        </row>
        <row r="1272">
          <cell r="A1272">
            <v>87</v>
          </cell>
          <cell r="B1272">
            <v>46057</v>
          </cell>
          <cell r="C1272">
            <v>20</v>
          </cell>
          <cell r="D1272" t="str">
            <v xml:space="preserve">الخزينة </v>
          </cell>
        </row>
        <row r="1273">
          <cell r="A1273">
            <v>87</v>
          </cell>
          <cell r="B1273">
            <v>46057</v>
          </cell>
          <cell r="C1273">
            <v>20</v>
          </cell>
          <cell r="D1273" t="str">
            <v xml:space="preserve">الخزينة </v>
          </cell>
        </row>
        <row r="1274">
          <cell r="A1274">
            <v>84</v>
          </cell>
          <cell r="B1274">
            <v>46057</v>
          </cell>
          <cell r="C1274">
            <v>20</v>
          </cell>
          <cell r="D1274" t="str">
            <v xml:space="preserve">الخزينة </v>
          </cell>
        </row>
        <row r="1275">
          <cell r="A1275">
            <v>79</v>
          </cell>
          <cell r="B1275">
            <v>46057</v>
          </cell>
          <cell r="C1275">
            <v>20</v>
          </cell>
          <cell r="D1275" t="str">
            <v xml:space="preserve">الخزينة </v>
          </cell>
        </row>
        <row r="1276">
          <cell r="A1276">
            <v>59</v>
          </cell>
          <cell r="B1276">
            <v>46057</v>
          </cell>
          <cell r="C1276">
            <v>20</v>
          </cell>
          <cell r="D1276" t="str">
            <v xml:space="preserve">الخزينة </v>
          </cell>
        </row>
        <row r="1277">
          <cell r="A1277">
            <v>59</v>
          </cell>
          <cell r="B1277">
            <v>46057</v>
          </cell>
          <cell r="C1277">
            <v>20</v>
          </cell>
          <cell r="D1277" t="str">
            <v xml:space="preserve">الخزينة </v>
          </cell>
        </row>
        <row r="1278">
          <cell r="A1278">
            <v>90</v>
          </cell>
          <cell r="B1278">
            <v>46056</v>
          </cell>
          <cell r="C1278">
            <v>20</v>
          </cell>
          <cell r="D1278" t="str">
            <v xml:space="preserve">الخزينة </v>
          </cell>
        </row>
        <row r="1279">
          <cell r="A1279">
            <v>90</v>
          </cell>
          <cell r="B1279">
            <v>46056</v>
          </cell>
          <cell r="C1279">
            <v>20</v>
          </cell>
          <cell r="D1279" t="str">
            <v xml:space="preserve">الخزينة </v>
          </cell>
        </row>
        <row r="1280">
          <cell r="A1280">
            <v>2</v>
          </cell>
          <cell r="B1280">
            <v>46056</v>
          </cell>
          <cell r="C1280">
            <v>20</v>
          </cell>
          <cell r="D1280" t="str">
            <v xml:space="preserve">الخزينة </v>
          </cell>
        </row>
        <row r="1281">
          <cell r="A1281">
            <v>5</v>
          </cell>
          <cell r="B1281">
            <v>46056</v>
          </cell>
          <cell r="C1281">
            <v>20</v>
          </cell>
          <cell r="D1281" t="str">
            <v xml:space="preserve">الخزينة </v>
          </cell>
        </row>
        <row r="1282">
          <cell r="A1282">
            <v>10</v>
          </cell>
          <cell r="B1282">
            <v>46056</v>
          </cell>
          <cell r="C1282">
            <v>20</v>
          </cell>
          <cell r="D1282" t="str">
            <v xml:space="preserve">الخزينة </v>
          </cell>
        </row>
        <row r="1283">
          <cell r="A1283">
            <v>10</v>
          </cell>
          <cell r="B1283">
            <v>46056</v>
          </cell>
          <cell r="C1283">
            <v>20</v>
          </cell>
          <cell r="D1283" t="str">
            <v xml:space="preserve">الخزينة </v>
          </cell>
        </row>
        <row r="1284">
          <cell r="A1284">
            <v>88</v>
          </cell>
          <cell r="B1284">
            <v>46056</v>
          </cell>
          <cell r="C1284">
            <v>20</v>
          </cell>
          <cell r="D1284" t="str">
            <v xml:space="preserve">الخزينة </v>
          </cell>
        </row>
        <row r="1285">
          <cell r="A1285">
            <v>86</v>
          </cell>
          <cell r="B1285">
            <v>46056</v>
          </cell>
          <cell r="C1285">
            <v>20</v>
          </cell>
          <cell r="D1285" t="str">
            <v xml:space="preserve">الخزينة </v>
          </cell>
        </row>
        <row r="1286">
          <cell r="A1286">
            <v>81</v>
          </cell>
          <cell r="B1286">
            <v>46056</v>
          </cell>
          <cell r="C1286">
            <v>20</v>
          </cell>
          <cell r="D1286" t="str">
            <v xml:space="preserve">الخزينة </v>
          </cell>
        </row>
        <row r="1287">
          <cell r="A1287">
            <v>37</v>
          </cell>
          <cell r="B1287">
            <v>46056</v>
          </cell>
          <cell r="C1287">
            <v>20</v>
          </cell>
          <cell r="D1287" t="str">
            <v xml:space="preserve">الخزينة </v>
          </cell>
        </row>
        <row r="1288">
          <cell r="A1288">
            <v>70</v>
          </cell>
          <cell r="B1288">
            <v>46056</v>
          </cell>
          <cell r="C1288">
            <v>20</v>
          </cell>
          <cell r="D1288" t="str">
            <v xml:space="preserve">الخزينة </v>
          </cell>
        </row>
        <row r="1289">
          <cell r="A1289">
            <v>54</v>
          </cell>
          <cell r="B1289">
            <v>46056</v>
          </cell>
          <cell r="C1289">
            <v>20</v>
          </cell>
          <cell r="D1289" t="str">
            <v xml:space="preserve">الخزينة </v>
          </cell>
        </row>
        <row r="1290">
          <cell r="A1290">
            <v>66</v>
          </cell>
          <cell r="B1290">
            <v>46056</v>
          </cell>
          <cell r="C1290">
            <v>20</v>
          </cell>
          <cell r="D1290" t="str">
            <v xml:space="preserve">الخزينة </v>
          </cell>
        </row>
        <row r="1291">
          <cell r="A1291">
            <v>66</v>
          </cell>
          <cell r="B1291">
            <v>46056</v>
          </cell>
          <cell r="C1291">
            <v>20</v>
          </cell>
          <cell r="D1291" t="str">
            <v xml:space="preserve">الخزينة </v>
          </cell>
        </row>
        <row r="1292">
          <cell r="A1292">
            <v>66</v>
          </cell>
          <cell r="B1292">
            <v>46056</v>
          </cell>
          <cell r="C1292">
            <v>20</v>
          </cell>
          <cell r="D1292" t="str">
            <v xml:space="preserve">الخزينة </v>
          </cell>
        </row>
        <row r="1293">
          <cell r="A1293">
            <v>63</v>
          </cell>
          <cell r="B1293">
            <v>46056</v>
          </cell>
          <cell r="C1293">
            <v>20</v>
          </cell>
          <cell r="D1293" t="str">
            <v xml:space="preserve">الخزينة </v>
          </cell>
        </row>
        <row r="1294">
          <cell r="A1294">
            <v>63</v>
          </cell>
          <cell r="B1294">
            <v>46056</v>
          </cell>
          <cell r="C1294">
            <v>20</v>
          </cell>
          <cell r="D1294" t="str">
            <v xml:space="preserve">الخزينة </v>
          </cell>
        </row>
        <row r="1295">
          <cell r="A1295">
            <v>63</v>
          </cell>
          <cell r="B1295">
            <v>46056</v>
          </cell>
          <cell r="C1295">
            <v>20</v>
          </cell>
          <cell r="D1295" t="str">
            <v xml:space="preserve">الخزينة </v>
          </cell>
        </row>
        <row r="1296">
          <cell r="A1296">
            <v>90</v>
          </cell>
          <cell r="B1296">
            <v>46055</v>
          </cell>
          <cell r="C1296">
            <v>20</v>
          </cell>
          <cell r="D1296" t="str">
            <v xml:space="preserve">الخزينة </v>
          </cell>
        </row>
        <row r="1297">
          <cell r="A1297">
            <v>90</v>
          </cell>
          <cell r="B1297">
            <v>46055</v>
          </cell>
          <cell r="C1297">
            <v>20</v>
          </cell>
          <cell r="D1297" t="str">
            <v xml:space="preserve">الخزينة </v>
          </cell>
        </row>
        <row r="1298">
          <cell r="A1298">
            <v>90</v>
          </cell>
          <cell r="B1298">
            <v>46055</v>
          </cell>
          <cell r="C1298">
            <v>20</v>
          </cell>
          <cell r="D1298" t="str">
            <v xml:space="preserve">الخزينة </v>
          </cell>
        </row>
        <row r="1299">
          <cell r="A1299">
            <v>87</v>
          </cell>
          <cell r="B1299">
            <v>46055</v>
          </cell>
          <cell r="C1299">
            <v>20</v>
          </cell>
          <cell r="D1299" t="str">
            <v xml:space="preserve">الخزينة </v>
          </cell>
        </row>
        <row r="1300">
          <cell r="A1300">
            <v>54</v>
          </cell>
          <cell r="B1300">
            <v>46055</v>
          </cell>
          <cell r="C1300">
            <v>20</v>
          </cell>
          <cell r="D1300" t="str">
            <v xml:space="preserve">الخزينة </v>
          </cell>
        </row>
        <row r="1301">
          <cell r="A1301">
            <v>90</v>
          </cell>
          <cell r="B1301">
            <v>46054</v>
          </cell>
          <cell r="C1301">
            <v>20</v>
          </cell>
          <cell r="D1301" t="str">
            <v xml:space="preserve">الخزينة </v>
          </cell>
        </row>
        <row r="1302">
          <cell r="A1302">
            <v>10</v>
          </cell>
          <cell r="B1302">
            <v>46054</v>
          </cell>
          <cell r="C1302">
            <v>20</v>
          </cell>
          <cell r="D1302" t="str">
            <v xml:space="preserve">الخزينة </v>
          </cell>
        </row>
        <row r="1303">
          <cell r="A1303">
            <v>17</v>
          </cell>
          <cell r="B1303">
            <v>46054</v>
          </cell>
          <cell r="C1303">
            <v>20</v>
          </cell>
          <cell r="D1303" t="str">
            <v xml:space="preserve">الخزينة </v>
          </cell>
        </row>
        <row r="1304">
          <cell r="A1304">
            <v>87</v>
          </cell>
          <cell r="B1304">
            <v>46054</v>
          </cell>
          <cell r="C1304">
            <v>20</v>
          </cell>
          <cell r="D1304" t="str">
            <v xml:space="preserve">الخزينة </v>
          </cell>
        </row>
        <row r="1305">
          <cell r="A1305">
            <v>70</v>
          </cell>
          <cell r="B1305">
            <v>46054</v>
          </cell>
          <cell r="C1305">
            <v>20</v>
          </cell>
          <cell r="D1305" t="str">
            <v xml:space="preserve">الخزينة </v>
          </cell>
        </row>
        <row r="1306">
          <cell r="A1306">
            <v>67</v>
          </cell>
          <cell r="B1306">
            <v>46054</v>
          </cell>
          <cell r="C1306">
            <v>20</v>
          </cell>
          <cell r="D1306" t="str">
            <v xml:space="preserve">الخزينة </v>
          </cell>
        </row>
        <row r="1307">
          <cell r="A1307">
            <v>54</v>
          </cell>
          <cell r="B1307">
            <v>46054</v>
          </cell>
          <cell r="C1307">
            <v>20</v>
          </cell>
          <cell r="D1307" t="str">
            <v xml:space="preserve">الخزينة </v>
          </cell>
        </row>
        <row r="1308">
          <cell r="A1308">
            <v>54</v>
          </cell>
          <cell r="B1308">
            <v>46054</v>
          </cell>
          <cell r="C1308">
            <v>20</v>
          </cell>
          <cell r="D1308" t="str">
            <v xml:space="preserve">الخزينة </v>
          </cell>
        </row>
        <row r="1309">
          <cell r="A1309">
            <v>54</v>
          </cell>
          <cell r="B1309">
            <v>46054</v>
          </cell>
          <cell r="C1309">
            <v>20</v>
          </cell>
          <cell r="D1309" t="str">
            <v xml:space="preserve">الخزينة </v>
          </cell>
        </row>
        <row r="1310">
          <cell r="A1310">
            <v>61</v>
          </cell>
          <cell r="B1310">
            <v>46054</v>
          </cell>
          <cell r="C1310">
            <v>20</v>
          </cell>
          <cell r="D1310" t="str">
            <v xml:space="preserve">الخزينة </v>
          </cell>
        </row>
        <row r="1311">
          <cell r="A1311">
            <v>61</v>
          </cell>
          <cell r="B1311">
            <v>46054</v>
          </cell>
          <cell r="C1311">
            <v>20</v>
          </cell>
          <cell r="D1311" t="str">
            <v xml:space="preserve">الخزينة </v>
          </cell>
        </row>
        <row r="1312">
          <cell r="A1312">
            <v>14</v>
          </cell>
          <cell r="B1312">
            <v>46053</v>
          </cell>
          <cell r="C1312">
            <v>20</v>
          </cell>
          <cell r="D1312" t="str">
            <v xml:space="preserve">الخزينة </v>
          </cell>
        </row>
        <row r="1313">
          <cell r="A1313">
            <v>14</v>
          </cell>
          <cell r="B1313">
            <v>46053</v>
          </cell>
          <cell r="C1313">
            <v>20</v>
          </cell>
          <cell r="D1313" t="str">
            <v xml:space="preserve">الخزينة </v>
          </cell>
        </row>
        <row r="1314">
          <cell r="A1314">
            <v>76</v>
          </cell>
          <cell r="B1314">
            <v>46053</v>
          </cell>
          <cell r="C1314">
            <v>20</v>
          </cell>
          <cell r="D1314" t="str">
            <v xml:space="preserve">الخزينة </v>
          </cell>
        </row>
        <row r="1315">
          <cell r="A1315">
            <v>52</v>
          </cell>
          <cell r="B1315">
            <v>46053</v>
          </cell>
          <cell r="C1315">
            <v>20</v>
          </cell>
          <cell r="D1315" t="str">
            <v xml:space="preserve">الخزينة </v>
          </cell>
        </row>
        <row r="1316">
          <cell r="A1316">
            <v>54</v>
          </cell>
          <cell r="B1316">
            <v>46053</v>
          </cell>
          <cell r="C1316">
            <v>20</v>
          </cell>
          <cell r="D1316" t="str">
            <v xml:space="preserve">الخزينة </v>
          </cell>
        </row>
        <row r="1317">
          <cell r="A1317">
            <v>91</v>
          </cell>
          <cell r="B1317">
            <v>46051</v>
          </cell>
          <cell r="C1317">
            <v>20</v>
          </cell>
          <cell r="D1317" t="str">
            <v xml:space="preserve">الخزينة </v>
          </cell>
        </row>
        <row r="1318">
          <cell r="A1318">
            <v>8</v>
          </cell>
          <cell r="B1318">
            <v>46051</v>
          </cell>
          <cell r="C1318">
            <v>20</v>
          </cell>
          <cell r="D1318" t="str">
            <v xml:space="preserve">الخزينة </v>
          </cell>
        </row>
        <row r="1319">
          <cell r="A1319">
            <v>8</v>
          </cell>
          <cell r="B1319">
            <v>46051</v>
          </cell>
          <cell r="C1319">
            <v>20</v>
          </cell>
          <cell r="D1319" t="str">
            <v xml:space="preserve">الخزينة </v>
          </cell>
        </row>
        <row r="1320">
          <cell r="A1320">
            <v>13</v>
          </cell>
          <cell r="B1320">
            <v>46051</v>
          </cell>
          <cell r="C1320">
            <v>20</v>
          </cell>
          <cell r="D1320" t="str">
            <v xml:space="preserve">الخزينة </v>
          </cell>
        </row>
        <row r="1321">
          <cell r="A1321">
            <v>70</v>
          </cell>
          <cell r="B1321">
            <v>46051</v>
          </cell>
          <cell r="C1321">
            <v>20</v>
          </cell>
          <cell r="D1321" t="str">
            <v xml:space="preserve">الخزينة </v>
          </cell>
        </row>
        <row r="1322">
          <cell r="A1322">
            <v>70</v>
          </cell>
          <cell r="B1322">
            <v>46051</v>
          </cell>
          <cell r="C1322">
            <v>20</v>
          </cell>
          <cell r="D1322" t="str">
            <v xml:space="preserve">الخزينة </v>
          </cell>
        </row>
        <row r="1323">
          <cell r="A1323">
            <v>70</v>
          </cell>
          <cell r="B1323">
            <v>46051</v>
          </cell>
          <cell r="C1323">
            <v>20</v>
          </cell>
          <cell r="D1323" t="str">
            <v xml:space="preserve">الخزينة </v>
          </cell>
        </row>
        <row r="1324">
          <cell r="A1324">
            <v>70</v>
          </cell>
          <cell r="B1324">
            <v>46051</v>
          </cell>
          <cell r="C1324">
            <v>20</v>
          </cell>
          <cell r="D1324" t="str">
            <v xml:space="preserve">الخزينة </v>
          </cell>
        </row>
        <row r="1325">
          <cell r="A1325">
            <v>70</v>
          </cell>
          <cell r="B1325">
            <v>46051</v>
          </cell>
          <cell r="C1325">
            <v>20</v>
          </cell>
          <cell r="D1325" t="str">
            <v xml:space="preserve">الخزينة </v>
          </cell>
        </row>
        <row r="1326">
          <cell r="A1326">
            <v>70</v>
          </cell>
          <cell r="B1326">
            <v>46051</v>
          </cell>
          <cell r="C1326">
            <v>20</v>
          </cell>
          <cell r="D1326" t="str">
            <v xml:space="preserve">الخزينة </v>
          </cell>
        </row>
        <row r="1327">
          <cell r="A1327">
            <v>67</v>
          </cell>
          <cell r="B1327">
            <v>46051</v>
          </cell>
          <cell r="C1327">
            <v>20</v>
          </cell>
          <cell r="D1327" t="str">
            <v xml:space="preserve">الخزينة </v>
          </cell>
        </row>
        <row r="1328">
          <cell r="A1328">
            <v>55</v>
          </cell>
          <cell r="B1328">
            <v>46051</v>
          </cell>
          <cell r="C1328">
            <v>20</v>
          </cell>
          <cell r="D1328" t="str">
            <v xml:space="preserve">الخزينة </v>
          </cell>
        </row>
        <row r="1329">
          <cell r="A1329">
            <v>56</v>
          </cell>
          <cell r="B1329">
            <v>46051</v>
          </cell>
          <cell r="C1329">
            <v>20</v>
          </cell>
          <cell r="D1329" t="str">
            <v xml:space="preserve">الخزينة </v>
          </cell>
        </row>
        <row r="1330">
          <cell r="A1330">
            <v>56</v>
          </cell>
          <cell r="B1330">
            <v>46051</v>
          </cell>
          <cell r="C1330">
            <v>20</v>
          </cell>
          <cell r="D1330" t="str">
            <v xml:space="preserve">الخزينة </v>
          </cell>
        </row>
        <row r="1331">
          <cell r="A1331">
            <v>63</v>
          </cell>
          <cell r="B1331">
            <v>46051</v>
          </cell>
          <cell r="C1331">
            <v>20</v>
          </cell>
          <cell r="D1331" t="str">
            <v xml:space="preserve">الخزينة </v>
          </cell>
        </row>
        <row r="1332">
          <cell r="A1332">
            <v>60</v>
          </cell>
          <cell r="B1332">
            <v>46051</v>
          </cell>
          <cell r="C1332">
            <v>20</v>
          </cell>
          <cell r="D1332" t="str">
            <v xml:space="preserve">الخزينة </v>
          </cell>
        </row>
        <row r="1333">
          <cell r="A1333">
            <v>60</v>
          </cell>
          <cell r="B1333">
            <v>46051</v>
          </cell>
          <cell r="C1333">
            <v>20</v>
          </cell>
          <cell r="D1333" t="str">
            <v xml:space="preserve">الخزينة </v>
          </cell>
        </row>
        <row r="1334">
          <cell r="A1334">
            <v>63</v>
          </cell>
          <cell r="B1334">
            <v>46051</v>
          </cell>
          <cell r="C1334">
            <v>20</v>
          </cell>
          <cell r="D1334" t="str">
            <v xml:space="preserve">الخزينة </v>
          </cell>
        </row>
        <row r="1335">
          <cell r="A1335">
            <v>90</v>
          </cell>
          <cell r="B1335">
            <v>46050</v>
          </cell>
          <cell r="C1335">
            <v>20</v>
          </cell>
          <cell r="D1335" t="str">
            <v xml:space="preserve">الخزينة </v>
          </cell>
        </row>
        <row r="1336">
          <cell r="A1336">
            <v>10</v>
          </cell>
          <cell r="B1336">
            <v>46050</v>
          </cell>
          <cell r="C1336">
            <v>20</v>
          </cell>
          <cell r="D1336" t="str">
            <v xml:space="preserve">الخزينة </v>
          </cell>
        </row>
        <row r="1337">
          <cell r="A1337">
            <v>22</v>
          </cell>
          <cell r="B1337">
            <v>46050</v>
          </cell>
          <cell r="C1337">
            <v>20</v>
          </cell>
          <cell r="D1337" t="str">
            <v xml:space="preserve">الخزينة </v>
          </cell>
        </row>
        <row r="1338">
          <cell r="A1338">
            <v>30</v>
          </cell>
          <cell r="B1338">
            <v>46050</v>
          </cell>
          <cell r="C1338">
            <v>20</v>
          </cell>
          <cell r="D1338" t="str">
            <v xml:space="preserve">الخزينة </v>
          </cell>
        </row>
        <row r="1339">
          <cell r="A1339">
            <v>75</v>
          </cell>
          <cell r="B1339">
            <v>46050</v>
          </cell>
          <cell r="C1339">
            <v>20</v>
          </cell>
          <cell r="D1339" t="str">
            <v xml:space="preserve">الخزينة </v>
          </cell>
        </row>
        <row r="1340">
          <cell r="A1340">
            <v>40</v>
          </cell>
          <cell r="B1340">
            <v>46050</v>
          </cell>
          <cell r="C1340">
            <v>20</v>
          </cell>
          <cell r="D1340" t="str">
            <v xml:space="preserve">الخزينة </v>
          </cell>
        </row>
        <row r="1341">
          <cell r="A1341">
            <v>40</v>
          </cell>
          <cell r="B1341">
            <v>46050</v>
          </cell>
          <cell r="C1341">
            <v>20</v>
          </cell>
          <cell r="D1341" t="str">
            <v xml:space="preserve">الخزينة </v>
          </cell>
        </row>
        <row r="1342">
          <cell r="A1342">
            <v>45</v>
          </cell>
          <cell r="B1342">
            <v>46050</v>
          </cell>
          <cell r="C1342">
            <v>20</v>
          </cell>
          <cell r="D1342" t="str">
            <v xml:space="preserve">الخزينة </v>
          </cell>
        </row>
        <row r="1343">
          <cell r="A1343">
            <v>48</v>
          </cell>
          <cell r="B1343">
            <v>46050</v>
          </cell>
          <cell r="C1343">
            <v>20</v>
          </cell>
          <cell r="D1343" t="str">
            <v xml:space="preserve">الخزينة </v>
          </cell>
        </row>
        <row r="1344">
          <cell r="A1344">
            <v>70</v>
          </cell>
          <cell r="B1344">
            <v>46050</v>
          </cell>
          <cell r="C1344">
            <v>20</v>
          </cell>
          <cell r="D1344" t="str">
            <v xml:space="preserve">الخزينة </v>
          </cell>
        </row>
        <row r="1345">
          <cell r="A1345">
            <v>53</v>
          </cell>
          <cell r="B1345">
            <v>46050</v>
          </cell>
          <cell r="C1345">
            <v>20</v>
          </cell>
          <cell r="D1345" t="str">
            <v xml:space="preserve">الخزينة </v>
          </cell>
        </row>
        <row r="1346">
          <cell r="A1346">
            <v>66</v>
          </cell>
          <cell r="B1346">
            <v>46050</v>
          </cell>
          <cell r="C1346">
            <v>20</v>
          </cell>
          <cell r="D1346" t="str">
            <v xml:space="preserve">الخزينة </v>
          </cell>
        </row>
        <row r="1347">
          <cell r="A1347">
            <v>66</v>
          </cell>
          <cell r="B1347">
            <v>46050</v>
          </cell>
          <cell r="C1347">
            <v>20</v>
          </cell>
          <cell r="D1347" t="str">
            <v xml:space="preserve">الخزينة </v>
          </cell>
        </row>
        <row r="1348">
          <cell r="A1348">
            <v>66</v>
          </cell>
          <cell r="B1348">
            <v>46050</v>
          </cell>
          <cell r="C1348">
            <v>20</v>
          </cell>
          <cell r="D1348" t="str">
            <v xml:space="preserve">الخزينة </v>
          </cell>
        </row>
        <row r="1349">
          <cell r="A1349">
            <v>66</v>
          </cell>
          <cell r="B1349">
            <v>46050</v>
          </cell>
          <cell r="C1349">
            <v>20</v>
          </cell>
          <cell r="D1349" t="str">
            <v xml:space="preserve">الخزينة </v>
          </cell>
        </row>
        <row r="1350">
          <cell r="A1350">
            <v>55</v>
          </cell>
          <cell r="B1350">
            <v>46050</v>
          </cell>
          <cell r="C1350">
            <v>20</v>
          </cell>
          <cell r="D1350" t="str">
            <v xml:space="preserve">الخزينة </v>
          </cell>
        </row>
        <row r="1351">
          <cell r="A1351">
            <v>59</v>
          </cell>
          <cell r="B1351">
            <v>46050</v>
          </cell>
          <cell r="C1351">
            <v>20</v>
          </cell>
          <cell r="D1351" t="str">
            <v xml:space="preserve">الخزينة </v>
          </cell>
        </row>
        <row r="1352">
          <cell r="A1352">
            <v>59</v>
          </cell>
          <cell r="B1352">
            <v>46050</v>
          </cell>
          <cell r="C1352">
            <v>20</v>
          </cell>
          <cell r="D1352" t="str">
            <v xml:space="preserve">الخزينة </v>
          </cell>
        </row>
        <row r="1353">
          <cell r="A1353">
            <v>59</v>
          </cell>
          <cell r="B1353">
            <v>46050</v>
          </cell>
          <cell r="C1353">
            <v>20</v>
          </cell>
          <cell r="D1353" t="str">
            <v xml:space="preserve">الخزينة </v>
          </cell>
        </row>
        <row r="1354">
          <cell r="A1354">
            <v>90</v>
          </cell>
          <cell r="B1354">
            <v>46049</v>
          </cell>
          <cell r="C1354">
            <v>20</v>
          </cell>
          <cell r="D1354" t="str">
            <v xml:space="preserve">الخزينة </v>
          </cell>
        </row>
        <row r="1355">
          <cell r="A1355">
            <v>90</v>
          </cell>
          <cell r="B1355">
            <v>46049</v>
          </cell>
          <cell r="C1355">
            <v>20</v>
          </cell>
          <cell r="D1355" t="str">
            <v xml:space="preserve">الخزينة </v>
          </cell>
        </row>
        <row r="1356">
          <cell r="A1356">
            <v>29</v>
          </cell>
          <cell r="B1356">
            <v>46049</v>
          </cell>
          <cell r="C1356">
            <v>20</v>
          </cell>
          <cell r="D1356" t="str">
            <v xml:space="preserve">الخزينة </v>
          </cell>
        </row>
        <row r="1357">
          <cell r="A1357">
            <v>53</v>
          </cell>
          <cell r="B1357">
            <v>46049</v>
          </cell>
          <cell r="C1357">
            <v>20</v>
          </cell>
          <cell r="D1357" t="str">
            <v xml:space="preserve">الخزينة </v>
          </cell>
        </row>
        <row r="1358">
          <cell r="A1358">
            <v>54</v>
          </cell>
          <cell r="B1358">
            <v>46049</v>
          </cell>
          <cell r="C1358">
            <v>20</v>
          </cell>
          <cell r="D1358" t="str">
            <v xml:space="preserve">الخزينة </v>
          </cell>
        </row>
        <row r="1359">
          <cell r="A1359">
            <v>54</v>
          </cell>
          <cell r="B1359">
            <v>46049</v>
          </cell>
          <cell r="C1359">
            <v>20</v>
          </cell>
          <cell r="D1359" t="str">
            <v xml:space="preserve">الخزينة </v>
          </cell>
        </row>
        <row r="1360">
          <cell r="A1360">
            <v>64</v>
          </cell>
          <cell r="B1360">
            <v>46049</v>
          </cell>
          <cell r="C1360">
            <v>20</v>
          </cell>
          <cell r="D1360" t="str">
            <v xml:space="preserve">الخزينة </v>
          </cell>
        </row>
        <row r="1361">
          <cell r="A1361">
            <v>64</v>
          </cell>
          <cell r="B1361">
            <v>46049</v>
          </cell>
          <cell r="C1361">
            <v>20</v>
          </cell>
          <cell r="D1361" t="str">
            <v xml:space="preserve">الخزينة </v>
          </cell>
        </row>
        <row r="1362">
          <cell r="A1362">
            <v>59</v>
          </cell>
          <cell r="B1362">
            <v>46049</v>
          </cell>
          <cell r="C1362">
            <v>20</v>
          </cell>
          <cell r="D1362" t="str">
            <v xml:space="preserve">الخزينة </v>
          </cell>
        </row>
        <row r="1363">
          <cell r="A1363">
            <v>63</v>
          </cell>
          <cell r="B1363">
            <v>46049</v>
          </cell>
          <cell r="C1363">
            <v>20</v>
          </cell>
          <cell r="D1363" t="str">
            <v xml:space="preserve">الخزينة </v>
          </cell>
        </row>
        <row r="1364">
          <cell r="A1364">
            <v>60</v>
          </cell>
          <cell r="B1364">
            <v>46049</v>
          </cell>
          <cell r="C1364">
            <v>20</v>
          </cell>
          <cell r="D1364" t="str">
            <v xml:space="preserve">الخزينة </v>
          </cell>
        </row>
        <row r="1365">
          <cell r="A1365">
            <v>90</v>
          </cell>
          <cell r="B1365">
            <v>46048</v>
          </cell>
          <cell r="C1365">
            <v>20</v>
          </cell>
          <cell r="D1365" t="str">
            <v xml:space="preserve">الخزينة </v>
          </cell>
        </row>
        <row r="1366">
          <cell r="A1366">
            <v>90</v>
          </cell>
          <cell r="B1366">
            <v>46048</v>
          </cell>
          <cell r="C1366">
            <v>20</v>
          </cell>
          <cell r="D1366" t="str">
            <v xml:space="preserve">الخزينة </v>
          </cell>
        </row>
        <row r="1367">
          <cell r="A1367">
            <v>10</v>
          </cell>
          <cell r="B1367">
            <v>46048</v>
          </cell>
          <cell r="C1367">
            <v>20</v>
          </cell>
          <cell r="D1367" t="str">
            <v xml:space="preserve">الخزينة </v>
          </cell>
        </row>
        <row r="1368">
          <cell r="A1368">
            <v>78</v>
          </cell>
          <cell r="B1368">
            <v>46048</v>
          </cell>
          <cell r="C1368">
            <v>20</v>
          </cell>
          <cell r="D1368" t="str">
            <v xml:space="preserve">الخزينة </v>
          </cell>
        </row>
        <row r="1369">
          <cell r="A1369">
            <v>64</v>
          </cell>
          <cell r="B1369">
            <v>46048</v>
          </cell>
          <cell r="C1369">
            <v>20</v>
          </cell>
          <cell r="D1369" t="str">
            <v xml:space="preserve">الخزينة </v>
          </cell>
        </row>
        <row r="1370">
          <cell r="A1370">
            <v>57</v>
          </cell>
          <cell r="B1370">
            <v>46048</v>
          </cell>
          <cell r="C1370">
            <v>20</v>
          </cell>
          <cell r="D1370" t="str">
            <v xml:space="preserve">الخزينة </v>
          </cell>
        </row>
        <row r="1371">
          <cell r="A1371">
            <v>60</v>
          </cell>
          <cell r="B1371">
            <v>46048</v>
          </cell>
          <cell r="C1371">
            <v>20</v>
          </cell>
          <cell r="D1371" t="str">
            <v xml:space="preserve">الخزينة </v>
          </cell>
        </row>
        <row r="1372">
          <cell r="A1372">
            <v>94</v>
          </cell>
          <cell r="B1372">
            <v>46047</v>
          </cell>
          <cell r="C1372">
            <v>20</v>
          </cell>
          <cell r="D1372" t="str">
            <v xml:space="preserve">الخزينة </v>
          </cell>
        </row>
        <row r="1373">
          <cell r="A1373">
            <v>93</v>
          </cell>
          <cell r="B1373">
            <v>46047</v>
          </cell>
          <cell r="C1373">
            <v>20</v>
          </cell>
          <cell r="D1373" t="str">
            <v xml:space="preserve">الخزينة </v>
          </cell>
        </row>
        <row r="1374">
          <cell r="A1374">
            <v>91</v>
          </cell>
          <cell r="B1374">
            <v>46047</v>
          </cell>
          <cell r="C1374">
            <v>20</v>
          </cell>
          <cell r="D1374" t="str">
            <v xml:space="preserve">الخزينة </v>
          </cell>
        </row>
        <row r="1375">
          <cell r="A1375">
            <v>90</v>
          </cell>
          <cell r="B1375">
            <v>46047</v>
          </cell>
          <cell r="C1375">
            <v>20</v>
          </cell>
          <cell r="D1375" t="str">
            <v xml:space="preserve">الخزينة </v>
          </cell>
        </row>
        <row r="1376">
          <cell r="A1376">
            <v>88</v>
          </cell>
          <cell r="B1376">
            <v>46047</v>
          </cell>
          <cell r="C1376">
            <v>20</v>
          </cell>
          <cell r="D1376" t="str">
            <v xml:space="preserve">الخزينة </v>
          </cell>
        </row>
        <row r="1377">
          <cell r="A1377">
            <v>87</v>
          </cell>
          <cell r="B1377">
            <v>46047</v>
          </cell>
          <cell r="C1377">
            <v>20</v>
          </cell>
          <cell r="D1377" t="str">
            <v xml:space="preserve">الخزينة </v>
          </cell>
        </row>
        <row r="1378">
          <cell r="A1378">
            <v>76</v>
          </cell>
          <cell r="B1378">
            <v>46047</v>
          </cell>
          <cell r="C1378">
            <v>20</v>
          </cell>
          <cell r="D1378" t="str">
            <v xml:space="preserve">الخزينة </v>
          </cell>
        </row>
        <row r="1379">
          <cell r="A1379">
            <v>53</v>
          </cell>
          <cell r="B1379">
            <v>46047</v>
          </cell>
          <cell r="C1379">
            <v>20</v>
          </cell>
          <cell r="D1379" t="str">
            <v xml:space="preserve">الخزينة </v>
          </cell>
        </row>
        <row r="1380">
          <cell r="A1380">
            <v>55</v>
          </cell>
          <cell r="B1380">
            <v>46047</v>
          </cell>
          <cell r="C1380">
            <v>20</v>
          </cell>
          <cell r="D1380" t="str">
            <v xml:space="preserve">الخزينة </v>
          </cell>
        </row>
        <row r="1381">
          <cell r="A1381">
            <v>56</v>
          </cell>
          <cell r="B1381">
            <v>46047</v>
          </cell>
          <cell r="C1381">
            <v>20</v>
          </cell>
          <cell r="D1381" t="str">
            <v xml:space="preserve">الخزينة </v>
          </cell>
        </row>
        <row r="1382">
          <cell r="A1382">
            <v>90</v>
          </cell>
          <cell r="B1382">
            <v>46046</v>
          </cell>
          <cell r="C1382">
            <v>20</v>
          </cell>
          <cell r="D1382" t="str">
            <v xml:space="preserve">الخزينة </v>
          </cell>
        </row>
        <row r="1383">
          <cell r="A1383">
            <v>82</v>
          </cell>
          <cell r="B1383">
            <v>46046</v>
          </cell>
          <cell r="C1383">
            <v>20</v>
          </cell>
          <cell r="D1383" t="str">
            <v xml:space="preserve">الخزينة </v>
          </cell>
        </row>
        <row r="1384">
          <cell r="A1384">
            <v>75</v>
          </cell>
          <cell r="B1384">
            <v>46046</v>
          </cell>
          <cell r="C1384">
            <v>20</v>
          </cell>
          <cell r="D1384" t="str">
            <v xml:space="preserve">الخزينة </v>
          </cell>
        </row>
        <row r="1385">
          <cell r="A1385">
            <v>70</v>
          </cell>
          <cell r="B1385">
            <v>46046</v>
          </cell>
          <cell r="C1385">
            <v>20</v>
          </cell>
          <cell r="D1385" t="str">
            <v xml:space="preserve">الخزينة </v>
          </cell>
        </row>
        <row r="1386">
          <cell r="A1386">
            <v>67</v>
          </cell>
          <cell r="B1386">
            <v>46046</v>
          </cell>
          <cell r="C1386">
            <v>20</v>
          </cell>
          <cell r="D1386" t="str">
            <v xml:space="preserve">الخزينة </v>
          </cell>
        </row>
        <row r="1387">
          <cell r="A1387">
            <v>53</v>
          </cell>
          <cell r="B1387">
            <v>46046</v>
          </cell>
          <cell r="C1387">
            <v>20</v>
          </cell>
          <cell r="D1387" t="str">
            <v xml:space="preserve">الخزينة </v>
          </cell>
        </row>
        <row r="1388">
          <cell r="A1388">
            <v>67</v>
          </cell>
          <cell r="B1388">
            <v>46046</v>
          </cell>
          <cell r="C1388">
            <v>20</v>
          </cell>
          <cell r="D1388" t="str">
            <v xml:space="preserve">الخزينة </v>
          </cell>
        </row>
        <row r="1389">
          <cell r="A1389">
            <v>67</v>
          </cell>
          <cell r="B1389">
            <v>46046</v>
          </cell>
          <cell r="C1389">
            <v>20</v>
          </cell>
          <cell r="D1389" t="str">
            <v xml:space="preserve">الخزينة </v>
          </cell>
        </row>
        <row r="1390">
          <cell r="A1390">
            <v>65</v>
          </cell>
          <cell r="B1390">
            <v>46046</v>
          </cell>
          <cell r="C1390">
            <v>20</v>
          </cell>
          <cell r="D1390" t="str">
            <v xml:space="preserve">الخزينة </v>
          </cell>
        </row>
        <row r="1391">
          <cell r="A1391">
            <v>55</v>
          </cell>
          <cell r="B1391">
            <v>46046</v>
          </cell>
          <cell r="C1391">
            <v>20</v>
          </cell>
          <cell r="D1391" t="str">
            <v xml:space="preserve">الخزينة </v>
          </cell>
        </row>
        <row r="1392">
          <cell r="A1392">
            <v>55</v>
          </cell>
          <cell r="B1392">
            <v>46046</v>
          </cell>
          <cell r="C1392">
            <v>20</v>
          </cell>
          <cell r="D1392" t="str">
            <v xml:space="preserve">الخزينة </v>
          </cell>
        </row>
        <row r="1393">
          <cell r="A1393">
            <v>55</v>
          </cell>
          <cell r="B1393">
            <v>46046</v>
          </cell>
          <cell r="C1393">
            <v>20</v>
          </cell>
          <cell r="D1393" t="str">
            <v xml:space="preserve">الخزينة </v>
          </cell>
        </row>
        <row r="1394">
          <cell r="A1394">
            <v>57</v>
          </cell>
          <cell r="B1394">
            <v>46046</v>
          </cell>
          <cell r="C1394">
            <v>20</v>
          </cell>
          <cell r="D1394" t="str">
            <v xml:space="preserve">الخزينة </v>
          </cell>
        </row>
        <row r="1395">
          <cell r="A1395">
            <v>63</v>
          </cell>
          <cell r="B1395">
            <v>46046</v>
          </cell>
          <cell r="C1395">
            <v>20</v>
          </cell>
          <cell r="D1395" t="str">
            <v xml:space="preserve">الخزينة </v>
          </cell>
        </row>
        <row r="1396">
          <cell r="A1396">
            <v>63</v>
          </cell>
          <cell r="B1396">
            <v>46046</v>
          </cell>
          <cell r="C1396">
            <v>20</v>
          </cell>
          <cell r="D1396" t="str">
            <v xml:space="preserve">الخزينة </v>
          </cell>
        </row>
        <row r="1397">
          <cell r="A1397">
            <v>63</v>
          </cell>
          <cell r="B1397">
            <v>46046</v>
          </cell>
          <cell r="C1397">
            <v>20</v>
          </cell>
          <cell r="D1397" t="str">
            <v xml:space="preserve">الخزينة </v>
          </cell>
        </row>
        <row r="1398">
          <cell r="A1398">
            <v>59</v>
          </cell>
          <cell r="B1398">
            <v>46046</v>
          </cell>
          <cell r="C1398">
            <v>20</v>
          </cell>
          <cell r="D1398" t="str">
            <v xml:space="preserve">الخزينة </v>
          </cell>
        </row>
        <row r="1399">
          <cell r="A1399">
            <v>63</v>
          </cell>
          <cell r="B1399">
            <v>46046</v>
          </cell>
          <cell r="C1399">
            <v>20</v>
          </cell>
          <cell r="D1399" t="str">
            <v xml:space="preserve">الخزينة </v>
          </cell>
        </row>
        <row r="1400">
          <cell r="A1400">
            <v>63</v>
          </cell>
          <cell r="B1400">
            <v>46046</v>
          </cell>
          <cell r="C1400">
            <v>20</v>
          </cell>
          <cell r="D1400" t="str">
            <v xml:space="preserve">الخزينة </v>
          </cell>
        </row>
        <row r="1401">
          <cell r="A1401">
            <v>63</v>
          </cell>
          <cell r="B1401">
            <v>46046</v>
          </cell>
          <cell r="C1401">
            <v>20</v>
          </cell>
          <cell r="D1401" t="str">
            <v xml:space="preserve">الخزينة </v>
          </cell>
        </row>
        <row r="1402">
          <cell r="A1402">
            <v>63</v>
          </cell>
          <cell r="B1402">
            <v>46046</v>
          </cell>
          <cell r="C1402">
            <v>20</v>
          </cell>
          <cell r="D1402" t="str">
            <v xml:space="preserve">الخزينة </v>
          </cell>
        </row>
        <row r="1403">
          <cell r="A1403">
            <v>60</v>
          </cell>
          <cell r="B1403">
            <v>46046</v>
          </cell>
          <cell r="C1403">
            <v>20</v>
          </cell>
          <cell r="D1403" t="str">
            <v xml:space="preserve">الخزينة </v>
          </cell>
        </row>
        <row r="1404">
          <cell r="A1404">
            <v>63</v>
          </cell>
          <cell r="B1404">
            <v>46046</v>
          </cell>
          <cell r="C1404">
            <v>20</v>
          </cell>
          <cell r="D1404" t="str">
            <v xml:space="preserve">الخزينة </v>
          </cell>
        </row>
        <row r="1405">
          <cell r="A1405">
            <v>90</v>
          </cell>
          <cell r="B1405">
            <v>46044</v>
          </cell>
          <cell r="C1405">
            <v>20</v>
          </cell>
          <cell r="D1405" t="str">
            <v xml:space="preserve">الخزينة </v>
          </cell>
        </row>
        <row r="1406">
          <cell r="A1406">
            <v>27</v>
          </cell>
          <cell r="B1406">
            <v>46044</v>
          </cell>
          <cell r="C1406">
            <v>20</v>
          </cell>
          <cell r="D1406" t="str">
            <v xml:space="preserve">الخزينة </v>
          </cell>
        </row>
        <row r="1407">
          <cell r="A1407">
            <v>40</v>
          </cell>
          <cell r="B1407">
            <v>46044</v>
          </cell>
          <cell r="C1407">
            <v>20</v>
          </cell>
          <cell r="D1407" t="str">
            <v xml:space="preserve">الخزينة </v>
          </cell>
        </row>
        <row r="1408">
          <cell r="A1408">
            <v>44</v>
          </cell>
          <cell r="B1408">
            <v>46044</v>
          </cell>
          <cell r="C1408">
            <v>20</v>
          </cell>
          <cell r="D1408" t="str">
            <v xml:space="preserve">الخزينة </v>
          </cell>
        </row>
        <row r="1409">
          <cell r="A1409">
            <v>70</v>
          </cell>
          <cell r="B1409">
            <v>46044</v>
          </cell>
          <cell r="C1409">
            <v>20</v>
          </cell>
          <cell r="D1409" t="str">
            <v xml:space="preserve">الخزينة </v>
          </cell>
        </row>
        <row r="1410">
          <cell r="A1410">
            <v>48</v>
          </cell>
          <cell r="B1410">
            <v>46044</v>
          </cell>
          <cell r="C1410">
            <v>20</v>
          </cell>
          <cell r="D1410" t="str">
            <v xml:space="preserve">الخزينة </v>
          </cell>
        </row>
        <row r="1411">
          <cell r="A1411">
            <v>70</v>
          </cell>
          <cell r="B1411">
            <v>46044</v>
          </cell>
          <cell r="C1411">
            <v>20</v>
          </cell>
          <cell r="D1411" t="str">
            <v xml:space="preserve">الخزينة </v>
          </cell>
        </row>
        <row r="1412">
          <cell r="A1412">
            <v>68</v>
          </cell>
          <cell r="B1412">
            <v>46044</v>
          </cell>
          <cell r="C1412">
            <v>20</v>
          </cell>
          <cell r="D1412" t="str">
            <v xml:space="preserve">الخزينة </v>
          </cell>
        </row>
        <row r="1413">
          <cell r="A1413">
            <v>53</v>
          </cell>
          <cell r="B1413">
            <v>46044</v>
          </cell>
          <cell r="C1413">
            <v>20</v>
          </cell>
          <cell r="D1413" t="str">
            <v xml:space="preserve">الخزينة </v>
          </cell>
        </row>
        <row r="1414">
          <cell r="A1414">
            <v>66</v>
          </cell>
          <cell r="B1414">
            <v>46044</v>
          </cell>
          <cell r="C1414">
            <v>20</v>
          </cell>
          <cell r="D1414" t="str">
            <v xml:space="preserve">الخزينة </v>
          </cell>
        </row>
        <row r="1415">
          <cell r="A1415">
            <v>66</v>
          </cell>
          <cell r="B1415">
            <v>46044</v>
          </cell>
          <cell r="C1415">
            <v>20</v>
          </cell>
          <cell r="D1415" t="str">
            <v xml:space="preserve">الخزينة </v>
          </cell>
        </row>
        <row r="1416">
          <cell r="A1416">
            <v>66</v>
          </cell>
          <cell r="B1416">
            <v>46044</v>
          </cell>
          <cell r="C1416">
            <v>20</v>
          </cell>
          <cell r="D1416" t="str">
            <v xml:space="preserve">الخزينة </v>
          </cell>
        </row>
        <row r="1417">
          <cell r="A1417">
            <v>66</v>
          </cell>
          <cell r="B1417">
            <v>46044</v>
          </cell>
          <cell r="C1417">
            <v>20</v>
          </cell>
          <cell r="D1417" t="str">
            <v xml:space="preserve">الخزينة </v>
          </cell>
        </row>
        <row r="1418">
          <cell r="A1418">
            <v>74</v>
          </cell>
          <cell r="B1418">
            <v>46043</v>
          </cell>
          <cell r="C1418">
            <v>20</v>
          </cell>
          <cell r="D1418" t="str">
            <v xml:space="preserve">الخزينة </v>
          </cell>
        </row>
        <row r="1419">
          <cell r="A1419">
            <v>12</v>
          </cell>
          <cell r="B1419">
            <v>46043</v>
          </cell>
          <cell r="C1419">
            <v>20</v>
          </cell>
          <cell r="D1419" t="str">
            <v xml:space="preserve">الخزينة </v>
          </cell>
        </row>
        <row r="1420">
          <cell r="A1420">
            <v>45</v>
          </cell>
          <cell r="B1420">
            <v>46043</v>
          </cell>
          <cell r="C1420">
            <v>20</v>
          </cell>
          <cell r="D1420" t="str">
            <v xml:space="preserve">الخزينة </v>
          </cell>
        </row>
        <row r="1421">
          <cell r="A1421">
            <v>70</v>
          </cell>
          <cell r="B1421">
            <v>46043</v>
          </cell>
          <cell r="C1421">
            <v>20</v>
          </cell>
          <cell r="D1421" t="str">
            <v xml:space="preserve">الخزينة </v>
          </cell>
        </row>
        <row r="1422">
          <cell r="A1422">
            <v>70</v>
          </cell>
          <cell r="B1422">
            <v>46043</v>
          </cell>
          <cell r="C1422">
            <v>20</v>
          </cell>
          <cell r="D1422" t="str">
            <v xml:space="preserve">الخزينة </v>
          </cell>
        </row>
        <row r="1423">
          <cell r="A1423">
            <v>70</v>
          </cell>
          <cell r="B1423">
            <v>46043</v>
          </cell>
          <cell r="C1423">
            <v>20</v>
          </cell>
          <cell r="D1423" t="str">
            <v xml:space="preserve">الخزينة </v>
          </cell>
        </row>
        <row r="1424">
          <cell r="A1424">
            <v>66</v>
          </cell>
          <cell r="B1424">
            <v>46043</v>
          </cell>
          <cell r="C1424">
            <v>20</v>
          </cell>
          <cell r="D1424" t="str">
            <v xml:space="preserve">الخزينة </v>
          </cell>
        </row>
        <row r="1425">
          <cell r="A1425">
            <v>66</v>
          </cell>
          <cell r="B1425">
            <v>46043</v>
          </cell>
          <cell r="C1425">
            <v>20</v>
          </cell>
          <cell r="D1425" t="str">
            <v xml:space="preserve">الخزينة </v>
          </cell>
        </row>
        <row r="1426">
          <cell r="A1426">
            <v>66</v>
          </cell>
          <cell r="B1426">
            <v>46043</v>
          </cell>
          <cell r="C1426">
            <v>20</v>
          </cell>
          <cell r="D1426" t="str">
            <v xml:space="preserve">الخزينة </v>
          </cell>
        </row>
        <row r="1427">
          <cell r="A1427">
            <v>66</v>
          </cell>
          <cell r="B1427">
            <v>46043</v>
          </cell>
          <cell r="C1427">
            <v>20</v>
          </cell>
          <cell r="D1427" t="str">
            <v xml:space="preserve">الخزينة </v>
          </cell>
        </row>
        <row r="1428">
          <cell r="A1428">
            <v>55</v>
          </cell>
          <cell r="B1428">
            <v>46043</v>
          </cell>
          <cell r="C1428">
            <v>20</v>
          </cell>
          <cell r="D1428" t="str">
            <v xml:space="preserve">الخزينة </v>
          </cell>
        </row>
        <row r="1429">
          <cell r="A1429">
            <v>82</v>
          </cell>
          <cell r="B1429">
            <v>46042</v>
          </cell>
          <cell r="C1429">
            <v>20</v>
          </cell>
          <cell r="D1429" t="str">
            <v xml:space="preserve">الخزينة </v>
          </cell>
        </row>
        <row r="1430">
          <cell r="A1430">
            <v>74</v>
          </cell>
          <cell r="B1430">
            <v>46042</v>
          </cell>
          <cell r="C1430">
            <v>20</v>
          </cell>
          <cell r="D1430" t="str">
            <v xml:space="preserve">الخزينة </v>
          </cell>
        </row>
        <row r="1431">
          <cell r="A1431">
            <v>70</v>
          </cell>
          <cell r="B1431">
            <v>46042</v>
          </cell>
          <cell r="C1431">
            <v>20</v>
          </cell>
          <cell r="D1431" t="str">
            <v xml:space="preserve">الخزينة </v>
          </cell>
        </row>
        <row r="1432">
          <cell r="A1432">
            <v>69</v>
          </cell>
          <cell r="B1432">
            <v>46042</v>
          </cell>
          <cell r="C1432">
            <v>20</v>
          </cell>
          <cell r="D1432" t="str">
            <v xml:space="preserve">الخزينة </v>
          </cell>
        </row>
        <row r="1433">
          <cell r="A1433">
            <v>69</v>
          </cell>
          <cell r="B1433">
            <v>46042</v>
          </cell>
          <cell r="C1433">
            <v>20</v>
          </cell>
          <cell r="D1433" t="str">
            <v xml:space="preserve">الخزينة </v>
          </cell>
        </row>
        <row r="1434">
          <cell r="A1434">
            <v>67</v>
          </cell>
          <cell r="B1434">
            <v>46042</v>
          </cell>
          <cell r="C1434">
            <v>20</v>
          </cell>
          <cell r="D1434" t="str">
            <v xml:space="preserve">الخزينة </v>
          </cell>
        </row>
        <row r="1435">
          <cell r="A1435">
            <v>53</v>
          </cell>
          <cell r="B1435">
            <v>46042</v>
          </cell>
          <cell r="C1435">
            <v>20</v>
          </cell>
          <cell r="D1435" t="str">
            <v xml:space="preserve">الخزينة </v>
          </cell>
        </row>
        <row r="1436">
          <cell r="A1436">
            <v>67</v>
          </cell>
          <cell r="B1436">
            <v>46042</v>
          </cell>
          <cell r="C1436">
            <v>20</v>
          </cell>
          <cell r="D1436" t="str">
            <v xml:space="preserve">الخزينة </v>
          </cell>
        </row>
        <row r="1437">
          <cell r="A1437">
            <v>54</v>
          </cell>
          <cell r="B1437">
            <v>46042</v>
          </cell>
          <cell r="C1437">
            <v>20</v>
          </cell>
          <cell r="D1437" t="str">
            <v xml:space="preserve">الخزينة </v>
          </cell>
        </row>
        <row r="1438">
          <cell r="A1438">
            <v>54</v>
          </cell>
          <cell r="B1438">
            <v>46042</v>
          </cell>
          <cell r="C1438">
            <v>20</v>
          </cell>
          <cell r="D1438" t="str">
            <v xml:space="preserve">الخزينة </v>
          </cell>
        </row>
        <row r="1439">
          <cell r="A1439">
            <v>55</v>
          </cell>
          <cell r="B1439">
            <v>46042</v>
          </cell>
          <cell r="C1439">
            <v>20</v>
          </cell>
          <cell r="D1439" t="str">
            <v xml:space="preserve">الخزينة </v>
          </cell>
        </row>
        <row r="1440">
          <cell r="A1440">
            <v>55</v>
          </cell>
          <cell r="B1440">
            <v>46042</v>
          </cell>
          <cell r="C1440">
            <v>20</v>
          </cell>
          <cell r="D1440" t="str">
            <v xml:space="preserve">الخزينة </v>
          </cell>
        </row>
        <row r="1441">
          <cell r="A1441">
            <v>60</v>
          </cell>
          <cell r="B1441">
            <v>46042</v>
          </cell>
          <cell r="C1441">
            <v>20</v>
          </cell>
          <cell r="D1441" t="str">
            <v xml:space="preserve">الخزينة </v>
          </cell>
        </row>
        <row r="1442">
          <cell r="A1442">
            <v>90</v>
          </cell>
          <cell r="B1442">
            <v>46041</v>
          </cell>
          <cell r="C1442">
            <v>20</v>
          </cell>
          <cell r="D1442" t="str">
            <v xml:space="preserve">الخزينة </v>
          </cell>
        </row>
        <row r="1443">
          <cell r="A1443">
            <v>5</v>
          </cell>
          <cell r="B1443">
            <v>46041</v>
          </cell>
          <cell r="C1443">
            <v>20</v>
          </cell>
          <cell r="D1443" t="str">
            <v xml:space="preserve">الخزينة </v>
          </cell>
        </row>
        <row r="1444">
          <cell r="A1444">
            <v>29</v>
          </cell>
          <cell r="B1444">
            <v>46041</v>
          </cell>
          <cell r="C1444">
            <v>20</v>
          </cell>
          <cell r="D1444" t="str">
            <v xml:space="preserve">الخزينة </v>
          </cell>
        </row>
        <row r="1445">
          <cell r="A1445">
            <v>87</v>
          </cell>
          <cell r="B1445">
            <v>46041</v>
          </cell>
          <cell r="C1445">
            <v>20</v>
          </cell>
          <cell r="D1445" t="str">
            <v xml:space="preserve">الخزينة </v>
          </cell>
        </row>
        <row r="1446">
          <cell r="A1446">
            <v>37</v>
          </cell>
          <cell r="B1446">
            <v>46041</v>
          </cell>
          <cell r="C1446">
            <v>20</v>
          </cell>
          <cell r="D1446" t="str">
            <v xml:space="preserve">الخزينة </v>
          </cell>
        </row>
        <row r="1447">
          <cell r="A1447">
            <v>37</v>
          </cell>
          <cell r="B1447">
            <v>46041</v>
          </cell>
          <cell r="C1447">
            <v>20</v>
          </cell>
          <cell r="D1447" t="str">
            <v xml:space="preserve">الخزينة </v>
          </cell>
        </row>
        <row r="1448">
          <cell r="A1448">
            <v>56</v>
          </cell>
          <cell r="B1448">
            <v>46041</v>
          </cell>
          <cell r="C1448">
            <v>20</v>
          </cell>
          <cell r="D1448" t="str">
            <v xml:space="preserve">الخزينة </v>
          </cell>
        </row>
        <row r="1449">
          <cell r="A1449">
            <v>59</v>
          </cell>
          <cell r="B1449">
            <v>46041</v>
          </cell>
          <cell r="C1449">
            <v>20</v>
          </cell>
          <cell r="D1449" t="str">
            <v xml:space="preserve">الخزينة </v>
          </cell>
        </row>
        <row r="1450">
          <cell r="A1450">
            <v>59</v>
          </cell>
          <cell r="B1450">
            <v>46041</v>
          </cell>
          <cell r="C1450">
            <v>20</v>
          </cell>
          <cell r="D1450" t="str">
            <v xml:space="preserve">الخزينة </v>
          </cell>
        </row>
        <row r="1451">
          <cell r="A1451">
            <v>90</v>
          </cell>
          <cell r="B1451">
            <v>46040</v>
          </cell>
          <cell r="C1451">
            <v>20</v>
          </cell>
          <cell r="D1451" t="str">
            <v xml:space="preserve">الخزينة </v>
          </cell>
        </row>
        <row r="1452">
          <cell r="A1452">
            <v>2</v>
          </cell>
          <cell r="B1452">
            <v>46040</v>
          </cell>
          <cell r="C1452">
            <v>20</v>
          </cell>
          <cell r="D1452" t="str">
            <v xml:space="preserve">الخزينة </v>
          </cell>
        </row>
        <row r="1453">
          <cell r="A1453">
            <v>10</v>
          </cell>
          <cell r="B1453">
            <v>46040</v>
          </cell>
          <cell r="C1453">
            <v>20</v>
          </cell>
          <cell r="D1453" t="str">
            <v xml:space="preserve">الخزينة </v>
          </cell>
        </row>
        <row r="1454">
          <cell r="A1454">
            <v>10</v>
          </cell>
          <cell r="B1454">
            <v>46040</v>
          </cell>
          <cell r="C1454">
            <v>20</v>
          </cell>
          <cell r="D1454" t="str">
            <v xml:space="preserve">الخزينة </v>
          </cell>
        </row>
        <row r="1455">
          <cell r="A1455">
            <v>88</v>
          </cell>
          <cell r="B1455">
            <v>46040</v>
          </cell>
          <cell r="C1455">
            <v>20</v>
          </cell>
          <cell r="D1455" t="str">
            <v xml:space="preserve">الخزينة </v>
          </cell>
        </row>
        <row r="1456">
          <cell r="A1456">
            <v>49</v>
          </cell>
          <cell r="B1456">
            <v>46040</v>
          </cell>
          <cell r="C1456">
            <v>20</v>
          </cell>
          <cell r="D1456" t="str">
            <v xml:space="preserve">الخزينة </v>
          </cell>
        </row>
        <row r="1457">
          <cell r="A1457">
            <v>90</v>
          </cell>
          <cell r="B1457">
            <v>46039</v>
          </cell>
          <cell r="C1457">
            <v>20</v>
          </cell>
          <cell r="D1457" t="str">
            <v xml:space="preserve">الخزينة </v>
          </cell>
        </row>
        <row r="1458">
          <cell r="A1458">
            <v>86</v>
          </cell>
          <cell r="B1458">
            <v>46039</v>
          </cell>
          <cell r="C1458">
            <v>20</v>
          </cell>
          <cell r="D1458" t="str">
            <v xml:space="preserve">الخزينة </v>
          </cell>
        </row>
        <row r="1459">
          <cell r="A1459">
            <v>42</v>
          </cell>
          <cell r="B1459">
            <v>46039</v>
          </cell>
          <cell r="C1459">
            <v>20</v>
          </cell>
          <cell r="D1459" t="str">
            <v xml:space="preserve">الخزينة </v>
          </cell>
        </row>
        <row r="1460">
          <cell r="A1460">
            <v>52</v>
          </cell>
          <cell r="B1460">
            <v>46039</v>
          </cell>
          <cell r="C1460">
            <v>20</v>
          </cell>
          <cell r="D1460" t="str">
            <v xml:space="preserve">الخزينة </v>
          </cell>
        </row>
        <row r="1461">
          <cell r="A1461">
            <v>67</v>
          </cell>
          <cell r="B1461">
            <v>46039</v>
          </cell>
          <cell r="C1461">
            <v>20</v>
          </cell>
          <cell r="D1461" t="str">
            <v xml:space="preserve">الخزينة </v>
          </cell>
        </row>
        <row r="1462">
          <cell r="A1462">
            <v>66</v>
          </cell>
          <cell r="B1462">
            <v>46039</v>
          </cell>
          <cell r="C1462">
            <v>20</v>
          </cell>
          <cell r="D1462" t="str">
            <v xml:space="preserve">الخزينة </v>
          </cell>
        </row>
        <row r="1463">
          <cell r="A1463">
            <v>66</v>
          </cell>
          <cell r="B1463">
            <v>46039</v>
          </cell>
          <cell r="C1463">
            <v>20</v>
          </cell>
          <cell r="D1463" t="str">
            <v xml:space="preserve">الخزينة </v>
          </cell>
        </row>
        <row r="1464">
          <cell r="A1464">
            <v>66</v>
          </cell>
          <cell r="B1464">
            <v>46039</v>
          </cell>
          <cell r="C1464">
            <v>20</v>
          </cell>
          <cell r="D1464" t="str">
            <v xml:space="preserve">الخزينة </v>
          </cell>
        </row>
        <row r="1465">
          <cell r="A1465">
            <v>66</v>
          </cell>
          <cell r="B1465">
            <v>46039</v>
          </cell>
          <cell r="C1465">
            <v>20</v>
          </cell>
          <cell r="D1465" t="str">
            <v xml:space="preserve">الخزينة </v>
          </cell>
        </row>
        <row r="1466">
          <cell r="A1466">
            <v>55</v>
          </cell>
          <cell r="B1466">
            <v>46039</v>
          </cell>
          <cell r="C1466">
            <v>20</v>
          </cell>
          <cell r="D1466" t="str">
            <v xml:space="preserve">الخزينة </v>
          </cell>
        </row>
        <row r="1467">
          <cell r="A1467">
            <v>56</v>
          </cell>
          <cell r="B1467">
            <v>46039</v>
          </cell>
          <cell r="C1467">
            <v>20</v>
          </cell>
          <cell r="D1467" t="str">
            <v xml:space="preserve">الخزينة </v>
          </cell>
        </row>
        <row r="1468">
          <cell r="A1468">
            <v>64</v>
          </cell>
          <cell r="B1468">
            <v>46039</v>
          </cell>
          <cell r="C1468">
            <v>20</v>
          </cell>
          <cell r="D1468" t="str">
            <v xml:space="preserve">الخزينة </v>
          </cell>
        </row>
        <row r="1469">
          <cell r="A1469">
            <v>60</v>
          </cell>
          <cell r="B1469">
            <v>46039</v>
          </cell>
          <cell r="C1469">
            <v>20</v>
          </cell>
          <cell r="D1469" t="str">
            <v xml:space="preserve">الخزينة </v>
          </cell>
        </row>
        <row r="1470">
          <cell r="A1470">
            <v>63</v>
          </cell>
          <cell r="B1470">
            <v>46039</v>
          </cell>
          <cell r="C1470">
            <v>20</v>
          </cell>
          <cell r="D1470" t="str">
            <v xml:space="preserve">الخزينة </v>
          </cell>
        </row>
        <row r="1471">
          <cell r="A1471">
            <v>90</v>
          </cell>
          <cell r="B1471">
            <v>46037</v>
          </cell>
          <cell r="C1471">
            <v>20</v>
          </cell>
          <cell r="D1471" t="str">
            <v xml:space="preserve">الخزينة </v>
          </cell>
        </row>
        <row r="1472">
          <cell r="A1472">
            <v>5</v>
          </cell>
          <cell r="B1472">
            <v>46037</v>
          </cell>
          <cell r="C1472">
            <v>20</v>
          </cell>
          <cell r="D1472" t="str">
            <v xml:space="preserve">الخزينة </v>
          </cell>
        </row>
        <row r="1473">
          <cell r="A1473">
            <v>82</v>
          </cell>
          <cell r="B1473">
            <v>46037</v>
          </cell>
          <cell r="C1473">
            <v>20</v>
          </cell>
          <cell r="D1473" t="str">
            <v xml:space="preserve">الخزينة </v>
          </cell>
        </row>
        <row r="1474">
          <cell r="A1474">
            <v>75</v>
          </cell>
          <cell r="B1474">
            <v>46037</v>
          </cell>
          <cell r="C1474">
            <v>20</v>
          </cell>
          <cell r="D1474" t="str">
            <v xml:space="preserve">الخزينة </v>
          </cell>
        </row>
        <row r="1475">
          <cell r="A1475">
            <v>44</v>
          </cell>
          <cell r="B1475">
            <v>46037</v>
          </cell>
          <cell r="C1475">
            <v>20</v>
          </cell>
          <cell r="D1475" t="str">
            <v xml:space="preserve">الخزينة </v>
          </cell>
        </row>
        <row r="1476">
          <cell r="A1476">
            <v>48</v>
          </cell>
          <cell r="B1476">
            <v>46037</v>
          </cell>
          <cell r="C1476">
            <v>20</v>
          </cell>
          <cell r="D1476" t="str">
            <v xml:space="preserve">الخزينة </v>
          </cell>
        </row>
        <row r="1477">
          <cell r="A1477">
            <v>70</v>
          </cell>
          <cell r="B1477">
            <v>46037</v>
          </cell>
          <cell r="C1477">
            <v>20</v>
          </cell>
          <cell r="D1477" t="str">
            <v xml:space="preserve">الخزينة </v>
          </cell>
        </row>
        <row r="1478">
          <cell r="A1478">
            <v>53</v>
          </cell>
          <cell r="B1478">
            <v>46037</v>
          </cell>
          <cell r="C1478">
            <v>20</v>
          </cell>
          <cell r="D1478" t="str">
            <v xml:space="preserve">الخزينة </v>
          </cell>
        </row>
        <row r="1479">
          <cell r="A1479">
            <v>55</v>
          </cell>
          <cell r="B1479">
            <v>46037</v>
          </cell>
          <cell r="C1479">
            <v>20</v>
          </cell>
          <cell r="D1479" t="str">
            <v xml:space="preserve">الخزينة </v>
          </cell>
        </row>
        <row r="1480">
          <cell r="A1480">
            <v>55</v>
          </cell>
          <cell r="B1480">
            <v>46037</v>
          </cell>
          <cell r="C1480">
            <v>20</v>
          </cell>
          <cell r="D1480" t="str">
            <v xml:space="preserve">الخزينة </v>
          </cell>
        </row>
        <row r="1481">
          <cell r="A1481">
            <v>55</v>
          </cell>
          <cell r="B1481">
            <v>46037</v>
          </cell>
          <cell r="C1481">
            <v>20</v>
          </cell>
          <cell r="D1481" t="str">
            <v xml:space="preserve">الخزينة </v>
          </cell>
        </row>
        <row r="1482">
          <cell r="A1482">
            <v>59</v>
          </cell>
          <cell r="B1482">
            <v>46037</v>
          </cell>
          <cell r="C1482">
            <v>20</v>
          </cell>
          <cell r="D1482" t="str">
            <v xml:space="preserve">الخزينة </v>
          </cell>
        </row>
        <row r="1483">
          <cell r="A1483">
            <v>59</v>
          </cell>
          <cell r="B1483">
            <v>46037</v>
          </cell>
          <cell r="C1483">
            <v>20</v>
          </cell>
          <cell r="D1483" t="str">
            <v xml:space="preserve">الخزينة </v>
          </cell>
        </row>
        <row r="1484">
          <cell r="A1484">
            <v>60</v>
          </cell>
          <cell r="B1484">
            <v>46037</v>
          </cell>
          <cell r="C1484">
            <v>20</v>
          </cell>
          <cell r="D1484" t="str">
            <v xml:space="preserve">الخزينة </v>
          </cell>
        </row>
        <row r="1485">
          <cell r="A1485">
            <v>90</v>
          </cell>
          <cell r="B1485">
            <v>46036</v>
          </cell>
          <cell r="C1485">
            <v>20</v>
          </cell>
          <cell r="D1485" t="str">
            <v xml:space="preserve">الخزينة </v>
          </cell>
        </row>
        <row r="1486">
          <cell r="A1486">
            <v>90</v>
          </cell>
          <cell r="B1486">
            <v>46036</v>
          </cell>
          <cell r="C1486">
            <v>20</v>
          </cell>
          <cell r="D1486" t="str">
            <v xml:space="preserve">الخزينة </v>
          </cell>
        </row>
        <row r="1487">
          <cell r="A1487">
            <v>2</v>
          </cell>
          <cell r="B1487">
            <v>46036</v>
          </cell>
          <cell r="C1487">
            <v>20</v>
          </cell>
          <cell r="D1487" t="str">
            <v xml:space="preserve">الخزينة </v>
          </cell>
        </row>
        <row r="1488">
          <cell r="A1488">
            <v>17</v>
          </cell>
          <cell r="B1488">
            <v>46036</v>
          </cell>
          <cell r="C1488">
            <v>20</v>
          </cell>
          <cell r="D1488" t="str">
            <v xml:space="preserve">الخزينة </v>
          </cell>
        </row>
        <row r="1489">
          <cell r="A1489">
            <v>21</v>
          </cell>
          <cell r="B1489">
            <v>46036</v>
          </cell>
          <cell r="C1489">
            <v>20</v>
          </cell>
          <cell r="D1489" t="str">
            <v xml:space="preserve">الخزينة </v>
          </cell>
        </row>
        <row r="1490">
          <cell r="A1490">
            <v>30</v>
          </cell>
          <cell r="B1490">
            <v>46036</v>
          </cell>
          <cell r="C1490">
            <v>20</v>
          </cell>
          <cell r="D1490" t="str">
            <v xml:space="preserve">الخزينة </v>
          </cell>
        </row>
        <row r="1491">
          <cell r="A1491">
            <v>33</v>
          </cell>
          <cell r="B1491">
            <v>46036</v>
          </cell>
          <cell r="C1491">
            <v>20</v>
          </cell>
          <cell r="D1491" t="str">
            <v xml:space="preserve">الخزينة </v>
          </cell>
        </row>
        <row r="1492">
          <cell r="A1492">
            <v>42</v>
          </cell>
          <cell r="B1492">
            <v>46036</v>
          </cell>
          <cell r="C1492">
            <v>20</v>
          </cell>
          <cell r="D1492" t="str">
            <v xml:space="preserve">الخزينة </v>
          </cell>
        </row>
        <row r="1493">
          <cell r="A1493">
            <v>42</v>
          </cell>
          <cell r="B1493">
            <v>46036</v>
          </cell>
          <cell r="C1493">
            <v>20</v>
          </cell>
          <cell r="D1493" t="str">
            <v xml:space="preserve">الخزينة </v>
          </cell>
        </row>
        <row r="1494">
          <cell r="A1494">
            <v>68</v>
          </cell>
          <cell r="B1494">
            <v>46036</v>
          </cell>
          <cell r="C1494">
            <v>20</v>
          </cell>
          <cell r="D1494" t="str">
            <v xml:space="preserve">الخزينة </v>
          </cell>
        </row>
        <row r="1495">
          <cell r="A1495">
            <v>67</v>
          </cell>
          <cell r="B1495">
            <v>46036</v>
          </cell>
          <cell r="C1495">
            <v>20</v>
          </cell>
          <cell r="D1495" t="str">
            <v xml:space="preserve">الخزينة </v>
          </cell>
        </row>
        <row r="1496">
          <cell r="A1496">
            <v>53</v>
          </cell>
          <cell r="B1496">
            <v>46036</v>
          </cell>
          <cell r="C1496">
            <v>20</v>
          </cell>
          <cell r="D1496" t="str">
            <v xml:space="preserve">الخزينة </v>
          </cell>
        </row>
        <row r="1497">
          <cell r="A1497">
            <v>66</v>
          </cell>
          <cell r="B1497">
            <v>46036</v>
          </cell>
          <cell r="C1497">
            <v>20</v>
          </cell>
          <cell r="D1497" t="str">
            <v xml:space="preserve">الخزينة </v>
          </cell>
        </row>
        <row r="1498">
          <cell r="A1498">
            <v>66</v>
          </cell>
          <cell r="B1498">
            <v>46036</v>
          </cell>
          <cell r="C1498">
            <v>20</v>
          </cell>
          <cell r="D1498" t="str">
            <v xml:space="preserve">الخزينة </v>
          </cell>
        </row>
        <row r="1499">
          <cell r="A1499">
            <v>66</v>
          </cell>
          <cell r="B1499">
            <v>46036</v>
          </cell>
          <cell r="C1499">
            <v>20</v>
          </cell>
          <cell r="D1499" t="str">
            <v xml:space="preserve">الخزينة </v>
          </cell>
        </row>
        <row r="1500">
          <cell r="A1500">
            <v>66</v>
          </cell>
          <cell r="B1500">
            <v>46036</v>
          </cell>
          <cell r="C1500">
            <v>20</v>
          </cell>
          <cell r="D1500" t="str">
            <v xml:space="preserve">الخزينة </v>
          </cell>
        </row>
        <row r="1501">
          <cell r="A1501">
            <v>64</v>
          </cell>
          <cell r="B1501">
            <v>46036</v>
          </cell>
          <cell r="C1501">
            <v>20</v>
          </cell>
          <cell r="D1501" t="str">
            <v xml:space="preserve">الخزينة </v>
          </cell>
        </row>
        <row r="1502">
          <cell r="A1502">
            <v>56</v>
          </cell>
          <cell r="B1502">
            <v>46036</v>
          </cell>
          <cell r="C1502">
            <v>20</v>
          </cell>
          <cell r="D1502" t="str">
            <v xml:space="preserve">الخزينة </v>
          </cell>
        </row>
        <row r="1503">
          <cell r="A1503">
            <v>57</v>
          </cell>
          <cell r="B1503">
            <v>46036</v>
          </cell>
          <cell r="C1503">
            <v>20</v>
          </cell>
          <cell r="D1503" t="str">
            <v xml:space="preserve">الخزينة </v>
          </cell>
        </row>
        <row r="1504">
          <cell r="A1504">
            <v>59</v>
          </cell>
          <cell r="B1504">
            <v>46036</v>
          </cell>
          <cell r="C1504">
            <v>20</v>
          </cell>
          <cell r="D1504" t="str">
            <v xml:space="preserve">الخزينة </v>
          </cell>
        </row>
        <row r="1505">
          <cell r="A1505">
            <v>60</v>
          </cell>
          <cell r="B1505">
            <v>46036</v>
          </cell>
          <cell r="C1505">
            <v>20</v>
          </cell>
          <cell r="D1505" t="str">
            <v xml:space="preserve">الخزينة </v>
          </cell>
        </row>
      </sheetData>
      <sheetData sheetId="9">
        <row r="1">
          <cell r="A1" t="str">
            <v>Details for Sum of Balance - رقم الحساب: 1-306, اسم الحساب: عميل محمد العبور 306, التوجية المحاسبي الاول: عملاء, التوجيه المحاسبي الاخير: المدينون والأرصدة المدينة الأخرى, الشهر: (blank) (+)</v>
          </cell>
        </row>
        <row r="3">
          <cell r="A3" t="str">
            <v>رقم القيد</v>
          </cell>
          <cell r="B3" t="str">
            <v>تاريخ</v>
          </cell>
          <cell r="C3" t="str">
            <v>رقم الحساب</v>
          </cell>
          <cell r="D3" t="str">
            <v>اسم الحساب</v>
          </cell>
          <cell r="E3" t="str">
            <v>العملة</v>
          </cell>
        </row>
        <row r="4">
          <cell r="A4">
            <v>90</v>
          </cell>
          <cell r="B4">
            <v>46179</v>
          </cell>
          <cell r="C4" t="str">
            <v>1-306</v>
          </cell>
          <cell r="D4" t="str">
            <v>عميل محمد العبور 306</v>
          </cell>
        </row>
        <row r="5">
          <cell r="A5">
            <v>90</v>
          </cell>
          <cell r="B5">
            <v>46153</v>
          </cell>
          <cell r="C5" t="str">
            <v>1-306</v>
          </cell>
          <cell r="D5" t="str">
            <v>عميل محمد العبور 306</v>
          </cell>
        </row>
        <row r="6">
          <cell r="A6">
            <v>90</v>
          </cell>
          <cell r="B6">
            <v>46145</v>
          </cell>
          <cell r="C6" t="str">
            <v>1-306</v>
          </cell>
          <cell r="D6" t="str">
            <v>عميل محمد العبور 306</v>
          </cell>
        </row>
        <row r="7">
          <cell r="A7">
            <v>90</v>
          </cell>
          <cell r="B7">
            <v>46114</v>
          </cell>
          <cell r="C7" t="str">
            <v>1-306</v>
          </cell>
          <cell r="D7" t="str">
            <v>عميل محمد العبور 306</v>
          </cell>
        </row>
        <row r="8">
          <cell r="A8">
            <v>90</v>
          </cell>
          <cell r="B8">
            <v>46089</v>
          </cell>
          <cell r="C8" t="str">
            <v>1-306</v>
          </cell>
          <cell r="D8" t="str">
            <v>عميل محمد العبور 306</v>
          </cell>
        </row>
        <row r="9">
          <cell r="A9">
            <v>90</v>
          </cell>
          <cell r="B9">
            <v>46057</v>
          </cell>
          <cell r="C9" t="str">
            <v>1-306</v>
          </cell>
          <cell r="D9" t="str">
            <v>عميل محمد العبور 306</v>
          </cell>
        </row>
        <row r="10">
          <cell r="A10">
            <v>90</v>
          </cell>
          <cell r="B10">
            <v>46040</v>
          </cell>
          <cell r="C10" t="str">
            <v>1-306</v>
          </cell>
          <cell r="D10" t="str">
            <v>عميل محمد العبور 306</v>
          </cell>
        </row>
        <row r="11">
          <cell r="A11">
            <v>90</v>
          </cell>
          <cell r="B11">
            <v>46036</v>
          </cell>
          <cell r="C11" t="str">
            <v>1-306</v>
          </cell>
          <cell r="D11" t="str">
            <v>عميل محمد العبور 306</v>
          </cell>
        </row>
      </sheetData>
      <sheetData sheetId="10">
        <row r="1">
          <cell r="A1" t="str">
            <v>Details for Sum of Balance - رقم الحساب: 104, اسم الحساب: معدات موقع, التوجية المحاسبي الاول: الأصول ثابتة, التوجيه المحاسبي الاخير: الاصول, الشهر: (blank) (+)</v>
          </cell>
        </row>
        <row r="3">
          <cell r="A3" t="str">
            <v>رقم القيد</v>
          </cell>
          <cell r="B3" t="str">
            <v>تاريخ</v>
          </cell>
          <cell r="C3" t="str">
            <v>رقم الحساب</v>
          </cell>
          <cell r="D3" t="str">
            <v>اسم الحساب</v>
          </cell>
          <cell r="E3" t="str">
            <v>العملة</v>
          </cell>
        </row>
        <row r="4">
          <cell r="A4">
            <v>83</v>
          </cell>
          <cell r="B4">
            <v>46117</v>
          </cell>
          <cell r="C4">
            <v>104</v>
          </cell>
          <cell r="D4" t="str">
            <v>معدات موقع</v>
          </cell>
        </row>
        <row r="5">
          <cell r="A5">
            <v>67</v>
          </cell>
          <cell r="B5">
            <v>46144</v>
          </cell>
          <cell r="C5">
            <v>104</v>
          </cell>
          <cell r="D5" t="str">
            <v>معدات موقع</v>
          </cell>
        </row>
        <row r="6">
          <cell r="A6">
            <v>1</v>
          </cell>
          <cell r="B6">
            <v>46023</v>
          </cell>
          <cell r="C6">
            <v>104</v>
          </cell>
          <cell r="D6" t="str">
            <v>معدات موقع</v>
          </cell>
        </row>
      </sheetData>
      <sheetData sheetId="11">
        <row r="1">
          <cell r="A1" t="str">
            <v>الشهر</v>
          </cell>
          <cell r="B1" t="str">
            <v>(blank)</v>
          </cell>
        </row>
        <row r="2">
          <cell r="C2" t="str">
            <v>ميزان اجمالي</v>
          </cell>
        </row>
        <row r="3">
          <cell r="A3" t="str">
            <v>Sum of Balance</v>
          </cell>
          <cell r="E3" t="str">
            <v>نوع</v>
          </cell>
        </row>
        <row r="4">
          <cell r="A4" t="str">
            <v>التوجيه المحاسبي الاخير</v>
          </cell>
          <cell r="B4" t="str">
            <v>التوجية المحاسبي الاول</v>
          </cell>
          <cell r="C4" t="str">
            <v>اسم الحساب</v>
          </cell>
          <cell r="D4" t="str">
            <v>رقم الحساب</v>
          </cell>
          <cell r="E4" t="str">
            <v>مدين</v>
          </cell>
        </row>
        <row r="5">
          <cell r="A5" t="str">
            <v xml:space="preserve">الدائنون والأرصدة الدائنة الأخرى </v>
          </cell>
          <cell r="B5" t="str">
            <v>موردين</v>
          </cell>
          <cell r="E5">
            <v>2232935</v>
          </cell>
        </row>
        <row r="6">
          <cell r="B6" t="str">
            <v xml:space="preserve">مقاولين </v>
          </cell>
          <cell r="E6">
            <v>6541416</v>
          </cell>
        </row>
        <row r="7">
          <cell r="B7" t="str">
            <v>م.مستحقه</v>
          </cell>
          <cell r="E7">
            <v>70000</v>
          </cell>
        </row>
        <row r="8">
          <cell r="A8" t="str">
            <v>الاصول</v>
          </cell>
          <cell r="B8" t="str">
            <v>الأصول ثابتة</v>
          </cell>
          <cell r="C8" t="str">
            <v>اجهزة كمبيوتر واجهزة المقر</v>
          </cell>
          <cell r="D8">
            <v>103</v>
          </cell>
          <cell r="E8">
            <v>810857</v>
          </cell>
        </row>
        <row r="9">
          <cell r="C9" t="str">
            <v>اثاث مكتبى</v>
          </cell>
          <cell r="D9">
            <v>102</v>
          </cell>
          <cell r="E9">
            <v>251865</v>
          </cell>
        </row>
        <row r="10">
          <cell r="C10" t="str">
            <v>معدات موقع</v>
          </cell>
          <cell r="D10">
            <v>104</v>
          </cell>
          <cell r="E10">
            <v>65525</v>
          </cell>
        </row>
        <row r="11">
          <cell r="B11" t="str">
            <v xml:space="preserve">أصول متداوله -النقدية ومافي حكمها </v>
          </cell>
          <cell r="C11" t="str">
            <v xml:space="preserve">الخزينة </v>
          </cell>
          <cell r="D11">
            <v>20</v>
          </cell>
          <cell r="E11">
            <v>19229691</v>
          </cell>
        </row>
        <row r="12">
          <cell r="C12" t="str">
            <v xml:space="preserve">بنك cib شخصي </v>
          </cell>
          <cell r="D12">
            <v>201</v>
          </cell>
          <cell r="E12">
            <v>542984</v>
          </cell>
        </row>
        <row r="13">
          <cell r="B13" t="str">
            <v xml:space="preserve">اصول متدواله </v>
          </cell>
          <cell r="C13" t="str">
            <v xml:space="preserve">المخزن </v>
          </cell>
          <cell r="E13">
            <v>50000</v>
          </cell>
        </row>
        <row r="14">
          <cell r="A14" t="str">
            <v xml:space="preserve">مصروفات </v>
          </cell>
          <cell r="E14">
            <v>3478385</v>
          </cell>
        </row>
        <row r="15">
          <cell r="A15" t="str">
            <v xml:space="preserve">حقوق الملكية </v>
          </cell>
          <cell r="E15">
            <v>1013005</v>
          </cell>
        </row>
        <row r="16">
          <cell r="A16" t="str">
            <v xml:space="preserve">الايرادات </v>
          </cell>
        </row>
        <row r="17">
          <cell r="A17" t="str">
            <v>المدينون والأرصدة المدينة الأخرى</v>
          </cell>
          <cell r="B17" t="str">
            <v>عملاء</v>
          </cell>
          <cell r="C17" t="str">
            <v>عملاء</v>
          </cell>
          <cell r="D17">
            <v>6000</v>
          </cell>
          <cell r="E17">
            <v>1133759</v>
          </cell>
        </row>
        <row r="18">
          <cell r="C18" t="str">
            <v>عميل احمد زايد جرين 401</v>
          </cell>
          <cell r="D18" t="str">
            <v>1-401</v>
          </cell>
        </row>
        <row r="19">
          <cell r="C19" t="str">
            <v>عميل اشرف الشروق 372</v>
          </cell>
          <cell r="D19" t="str">
            <v>1-372</v>
          </cell>
        </row>
        <row r="20">
          <cell r="C20" t="str">
            <v>عميل الاندلس 280</v>
          </cell>
          <cell r="D20" t="str">
            <v>1-280</v>
          </cell>
          <cell r="E20">
            <v>9800</v>
          </cell>
        </row>
        <row r="21">
          <cell r="C21" t="str">
            <v>عميل الاندلس 364</v>
          </cell>
          <cell r="D21" t="str">
            <v>1-364</v>
          </cell>
        </row>
        <row r="22">
          <cell r="C22" t="str">
            <v>عميل الباتيو 235</v>
          </cell>
          <cell r="D22" t="str">
            <v>1-235</v>
          </cell>
        </row>
        <row r="23">
          <cell r="C23" t="str">
            <v>عميل محمد العبور 306</v>
          </cell>
          <cell r="D23" t="str">
            <v>1-306</v>
          </cell>
        </row>
        <row r="24">
          <cell r="C24" t="str">
            <v>عميل عمرو القصر 380</v>
          </cell>
          <cell r="D24" t="str">
            <v>1-380</v>
          </cell>
        </row>
        <row r="25">
          <cell r="C25" t="str">
            <v>عميل اللوتس 361</v>
          </cell>
          <cell r="D25" t="str">
            <v>1-361</v>
          </cell>
        </row>
        <row r="26">
          <cell r="C26" t="str">
            <v>عميل بالم هيلز 345</v>
          </cell>
          <cell r="D26" t="str">
            <v>1-345</v>
          </cell>
        </row>
        <row r="27">
          <cell r="C27" t="str">
            <v>عميل سوديك 341</v>
          </cell>
          <cell r="D27" t="str">
            <v>1-341</v>
          </cell>
        </row>
        <row r="28">
          <cell r="C28" t="str">
            <v>عميل الدقي 388</v>
          </cell>
          <cell r="D28" t="str">
            <v>1-388</v>
          </cell>
        </row>
        <row r="29">
          <cell r="C29" t="str">
            <v>عميل العشري وصال 398</v>
          </cell>
          <cell r="D29" t="str">
            <v>1-398</v>
          </cell>
        </row>
        <row r="30">
          <cell r="C30" t="str">
            <v>عميل عمرو العبور 336</v>
          </cell>
          <cell r="D30" t="str">
            <v>1-336</v>
          </cell>
        </row>
        <row r="31">
          <cell r="C31" t="str">
            <v>عميل كناريا 273</v>
          </cell>
          <cell r="D31" t="str">
            <v>1-273</v>
          </cell>
        </row>
        <row r="32">
          <cell r="C32" t="str">
            <v>عميل شفيق مدينتي 350</v>
          </cell>
          <cell r="D32" t="str">
            <v>1-350</v>
          </cell>
        </row>
        <row r="33">
          <cell r="C33" t="str">
            <v>عميل مشروع خاص هليوبوليس م ايه واحمد الميري</v>
          </cell>
          <cell r="D33">
            <v>6031</v>
          </cell>
        </row>
        <row r="34">
          <cell r="C34" t="str">
            <v>عميل احمد معادي ديونز 318</v>
          </cell>
          <cell r="D34" t="str">
            <v>1-318</v>
          </cell>
        </row>
        <row r="35">
          <cell r="C35" t="str">
            <v>عميل مشروع المعادي فيو 287</v>
          </cell>
          <cell r="D35" t="str">
            <v>1-287</v>
          </cell>
        </row>
        <row r="36">
          <cell r="C36" t="str">
            <v xml:space="preserve">عميل نيو جيزة </v>
          </cell>
          <cell r="D36">
            <v>6033</v>
          </cell>
        </row>
        <row r="37">
          <cell r="C37" t="str">
            <v>عميل هاني العبور 365</v>
          </cell>
          <cell r="D37" t="str">
            <v>1-365</v>
          </cell>
        </row>
        <row r="38">
          <cell r="C38" t="str">
            <v>عميل هاني القرنفل 355</v>
          </cell>
          <cell r="D38" t="str">
            <v>1-355</v>
          </cell>
        </row>
        <row r="39">
          <cell r="C39" t="str">
            <v>عميل ياسر القرنفل 354</v>
          </cell>
          <cell r="D39" t="str">
            <v>1-354</v>
          </cell>
        </row>
        <row r="40">
          <cell r="C40" t="str">
            <v>عميل ايمن مدينتي</v>
          </cell>
          <cell r="D40">
            <v>6034</v>
          </cell>
          <cell r="E40">
            <v>40000</v>
          </cell>
        </row>
        <row r="41">
          <cell r="C41" t="str">
            <v xml:space="preserve">عميل دجلة مني المجنونة </v>
          </cell>
          <cell r="D41">
            <v>6035</v>
          </cell>
          <cell r="E41">
            <v>8808</v>
          </cell>
        </row>
        <row r="42">
          <cell r="B42" t="str">
            <v>عهد</v>
          </cell>
          <cell r="C42" t="str">
            <v>عهدة م ايه</v>
          </cell>
          <cell r="D42" t="str">
            <v>50-1</v>
          </cell>
          <cell r="E42">
            <v>60839</v>
          </cell>
        </row>
        <row r="43">
          <cell r="C43" t="str">
            <v>عهدة سامح مشتريات</v>
          </cell>
          <cell r="D43" t="str">
            <v>50-2</v>
          </cell>
          <cell r="E43">
            <v>51039</v>
          </cell>
        </row>
        <row r="44">
          <cell r="B44" t="str">
            <v>سلف</v>
          </cell>
          <cell r="C44" t="str">
            <v>سلفة احمد يونس</v>
          </cell>
          <cell r="D44" t="str">
            <v>50-8</v>
          </cell>
          <cell r="E44">
            <v>7000</v>
          </cell>
        </row>
        <row r="45">
          <cell r="C45" t="str">
            <v>سلفة احمد علي</v>
          </cell>
          <cell r="D45" t="str">
            <v>50-10</v>
          </cell>
          <cell r="E45">
            <v>12000</v>
          </cell>
        </row>
        <row r="46">
          <cell r="C46" t="str">
            <v>سلفة عبدالرحمن</v>
          </cell>
          <cell r="D46" t="str">
            <v>50-9</v>
          </cell>
          <cell r="E46">
            <v>5000</v>
          </cell>
        </row>
        <row r="47">
          <cell r="C47" t="str">
            <v>سلفة منير بوفيه</v>
          </cell>
          <cell r="D47" t="str">
            <v>50-7</v>
          </cell>
          <cell r="E47">
            <v>500</v>
          </cell>
        </row>
        <row r="48">
          <cell r="B48" t="str">
            <v>تأمينات لدي الغير</v>
          </cell>
          <cell r="C48" t="str">
            <v>تأمين مقر</v>
          </cell>
          <cell r="D48" t="str">
            <v>50-12</v>
          </cell>
          <cell r="E48">
            <v>38000</v>
          </cell>
        </row>
        <row r="49">
          <cell r="B49" t="str">
            <v>عملاء الثري دي</v>
          </cell>
          <cell r="C49" t="str">
            <v>عميل ثري دي احمد الدقي 404</v>
          </cell>
          <cell r="D49" t="str">
            <v>2-404</v>
          </cell>
        </row>
        <row r="50">
          <cell r="C50" t="str">
            <v>عميل ثري دي احمد زايد جرين 401</v>
          </cell>
          <cell r="D50" t="str">
            <v>2-401</v>
          </cell>
        </row>
        <row r="51">
          <cell r="C51" t="str">
            <v>عميل ثري دي الاندلس 288</v>
          </cell>
          <cell r="D51" t="str">
            <v>2-288</v>
          </cell>
        </row>
        <row r="52">
          <cell r="C52" t="str">
            <v>عميل ثري دي عمرو القصر 380</v>
          </cell>
          <cell r="D52" t="str">
            <v>2-380</v>
          </cell>
        </row>
        <row r="53">
          <cell r="C53" t="str">
            <v>عميل ثري دي جراندا</v>
          </cell>
          <cell r="D53">
            <v>6041</v>
          </cell>
        </row>
        <row r="54">
          <cell r="C54" t="str">
            <v>عميل ثري دي ديستراكت 408</v>
          </cell>
          <cell r="D54" t="str">
            <v>2-408</v>
          </cell>
        </row>
        <row r="55">
          <cell r="C55" t="str">
            <v>عميل ثري دي الدقي 388</v>
          </cell>
          <cell r="D55" t="str">
            <v>2-388</v>
          </cell>
        </row>
        <row r="56">
          <cell r="C56" t="str">
            <v>عميل ثري دي العشري وصال 398</v>
          </cell>
          <cell r="D56" t="str">
            <v>2-398</v>
          </cell>
        </row>
        <row r="57">
          <cell r="C57" t="str">
            <v>عميل ثري دي احمد معادي ديونز 318</v>
          </cell>
          <cell r="D57" t="str">
            <v>2-318</v>
          </cell>
        </row>
        <row r="58">
          <cell r="C58" t="str">
            <v>عميل ثري دي هاني العبور 365</v>
          </cell>
          <cell r="D58" t="str">
            <v>2-365</v>
          </cell>
        </row>
        <row r="59">
          <cell r="A59" t="str">
            <v>مجمع الاهلاك</v>
          </cell>
          <cell r="B59" t="str">
            <v>مجمع الاهلاك</v>
          </cell>
        </row>
        <row r="60">
          <cell r="A60" t="str">
            <v>مخصص ديون مشكوك فى تحصيلها</v>
          </cell>
        </row>
        <row r="61">
          <cell r="A61" t="str">
            <v xml:space="preserve">تكاليف العمليات </v>
          </cell>
          <cell r="B61" t="str">
            <v>تكاليف مشروع احمد زايد 401</v>
          </cell>
          <cell r="C61" t="str">
            <v>خامات ومصنعية بند السباكة والصحي</v>
          </cell>
          <cell r="D61" t="str">
            <v>401-12</v>
          </cell>
          <cell r="E61">
            <v>43451</v>
          </cell>
        </row>
        <row r="62">
          <cell r="C62" t="str">
            <v>خامات ومصنعية أعمال المحارة</v>
          </cell>
          <cell r="D62" t="str">
            <v>401-6</v>
          </cell>
          <cell r="E62">
            <v>21000</v>
          </cell>
        </row>
        <row r="63">
          <cell r="C63" t="str">
            <v>خامات ومصنعية أعمال المباني</v>
          </cell>
          <cell r="D63" t="str">
            <v>401-5</v>
          </cell>
          <cell r="E63">
            <v>6820</v>
          </cell>
        </row>
        <row r="64">
          <cell r="C64" t="str">
            <v xml:space="preserve">اعمال انزال ونقل الراتش ونقل المخلفات </v>
          </cell>
          <cell r="D64" t="str">
            <v>401-4</v>
          </cell>
          <cell r="E64">
            <v>1400</v>
          </cell>
        </row>
        <row r="65">
          <cell r="C65" t="str">
            <v>خامات ومصنعية بند الكهرباء</v>
          </cell>
          <cell r="D65" t="str">
            <v>401-11</v>
          </cell>
          <cell r="E65">
            <v>143638</v>
          </cell>
        </row>
        <row r="66">
          <cell r="C66" t="str">
            <v>اعمال التكسير والهدم والنظافة</v>
          </cell>
          <cell r="D66" t="str">
            <v>401-3</v>
          </cell>
          <cell r="E66">
            <v>56450</v>
          </cell>
        </row>
        <row r="67">
          <cell r="C67" t="str">
            <v>خامات ومصنعية أعمال العزل</v>
          </cell>
          <cell r="D67" t="str">
            <v>401-20</v>
          </cell>
          <cell r="E67">
            <v>3870</v>
          </cell>
        </row>
        <row r="68">
          <cell r="C68" t="str">
            <v>خامات ومصنعية أعمال الشفاطات</v>
          </cell>
          <cell r="D68" t="str">
            <v>401-21</v>
          </cell>
          <cell r="E68">
            <v>17445</v>
          </cell>
        </row>
        <row r="69">
          <cell r="B69" t="str">
            <v>تكاليف مشروع اشرف الشروق 372</v>
          </cell>
          <cell r="C69" t="str">
            <v>خامات ومصنعية بند السباكة والصحي</v>
          </cell>
          <cell r="D69" t="str">
            <v>372-12</v>
          </cell>
          <cell r="E69">
            <v>3900</v>
          </cell>
        </row>
        <row r="70">
          <cell r="C70" t="str">
            <v xml:space="preserve">اعمال انزال ونقل الراتش ونقل المخلفات </v>
          </cell>
          <cell r="D70" t="str">
            <v>372-4</v>
          </cell>
          <cell r="E70">
            <v>500</v>
          </cell>
        </row>
        <row r="71">
          <cell r="C71" t="str">
            <v>خامات ومصنعية بند الكهرباء</v>
          </cell>
          <cell r="D71" t="str">
            <v>372-11</v>
          </cell>
          <cell r="E71">
            <v>68050</v>
          </cell>
        </row>
        <row r="72">
          <cell r="C72" t="str">
            <v>اعمال التكسير والهدم والنظافة</v>
          </cell>
          <cell r="D72" t="str">
            <v>372-3</v>
          </cell>
          <cell r="E72">
            <v>4353</v>
          </cell>
        </row>
        <row r="73">
          <cell r="C73" t="str">
            <v>خامات ومصنعية أعمال السيراميك</v>
          </cell>
          <cell r="D73" t="str">
            <v>372-9</v>
          </cell>
          <cell r="E73">
            <v>38058</v>
          </cell>
        </row>
        <row r="74">
          <cell r="B74" t="str">
            <v>تكاليف مشروع الاندلس 364</v>
          </cell>
          <cell r="C74" t="str">
            <v>خامات ومصنعية بند السباكة والصحي</v>
          </cell>
          <cell r="D74" t="str">
            <v>364-12</v>
          </cell>
          <cell r="E74">
            <v>31779</v>
          </cell>
        </row>
        <row r="75">
          <cell r="C75" t="str">
            <v>خامات ومصنعية أعمال الدهانات</v>
          </cell>
          <cell r="D75" t="str">
            <v>364-8</v>
          </cell>
          <cell r="E75">
            <v>39150</v>
          </cell>
        </row>
        <row r="76">
          <cell r="C76" t="str">
            <v xml:space="preserve">اعمال انزال ونقل الراتش ونقل المخلفات </v>
          </cell>
          <cell r="D76" t="str">
            <v>364-4</v>
          </cell>
          <cell r="E76">
            <v>2100</v>
          </cell>
        </row>
        <row r="77">
          <cell r="C77" t="str">
            <v>خامات ومصنعية بند الكهرباء</v>
          </cell>
          <cell r="D77" t="str">
            <v>364-11</v>
          </cell>
          <cell r="E77">
            <v>98965</v>
          </cell>
        </row>
        <row r="78">
          <cell r="C78" t="str">
            <v>اعمال التكسير والهدم والنظافة</v>
          </cell>
          <cell r="D78" t="str">
            <v>364-3</v>
          </cell>
          <cell r="E78">
            <v>12200</v>
          </cell>
        </row>
        <row r="79">
          <cell r="C79" t="str">
            <v>خامات ومصنعية أعمال النجارة والأبواب</v>
          </cell>
          <cell r="D79" t="str">
            <v>364-14</v>
          </cell>
          <cell r="E79">
            <v>300</v>
          </cell>
        </row>
        <row r="80">
          <cell r="C80" t="str">
            <v>خامات ومصنعية أعمال السيراميك</v>
          </cell>
          <cell r="D80" t="str">
            <v>364-9</v>
          </cell>
          <cell r="E80">
            <v>1975</v>
          </cell>
        </row>
        <row r="81">
          <cell r="C81" t="str">
            <v>خامات ومصنعية أعمال الشفاطات</v>
          </cell>
          <cell r="D81" t="str">
            <v>364-21</v>
          </cell>
          <cell r="E81">
            <v>13000</v>
          </cell>
        </row>
        <row r="82">
          <cell r="B82" t="str">
            <v>تكاليف مشروع الباتيو 235</v>
          </cell>
          <cell r="C82" t="str">
            <v>خامات ومصنعية بند السباكة والصحي</v>
          </cell>
          <cell r="D82" t="str">
            <v>235-12</v>
          </cell>
          <cell r="E82">
            <v>6336</v>
          </cell>
        </row>
        <row r="83">
          <cell r="C83" t="str">
            <v>خامات ومصنعية أعمال الدهانات</v>
          </cell>
          <cell r="D83" t="str">
            <v>235-8</v>
          </cell>
          <cell r="E83">
            <v>2225</v>
          </cell>
        </row>
        <row r="84">
          <cell r="C84" t="str">
            <v xml:space="preserve">اعمال انزال ونقل الراتش ونقل المخلفات </v>
          </cell>
          <cell r="D84" t="str">
            <v>235-4</v>
          </cell>
          <cell r="E84">
            <v>4785</v>
          </cell>
        </row>
        <row r="85">
          <cell r="C85" t="str">
            <v>خامات ومصنعية بند الكهرباء</v>
          </cell>
          <cell r="D85" t="str">
            <v>235-11</v>
          </cell>
          <cell r="E85">
            <v>11908</v>
          </cell>
        </row>
        <row r="86">
          <cell r="C86" t="str">
            <v>اعمال التكسير والهدم والنظافة</v>
          </cell>
          <cell r="D86" t="str">
            <v>235-3</v>
          </cell>
          <cell r="E86">
            <v>17175</v>
          </cell>
        </row>
        <row r="87">
          <cell r="C87" t="str">
            <v>رسوم وتصاريح المشروع واكراميات</v>
          </cell>
          <cell r="D87" t="str">
            <v>235-28</v>
          </cell>
          <cell r="E87">
            <v>1200</v>
          </cell>
        </row>
        <row r="88">
          <cell r="C88" t="str">
            <v>خامات ومصنعية أعمال النجارة والأبواب</v>
          </cell>
          <cell r="D88" t="str">
            <v>235-14</v>
          </cell>
          <cell r="E88">
            <v>1990</v>
          </cell>
        </row>
        <row r="89">
          <cell r="C89" t="str">
            <v>خامات ومصنعية أعمال السيراميك</v>
          </cell>
          <cell r="D89" t="str">
            <v>235-9</v>
          </cell>
          <cell r="E89">
            <v>651</v>
          </cell>
        </row>
        <row r="90">
          <cell r="C90" t="str">
            <v>خامات ومصنعية أعمال الرخام</v>
          </cell>
          <cell r="D90" t="str">
            <v>235-10</v>
          </cell>
          <cell r="E90">
            <v>155</v>
          </cell>
        </row>
        <row r="91">
          <cell r="C91" t="str">
            <v>خامات ومصنعية أعمال اللاند سكيب</v>
          </cell>
          <cell r="D91" t="str">
            <v>235-23</v>
          </cell>
          <cell r="E91">
            <v>42337</v>
          </cell>
        </row>
        <row r="92">
          <cell r="C92" t="str">
            <v>خامات ومصنعية أعمال النقل والتشوين</v>
          </cell>
          <cell r="D92" t="str">
            <v>235-27</v>
          </cell>
          <cell r="E92">
            <v>1200</v>
          </cell>
        </row>
        <row r="93">
          <cell r="B93" t="str">
            <v>تكاليف مشروع العبور 306</v>
          </cell>
          <cell r="C93" t="str">
            <v>خامات ومصنعية بند السباكة والصحي</v>
          </cell>
          <cell r="D93" t="str">
            <v>306-12</v>
          </cell>
          <cell r="E93">
            <v>6260</v>
          </cell>
        </row>
        <row r="94">
          <cell r="C94" t="str">
            <v>خامات ومصنعية أعمال الدهانات</v>
          </cell>
          <cell r="D94" t="str">
            <v>306-8</v>
          </cell>
          <cell r="E94">
            <v>43320</v>
          </cell>
        </row>
        <row r="95">
          <cell r="C95" t="str">
            <v xml:space="preserve">اعمال انزال ونقل الراتش ونقل المخلفات </v>
          </cell>
          <cell r="D95" t="str">
            <v>306-4</v>
          </cell>
          <cell r="E95">
            <v>100</v>
          </cell>
        </row>
        <row r="96">
          <cell r="C96" t="str">
            <v>خامات ومصنعية بند الكهرباء</v>
          </cell>
          <cell r="D96" t="str">
            <v>306-11</v>
          </cell>
          <cell r="E96">
            <v>201839</v>
          </cell>
        </row>
        <row r="97">
          <cell r="C97" t="str">
            <v>اعمال التكسير والهدم والنظافة</v>
          </cell>
          <cell r="D97" t="str">
            <v>306-3</v>
          </cell>
          <cell r="E97">
            <v>1161</v>
          </cell>
        </row>
        <row r="98">
          <cell r="C98" t="str">
            <v>رسوم وتصاريح المشروع واكراميات</v>
          </cell>
          <cell r="D98" t="str">
            <v>306-28</v>
          </cell>
          <cell r="E98">
            <v>600</v>
          </cell>
        </row>
        <row r="99">
          <cell r="C99" t="str">
            <v>خامات ومصنعية أعمال النجارة والأبواب</v>
          </cell>
          <cell r="D99" t="str">
            <v>306-14</v>
          </cell>
          <cell r="E99">
            <v>38013</v>
          </cell>
        </row>
        <row r="100">
          <cell r="C100" t="str">
            <v>خامات ومصنعية أعمال السيراميك</v>
          </cell>
          <cell r="D100" t="str">
            <v>306-9</v>
          </cell>
          <cell r="E100">
            <v>30943</v>
          </cell>
        </row>
        <row r="101">
          <cell r="C101" t="str">
            <v>خامات ومصنعية أعمال الرخام</v>
          </cell>
          <cell r="D101" t="str">
            <v>306-10</v>
          </cell>
          <cell r="E101">
            <v>5346</v>
          </cell>
        </row>
        <row r="102">
          <cell r="C102" t="str">
            <v>خامات ومصنعية أعمال النقل والتشوين</v>
          </cell>
          <cell r="D102" t="str">
            <v>306-27</v>
          </cell>
          <cell r="E102">
            <v>200</v>
          </cell>
        </row>
        <row r="103">
          <cell r="C103" t="str">
            <v>خامات ومصنعية أعمال النجف والإضاءة</v>
          </cell>
          <cell r="D103" t="str">
            <v>306-22</v>
          </cell>
          <cell r="E103">
            <v>5000</v>
          </cell>
        </row>
        <row r="104">
          <cell r="B104" t="str">
            <v>تكاليف مشروع اللوتس 361</v>
          </cell>
          <cell r="C104" t="str">
            <v>خامات ومصنعية بند السباكة والصحي</v>
          </cell>
          <cell r="D104" t="str">
            <v>361-12</v>
          </cell>
          <cell r="E104">
            <v>13211</v>
          </cell>
        </row>
        <row r="105">
          <cell r="C105" t="str">
            <v>خامات ومصنعية أعمال الدهانات</v>
          </cell>
          <cell r="D105" t="str">
            <v>361-8</v>
          </cell>
          <cell r="E105">
            <v>37846</v>
          </cell>
        </row>
        <row r="106">
          <cell r="C106" t="str">
            <v xml:space="preserve">اعمال انزال ونقل الراتش ونقل المخلفات </v>
          </cell>
          <cell r="D106" t="str">
            <v>361-4</v>
          </cell>
          <cell r="E106">
            <v>825</v>
          </cell>
        </row>
        <row r="107">
          <cell r="C107" t="str">
            <v>خامات ومصنعية بند الكهرباء</v>
          </cell>
          <cell r="D107" t="str">
            <v>361-11</v>
          </cell>
          <cell r="E107">
            <v>71839</v>
          </cell>
        </row>
        <row r="108">
          <cell r="C108" t="str">
            <v>اعمال التكسير والهدم والنظافة</v>
          </cell>
          <cell r="D108" t="str">
            <v>361-3</v>
          </cell>
          <cell r="E108">
            <v>7280</v>
          </cell>
        </row>
        <row r="109">
          <cell r="C109" t="str">
            <v>خامات ومصنعية أعمال النجارة والأبواب</v>
          </cell>
          <cell r="D109" t="str">
            <v>361-14</v>
          </cell>
          <cell r="E109">
            <v>2755</v>
          </cell>
        </row>
        <row r="110">
          <cell r="C110" t="str">
            <v>خامات ومصنعية أعمال السيراميك</v>
          </cell>
          <cell r="D110" t="str">
            <v>361-9</v>
          </cell>
          <cell r="E110">
            <v>800</v>
          </cell>
        </row>
        <row r="111">
          <cell r="C111" t="str">
            <v>خامات ومصنعية أعمال الشفاطات</v>
          </cell>
          <cell r="D111" t="str">
            <v>361-21</v>
          </cell>
          <cell r="E111">
            <v>12300</v>
          </cell>
        </row>
        <row r="112">
          <cell r="C112" t="str">
            <v>خامات ومصنعية أعمال النقل والتشوين</v>
          </cell>
          <cell r="D112" t="str">
            <v>361-27</v>
          </cell>
          <cell r="E112">
            <v>1000</v>
          </cell>
        </row>
        <row r="113">
          <cell r="B113" t="str">
            <v>345 تكاليف مشروع بالم هيلز</v>
          </cell>
          <cell r="C113" t="str">
            <v>خامات ومصنعية بند السباكة والصحي</v>
          </cell>
          <cell r="D113" t="str">
            <v>345-12</v>
          </cell>
          <cell r="E113">
            <v>9952</v>
          </cell>
        </row>
        <row r="114">
          <cell r="C114" t="str">
            <v>خامات ومصنعية أعمال المحارة</v>
          </cell>
          <cell r="D114" t="str">
            <v>345-6</v>
          </cell>
          <cell r="E114">
            <v>225</v>
          </cell>
        </row>
        <row r="115">
          <cell r="C115" t="str">
            <v>خامات ومصنعية أعمال الدهانات</v>
          </cell>
          <cell r="D115" t="str">
            <v>345-8</v>
          </cell>
          <cell r="E115">
            <v>29308</v>
          </cell>
        </row>
        <row r="116">
          <cell r="C116" t="str">
            <v xml:space="preserve">اعمال انزال ونقل الراتش ونقل المخلفات </v>
          </cell>
          <cell r="D116" t="str">
            <v>345-4</v>
          </cell>
          <cell r="E116">
            <v>2600</v>
          </cell>
        </row>
        <row r="117">
          <cell r="C117" t="str">
            <v>خامات ومصنعية بند الكهرباء</v>
          </cell>
          <cell r="D117" t="str">
            <v>345-11</v>
          </cell>
          <cell r="E117">
            <v>18385</v>
          </cell>
        </row>
        <row r="118">
          <cell r="C118" t="str">
            <v>اعمال التكسير والهدم والنظافة</v>
          </cell>
          <cell r="D118" t="str">
            <v>345-3</v>
          </cell>
          <cell r="E118">
            <v>13185</v>
          </cell>
        </row>
        <row r="119">
          <cell r="C119" t="str">
            <v>خامات ومصنعية أعمال النجارة والأبواب</v>
          </cell>
          <cell r="D119" t="str">
            <v>345-14</v>
          </cell>
          <cell r="E119">
            <v>1575</v>
          </cell>
        </row>
        <row r="120">
          <cell r="C120" t="str">
            <v>خامات ومصنعية أعمال السيراميك</v>
          </cell>
          <cell r="D120" t="str">
            <v>345-9</v>
          </cell>
          <cell r="E120">
            <v>1090</v>
          </cell>
        </row>
        <row r="121">
          <cell r="B121" t="str">
            <v>تكاليف مشروع رأس الحكمة</v>
          </cell>
          <cell r="C121" t="str">
            <v>خامات ومصنعية بند السباكة والصحي</v>
          </cell>
          <cell r="D121" t="str">
            <v>5100-12</v>
          </cell>
          <cell r="E121">
            <v>1200</v>
          </cell>
        </row>
        <row r="122">
          <cell r="C122" t="str">
            <v xml:space="preserve">اعمال انزال ونقل الراتش ونقل المخلفات </v>
          </cell>
          <cell r="D122" t="str">
            <v>5100-4</v>
          </cell>
          <cell r="E122">
            <v>10200</v>
          </cell>
        </row>
        <row r="123">
          <cell r="C123" t="str">
            <v>خامات ومصنعية بند الكهرباء</v>
          </cell>
          <cell r="D123" t="str">
            <v>5100-11</v>
          </cell>
          <cell r="E123">
            <v>8008</v>
          </cell>
        </row>
        <row r="124">
          <cell r="C124" t="str">
            <v>اعمال التكسير والهدم والنظافة</v>
          </cell>
          <cell r="D124" t="str">
            <v>5100-3</v>
          </cell>
          <cell r="E124">
            <v>13111</v>
          </cell>
        </row>
        <row r="125">
          <cell r="C125" t="str">
            <v>خامات ومصنعية أعمال السيراميك</v>
          </cell>
          <cell r="D125" t="str">
            <v>5100-9</v>
          </cell>
          <cell r="E125">
            <v>5005</v>
          </cell>
        </row>
        <row r="126">
          <cell r="C126" t="str">
            <v>خامات ومصنعية أعمال الرخام</v>
          </cell>
          <cell r="D126" t="str">
            <v>5100-10</v>
          </cell>
          <cell r="E126">
            <v>4905</v>
          </cell>
        </row>
        <row r="127">
          <cell r="C127" t="str">
            <v>تكاليف مشروع رأس الحكمة</v>
          </cell>
          <cell r="D127">
            <v>5100</v>
          </cell>
          <cell r="E127">
            <v>25558</v>
          </cell>
        </row>
        <row r="128">
          <cell r="B128" t="str">
            <v>تكاليف مشروع سوديك  341</v>
          </cell>
          <cell r="C128" t="str">
            <v>خامات ومصنعية بند السباكة والصحي</v>
          </cell>
          <cell r="D128" t="str">
            <v>341-12</v>
          </cell>
          <cell r="E128">
            <v>33515</v>
          </cell>
        </row>
        <row r="129">
          <cell r="C129" t="str">
            <v>خامات ومصنعية أعمال الدهانات</v>
          </cell>
          <cell r="D129" t="str">
            <v>341-8</v>
          </cell>
          <cell r="E129">
            <v>44726</v>
          </cell>
        </row>
        <row r="130">
          <cell r="C130" t="str">
            <v xml:space="preserve">اعمال انزال ونقل الراتش ونقل المخلفات </v>
          </cell>
          <cell r="D130" t="str">
            <v>341-4</v>
          </cell>
          <cell r="E130">
            <v>25707</v>
          </cell>
        </row>
        <row r="131">
          <cell r="C131" t="str">
            <v>خامات ومصنعية بند الكهرباء</v>
          </cell>
          <cell r="D131" t="str">
            <v>341-11</v>
          </cell>
          <cell r="E131">
            <v>692974</v>
          </cell>
        </row>
        <row r="132">
          <cell r="C132" t="str">
            <v xml:space="preserve">اعمال التكسير والهدم والنظافة والتشوينات من مواد </v>
          </cell>
          <cell r="D132" t="str">
            <v>341-3</v>
          </cell>
          <cell r="E132">
            <v>89371</v>
          </cell>
        </row>
        <row r="133">
          <cell r="C133" t="str">
            <v>خامات ومصنعية أعمال العزل</v>
          </cell>
          <cell r="D133" t="str">
            <v>341-20</v>
          </cell>
          <cell r="E133">
            <v>26570</v>
          </cell>
        </row>
        <row r="134">
          <cell r="C134" t="str">
            <v>رسوم وتصاريح المشروع واكراميات</v>
          </cell>
          <cell r="D134" t="str">
            <v>341-28</v>
          </cell>
          <cell r="E134">
            <v>500</v>
          </cell>
        </row>
        <row r="135">
          <cell r="C135" t="str">
            <v>خامات ومصنعية أعمال النجارة والأبواب</v>
          </cell>
          <cell r="D135" t="str">
            <v>341-14</v>
          </cell>
          <cell r="E135">
            <v>20670</v>
          </cell>
        </row>
        <row r="136">
          <cell r="C136" t="str">
            <v>خامات ومصنعية أعمال السيراميك</v>
          </cell>
          <cell r="D136" t="str">
            <v>341-9</v>
          </cell>
          <cell r="E136">
            <v>142561</v>
          </cell>
        </row>
        <row r="137">
          <cell r="C137" t="str">
            <v>خامات ومصنعية أعمال الرخام</v>
          </cell>
          <cell r="D137" t="str">
            <v>341-10</v>
          </cell>
          <cell r="E137">
            <v>6591</v>
          </cell>
        </row>
        <row r="138">
          <cell r="C138" t="str">
            <v>خامات ومصنعية أعمال اللاند سكيب</v>
          </cell>
          <cell r="D138" t="str">
            <v>341-23</v>
          </cell>
          <cell r="E138">
            <v>65182</v>
          </cell>
        </row>
        <row r="139">
          <cell r="C139" t="str">
            <v>خامات ومصنعية أعمال النقل والتشوين</v>
          </cell>
          <cell r="D139" t="str">
            <v>341-27</v>
          </cell>
          <cell r="E139">
            <v>500</v>
          </cell>
        </row>
        <row r="140">
          <cell r="C140" t="str">
            <v>خامات ومصنعية أعمال النجف والإضاءة</v>
          </cell>
          <cell r="D140" t="str">
            <v>341-22</v>
          </cell>
          <cell r="E140">
            <v>5000</v>
          </cell>
        </row>
        <row r="141">
          <cell r="C141" t="str">
            <v>انتقالات اخري</v>
          </cell>
          <cell r="D141" t="str">
            <v>341-30</v>
          </cell>
          <cell r="E141">
            <v>1500</v>
          </cell>
        </row>
        <row r="142">
          <cell r="B142" t="str">
            <v>388 تكاليف مشروع الدقي</v>
          </cell>
          <cell r="C142" t="str">
            <v>خامات ومصنعية بند السباكة والصحي</v>
          </cell>
          <cell r="D142" t="str">
            <v>388-12</v>
          </cell>
          <cell r="E142">
            <v>50051</v>
          </cell>
        </row>
        <row r="143">
          <cell r="C143" t="str">
            <v>خامات ومصنعية أعمال المحارة</v>
          </cell>
          <cell r="D143" t="str">
            <v>388-6</v>
          </cell>
          <cell r="E143">
            <v>69520</v>
          </cell>
        </row>
        <row r="144">
          <cell r="C144" t="str">
            <v>خامات ومصنعية أعمال المباني</v>
          </cell>
          <cell r="D144" t="str">
            <v>388-5</v>
          </cell>
          <cell r="E144">
            <v>41241</v>
          </cell>
        </row>
        <row r="145">
          <cell r="C145" t="str">
            <v>خامات ومصنعية أعمال الدهانات</v>
          </cell>
          <cell r="D145" t="str">
            <v>388-8</v>
          </cell>
          <cell r="E145">
            <v>7385</v>
          </cell>
        </row>
        <row r="146">
          <cell r="C146" t="str">
            <v xml:space="preserve">اعمال انزال ونقل الراتش ونقل المخلفات </v>
          </cell>
          <cell r="D146" t="str">
            <v>388-4</v>
          </cell>
          <cell r="E146">
            <v>21690</v>
          </cell>
        </row>
        <row r="147">
          <cell r="C147" t="str">
            <v>خامات ومصنعية بند الكهرباء</v>
          </cell>
          <cell r="D147" t="str">
            <v>388-11</v>
          </cell>
          <cell r="E147">
            <v>325292</v>
          </cell>
        </row>
        <row r="148">
          <cell r="C148" t="str">
            <v>اعمال التكسير والهدم والنظافة</v>
          </cell>
          <cell r="D148" t="str">
            <v>388-3</v>
          </cell>
          <cell r="E148">
            <v>27619</v>
          </cell>
        </row>
        <row r="149">
          <cell r="C149" t="str">
            <v>خامات ومصنعية أعمال العزل</v>
          </cell>
          <cell r="D149" t="str">
            <v>388-20</v>
          </cell>
          <cell r="E149">
            <v>2950</v>
          </cell>
        </row>
        <row r="150">
          <cell r="C150" t="str">
            <v>رسوم وتصاريح المشروع واكراميات</v>
          </cell>
          <cell r="D150" t="str">
            <v>388-28</v>
          </cell>
          <cell r="E150">
            <v>11211</v>
          </cell>
        </row>
        <row r="151">
          <cell r="C151" t="str">
            <v>خامات ومصنعية أعمال النجارة والأبواب</v>
          </cell>
          <cell r="D151" t="str">
            <v>388-14</v>
          </cell>
          <cell r="E151">
            <v>16200</v>
          </cell>
        </row>
        <row r="152">
          <cell r="C152" t="str">
            <v>خامات ومصنعية أعمال السيراميك</v>
          </cell>
          <cell r="D152" t="str">
            <v>388-9</v>
          </cell>
          <cell r="E152">
            <v>290901</v>
          </cell>
        </row>
        <row r="153">
          <cell r="C153" t="str">
            <v>خامات ومصنعية أعمال الشفاطات</v>
          </cell>
          <cell r="D153" t="str">
            <v>388-21</v>
          </cell>
          <cell r="E153">
            <v>22130</v>
          </cell>
        </row>
        <row r="154">
          <cell r="B154" t="str">
            <v>تكاليف مشروع وصال العشري 398</v>
          </cell>
          <cell r="C154" t="str">
            <v>خامات ومصنعية بند السباكة والصحي</v>
          </cell>
          <cell r="D154" t="str">
            <v>398-12</v>
          </cell>
          <cell r="E154">
            <v>96837</v>
          </cell>
        </row>
        <row r="155">
          <cell r="C155" t="str">
            <v>خامات ومصنعية أعمال المباني</v>
          </cell>
          <cell r="D155" t="str">
            <v>398-5</v>
          </cell>
          <cell r="E155">
            <v>22313</v>
          </cell>
        </row>
        <row r="156">
          <cell r="C156" t="str">
            <v>خامات ومصنعية أعمال الدهانات</v>
          </cell>
          <cell r="D156" t="str">
            <v>398-8</v>
          </cell>
          <cell r="E156">
            <v>95</v>
          </cell>
        </row>
        <row r="157">
          <cell r="C157" t="str">
            <v xml:space="preserve">اعمال انزال ونقل الراتش ونقل المخلفات </v>
          </cell>
          <cell r="D157" t="str">
            <v>398-4</v>
          </cell>
          <cell r="E157">
            <v>14305</v>
          </cell>
        </row>
        <row r="158">
          <cell r="C158" t="str">
            <v>خامات ومصنعية بند الكهرباء</v>
          </cell>
          <cell r="D158" t="str">
            <v>398-11</v>
          </cell>
          <cell r="E158">
            <v>195810</v>
          </cell>
        </row>
        <row r="159">
          <cell r="C159" t="str">
            <v>اعمال التكسير والهدم والنظافة</v>
          </cell>
          <cell r="D159" t="str">
            <v>398-3</v>
          </cell>
          <cell r="E159">
            <v>60154</v>
          </cell>
        </row>
        <row r="160">
          <cell r="C160" t="str">
            <v>رسوم وتصاريح المشروع واكراميات</v>
          </cell>
          <cell r="D160" t="str">
            <v>398-28</v>
          </cell>
          <cell r="E160">
            <v>200</v>
          </cell>
        </row>
        <row r="161">
          <cell r="C161" t="str">
            <v>خامات ومصنعية أعمال الجبس والديكورات</v>
          </cell>
          <cell r="D161" t="str">
            <v>398-7</v>
          </cell>
          <cell r="E161">
            <v>12790</v>
          </cell>
        </row>
        <row r="162">
          <cell r="C162" t="str">
            <v>خامات ومصنعية أعمال الشفاطات</v>
          </cell>
          <cell r="D162" t="str">
            <v>398-21</v>
          </cell>
          <cell r="E162">
            <v>15080</v>
          </cell>
        </row>
        <row r="163">
          <cell r="C163" t="str">
            <v>خامات ومصنعية أعمال النقل والتشوين</v>
          </cell>
          <cell r="D163" t="str">
            <v>398-27</v>
          </cell>
          <cell r="E163">
            <v>300</v>
          </cell>
        </row>
        <row r="164">
          <cell r="B164" t="str">
            <v>تكاليف مشروع كناريا  273</v>
          </cell>
          <cell r="C164" t="str">
            <v>خامات ومصنعية بند السباكة والصحي</v>
          </cell>
          <cell r="D164" t="str">
            <v>273-12</v>
          </cell>
          <cell r="E164">
            <v>99814</v>
          </cell>
        </row>
        <row r="165">
          <cell r="C165" t="str">
            <v>خامات ومصنعية أعمال الدهانات</v>
          </cell>
          <cell r="D165" t="str">
            <v>273-8</v>
          </cell>
          <cell r="E165">
            <v>5330</v>
          </cell>
        </row>
        <row r="166">
          <cell r="C166" t="str">
            <v xml:space="preserve">اعمال انزال ونقل الراتش ونقل المخلفات </v>
          </cell>
          <cell r="D166" t="str">
            <v>273-4</v>
          </cell>
          <cell r="E166">
            <v>1200</v>
          </cell>
        </row>
        <row r="167">
          <cell r="C167" t="str">
            <v>خامات ومصنعية بند الكهرباء</v>
          </cell>
          <cell r="D167" t="str">
            <v>273-11</v>
          </cell>
          <cell r="E167">
            <v>11425</v>
          </cell>
        </row>
        <row r="168">
          <cell r="C168" t="str">
            <v>اعمال التكسير والهدم والنظافة</v>
          </cell>
          <cell r="D168" t="str">
            <v>273-3</v>
          </cell>
          <cell r="E168">
            <v>1900</v>
          </cell>
        </row>
        <row r="169">
          <cell r="C169" t="str">
            <v>خامات ومصنعية أعمال النقل والتشوين</v>
          </cell>
          <cell r="D169" t="str">
            <v>273-27</v>
          </cell>
          <cell r="E169">
            <v>200</v>
          </cell>
        </row>
        <row r="170">
          <cell r="B170" t="str">
            <v>350 تكاليف مشروع شفيق</v>
          </cell>
          <cell r="C170" t="str">
            <v>خامات ومصنعية بند السباكة والصحي</v>
          </cell>
          <cell r="D170" t="str">
            <v>350-12</v>
          </cell>
          <cell r="E170">
            <v>19398</v>
          </cell>
        </row>
        <row r="171">
          <cell r="C171" t="str">
            <v>خامات ومصنعية أعمال الدهانات</v>
          </cell>
          <cell r="D171" t="str">
            <v>350-8</v>
          </cell>
          <cell r="E171">
            <v>27119</v>
          </cell>
        </row>
        <row r="172">
          <cell r="C172" t="str">
            <v xml:space="preserve">اعمال انزال ونقل الراتش ونقل المخلفات </v>
          </cell>
          <cell r="D172" t="str">
            <v>350-4</v>
          </cell>
          <cell r="E172">
            <v>2600</v>
          </cell>
        </row>
        <row r="173">
          <cell r="C173" t="str">
            <v>خامات ومصنعية بند الكهرباء</v>
          </cell>
          <cell r="D173" t="str">
            <v>350-11</v>
          </cell>
          <cell r="E173">
            <v>41237</v>
          </cell>
        </row>
        <row r="174">
          <cell r="C174" t="str">
            <v>اعمال التكسير والهدم والنظافة</v>
          </cell>
          <cell r="D174" t="str">
            <v>350-3</v>
          </cell>
          <cell r="E174">
            <v>12005</v>
          </cell>
        </row>
        <row r="175">
          <cell r="C175" t="str">
            <v>خامات ومصنعية أعمال النجارة والأبواب</v>
          </cell>
          <cell r="D175" t="str">
            <v>350-14</v>
          </cell>
          <cell r="E175">
            <v>6000</v>
          </cell>
        </row>
        <row r="176">
          <cell r="C176" t="str">
            <v>خامات ومصنعية أعمال السيراميك</v>
          </cell>
          <cell r="D176" t="str">
            <v>350-9</v>
          </cell>
          <cell r="E176">
            <v>9720</v>
          </cell>
        </row>
        <row r="177">
          <cell r="C177" t="str">
            <v>خامات ومصنعية أعمال النقل والتشوين</v>
          </cell>
          <cell r="D177" t="str">
            <v>350-27</v>
          </cell>
          <cell r="E177">
            <v>800</v>
          </cell>
        </row>
        <row r="178">
          <cell r="B178" t="str">
            <v>318 تكاليف مشروع  المعادي ديونز</v>
          </cell>
          <cell r="C178" t="str">
            <v>خامات ومصنعية بند السباكة والصحي</v>
          </cell>
          <cell r="D178" t="str">
            <v>318-12</v>
          </cell>
          <cell r="E178">
            <v>2280</v>
          </cell>
        </row>
        <row r="179">
          <cell r="C179" t="str">
            <v>خامات ومصنعية أعمال المباني</v>
          </cell>
          <cell r="D179" t="str">
            <v>318-5</v>
          </cell>
          <cell r="E179">
            <v>14050</v>
          </cell>
        </row>
        <row r="180">
          <cell r="C180" t="str">
            <v xml:space="preserve">اعمال انزال ونقل الراتش ونقل المخلفات </v>
          </cell>
          <cell r="D180" t="str">
            <v>318-4</v>
          </cell>
          <cell r="E180">
            <v>16000</v>
          </cell>
        </row>
        <row r="181">
          <cell r="C181" t="str">
            <v>خامات ومصنعية بند الكهرباء</v>
          </cell>
          <cell r="D181" t="str">
            <v>318-11</v>
          </cell>
          <cell r="E181">
            <v>211682</v>
          </cell>
        </row>
        <row r="182">
          <cell r="C182" t="str">
            <v>اعمال التكسير والهدم والنظافة</v>
          </cell>
          <cell r="D182" t="str">
            <v>318-3</v>
          </cell>
          <cell r="E182">
            <v>74152</v>
          </cell>
        </row>
        <row r="183">
          <cell r="C183" t="str">
            <v>رسوم وتصاريح المشروع واكراميات</v>
          </cell>
          <cell r="D183" t="str">
            <v>318-28</v>
          </cell>
          <cell r="E183">
            <v>6200</v>
          </cell>
        </row>
        <row r="184">
          <cell r="C184" t="str">
            <v>خامات ومصنعية أعمال الشفاطات</v>
          </cell>
          <cell r="D184" t="str">
            <v>318-21</v>
          </cell>
          <cell r="E184">
            <v>18010</v>
          </cell>
        </row>
        <row r="185">
          <cell r="C185" t="str">
            <v>خامات ومصنعية أعمال النقل والتشوين</v>
          </cell>
          <cell r="D185" t="str">
            <v>318-27</v>
          </cell>
          <cell r="E185">
            <v>300</v>
          </cell>
        </row>
        <row r="186">
          <cell r="C186" t="str">
            <v>انتقالات اخري</v>
          </cell>
          <cell r="D186" t="str">
            <v>318-30</v>
          </cell>
          <cell r="E186">
            <v>430</v>
          </cell>
        </row>
        <row r="187">
          <cell r="B187" t="str">
            <v>287 تكاليف مشروع المعادي فيو</v>
          </cell>
          <cell r="C187" t="str">
            <v>خامات ومصنعية بند السباكة والصحي</v>
          </cell>
          <cell r="D187" t="str">
            <v>287-12</v>
          </cell>
          <cell r="E187">
            <v>775</v>
          </cell>
        </row>
        <row r="188">
          <cell r="C188" t="str">
            <v>خامات ومصنعية أعمال الدهانات</v>
          </cell>
          <cell r="D188" t="str">
            <v>287-8</v>
          </cell>
          <cell r="E188">
            <v>2495</v>
          </cell>
        </row>
        <row r="189">
          <cell r="C189" t="str">
            <v>خامات ومصنعية بند الكهرباء</v>
          </cell>
          <cell r="D189" t="str">
            <v>287-11</v>
          </cell>
          <cell r="E189">
            <v>25190</v>
          </cell>
        </row>
        <row r="190">
          <cell r="C190" t="str">
            <v>اعمال التكسير والهدم والنظافة</v>
          </cell>
          <cell r="D190" t="str">
            <v>287-3</v>
          </cell>
          <cell r="E190">
            <v>2810</v>
          </cell>
        </row>
        <row r="191">
          <cell r="C191" t="str">
            <v>رسوم وتصاريح المشروع واكراميات</v>
          </cell>
          <cell r="D191" t="str">
            <v>287-28</v>
          </cell>
          <cell r="E191">
            <v>200</v>
          </cell>
        </row>
        <row r="192">
          <cell r="C192" t="str">
            <v>خامات ومصنعية أعمال النجارة والأبواب</v>
          </cell>
          <cell r="D192" t="str">
            <v>287-14</v>
          </cell>
          <cell r="E192">
            <v>2600</v>
          </cell>
        </row>
        <row r="193">
          <cell r="C193" t="str">
            <v>خامات ومصنعية أعمال السيراميك</v>
          </cell>
          <cell r="D193" t="str">
            <v>287-9</v>
          </cell>
          <cell r="E193">
            <v>5365</v>
          </cell>
        </row>
        <row r="194">
          <cell r="C194" t="str">
            <v>خامات ومصنعية أعمال الشفاطات</v>
          </cell>
          <cell r="D194" t="str">
            <v>287-21</v>
          </cell>
          <cell r="E194">
            <v>11400</v>
          </cell>
        </row>
        <row r="195">
          <cell r="B195" t="str">
            <v>تكاليف مشروع هاني العبور 365</v>
          </cell>
          <cell r="C195" t="str">
            <v>خامات ومصنعية بند السباكة والصحي</v>
          </cell>
          <cell r="D195" t="str">
            <v>365-12</v>
          </cell>
          <cell r="E195">
            <v>170910</v>
          </cell>
        </row>
        <row r="196">
          <cell r="C196" t="str">
            <v>خامات ومصنعية أعمال المباني</v>
          </cell>
          <cell r="D196" t="str">
            <v>365-5</v>
          </cell>
          <cell r="E196">
            <v>23911</v>
          </cell>
        </row>
        <row r="197">
          <cell r="C197" t="str">
            <v xml:space="preserve">اعمال انزال ونقل الراتش ونقل المخلفات </v>
          </cell>
          <cell r="D197" t="str">
            <v>365-4</v>
          </cell>
          <cell r="E197">
            <v>6705</v>
          </cell>
        </row>
        <row r="198">
          <cell r="C198" t="str">
            <v>خامات ومصنعية بند الكهرباء</v>
          </cell>
          <cell r="D198" t="str">
            <v>365-11</v>
          </cell>
          <cell r="E198">
            <v>6690</v>
          </cell>
        </row>
        <row r="199">
          <cell r="C199" t="str">
            <v>اعمال التكسير والهدم والنظافة</v>
          </cell>
          <cell r="D199" t="str">
            <v>365-3</v>
          </cell>
          <cell r="E199">
            <v>90202</v>
          </cell>
        </row>
        <row r="200">
          <cell r="C200" t="str">
            <v>خامات ومصنعية أعمال العزل</v>
          </cell>
          <cell r="D200" t="str">
            <v>365-20</v>
          </cell>
          <cell r="E200">
            <v>2650</v>
          </cell>
        </row>
        <row r="201">
          <cell r="C201" t="str">
            <v>رسوم وتصاريح المشروع واكراميات</v>
          </cell>
          <cell r="D201" t="str">
            <v>365-28</v>
          </cell>
          <cell r="E201">
            <v>100</v>
          </cell>
        </row>
        <row r="202">
          <cell r="B202" t="str">
            <v>تكاليف مشروع ياسر القرنفل 354</v>
          </cell>
          <cell r="C202" t="str">
            <v>خامات ومصنعية بند السباكة والصحي</v>
          </cell>
          <cell r="D202" t="str">
            <v>354-12</v>
          </cell>
          <cell r="E202">
            <v>4713</v>
          </cell>
        </row>
        <row r="203">
          <cell r="C203" t="str">
            <v>خامات ومصنعية أعمال المحارة</v>
          </cell>
          <cell r="D203" t="str">
            <v>354-6</v>
          </cell>
          <cell r="E203">
            <v>6436</v>
          </cell>
        </row>
        <row r="204">
          <cell r="C204" t="str">
            <v>خامات ومصنعية أعمال المباني</v>
          </cell>
          <cell r="D204" t="str">
            <v>354-5</v>
          </cell>
          <cell r="E204">
            <v>5350</v>
          </cell>
        </row>
        <row r="205">
          <cell r="C205" t="str">
            <v xml:space="preserve">اعمال انزال ونقل الراتش ونقل المخلفات </v>
          </cell>
          <cell r="D205" t="str">
            <v>354-4</v>
          </cell>
          <cell r="E205">
            <v>8657</v>
          </cell>
        </row>
        <row r="206">
          <cell r="C206" t="str">
            <v>خامات ومصنعية بند الكهرباء</v>
          </cell>
          <cell r="D206" t="str">
            <v>354-11</v>
          </cell>
          <cell r="E206">
            <v>10000</v>
          </cell>
        </row>
        <row r="207">
          <cell r="C207" t="str">
            <v>اعمال التكسير والهدم والنظافة</v>
          </cell>
          <cell r="D207" t="str">
            <v>354-3</v>
          </cell>
          <cell r="E207">
            <v>26528</v>
          </cell>
        </row>
        <row r="208">
          <cell r="C208" t="str">
            <v>خامات ومصنعية أعمال العزل</v>
          </cell>
          <cell r="D208" t="str">
            <v>354-20</v>
          </cell>
          <cell r="E208">
            <v>2800</v>
          </cell>
        </row>
        <row r="209">
          <cell r="C209" t="str">
            <v>خامات ومصنعية أعمال الشفاطات</v>
          </cell>
          <cell r="D209" t="str">
            <v>354-21</v>
          </cell>
          <cell r="E209">
            <v>2500</v>
          </cell>
        </row>
        <row r="210">
          <cell r="B210" t="str">
            <v>تكاليف مشروع هاني القرنفل 355</v>
          </cell>
          <cell r="C210" t="str">
            <v>خامات ومصنعية أعمال المحارة</v>
          </cell>
          <cell r="D210" t="str">
            <v>355-6</v>
          </cell>
          <cell r="E210">
            <v>6436</v>
          </cell>
        </row>
        <row r="211">
          <cell r="C211" t="str">
            <v xml:space="preserve">اعمال انزال ونقل الراتش ونقل المخلفات </v>
          </cell>
          <cell r="D211" t="str">
            <v>355-4</v>
          </cell>
          <cell r="E211">
            <v>6757</v>
          </cell>
        </row>
        <row r="212">
          <cell r="C212" t="str">
            <v>خامات ومصنعية بند الكهرباء</v>
          </cell>
          <cell r="D212" t="str">
            <v>355-11</v>
          </cell>
          <cell r="E212">
            <v>11150</v>
          </cell>
        </row>
        <row r="213">
          <cell r="C213" t="str">
            <v>اعمال التكسير والهدم والنظافة</v>
          </cell>
          <cell r="D213" t="str">
            <v>355-3</v>
          </cell>
          <cell r="E213">
            <v>20078</v>
          </cell>
        </row>
        <row r="214">
          <cell r="C214" t="str">
            <v>رسوم وتصاريح المشروع واكراميات</v>
          </cell>
          <cell r="D214" t="str">
            <v>355-28</v>
          </cell>
          <cell r="E214">
            <v>100</v>
          </cell>
        </row>
        <row r="215">
          <cell r="C215" t="str">
            <v>خامات ومصنعية أعمال الشفاطات</v>
          </cell>
          <cell r="D215" t="str">
            <v>355-21</v>
          </cell>
          <cell r="E215">
            <v>2500</v>
          </cell>
        </row>
        <row r="216">
          <cell r="B216" t="str">
            <v>تكاليف مشروع عمرو العبور 336</v>
          </cell>
          <cell r="C216" t="str">
            <v>خامات ومصنعية أعمال الدهانات</v>
          </cell>
          <cell r="D216" t="str">
            <v>336-8</v>
          </cell>
          <cell r="E216">
            <v>7695</v>
          </cell>
        </row>
        <row r="217">
          <cell r="C217" t="str">
            <v>خامات ومصنعية بند الكهرباء</v>
          </cell>
          <cell r="D217" t="str">
            <v>336-11</v>
          </cell>
          <cell r="E217">
            <v>16600</v>
          </cell>
        </row>
        <row r="218">
          <cell r="C218" t="str">
            <v>اعمال التكسير والهدم والنظافة</v>
          </cell>
          <cell r="D218" t="str">
            <v>336-3</v>
          </cell>
          <cell r="E218">
            <v>2505</v>
          </cell>
        </row>
        <row r="219">
          <cell r="B219" t="str">
            <v>تكاليف مشروع شقة هليوبوليس</v>
          </cell>
          <cell r="C219" t="str">
            <v xml:space="preserve">اعمال انزال ونقل الراتش ونقل المخلفات </v>
          </cell>
          <cell r="D219" t="str">
            <v>5200-4</v>
          </cell>
          <cell r="E219">
            <v>400</v>
          </cell>
        </row>
        <row r="220">
          <cell r="C220" t="str">
            <v>خامات ومصنعية أعمال الألوميتال والكيريتال</v>
          </cell>
          <cell r="D220" t="str">
            <v>5200-16</v>
          </cell>
          <cell r="E220">
            <v>3000</v>
          </cell>
        </row>
        <row r="221">
          <cell r="C221" t="str">
            <v>خامات ومصنعية بند الكهرباء</v>
          </cell>
          <cell r="D221" t="str">
            <v>5200-11</v>
          </cell>
          <cell r="E221">
            <v>50790</v>
          </cell>
        </row>
        <row r="222">
          <cell r="B222" t="str">
            <v>تكاليف مشروع القصر 380</v>
          </cell>
          <cell r="C222" t="str">
            <v>اعمال التكسير والهدم والنظافة</v>
          </cell>
          <cell r="D222" t="str">
            <v>380-3</v>
          </cell>
          <cell r="E222">
            <v>750</v>
          </cell>
        </row>
        <row r="223">
          <cell r="C223" t="str">
            <v>خامات ومصنعية أعمال العزل</v>
          </cell>
          <cell r="D223" t="str">
            <v>380-20</v>
          </cell>
          <cell r="E223">
            <v>22290</v>
          </cell>
        </row>
        <row r="224">
          <cell r="C224" t="str">
            <v>خامات ومصنعية أعمال النجارة والأبواب</v>
          </cell>
          <cell r="D224" t="str">
            <v>380-14</v>
          </cell>
          <cell r="E224">
            <v>1800</v>
          </cell>
        </row>
        <row r="225">
          <cell r="C225" t="str">
            <v>خامات ومصنعية أعمال الشفاطات</v>
          </cell>
          <cell r="D225" t="str">
            <v>380-21</v>
          </cell>
          <cell r="E225">
            <v>34723</v>
          </cell>
        </row>
        <row r="226">
          <cell r="B226" t="str">
            <v>تكاليف مشروع الاندلس 280</v>
          </cell>
          <cell r="C226" t="str">
            <v>اعمال التكسير والهدم والنظافة</v>
          </cell>
          <cell r="D226" t="str">
            <v>280-3</v>
          </cell>
          <cell r="E226">
            <v>1330</v>
          </cell>
        </row>
        <row r="227">
          <cell r="B227" t="str">
            <v>تكاليف مشروع بيت الوطن  149</v>
          </cell>
          <cell r="C227" t="str">
            <v>خامات ومصنعية أعمال السيراميك</v>
          </cell>
          <cell r="D227" t="str">
            <v>149-9</v>
          </cell>
          <cell r="E227">
            <v>2500</v>
          </cell>
        </row>
        <row r="228">
          <cell r="B228" t="str">
            <v>تكاليف مشروع مصطفي مدينتي 356</v>
          </cell>
          <cell r="C228" t="str">
            <v>خامات ومصنعية أعمال السيراميك</v>
          </cell>
          <cell r="D228" t="str">
            <v>356-9</v>
          </cell>
          <cell r="E228">
            <v>440</v>
          </cell>
        </row>
        <row r="229">
          <cell r="B229" t="str">
            <v>مشروع خاص المهندسة ايه واحمد الميري</v>
          </cell>
          <cell r="C229" t="str">
            <v xml:space="preserve">تكاليف مشروع خاص </v>
          </cell>
          <cell r="D229">
            <v>5300</v>
          </cell>
          <cell r="E229">
            <v>302000</v>
          </cell>
        </row>
        <row r="230">
          <cell r="A230" t="str">
            <v>Grand Total</v>
          </cell>
          <cell r="E230">
            <v>40930843</v>
          </cell>
        </row>
      </sheetData>
      <sheetData sheetId="12">
        <row r="3">
          <cell r="A3" t="str">
            <v>Sum of Balance</v>
          </cell>
          <cell r="E3" t="str">
            <v>الشهر</v>
          </cell>
        </row>
        <row r="4">
          <cell r="E4" t="str">
            <v>Grand Total</v>
          </cell>
        </row>
        <row r="5">
          <cell r="A5" t="str">
            <v>اجمالى نهائى</v>
          </cell>
          <cell r="B5" t="str">
            <v>اجمالى1</v>
          </cell>
          <cell r="C5" t="str">
            <v>اسم الحساب</v>
          </cell>
          <cell r="D5" t="str">
            <v>رقم الحساب</v>
          </cell>
        </row>
        <row r="6">
          <cell r="A6" t="str">
            <v>Grand Total</v>
          </cell>
        </row>
      </sheetData>
      <sheetData sheetId="13">
        <row r="1">
          <cell r="A1" t="str">
            <v>الشهر</v>
          </cell>
          <cell r="B1" t="str">
            <v>(All)</v>
          </cell>
        </row>
        <row r="2">
          <cell r="A2" t="str">
            <v xml:space="preserve">قائمة المركز المالي </v>
          </cell>
        </row>
        <row r="3">
          <cell r="A3" t="str">
            <v>Sum of Balance</v>
          </cell>
          <cell r="D3" t="str">
            <v xml:space="preserve">الاصول </v>
          </cell>
          <cell r="E3" t="str">
            <v xml:space="preserve">الخصوم </v>
          </cell>
        </row>
        <row r="4">
          <cell r="A4" t="str">
            <v>التوجيه المحاسبي الاخير</v>
          </cell>
          <cell r="B4" t="str">
            <v>Total</v>
          </cell>
          <cell r="D4">
            <v>-15163933</v>
          </cell>
          <cell r="E4">
            <v>7305650</v>
          </cell>
        </row>
        <row r="5">
          <cell r="A5" t="str">
            <v xml:space="preserve">الدائنون والأرصدة الدائنة الأخرى </v>
          </cell>
          <cell r="B5">
            <v>7305650</v>
          </cell>
        </row>
        <row r="6">
          <cell r="A6" t="str">
            <v>الاصول</v>
          </cell>
          <cell r="B6">
            <v>3455809</v>
          </cell>
        </row>
        <row r="7">
          <cell r="A7" t="str">
            <v xml:space="preserve">مصروفات </v>
          </cell>
          <cell r="B7">
            <v>3477500</v>
          </cell>
        </row>
        <row r="8">
          <cell r="A8" t="str">
            <v xml:space="preserve">حقوق الملكية </v>
          </cell>
          <cell r="B8">
            <v>288005</v>
          </cell>
        </row>
        <row r="9">
          <cell r="A9" t="str">
            <v xml:space="preserve">الايرادات </v>
          </cell>
          <cell r="B9">
            <v>-38715</v>
          </cell>
        </row>
        <row r="10">
          <cell r="A10" t="str">
            <v>المدينون والأرصدة المدينة الأخرى</v>
          </cell>
          <cell r="B10">
            <v>-18619742</v>
          </cell>
        </row>
        <row r="11">
          <cell r="A11" t="str">
            <v>Grand Total</v>
          </cell>
          <cell r="B11">
            <v>-4131493</v>
          </cell>
        </row>
      </sheetData>
      <sheetData sheetId="14">
        <row r="1">
          <cell r="A1" t="str">
            <v>الشهر</v>
          </cell>
          <cell r="B1" t="str">
            <v>(All)</v>
          </cell>
          <cell r="D1" t="str">
            <v xml:space="preserve">اسم الشركة </v>
          </cell>
        </row>
        <row r="2">
          <cell r="A2" t="str">
            <v>قائمة الدخل</v>
          </cell>
        </row>
        <row r="3">
          <cell r="A3" t="str">
            <v>Sum of Balance</v>
          </cell>
        </row>
        <row r="4">
          <cell r="A4" t="str">
            <v>التوجيه المحاسبي الاخير</v>
          </cell>
          <cell r="B4" t="str">
            <v>التوجية المحاسبي الاول</v>
          </cell>
          <cell r="C4" t="str">
            <v>اسم الحساب</v>
          </cell>
          <cell r="D4" t="str">
            <v>Total</v>
          </cell>
        </row>
        <row r="5">
          <cell r="A5" t="str">
            <v xml:space="preserve">تكاليف العمليات </v>
          </cell>
          <cell r="B5" t="str">
            <v>تكاليف مشروع احمد زايد 401</v>
          </cell>
          <cell r="D5">
            <v>294074</v>
          </cell>
        </row>
        <row r="6">
          <cell r="B6" t="str">
            <v>تكاليف مشروع اشرف الشروق 372</v>
          </cell>
          <cell r="D6">
            <v>114861</v>
          </cell>
        </row>
        <row r="7">
          <cell r="B7" t="str">
            <v>تكاليف مشروع الاندلس 364</v>
          </cell>
          <cell r="D7">
            <v>199469</v>
          </cell>
        </row>
        <row r="8">
          <cell r="B8" t="str">
            <v>تكاليف مشروع الباتيو 235</v>
          </cell>
          <cell r="D8">
            <v>89962</v>
          </cell>
        </row>
        <row r="9">
          <cell r="B9" t="str">
            <v>تكاليف مشروع العبور 306</v>
          </cell>
          <cell r="D9">
            <v>332782</v>
          </cell>
        </row>
        <row r="10">
          <cell r="B10" t="str">
            <v>تكاليف مشروع اللوتس 361</v>
          </cell>
          <cell r="D10">
            <v>147856</v>
          </cell>
        </row>
        <row r="11">
          <cell r="B11" t="str">
            <v>345 تكاليف مشروع بالم هيلز</v>
          </cell>
          <cell r="D11">
            <v>76320</v>
          </cell>
        </row>
        <row r="12">
          <cell r="B12" t="str">
            <v>تكاليف مشروع رأس الحكمة</v>
          </cell>
          <cell r="D12">
            <v>67987</v>
          </cell>
        </row>
        <row r="13">
          <cell r="B13" t="str">
            <v>تكاليف مشروع سوديك  341</v>
          </cell>
          <cell r="D13">
            <v>1144844</v>
          </cell>
        </row>
        <row r="14">
          <cell r="B14" t="str">
            <v>388 تكاليف مشروع الدقي</v>
          </cell>
          <cell r="C14" t="str">
            <v>خامات ومصنعية بند السباكة والصحي</v>
          </cell>
          <cell r="D14">
            <v>50051</v>
          </cell>
        </row>
        <row r="15">
          <cell r="C15" t="str">
            <v>خامات ومصنعية أعمال المحارة</v>
          </cell>
          <cell r="D15">
            <v>69520</v>
          </cell>
        </row>
        <row r="16">
          <cell r="C16" t="str">
            <v>خامات ومصنعية أعمال المباني</v>
          </cell>
          <cell r="D16">
            <v>41241</v>
          </cell>
        </row>
        <row r="17">
          <cell r="C17" t="str">
            <v>خامات ومصنعية أعمال الدهانات</v>
          </cell>
          <cell r="D17">
            <v>7385</v>
          </cell>
        </row>
        <row r="18">
          <cell r="C18" t="str">
            <v xml:space="preserve">اعمال انزال ونقل الراتش ونقل المخلفات </v>
          </cell>
          <cell r="D18">
            <v>21690</v>
          </cell>
        </row>
        <row r="19">
          <cell r="C19" t="str">
            <v>خامات ومصنعية بند الكهرباء</v>
          </cell>
          <cell r="D19">
            <v>325292</v>
          </cell>
        </row>
        <row r="20">
          <cell r="C20" t="str">
            <v>اعمال التكسير والهدم والنظافة</v>
          </cell>
          <cell r="D20">
            <v>27619</v>
          </cell>
        </row>
        <row r="21">
          <cell r="C21" t="str">
            <v>خامات ومصنعية أعمال العزل</v>
          </cell>
          <cell r="D21">
            <v>2950</v>
          </cell>
        </row>
        <row r="22">
          <cell r="C22" t="str">
            <v>رسوم وتصاريح المشروع واكراميات</v>
          </cell>
          <cell r="D22">
            <v>11211</v>
          </cell>
        </row>
        <row r="23">
          <cell r="C23" t="str">
            <v>خامات ومصنعية أعمال النجارة والأبواب</v>
          </cell>
          <cell r="D23">
            <v>16200</v>
          </cell>
        </row>
        <row r="24">
          <cell r="C24" t="str">
            <v>خامات ومصنعية أعمال السيراميك</v>
          </cell>
          <cell r="D24">
            <v>290901</v>
          </cell>
        </row>
        <row r="25">
          <cell r="C25" t="str">
            <v>خامات ومصنعية أعمال الشفاطات</v>
          </cell>
          <cell r="D25">
            <v>22130</v>
          </cell>
        </row>
        <row r="26">
          <cell r="B26" t="str">
            <v>تكاليف مشروع وصال العشري 398</v>
          </cell>
          <cell r="C26" t="str">
            <v>خامات ومصنعية بند السباكة والصحي</v>
          </cell>
          <cell r="D26">
            <v>96837</v>
          </cell>
        </row>
        <row r="27">
          <cell r="C27" t="str">
            <v>خامات ومصنعية أعمال المباني</v>
          </cell>
          <cell r="D27">
            <v>22313</v>
          </cell>
        </row>
        <row r="28">
          <cell r="C28" t="str">
            <v>خامات ومصنعية أعمال الدهانات</v>
          </cell>
          <cell r="D28">
            <v>95</v>
          </cell>
        </row>
        <row r="29">
          <cell r="C29" t="str">
            <v xml:space="preserve">اعمال انزال ونقل الراتش ونقل المخلفات </v>
          </cell>
          <cell r="D29">
            <v>14305</v>
          </cell>
        </row>
        <row r="30">
          <cell r="C30" t="str">
            <v>خامات ومصنعية بند الكهرباء</v>
          </cell>
          <cell r="D30">
            <v>195810</v>
          </cell>
        </row>
        <row r="31">
          <cell r="C31" t="str">
            <v>اعمال التكسير والهدم والنظافة</v>
          </cell>
          <cell r="D31">
            <v>60154</v>
          </cell>
        </row>
        <row r="32">
          <cell r="C32" t="str">
            <v>رسوم وتصاريح المشروع واكراميات</v>
          </cell>
          <cell r="D32">
            <v>200</v>
          </cell>
        </row>
        <row r="33">
          <cell r="C33" t="str">
            <v>خامات ومصنعية أعمال الجبس والديكورات</v>
          </cell>
          <cell r="D33">
            <v>12790</v>
          </cell>
        </row>
        <row r="34">
          <cell r="C34" t="str">
            <v>خامات ومصنعية أعمال الشفاطات</v>
          </cell>
          <cell r="D34">
            <v>15080</v>
          </cell>
        </row>
        <row r="35">
          <cell r="C35" t="str">
            <v>خامات ومصنعية أعمال النقل والتشوين</v>
          </cell>
          <cell r="D35">
            <v>300</v>
          </cell>
        </row>
        <row r="36">
          <cell r="B36" t="str">
            <v>تكاليف مشروع كناريا  273</v>
          </cell>
          <cell r="C36" t="str">
            <v>خامات ومصنعية بند السباكة والصحي</v>
          </cell>
          <cell r="D36">
            <v>99814</v>
          </cell>
        </row>
        <row r="37">
          <cell r="C37" t="str">
            <v>خامات ومصنعية أعمال الدهانات</v>
          </cell>
          <cell r="D37">
            <v>5330</v>
          </cell>
        </row>
        <row r="38">
          <cell r="C38" t="str">
            <v xml:space="preserve">اعمال انزال ونقل الراتش ونقل المخلفات </v>
          </cell>
          <cell r="D38">
            <v>1200</v>
          </cell>
        </row>
        <row r="39">
          <cell r="C39" t="str">
            <v>خامات ومصنعية بند الكهرباء</v>
          </cell>
          <cell r="D39">
            <v>11425</v>
          </cell>
        </row>
        <row r="40">
          <cell r="C40" t="str">
            <v>اعمال التكسير والهدم والنظافة</v>
          </cell>
          <cell r="D40">
            <v>1900</v>
          </cell>
        </row>
        <row r="41">
          <cell r="C41" t="str">
            <v>خامات ومصنعية أعمال النقل والتشوين</v>
          </cell>
          <cell r="D41">
            <v>200</v>
          </cell>
        </row>
        <row r="42">
          <cell r="B42" t="str">
            <v>350 تكاليف مشروع شفيق</v>
          </cell>
          <cell r="C42" t="str">
            <v>خامات ومصنعية بند السباكة والصحي</v>
          </cell>
          <cell r="D42">
            <v>19398</v>
          </cell>
        </row>
        <row r="43">
          <cell r="C43" t="str">
            <v>خامات ومصنعية أعمال الدهانات</v>
          </cell>
          <cell r="D43">
            <v>27119</v>
          </cell>
        </row>
        <row r="44">
          <cell r="C44" t="str">
            <v xml:space="preserve">اعمال انزال ونقل الراتش ونقل المخلفات </v>
          </cell>
          <cell r="D44">
            <v>2600</v>
          </cell>
        </row>
        <row r="45">
          <cell r="C45" t="str">
            <v>خامات ومصنعية بند الكهرباء</v>
          </cell>
          <cell r="D45">
            <v>41237</v>
          </cell>
        </row>
        <row r="46">
          <cell r="C46" t="str">
            <v>اعمال التكسير والهدم والنظافة</v>
          </cell>
          <cell r="D46">
            <v>12005</v>
          </cell>
        </row>
        <row r="47">
          <cell r="C47" t="str">
            <v>خامات ومصنعية أعمال النجارة والأبواب</v>
          </cell>
          <cell r="D47">
            <v>6000</v>
          </cell>
        </row>
        <row r="48">
          <cell r="C48" t="str">
            <v>خامات ومصنعية أعمال السيراميك</v>
          </cell>
          <cell r="D48">
            <v>9720</v>
          </cell>
        </row>
        <row r="49">
          <cell r="C49" t="str">
            <v>خامات ومصنعية أعمال النقل والتشوين</v>
          </cell>
          <cell r="D49">
            <v>800</v>
          </cell>
        </row>
        <row r="50">
          <cell r="B50" t="str">
            <v>318 تكاليف مشروع  المعادي ديونز</v>
          </cell>
          <cell r="C50" t="str">
            <v>خامات ومصنعية بند السباكة والصحي</v>
          </cell>
          <cell r="D50">
            <v>2280</v>
          </cell>
        </row>
        <row r="51">
          <cell r="C51" t="str">
            <v>خامات ومصنعية أعمال المباني</v>
          </cell>
          <cell r="D51">
            <v>14050</v>
          </cell>
        </row>
        <row r="52">
          <cell r="C52" t="str">
            <v xml:space="preserve">اعمال انزال ونقل الراتش ونقل المخلفات </v>
          </cell>
          <cell r="D52">
            <v>16000</v>
          </cell>
        </row>
        <row r="53">
          <cell r="C53" t="str">
            <v>خامات ومصنعية بند الكهرباء</v>
          </cell>
          <cell r="D53">
            <v>211682</v>
          </cell>
        </row>
        <row r="54">
          <cell r="C54" t="str">
            <v>اعمال التكسير والهدم والنظافة</v>
          </cell>
          <cell r="D54">
            <v>74152</v>
          </cell>
        </row>
        <row r="55">
          <cell r="C55" t="str">
            <v>رسوم وتصاريح المشروع واكراميات</v>
          </cell>
          <cell r="D55">
            <v>6200</v>
          </cell>
        </row>
        <row r="56">
          <cell r="C56" t="str">
            <v>خامات ومصنعية أعمال الشفاطات</v>
          </cell>
          <cell r="D56">
            <v>18010</v>
          </cell>
        </row>
        <row r="57">
          <cell r="C57" t="str">
            <v>خامات ومصنعية أعمال النقل والتشوين</v>
          </cell>
          <cell r="D57">
            <v>300</v>
          </cell>
        </row>
        <row r="58">
          <cell r="C58" t="str">
            <v>انتقالات اخري</v>
          </cell>
          <cell r="D58">
            <v>430</v>
          </cell>
        </row>
        <row r="59">
          <cell r="B59" t="str">
            <v>287 تكاليف مشروع المعادي فيو</v>
          </cell>
          <cell r="C59" t="str">
            <v>خامات ومصنعية بند السباكة والصحي</v>
          </cell>
          <cell r="D59">
            <v>775</v>
          </cell>
        </row>
        <row r="60">
          <cell r="C60" t="str">
            <v>خامات ومصنعية أعمال الدهانات</v>
          </cell>
          <cell r="D60">
            <v>2495</v>
          </cell>
        </row>
        <row r="61">
          <cell r="C61" t="str">
            <v>خامات ومصنعية بند الكهرباء</v>
          </cell>
          <cell r="D61">
            <v>25190</v>
          </cell>
        </row>
        <row r="62">
          <cell r="C62" t="str">
            <v>اعمال التكسير والهدم والنظافة</v>
          </cell>
          <cell r="D62">
            <v>2810</v>
          </cell>
        </row>
        <row r="63">
          <cell r="C63" t="str">
            <v>رسوم وتصاريح المشروع واكراميات</v>
          </cell>
          <cell r="D63">
            <v>200</v>
          </cell>
        </row>
        <row r="64">
          <cell r="C64" t="str">
            <v>خامات ومصنعية أعمال النجارة والأبواب</v>
          </cell>
          <cell r="D64">
            <v>2600</v>
          </cell>
        </row>
        <row r="65">
          <cell r="C65" t="str">
            <v>خامات ومصنعية أعمال السيراميك</v>
          </cell>
          <cell r="D65">
            <v>5365</v>
          </cell>
        </row>
        <row r="66">
          <cell r="C66" t="str">
            <v>خامات ومصنعية أعمال الشفاطات</v>
          </cell>
          <cell r="D66">
            <v>11400</v>
          </cell>
        </row>
        <row r="67">
          <cell r="B67" t="str">
            <v>تكاليف مشروع هاني العبور 365</v>
          </cell>
          <cell r="C67" t="str">
            <v>خامات ومصنعية بند السباكة والصحي</v>
          </cell>
          <cell r="D67">
            <v>170910</v>
          </cell>
        </row>
        <row r="68">
          <cell r="C68" t="str">
            <v>خامات ومصنعية أعمال المباني</v>
          </cell>
          <cell r="D68">
            <v>23911</v>
          </cell>
        </row>
        <row r="69">
          <cell r="C69" t="str">
            <v xml:space="preserve">اعمال انزال ونقل الراتش ونقل المخلفات </v>
          </cell>
          <cell r="D69">
            <v>6705</v>
          </cell>
        </row>
        <row r="70">
          <cell r="C70" t="str">
            <v>خامات ومصنعية بند الكهرباء</v>
          </cell>
          <cell r="D70">
            <v>6690</v>
          </cell>
        </row>
        <row r="71">
          <cell r="C71" t="str">
            <v>اعمال التكسير والهدم والنظافة</v>
          </cell>
          <cell r="D71">
            <v>90202</v>
          </cell>
        </row>
        <row r="72">
          <cell r="C72" t="str">
            <v>خامات ومصنعية أعمال العزل</v>
          </cell>
          <cell r="D72">
            <v>2650</v>
          </cell>
        </row>
        <row r="73">
          <cell r="C73" t="str">
            <v>رسوم وتصاريح المشروع واكراميات</v>
          </cell>
          <cell r="D73">
            <v>100</v>
          </cell>
        </row>
        <row r="74">
          <cell r="B74" t="str">
            <v>تكاليف مشروع ياسر القرنفل 354</v>
          </cell>
          <cell r="C74" t="str">
            <v>خامات ومصنعية بند السباكة والصحي</v>
          </cell>
          <cell r="D74">
            <v>4713</v>
          </cell>
        </row>
        <row r="75">
          <cell r="C75" t="str">
            <v>خامات ومصنعية أعمال المحارة</v>
          </cell>
          <cell r="D75">
            <v>6436</v>
          </cell>
        </row>
        <row r="76">
          <cell r="C76" t="str">
            <v>خامات ومصنعية أعمال المباني</v>
          </cell>
          <cell r="D76">
            <v>5350</v>
          </cell>
        </row>
        <row r="77">
          <cell r="C77" t="str">
            <v xml:space="preserve">اعمال انزال ونقل الراتش ونقل المخلفات </v>
          </cell>
          <cell r="D77">
            <v>8657</v>
          </cell>
        </row>
        <row r="78">
          <cell r="C78" t="str">
            <v>خامات ومصنعية بند الكهرباء</v>
          </cell>
          <cell r="D78">
            <v>10000</v>
          </cell>
        </row>
        <row r="79">
          <cell r="C79" t="str">
            <v>اعمال التكسير والهدم والنظافة</v>
          </cell>
          <cell r="D79">
            <v>26528</v>
          </cell>
        </row>
        <row r="80">
          <cell r="C80" t="str">
            <v>خامات ومصنعية أعمال العزل</v>
          </cell>
          <cell r="D80">
            <v>2800</v>
          </cell>
        </row>
        <row r="81">
          <cell r="C81" t="str">
            <v>خامات ومصنعية أعمال الشفاطات</v>
          </cell>
          <cell r="D81">
            <v>2500</v>
          </cell>
        </row>
        <row r="82">
          <cell r="B82" t="str">
            <v>تكاليف مشروع هاني القرنفل 355</v>
          </cell>
          <cell r="C82" t="str">
            <v>خامات ومصنعية أعمال المحارة</v>
          </cell>
          <cell r="D82">
            <v>6436</v>
          </cell>
        </row>
        <row r="83">
          <cell r="C83" t="str">
            <v xml:space="preserve">اعمال انزال ونقل الراتش ونقل المخلفات </v>
          </cell>
          <cell r="D83">
            <v>6757</v>
          </cell>
        </row>
        <row r="84">
          <cell r="C84" t="str">
            <v>خامات ومصنعية بند الكهرباء</v>
          </cell>
          <cell r="D84">
            <v>11150</v>
          </cell>
        </row>
        <row r="85">
          <cell r="C85" t="str">
            <v>اعمال التكسير والهدم والنظافة</v>
          </cell>
          <cell r="D85">
            <v>20078</v>
          </cell>
        </row>
        <row r="86">
          <cell r="C86" t="str">
            <v>رسوم وتصاريح المشروع واكراميات</v>
          </cell>
          <cell r="D86">
            <v>100</v>
          </cell>
        </row>
        <row r="87">
          <cell r="C87" t="str">
            <v>خامات ومصنعية أعمال الشفاطات</v>
          </cell>
          <cell r="D87">
            <v>2500</v>
          </cell>
        </row>
        <row r="88">
          <cell r="B88" t="str">
            <v>تكاليف مشروع عمرو العبور 336</v>
          </cell>
          <cell r="C88" t="str">
            <v>خامات ومصنعية أعمال الدهانات</v>
          </cell>
          <cell r="D88">
            <v>7695</v>
          </cell>
        </row>
        <row r="89">
          <cell r="C89" t="str">
            <v>خامات ومصنعية بند الكهرباء</v>
          </cell>
          <cell r="D89">
            <v>16600</v>
          </cell>
        </row>
        <row r="90">
          <cell r="C90" t="str">
            <v>اعمال التكسير والهدم والنظافة</v>
          </cell>
          <cell r="D90">
            <v>2505</v>
          </cell>
        </row>
        <row r="91">
          <cell r="B91" t="str">
            <v>تكاليف مشروع شقة هليوبوليس</v>
          </cell>
          <cell r="C91" t="str">
            <v xml:space="preserve">اعمال انزال ونقل الراتش ونقل المخلفات </v>
          </cell>
          <cell r="D91">
            <v>400</v>
          </cell>
        </row>
        <row r="92">
          <cell r="C92" t="str">
            <v>خامات ومصنعية أعمال الألوميتال والكيريتال</v>
          </cell>
          <cell r="D92">
            <v>3000</v>
          </cell>
        </row>
        <row r="93">
          <cell r="C93" t="str">
            <v>خامات ومصنعية بند الكهرباء</v>
          </cell>
          <cell r="D93">
            <v>50790</v>
          </cell>
        </row>
        <row r="94">
          <cell r="B94" t="str">
            <v>تكاليف مشروع القصر 380</v>
          </cell>
          <cell r="C94" t="str">
            <v>اعمال التكسير والهدم والنظافة</v>
          </cell>
          <cell r="D94">
            <v>750</v>
          </cell>
        </row>
        <row r="95">
          <cell r="C95" t="str">
            <v>خامات ومصنعية أعمال العزل</v>
          </cell>
          <cell r="D95">
            <v>22290</v>
          </cell>
        </row>
        <row r="96">
          <cell r="C96" t="str">
            <v>خامات ومصنعية أعمال النجارة والأبواب</v>
          </cell>
          <cell r="D96">
            <v>1800</v>
          </cell>
        </row>
        <row r="97">
          <cell r="C97" t="str">
            <v>خامات ومصنعية أعمال الشفاطات</v>
          </cell>
          <cell r="D97">
            <v>34723</v>
          </cell>
        </row>
        <row r="98">
          <cell r="B98" t="str">
            <v>تكاليف مشروع الاندلس 280</v>
          </cell>
          <cell r="C98" t="str">
            <v>اعمال التكسير والهدم والنظافة</v>
          </cell>
          <cell r="D98">
            <v>1330</v>
          </cell>
        </row>
        <row r="99">
          <cell r="B99" t="str">
            <v>تكاليف مشروع بيت الوطن  149</v>
          </cell>
          <cell r="C99" t="str">
            <v>خامات ومصنعية أعمال السيراميك</v>
          </cell>
          <cell r="D99">
            <v>2500</v>
          </cell>
        </row>
        <row r="100">
          <cell r="B100" t="str">
            <v>تكاليف مشروع مصطفي مدينتي 356</v>
          </cell>
          <cell r="C100" t="str">
            <v>خامات ومصنعية أعمال السيراميك</v>
          </cell>
          <cell r="D100">
            <v>440</v>
          </cell>
        </row>
        <row r="101">
          <cell r="B101" t="str">
            <v>مشروع خاص المهندسة ايه واحمد الميري</v>
          </cell>
          <cell r="C101" t="str">
            <v xml:space="preserve">تكاليف مشروع خاص </v>
          </cell>
          <cell r="D101">
            <v>302000</v>
          </cell>
        </row>
        <row r="102">
          <cell r="A102" t="str">
            <v>Grand Total</v>
          </cell>
          <cell r="D102">
            <v>5266912</v>
          </cell>
        </row>
      </sheetData>
      <sheetData sheetId="15">
        <row r="1">
          <cell r="D1" t="str">
            <v xml:space="preserve">اسم الشركة </v>
          </cell>
        </row>
        <row r="2">
          <cell r="A2" t="str">
            <v>قائمة التدفقات النقدية</v>
          </cell>
        </row>
        <row r="3">
          <cell r="C3" t="str">
            <v>Values</v>
          </cell>
        </row>
        <row r="4">
          <cell r="A4" t="str">
            <v>التوجية المحاسبي الاول</v>
          </cell>
          <cell r="B4" t="str">
            <v>اسم الحساب</v>
          </cell>
          <cell r="C4" t="str">
            <v>Sum of مدين</v>
          </cell>
          <cell r="D4" t="str">
            <v>Sum of دائن</v>
          </cell>
          <cell r="E4" t="str">
            <v>Sum of Balance</v>
          </cell>
        </row>
        <row r="5">
          <cell r="A5" t="str">
            <v>Grand Total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23"/>
  <sheetViews>
    <sheetView rightToLeft="1" topLeftCell="A177" workbookViewId="0">
      <selection activeCell="B181" sqref="B181"/>
    </sheetView>
  </sheetViews>
  <sheetFormatPr defaultRowHeight="14.4"/>
  <cols>
    <col min="1" max="1" width="21" customWidth="1"/>
    <col min="2" max="2" width="49.88671875" customWidth="1"/>
    <col min="3" max="3" width="24" customWidth="1"/>
    <col min="4" max="4" width="30.109375" bestFit="1" customWidth="1"/>
  </cols>
  <sheetData>
    <row r="1" spans="1:4" ht="37.799999999999997" customHeight="1" thickBot="1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101</v>
      </c>
      <c r="B2" s="4" t="s">
        <v>4</v>
      </c>
      <c r="C2" s="4" t="s">
        <v>4</v>
      </c>
      <c r="D2" s="5" t="s">
        <v>5</v>
      </c>
    </row>
    <row r="3" spans="1:4">
      <c r="A3" s="6">
        <v>102</v>
      </c>
      <c r="B3" s="7" t="s">
        <v>6</v>
      </c>
      <c r="C3" s="8" t="s">
        <v>4</v>
      </c>
      <c r="D3" s="8" t="s">
        <v>5</v>
      </c>
    </row>
    <row r="4" spans="1:4" ht="17.399999999999999">
      <c r="A4" s="6">
        <v>103</v>
      </c>
      <c r="B4" s="9" t="s">
        <v>7</v>
      </c>
      <c r="C4" s="8" t="s">
        <v>4</v>
      </c>
      <c r="D4" s="8" t="s">
        <v>5</v>
      </c>
    </row>
    <row r="5" spans="1:4">
      <c r="A5" s="6">
        <v>104</v>
      </c>
      <c r="B5" s="7" t="s">
        <v>8</v>
      </c>
      <c r="C5" s="8" t="s">
        <v>4</v>
      </c>
      <c r="D5" s="8" t="s">
        <v>5</v>
      </c>
    </row>
    <row r="6" spans="1:4">
      <c r="A6" s="6">
        <v>105</v>
      </c>
      <c r="B6" s="7"/>
      <c r="C6" s="8" t="s">
        <v>4</v>
      </c>
      <c r="D6" s="8" t="s">
        <v>5</v>
      </c>
    </row>
    <row r="7" spans="1:4">
      <c r="A7" s="6">
        <v>106</v>
      </c>
      <c r="B7" s="7"/>
      <c r="C7" s="8" t="s">
        <v>4</v>
      </c>
      <c r="D7" s="8" t="s">
        <v>5</v>
      </c>
    </row>
    <row r="8" spans="1:4">
      <c r="A8" s="6">
        <v>107</v>
      </c>
      <c r="B8" s="7"/>
      <c r="C8" s="8" t="s">
        <v>4</v>
      </c>
      <c r="D8" s="8" t="s">
        <v>5</v>
      </c>
    </row>
    <row r="9" spans="1:4">
      <c r="A9" s="6">
        <v>108</v>
      </c>
      <c r="B9" s="7"/>
      <c r="C9" s="8" t="s">
        <v>4</v>
      </c>
      <c r="D9" s="8" t="s">
        <v>5</v>
      </c>
    </row>
    <row r="10" spans="1:4">
      <c r="A10" s="6">
        <v>109</v>
      </c>
      <c r="B10" s="7"/>
      <c r="C10" s="8" t="s">
        <v>4</v>
      </c>
      <c r="D10" s="8" t="s">
        <v>5</v>
      </c>
    </row>
    <row r="11" spans="1:4">
      <c r="A11" s="6">
        <v>110</v>
      </c>
      <c r="B11" s="7"/>
      <c r="C11" s="8" t="s">
        <v>4</v>
      </c>
      <c r="D11" s="8" t="s">
        <v>5</v>
      </c>
    </row>
    <row r="12" spans="1:4">
      <c r="A12" s="6">
        <v>111</v>
      </c>
      <c r="B12" s="7"/>
      <c r="C12" s="8" t="s">
        <v>4</v>
      </c>
      <c r="D12" s="8" t="s">
        <v>5</v>
      </c>
    </row>
    <row r="13" spans="1:4">
      <c r="A13" s="6">
        <v>112</v>
      </c>
      <c r="B13" s="7"/>
      <c r="C13" s="8" t="s">
        <v>4</v>
      </c>
      <c r="D13" s="8" t="s">
        <v>5</v>
      </c>
    </row>
    <row r="14" spans="1:4">
      <c r="A14" s="6"/>
      <c r="B14" s="7"/>
      <c r="C14" s="8"/>
      <c r="D14" s="8" t="s">
        <v>5</v>
      </c>
    </row>
    <row r="15" spans="1:4">
      <c r="A15" s="6">
        <v>113</v>
      </c>
      <c r="B15" s="7"/>
      <c r="C15" s="8" t="s">
        <v>4</v>
      </c>
      <c r="D15" s="8" t="s">
        <v>5</v>
      </c>
    </row>
    <row r="16" spans="1:4">
      <c r="A16" s="6">
        <v>114</v>
      </c>
      <c r="B16" s="7"/>
      <c r="C16" s="8" t="s">
        <v>4</v>
      </c>
      <c r="D16" s="8" t="s">
        <v>5</v>
      </c>
    </row>
    <row r="17" spans="1:4">
      <c r="A17" s="6">
        <v>115</v>
      </c>
      <c r="B17" s="7"/>
      <c r="C17" s="8" t="s">
        <v>4</v>
      </c>
      <c r="D17" s="8" t="s">
        <v>5</v>
      </c>
    </row>
    <row r="18" spans="1:4" ht="15" thickBot="1">
      <c r="A18" s="10">
        <v>116</v>
      </c>
      <c r="B18" s="11"/>
      <c r="C18" s="12" t="s">
        <v>4</v>
      </c>
      <c r="D18" s="12" t="s">
        <v>5</v>
      </c>
    </row>
    <row r="19" spans="1:4" ht="15" thickBot="1">
      <c r="A19" s="13" t="s">
        <v>9</v>
      </c>
      <c r="B19" s="14" t="s">
        <v>10</v>
      </c>
      <c r="C19" s="14" t="s">
        <v>10</v>
      </c>
      <c r="D19" s="15" t="s">
        <v>5</v>
      </c>
    </row>
    <row r="20" spans="1:4">
      <c r="A20" s="16"/>
      <c r="B20" s="17"/>
      <c r="C20" s="17"/>
      <c r="D20" s="18" t="s">
        <v>5</v>
      </c>
    </row>
    <row r="21" spans="1:4" ht="27.6">
      <c r="A21" s="6">
        <v>20</v>
      </c>
      <c r="B21" s="7" t="s">
        <v>11</v>
      </c>
      <c r="C21" s="7" t="s">
        <v>12</v>
      </c>
      <c r="D21" s="8" t="s">
        <v>5</v>
      </c>
    </row>
    <row r="22" spans="1:4" ht="27.6">
      <c r="A22" s="6">
        <v>200</v>
      </c>
      <c r="B22" s="7"/>
      <c r="C22" s="7" t="s">
        <v>12</v>
      </c>
      <c r="D22" s="8" t="s">
        <v>5</v>
      </c>
    </row>
    <row r="23" spans="1:4" ht="27.6">
      <c r="A23" s="6">
        <v>201</v>
      </c>
      <c r="B23" s="7" t="s">
        <v>13</v>
      </c>
      <c r="C23" s="7" t="s">
        <v>12</v>
      </c>
      <c r="D23" s="8" t="s">
        <v>5</v>
      </c>
    </row>
    <row r="24" spans="1:4" ht="27.6">
      <c r="A24" s="6">
        <v>202</v>
      </c>
      <c r="B24" s="7" t="s">
        <v>14</v>
      </c>
      <c r="C24" s="7" t="s">
        <v>12</v>
      </c>
      <c r="D24" s="8" t="s">
        <v>5</v>
      </c>
    </row>
    <row r="25" spans="1:4" ht="27.6">
      <c r="A25" s="6">
        <v>203</v>
      </c>
      <c r="B25" s="7" t="s">
        <v>15</v>
      </c>
      <c r="C25" s="7" t="s">
        <v>12</v>
      </c>
      <c r="D25" s="8" t="s">
        <v>5</v>
      </c>
    </row>
    <row r="26" spans="1:4" ht="27.6">
      <c r="A26" s="6">
        <v>204</v>
      </c>
      <c r="B26" s="7"/>
      <c r="C26" s="7" t="s">
        <v>12</v>
      </c>
      <c r="D26" s="8" t="s">
        <v>5</v>
      </c>
    </row>
    <row r="27" spans="1:4">
      <c r="A27" s="6">
        <v>205</v>
      </c>
      <c r="B27" s="7"/>
      <c r="C27" s="7"/>
      <c r="D27" s="8" t="s">
        <v>5</v>
      </c>
    </row>
    <row r="28" spans="1:4">
      <c r="A28" s="6">
        <v>206</v>
      </c>
      <c r="B28" s="7" t="s">
        <v>16</v>
      </c>
      <c r="C28" s="7" t="s">
        <v>17</v>
      </c>
      <c r="D28" s="8" t="s">
        <v>5</v>
      </c>
    </row>
    <row r="29" spans="1:4">
      <c r="A29" s="6">
        <v>207</v>
      </c>
      <c r="B29" s="7" t="s">
        <v>18</v>
      </c>
      <c r="C29" s="7" t="s">
        <v>17</v>
      </c>
      <c r="D29" s="8" t="s">
        <v>5</v>
      </c>
    </row>
    <row r="30" spans="1:4">
      <c r="A30" s="6">
        <v>208</v>
      </c>
      <c r="B30" s="7" t="s">
        <v>19</v>
      </c>
      <c r="C30" s="7" t="s">
        <v>17</v>
      </c>
      <c r="D30" s="8" t="s">
        <v>5</v>
      </c>
    </row>
    <row r="31" spans="1:4">
      <c r="A31" s="6">
        <v>209</v>
      </c>
      <c r="B31" s="7"/>
      <c r="C31" s="7"/>
      <c r="D31" s="8" t="s">
        <v>5</v>
      </c>
    </row>
    <row r="32" spans="1:4">
      <c r="A32" s="6">
        <v>210</v>
      </c>
      <c r="B32" s="7"/>
      <c r="C32" s="7"/>
      <c r="D32" s="8" t="s">
        <v>5</v>
      </c>
    </row>
    <row r="33" spans="1:4">
      <c r="A33" s="6">
        <v>211</v>
      </c>
      <c r="B33" s="7"/>
      <c r="C33" s="7"/>
      <c r="D33" s="8" t="s">
        <v>5</v>
      </c>
    </row>
    <row r="34" spans="1:4">
      <c r="A34" s="6">
        <v>212</v>
      </c>
      <c r="B34" s="7"/>
      <c r="C34" s="7"/>
      <c r="D34" s="8" t="s">
        <v>5</v>
      </c>
    </row>
    <row r="35" spans="1:4" ht="15" thickBot="1">
      <c r="A35" s="10">
        <v>213</v>
      </c>
      <c r="B35" s="11"/>
      <c r="C35" s="11"/>
      <c r="D35" s="8" t="s">
        <v>5</v>
      </c>
    </row>
    <row r="36" spans="1:4" ht="15" thickBot="1">
      <c r="A36" s="19">
        <v>30</v>
      </c>
      <c r="B36" s="20" t="s">
        <v>20</v>
      </c>
      <c r="C36" s="20" t="s">
        <v>21</v>
      </c>
      <c r="D36" s="20" t="s">
        <v>20</v>
      </c>
    </row>
    <row r="37" spans="1:4" ht="17.399999999999999">
      <c r="A37" s="21">
        <v>301</v>
      </c>
      <c r="B37" s="22" t="s">
        <v>22</v>
      </c>
      <c r="C37" s="22" t="s">
        <v>21</v>
      </c>
      <c r="D37" s="23" t="s">
        <v>23</v>
      </c>
    </row>
    <row r="38" spans="1:4" ht="17.399999999999999">
      <c r="A38" s="24">
        <v>302</v>
      </c>
      <c r="B38" s="25" t="s">
        <v>24</v>
      </c>
      <c r="C38" s="22" t="s">
        <v>21</v>
      </c>
      <c r="D38" s="23" t="s">
        <v>23</v>
      </c>
    </row>
    <row r="39" spans="1:4" ht="17.399999999999999">
      <c r="A39" s="24">
        <v>303</v>
      </c>
      <c r="B39" s="25" t="s">
        <v>25</v>
      </c>
      <c r="C39" s="22" t="s">
        <v>21</v>
      </c>
      <c r="D39" s="23" t="s">
        <v>23</v>
      </c>
    </row>
    <row r="40" spans="1:4" ht="17.399999999999999">
      <c r="A40" s="24">
        <v>304</v>
      </c>
      <c r="B40" s="25"/>
      <c r="C40" s="22" t="s">
        <v>21</v>
      </c>
      <c r="D40" s="23" t="s">
        <v>23</v>
      </c>
    </row>
    <row r="41" spans="1:4" ht="17.399999999999999">
      <c r="A41" s="24">
        <v>305</v>
      </c>
      <c r="B41" s="25"/>
      <c r="C41" s="22" t="s">
        <v>21</v>
      </c>
      <c r="D41" s="23" t="s">
        <v>23</v>
      </c>
    </row>
    <row r="42" spans="1:4" ht="17.399999999999999">
      <c r="A42" s="24">
        <v>306</v>
      </c>
      <c r="B42" s="25"/>
      <c r="C42" s="22" t="s">
        <v>21</v>
      </c>
      <c r="D42" s="23" t="s">
        <v>23</v>
      </c>
    </row>
    <row r="43" spans="1:4" ht="17.399999999999999">
      <c r="A43" s="24">
        <v>307</v>
      </c>
      <c r="B43" s="25"/>
      <c r="C43" s="22" t="s">
        <v>21</v>
      </c>
      <c r="D43" s="23" t="s">
        <v>23</v>
      </c>
    </row>
    <row r="44" spans="1:4" ht="17.399999999999999">
      <c r="A44" s="24">
        <v>308</v>
      </c>
      <c r="B44" s="25"/>
      <c r="C44" s="22" t="s">
        <v>21</v>
      </c>
      <c r="D44" s="23" t="s">
        <v>23</v>
      </c>
    </row>
    <row r="45" spans="1:4" ht="17.399999999999999">
      <c r="A45" s="24">
        <v>309</v>
      </c>
      <c r="B45" s="25"/>
      <c r="C45" s="22" t="s">
        <v>21</v>
      </c>
      <c r="D45" s="23" t="s">
        <v>23</v>
      </c>
    </row>
    <row r="46" spans="1:4" ht="17.399999999999999">
      <c r="A46" s="24">
        <v>310</v>
      </c>
      <c r="B46" s="25"/>
      <c r="C46" s="22" t="s">
        <v>21</v>
      </c>
      <c r="D46" s="23" t="s">
        <v>23</v>
      </c>
    </row>
    <row r="47" spans="1:4" ht="17.399999999999999">
      <c r="A47" s="24">
        <v>311</v>
      </c>
      <c r="B47" s="25"/>
      <c r="C47" s="22" t="s">
        <v>21</v>
      </c>
      <c r="D47" s="23" t="s">
        <v>23</v>
      </c>
    </row>
    <row r="48" spans="1:4" ht="17.399999999999999">
      <c r="A48" s="24">
        <v>312</v>
      </c>
      <c r="B48" s="25"/>
      <c r="C48" s="22" t="s">
        <v>21</v>
      </c>
      <c r="D48" s="23" t="s">
        <v>23</v>
      </c>
    </row>
    <row r="49" spans="1:4" ht="17.399999999999999">
      <c r="A49" s="24">
        <v>313</v>
      </c>
      <c r="B49" s="25"/>
      <c r="C49" s="22" t="s">
        <v>21</v>
      </c>
      <c r="D49" s="23" t="s">
        <v>23</v>
      </c>
    </row>
    <row r="50" spans="1:4" ht="17.399999999999999">
      <c r="A50" s="24">
        <v>314</v>
      </c>
      <c r="B50" s="25"/>
      <c r="C50" s="22" t="s">
        <v>21</v>
      </c>
      <c r="D50" s="23" t="s">
        <v>23</v>
      </c>
    </row>
    <row r="51" spans="1:4" ht="17.399999999999999">
      <c r="A51" s="24">
        <v>315</v>
      </c>
      <c r="B51" s="25"/>
      <c r="C51" s="22" t="s">
        <v>21</v>
      </c>
      <c r="D51" s="23" t="s">
        <v>23</v>
      </c>
    </row>
    <row r="52" spans="1:4" ht="17.399999999999999">
      <c r="A52" s="24">
        <v>316</v>
      </c>
      <c r="B52" s="25"/>
      <c r="C52" s="22" t="s">
        <v>21</v>
      </c>
      <c r="D52" s="23" t="s">
        <v>23</v>
      </c>
    </row>
    <row r="53" spans="1:4" ht="17.399999999999999">
      <c r="A53" s="24">
        <v>317</v>
      </c>
      <c r="B53" s="25"/>
      <c r="C53" s="22" t="s">
        <v>21</v>
      </c>
      <c r="D53" s="23" t="s">
        <v>23</v>
      </c>
    </row>
    <row r="54" spans="1:4" ht="17.399999999999999">
      <c r="A54" s="24">
        <v>318</v>
      </c>
      <c r="B54" s="25"/>
      <c r="C54" s="22" t="s">
        <v>21</v>
      </c>
      <c r="D54" s="23" t="s">
        <v>23</v>
      </c>
    </row>
    <row r="55" spans="1:4" ht="17.399999999999999">
      <c r="A55" s="24">
        <v>319</v>
      </c>
      <c r="B55" s="25"/>
      <c r="C55" s="22" t="s">
        <v>21</v>
      </c>
      <c r="D55" s="23" t="s">
        <v>23</v>
      </c>
    </row>
    <row r="56" spans="1:4" ht="17.399999999999999">
      <c r="A56" s="24">
        <v>320</v>
      </c>
      <c r="B56" s="25"/>
      <c r="C56" s="22" t="s">
        <v>21</v>
      </c>
      <c r="D56" s="23" t="s">
        <v>23</v>
      </c>
    </row>
    <row r="57" spans="1:4" ht="17.399999999999999">
      <c r="A57" s="24">
        <v>321</v>
      </c>
      <c r="B57" s="25"/>
      <c r="C57" s="22" t="s">
        <v>21</v>
      </c>
      <c r="D57" s="23" t="s">
        <v>23</v>
      </c>
    </row>
    <row r="58" spans="1:4" ht="17.399999999999999">
      <c r="A58" s="24">
        <v>322</v>
      </c>
      <c r="B58" s="25"/>
      <c r="C58" s="22" t="s">
        <v>21</v>
      </c>
      <c r="D58" s="23" t="s">
        <v>23</v>
      </c>
    </row>
    <row r="59" spans="1:4" ht="17.399999999999999">
      <c r="A59" s="24">
        <v>323</v>
      </c>
      <c r="B59" s="26"/>
      <c r="C59" s="22" t="s">
        <v>21</v>
      </c>
      <c r="D59" s="23" t="s">
        <v>23</v>
      </c>
    </row>
    <row r="60" spans="1:4" ht="17.399999999999999">
      <c r="A60" s="27">
        <v>324</v>
      </c>
      <c r="B60" s="28"/>
      <c r="C60" s="22" t="s">
        <v>21</v>
      </c>
      <c r="D60" s="23" t="s">
        <v>23</v>
      </c>
    </row>
    <row r="61" spans="1:4" ht="17.399999999999999">
      <c r="A61" s="29">
        <v>325</v>
      </c>
      <c r="B61" s="26"/>
      <c r="C61" s="22" t="s">
        <v>21</v>
      </c>
      <c r="D61" s="23" t="s">
        <v>23</v>
      </c>
    </row>
    <row r="62" spans="1:4" ht="18" thickBot="1">
      <c r="A62" s="30">
        <v>326</v>
      </c>
      <c r="B62" s="31"/>
      <c r="C62" s="22" t="s">
        <v>21</v>
      </c>
      <c r="D62" s="23" t="s">
        <v>23</v>
      </c>
    </row>
    <row r="63" spans="1:4" ht="18" thickBot="1">
      <c r="A63" s="30">
        <v>327</v>
      </c>
      <c r="B63" s="31"/>
      <c r="C63" s="22" t="s">
        <v>21</v>
      </c>
      <c r="D63" s="23" t="s">
        <v>23</v>
      </c>
    </row>
    <row r="64" spans="1:4" ht="16.2" thickBot="1">
      <c r="A64" s="32">
        <v>99</v>
      </c>
      <c r="B64" s="33" t="s">
        <v>26</v>
      </c>
      <c r="C64" s="33" t="s">
        <v>26</v>
      </c>
      <c r="D64" s="34" t="s">
        <v>23</v>
      </c>
    </row>
    <row r="65" spans="1:4" ht="15.6">
      <c r="A65" s="35" t="s">
        <v>27</v>
      </c>
      <c r="B65" s="36" t="s">
        <v>28</v>
      </c>
      <c r="C65" s="37" t="s">
        <v>26</v>
      </c>
      <c r="D65" s="38" t="s">
        <v>23</v>
      </c>
    </row>
    <row r="66" spans="1:4" ht="15.6">
      <c r="A66" s="35" t="s">
        <v>29</v>
      </c>
      <c r="B66" s="36" t="s">
        <v>30</v>
      </c>
      <c r="C66" s="37" t="s">
        <v>26</v>
      </c>
      <c r="D66" s="38" t="s">
        <v>23</v>
      </c>
    </row>
    <row r="67" spans="1:4" ht="15.6">
      <c r="A67" s="35" t="s">
        <v>31</v>
      </c>
      <c r="B67" s="36" t="s">
        <v>32</v>
      </c>
      <c r="C67" s="37" t="s">
        <v>26</v>
      </c>
      <c r="D67" s="38" t="s">
        <v>23</v>
      </c>
    </row>
    <row r="68" spans="1:4" ht="15.6">
      <c r="A68" s="35" t="s">
        <v>33</v>
      </c>
      <c r="B68" s="36" t="s">
        <v>34</v>
      </c>
      <c r="C68" s="37" t="s">
        <v>26</v>
      </c>
      <c r="D68" s="38" t="s">
        <v>23</v>
      </c>
    </row>
    <row r="69" spans="1:4" ht="15.6">
      <c r="A69" s="35" t="s">
        <v>35</v>
      </c>
      <c r="B69" s="36" t="s">
        <v>36</v>
      </c>
      <c r="C69" s="37" t="s">
        <v>26</v>
      </c>
      <c r="D69" s="38" t="s">
        <v>23</v>
      </c>
    </row>
    <row r="70" spans="1:4" ht="15.6">
      <c r="A70" s="35" t="s">
        <v>37</v>
      </c>
      <c r="B70" s="36" t="s">
        <v>38</v>
      </c>
      <c r="C70" s="37" t="s">
        <v>26</v>
      </c>
      <c r="D70" s="38" t="s">
        <v>23</v>
      </c>
    </row>
    <row r="71" spans="1:4" ht="15.6">
      <c r="A71" s="35" t="s">
        <v>39</v>
      </c>
      <c r="B71" s="36" t="s">
        <v>40</v>
      </c>
      <c r="C71" s="37" t="s">
        <v>26</v>
      </c>
      <c r="D71" s="38" t="s">
        <v>23</v>
      </c>
    </row>
    <row r="72" spans="1:4" ht="15.6">
      <c r="A72" s="35" t="s">
        <v>41</v>
      </c>
      <c r="B72" s="36" t="s">
        <v>42</v>
      </c>
      <c r="C72" s="37" t="s">
        <v>26</v>
      </c>
      <c r="D72" s="38" t="s">
        <v>23</v>
      </c>
    </row>
    <row r="73" spans="1:4" ht="15.6">
      <c r="A73" s="35" t="s">
        <v>43</v>
      </c>
      <c r="B73" s="36" t="s">
        <v>44</v>
      </c>
      <c r="C73" s="37" t="s">
        <v>26</v>
      </c>
      <c r="D73" s="38" t="s">
        <v>23</v>
      </c>
    </row>
    <row r="74" spans="1:4" ht="15.6">
      <c r="A74" s="35" t="s">
        <v>45</v>
      </c>
      <c r="B74" s="36" t="s">
        <v>46</v>
      </c>
      <c r="C74" s="37" t="s">
        <v>26</v>
      </c>
      <c r="D74" s="38" t="s">
        <v>23</v>
      </c>
    </row>
    <row r="75" spans="1:4" ht="15.6">
      <c r="A75" s="35" t="s">
        <v>47</v>
      </c>
      <c r="B75" s="36" t="s">
        <v>48</v>
      </c>
      <c r="C75" s="37" t="s">
        <v>26</v>
      </c>
      <c r="D75" s="38" t="s">
        <v>23</v>
      </c>
    </row>
    <row r="76" spans="1:4" ht="15.6">
      <c r="A76" s="35" t="s">
        <v>49</v>
      </c>
      <c r="B76" s="36" t="s">
        <v>50</v>
      </c>
      <c r="C76" s="37" t="s">
        <v>26</v>
      </c>
      <c r="D76" s="38" t="s">
        <v>23</v>
      </c>
    </row>
    <row r="77" spans="1:4" ht="15.6">
      <c r="A77" s="35" t="s">
        <v>51</v>
      </c>
      <c r="B77" s="36" t="s">
        <v>52</v>
      </c>
      <c r="C77" s="37" t="s">
        <v>26</v>
      </c>
      <c r="D77" s="38" t="s">
        <v>23</v>
      </c>
    </row>
    <row r="78" spans="1:4" ht="15.6">
      <c r="A78" s="35" t="s">
        <v>53</v>
      </c>
      <c r="B78" s="36" t="s">
        <v>54</v>
      </c>
      <c r="C78" s="37" t="s">
        <v>26</v>
      </c>
      <c r="D78" s="38" t="s">
        <v>23</v>
      </c>
    </row>
    <row r="79" spans="1:4" ht="15.6">
      <c r="A79" s="35" t="s">
        <v>55</v>
      </c>
      <c r="B79" s="36" t="s">
        <v>56</v>
      </c>
      <c r="C79" s="37" t="s">
        <v>26</v>
      </c>
      <c r="D79" s="38" t="s">
        <v>23</v>
      </c>
    </row>
    <row r="80" spans="1:4" ht="15.6">
      <c r="A80" s="35" t="s">
        <v>57</v>
      </c>
      <c r="B80" s="36" t="s">
        <v>58</v>
      </c>
      <c r="C80" s="37" t="s">
        <v>26</v>
      </c>
      <c r="D80" s="38" t="s">
        <v>23</v>
      </c>
    </row>
    <row r="81" spans="1:4" ht="15.6">
      <c r="A81" s="35" t="s">
        <v>59</v>
      </c>
      <c r="B81" s="36" t="s">
        <v>60</v>
      </c>
      <c r="C81" s="37" t="s">
        <v>26</v>
      </c>
      <c r="D81" s="38" t="s">
        <v>23</v>
      </c>
    </row>
    <row r="82" spans="1:4" ht="15.6">
      <c r="A82" s="35" t="s">
        <v>61</v>
      </c>
      <c r="B82" s="36" t="s">
        <v>62</v>
      </c>
      <c r="C82" s="37" t="s">
        <v>26</v>
      </c>
      <c r="D82" s="38" t="s">
        <v>23</v>
      </c>
    </row>
    <row r="83" spans="1:4" ht="15.6">
      <c r="A83" s="35" t="s">
        <v>63</v>
      </c>
      <c r="B83" s="36" t="s">
        <v>64</v>
      </c>
      <c r="C83" s="37" t="s">
        <v>26</v>
      </c>
      <c r="D83" s="38" t="s">
        <v>23</v>
      </c>
    </row>
    <row r="84" spans="1:4" ht="15.6">
      <c r="A84" s="35" t="s">
        <v>65</v>
      </c>
      <c r="B84" s="39" t="s">
        <v>66</v>
      </c>
      <c r="C84" s="37" t="s">
        <v>26</v>
      </c>
      <c r="D84" s="38" t="s">
        <v>23</v>
      </c>
    </row>
    <row r="85" spans="1:4" ht="15.6">
      <c r="A85" s="35" t="s">
        <v>67</v>
      </c>
      <c r="B85" s="40" t="s">
        <v>68</v>
      </c>
      <c r="C85" s="37" t="s">
        <v>26</v>
      </c>
      <c r="D85" s="38" t="s">
        <v>23</v>
      </c>
    </row>
    <row r="86" spans="1:4" ht="16.2" thickBot="1">
      <c r="A86" s="35" t="s">
        <v>69</v>
      </c>
      <c r="B86" s="40"/>
      <c r="C86" s="37" t="s">
        <v>26</v>
      </c>
      <c r="D86" s="38" t="s">
        <v>23</v>
      </c>
    </row>
    <row r="87" spans="1:4" ht="16.2" thickBot="1">
      <c r="A87" s="32">
        <v>341</v>
      </c>
      <c r="B87" s="33" t="s">
        <v>70</v>
      </c>
      <c r="C87" s="33" t="s">
        <v>71</v>
      </c>
      <c r="D87" s="34" t="s">
        <v>72</v>
      </c>
    </row>
    <row r="88" spans="1:4" ht="15.6">
      <c r="A88" s="42" t="s">
        <v>73</v>
      </c>
      <c r="B88" s="39" t="s">
        <v>74</v>
      </c>
      <c r="C88" s="39" t="s">
        <v>70</v>
      </c>
      <c r="D88" s="38" t="s">
        <v>72</v>
      </c>
    </row>
    <row r="89" spans="1:4" ht="15.6">
      <c r="A89" s="42" t="s">
        <v>75</v>
      </c>
      <c r="B89" s="39" t="s">
        <v>76</v>
      </c>
      <c r="C89" s="39" t="s">
        <v>70</v>
      </c>
      <c r="D89" s="38" t="s">
        <v>72</v>
      </c>
    </row>
    <row r="90" spans="1:4" ht="15.6">
      <c r="A90" s="42" t="s">
        <v>77</v>
      </c>
      <c r="B90" s="39" t="s">
        <v>78</v>
      </c>
      <c r="C90" s="39" t="s">
        <v>70</v>
      </c>
      <c r="D90" s="38" t="s">
        <v>72</v>
      </c>
    </row>
    <row r="91" spans="1:4" ht="15.6">
      <c r="A91" s="42" t="s">
        <v>79</v>
      </c>
      <c r="B91" s="39" t="s">
        <v>80</v>
      </c>
      <c r="C91" s="39" t="s">
        <v>70</v>
      </c>
      <c r="D91" s="38" t="s">
        <v>72</v>
      </c>
    </row>
    <row r="92" spans="1:4" ht="15.6">
      <c r="A92" s="42" t="s">
        <v>81</v>
      </c>
      <c r="B92" s="39" t="s">
        <v>82</v>
      </c>
      <c r="C92" s="39" t="s">
        <v>70</v>
      </c>
      <c r="D92" s="38" t="s">
        <v>72</v>
      </c>
    </row>
    <row r="93" spans="1:4" ht="15.6">
      <c r="A93" s="42" t="s">
        <v>83</v>
      </c>
      <c r="B93" s="39" t="s">
        <v>84</v>
      </c>
      <c r="C93" s="39" t="s">
        <v>70</v>
      </c>
      <c r="D93" s="38" t="s">
        <v>72</v>
      </c>
    </row>
    <row r="94" spans="1:4" ht="15.6">
      <c r="A94" s="42" t="s">
        <v>85</v>
      </c>
      <c r="B94" s="39" t="s">
        <v>86</v>
      </c>
      <c r="C94" s="39" t="s">
        <v>70</v>
      </c>
      <c r="D94" s="38" t="s">
        <v>72</v>
      </c>
    </row>
    <row r="95" spans="1:4" ht="15.6">
      <c r="A95" s="42" t="s">
        <v>87</v>
      </c>
      <c r="B95" s="39" t="s">
        <v>88</v>
      </c>
      <c r="C95" s="39" t="s">
        <v>70</v>
      </c>
      <c r="D95" s="38" t="s">
        <v>72</v>
      </c>
    </row>
    <row r="96" spans="1:4" ht="15.6">
      <c r="A96" s="42" t="s">
        <v>89</v>
      </c>
      <c r="B96" s="39" t="s">
        <v>90</v>
      </c>
      <c r="C96" s="39" t="s">
        <v>70</v>
      </c>
      <c r="D96" s="38" t="s">
        <v>72</v>
      </c>
    </row>
    <row r="97" spans="1:4" ht="15.6">
      <c r="A97" s="43" t="s">
        <v>91</v>
      </c>
      <c r="B97" s="39" t="s">
        <v>92</v>
      </c>
      <c r="C97" s="39" t="s">
        <v>70</v>
      </c>
      <c r="D97" s="39" t="s">
        <v>72</v>
      </c>
    </row>
    <row r="98" spans="1:4" ht="15.6">
      <c r="A98" s="43" t="s">
        <v>93</v>
      </c>
      <c r="B98" s="39" t="s">
        <v>94</v>
      </c>
      <c r="C98" s="39" t="s">
        <v>70</v>
      </c>
      <c r="D98" s="39" t="s">
        <v>72</v>
      </c>
    </row>
    <row r="99" spans="1:4" ht="15.6">
      <c r="A99" s="43" t="s">
        <v>95</v>
      </c>
      <c r="B99" s="39" t="s">
        <v>96</v>
      </c>
      <c r="C99" s="39" t="s">
        <v>70</v>
      </c>
      <c r="D99" s="39" t="s">
        <v>72</v>
      </c>
    </row>
    <row r="100" spans="1:4" ht="15.6">
      <c r="A100" s="43" t="s">
        <v>97</v>
      </c>
      <c r="B100" s="39" t="s">
        <v>98</v>
      </c>
      <c r="C100" s="39" t="s">
        <v>70</v>
      </c>
      <c r="D100" s="39" t="s">
        <v>72</v>
      </c>
    </row>
    <row r="101" spans="1:4" ht="15.6">
      <c r="A101" s="43" t="s">
        <v>99</v>
      </c>
      <c r="B101" s="39" t="s">
        <v>100</v>
      </c>
      <c r="C101" s="39" t="s">
        <v>70</v>
      </c>
      <c r="D101" s="39" t="s">
        <v>72</v>
      </c>
    </row>
    <row r="102" spans="1:4" ht="15.6">
      <c r="A102" s="43" t="s">
        <v>101</v>
      </c>
      <c r="B102" s="39" t="s">
        <v>102</v>
      </c>
      <c r="C102" s="39" t="s">
        <v>70</v>
      </c>
      <c r="D102" s="39" t="s">
        <v>72</v>
      </c>
    </row>
    <row r="103" spans="1:4" ht="15.6">
      <c r="A103" s="43" t="s">
        <v>103</v>
      </c>
      <c r="B103" s="39" t="s">
        <v>104</v>
      </c>
      <c r="C103" s="39" t="s">
        <v>70</v>
      </c>
      <c r="D103" s="39" t="s">
        <v>72</v>
      </c>
    </row>
    <row r="104" spans="1:4" ht="15.6">
      <c r="A104" s="43" t="s">
        <v>105</v>
      </c>
      <c r="B104" s="39" t="s">
        <v>106</v>
      </c>
      <c r="C104" s="39" t="s">
        <v>70</v>
      </c>
      <c r="D104" s="39" t="s">
        <v>72</v>
      </c>
    </row>
    <row r="105" spans="1:4" ht="15.6">
      <c r="A105" s="43" t="s">
        <v>107</v>
      </c>
      <c r="B105" s="39" t="s">
        <v>108</v>
      </c>
      <c r="C105" s="39" t="s">
        <v>70</v>
      </c>
      <c r="D105" s="39" t="s">
        <v>72</v>
      </c>
    </row>
    <row r="106" spans="1:4" ht="15.6">
      <c r="A106" s="43" t="s">
        <v>109</v>
      </c>
      <c r="B106" s="39" t="s">
        <v>110</v>
      </c>
      <c r="C106" s="39" t="s">
        <v>70</v>
      </c>
      <c r="D106" s="39" t="s">
        <v>72</v>
      </c>
    </row>
    <row r="107" spans="1:4" ht="15.6">
      <c r="A107" s="43" t="s">
        <v>111</v>
      </c>
      <c r="B107" s="39" t="s">
        <v>112</v>
      </c>
      <c r="C107" s="39" t="s">
        <v>70</v>
      </c>
      <c r="D107" s="39" t="s">
        <v>72</v>
      </c>
    </row>
    <row r="108" spans="1:4" ht="15.6">
      <c r="A108" s="43" t="s">
        <v>113</v>
      </c>
      <c r="B108" s="39" t="s">
        <v>114</v>
      </c>
      <c r="C108" s="39" t="s">
        <v>70</v>
      </c>
      <c r="D108" s="39" t="s">
        <v>72</v>
      </c>
    </row>
    <row r="109" spans="1:4" ht="15.6">
      <c r="A109" s="43" t="s">
        <v>115</v>
      </c>
      <c r="B109" s="39" t="s">
        <v>116</v>
      </c>
      <c r="C109" s="39" t="s">
        <v>70</v>
      </c>
      <c r="D109" s="39" t="s">
        <v>72</v>
      </c>
    </row>
    <row r="110" spans="1:4" ht="15.6">
      <c r="A110" s="43" t="s">
        <v>117</v>
      </c>
      <c r="B110" s="39" t="s">
        <v>118</v>
      </c>
      <c r="C110" s="39" t="s">
        <v>70</v>
      </c>
      <c r="D110" s="39" t="s">
        <v>72</v>
      </c>
    </row>
    <row r="111" spans="1:4" ht="15.6">
      <c r="A111" s="43" t="s">
        <v>119</v>
      </c>
      <c r="B111" s="39" t="s">
        <v>120</v>
      </c>
      <c r="C111" s="39" t="s">
        <v>70</v>
      </c>
      <c r="D111" s="39" t="s">
        <v>72</v>
      </c>
    </row>
    <row r="112" spans="1:4" ht="15.6">
      <c r="A112" s="43" t="s">
        <v>121</v>
      </c>
      <c r="B112" s="39" t="s">
        <v>122</v>
      </c>
      <c r="C112" s="39" t="s">
        <v>70</v>
      </c>
      <c r="D112" s="39" t="s">
        <v>72</v>
      </c>
    </row>
    <row r="113" spans="1:4" ht="15.6">
      <c r="A113" s="43" t="s">
        <v>123</v>
      </c>
      <c r="B113" s="39" t="s">
        <v>124</v>
      </c>
      <c r="C113" s="39" t="s">
        <v>70</v>
      </c>
      <c r="D113" s="39" t="s">
        <v>72</v>
      </c>
    </row>
    <row r="114" spans="1:4" ht="15.6">
      <c r="A114" s="43" t="s">
        <v>125</v>
      </c>
      <c r="B114" s="39" t="s">
        <v>126</v>
      </c>
      <c r="C114" s="39" t="s">
        <v>70</v>
      </c>
      <c r="D114" s="39" t="s">
        <v>72</v>
      </c>
    </row>
    <row r="115" spans="1:4" ht="15.6">
      <c r="A115" s="43" t="s">
        <v>127</v>
      </c>
      <c r="B115" s="39" t="s">
        <v>128</v>
      </c>
      <c r="C115" s="39" t="s">
        <v>70</v>
      </c>
      <c r="D115" s="39" t="s">
        <v>72</v>
      </c>
    </row>
    <row r="116" spans="1:4" ht="15.6">
      <c r="A116" s="43" t="s">
        <v>129</v>
      </c>
      <c r="B116" s="39" t="s">
        <v>130</v>
      </c>
      <c r="C116" s="39" t="s">
        <v>70</v>
      </c>
      <c r="D116" s="39" t="s">
        <v>72</v>
      </c>
    </row>
    <row r="117" spans="1:4" ht="15.6">
      <c r="A117" s="43" t="s">
        <v>131</v>
      </c>
      <c r="B117" s="39" t="s">
        <v>132</v>
      </c>
      <c r="C117" s="39" t="s">
        <v>70</v>
      </c>
      <c r="D117" s="39" t="s">
        <v>72</v>
      </c>
    </row>
    <row r="118" spans="1:4" ht="15.6">
      <c r="A118" s="43" t="s">
        <v>133</v>
      </c>
      <c r="B118" s="39"/>
      <c r="C118" s="39" t="s">
        <v>70</v>
      </c>
      <c r="D118" s="39" t="s">
        <v>72</v>
      </c>
    </row>
    <row r="119" spans="1:4" ht="15.6">
      <c r="A119" s="43" t="s">
        <v>134</v>
      </c>
      <c r="B119" s="39"/>
      <c r="C119" s="39" t="s">
        <v>70</v>
      </c>
      <c r="D119" s="39" t="s">
        <v>72</v>
      </c>
    </row>
    <row r="120" spans="1:4" ht="15.6">
      <c r="A120" s="43" t="s">
        <v>135</v>
      </c>
      <c r="B120" s="39"/>
      <c r="C120" s="39" t="s">
        <v>70</v>
      </c>
      <c r="D120" s="39" t="s">
        <v>72</v>
      </c>
    </row>
    <row r="121" spans="1:4" ht="16.2" thickBot="1">
      <c r="A121" s="43" t="s">
        <v>136</v>
      </c>
      <c r="B121" s="39"/>
      <c r="C121" s="39" t="s">
        <v>70</v>
      </c>
      <c r="D121" s="39" t="s">
        <v>72</v>
      </c>
    </row>
    <row r="122" spans="1:4" ht="31.8" thickBot="1">
      <c r="A122" s="32">
        <v>149</v>
      </c>
      <c r="B122" s="33" t="s">
        <v>137</v>
      </c>
      <c r="C122" s="33" t="s">
        <v>137</v>
      </c>
      <c r="D122" s="34" t="s">
        <v>72</v>
      </c>
    </row>
    <row r="123" spans="1:4" ht="31.2">
      <c r="A123" s="42" t="s">
        <v>138</v>
      </c>
      <c r="B123" s="39" t="s">
        <v>74</v>
      </c>
      <c r="C123" s="39" t="s">
        <v>137</v>
      </c>
      <c r="D123" s="38" t="s">
        <v>72</v>
      </c>
    </row>
    <row r="124" spans="1:4" ht="31.2">
      <c r="A124" s="42" t="s">
        <v>139</v>
      </c>
      <c r="B124" s="39" t="s">
        <v>76</v>
      </c>
      <c r="C124" s="39" t="s">
        <v>137</v>
      </c>
      <c r="D124" s="38" t="s">
        <v>72</v>
      </c>
    </row>
    <row r="125" spans="1:4" ht="31.2">
      <c r="A125" s="42" t="s">
        <v>140</v>
      </c>
      <c r="B125" s="39" t="s">
        <v>141</v>
      </c>
      <c r="C125" s="39" t="s">
        <v>137</v>
      </c>
      <c r="D125" s="38" t="s">
        <v>72</v>
      </c>
    </row>
    <row r="126" spans="1:4" ht="31.2">
      <c r="A126" s="42" t="s">
        <v>142</v>
      </c>
      <c r="B126" s="39" t="s">
        <v>80</v>
      </c>
      <c r="C126" s="39" t="s">
        <v>137</v>
      </c>
      <c r="D126" s="38" t="s">
        <v>72</v>
      </c>
    </row>
    <row r="127" spans="1:4" ht="31.2">
      <c r="A127" s="42" t="s">
        <v>143</v>
      </c>
      <c r="B127" s="39" t="s">
        <v>82</v>
      </c>
      <c r="C127" s="39" t="s">
        <v>137</v>
      </c>
      <c r="D127" s="38" t="s">
        <v>72</v>
      </c>
    </row>
    <row r="128" spans="1:4" ht="31.2">
      <c r="A128" s="42" t="s">
        <v>144</v>
      </c>
      <c r="B128" s="39" t="s">
        <v>84</v>
      </c>
      <c r="C128" s="39" t="s">
        <v>137</v>
      </c>
      <c r="D128" s="38" t="s">
        <v>72</v>
      </c>
    </row>
    <row r="129" spans="1:4" ht="31.2">
      <c r="A129" s="42" t="s">
        <v>145</v>
      </c>
      <c r="B129" s="39" t="s">
        <v>86</v>
      </c>
      <c r="C129" s="39" t="s">
        <v>137</v>
      </c>
      <c r="D129" s="38" t="s">
        <v>72</v>
      </c>
    </row>
    <row r="130" spans="1:4" ht="31.2">
      <c r="A130" s="42" t="s">
        <v>146</v>
      </c>
      <c r="B130" s="39" t="s">
        <v>88</v>
      </c>
      <c r="C130" s="39" t="s">
        <v>137</v>
      </c>
      <c r="D130" s="38" t="s">
        <v>72</v>
      </c>
    </row>
    <row r="131" spans="1:4" ht="31.2">
      <c r="A131" s="42" t="s">
        <v>147</v>
      </c>
      <c r="B131" s="39" t="s">
        <v>90</v>
      </c>
      <c r="C131" s="39" t="s">
        <v>137</v>
      </c>
      <c r="D131" s="38" t="s">
        <v>72</v>
      </c>
    </row>
    <row r="132" spans="1:4" ht="31.2">
      <c r="A132" s="42" t="s">
        <v>148</v>
      </c>
      <c r="B132" s="39" t="s">
        <v>92</v>
      </c>
      <c r="C132" s="39" t="s">
        <v>137</v>
      </c>
      <c r="D132" s="39" t="s">
        <v>72</v>
      </c>
    </row>
    <row r="133" spans="1:4" ht="31.2">
      <c r="A133" s="42" t="s">
        <v>149</v>
      </c>
      <c r="B133" s="39" t="s">
        <v>94</v>
      </c>
      <c r="C133" s="39" t="s">
        <v>137</v>
      </c>
      <c r="D133" s="39" t="s">
        <v>72</v>
      </c>
    </row>
    <row r="134" spans="1:4" ht="31.2">
      <c r="A134" s="42" t="s">
        <v>150</v>
      </c>
      <c r="B134" s="39" t="s">
        <v>96</v>
      </c>
      <c r="C134" s="39" t="s">
        <v>137</v>
      </c>
      <c r="D134" s="39" t="s">
        <v>72</v>
      </c>
    </row>
    <row r="135" spans="1:4" ht="31.2">
      <c r="A135" s="42" t="s">
        <v>151</v>
      </c>
      <c r="B135" s="39" t="s">
        <v>98</v>
      </c>
      <c r="C135" s="39" t="s">
        <v>137</v>
      </c>
      <c r="D135" s="39" t="s">
        <v>72</v>
      </c>
    </row>
    <row r="136" spans="1:4" ht="31.2">
      <c r="A136" s="42" t="s">
        <v>152</v>
      </c>
      <c r="B136" s="39" t="s">
        <v>100</v>
      </c>
      <c r="C136" s="39" t="s">
        <v>137</v>
      </c>
      <c r="D136" s="39" t="s">
        <v>72</v>
      </c>
    </row>
    <row r="137" spans="1:4" ht="31.2">
      <c r="A137" s="42" t="s">
        <v>153</v>
      </c>
      <c r="B137" s="39" t="s">
        <v>102</v>
      </c>
      <c r="C137" s="39" t="s">
        <v>137</v>
      </c>
      <c r="D137" s="39" t="s">
        <v>72</v>
      </c>
    </row>
    <row r="138" spans="1:4" ht="31.2">
      <c r="A138" s="42" t="s">
        <v>154</v>
      </c>
      <c r="B138" s="39" t="s">
        <v>104</v>
      </c>
      <c r="C138" s="39" t="s">
        <v>137</v>
      </c>
      <c r="D138" s="39" t="s">
        <v>72</v>
      </c>
    </row>
    <row r="139" spans="1:4" ht="31.2">
      <c r="A139" s="42" t="s">
        <v>155</v>
      </c>
      <c r="B139" s="39" t="s">
        <v>106</v>
      </c>
      <c r="C139" s="39" t="s">
        <v>137</v>
      </c>
      <c r="D139" s="39" t="s">
        <v>72</v>
      </c>
    </row>
    <row r="140" spans="1:4" ht="31.2">
      <c r="A140" s="42" t="s">
        <v>156</v>
      </c>
      <c r="B140" s="39" t="s">
        <v>108</v>
      </c>
      <c r="C140" s="39" t="s">
        <v>137</v>
      </c>
      <c r="D140" s="39" t="s">
        <v>72</v>
      </c>
    </row>
    <row r="141" spans="1:4" ht="31.2">
      <c r="A141" s="42" t="s">
        <v>157</v>
      </c>
      <c r="B141" s="39" t="s">
        <v>110</v>
      </c>
      <c r="C141" s="39" t="s">
        <v>137</v>
      </c>
      <c r="D141" s="39" t="s">
        <v>72</v>
      </c>
    </row>
    <row r="142" spans="1:4" ht="31.2">
      <c r="A142" s="42" t="s">
        <v>158</v>
      </c>
      <c r="B142" s="39" t="s">
        <v>112</v>
      </c>
      <c r="C142" s="39" t="s">
        <v>137</v>
      </c>
      <c r="D142" s="39" t="s">
        <v>72</v>
      </c>
    </row>
    <row r="143" spans="1:4" ht="31.2">
      <c r="A143" s="42" t="s">
        <v>159</v>
      </c>
      <c r="B143" s="39" t="s">
        <v>114</v>
      </c>
      <c r="C143" s="39" t="s">
        <v>137</v>
      </c>
      <c r="D143" s="39" t="s">
        <v>72</v>
      </c>
    </row>
    <row r="144" spans="1:4" ht="31.2">
      <c r="A144" s="42" t="s">
        <v>160</v>
      </c>
      <c r="B144" s="39" t="s">
        <v>116</v>
      </c>
      <c r="C144" s="39" t="s">
        <v>137</v>
      </c>
      <c r="D144" s="39" t="s">
        <v>72</v>
      </c>
    </row>
    <row r="145" spans="1:4" ht="31.2">
      <c r="A145" s="42" t="s">
        <v>161</v>
      </c>
      <c r="B145" s="39" t="s">
        <v>118</v>
      </c>
      <c r="C145" s="39" t="s">
        <v>137</v>
      </c>
      <c r="D145" s="39" t="s">
        <v>72</v>
      </c>
    </row>
    <row r="146" spans="1:4" ht="31.2">
      <c r="A146" s="42" t="s">
        <v>162</v>
      </c>
      <c r="B146" s="39" t="s">
        <v>120</v>
      </c>
      <c r="C146" s="39" t="s">
        <v>137</v>
      </c>
      <c r="D146" s="39" t="s">
        <v>72</v>
      </c>
    </row>
    <row r="147" spans="1:4" ht="31.2">
      <c r="A147" s="42" t="s">
        <v>163</v>
      </c>
      <c r="B147" s="39" t="s">
        <v>122</v>
      </c>
      <c r="C147" s="39" t="s">
        <v>137</v>
      </c>
      <c r="D147" s="39" t="s">
        <v>72</v>
      </c>
    </row>
    <row r="148" spans="1:4" ht="31.2">
      <c r="A148" s="42" t="s">
        <v>164</v>
      </c>
      <c r="B148" s="39" t="s">
        <v>124</v>
      </c>
      <c r="C148" s="39" t="s">
        <v>137</v>
      </c>
      <c r="D148" s="39" t="s">
        <v>72</v>
      </c>
    </row>
    <row r="149" spans="1:4" ht="31.2">
      <c r="A149" s="42" t="s">
        <v>165</v>
      </c>
      <c r="B149" s="39" t="s">
        <v>126</v>
      </c>
      <c r="C149" s="39" t="s">
        <v>137</v>
      </c>
      <c r="D149" s="39" t="s">
        <v>72</v>
      </c>
    </row>
    <row r="150" spans="1:4" ht="31.2">
      <c r="A150" s="42" t="s">
        <v>166</v>
      </c>
      <c r="B150" s="39" t="s">
        <v>128</v>
      </c>
      <c r="C150" s="39" t="s">
        <v>137</v>
      </c>
      <c r="D150" s="39" t="s">
        <v>72</v>
      </c>
    </row>
    <row r="151" spans="1:4" ht="31.2">
      <c r="A151" s="42" t="s">
        <v>167</v>
      </c>
      <c r="B151" s="39" t="s">
        <v>130</v>
      </c>
      <c r="C151" s="39" t="s">
        <v>137</v>
      </c>
      <c r="D151" s="39" t="s">
        <v>72</v>
      </c>
    </row>
    <row r="152" spans="1:4" ht="31.2">
      <c r="A152" s="42" t="s">
        <v>168</v>
      </c>
      <c r="B152" s="39"/>
      <c r="C152" s="39" t="s">
        <v>137</v>
      </c>
      <c r="D152" s="39" t="s">
        <v>72</v>
      </c>
    </row>
    <row r="153" spans="1:4" ht="31.2">
      <c r="A153" s="42" t="s">
        <v>169</v>
      </c>
      <c r="B153" s="39"/>
      <c r="C153" s="39" t="s">
        <v>137</v>
      </c>
      <c r="D153" s="39" t="s">
        <v>72</v>
      </c>
    </row>
    <row r="154" spans="1:4" ht="31.2">
      <c r="A154" s="42" t="s">
        <v>170</v>
      </c>
      <c r="B154" s="39"/>
      <c r="C154" s="39" t="s">
        <v>137</v>
      </c>
      <c r="D154" s="39" t="s">
        <v>72</v>
      </c>
    </row>
    <row r="155" spans="1:4" ht="31.2">
      <c r="A155" s="42" t="s">
        <v>171</v>
      </c>
      <c r="B155" s="39"/>
      <c r="C155" s="39" t="s">
        <v>137</v>
      </c>
      <c r="D155" s="39" t="s">
        <v>72</v>
      </c>
    </row>
    <row r="156" spans="1:4" ht="31.8" thickBot="1">
      <c r="A156" s="42" t="s">
        <v>172</v>
      </c>
      <c r="B156" s="39"/>
      <c r="C156" s="39" t="s">
        <v>137</v>
      </c>
      <c r="D156" s="39" t="s">
        <v>72</v>
      </c>
    </row>
    <row r="157" spans="1:4" ht="16.2" thickBot="1">
      <c r="A157" s="32">
        <v>235</v>
      </c>
      <c r="B157" s="33" t="s">
        <v>173</v>
      </c>
      <c r="C157" s="33" t="s">
        <v>173</v>
      </c>
      <c r="D157" s="34" t="s">
        <v>72</v>
      </c>
    </row>
    <row r="158" spans="1:4" ht="15.6">
      <c r="A158" s="42" t="s">
        <v>174</v>
      </c>
      <c r="B158" s="39" t="s">
        <v>74</v>
      </c>
      <c r="C158" s="39" t="s">
        <v>173</v>
      </c>
      <c r="D158" s="38" t="s">
        <v>72</v>
      </c>
    </row>
    <row r="159" spans="1:4" ht="15.6">
      <c r="A159" s="42" t="s">
        <v>175</v>
      </c>
      <c r="B159" s="39" t="s">
        <v>76</v>
      </c>
      <c r="C159" s="39" t="s">
        <v>173</v>
      </c>
      <c r="D159" s="38" t="s">
        <v>72</v>
      </c>
    </row>
    <row r="160" spans="1:4" ht="15.6">
      <c r="A160" s="42" t="s">
        <v>176</v>
      </c>
      <c r="B160" s="39" t="s">
        <v>141</v>
      </c>
      <c r="C160" s="39" t="s">
        <v>173</v>
      </c>
      <c r="D160" s="38" t="s">
        <v>72</v>
      </c>
    </row>
    <row r="161" spans="1:4" ht="15.6">
      <c r="A161" s="42" t="s">
        <v>177</v>
      </c>
      <c r="B161" s="39" t="s">
        <v>80</v>
      </c>
      <c r="C161" s="39" t="s">
        <v>173</v>
      </c>
      <c r="D161" s="38" t="s">
        <v>72</v>
      </c>
    </row>
    <row r="162" spans="1:4" ht="15.6">
      <c r="A162" s="42" t="s">
        <v>178</v>
      </c>
      <c r="B162" s="39" t="s">
        <v>82</v>
      </c>
      <c r="C162" s="39" t="s">
        <v>173</v>
      </c>
      <c r="D162" s="38" t="s">
        <v>72</v>
      </c>
    </row>
    <row r="163" spans="1:4" ht="15.6">
      <c r="A163" s="42" t="s">
        <v>179</v>
      </c>
      <c r="B163" s="39" t="s">
        <v>84</v>
      </c>
      <c r="C163" s="39" t="s">
        <v>173</v>
      </c>
      <c r="D163" s="38" t="s">
        <v>72</v>
      </c>
    </row>
    <row r="164" spans="1:4" ht="15.6">
      <c r="A164" s="42" t="s">
        <v>180</v>
      </c>
      <c r="B164" s="39" t="s">
        <v>86</v>
      </c>
      <c r="C164" s="39" t="s">
        <v>173</v>
      </c>
      <c r="D164" s="38" t="s">
        <v>72</v>
      </c>
    </row>
    <row r="165" spans="1:4" ht="15.6">
      <c r="A165" s="42" t="s">
        <v>181</v>
      </c>
      <c r="B165" s="39" t="s">
        <v>88</v>
      </c>
      <c r="C165" s="39" t="s">
        <v>173</v>
      </c>
      <c r="D165" s="38" t="s">
        <v>72</v>
      </c>
    </row>
    <row r="166" spans="1:4" ht="15.6">
      <c r="A166" s="42" t="s">
        <v>182</v>
      </c>
      <c r="B166" s="39" t="s">
        <v>90</v>
      </c>
      <c r="C166" s="39" t="s">
        <v>173</v>
      </c>
      <c r="D166" s="38" t="s">
        <v>72</v>
      </c>
    </row>
    <row r="167" spans="1:4" ht="15.6">
      <c r="A167" s="42" t="s">
        <v>183</v>
      </c>
      <c r="B167" s="39" t="s">
        <v>92</v>
      </c>
      <c r="C167" s="39" t="s">
        <v>173</v>
      </c>
      <c r="D167" s="39" t="s">
        <v>72</v>
      </c>
    </row>
    <row r="168" spans="1:4" ht="15.6">
      <c r="A168" s="42" t="s">
        <v>184</v>
      </c>
      <c r="B168" s="39" t="s">
        <v>94</v>
      </c>
      <c r="C168" s="39" t="s">
        <v>173</v>
      </c>
      <c r="D168" s="39" t="s">
        <v>72</v>
      </c>
    </row>
    <row r="169" spans="1:4" ht="15.6">
      <c r="A169" s="42" t="s">
        <v>185</v>
      </c>
      <c r="B169" s="39" t="s">
        <v>96</v>
      </c>
      <c r="C169" s="39" t="s">
        <v>173</v>
      </c>
      <c r="D169" s="39" t="s">
        <v>72</v>
      </c>
    </row>
    <row r="170" spans="1:4" ht="15.6">
      <c r="A170" s="42" t="s">
        <v>186</v>
      </c>
      <c r="B170" s="39" t="s">
        <v>98</v>
      </c>
      <c r="C170" s="39" t="s">
        <v>173</v>
      </c>
      <c r="D170" s="39" t="s">
        <v>72</v>
      </c>
    </row>
    <row r="171" spans="1:4" ht="15.6">
      <c r="A171" s="42" t="s">
        <v>187</v>
      </c>
      <c r="B171" s="39" t="s">
        <v>100</v>
      </c>
      <c r="C171" s="39" t="s">
        <v>173</v>
      </c>
      <c r="D171" s="39" t="s">
        <v>72</v>
      </c>
    </row>
    <row r="172" spans="1:4" ht="15.6">
      <c r="A172" s="42" t="s">
        <v>188</v>
      </c>
      <c r="B172" s="39" t="s">
        <v>102</v>
      </c>
      <c r="C172" s="39" t="s">
        <v>173</v>
      </c>
      <c r="D172" s="39" t="s">
        <v>72</v>
      </c>
    </row>
    <row r="173" spans="1:4" ht="15.6">
      <c r="A173" s="42" t="s">
        <v>189</v>
      </c>
      <c r="B173" s="39" t="s">
        <v>104</v>
      </c>
      <c r="C173" s="39" t="s">
        <v>173</v>
      </c>
      <c r="D173" s="39" t="s">
        <v>72</v>
      </c>
    </row>
    <row r="174" spans="1:4" ht="15.6">
      <c r="A174" s="42" t="s">
        <v>190</v>
      </c>
      <c r="B174" s="39" t="s">
        <v>106</v>
      </c>
      <c r="C174" s="39" t="s">
        <v>173</v>
      </c>
      <c r="D174" s="39" t="s">
        <v>72</v>
      </c>
    </row>
    <row r="175" spans="1:4" ht="15.6">
      <c r="A175" s="42" t="s">
        <v>191</v>
      </c>
      <c r="B175" s="39" t="s">
        <v>108</v>
      </c>
      <c r="C175" s="39" t="s">
        <v>173</v>
      </c>
      <c r="D175" s="39" t="s">
        <v>72</v>
      </c>
    </row>
    <row r="176" spans="1:4" ht="15.6">
      <c r="A176" s="42" t="s">
        <v>192</v>
      </c>
      <c r="B176" s="39" t="s">
        <v>110</v>
      </c>
      <c r="C176" s="39" t="s">
        <v>173</v>
      </c>
      <c r="D176" s="39" t="s">
        <v>72</v>
      </c>
    </row>
    <row r="177" spans="1:4" ht="15.6">
      <c r="A177" s="42" t="s">
        <v>193</v>
      </c>
      <c r="B177" s="39" t="s">
        <v>112</v>
      </c>
      <c r="C177" s="39" t="s">
        <v>173</v>
      </c>
      <c r="D177" s="39" t="s">
        <v>72</v>
      </c>
    </row>
    <row r="178" spans="1:4" ht="15.6">
      <c r="A178" s="42" t="s">
        <v>194</v>
      </c>
      <c r="B178" s="39" t="s">
        <v>114</v>
      </c>
      <c r="C178" s="39" t="s">
        <v>173</v>
      </c>
      <c r="D178" s="39" t="s">
        <v>72</v>
      </c>
    </row>
    <row r="179" spans="1:4" ht="15.6">
      <c r="A179" s="42" t="s">
        <v>195</v>
      </c>
      <c r="B179" s="39" t="s">
        <v>116</v>
      </c>
      <c r="C179" s="39" t="s">
        <v>173</v>
      </c>
      <c r="D179" s="39" t="s">
        <v>72</v>
      </c>
    </row>
    <row r="180" spans="1:4" ht="15.6">
      <c r="A180" s="42" t="s">
        <v>196</v>
      </c>
      <c r="B180" s="39" t="s">
        <v>118</v>
      </c>
      <c r="C180" s="39" t="s">
        <v>173</v>
      </c>
      <c r="D180" s="39" t="s">
        <v>72</v>
      </c>
    </row>
    <row r="181" spans="1:4" ht="15.6">
      <c r="A181" s="42" t="s">
        <v>197</v>
      </c>
      <c r="B181" s="39" t="s">
        <v>120</v>
      </c>
      <c r="C181" s="39" t="s">
        <v>173</v>
      </c>
      <c r="D181" s="39" t="s">
        <v>72</v>
      </c>
    </row>
    <row r="182" spans="1:4" ht="15.6">
      <c r="A182" s="42" t="s">
        <v>198</v>
      </c>
      <c r="B182" s="39" t="s">
        <v>122</v>
      </c>
      <c r="C182" s="39" t="s">
        <v>173</v>
      </c>
      <c r="D182" s="39" t="s">
        <v>72</v>
      </c>
    </row>
    <row r="183" spans="1:4" ht="15.6">
      <c r="A183" s="42" t="s">
        <v>199</v>
      </c>
      <c r="B183" s="39" t="s">
        <v>124</v>
      </c>
      <c r="C183" s="39" t="s">
        <v>173</v>
      </c>
      <c r="D183" s="39" t="s">
        <v>72</v>
      </c>
    </row>
    <row r="184" spans="1:4" ht="15.6">
      <c r="A184" s="42" t="s">
        <v>200</v>
      </c>
      <c r="B184" s="39" t="s">
        <v>126</v>
      </c>
      <c r="C184" s="39" t="s">
        <v>173</v>
      </c>
      <c r="D184" s="39" t="s">
        <v>72</v>
      </c>
    </row>
    <row r="185" spans="1:4" ht="15.6">
      <c r="A185" s="42" t="s">
        <v>201</v>
      </c>
      <c r="B185" s="39" t="s">
        <v>128</v>
      </c>
      <c r="C185" s="39" t="s">
        <v>173</v>
      </c>
      <c r="D185" s="39" t="s">
        <v>72</v>
      </c>
    </row>
    <row r="186" spans="1:4" ht="15.6">
      <c r="A186" s="42" t="s">
        <v>202</v>
      </c>
      <c r="B186" s="39" t="s">
        <v>130</v>
      </c>
      <c r="C186" s="39" t="s">
        <v>173</v>
      </c>
      <c r="D186" s="39" t="s">
        <v>72</v>
      </c>
    </row>
    <row r="187" spans="1:4" ht="15.6">
      <c r="A187" s="42" t="s">
        <v>203</v>
      </c>
      <c r="B187" s="39"/>
      <c r="C187" s="39" t="s">
        <v>173</v>
      </c>
      <c r="D187" s="39" t="s">
        <v>72</v>
      </c>
    </row>
    <row r="188" spans="1:4" ht="15.6">
      <c r="A188" s="42" t="s">
        <v>204</v>
      </c>
      <c r="B188" s="39"/>
      <c r="C188" s="39" t="s">
        <v>173</v>
      </c>
      <c r="D188" s="39" t="s">
        <v>72</v>
      </c>
    </row>
    <row r="189" spans="1:4" ht="15.6">
      <c r="A189" s="42" t="s">
        <v>205</v>
      </c>
      <c r="B189" s="39"/>
      <c r="C189" s="39" t="s">
        <v>173</v>
      </c>
      <c r="D189" s="39" t="s">
        <v>72</v>
      </c>
    </row>
    <row r="190" spans="1:4" ht="15.6">
      <c r="A190" s="42" t="s">
        <v>206</v>
      </c>
      <c r="B190" s="39"/>
      <c r="C190" s="39" t="s">
        <v>173</v>
      </c>
      <c r="D190" s="39" t="s">
        <v>72</v>
      </c>
    </row>
    <row r="191" spans="1:4" ht="16.2" thickBot="1">
      <c r="A191" s="42" t="s">
        <v>207</v>
      </c>
      <c r="B191" s="39"/>
      <c r="C191" s="39" t="s">
        <v>173</v>
      </c>
      <c r="D191" s="39" t="s">
        <v>72</v>
      </c>
    </row>
    <row r="192" spans="1:4" ht="16.2" thickBot="1">
      <c r="A192" s="32">
        <v>273</v>
      </c>
      <c r="B192" s="33" t="s">
        <v>208</v>
      </c>
      <c r="C192" s="33" t="s">
        <v>208</v>
      </c>
      <c r="D192" s="34" t="s">
        <v>72</v>
      </c>
    </row>
    <row r="193" spans="1:4" ht="15.6">
      <c r="A193" s="42" t="s">
        <v>209</v>
      </c>
      <c r="B193" s="39" t="s">
        <v>74</v>
      </c>
      <c r="C193" s="39" t="s">
        <v>208</v>
      </c>
      <c r="D193" s="38" t="s">
        <v>72</v>
      </c>
    </row>
    <row r="194" spans="1:4" ht="15.6">
      <c r="A194" s="42" t="s">
        <v>210</v>
      </c>
      <c r="B194" s="39" t="s">
        <v>76</v>
      </c>
      <c r="C194" s="39" t="s">
        <v>208</v>
      </c>
      <c r="D194" s="38" t="s">
        <v>72</v>
      </c>
    </row>
    <row r="195" spans="1:4" ht="15.6">
      <c r="A195" s="42" t="s">
        <v>211</v>
      </c>
      <c r="B195" s="39" t="s">
        <v>141</v>
      </c>
      <c r="C195" s="39" t="s">
        <v>208</v>
      </c>
      <c r="D195" s="38" t="s">
        <v>72</v>
      </c>
    </row>
    <row r="196" spans="1:4" ht="15.6">
      <c r="A196" s="42" t="s">
        <v>212</v>
      </c>
      <c r="B196" s="39" t="s">
        <v>80</v>
      </c>
      <c r="C196" s="39" t="s">
        <v>208</v>
      </c>
      <c r="D196" s="38" t="s">
        <v>72</v>
      </c>
    </row>
    <row r="197" spans="1:4" ht="15.6">
      <c r="A197" s="42" t="s">
        <v>213</v>
      </c>
      <c r="B197" s="39" t="s">
        <v>82</v>
      </c>
      <c r="C197" s="39" t="s">
        <v>208</v>
      </c>
      <c r="D197" s="38" t="s">
        <v>72</v>
      </c>
    </row>
    <row r="198" spans="1:4" ht="15.6">
      <c r="A198" s="42" t="s">
        <v>214</v>
      </c>
      <c r="B198" s="39" t="s">
        <v>84</v>
      </c>
      <c r="C198" s="39" t="s">
        <v>208</v>
      </c>
      <c r="D198" s="38" t="s">
        <v>72</v>
      </c>
    </row>
    <row r="199" spans="1:4" ht="15.6">
      <c r="A199" s="42" t="s">
        <v>215</v>
      </c>
      <c r="B199" s="39" t="s">
        <v>86</v>
      </c>
      <c r="C199" s="39" t="s">
        <v>208</v>
      </c>
      <c r="D199" s="38" t="s">
        <v>72</v>
      </c>
    </row>
    <row r="200" spans="1:4" ht="15.6">
      <c r="A200" s="42" t="s">
        <v>216</v>
      </c>
      <c r="B200" s="39" t="s">
        <v>88</v>
      </c>
      <c r="C200" s="39" t="s">
        <v>208</v>
      </c>
      <c r="D200" s="38" t="s">
        <v>72</v>
      </c>
    </row>
    <row r="201" spans="1:4" ht="15.6">
      <c r="A201" s="42" t="s">
        <v>217</v>
      </c>
      <c r="B201" s="39" t="s">
        <v>90</v>
      </c>
      <c r="C201" s="39" t="s">
        <v>208</v>
      </c>
      <c r="D201" s="38" t="s">
        <v>72</v>
      </c>
    </row>
    <row r="202" spans="1:4" ht="15.6">
      <c r="A202" s="42" t="s">
        <v>218</v>
      </c>
      <c r="B202" s="39" t="s">
        <v>92</v>
      </c>
      <c r="C202" s="39" t="s">
        <v>208</v>
      </c>
      <c r="D202" s="39" t="s">
        <v>72</v>
      </c>
    </row>
    <row r="203" spans="1:4" ht="15.6">
      <c r="A203" s="42" t="s">
        <v>219</v>
      </c>
      <c r="B203" s="39" t="s">
        <v>94</v>
      </c>
      <c r="C203" s="39" t="s">
        <v>208</v>
      </c>
      <c r="D203" s="39" t="s">
        <v>72</v>
      </c>
    </row>
    <row r="204" spans="1:4" ht="15.6">
      <c r="A204" s="42" t="s">
        <v>220</v>
      </c>
      <c r="B204" s="39" t="s">
        <v>96</v>
      </c>
      <c r="C204" s="39" t="s">
        <v>208</v>
      </c>
      <c r="D204" s="39" t="s">
        <v>72</v>
      </c>
    </row>
    <row r="205" spans="1:4" ht="15.6">
      <c r="A205" s="42" t="s">
        <v>221</v>
      </c>
      <c r="B205" s="39" t="s">
        <v>98</v>
      </c>
      <c r="C205" s="39" t="s">
        <v>208</v>
      </c>
      <c r="D205" s="39" t="s">
        <v>72</v>
      </c>
    </row>
    <row r="206" spans="1:4" ht="15.6">
      <c r="A206" s="42" t="s">
        <v>222</v>
      </c>
      <c r="B206" s="39" t="s">
        <v>100</v>
      </c>
      <c r="C206" s="39" t="s">
        <v>208</v>
      </c>
      <c r="D206" s="39" t="s">
        <v>72</v>
      </c>
    </row>
    <row r="207" spans="1:4" ht="15.6">
      <c r="A207" s="42" t="s">
        <v>223</v>
      </c>
      <c r="B207" s="39" t="s">
        <v>102</v>
      </c>
      <c r="C207" s="39" t="s">
        <v>208</v>
      </c>
      <c r="D207" s="39" t="s">
        <v>72</v>
      </c>
    </row>
    <row r="208" spans="1:4" ht="15.6">
      <c r="A208" s="42" t="s">
        <v>224</v>
      </c>
      <c r="B208" s="39" t="s">
        <v>104</v>
      </c>
      <c r="C208" s="39" t="s">
        <v>208</v>
      </c>
      <c r="D208" s="39" t="s">
        <v>72</v>
      </c>
    </row>
    <row r="209" spans="1:4" ht="15.6">
      <c r="A209" s="42" t="s">
        <v>225</v>
      </c>
      <c r="B209" s="39" t="s">
        <v>106</v>
      </c>
      <c r="C209" s="39" t="s">
        <v>208</v>
      </c>
      <c r="D209" s="39" t="s">
        <v>72</v>
      </c>
    </row>
    <row r="210" spans="1:4" ht="15.6">
      <c r="A210" s="42" t="s">
        <v>226</v>
      </c>
      <c r="B210" s="39" t="s">
        <v>108</v>
      </c>
      <c r="C210" s="39" t="s">
        <v>208</v>
      </c>
      <c r="D210" s="39" t="s">
        <v>72</v>
      </c>
    </row>
    <row r="211" spans="1:4" ht="15.6">
      <c r="A211" s="42" t="s">
        <v>227</v>
      </c>
      <c r="B211" s="39" t="s">
        <v>110</v>
      </c>
      <c r="C211" s="39" t="s">
        <v>208</v>
      </c>
      <c r="D211" s="39" t="s">
        <v>72</v>
      </c>
    </row>
    <row r="212" spans="1:4" ht="15.6">
      <c r="A212" s="42" t="s">
        <v>228</v>
      </c>
      <c r="B212" s="39" t="s">
        <v>112</v>
      </c>
      <c r="C212" s="39" t="s">
        <v>208</v>
      </c>
      <c r="D212" s="39" t="s">
        <v>72</v>
      </c>
    </row>
    <row r="213" spans="1:4" ht="15.6">
      <c r="A213" s="42" t="s">
        <v>229</v>
      </c>
      <c r="B213" s="39" t="s">
        <v>114</v>
      </c>
      <c r="C213" s="39" t="s">
        <v>208</v>
      </c>
      <c r="D213" s="39" t="s">
        <v>72</v>
      </c>
    </row>
    <row r="214" spans="1:4" ht="15.6">
      <c r="A214" s="42" t="s">
        <v>230</v>
      </c>
      <c r="B214" s="39" t="s">
        <v>116</v>
      </c>
      <c r="C214" s="39" t="s">
        <v>208</v>
      </c>
      <c r="D214" s="39" t="s">
        <v>72</v>
      </c>
    </row>
    <row r="215" spans="1:4" ht="15.6">
      <c r="A215" s="42" t="s">
        <v>231</v>
      </c>
      <c r="B215" s="39" t="s">
        <v>118</v>
      </c>
      <c r="C215" s="39" t="s">
        <v>208</v>
      </c>
      <c r="D215" s="39" t="s">
        <v>72</v>
      </c>
    </row>
    <row r="216" spans="1:4" ht="15.6">
      <c r="A216" s="42" t="s">
        <v>232</v>
      </c>
      <c r="B216" s="39" t="s">
        <v>120</v>
      </c>
      <c r="C216" s="39" t="s">
        <v>208</v>
      </c>
      <c r="D216" s="39" t="s">
        <v>72</v>
      </c>
    </row>
    <row r="217" spans="1:4" ht="15.6">
      <c r="A217" s="42" t="s">
        <v>233</v>
      </c>
      <c r="B217" s="39" t="s">
        <v>122</v>
      </c>
      <c r="C217" s="39" t="s">
        <v>208</v>
      </c>
      <c r="D217" s="39" t="s">
        <v>72</v>
      </c>
    </row>
    <row r="218" spans="1:4" ht="15.6">
      <c r="A218" s="42" t="s">
        <v>234</v>
      </c>
      <c r="B218" s="39" t="s">
        <v>124</v>
      </c>
      <c r="C218" s="39" t="s">
        <v>208</v>
      </c>
      <c r="D218" s="39" t="s">
        <v>72</v>
      </c>
    </row>
    <row r="219" spans="1:4" ht="15.6">
      <c r="A219" s="42" t="s">
        <v>235</v>
      </c>
      <c r="B219" s="39" t="s">
        <v>126</v>
      </c>
      <c r="C219" s="39" t="s">
        <v>208</v>
      </c>
      <c r="D219" s="39" t="s">
        <v>72</v>
      </c>
    </row>
    <row r="220" spans="1:4" ht="15.6">
      <c r="A220" s="42" t="s">
        <v>236</v>
      </c>
      <c r="B220" s="39" t="s">
        <v>128</v>
      </c>
      <c r="C220" s="39" t="s">
        <v>208</v>
      </c>
      <c r="D220" s="39" t="s">
        <v>72</v>
      </c>
    </row>
    <row r="221" spans="1:4" ht="15.6">
      <c r="A221" s="42" t="s">
        <v>237</v>
      </c>
      <c r="B221" s="39" t="s">
        <v>130</v>
      </c>
      <c r="C221" s="39" t="s">
        <v>208</v>
      </c>
      <c r="D221" s="39" t="s">
        <v>72</v>
      </c>
    </row>
    <row r="222" spans="1:4" ht="15.6">
      <c r="A222" s="42" t="s">
        <v>238</v>
      </c>
      <c r="B222" s="39"/>
      <c r="C222" s="39" t="s">
        <v>208</v>
      </c>
      <c r="D222" s="39" t="s">
        <v>72</v>
      </c>
    </row>
    <row r="223" spans="1:4" ht="15.6">
      <c r="A223" s="42" t="s">
        <v>239</v>
      </c>
      <c r="B223" s="39"/>
      <c r="C223" s="39" t="s">
        <v>208</v>
      </c>
      <c r="D223" s="39" t="s">
        <v>72</v>
      </c>
    </row>
    <row r="224" spans="1:4" ht="15.6">
      <c r="A224" s="42" t="s">
        <v>240</v>
      </c>
      <c r="B224" s="39"/>
      <c r="C224" s="39" t="s">
        <v>208</v>
      </c>
      <c r="D224" s="39" t="s">
        <v>72</v>
      </c>
    </row>
    <row r="225" spans="1:4" ht="15.6">
      <c r="A225" s="42" t="s">
        <v>241</v>
      </c>
      <c r="B225" s="39"/>
      <c r="C225" s="39" t="s">
        <v>208</v>
      </c>
      <c r="D225" s="39" t="s">
        <v>72</v>
      </c>
    </row>
    <row r="226" spans="1:4" ht="16.2" thickBot="1">
      <c r="A226" s="42" t="s">
        <v>242</v>
      </c>
      <c r="B226" s="39"/>
      <c r="C226" s="39" t="s">
        <v>208</v>
      </c>
      <c r="D226" s="39" t="s">
        <v>72</v>
      </c>
    </row>
    <row r="227" spans="1:4" ht="16.2" thickBot="1">
      <c r="A227" s="32">
        <v>280</v>
      </c>
      <c r="B227" s="33" t="s">
        <v>243</v>
      </c>
      <c r="C227" s="33" t="s">
        <v>243</v>
      </c>
      <c r="D227" s="34" t="s">
        <v>72</v>
      </c>
    </row>
    <row r="228" spans="1:4" ht="15.6">
      <c r="A228" s="42" t="s">
        <v>244</v>
      </c>
      <c r="B228" s="39" t="s">
        <v>74</v>
      </c>
      <c r="C228" s="39" t="s">
        <v>243</v>
      </c>
      <c r="D228" s="38" t="s">
        <v>72</v>
      </c>
    </row>
    <row r="229" spans="1:4" ht="15.6">
      <c r="A229" s="42" t="s">
        <v>245</v>
      </c>
      <c r="B229" s="39" t="s">
        <v>76</v>
      </c>
      <c r="C229" s="39" t="s">
        <v>243</v>
      </c>
      <c r="D229" s="38" t="s">
        <v>72</v>
      </c>
    </row>
    <row r="230" spans="1:4" ht="15.6">
      <c r="A230" s="42" t="s">
        <v>246</v>
      </c>
      <c r="B230" s="39" t="s">
        <v>141</v>
      </c>
      <c r="C230" s="39" t="s">
        <v>243</v>
      </c>
      <c r="D230" s="38" t="s">
        <v>72</v>
      </c>
    </row>
    <row r="231" spans="1:4" ht="15.6">
      <c r="A231" s="42" t="s">
        <v>247</v>
      </c>
      <c r="B231" s="39" t="s">
        <v>80</v>
      </c>
      <c r="C231" s="39" t="s">
        <v>243</v>
      </c>
      <c r="D231" s="38" t="s">
        <v>72</v>
      </c>
    </row>
    <row r="232" spans="1:4" ht="15.6">
      <c r="A232" s="42" t="s">
        <v>248</v>
      </c>
      <c r="B232" s="39" t="s">
        <v>82</v>
      </c>
      <c r="C232" s="39" t="s">
        <v>243</v>
      </c>
      <c r="D232" s="38" t="s">
        <v>72</v>
      </c>
    </row>
    <row r="233" spans="1:4" ht="15.6">
      <c r="A233" s="42" t="s">
        <v>249</v>
      </c>
      <c r="B233" s="39" t="s">
        <v>84</v>
      </c>
      <c r="C233" s="39" t="s">
        <v>243</v>
      </c>
      <c r="D233" s="38" t="s">
        <v>72</v>
      </c>
    </row>
    <row r="234" spans="1:4" ht="15.6">
      <c r="A234" s="42" t="s">
        <v>250</v>
      </c>
      <c r="B234" s="39" t="s">
        <v>86</v>
      </c>
      <c r="C234" s="39" t="s">
        <v>243</v>
      </c>
      <c r="D234" s="38" t="s">
        <v>72</v>
      </c>
    </row>
    <row r="235" spans="1:4" ht="15.6">
      <c r="A235" s="42" t="s">
        <v>251</v>
      </c>
      <c r="B235" s="39" t="s">
        <v>88</v>
      </c>
      <c r="C235" s="39" t="s">
        <v>243</v>
      </c>
      <c r="D235" s="38" t="s">
        <v>72</v>
      </c>
    </row>
    <row r="236" spans="1:4" ht="15.6">
      <c r="A236" s="42" t="s">
        <v>252</v>
      </c>
      <c r="B236" s="39" t="s">
        <v>90</v>
      </c>
      <c r="C236" s="39" t="s">
        <v>243</v>
      </c>
      <c r="D236" s="38" t="s">
        <v>72</v>
      </c>
    </row>
    <row r="237" spans="1:4" ht="15.6">
      <c r="A237" s="42" t="s">
        <v>253</v>
      </c>
      <c r="B237" s="39" t="s">
        <v>92</v>
      </c>
      <c r="C237" s="39" t="s">
        <v>243</v>
      </c>
      <c r="D237" s="39" t="s">
        <v>72</v>
      </c>
    </row>
    <row r="238" spans="1:4" ht="15.6">
      <c r="A238" s="42" t="s">
        <v>254</v>
      </c>
      <c r="B238" s="39" t="s">
        <v>94</v>
      </c>
      <c r="C238" s="39" t="s">
        <v>243</v>
      </c>
      <c r="D238" s="39" t="s">
        <v>72</v>
      </c>
    </row>
    <row r="239" spans="1:4" ht="15.6">
      <c r="A239" s="42" t="s">
        <v>255</v>
      </c>
      <c r="B239" s="39" t="s">
        <v>96</v>
      </c>
      <c r="C239" s="39" t="s">
        <v>243</v>
      </c>
      <c r="D239" s="39" t="s">
        <v>72</v>
      </c>
    </row>
    <row r="240" spans="1:4" ht="15.6">
      <c r="A240" s="42" t="s">
        <v>256</v>
      </c>
      <c r="B240" s="39" t="s">
        <v>98</v>
      </c>
      <c r="C240" s="39" t="s">
        <v>243</v>
      </c>
      <c r="D240" s="39" t="s">
        <v>72</v>
      </c>
    </row>
    <row r="241" spans="1:4" ht="15.6">
      <c r="A241" s="42" t="s">
        <v>257</v>
      </c>
      <c r="B241" s="39" t="s">
        <v>100</v>
      </c>
      <c r="C241" s="39" t="s">
        <v>243</v>
      </c>
      <c r="D241" s="39" t="s">
        <v>72</v>
      </c>
    </row>
    <row r="242" spans="1:4" ht="15.6">
      <c r="A242" s="42" t="s">
        <v>258</v>
      </c>
      <c r="B242" s="39" t="s">
        <v>102</v>
      </c>
      <c r="C242" s="39" t="s">
        <v>243</v>
      </c>
      <c r="D242" s="39" t="s">
        <v>72</v>
      </c>
    </row>
    <row r="243" spans="1:4" ht="15.6">
      <c r="A243" s="42" t="s">
        <v>259</v>
      </c>
      <c r="B243" s="39" t="s">
        <v>104</v>
      </c>
      <c r="C243" s="39" t="s">
        <v>243</v>
      </c>
      <c r="D243" s="39" t="s">
        <v>72</v>
      </c>
    </row>
    <row r="244" spans="1:4" ht="15.6">
      <c r="A244" s="42" t="s">
        <v>260</v>
      </c>
      <c r="B244" s="39" t="s">
        <v>106</v>
      </c>
      <c r="C244" s="39" t="s">
        <v>243</v>
      </c>
      <c r="D244" s="39" t="s">
        <v>72</v>
      </c>
    </row>
    <row r="245" spans="1:4" ht="15.6">
      <c r="A245" s="42" t="s">
        <v>261</v>
      </c>
      <c r="B245" s="39" t="s">
        <v>108</v>
      </c>
      <c r="C245" s="39" t="s">
        <v>243</v>
      </c>
      <c r="D245" s="39" t="s">
        <v>72</v>
      </c>
    </row>
    <row r="246" spans="1:4" ht="15.6">
      <c r="A246" s="42" t="s">
        <v>262</v>
      </c>
      <c r="B246" s="39" t="s">
        <v>110</v>
      </c>
      <c r="C246" s="39" t="s">
        <v>243</v>
      </c>
      <c r="D246" s="39" t="s">
        <v>72</v>
      </c>
    </row>
    <row r="247" spans="1:4" ht="15.6">
      <c r="A247" s="42" t="s">
        <v>263</v>
      </c>
      <c r="B247" s="39" t="s">
        <v>112</v>
      </c>
      <c r="C247" s="39" t="s">
        <v>243</v>
      </c>
      <c r="D247" s="39" t="s">
        <v>72</v>
      </c>
    </row>
    <row r="248" spans="1:4" ht="15.6">
      <c r="A248" s="42" t="s">
        <v>264</v>
      </c>
      <c r="B248" s="39" t="s">
        <v>114</v>
      </c>
      <c r="C248" s="39" t="s">
        <v>243</v>
      </c>
      <c r="D248" s="39" t="s">
        <v>72</v>
      </c>
    </row>
    <row r="249" spans="1:4" ht="15.6">
      <c r="A249" s="42" t="s">
        <v>265</v>
      </c>
      <c r="B249" s="39" t="s">
        <v>116</v>
      </c>
      <c r="C249" s="39" t="s">
        <v>243</v>
      </c>
      <c r="D249" s="39" t="s">
        <v>72</v>
      </c>
    </row>
    <row r="250" spans="1:4" ht="15.6">
      <c r="A250" s="42" t="s">
        <v>266</v>
      </c>
      <c r="B250" s="39" t="s">
        <v>118</v>
      </c>
      <c r="C250" s="39" t="s">
        <v>243</v>
      </c>
      <c r="D250" s="39" t="s">
        <v>72</v>
      </c>
    </row>
    <row r="251" spans="1:4" ht="15.6">
      <c r="A251" s="42" t="s">
        <v>267</v>
      </c>
      <c r="B251" s="39" t="s">
        <v>120</v>
      </c>
      <c r="C251" s="39" t="s">
        <v>243</v>
      </c>
      <c r="D251" s="39" t="s">
        <v>72</v>
      </c>
    </row>
    <row r="252" spans="1:4" ht="15.6">
      <c r="A252" s="42" t="s">
        <v>268</v>
      </c>
      <c r="B252" s="39" t="s">
        <v>122</v>
      </c>
      <c r="C252" s="39" t="s">
        <v>243</v>
      </c>
      <c r="D252" s="39" t="s">
        <v>72</v>
      </c>
    </row>
    <row r="253" spans="1:4" ht="15.6">
      <c r="A253" s="42" t="s">
        <v>269</v>
      </c>
      <c r="B253" s="39" t="s">
        <v>124</v>
      </c>
      <c r="C253" s="39" t="s">
        <v>243</v>
      </c>
      <c r="D253" s="39" t="s">
        <v>72</v>
      </c>
    </row>
    <row r="254" spans="1:4" ht="15.6">
      <c r="A254" s="42" t="s">
        <v>270</v>
      </c>
      <c r="B254" s="39" t="s">
        <v>126</v>
      </c>
      <c r="C254" s="39" t="s">
        <v>243</v>
      </c>
      <c r="D254" s="39" t="s">
        <v>72</v>
      </c>
    </row>
    <row r="255" spans="1:4" ht="15.6">
      <c r="A255" s="42" t="s">
        <v>271</v>
      </c>
      <c r="B255" s="39" t="s">
        <v>128</v>
      </c>
      <c r="C255" s="39" t="s">
        <v>243</v>
      </c>
      <c r="D255" s="39" t="s">
        <v>72</v>
      </c>
    </row>
    <row r="256" spans="1:4" ht="15.6">
      <c r="A256" s="42" t="s">
        <v>272</v>
      </c>
      <c r="B256" s="39" t="s">
        <v>130</v>
      </c>
      <c r="C256" s="39" t="s">
        <v>243</v>
      </c>
      <c r="D256" s="39" t="s">
        <v>72</v>
      </c>
    </row>
    <row r="257" spans="1:4" ht="15.6">
      <c r="A257" s="42" t="s">
        <v>273</v>
      </c>
      <c r="B257" s="39"/>
      <c r="C257" s="39" t="s">
        <v>243</v>
      </c>
      <c r="D257" s="39" t="s">
        <v>72</v>
      </c>
    </row>
    <row r="258" spans="1:4" ht="15.6">
      <c r="A258" s="42" t="s">
        <v>274</v>
      </c>
      <c r="B258" s="39"/>
      <c r="C258" s="39" t="s">
        <v>243</v>
      </c>
      <c r="D258" s="39" t="s">
        <v>72</v>
      </c>
    </row>
    <row r="259" spans="1:4" ht="15.6">
      <c r="A259" s="42" t="s">
        <v>275</v>
      </c>
      <c r="B259" s="39"/>
      <c r="C259" s="39" t="s">
        <v>243</v>
      </c>
      <c r="D259" s="39" t="s">
        <v>72</v>
      </c>
    </row>
    <row r="260" spans="1:4" ht="15.6">
      <c r="A260" s="42" t="s">
        <v>276</v>
      </c>
      <c r="B260" s="39"/>
      <c r="C260" s="39" t="s">
        <v>243</v>
      </c>
      <c r="D260" s="39" t="s">
        <v>72</v>
      </c>
    </row>
    <row r="261" spans="1:4" ht="16.2" thickBot="1">
      <c r="A261" s="42" t="s">
        <v>277</v>
      </c>
      <c r="B261" s="39"/>
      <c r="C261" s="39" t="s">
        <v>243</v>
      </c>
      <c r="D261" s="39" t="s">
        <v>72</v>
      </c>
    </row>
    <row r="262" spans="1:4" ht="31.8" thickBot="1">
      <c r="A262" s="32">
        <v>287</v>
      </c>
      <c r="B262" s="33" t="s">
        <v>278</v>
      </c>
      <c r="C262" s="33" t="s">
        <v>278</v>
      </c>
      <c r="D262" s="34" t="s">
        <v>72</v>
      </c>
    </row>
    <row r="263" spans="1:4" ht="31.2">
      <c r="A263" s="42" t="s">
        <v>279</v>
      </c>
      <c r="B263" s="39" t="s">
        <v>74</v>
      </c>
      <c r="C263" s="39" t="s">
        <v>278</v>
      </c>
      <c r="D263" s="38" t="s">
        <v>72</v>
      </c>
    </row>
    <row r="264" spans="1:4" ht="31.2">
      <c r="A264" s="42" t="s">
        <v>280</v>
      </c>
      <c r="B264" s="39" t="s">
        <v>76</v>
      </c>
      <c r="C264" s="39" t="s">
        <v>278</v>
      </c>
      <c r="D264" s="38" t="s">
        <v>72</v>
      </c>
    </row>
    <row r="265" spans="1:4" ht="31.2">
      <c r="A265" s="42" t="s">
        <v>281</v>
      </c>
      <c r="B265" s="39" t="s">
        <v>141</v>
      </c>
      <c r="C265" s="39" t="s">
        <v>278</v>
      </c>
      <c r="D265" s="38" t="s">
        <v>72</v>
      </c>
    </row>
    <row r="266" spans="1:4" ht="31.2">
      <c r="A266" s="42" t="s">
        <v>282</v>
      </c>
      <c r="B266" s="39" t="s">
        <v>80</v>
      </c>
      <c r="C266" s="39" t="s">
        <v>278</v>
      </c>
      <c r="D266" s="38" t="s">
        <v>72</v>
      </c>
    </row>
    <row r="267" spans="1:4" ht="31.2">
      <c r="A267" s="42" t="s">
        <v>283</v>
      </c>
      <c r="B267" s="39" t="s">
        <v>82</v>
      </c>
      <c r="C267" s="39" t="s">
        <v>278</v>
      </c>
      <c r="D267" s="38" t="s">
        <v>72</v>
      </c>
    </row>
    <row r="268" spans="1:4" ht="31.2">
      <c r="A268" s="42" t="s">
        <v>284</v>
      </c>
      <c r="B268" s="39" t="s">
        <v>84</v>
      </c>
      <c r="C268" s="39" t="s">
        <v>278</v>
      </c>
      <c r="D268" s="38" t="s">
        <v>72</v>
      </c>
    </row>
    <row r="269" spans="1:4" ht="31.2">
      <c r="A269" s="42" t="s">
        <v>285</v>
      </c>
      <c r="B269" s="39" t="s">
        <v>86</v>
      </c>
      <c r="C269" s="39" t="s">
        <v>278</v>
      </c>
      <c r="D269" s="38" t="s">
        <v>72</v>
      </c>
    </row>
    <row r="270" spans="1:4" ht="31.2">
      <c r="A270" s="42" t="s">
        <v>286</v>
      </c>
      <c r="B270" s="39" t="s">
        <v>88</v>
      </c>
      <c r="C270" s="39" t="s">
        <v>278</v>
      </c>
      <c r="D270" s="38" t="s">
        <v>72</v>
      </c>
    </row>
    <row r="271" spans="1:4" ht="31.2">
      <c r="A271" s="42" t="s">
        <v>287</v>
      </c>
      <c r="B271" s="39" t="s">
        <v>90</v>
      </c>
      <c r="C271" s="39" t="s">
        <v>278</v>
      </c>
      <c r="D271" s="38" t="s">
        <v>72</v>
      </c>
    </row>
    <row r="272" spans="1:4" ht="31.2">
      <c r="A272" s="42" t="s">
        <v>288</v>
      </c>
      <c r="B272" s="39" t="s">
        <v>92</v>
      </c>
      <c r="C272" s="39" t="s">
        <v>278</v>
      </c>
      <c r="D272" s="39" t="s">
        <v>72</v>
      </c>
    </row>
    <row r="273" spans="1:4" ht="31.2">
      <c r="A273" s="42" t="s">
        <v>289</v>
      </c>
      <c r="B273" s="39" t="s">
        <v>94</v>
      </c>
      <c r="C273" s="39" t="s">
        <v>278</v>
      </c>
      <c r="D273" s="39" t="s">
        <v>72</v>
      </c>
    </row>
    <row r="274" spans="1:4" ht="31.2">
      <c r="A274" s="42" t="s">
        <v>290</v>
      </c>
      <c r="B274" s="39" t="s">
        <v>96</v>
      </c>
      <c r="C274" s="39" t="s">
        <v>278</v>
      </c>
      <c r="D274" s="39" t="s">
        <v>72</v>
      </c>
    </row>
    <row r="275" spans="1:4" ht="31.2">
      <c r="A275" s="42" t="s">
        <v>291</v>
      </c>
      <c r="B275" s="39" t="s">
        <v>98</v>
      </c>
      <c r="C275" s="39" t="s">
        <v>278</v>
      </c>
      <c r="D275" s="39" t="s">
        <v>72</v>
      </c>
    </row>
    <row r="276" spans="1:4" ht="31.2">
      <c r="A276" s="42" t="s">
        <v>292</v>
      </c>
      <c r="B276" s="39" t="s">
        <v>100</v>
      </c>
      <c r="C276" s="39" t="s">
        <v>278</v>
      </c>
      <c r="D276" s="39" t="s">
        <v>72</v>
      </c>
    </row>
    <row r="277" spans="1:4" ht="31.2">
      <c r="A277" s="42" t="s">
        <v>293</v>
      </c>
      <c r="B277" s="39" t="s">
        <v>102</v>
      </c>
      <c r="C277" s="39" t="s">
        <v>278</v>
      </c>
      <c r="D277" s="39" t="s">
        <v>72</v>
      </c>
    </row>
    <row r="278" spans="1:4" ht="31.2">
      <c r="A278" s="42" t="s">
        <v>294</v>
      </c>
      <c r="B278" s="39" t="s">
        <v>104</v>
      </c>
      <c r="C278" s="39" t="s">
        <v>278</v>
      </c>
      <c r="D278" s="39" t="s">
        <v>72</v>
      </c>
    </row>
    <row r="279" spans="1:4" ht="31.2">
      <c r="A279" s="42" t="s">
        <v>295</v>
      </c>
      <c r="B279" s="39" t="s">
        <v>106</v>
      </c>
      <c r="C279" s="39" t="s">
        <v>278</v>
      </c>
      <c r="D279" s="39" t="s">
        <v>72</v>
      </c>
    </row>
    <row r="280" spans="1:4" ht="31.2">
      <c r="A280" s="42" t="s">
        <v>296</v>
      </c>
      <c r="B280" s="39" t="s">
        <v>108</v>
      </c>
      <c r="C280" s="39" t="s">
        <v>278</v>
      </c>
      <c r="D280" s="39" t="s">
        <v>72</v>
      </c>
    </row>
    <row r="281" spans="1:4" ht="31.2">
      <c r="A281" s="42" t="s">
        <v>297</v>
      </c>
      <c r="B281" s="39" t="s">
        <v>110</v>
      </c>
      <c r="C281" s="39" t="s">
        <v>278</v>
      </c>
      <c r="D281" s="39" t="s">
        <v>72</v>
      </c>
    </row>
    <row r="282" spans="1:4" ht="31.2">
      <c r="A282" s="42" t="s">
        <v>298</v>
      </c>
      <c r="B282" s="39" t="s">
        <v>112</v>
      </c>
      <c r="C282" s="39" t="s">
        <v>278</v>
      </c>
      <c r="D282" s="39" t="s">
        <v>72</v>
      </c>
    </row>
    <row r="283" spans="1:4" ht="31.2">
      <c r="A283" s="42" t="s">
        <v>299</v>
      </c>
      <c r="B283" s="39" t="s">
        <v>114</v>
      </c>
      <c r="C283" s="39" t="s">
        <v>278</v>
      </c>
      <c r="D283" s="39" t="s">
        <v>72</v>
      </c>
    </row>
    <row r="284" spans="1:4" ht="31.2">
      <c r="A284" s="42" t="s">
        <v>300</v>
      </c>
      <c r="B284" s="39" t="s">
        <v>116</v>
      </c>
      <c r="C284" s="39" t="s">
        <v>278</v>
      </c>
      <c r="D284" s="39" t="s">
        <v>72</v>
      </c>
    </row>
    <row r="285" spans="1:4" ht="31.2">
      <c r="A285" s="42" t="s">
        <v>301</v>
      </c>
      <c r="B285" s="39" t="s">
        <v>118</v>
      </c>
      <c r="C285" s="39" t="s">
        <v>278</v>
      </c>
      <c r="D285" s="39" t="s">
        <v>72</v>
      </c>
    </row>
    <row r="286" spans="1:4" ht="31.2">
      <c r="A286" s="42" t="s">
        <v>302</v>
      </c>
      <c r="B286" s="39" t="s">
        <v>120</v>
      </c>
      <c r="C286" s="39" t="s">
        <v>278</v>
      </c>
      <c r="D286" s="39" t="s">
        <v>72</v>
      </c>
    </row>
    <row r="287" spans="1:4" ht="31.2">
      <c r="A287" s="42" t="s">
        <v>303</v>
      </c>
      <c r="B287" s="39" t="s">
        <v>122</v>
      </c>
      <c r="C287" s="39" t="s">
        <v>278</v>
      </c>
      <c r="D287" s="39" t="s">
        <v>72</v>
      </c>
    </row>
    <row r="288" spans="1:4" ht="31.2">
      <c r="A288" s="42" t="s">
        <v>304</v>
      </c>
      <c r="B288" s="39" t="s">
        <v>124</v>
      </c>
      <c r="C288" s="39" t="s">
        <v>278</v>
      </c>
      <c r="D288" s="39" t="s">
        <v>72</v>
      </c>
    </row>
    <row r="289" spans="1:4" ht="31.2">
      <c r="A289" s="42" t="s">
        <v>305</v>
      </c>
      <c r="B289" s="39" t="s">
        <v>126</v>
      </c>
      <c r="C289" s="39" t="s">
        <v>278</v>
      </c>
      <c r="D289" s="39" t="s">
        <v>72</v>
      </c>
    </row>
    <row r="290" spans="1:4" ht="31.2">
      <c r="A290" s="42" t="s">
        <v>306</v>
      </c>
      <c r="B290" s="39" t="s">
        <v>128</v>
      </c>
      <c r="C290" s="39" t="s">
        <v>278</v>
      </c>
      <c r="D290" s="39" t="s">
        <v>72</v>
      </c>
    </row>
    <row r="291" spans="1:4" ht="31.2">
      <c r="A291" s="42" t="s">
        <v>307</v>
      </c>
      <c r="B291" s="39" t="s">
        <v>130</v>
      </c>
      <c r="C291" s="39" t="s">
        <v>278</v>
      </c>
      <c r="D291" s="39" t="s">
        <v>72</v>
      </c>
    </row>
    <row r="292" spans="1:4" ht="31.2">
      <c r="A292" s="42" t="s">
        <v>308</v>
      </c>
      <c r="B292" s="39"/>
      <c r="C292" s="39" t="s">
        <v>278</v>
      </c>
      <c r="D292" s="39" t="s">
        <v>72</v>
      </c>
    </row>
    <row r="293" spans="1:4" ht="31.2">
      <c r="A293" s="42" t="s">
        <v>309</v>
      </c>
      <c r="B293" s="39"/>
      <c r="C293" s="39" t="s">
        <v>278</v>
      </c>
      <c r="D293" s="39" t="s">
        <v>72</v>
      </c>
    </row>
    <row r="294" spans="1:4" ht="31.2">
      <c r="A294" s="42" t="s">
        <v>310</v>
      </c>
      <c r="B294" s="39"/>
      <c r="C294" s="39" t="s">
        <v>278</v>
      </c>
      <c r="D294" s="39" t="s">
        <v>72</v>
      </c>
    </row>
    <row r="295" spans="1:4" ht="31.2">
      <c r="A295" s="42" t="s">
        <v>311</v>
      </c>
      <c r="B295" s="39"/>
      <c r="C295" s="39" t="s">
        <v>278</v>
      </c>
      <c r="D295" s="39" t="s">
        <v>72</v>
      </c>
    </row>
    <row r="296" spans="1:4" ht="31.8" thickBot="1">
      <c r="A296" s="42" t="s">
        <v>312</v>
      </c>
      <c r="B296" s="39"/>
      <c r="C296" s="39" t="s">
        <v>278</v>
      </c>
      <c r="D296" s="39" t="s">
        <v>72</v>
      </c>
    </row>
    <row r="297" spans="1:4" ht="16.2" thickBot="1">
      <c r="A297" s="32">
        <v>306</v>
      </c>
      <c r="B297" s="33" t="s">
        <v>313</v>
      </c>
      <c r="C297" s="33" t="s">
        <v>313</v>
      </c>
      <c r="D297" s="34" t="s">
        <v>72</v>
      </c>
    </row>
    <row r="298" spans="1:4" ht="15.6">
      <c r="A298" s="42" t="s">
        <v>314</v>
      </c>
      <c r="B298" s="39" t="s">
        <v>74</v>
      </c>
      <c r="C298" s="39" t="s">
        <v>313</v>
      </c>
      <c r="D298" s="38" t="s">
        <v>72</v>
      </c>
    </row>
    <row r="299" spans="1:4" ht="15.6">
      <c r="A299" s="42" t="s">
        <v>315</v>
      </c>
      <c r="B299" s="39" t="s">
        <v>76</v>
      </c>
      <c r="C299" s="39" t="s">
        <v>313</v>
      </c>
      <c r="D299" s="38" t="s">
        <v>72</v>
      </c>
    </row>
    <row r="300" spans="1:4" ht="15.6">
      <c r="A300" s="42" t="s">
        <v>316</v>
      </c>
      <c r="B300" s="39" t="s">
        <v>141</v>
      </c>
      <c r="C300" s="39" t="s">
        <v>313</v>
      </c>
      <c r="D300" s="38" t="s">
        <v>72</v>
      </c>
    </row>
    <row r="301" spans="1:4" ht="15.6">
      <c r="A301" s="42" t="s">
        <v>317</v>
      </c>
      <c r="B301" s="39" t="s">
        <v>80</v>
      </c>
      <c r="C301" s="39" t="s">
        <v>313</v>
      </c>
      <c r="D301" s="38" t="s">
        <v>72</v>
      </c>
    </row>
    <row r="302" spans="1:4" ht="15.6">
      <c r="A302" s="42" t="s">
        <v>318</v>
      </c>
      <c r="B302" s="39" t="s">
        <v>82</v>
      </c>
      <c r="C302" s="39" t="s">
        <v>313</v>
      </c>
      <c r="D302" s="38" t="s">
        <v>72</v>
      </c>
    </row>
    <row r="303" spans="1:4" ht="15.6">
      <c r="A303" s="42" t="s">
        <v>319</v>
      </c>
      <c r="B303" s="39" t="s">
        <v>84</v>
      </c>
      <c r="C303" s="39" t="s">
        <v>313</v>
      </c>
      <c r="D303" s="38" t="s">
        <v>72</v>
      </c>
    </row>
    <row r="304" spans="1:4" ht="15.6">
      <c r="A304" s="42" t="s">
        <v>320</v>
      </c>
      <c r="B304" s="39" t="s">
        <v>86</v>
      </c>
      <c r="C304" s="39" t="s">
        <v>313</v>
      </c>
      <c r="D304" s="38" t="s">
        <v>72</v>
      </c>
    </row>
    <row r="305" spans="1:4" ht="15.6">
      <c r="A305" s="42" t="s">
        <v>321</v>
      </c>
      <c r="B305" s="39" t="s">
        <v>88</v>
      </c>
      <c r="C305" s="39" t="s">
        <v>313</v>
      </c>
      <c r="D305" s="38" t="s">
        <v>72</v>
      </c>
    </row>
    <row r="306" spans="1:4" ht="15.6">
      <c r="A306" s="42" t="s">
        <v>322</v>
      </c>
      <c r="B306" s="39" t="s">
        <v>90</v>
      </c>
      <c r="C306" s="39" t="s">
        <v>313</v>
      </c>
      <c r="D306" s="38" t="s">
        <v>72</v>
      </c>
    </row>
    <row r="307" spans="1:4" ht="15.6">
      <c r="A307" s="42" t="s">
        <v>323</v>
      </c>
      <c r="B307" s="39" t="s">
        <v>92</v>
      </c>
      <c r="C307" s="39" t="s">
        <v>313</v>
      </c>
      <c r="D307" s="39" t="s">
        <v>72</v>
      </c>
    </row>
    <row r="308" spans="1:4" ht="15.6">
      <c r="A308" s="42" t="s">
        <v>324</v>
      </c>
      <c r="B308" s="39" t="s">
        <v>94</v>
      </c>
      <c r="C308" s="39" t="s">
        <v>313</v>
      </c>
      <c r="D308" s="39" t="s">
        <v>72</v>
      </c>
    </row>
    <row r="309" spans="1:4" ht="15.6">
      <c r="A309" s="42" t="s">
        <v>325</v>
      </c>
      <c r="B309" s="39" t="s">
        <v>96</v>
      </c>
      <c r="C309" s="39" t="s">
        <v>313</v>
      </c>
      <c r="D309" s="39" t="s">
        <v>72</v>
      </c>
    </row>
    <row r="310" spans="1:4" ht="15.6">
      <c r="A310" s="42" t="s">
        <v>326</v>
      </c>
      <c r="B310" s="39" t="s">
        <v>98</v>
      </c>
      <c r="C310" s="39" t="s">
        <v>313</v>
      </c>
      <c r="D310" s="39" t="s">
        <v>72</v>
      </c>
    </row>
    <row r="311" spans="1:4" ht="15.6">
      <c r="A311" s="42" t="s">
        <v>327</v>
      </c>
      <c r="B311" s="39" t="s">
        <v>100</v>
      </c>
      <c r="C311" s="39" t="s">
        <v>313</v>
      </c>
      <c r="D311" s="39" t="s">
        <v>72</v>
      </c>
    </row>
    <row r="312" spans="1:4" ht="15.6">
      <c r="A312" s="42" t="s">
        <v>328</v>
      </c>
      <c r="B312" s="39" t="s">
        <v>102</v>
      </c>
      <c r="C312" s="39" t="s">
        <v>313</v>
      </c>
      <c r="D312" s="39" t="s">
        <v>72</v>
      </c>
    </row>
    <row r="313" spans="1:4" ht="15.6">
      <c r="A313" s="42" t="s">
        <v>329</v>
      </c>
      <c r="B313" s="39" t="s">
        <v>104</v>
      </c>
      <c r="C313" s="39" t="s">
        <v>313</v>
      </c>
      <c r="D313" s="39" t="s">
        <v>72</v>
      </c>
    </row>
    <row r="314" spans="1:4" ht="15.6">
      <c r="A314" s="42" t="s">
        <v>330</v>
      </c>
      <c r="B314" s="39" t="s">
        <v>106</v>
      </c>
      <c r="C314" s="39" t="s">
        <v>313</v>
      </c>
      <c r="D314" s="39" t="s">
        <v>72</v>
      </c>
    </row>
    <row r="315" spans="1:4" ht="15.6">
      <c r="A315" s="42" t="s">
        <v>331</v>
      </c>
      <c r="B315" s="39" t="s">
        <v>108</v>
      </c>
      <c r="C315" s="39" t="s">
        <v>313</v>
      </c>
      <c r="D315" s="39" t="s">
        <v>72</v>
      </c>
    </row>
    <row r="316" spans="1:4" ht="15.6">
      <c r="A316" s="42" t="s">
        <v>332</v>
      </c>
      <c r="B316" s="39" t="s">
        <v>110</v>
      </c>
      <c r="C316" s="39" t="s">
        <v>313</v>
      </c>
      <c r="D316" s="39" t="s">
        <v>72</v>
      </c>
    </row>
    <row r="317" spans="1:4" ht="15.6">
      <c r="A317" s="42" t="s">
        <v>333</v>
      </c>
      <c r="B317" s="39" t="s">
        <v>112</v>
      </c>
      <c r="C317" s="39" t="s">
        <v>313</v>
      </c>
      <c r="D317" s="39" t="s">
        <v>72</v>
      </c>
    </row>
    <row r="318" spans="1:4" ht="15.6">
      <c r="A318" s="42" t="s">
        <v>334</v>
      </c>
      <c r="B318" s="39" t="s">
        <v>114</v>
      </c>
      <c r="C318" s="39" t="s">
        <v>313</v>
      </c>
      <c r="D318" s="39" t="s">
        <v>72</v>
      </c>
    </row>
    <row r="319" spans="1:4" ht="15.6">
      <c r="A319" s="42" t="s">
        <v>335</v>
      </c>
      <c r="B319" s="39" t="s">
        <v>116</v>
      </c>
      <c r="C319" s="39" t="s">
        <v>313</v>
      </c>
      <c r="D319" s="39" t="s">
        <v>72</v>
      </c>
    </row>
    <row r="320" spans="1:4" ht="15.6">
      <c r="A320" s="42" t="s">
        <v>336</v>
      </c>
      <c r="B320" s="39" t="s">
        <v>118</v>
      </c>
      <c r="C320" s="39" t="s">
        <v>313</v>
      </c>
      <c r="D320" s="39" t="s">
        <v>72</v>
      </c>
    </row>
    <row r="321" spans="1:4" ht="15.6">
      <c r="A321" s="42" t="s">
        <v>337</v>
      </c>
      <c r="B321" s="39" t="s">
        <v>120</v>
      </c>
      <c r="C321" s="39" t="s">
        <v>313</v>
      </c>
      <c r="D321" s="39" t="s">
        <v>72</v>
      </c>
    </row>
    <row r="322" spans="1:4" ht="15.6">
      <c r="A322" s="42" t="s">
        <v>338</v>
      </c>
      <c r="B322" s="39" t="s">
        <v>122</v>
      </c>
      <c r="C322" s="39" t="s">
        <v>313</v>
      </c>
      <c r="D322" s="39" t="s">
        <v>72</v>
      </c>
    </row>
    <row r="323" spans="1:4" ht="15.6">
      <c r="A323" s="42" t="s">
        <v>339</v>
      </c>
      <c r="B323" s="39" t="s">
        <v>124</v>
      </c>
      <c r="C323" s="39" t="s">
        <v>313</v>
      </c>
      <c r="D323" s="39" t="s">
        <v>72</v>
      </c>
    </row>
    <row r="324" spans="1:4" ht="15.6">
      <c r="A324" s="42" t="s">
        <v>340</v>
      </c>
      <c r="B324" s="39" t="s">
        <v>126</v>
      </c>
      <c r="C324" s="39" t="s">
        <v>313</v>
      </c>
      <c r="D324" s="39" t="s">
        <v>72</v>
      </c>
    </row>
    <row r="325" spans="1:4" ht="15.6">
      <c r="A325" s="42" t="s">
        <v>341</v>
      </c>
      <c r="B325" s="39" t="s">
        <v>128</v>
      </c>
      <c r="C325" s="39" t="s">
        <v>313</v>
      </c>
      <c r="D325" s="39" t="s">
        <v>72</v>
      </c>
    </row>
    <row r="326" spans="1:4" ht="15.6">
      <c r="A326" s="42" t="s">
        <v>342</v>
      </c>
      <c r="B326" s="39" t="s">
        <v>130</v>
      </c>
      <c r="C326" s="39" t="s">
        <v>313</v>
      </c>
      <c r="D326" s="39" t="s">
        <v>72</v>
      </c>
    </row>
    <row r="327" spans="1:4" ht="15.6">
      <c r="A327" s="42" t="s">
        <v>343</v>
      </c>
      <c r="B327" s="39"/>
      <c r="C327" s="39" t="s">
        <v>313</v>
      </c>
      <c r="D327" s="39" t="s">
        <v>72</v>
      </c>
    </row>
    <row r="328" spans="1:4" ht="15.6">
      <c r="A328" s="42" t="s">
        <v>344</v>
      </c>
      <c r="B328" s="39"/>
      <c r="C328" s="39" t="s">
        <v>313</v>
      </c>
      <c r="D328" s="39" t="s">
        <v>72</v>
      </c>
    </row>
    <row r="329" spans="1:4" ht="15.6">
      <c r="A329" s="42" t="s">
        <v>345</v>
      </c>
      <c r="B329" s="39"/>
      <c r="C329" s="39" t="s">
        <v>313</v>
      </c>
      <c r="D329" s="39" t="s">
        <v>72</v>
      </c>
    </row>
    <row r="330" spans="1:4" ht="15.6">
      <c r="A330" s="42" t="s">
        <v>346</v>
      </c>
      <c r="B330" s="39"/>
      <c r="C330" s="39" t="s">
        <v>313</v>
      </c>
      <c r="D330" s="39" t="s">
        <v>72</v>
      </c>
    </row>
    <row r="331" spans="1:4" ht="16.2" thickBot="1">
      <c r="A331" s="42" t="s">
        <v>347</v>
      </c>
      <c r="B331" s="39"/>
      <c r="C331" s="39" t="s">
        <v>313</v>
      </c>
      <c r="D331" s="39" t="s">
        <v>72</v>
      </c>
    </row>
    <row r="332" spans="1:4" ht="31.8" thickBot="1">
      <c r="A332" s="32">
        <v>318</v>
      </c>
      <c r="B332" s="33" t="s">
        <v>348</v>
      </c>
      <c r="C332" s="33" t="s">
        <v>348</v>
      </c>
      <c r="D332" s="34" t="s">
        <v>72</v>
      </c>
    </row>
    <row r="333" spans="1:4" ht="31.2">
      <c r="A333" s="42" t="s">
        <v>349</v>
      </c>
      <c r="B333" s="39" t="s">
        <v>74</v>
      </c>
      <c r="C333" s="39" t="s">
        <v>348</v>
      </c>
      <c r="D333" s="38" t="s">
        <v>72</v>
      </c>
    </row>
    <row r="334" spans="1:4" ht="31.2">
      <c r="A334" s="42" t="s">
        <v>350</v>
      </c>
      <c r="B334" s="39" t="s">
        <v>76</v>
      </c>
      <c r="C334" s="39" t="s">
        <v>348</v>
      </c>
      <c r="D334" s="38" t="s">
        <v>72</v>
      </c>
    </row>
    <row r="335" spans="1:4" ht="31.2">
      <c r="A335" s="42" t="s">
        <v>351</v>
      </c>
      <c r="B335" s="39" t="s">
        <v>141</v>
      </c>
      <c r="C335" s="39" t="s">
        <v>348</v>
      </c>
      <c r="D335" s="38" t="s">
        <v>72</v>
      </c>
    </row>
    <row r="336" spans="1:4" ht="31.2">
      <c r="A336" s="42" t="s">
        <v>352</v>
      </c>
      <c r="B336" s="39" t="s">
        <v>80</v>
      </c>
      <c r="C336" s="39" t="s">
        <v>348</v>
      </c>
      <c r="D336" s="38" t="s">
        <v>72</v>
      </c>
    </row>
    <row r="337" spans="1:4" ht="31.2">
      <c r="A337" s="42" t="s">
        <v>353</v>
      </c>
      <c r="B337" s="39" t="s">
        <v>82</v>
      </c>
      <c r="C337" s="39" t="s">
        <v>348</v>
      </c>
      <c r="D337" s="38" t="s">
        <v>72</v>
      </c>
    </row>
    <row r="338" spans="1:4" ht="31.2">
      <c r="A338" s="42" t="s">
        <v>354</v>
      </c>
      <c r="B338" s="39" t="s">
        <v>84</v>
      </c>
      <c r="C338" s="39" t="s">
        <v>348</v>
      </c>
      <c r="D338" s="38" t="s">
        <v>72</v>
      </c>
    </row>
    <row r="339" spans="1:4" ht="31.2">
      <c r="A339" s="42" t="s">
        <v>355</v>
      </c>
      <c r="B339" s="39" t="s">
        <v>86</v>
      </c>
      <c r="C339" s="39" t="s">
        <v>348</v>
      </c>
      <c r="D339" s="38" t="s">
        <v>72</v>
      </c>
    </row>
    <row r="340" spans="1:4" ht="31.2">
      <c r="A340" s="42" t="s">
        <v>356</v>
      </c>
      <c r="B340" s="39" t="s">
        <v>88</v>
      </c>
      <c r="C340" s="39" t="s">
        <v>348</v>
      </c>
      <c r="D340" s="38" t="s">
        <v>72</v>
      </c>
    </row>
    <row r="341" spans="1:4" ht="31.2">
      <c r="A341" s="42" t="s">
        <v>357</v>
      </c>
      <c r="B341" s="39" t="s">
        <v>90</v>
      </c>
      <c r="C341" s="39" t="s">
        <v>348</v>
      </c>
      <c r="D341" s="38" t="s">
        <v>72</v>
      </c>
    </row>
    <row r="342" spans="1:4" ht="31.2">
      <c r="A342" s="42" t="s">
        <v>358</v>
      </c>
      <c r="B342" s="39" t="s">
        <v>92</v>
      </c>
      <c r="C342" s="39" t="s">
        <v>348</v>
      </c>
      <c r="D342" s="39" t="s">
        <v>72</v>
      </c>
    </row>
    <row r="343" spans="1:4" ht="31.2">
      <c r="A343" s="42" t="s">
        <v>359</v>
      </c>
      <c r="B343" s="39" t="s">
        <v>94</v>
      </c>
      <c r="C343" s="39" t="s">
        <v>348</v>
      </c>
      <c r="D343" s="39" t="s">
        <v>72</v>
      </c>
    </row>
    <row r="344" spans="1:4" ht="31.2">
      <c r="A344" s="42" t="s">
        <v>360</v>
      </c>
      <c r="B344" s="39" t="s">
        <v>96</v>
      </c>
      <c r="C344" s="39" t="s">
        <v>348</v>
      </c>
      <c r="D344" s="39" t="s">
        <v>72</v>
      </c>
    </row>
    <row r="345" spans="1:4" ht="31.2">
      <c r="A345" s="42" t="s">
        <v>361</v>
      </c>
      <c r="B345" s="39" t="s">
        <v>98</v>
      </c>
      <c r="C345" s="39" t="s">
        <v>348</v>
      </c>
      <c r="D345" s="39" t="s">
        <v>72</v>
      </c>
    </row>
    <row r="346" spans="1:4" ht="31.2">
      <c r="A346" s="42" t="s">
        <v>362</v>
      </c>
      <c r="B346" s="39" t="s">
        <v>100</v>
      </c>
      <c r="C346" s="39" t="s">
        <v>348</v>
      </c>
      <c r="D346" s="39" t="s">
        <v>72</v>
      </c>
    </row>
    <row r="347" spans="1:4" ht="31.2">
      <c r="A347" s="42" t="s">
        <v>363</v>
      </c>
      <c r="B347" s="39" t="s">
        <v>102</v>
      </c>
      <c r="C347" s="39" t="s">
        <v>348</v>
      </c>
      <c r="D347" s="39" t="s">
        <v>72</v>
      </c>
    </row>
    <row r="348" spans="1:4" ht="31.2">
      <c r="A348" s="42" t="s">
        <v>364</v>
      </c>
      <c r="B348" s="39" t="s">
        <v>104</v>
      </c>
      <c r="C348" s="39" t="s">
        <v>348</v>
      </c>
      <c r="D348" s="39" t="s">
        <v>72</v>
      </c>
    </row>
    <row r="349" spans="1:4" ht="31.2">
      <c r="A349" s="42" t="s">
        <v>365</v>
      </c>
      <c r="B349" s="39" t="s">
        <v>106</v>
      </c>
      <c r="C349" s="39" t="s">
        <v>348</v>
      </c>
      <c r="D349" s="39" t="s">
        <v>72</v>
      </c>
    </row>
    <row r="350" spans="1:4" ht="31.2">
      <c r="A350" s="42" t="s">
        <v>366</v>
      </c>
      <c r="B350" s="39" t="s">
        <v>108</v>
      </c>
      <c r="C350" s="39" t="s">
        <v>348</v>
      </c>
      <c r="D350" s="39" t="s">
        <v>72</v>
      </c>
    </row>
    <row r="351" spans="1:4" ht="31.2">
      <c r="A351" s="42" t="s">
        <v>367</v>
      </c>
      <c r="B351" s="39" t="s">
        <v>110</v>
      </c>
      <c r="C351" s="39" t="s">
        <v>348</v>
      </c>
      <c r="D351" s="39" t="s">
        <v>72</v>
      </c>
    </row>
    <row r="352" spans="1:4" ht="31.2">
      <c r="A352" s="42" t="s">
        <v>368</v>
      </c>
      <c r="B352" s="39" t="s">
        <v>112</v>
      </c>
      <c r="C352" s="39" t="s">
        <v>348</v>
      </c>
      <c r="D352" s="39" t="s">
        <v>72</v>
      </c>
    </row>
    <row r="353" spans="1:4" ht="31.2">
      <c r="A353" s="42" t="s">
        <v>369</v>
      </c>
      <c r="B353" s="39" t="s">
        <v>114</v>
      </c>
      <c r="C353" s="39" t="s">
        <v>348</v>
      </c>
      <c r="D353" s="39" t="s">
        <v>72</v>
      </c>
    </row>
    <row r="354" spans="1:4" ht="31.2">
      <c r="A354" s="42" t="s">
        <v>370</v>
      </c>
      <c r="B354" s="39" t="s">
        <v>116</v>
      </c>
      <c r="C354" s="39" t="s">
        <v>348</v>
      </c>
      <c r="D354" s="39" t="s">
        <v>72</v>
      </c>
    </row>
    <row r="355" spans="1:4" ht="31.2">
      <c r="A355" s="42" t="s">
        <v>371</v>
      </c>
      <c r="B355" s="39" t="s">
        <v>118</v>
      </c>
      <c r="C355" s="39" t="s">
        <v>348</v>
      </c>
      <c r="D355" s="39" t="s">
        <v>72</v>
      </c>
    </row>
    <row r="356" spans="1:4" ht="31.2">
      <c r="A356" s="42" t="s">
        <v>372</v>
      </c>
      <c r="B356" s="39" t="s">
        <v>120</v>
      </c>
      <c r="C356" s="39" t="s">
        <v>348</v>
      </c>
      <c r="D356" s="39" t="s">
        <v>72</v>
      </c>
    </row>
    <row r="357" spans="1:4" ht="31.2">
      <c r="A357" s="42" t="s">
        <v>373</v>
      </c>
      <c r="B357" s="39" t="s">
        <v>122</v>
      </c>
      <c r="C357" s="39" t="s">
        <v>348</v>
      </c>
      <c r="D357" s="39" t="s">
        <v>72</v>
      </c>
    </row>
    <row r="358" spans="1:4" ht="31.2">
      <c r="A358" s="42" t="s">
        <v>374</v>
      </c>
      <c r="B358" s="39" t="s">
        <v>124</v>
      </c>
      <c r="C358" s="39" t="s">
        <v>348</v>
      </c>
      <c r="D358" s="39" t="s">
        <v>72</v>
      </c>
    </row>
    <row r="359" spans="1:4" ht="31.2">
      <c r="A359" s="42" t="s">
        <v>375</v>
      </c>
      <c r="B359" s="39" t="s">
        <v>126</v>
      </c>
      <c r="C359" s="39" t="s">
        <v>348</v>
      </c>
      <c r="D359" s="39" t="s">
        <v>72</v>
      </c>
    </row>
    <row r="360" spans="1:4" ht="31.2">
      <c r="A360" s="42" t="s">
        <v>376</v>
      </c>
      <c r="B360" s="39" t="s">
        <v>128</v>
      </c>
      <c r="C360" s="39" t="s">
        <v>348</v>
      </c>
      <c r="D360" s="39" t="s">
        <v>72</v>
      </c>
    </row>
    <row r="361" spans="1:4" ht="31.2">
      <c r="A361" s="42" t="s">
        <v>377</v>
      </c>
      <c r="B361" s="39" t="s">
        <v>130</v>
      </c>
      <c r="C361" s="39" t="s">
        <v>348</v>
      </c>
      <c r="D361" s="39" t="s">
        <v>72</v>
      </c>
    </row>
    <row r="362" spans="1:4" ht="31.2">
      <c r="A362" s="42" t="s">
        <v>378</v>
      </c>
      <c r="B362" s="39" t="s">
        <v>132</v>
      </c>
      <c r="C362" s="39" t="s">
        <v>348</v>
      </c>
      <c r="D362" s="39" t="s">
        <v>72</v>
      </c>
    </row>
    <row r="363" spans="1:4" ht="31.2">
      <c r="A363" s="42" t="s">
        <v>379</v>
      </c>
      <c r="B363" s="39"/>
      <c r="C363" s="39" t="s">
        <v>348</v>
      </c>
      <c r="D363" s="39" t="s">
        <v>72</v>
      </c>
    </row>
    <row r="364" spans="1:4" ht="31.2">
      <c r="A364" s="42" t="s">
        <v>380</v>
      </c>
      <c r="B364" s="39"/>
      <c r="C364" s="39" t="s">
        <v>348</v>
      </c>
      <c r="D364" s="39" t="s">
        <v>72</v>
      </c>
    </row>
    <row r="365" spans="1:4" ht="31.2">
      <c r="A365" s="42" t="s">
        <v>381</v>
      </c>
      <c r="B365" s="39"/>
      <c r="C365" s="39" t="s">
        <v>348</v>
      </c>
      <c r="D365" s="39" t="s">
        <v>72</v>
      </c>
    </row>
    <row r="366" spans="1:4" ht="31.8" thickBot="1">
      <c r="A366" s="42" t="s">
        <v>382</v>
      </c>
      <c r="B366" s="39"/>
      <c r="C366" s="39" t="s">
        <v>348</v>
      </c>
      <c r="D366" s="39" t="s">
        <v>72</v>
      </c>
    </row>
    <row r="367" spans="1:4" ht="31.8" thickBot="1">
      <c r="A367" s="32">
        <v>336</v>
      </c>
      <c r="B367" s="33" t="s">
        <v>383</v>
      </c>
      <c r="C367" s="33" t="s">
        <v>383</v>
      </c>
      <c r="D367" s="34" t="s">
        <v>72</v>
      </c>
    </row>
    <row r="368" spans="1:4" ht="31.2">
      <c r="A368" s="42" t="s">
        <v>384</v>
      </c>
      <c r="B368" s="39" t="s">
        <v>74</v>
      </c>
      <c r="C368" s="39" t="s">
        <v>383</v>
      </c>
      <c r="D368" s="38" t="s">
        <v>72</v>
      </c>
    </row>
    <row r="369" spans="1:4" ht="31.2">
      <c r="A369" s="42" t="s">
        <v>385</v>
      </c>
      <c r="B369" s="39" t="s">
        <v>76</v>
      </c>
      <c r="C369" s="39" t="s">
        <v>383</v>
      </c>
      <c r="D369" s="38" t="s">
        <v>72</v>
      </c>
    </row>
    <row r="370" spans="1:4" ht="31.2">
      <c r="A370" s="42" t="s">
        <v>386</v>
      </c>
      <c r="B370" s="39" t="s">
        <v>141</v>
      </c>
      <c r="C370" s="39" t="s">
        <v>383</v>
      </c>
      <c r="D370" s="38" t="s">
        <v>72</v>
      </c>
    </row>
    <row r="371" spans="1:4" ht="31.2">
      <c r="A371" s="42" t="s">
        <v>387</v>
      </c>
      <c r="B371" s="39" t="s">
        <v>80</v>
      </c>
      <c r="C371" s="39" t="s">
        <v>383</v>
      </c>
      <c r="D371" s="38" t="s">
        <v>72</v>
      </c>
    </row>
    <row r="372" spans="1:4" ht="31.2">
      <c r="A372" s="42" t="s">
        <v>388</v>
      </c>
      <c r="B372" s="39" t="s">
        <v>82</v>
      </c>
      <c r="C372" s="39" t="s">
        <v>383</v>
      </c>
      <c r="D372" s="38" t="s">
        <v>72</v>
      </c>
    </row>
    <row r="373" spans="1:4" ht="31.2">
      <c r="A373" s="42" t="s">
        <v>389</v>
      </c>
      <c r="B373" s="39" t="s">
        <v>84</v>
      </c>
      <c r="C373" s="39" t="s">
        <v>383</v>
      </c>
      <c r="D373" s="38" t="s">
        <v>72</v>
      </c>
    </row>
    <row r="374" spans="1:4" ht="31.2">
      <c r="A374" s="42" t="s">
        <v>390</v>
      </c>
      <c r="B374" s="39" t="s">
        <v>86</v>
      </c>
      <c r="C374" s="39" t="s">
        <v>383</v>
      </c>
      <c r="D374" s="38" t="s">
        <v>72</v>
      </c>
    </row>
    <row r="375" spans="1:4" ht="31.2">
      <c r="A375" s="42" t="s">
        <v>391</v>
      </c>
      <c r="B375" s="39" t="s">
        <v>88</v>
      </c>
      <c r="C375" s="39" t="s">
        <v>383</v>
      </c>
      <c r="D375" s="38" t="s">
        <v>72</v>
      </c>
    </row>
    <row r="376" spans="1:4" ht="31.2">
      <c r="A376" s="42" t="s">
        <v>392</v>
      </c>
      <c r="B376" s="39" t="s">
        <v>90</v>
      </c>
      <c r="C376" s="39" t="s">
        <v>383</v>
      </c>
      <c r="D376" s="38" t="s">
        <v>72</v>
      </c>
    </row>
    <row r="377" spans="1:4" ht="31.2">
      <c r="A377" s="42" t="s">
        <v>393</v>
      </c>
      <c r="B377" s="39" t="s">
        <v>92</v>
      </c>
      <c r="C377" s="39" t="s">
        <v>383</v>
      </c>
      <c r="D377" s="39" t="s">
        <v>72</v>
      </c>
    </row>
    <row r="378" spans="1:4" ht="31.2">
      <c r="A378" s="42" t="s">
        <v>394</v>
      </c>
      <c r="B378" s="39" t="s">
        <v>94</v>
      </c>
      <c r="C378" s="39" t="s">
        <v>383</v>
      </c>
      <c r="D378" s="39" t="s">
        <v>72</v>
      </c>
    </row>
    <row r="379" spans="1:4" ht="31.2">
      <c r="A379" s="42" t="s">
        <v>395</v>
      </c>
      <c r="B379" s="39" t="s">
        <v>96</v>
      </c>
      <c r="C379" s="39" t="s">
        <v>383</v>
      </c>
      <c r="D379" s="39" t="s">
        <v>72</v>
      </c>
    </row>
    <row r="380" spans="1:4" ht="31.2">
      <c r="A380" s="42" t="s">
        <v>396</v>
      </c>
      <c r="B380" s="39" t="s">
        <v>98</v>
      </c>
      <c r="C380" s="39" t="s">
        <v>383</v>
      </c>
      <c r="D380" s="39" t="s">
        <v>72</v>
      </c>
    </row>
    <row r="381" spans="1:4" ht="31.2">
      <c r="A381" s="42" t="s">
        <v>397</v>
      </c>
      <c r="B381" s="39" t="s">
        <v>100</v>
      </c>
      <c r="C381" s="39" t="s">
        <v>383</v>
      </c>
      <c r="D381" s="39" t="s">
        <v>72</v>
      </c>
    </row>
    <row r="382" spans="1:4" ht="31.2">
      <c r="A382" s="42" t="s">
        <v>398</v>
      </c>
      <c r="B382" s="39" t="s">
        <v>102</v>
      </c>
      <c r="C382" s="39" t="s">
        <v>383</v>
      </c>
      <c r="D382" s="39" t="s">
        <v>72</v>
      </c>
    </row>
    <row r="383" spans="1:4" ht="31.2">
      <c r="A383" s="42" t="s">
        <v>399</v>
      </c>
      <c r="B383" s="39" t="s">
        <v>104</v>
      </c>
      <c r="C383" s="39" t="s">
        <v>383</v>
      </c>
      <c r="D383" s="39" t="s">
        <v>72</v>
      </c>
    </row>
    <row r="384" spans="1:4" ht="31.2">
      <c r="A384" s="42" t="s">
        <v>400</v>
      </c>
      <c r="B384" s="39" t="s">
        <v>106</v>
      </c>
      <c r="C384" s="39" t="s">
        <v>383</v>
      </c>
      <c r="D384" s="39" t="s">
        <v>72</v>
      </c>
    </row>
    <row r="385" spans="1:4" ht="31.2">
      <c r="A385" s="42" t="s">
        <v>401</v>
      </c>
      <c r="B385" s="39" t="s">
        <v>108</v>
      </c>
      <c r="C385" s="39" t="s">
        <v>383</v>
      </c>
      <c r="D385" s="39" t="s">
        <v>72</v>
      </c>
    </row>
    <row r="386" spans="1:4" ht="31.2">
      <c r="A386" s="42" t="s">
        <v>402</v>
      </c>
      <c r="B386" s="39" t="s">
        <v>110</v>
      </c>
      <c r="C386" s="39" t="s">
        <v>383</v>
      </c>
      <c r="D386" s="39" t="s">
        <v>72</v>
      </c>
    </row>
    <row r="387" spans="1:4" ht="31.2">
      <c r="A387" s="42" t="s">
        <v>403</v>
      </c>
      <c r="B387" s="39" t="s">
        <v>112</v>
      </c>
      <c r="C387" s="39" t="s">
        <v>383</v>
      </c>
      <c r="D387" s="39" t="s">
        <v>72</v>
      </c>
    </row>
    <row r="388" spans="1:4" ht="31.2">
      <c r="A388" s="42" t="s">
        <v>404</v>
      </c>
      <c r="B388" s="39" t="s">
        <v>114</v>
      </c>
      <c r="C388" s="39" t="s">
        <v>383</v>
      </c>
      <c r="D388" s="39" t="s">
        <v>72</v>
      </c>
    </row>
    <row r="389" spans="1:4" ht="31.2">
      <c r="A389" s="42" t="s">
        <v>405</v>
      </c>
      <c r="B389" s="39" t="s">
        <v>116</v>
      </c>
      <c r="C389" s="39" t="s">
        <v>383</v>
      </c>
      <c r="D389" s="39" t="s">
        <v>72</v>
      </c>
    </row>
    <row r="390" spans="1:4" ht="31.2">
      <c r="A390" s="42" t="s">
        <v>406</v>
      </c>
      <c r="B390" s="39" t="s">
        <v>118</v>
      </c>
      <c r="C390" s="39" t="s">
        <v>383</v>
      </c>
      <c r="D390" s="39" t="s">
        <v>72</v>
      </c>
    </row>
    <row r="391" spans="1:4" ht="31.2">
      <c r="A391" s="42" t="s">
        <v>407</v>
      </c>
      <c r="B391" s="39" t="s">
        <v>120</v>
      </c>
      <c r="C391" s="39" t="s">
        <v>383</v>
      </c>
      <c r="D391" s="39" t="s">
        <v>72</v>
      </c>
    </row>
    <row r="392" spans="1:4" ht="31.2">
      <c r="A392" s="42" t="s">
        <v>408</v>
      </c>
      <c r="B392" s="39" t="s">
        <v>122</v>
      </c>
      <c r="C392" s="39" t="s">
        <v>383</v>
      </c>
      <c r="D392" s="39" t="s">
        <v>72</v>
      </c>
    </row>
    <row r="393" spans="1:4" ht="31.2">
      <c r="A393" s="42" t="s">
        <v>409</v>
      </c>
      <c r="B393" s="39" t="s">
        <v>124</v>
      </c>
      <c r="C393" s="39" t="s">
        <v>383</v>
      </c>
      <c r="D393" s="39" t="s">
        <v>72</v>
      </c>
    </row>
    <row r="394" spans="1:4" ht="31.2">
      <c r="A394" s="42" t="s">
        <v>410</v>
      </c>
      <c r="B394" s="39" t="s">
        <v>126</v>
      </c>
      <c r="C394" s="39" t="s">
        <v>383</v>
      </c>
      <c r="D394" s="39" t="s">
        <v>72</v>
      </c>
    </row>
    <row r="395" spans="1:4" ht="31.2">
      <c r="A395" s="42" t="s">
        <v>411</v>
      </c>
      <c r="B395" s="39" t="s">
        <v>128</v>
      </c>
      <c r="C395" s="39" t="s">
        <v>383</v>
      </c>
      <c r="D395" s="39" t="s">
        <v>72</v>
      </c>
    </row>
    <row r="396" spans="1:4" ht="31.2">
      <c r="A396" s="42" t="s">
        <v>412</v>
      </c>
      <c r="B396" s="39" t="s">
        <v>130</v>
      </c>
      <c r="C396" s="39" t="s">
        <v>383</v>
      </c>
      <c r="D396" s="39" t="s">
        <v>72</v>
      </c>
    </row>
    <row r="397" spans="1:4" ht="31.2">
      <c r="A397" s="42" t="s">
        <v>413</v>
      </c>
      <c r="B397" s="39"/>
      <c r="C397" s="39" t="s">
        <v>383</v>
      </c>
      <c r="D397" s="39" t="s">
        <v>72</v>
      </c>
    </row>
    <row r="398" spans="1:4" ht="31.2">
      <c r="A398" s="42" t="s">
        <v>414</v>
      </c>
      <c r="B398" s="39"/>
      <c r="C398" s="39" t="s">
        <v>383</v>
      </c>
      <c r="D398" s="39" t="s">
        <v>72</v>
      </c>
    </row>
    <row r="399" spans="1:4" ht="31.2">
      <c r="A399" s="42" t="s">
        <v>415</v>
      </c>
      <c r="B399" s="39"/>
      <c r="C399" s="39" t="s">
        <v>383</v>
      </c>
      <c r="D399" s="39" t="s">
        <v>72</v>
      </c>
    </row>
    <row r="400" spans="1:4" ht="31.2">
      <c r="A400" s="42" t="s">
        <v>416</v>
      </c>
      <c r="B400" s="39"/>
      <c r="C400" s="39" t="s">
        <v>383</v>
      </c>
      <c r="D400" s="39" t="s">
        <v>72</v>
      </c>
    </row>
    <row r="401" spans="1:4" ht="31.8" thickBot="1">
      <c r="A401" s="42" t="s">
        <v>417</v>
      </c>
      <c r="B401" s="39"/>
      <c r="C401" s="39" t="s">
        <v>383</v>
      </c>
      <c r="D401" s="39" t="s">
        <v>72</v>
      </c>
    </row>
    <row r="402" spans="1:4" ht="16.2" thickBot="1">
      <c r="A402" s="32">
        <v>345</v>
      </c>
      <c r="B402" s="33" t="s">
        <v>418</v>
      </c>
      <c r="C402" s="33" t="s">
        <v>418</v>
      </c>
      <c r="D402" s="34" t="s">
        <v>72</v>
      </c>
    </row>
    <row r="403" spans="1:4" ht="15.6">
      <c r="A403" s="42" t="s">
        <v>419</v>
      </c>
      <c r="B403" s="39" t="s">
        <v>74</v>
      </c>
      <c r="C403" s="39" t="s">
        <v>418</v>
      </c>
      <c r="D403" s="38" t="s">
        <v>72</v>
      </c>
    </row>
    <row r="404" spans="1:4" ht="15.6">
      <c r="A404" s="42" t="s">
        <v>420</v>
      </c>
      <c r="B404" s="39" t="s">
        <v>76</v>
      </c>
      <c r="C404" s="39" t="s">
        <v>418</v>
      </c>
      <c r="D404" s="38" t="s">
        <v>72</v>
      </c>
    </row>
    <row r="405" spans="1:4" ht="15.6">
      <c r="A405" s="42" t="s">
        <v>421</v>
      </c>
      <c r="B405" s="39" t="s">
        <v>141</v>
      </c>
      <c r="C405" s="39" t="s">
        <v>418</v>
      </c>
      <c r="D405" s="38" t="s">
        <v>72</v>
      </c>
    </row>
    <row r="406" spans="1:4" ht="15.6">
      <c r="A406" s="42" t="s">
        <v>422</v>
      </c>
      <c r="B406" s="39" t="s">
        <v>80</v>
      </c>
      <c r="C406" s="39" t="s">
        <v>418</v>
      </c>
      <c r="D406" s="38" t="s">
        <v>72</v>
      </c>
    </row>
    <row r="407" spans="1:4" ht="15.6">
      <c r="A407" s="42" t="s">
        <v>423</v>
      </c>
      <c r="B407" s="39" t="s">
        <v>82</v>
      </c>
      <c r="C407" s="39" t="s">
        <v>418</v>
      </c>
      <c r="D407" s="38" t="s">
        <v>72</v>
      </c>
    </row>
    <row r="408" spans="1:4" ht="15.6">
      <c r="A408" s="42" t="s">
        <v>424</v>
      </c>
      <c r="B408" s="39" t="s">
        <v>84</v>
      </c>
      <c r="C408" s="39" t="s">
        <v>418</v>
      </c>
      <c r="D408" s="38" t="s">
        <v>72</v>
      </c>
    </row>
    <row r="409" spans="1:4" ht="15.6">
      <c r="A409" s="42" t="s">
        <v>425</v>
      </c>
      <c r="B409" s="39" t="s">
        <v>86</v>
      </c>
      <c r="C409" s="39" t="s">
        <v>418</v>
      </c>
      <c r="D409" s="38" t="s">
        <v>72</v>
      </c>
    </row>
    <row r="410" spans="1:4" ht="15.6">
      <c r="A410" s="42" t="s">
        <v>426</v>
      </c>
      <c r="B410" s="39" t="s">
        <v>88</v>
      </c>
      <c r="C410" s="39" t="s">
        <v>418</v>
      </c>
      <c r="D410" s="38" t="s">
        <v>72</v>
      </c>
    </row>
    <row r="411" spans="1:4" ht="15.6">
      <c r="A411" s="42" t="s">
        <v>427</v>
      </c>
      <c r="B411" s="39" t="s">
        <v>90</v>
      </c>
      <c r="C411" s="39" t="s">
        <v>418</v>
      </c>
      <c r="D411" s="38" t="s">
        <v>72</v>
      </c>
    </row>
    <row r="412" spans="1:4" ht="15.6">
      <c r="A412" s="42" t="s">
        <v>428</v>
      </c>
      <c r="B412" s="39" t="s">
        <v>92</v>
      </c>
      <c r="C412" s="39" t="s">
        <v>418</v>
      </c>
      <c r="D412" s="39" t="s">
        <v>72</v>
      </c>
    </row>
    <row r="413" spans="1:4" ht="15.6">
      <c r="A413" s="42" t="s">
        <v>429</v>
      </c>
      <c r="B413" s="39" t="s">
        <v>94</v>
      </c>
      <c r="C413" s="39" t="s">
        <v>418</v>
      </c>
      <c r="D413" s="39" t="s">
        <v>72</v>
      </c>
    </row>
    <row r="414" spans="1:4" ht="15.6">
      <c r="A414" s="42" t="s">
        <v>430</v>
      </c>
      <c r="B414" s="39" t="s">
        <v>96</v>
      </c>
      <c r="C414" s="39" t="s">
        <v>418</v>
      </c>
      <c r="D414" s="39" t="s">
        <v>72</v>
      </c>
    </row>
    <row r="415" spans="1:4" ht="15.6">
      <c r="A415" s="42" t="s">
        <v>431</v>
      </c>
      <c r="B415" s="39" t="s">
        <v>98</v>
      </c>
      <c r="C415" s="39" t="s">
        <v>418</v>
      </c>
      <c r="D415" s="39" t="s">
        <v>72</v>
      </c>
    </row>
    <row r="416" spans="1:4" ht="15.6">
      <c r="A416" s="42" t="s">
        <v>432</v>
      </c>
      <c r="B416" s="39" t="s">
        <v>100</v>
      </c>
      <c r="C416" s="39" t="s">
        <v>418</v>
      </c>
      <c r="D416" s="39" t="s">
        <v>72</v>
      </c>
    </row>
    <row r="417" spans="1:4" ht="15.6">
      <c r="A417" s="42" t="s">
        <v>433</v>
      </c>
      <c r="B417" s="39" t="s">
        <v>102</v>
      </c>
      <c r="C417" s="39" t="s">
        <v>418</v>
      </c>
      <c r="D417" s="39" t="s">
        <v>72</v>
      </c>
    </row>
    <row r="418" spans="1:4" ht="15.6">
      <c r="A418" s="42" t="s">
        <v>434</v>
      </c>
      <c r="B418" s="39" t="s">
        <v>104</v>
      </c>
      <c r="C418" s="39" t="s">
        <v>418</v>
      </c>
      <c r="D418" s="39" t="s">
        <v>72</v>
      </c>
    </row>
    <row r="419" spans="1:4" ht="15.6">
      <c r="A419" s="42" t="s">
        <v>435</v>
      </c>
      <c r="B419" s="39" t="s">
        <v>106</v>
      </c>
      <c r="C419" s="39" t="s">
        <v>418</v>
      </c>
      <c r="D419" s="39" t="s">
        <v>72</v>
      </c>
    </row>
    <row r="420" spans="1:4" ht="15.6">
      <c r="A420" s="42" t="s">
        <v>436</v>
      </c>
      <c r="B420" s="39" t="s">
        <v>108</v>
      </c>
      <c r="C420" s="39" t="s">
        <v>418</v>
      </c>
      <c r="D420" s="39" t="s">
        <v>72</v>
      </c>
    </row>
    <row r="421" spans="1:4" ht="15.6">
      <c r="A421" s="42" t="s">
        <v>437</v>
      </c>
      <c r="B421" s="39" t="s">
        <v>110</v>
      </c>
      <c r="C421" s="39" t="s">
        <v>418</v>
      </c>
      <c r="D421" s="39" t="s">
        <v>72</v>
      </c>
    </row>
    <row r="422" spans="1:4" ht="15.6">
      <c r="A422" s="42" t="s">
        <v>438</v>
      </c>
      <c r="B422" s="39" t="s">
        <v>112</v>
      </c>
      <c r="C422" s="39" t="s">
        <v>418</v>
      </c>
      <c r="D422" s="39" t="s">
        <v>72</v>
      </c>
    </row>
    <row r="423" spans="1:4" ht="15.6">
      <c r="A423" s="42" t="s">
        <v>439</v>
      </c>
      <c r="B423" s="39" t="s">
        <v>114</v>
      </c>
      <c r="C423" s="39" t="s">
        <v>418</v>
      </c>
      <c r="D423" s="39" t="s">
        <v>72</v>
      </c>
    </row>
    <row r="424" spans="1:4" ht="15.6">
      <c r="A424" s="42" t="s">
        <v>440</v>
      </c>
      <c r="B424" s="39" t="s">
        <v>116</v>
      </c>
      <c r="C424" s="39" t="s">
        <v>418</v>
      </c>
      <c r="D424" s="39" t="s">
        <v>72</v>
      </c>
    </row>
    <row r="425" spans="1:4" ht="15.6">
      <c r="A425" s="42" t="s">
        <v>441</v>
      </c>
      <c r="B425" s="39" t="s">
        <v>118</v>
      </c>
      <c r="C425" s="39" t="s">
        <v>418</v>
      </c>
      <c r="D425" s="39" t="s">
        <v>72</v>
      </c>
    </row>
    <row r="426" spans="1:4" ht="15.6">
      <c r="A426" s="42" t="s">
        <v>442</v>
      </c>
      <c r="B426" s="39" t="s">
        <v>120</v>
      </c>
      <c r="C426" s="39" t="s">
        <v>418</v>
      </c>
      <c r="D426" s="39" t="s">
        <v>72</v>
      </c>
    </row>
    <row r="427" spans="1:4" ht="15.6">
      <c r="A427" s="42" t="s">
        <v>443</v>
      </c>
      <c r="B427" s="39" t="s">
        <v>122</v>
      </c>
      <c r="C427" s="39" t="s">
        <v>418</v>
      </c>
      <c r="D427" s="39" t="s">
        <v>72</v>
      </c>
    </row>
    <row r="428" spans="1:4" ht="15.6">
      <c r="A428" s="42" t="s">
        <v>444</v>
      </c>
      <c r="B428" s="39" t="s">
        <v>124</v>
      </c>
      <c r="C428" s="39" t="s">
        <v>418</v>
      </c>
      <c r="D428" s="39" t="s">
        <v>72</v>
      </c>
    </row>
    <row r="429" spans="1:4" ht="15.6">
      <c r="A429" s="42" t="s">
        <v>445</v>
      </c>
      <c r="B429" s="39" t="s">
        <v>126</v>
      </c>
      <c r="C429" s="39" t="s">
        <v>418</v>
      </c>
      <c r="D429" s="39" t="s">
        <v>72</v>
      </c>
    </row>
    <row r="430" spans="1:4" ht="15.6">
      <c r="A430" s="42" t="s">
        <v>446</v>
      </c>
      <c r="B430" s="39" t="s">
        <v>128</v>
      </c>
      <c r="C430" s="39" t="s">
        <v>418</v>
      </c>
      <c r="D430" s="39" t="s">
        <v>72</v>
      </c>
    </row>
    <row r="431" spans="1:4" ht="15.6">
      <c r="A431" s="42" t="s">
        <v>447</v>
      </c>
      <c r="B431" s="39" t="s">
        <v>130</v>
      </c>
      <c r="C431" s="39" t="s">
        <v>418</v>
      </c>
      <c r="D431" s="39" t="s">
        <v>72</v>
      </c>
    </row>
    <row r="432" spans="1:4" ht="15.6">
      <c r="A432" s="42" t="s">
        <v>448</v>
      </c>
      <c r="B432" s="39"/>
      <c r="C432" s="39" t="s">
        <v>418</v>
      </c>
      <c r="D432" s="39" t="s">
        <v>72</v>
      </c>
    </row>
    <row r="433" spans="1:4" ht="15.6">
      <c r="A433" s="42" t="s">
        <v>449</v>
      </c>
      <c r="B433" s="39"/>
      <c r="C433" s="39" t="s">
        <v>418</v>
      </c>
      <c r="D433" s="39" t="s">
        <v>72</v>
      </c>
    </row>
    <row r="434" spans="1:4" ht="15.6">
      <c r="A434" s="42" t="s">
        <v>450</v>
      </c>
      <c r="B434" s="39"/>
      <c r="C434" s="39" t="s">
        <v>418</v>
      </c>
      <c r="D434" s="39" t="s">
        <v>72</v>
      </c>
    </row>
    <row r="435" spans="1:4" ht="15.6">
      <c r="A435" s="42" t="s">
        <v>451</v>
      </c>
      <c r="B435" s="39"/>
      <c r="C435" s="39" t="s">
        <v>418</v>
      </c>
      <c r="D435" s="39" t="s">
        <v>72</v>
      </c>
    </row>
    <row r="436" spans="1:4" ht="16.2" thickBot="1">
      <c r="A436" s="42" t="s">
        <v>452</v>
      </c>
      <c r="B436" s="39"/>
      <c r="C436" s="39" t="s">
        <v>418</v>
      </c>
      <c r="D436" s="39" t="s">
        <v>72</v>
      </c>
    </row>
    <row r="437" spans="1:4" ht="16.2" thickBot="1">
      <c r="A437" s="32">
        <v>350</v>
      </c>
      <c r="B437" s="33" t="s">
        <v>453</v>
      </c>
      <c r="C437" s="33" t="s">
        <v>453</v>
      </c>
      <c r="D437" s="34" t="s">
        <v>72</v>
      </c>
    </row>
    <row r="438" spans="1:4" ht="15.6">
      <c r="A438" s="42" t="s">
        <v>454</v>
      </c>
      <c r="B438" s="39" t="s">
        <v>74</v>
      </c>
      <c r="C438" s="39" t="s">
        <v>453</v>
      </c>
      <c r="D438" s="38" t="s">
        <v>72</v>
      </c>
    </row>
    <row r="439" spans="1:4" ht="15.6">
      <c r="A439" s="42" t="s">
        <v>455</v>
      </c>
      <c r="B439" s="39" t="s">
        <v>76</v>
      </c>
      <c r="C439" s="39" t="s">
        <v>453</v>
      </c>
      <c r="D439" s="38" t="s">
        <v>72</v>
      </c>
    </row>
    <row r="440" spans="1:4" ht="15.6">
      <c r="A440" s="42" t="s">
        <v>456</v>
      </c>
      <c r="B440" s="39" t="s">
        <v>141</v>
      </c>
      <c r="C440" s="39" t="s">
        <v>453</v>
      </c>
      <c r="D440" s="38" t="s">
        <v>72</v>
      </c>
    </row>
    <row r="441" spans="1:4" ht="15.6">
      <c r="A441" s="42" t="s">
        <v>457</v>
      </c>
      <c r="B441" s="39" t="s">
        <v>80</v>
      </c>
      <c r="C441" s="39" t="s">
        <v>453</v>
      </c>
      <c r="D441" s="38" t="s">
        <v>72</v>
      </c>
    </row>
    <row r="442" spans="1:4" ht="15.6">
      <c r="A442" s="42" t="s">
        <v>458</v>
      </c>
      <c r="B442" s="39" t="s">
        <v>82</v>
      </c>
      <c r="C442" s="39" t="s">
        <v>453</v>
      </c>
      <c r="D442" s="38" t="s">
        <v>72</v>
      </c>
    </row>
    <row r="443" spans="1:4" ht="15.6">
      <c r="A443" s="42" t="s">
        <v>459</v>
      </c>
      <c r="B443" s="39" t="s">
        <v>84</v>
      </c>
      <c r="C443" s="39" t="s">
        <v>453</v>
      </c>
      <c r="D443" s="38" t="s">
        <v>72</v>
      </c>
    </row>
    <row r="444" spans="1:4" ht="15.6">
      <c r="A444" s="42" t="s">
        <v>460</v>
      </c>
      <c r="B444" s="39" t="s">
        <v>86</v>
      </c>
      <c r="C444" s="39" t="s">
        <v>453</v>
      </c>
      <c r="D444" s="38" t="s">
        <v>72</v>
      </c>
    </row>
    <row r="445" spans="1:4" ht="15.6">
      <c r="A445" s="42" t="s">
        <v>461</v>
      </c>
      <c r="B445" s="39" t="s">
        <v>88</v>
      </c>
      <c r="C445" s="39" t="s">
        <v>453</v>
      </c>
      <c r="D445" s="38" t="s">
        <v>72</v>
      </c>
    </row>
    <row r="446" spans="1:4" ht="15.6">
      <c r="A446" s="42" t="s">
        <v>462</v>
      </c>
      <c r="B446" s="39" t="s">
        <v>90</v>
      </c>
      <c r="C446" s="39" t="s">
        <v>453</v>
      </c>
      <c r="D446" s="38" t="s">
        <v>72</v>
      </c>
    </row>
    <row r="447" spans="1:4" ht="15.6">
      <c r="A447" s="42" t="s">
        <v>463</v>
      </c>
      <c r="B447" s="39" t="s">
        <v>92</v>
      </c>
      <c r="C447" s="39" t="s">
        <v>453</v>
      </c>
      <c r="D447" s="39" t="s">
        <v>72</v>
      </c>
    </row>
    <row r="448" spans="1:4" ht="15.6">
      <c r="A448" s="42" t="s">
        <v>464</v>
      </c>
      <c r="B448" s="39" t="s">
        <v>94</v>
      </c>
      <c r="C448" s="39" t="s">
        <v>453</v>
      </c>
      <c r="D448" s="39" t="s">
        <v>72</v>
      </c>
    </row>
    <row r="449" spans="1:4" ht="15.6">
      <c r="A449" s="42" t="s">
        <v>465</v>
      </c>
      <c r="B449" s="39" t="s">
        <v>96</v>
      </c>
      <c r="C449" s="39" t="s">
        <v>453</v>
      </c>
      <c r="D449" s="39" t="s">
        <v>72</v>
      </c>
    </row>
    <row r="450" spans="1:4" ht="15.6">
      <c r="A450" s="42" t="s">
        <v>466</v>
      </c>
      <c r="B450" s="39" t="s">
        <v>98</v>
      </c>
      <c r="C450" s="39" t="s">
        <v>453</v>
      </c>
      <c r="D450" s="39" t="s">
        <v>72</v>
      </c>
    </row>
    <row r="451" spans="1:4" ht="15.6">
      <c r="A451" s="42" t="s">
        <v>467</v>
      </c>
      <c r="B451" s="39" t="s">
        <v>100</v>
      </c>
      <c r="C451" s="39" t="s">
        <v>453</v>
      </c>
      <c r="D451" s="39" t="s">
        <v>72</v>
      </c>
    </row>
    <row r="452" spans="1:4" ht="15.6">
      <c r="A452" s="42" t="s">
        <v>468</v>
      </c>
      <c r="B452" s="39" t="s">
        <v>102</v>
      </c>
      <c r="C452" s="39" t="s">
        <v>453</v>
      </c>
      <c r="D452" s="39" t="s">
        <v>72</v>
      </c>
    </row>
    <row r="453" spans="1:4" ht="15.6">
      <c r="A453" s="42" t="s">
        <v>469</v>
      </c>
      <c r="B453" s="39" t="s">
        <v>104</v>
      </c>
      <c r="C453" s="39" t="s">
        <v>453</v>
      </c>
      <c r="D453" s="39" t="s">
        <v>72</v>
      </c>
    </row>
    <row r="454" spans="1:4" ht="15.6">
      <c r="A454" s="42" t="s">
        <v>470</v>
      </c>
      <c r="B454" s="39" t="s">
        <v>106</v>
      </c>
      <c r="C454" s="39" t="s">
        <v>453</v>
      </c>
      <c r="D454" s="39" t="s">
        <v>72</v>
      </c>
    </row>
    <row r="455" spans="1:4" ht="15.6">
      <c r="A455" s="42" t="s">
        <v>471</v>
      </c>
      <c r="B455" s="39" t="s">
        <v>108</v>
      </c>
      <c r="C455" s="39" t="s">
        <v>453</v>
      </c>
      <c r="D455" s="39" t="s">
        <v>72</v>
      </c>
    </row>
    <row r="456" spans="1:4" ht="15.6">
      <c r="A456" s="42" t="s">
        <v>472</v>
      </c>
      <c r="B456" s="39" t="s">
        <v>110</v>
      </c>
      <c r="C456" s="39" t="s">
        <v>453</v>
      </c>
      <c r="D456" s="39" t="s">
        <v>72</v>
      </c>
    </row>
    <row r="457" spans="1:4" ht="15.6">
      <c r="A457" s="42" t="s">
        <v>473</v>
      </c>
      <c r="B457" s="39" t="s">
        <v>112</v>
      </c>
      <c r="C457" s="39" t="s">
        <v>453</v>
      </c>
      <c r="D457" s="39" t="s">
        <v>72</v>
      </c>
    </row>
    <row r="458" spans="1:4" ht="15.6">
      <c r="A458" s="42" t="s">
        <v>474</v>
      </c>
      <c r="B458" s="39" t="s">
        <v>114</v>
      </c>
      <c r="C458" s="39" t="s">
        <v>453</v>
      </c>
      <c r="D458" s="39" t="s">
        <v>72</v>
      </c>
    </row>
    <row r="459" spans="1:4" ht="15.6">
      <c r="A459" s="42" t="s">
        <v>475</v>
      </c>
      <c r="B459" s="39" t="s">
        <v>116</v>
      </c>
      <c r="C459" s="39" t="s">
        <v>453</v>
      </c>
      <c r="D459" s="39" t="s">
        <v>72</v>
      </c>
    </row>
    <row r="460" spans="1:4" ht="15.6">
      <c r="A460" s="42" t="s">
        <v>476</v>
      </c>
      <c r="B460" s="39" t="s">
        <v>118</v>
      </c>
      <c r="C460" s="39" t="s">
        <v>453</v>
      </c>
      <c r="D460" s="39" t="s">
        <v>72</v>
      </c>
    </row>
    <row r="461" spans="1:4" ht="15.6">
      <c r="A461" s="42" t="s">
        <v>477</v>
      </c>
      <c r="B461" s="39" t="s">
        <v>120</v>
      </c>
      <c r="C461" s="39" t="s">
        <v>453</v>
      </c>
      <c r="D461" s="39" t="s">
        <v>72</v>
      </c>
    </row>
    <row r="462" spans="1:4" ht="15.6">
      <c r="A462" s="42" t="s">
        <v>478</v>
      </c>
      <c r="B462" s="39" t="s">
        <v>122</v>
      </c>
      <c r="C462" s="39" t="s">
        <v>453</v>
      </c>
      <c r="D462" s="39" t="s">
        <v>72</v>
      </c>
    </row>
    <row r="463" spans="1:4" ht="15.6">
      <c r="A463" s="42" t="s">
        <v>479</v>
      </c>
      <c r="B463" s="39" t="s">
        <v>124</v>
      </c>
      <c r="C463" s="39" t="s">
        <v>453</v>
      </c>
      <c r="D463" s="39" t="s">
        <v>72</v>
      </c>
    </row>
    <row r="464" spans="1:4" ht="15.6">
      <c r="A464" s="42" t="s">
        <v>480</v>
      </c>
      <c r="B464" s="39" t="s">
        <v>126</v>
      </c>
      <c r="C464" s="39" t="s">
        <v>453</v>
      </c>
      <c r="D464" s="39" t="s">
        <v>72</v>
      </c>
    </row>
    <row r="465" spans="1:4" ht="15.6">
      <c r="A465" s="42" t="s">
        <v>481</v>
      </c>
      <c r="B465" s="39" t="s">
        <v>128</v>
      </c>
      <c r="C465" s="39" t="s">
        <v>453</v>
      </c>
      <c r="D465" s="39" t="s">
        <v>72</v>
      </c>
    </row>
    <row r="466" spans="1:4" ht="15.6">
      <c r="A466" s="42" t="s">
        <v>482</v>
      </c>
      <c r="B466" s="39" t="s">
        <v>130</v>
      </c>
      <c r="C466" s="39" t="s">
        <v>453</v>
      </c>
      <c r="D466" s="39" t="s">
        <v>72</v>
      </c>
    </row>
    <row r="467" spans="1:4" ht="15.6">
      <c r="A467" s="42" t="s">
        <v>483</v>
      </c>
      <c r="B467" s="39"/>
      <c r="C467" s="39" t="s">
        <v>453</v>
      </c>
      <c r="D467" s="39" t="s">
        <v>72</v>
      </c>
    </row>
    <row r="468" spans="1:4" ht="15.6">
      <c r="A468" s="42" t="s">
        <v>484</v>
      </c>
      <c r="B468" s="39"/>
      <c r="C468" s="39" t="s">
        <v>453</v>
      </c>
      <c r="D468" s="39" t="s">
        <v>72</v>
      </c>
    </row>
    <row r="469" spans="1:4" ht="15.6">
      <c r="A469" s="42" t="s">
        <v>485</v>
      </c>
      <c r="B469" s="39"/>
      <c r="C469" s="39" t="s">
        <v>453</v>
      </c>
      <c r="D469" s="39" t="s">
        <v>72</v>
      </c>
    </row>
    <row r="470" spans="1:4" ht="15.6">
      <c r="A470" s="42" t="s">
        <v>486</v>
      </c>
      <c r="B470" s="39"/>
      <c r="C470" s="39" t="s">
        <v>453</v>
      </c>
      <c r="D470" s="39" t="s">
        <v>72</v>
      </c>
    </row>
    <row r="471" spans="1:4" ht="16.2" thickBot="1">
      <c r="A471" s="42" t="s">
        <v>487</v>
      </c>
      <c r="B471" s="39"/>
      <c r="C471" s="39" t="s">
        <v>453</v>
      </c>
      <c r="D471" s="39" t="s">
        <v>72</v>
      </c>
    </row>
    <row r="472" spans="1:4" ht="31.8" thickBot="1">
      <c r="A472" s="32">
        <v>354</v>
      </c>
      <c r="B472" s="33" t="s">
        <v>488</v>
      </c>
      <c r="C472" s="33" t="s">
        <v>488</v>
      </c>
      <c r="D472" s="34" t="s">
        <v>72</v>
      </c>
    </row>
    <row r="473" spans="1:4" ht="31.2">
      <c r="A473" s="42" t="s">
        <v>489</v>
      </c>
      <c r="B473" s="39" t="s">
        <v>74</v>
      </c>
      <c r="C473" s="39" t="s">
        <v>488</v>
      </c>
      <c r="D473" s="38" t="s">
        <v>72</v>
      </c>
    </row>
    <row r="474" spans="1:4" ht="31.2">
      <c r="A474" s="42" t="s">
        <v>490</v>
      </c>
      <c r="B474" s="39" t="s">
        <v>76</v>
      </c>
      <c r="C474" s="39" t="s">
        <v>488</v>
      </c>
      <c r="D474" s="38" t="s">
        <v>72</v>
      </c>
    </row>
    <row r="475" spans="1:4" ht="31.2">
      <c r="A475" s="42" t="s">
        <v>491</v>
      </c>
      <c r="B475" s="39" t="s">
        <v>141</v>
      </c>
      <c r="C475" s="39" t="s">
        <v>488</v>
      </c>
      <c r="D475" s="38" t="s">
        <v>72</v>
      </c>
    </row>
    <row r="476" spans="1:4" ht="31.2">
      <c r="A476" s="42" t="s">
        <v>492</v>
      </c>
      <c r="B476" s="39" t="s">
        <v>80</v>
      </c>
      <c r="C476" s="39" t="s">
        <v>488</v>
      </c>
      <c r="D476" s="38" t="s">
        <v>72</v>
      </c>
    </row>
    <row r="477" spans="1:4" ht="31.2">
      <c r="A477" s="42" t="s">
        <v>493</v>
      </c>
      <c r="B477" s="39" t="s">
        <v>82</v>
      </c>
      <c r="C477" s="39" t="s">
        <v>488</v>
      </c>
      <c r="D477" s="38" t="s">
        <v>72</v>
      </c>
    </row>
    <row r="478" spans="1:4" ht="31.2">
      <c r="A478" s="42" t="s">
        <v>494</v>
      </c>
      <c r="B478" s="39" t="s">
        <v>84</v>
      </c>
      <c r="C478" s="39" t="s">
        <v>488</v>
      </c>
      <c r="D478" s="38" t="s">
        <v>72</v>
      </c>
    </row>
    <row r="479" spans="1:4" ht="31.2">
      <c r="A479" s="42" t="s">
        <v>495</v>
      </c>
      <c r="B479" s="39" t="s">
        <v>86</v>
      </c>
      <c r="C479" s="39" t="s">
        <v>488</v>
      </c>
      <c r="D479" s="38" t="s">
        <v>72</v>
      </c>
    </row>
    <row r="480" spans="1:4" ht="31.2">
      <c r="A480" s="42" t="s">
        <v>496</v>
      </c>
      <c r="B480" s="39" t="s">
        <v>88</v>
      </c>
      <c r="C480" s="39" t="s">
        <v>488</v>
      </c>
      <c r="D480" s="38" t="s">
        <v>72</v>
      </c>
    </row>
    <row r="481" spans="1:4" ht="31.2">
      <c r="A481" s="42" t="s">
        <v>497</v>
      </c>
      <c r="B481" s="39" t="s">
        <v>90</v>
      </c>
      <c r="C481" s="39" t="s">
        <v>488</v>
      </c>
      <c r="D481" s="38" t="s">
        <v>72</v>
      </c>
    </row>
    <row r="482" spans="1:4" ht="31.2">
      <c r="A482" s="42" t="s">
        <v>498</v>
      </c>
      <c r="B482" s="39" t="s">
        <v>92</v>
      </c>
      <c r="C482" s="39" t="s">
        <v>488</v>
      </c>
      <c r="D482" s="39" t="s">
        <v>72</v>
      </c>
    </row>
    <row r="483" spans="1:4" ht="31.2">
      <c r="A483" s="42" t="s">
        <v>499</v>
      </c>
      <c r="B483" s="39" t="s">
        <v>94</v>
      </c>
      <c r="C483" s="39" t="s">
        <v>488</v>
      </c>
      <c r="D483" s="39" t="s">
        <v>72</v>
      </c>
    </row>
    <row r="484" spans="1:4" ht="31.2">
      <c r="A484" s="42" t="s">
        <v>500</v>
      </c>
      <c r="B484" s="39" t="s">
        <v>96</v>
      </c>
      <c r="C484" s="39" t="s">
        <v>488</v>
      </c>
      <c r="D484" s="39" t="s">
        <v>72</v>
      </c>
    </row>
    <row r="485" spans="1:4" ht="31.2">
      <c r="A485" s="42" t="s">
        <v>501</v>
      </c>
      <c r="B485" s="39" t="s">
        <v>98</v>
      </c>
      <c r="C485" s="39" t="s">
        <v>488</v>
      </c>
      <c r="D485" s="39" t="s">
        <v>72</v>
      </c>
    </row>
    <row r="486" spans="1:4" ht="31.2">
      <c r="A486" s="42" t="s">
        <v>502</v>
      </c>
      <c r="B486" s="39" t="s">
        <v>100</v>
      </c>
      <c r="C486" s="39" t="s">
        <v>488</v>
      </c>
      <c r="D486" s="39" t="s">
        <v>72</v>
      </c>
    </row>
    <row r="487" spans="1:4" ht="31.2">
      <c r="A487" s="42" t="s">
        <v>503</v>
      </c>
      <c r="B487" s="39" t="s">
        <v>102</v>
      </c>
      <c r="C487" s="39" t="s">
        <v>488</v>
      </c>
      <c r="D487" s="39" t="s">
        <v>72</v>
      </c>
    </row>
    <row r="488" spans="1:4" ht="31.2">
      <c r="A488" s="42" t="s">
        <v>504</v>
      </c>
      <c r="B488" s="39" t="s">
        <v>104</v>
      </c>
      <c r="C488" s="39" t="s">
        <v>488</v>
      </c>
      <c r="D488" s="39" t="s">
        <v>72</v>
      </c>
    </row>
    <row r="489" spans="1:4" ht="31.2">
      <c r="A489" s="42" t="s">
        <v>505</v>
      </c>
      <c r="B489" s="39" t="s">
        <v>106</v>
      </c>
      <c r="C489" s="39" t="s">
        <v>488</v>
      </c>
      <c r="D489" s="39" t="s">
        <v>72</v>
      </c>
    </row>
    <row r="490" spans="1:4" ht="31.2">
      <c r="A490" s="42" t="s">
        <v>506</v>
      </c>
      <c r="B490" s="39" t="s">
        <v>108</v>
      </c>
      <c r="C490" s="39" t="s">
        <v>488</v>
      </c>
      <c r="D490" s="39" t="s">
        <v>72</v>
      </c>
    </row>
    <row r="491" spans="1:4" ht="31.2">
      <c r="A491" s="42" t="s">
        <v>507</v>
      </c>
      <c r="B491" s="39" t="s">
        <v>110</v>
      </c>
      <c r="C491" s="39" t="s">
        <v>488</v>
      </c>
      <c r="D491" s="39" t="s">
        <v>72</v>
      </c>
    </row>
    <row r="492" spans="1:4" ht="31.2">
      <c r="A492" s="42" t="s">
        <v>508</v>
      </c>
      <c r="B492" s="39" t="s">
        <v>112</v>
      </c>
      <c r="C492" s="39" t="s">
        <v>488</v>
      </c>
      <c r="D492" s="39" t="s">
        <v>72</v>
      </c>
    </row>
    <row r="493" spans="1:4" ht="31.2">
      <c r="A493" s="42" t="s">
        <v>509</v>
      </c>
      <c r="B493" s="39" t="s">
        <v>114</v>
      </c>
      <c r="C493" s="39" t="s">
        <v>488</v>
      </c>
      <c r="D493" s="39" t="s">
        <v>72</v>
      </c>
    </row>
    <row r="494" spans="1:4" ht="31.2">
      <c r="A494" s="42" t="s">
        <v>510</v>
      </c>
      <c r="B494" s="39" t="s">
        <v>116</v>
      </c>
      <c r="C494" s="39" t="s">
        <v>488</v>
      </c>
      <c r="D494" s="39" t="s">
        <v>72</v>
      </c>
    </row>
    <row r="495" spans="1:4" ht="31.2">
      <c r="A495" s="42" t="s">
        <v>511</v>
      </c>
      <c r="B495" s="39" t="s">
        <v>118</v>
      </c>
      <c r="C495" s="39" t="s">
        <v>488</v>
      </c>
      <c r="D495" s="39" t="s">
        <v>72</v>
      </c>
    </row>
    <row r="496" spans="1:4" ht="31.2">
      <c r="A496" s="42" t="s">
        <v>512</v>
      </c>
      <c r="B496" s="39" t="s">
        <v>120</v>
      </c>
      <c r="C496" s="39" t="s">
        <v>488</v>
      </c>
      <c r="D496" s="39" t="s">
        <v>72</v>
      </c>
    </row>
    <row r="497" spans="1:4" ht="31.2">
      <c r="A497" s="42" t="s">
        <v>513</v>
      </c>
      <c r="B497" s="39" t="s">
        <v>122</v>
      </c>
      <c r="C497" s="39" t="s">
        <v>488</v>
      </c>
      <c r="D497" s="39" t="s">
        <v>72</v>
      </c>
    </row>
    <row r="498" spans="1:4" ht="31.2">
      <c r="A498" s="42" t="s">
        <v>514</v>
      </c>
      <c r="B498" s="39" t="s">
        <v>124</v>
      </c>
      <c r="C498" s="39" t="s">
        <v>488</v>
      </c>
      <c r="D498" s="39" t="s">
        <v>72</v>
      </c>
    </row>
    <row r="499" spans="1:4" ht="31.2">
      <c r="A499" s="42" t="s">
        <v>515</v>
      </c>
      <c r="B499" s="39" t="s">
        <v>126</v>
      </c>
      <c r="C499" s="39" t="s">
        <v>488</v>
      </c>
      <c r="D499" s="39" t="s">
        <v>72</v>
      </c>
    </row>
    <row r="500" spans="1:4" ht="31.2">
      <c r="A500" s="42" t="s">
        <v>516</v>
      </c>
      <c r="B500" s="39" t="s">
        <v>128</v>
      </c>
      <c r="C500" s="39" t="s">
        <v>488</v>
      </c>
      <c r="D500" s="39" t="s">
        <v>72</v>
      </c>
    </row>
    <row r="501" spans="1:4" ht="31.2">
      <c r="A501" s="42" t="s">
        <v>517</v>
      </c>
      <c r="B501" s="39" t="s">
        <v>130</v>
      </c>
      <c r="C501" s="39" t="s">
        <v>488</v>
      </c>
      <c r="D501" s="39" t="s">
        <v>72</v>
      </c>
    </row>
    <row r="502" spans="1:4" ht="31.2">
      <c r="A502" s="42" t="s">
        <v>518</v>
      </c>
      <c r="B502" s="39"/>
      <c r="C502" s="39" t="s">
        <v>488</v>
      </c>
      <c r="D502" s="39" t="s">
        <v>72</v>
      </c>
    </row>
    <row r="503" spans="1:4" ht="31.2">
      <c r="A503" s="42" t="s">
        <v>519</v>
      </c>
      <c r="B503" s="39"/>
      <c r="C503" s="39" t="s">
        <v>488</v>
      </c>
      <c r="D503" s="39" t="s">
        <v>72</v>
      </c>
    </row>
    <row r="504" spans="1:4" ht="31.2">
      <c r="A504" s="42" t="s">
        <v>520</v>
      </c>
      <c r="B504" s="39"/>
      <c r="C504" s="39" t="s">
        <v>488</v>
      </c>
      <c r="D504" s="39" t="s">
        <v>72</v>
      </c>
    </row>
    <row r="505" spans="1:4" ht="31.2">
      <c r="A505" s="42" t="s">
        <v>521</v>
      </c>
      <c r="B505" s="39"/>
      <c r="C505" s="39" t="s">
        <v>488</v>
      </c>
      <c r="D505" s="39" t="s">
        <v>72</v>
      </c>
    </row>
    <row r="506" spans="1:4" ht="31.8" thickBot="1">
      <c r="A506" s="42" t="s">
        <v>522</v>
      </c>
      <c r="B506" s="39"/>
      <c r="C506" s="39" t="s">
        <v>488</v>
      </c>
      <c r="D506" s="39" t="s">
        <v>72</v>
      </c>
    </row>
    <row r="507" spans="1:4" ht="31.8" thickBot="1">
      <c r="A507" s="32">
        <v>355</v>
      </c>
      <c r="B507" s="33" t="s">
        <v>523</v>
      </c>
      <c r="C507" s="33" t="s">
        <v>523</v>
      </c>
      <c r="D507" s="34" t="s">
        <v>72</v>
      </c>
    </row>
    <row r="508" spans="1:4" ht="31.2">
      <c r="A508" s="42" t="s">
        <v>524</v>
      </c>
      <c r="B508" s="39" t="s">
        <v>74</v>
      </c>
      <c r="C508" s="39" t="s">
        <v>523</v>
      </c>
      <c r="D508" s="38" t="s">
        <v>72</v>
      </c>
    </row>
    <row r="509" spans="1:4" ht="31.2">
      <c r="A509" s="42" t="s">
        <v>525</v>
      </c>
      <c r="B509" s="39" t="s">
        <v>76</v>
      </c>
      <c r="C509" s="39" t="s">
        <v>523</v>
      </c>
      <c r="D509" s="38" t="s">
        <v>72</v>
      </c>
    </row>
    <row r="510" spans="1:4" ht="31.2">
      <c r="A510" s="42" t="s">
        <v>526</v>
      </c>
      <c r="B510" s="39" t="s">
        <v>141</v>
      </c>
      <c r="C510" s="39" t="s">
        <v>523</v>
      </c>
      <c r="D510" s="38" t="s">
        <v>72</v>
      </c>
    </row>
    <row r="511" spans="1:4" ht="31.2">
      <c r="A511" s="42" t="s">
        <v>527</v>
      </c>
      <c r="B511" s="39" t="s">
        <v>80</v>
      </c>
      <c r="C511" s="39" t="s">
        <v>523</v>
      </c>
      <c r="D511" s="38" t="s">
        <v>72</v>
      </c>
    </row>
    <row r="512" spans="1:4" ht="31.2">
      <c r="A512" s="42" t="s">
        <v>528</v>
      </c>
      <c r="B512" s="39" t="s">
        <v>82</v>
      </c>
      <c r="C512" s="39" t="s">
        <v>523</v>
      </c>
      <c r="D512" s="38" t="s">
        <v>72</v>
      </c>
    </row>
    <row r="513" spans="1:4" ht="31.2">
      <c r="A513" s="42" t="s">
        <v>529</v>
      </c>
      <c r="B513" s="39" t="s">
        <v>84</v>
      </c>
      <c r="C513" s="39" t="s">
        <v>523</v>
      </c>
      <c r="D513" s="38" t="s">
        <v>72</v>
      </c>
    </row>
    <row r="514" spans="1:4" ht="31.2">
      <c r="A514" s="42" t="s">
        <v>530</v>
      </c>
      <c r="B514" s="39" t="s">
        <v>86</v>
      </c>
      <c r="C514" s="39" t="s">
        <v>523</v>
      </c>
      <c r="D514" s="38" t="s">
        <v>72</v>
      </c>
    </row>
    <row r="515" spans="1:4" ht="31.2">
      <c r="A515" s="42" t="s">
        <v>531</v>
      </c>
      <c r="B515" s="39" t="s">
        <v>88</v>
      </c>
      <c r="C515" s="39" t="s">
        <v>523</v>
      </c>
      <c r="D515" s="38" t="s">
        <v>72</v>
      </c>
    </row>
    <row r="516" spans="1:4" ht="31.2">
      <c r="A516" s="42" t="s">
        <v>532</v>
      </c>
      <c r="B516" s="39" t="s">
        <v>90</v>
      </c>
      <c r="C516" s="39" t="s">
        <v>523</v>
      </c>
      <c r="D516" s="38" t="s">
        <v>72</v>
      </c>
    </row>
    <row r="517" spans="1:4" ht="31.2">
      <c r="A517" s="42" t="s">
        <v>533</v>
      </c>
      <c r="B517" s="39" t="s">
        <v>92</v>
      </c>
      <c r="C517" s="39" t="s">
        <v>523</v>
      </c>
      <c r="D517" s="39" t="s">
        <v>72</v>
      </c>
    </row>
    <row r="518" spans="1:4" ht="31.2">
      <c r="A518" s="42" t="s">
        <v>534</v>
      </c>
      <c r="B518" s="39" t="s">
        <v>94</v>
      </c>
      <c r="C518" s="39" t="s">
        <v>523</v>
      </c>
      <c r="D518" s="39" t="s">
        <v>72</v>
      </c>
    </row>
    <row r="519" spans="1:4" ht="31.2">
      <c r="A519" s="42" t="s">
        <v>535</v>
      </c>
      <c r="B519" s="39" t="s">
        <v>96</v>
      </c>
      <c r="C519" s="39" t="s">
        <v>523</v>
      </c>
      <c r="D519" s="39" t="s">
        <v>72</v>
      </c>
    </row>
    <row r="520" spans="1:4" ht="31.2">
      <c r="A520" s="42" t="s">
        <v>536</v>
      </c>
      <c r="B520" s="39" t="s">
        <v>98</v>
      </c>
      <c r="C520" s="39" t="s">
        <v>523</v>
      </c>
      <c r="D520" s="39" t="s">
        <v>72</v>
      </c>
    </row>
    <row r="521" spans="1:4" ht="31.2">
      <c r="A521" s="42" t="s">
        <v>537</v>
      </c>
      <c r="B521" s="39" t="s">
        <v>100</v>
      </c>
      <c r="C521" s="39" t="s">
        <v>523</v>
      </c>
      <c r="D521" s="39" t="s">
        <v>72</v>
      </c>
    </row>
    <row r="522" spans="1:4" ht="31.2">
      <c r="A522" s="42" t="s">
        <v>538</v>
      </c>
      <c r="B522" s="39" t="s">
        <v>102</v>
      </c>
      <c r="C522" s="39" t="s">
        <v>523</v>
      </c>
      <c r="D522" s="39" t="s">
        <v>72</v>
      </c>
    </row>
    <row r="523" spans="1:4" ht="31.2">
      <c r="A523" s="42" t="s">
        <v>539</v>
      </c>
      <c r="B523" s="39" t="s">
        <v>104</v>
      </c>
      <c r="C523" s="39" t="s">
        <v>523</v>
      </c>
      <c r="D523" s="39" t="s">
        <v>72</v>
      </c>
    </row>
    <row r="524" spans="1:4" ht="31.2">
      <c r="A524" s="42" t="s">
        <v>540</v>
      </c>
      <c r="B524" s="39" t="s">
        <v>106</v>
      </c>
      <c r="C524" s="39" t="s">
        <v>523</v>
      </c>
      <c r="D524" s="39" t="s">
        <v>72</v>
      </c>
    </row>
    <row r="525" spans="1:4" ht="31.2">
      <c r="A525" s="42" t="s">
        <v>541</v>
      </c>
      <c r="B525" s="39" t="s">
        <v>108</v>
      </c>
      <c r="C525" s="39" t="s">
        <v>523</v>
      </c>
      <c r="D525" s="39" t="s">
        <v>72</v>
      </c>
    </row>
    <row r="526" spans="1:4" ht="31.2">
      <c r="A526" s="42" t="s">
        <v>542</v>
      </c>
      <c r="B526" s="39" t="s">
        <v>110</v>
      </c>
      <c r="C526" s="39" t="s">
        <v>523</v>
      </c>
      <c r="D526" s="39" t="s">
        <v>72</v>
      </c>
    </row>
    <row r="527" spans="1:4" ht="31.2">
      <c r="A527" s="42" t="s">
        <v>543</v>
      </c>
      <c r="B527" s="39" t="s">
        <v>112</v>
      </c>
      <c r="C527" s="39" t="s">
        <v>523</v>
      </c>
      <c r="D527" s="39" t="s">
        <v>72</v>
      </c>
    </row>
    <row r="528" spans="1:4" ht="31.2">
      <c r="A528" s="42" t="s">
        <v>544</v>
      </c>
      <c r="B528" s="39" t="s">
        <v>114</v>
      </c>
      <c r="C528" s="39" t="s">
        <v>523</v>
      </c>
      <c r="D528" s="39" t="s">
        <v>72</v>
      </c>
    </row>
    <row r="529" spans="1:4" ht="31.2">
      <c r="A529" s="42" t="s">
        <v>545</v>
      </c>
      <c r="B529" s="39" t="s">
        <v>116</v>
      </c>
      <c r="C529" s="39" t="s">
        <v>523</v>
      </c>
      <c r="D529" s="39" t="s">
        <v>72</v>
      </c>
    </row>
    <row r="530" spans="1:4" ht="31.2">
      <c r="A530" s="42" t="s">
        <v>546</v>
      </c>
      <c r="B530" s="39" t="s">
        <v>118</v>
      </c>
      <c r="C530" s="39" t="s">
        <v>523</v>
      </c>
      <c r="D530" s="39" t="s">
        <v>72</v>
      </c>
    </row>
    <row r="531" spans="1:4" ht="31.2">
      <c r="A531" s="42" t="s">
        <v>547</v>
      </c>
      <c r="B531" s="39" t="s">
        <v>120</v>
      </c>
      <c r="C531" s="39" t="s">
        <v>523</v>
      </c>
      <c r="D531" s="39" t="s">
        <v>72</v>
      </c>
    </row>
    <row r="532" spans="1:4" ht="31.2">
      <c r="A532" s="42" t="s">
        <v>548</v>
      </c>
      <c r="B532" s="39" t="s">
        <v>122</v>
      </c>
      <c r="C532" s="39" t="s">
        <v>523</v>
      </c>
      <c r="D532" s="39" t="s">
        <v>72</v>
      </c>
    </row>
    <row r="533" spans="1:4" ht="31.2">
      <c r="A533" s="42" t="s">
        <v>549</v>
      </c>
      <c r="B533" s="39" t="s">
        <v>124</v>
      </c>
      <c r="C533" s="39" t="s">
        <v>523</v>
      </c>
      <c r="D533" s="39" t="s">
        <v>72</v>
      </c>
    </row>
    <row r="534" spans="1:4" ht="31.2">
      <c r="A534" s="42" t="s">
        <v>550</v>
      </c>
      <c r="B534" s="39" t="s">
        <v>126</v>
      </c>
      <c r="C534" s="39" t="s">
        <v>523</v>
      </c>
      <c r="D534" s="39" t="s">
        <v>72</v>
      </c>
    </row>
    <row r="535" spans="1:4" ht="31.2">
      <c r="A535" s="42" t="s">
        <v>551</v>
      </c>
      <c r="B535" s="39" t="s">
        <v>128</v>
      </c>
      <c r="C535" s="39" t="s">
        <v>523</v>
      </c>
      <c r="D535" s="39" t="s">
        <v>72</v>
      </c>
    </row>
    <row r="536" spans="1:4" ht="31.2">
      <c r="A536" s="42" t="s">
        <v>552</v>
      </c>
      <c r="B536" s="39" t="s">
        <v>130</v>
      </c>
      <c r="C536" s="39" t="s">
        <v>523</v>
      </c>
      <c r="D536" s="39" t="s">
        <v>72</v>
      </c>
    </row>
    <row r="537" spans="1:4" ht="31.2">
      <c r="A537" s="42" t="s">
        <v>553</v>
      </c>
      <c r="B537" s="39"/>
      <c r="C537" s="39" t="s">
        <v>523</v>
      </c>
      <c r="D537" s="39" t="s">
        <v>72</v>
      </c>
    </row>
    <row r="538" spans="1:4" ht="31.2">
      <c r="A538" s="42" t="s">
        <v>554</v>
      </c>
      <c r="B538" s="39"/>
      <c r="C538" s="39" t="s">
        <v>523</v>
      </c>
      <c r="D538" s="39" t="s">
        <v>72</v>
      </c>
    </row>
    <row r="539" spans="1:4" ht="31.2">
      <c r="A539" s="42" t="s">
        <v>555</v>
      </c>
      <c r="B539" s="39"/>
      <c r="C539" s="39" t="s">
        <v>523</v>
      </c>
      <c r="D539" s="39" t="s">
        <v>72</v>
      </c>
    </row>
    <row r="540" spans="1:4" ht="31.2">
      <c r="A540" s="42" t="s">
        <v>556</v>
      </c>
      <c r="B540" s="39"/>
      <c r="C540" s="39" t="s">
        <v>523</v>
      </c>
      <c r="D540" s="39" t="s">
        <v>72</v>
      </c>
    </row>
    <row r="541" spans="1:4" ht="31.8" thickBot="1">
      <c r="A541" s="42" t="s">
        <v>557</v>
      </c>
      <c r="B541" s="39"/>
      <c r="C541" s="39" t="s">
        <v>523</v>
      </c>
      <c r="D541" s="39" t="s">
        <v>72</v>
      </c>
    </row>
    <row r="542" spans="1:4" ht="31.8" thickBot="1">
      <c r="A542" s="32">
        <v>356</v>
      </c>
      <c r="B542" s="33" t="s">
        <v>558</v>
      </c>
      <c r="C542" s="33" t="s">
        <v>558</v>
      </c>
      <c r="D542" s="34" t="s">
        <v>72</v>
      </c>
    </row>
    <row r="543" spans="1:4" ht="31.2">
      <c r="A543" s="42" t="s">
        <v>559</v>
      </c>
      <c r="B543" s="39" t="s">
        <v>74</v>
      </c>
      <c r="C543" s="39" t="s">
        <v>558</v>
      </c>
      <c r="D543" s="38" t="s">
        <v>72</v>
      </c>
    </row>
    <row r="544" spans="1:4" ht="31.2">
      <c r="A544" s="42" t="s">
        <v>560</v>
      </c>
      <c r="B544" s="39" t="s">
        <v>76</v>
      </c>
      <c r="C544" s="39" t="s">
        <v>558</v>
      </c>
      <c r="D544" s="38" t="s">
        <v>72</v>
      </c>
    </row>
    <row r="545" spans="1:4" ht="31.2">
      <c r="A545" s="42" t="s">
        <v>561</v>
      </c>
      <c r="B545" s="39" t="s">
        <v>141</v>
      </c>
      <c r="C545" s="39" t="s">
        <v>558</v>
      </c>
      <c r="D545" s="38" t="s">
        <v>72</v>
      </c>
    </row>
    <row r="546" spans="1:4" ht="31.2">
      <c r="A546" s="42" t="s">
        <v>562</v>
      </c>
      <c r="B546" s="39" t="s">
        <v>80</v>
      </c>
      <c r="C546" s="39" t="s">
        <v>558</v>
      </c>
      <c r="D546" s="38" t="s">
        <v>72</v>
      </c>
    </row>
    <row r="547" spans="1:4" ht="31.2">
      <c r="A547" s="42" t="s">
        <v>563</v>
      </c>
      <c r="B547" s="39" t="s">
        <v>82</v>
      </c>
      <c r="C547" s="39" t="s">
        <v>558</v>
      </c>
      <c r="D547" s="38" t="s">
        <v>72</v>
      </c>
    </row>
    <row r="548" spans="1:4" ht="31.2">
      <c r="A548" s="42" t="s">
        <v>564</v>
      </c>
      <c r="B548" s="39" t="s">
        <v>84</v>
      </c>
      <c r="C548" s="39" t="s">
        <v>558</v>
      </c>
      <c r="D548" s="38" t="s">
        <v>72</v>
      </c>
    </row>
    <row r="549" spans="1:4" ht="31.2">
      <c r="A549" s="42" t="s">
        <v>565</v>
      </c>
      <c r="B549" s="39" t="s">
        <v>86</v>
      </c>
      <c r="C549" s="39" t="s">
        <v>558</v>
      </c>
      <c r="D549" s="38" t="s">
        <v>72</v>
      </c>
    </row>
    <row r="550" spans="1:4" ht="31.2">
      <c r="A550" s="42" t="s">
        <v>566</v>
      </c>
      <c r="B550" s="39" t="s">
        <v>88</v>
      </c>
      <c r="C550" s="39" t="s">
        <v>558</v>
      </c>
      <c r="D550" s="38" t="s">
        <v>72</v>
      </c>
    </row>
    <row r="551" spans="1:4" ht="31.2">
      <c r="A551" s="42" t="s">
        <v>567</v>
      </c>
      <c r="B551" s="39" t="s">
        <v>90</v>
      </c>
      <c r="C551" s="39" t="s">
        <v>558</v>
      </c>
      <c r="D551" s="38" t="s">
        <v>72</v>
      </c>
    </row>
    <row r="552" spans="1:4" ht="31.2">
      <c r="A552" s="42" t="s">
        <v>568</v>
      </c>
      <c r="B552" s="39" t="s">
        <v>92</v>
      </c>
      <c r="C552" s="39" t="s">
        <v>558</v>
      </c>
      <c r="D552" s="39" t="s">
        <v>72</v>
      </c>
    </row>
    <row r="553" spans="1:4" ht="31.2">
      <c r="A553" s="42" t="s">
        <v>569</v>
      </c>
      <c r="B553" s="39" t="s">
        <v>94</v>
      </c>
      <c r="C553" s="39" t="s">
        <v>558</v>
      </c>
      <c r="D553" s="39" t="s">
        <v>72</v>
      </c>
    </row>
    <row r="554" spans="1:4" ht="31.2">
      <c r="A554" s="42" t="s">
        <v>570</v>
      </c>
      <c r="B554" s="39" t="s">
        <v>96</v>
      </c>
      <c r="C554" s="39" t="s">
        <v>558</v>
      </c>
      <c r="D554" s="39" t="s">
        <v>72</v>
      </c>
    </row>
    <row r="555" spans="1:4" ht="31.2">
      <c r="A555" s="42" t="s">
        <v>571</v>
      </c>
      <c r="B555" s="39" t="s">
        <v>98</v>
      </c>
      <c r="C555" s="39" t="s">
        <v>558</v>
      </c>
      <c r="D555" s="39" t="s">
        <v>72</v>
      </c>
    </row>
    <row r="556" spans="1:4" ht="31.2">
      <c r="A556" s="42" t="s">
        <v>572</v>
      </c>
      <c r="B556" s="39" t="s">
        <v>100</v>
      </c>
      <c r="C556" s="39" t="s">
        <v>558</v>
      </c>
      <c r="D556" s="39" t="s">
        <v>72</v>
      </c>
    </row>
    <row r="557" spans="1:4" ht="31.2">
      <c r="A557" s="42" t="s">
        <v>573</v>
      </c>
      <c r="B557" s="39" t="s">
        <v>102</v>
      </c>
      <c r="C557" s="39" t="s">
        <v>558</v>
      </c>
      <c r="D557" s="39" t="s">
        <v>72</v>
      </c>
    </row>
    <row r="558" spans="1:4" ht="31.2">
      <c r="A558" s="42" t="s">
        <v>574</v>
      </c>
      <c r="B558" s="39" t="s">
        <v>104</v>
      </c>
      <c r="C558" s="39" t="s">
        <v>558</v>
      </c>
      <c r="D558" s="39" t="s">
        <v>72</v>
      </c>
    </row>
    <row r="559" spans="1:4" ht="31.2">
      <c r="A559" s="42" t="s">
        <v>575</v>
      </c>
      <c r="B559" s="39" t="s">
        <v>106</v>
      </c>
      <c r="C559" s="39" t="s">
        <v>558</v>
      </c>
      <c r="D559" s="39" t="s">
        <v>72</v>
      </c>
    </row>
    <row r="560" spans="1:4" ht="31.2">
      <c r="A560" s="42" t="s">
        <v>576</v>
      </c>
      <c r="B560" s="39" t="s">
        <v>108</v>
      </c>
      <c r="C560" s="39" t="s">
        <v>558</v>
      </c>
      <c r="D560" s="39" t="s">
        <v>72</v>
      </c>
    </row>
    <row r="561" spans="1:4" ht="31.2">
      <c r="A561" s="42" t="s">
        <v>577</v>
      </c>
      <c r="B561" s="39" t="s">
        <v>110</v>
      </c>
      <c r="C561" s="39" t="s">
        <v>558</v>
      </c>
      <c r="D561" s="39" t="s">
        <v>72</v>
      </c>
    </row>
    <row r="562" spans="1:4" ht="31.2">
      <c r="A562" s="42" t="s">
        <v>578</v>
      </c>
      <c r="B562" s="39" t="s">
        <v>112</v>
      </c>
      <c r="C562" s="39" t="s">
        <v>558</v>
      </c>
      <c r="D562" s="39" t="s">
        <v>72</v>
      </c>
    </row>
    <row r="563" spans="1:4" ht="31.2">
      <c r="A563" s="42" t="s">
        <v>579</v>
      </c>
      <c r="B563" s="39" t="s">
        <v>114</v>
      </c>
      <c r="C563" s="39" t="s">
        <v>558</v>
      </c>
      <c r="D563" s="39" t="s">
        <v>72</v>
      </c>
    </row>
    <row r="564" spans="1:4" ht="31.2">
      <c r="A564" s="42" t="s">
        <v>580</v>
      </c>
      <c r="B564" s="39" t="s">
        <v>116</v>
      </c>
      <c r="C564" s="39" t="s">
        <v>558</v>
      </c>
      <c r="D564" s="39" t="s">
        <v>72</v>
      </c>
    </row>
    <row r="565" spans="1:4" ht="31.2">
      <c r="A565" s="42" t="s">
        <v>581</v>
      </c>
      <c r="B565" s="39" t="s">
        <v>118</v>
      </c>
      <c r="C565" s="39" t="s">
        <v>558</v>
      </c>
      <c r="D565" s="39" t="s">
        <v>72</v>
      </c>
    </row>
    <row r="566" spans="1:4" ht="31.2">
      <c r="A566" s="42" t="s">
        <v>582</v>
      </c>
      <c r="B566" s="39" t="s">
        <v>120</v>
      </c>
      <c r="C566" s="39" t="s">
        <v>558</v>
      </c>
      <c r="D566" s="39" t="s">
        <v>72</v>
      </c>
    </row>
    <row r="567" spans="1:4" ht="31.2">
      <c r="A567" s="42" t="s">
        <v>583</v>
      </c>
      <c r="B567" s="39" t="s">
        <v>122</v>
      </c>
      <c r="C567" s="39" t="s">
        <v>558</v>
      </c>
      <c r="D567" s="39" t="s">
        <v>72</v>
      </c>
    </row>
    <row r="568" spans="1:4" ht="31.2">
      <c r="A568" s="42" t="s">
        <v>584</v>
      </c>
      <c r="B568" s="39" t="s">
        <v>124</v>
      </c>
      <c r="C568" s="39" t="s">
        <v>558</v>
      </c>
      <c r="D568" s="39" t="s">
        <v>72</v>
      </c>
    </row>
    <row r="569" spans="1:4" ht="31.2">
      <c r="A569" s="42" t="s">
        <v>585</v>
      </c>
      <c r="B569" s="39" t="s">
        <v>126</v>
      </c>
      <c r="C569" s="39" t="s">
        <v>558</v>
      </c>
      <c r="D569" s="39" t="s">
        <v>72</v>
      </c>
    </row>
    <row r="570" spans="1:4" ht="31.2">
      <c r="A570" s="42" t="s">
        <v>586</v>
      </c>
      <c r="B570" s="39" t="s">
        <v>128</v>
      </c>
      <c r="C570" s="39" t="s">
        <v>558</v>
      </c>
      <c r="D570" s="39" t="s">
        <v>72</v>
      </c>
    </row>
    <row r="571" spans="1:4" ht="31.2">
      <c r="A571" s="42" t="s">
        <v>587</v>
      </c>
      <c r="B571" s="39" t="s">
        <v>130</v>
      </c>
      <c r="C571" s="39" t="s">
        <v>558</v>
      </c>
      <c r="D571" s="39" t="s">
        <v>72</v>
      </c>
    </row>
    <row r="572" spans="1:4" ht="31.2">
      <c r="A572" s="42" t="s">
        <v>588</v>
      </c>
      <c r="B572" s="39"/>
      <c r="C572" s="39" t="s">
        <v>558</v>
      </c>
      <c r="D572" s="39" t="s">
        <v>72</v>
      </c>
    </row>
    <row r="573" spans="1:4" ht="31.2">
      <c r="A573" s="42" t="s">
        <v>589</v>
      </c>
      <c r="B573" s="39"/>
      <c r="C573" s="39" t="s">
        <v>558</v>
      </c>
      <c r="D573" s="39" t="s">
        <v>72</v>
      </c>
    </row>
    <row r="574" spans="1:4" ht="31.2">
      <c r="A574" s="42" t="s">
        <v>590</v>
      </c>
      <c r="B574" s="39"/>
      <c r="C574" s="39" t="s">
        <v>558</v>
      </c>
      <c r="D574" s="39" t="s">
        <v>72</v>
      </c>
    </row>
    <row r="575" spans="1:4" ht="31.2">
      <c r="A575" s="42" t="s">
        <v>591</v>
      </c>
      <c r="B575" s="39"/>
      <c r="C575" s="39" t="s">
        <v>558</v>
      </c>
      <c r="D575" s="39" t="s">
        <v>72</v>
      </c>
    </row>
    <row r="576" spans="1:4" ht="31.8" thickBot="1">
      <c r="A576" s="42" t="s">
        <v>592</v>
      </c>
      <c r="B576" s="39"/>
      <c r="C576" s="39" t="s">
        <v>558</v>
      </c>
      <c r="D576" s="39" t="s">
        <v>72</v>
      </c>
    </row>
    <row r="577" spans="1:4" ht="16.2" thickBot="1">
      <c r="A577" s="32">
        <v>361</v>
      </c>
      <c r="B577" s="33" t="s">
        <v>593</v>
      </c>
      <c r="C577" s="33" t="s">
        <v>593</v>
      </c>
      <c r="D577" s="34" t="s">
        <v>72</v>
      </c>
    </row>
    <row r="578" spans="1:4" ht="15.6">
      <c r="A578" s="42" t="s">
        <v>594</v>
      </c>
      <c r="B578" s="39" t="s">
        <v>74</v>
      </c>
      <c r="C578" s="39" t="s">
        <v>593</v>
      </c>
      <c r="D578" s="38" t="s">
        <v>72</v>
      </c>
    </row>
    <row r="579" spans="1:4" ht="15.6">
      <c r="A579" s="42" t="s">
        <v>595</v>
      </c>
      <c r="B579" s="39" t="s">
        <v>76</v>
      </c>
      <c r="C579" s="39" t="s">
        <v>593</v>
      </c>
      <c r="D579" s="38" t="s">
        <v>72</v>
      </c>
    </row>
    <row r="580" spans="1:4" ht="15.6">
      <c r="A580" s="42" t="s">
        <v>596</v>
      </c>
      <c r="B580" s="39" t="s">
        <v>141</v>
      </c>
      <c r="C580" s="39" t="s">
        <v>593</v>
      </c>
      <c r="D580" s="38" t="s">
        <v>72</v>
      </c>
    </row>
    <row r="581" spans="1:4" ht="15.6">
      <c r="A581" s="42" t="s">
        <v>597</v>
      </c>
      <c r="B581" s="39" t="s">
        <v>80</v>
      </c>
      <c r="C581" s="39" t="s">
        <v>593</v>
      </c>
      <c r="D581" s="38" t="s">
        <v>72</v>
      </c>
    </row>
    <row r="582" spans="1:4" ht="15.6">
      <c r="A582" s="42" t="s">
        <v>598</v>
      </c>
      <c r="B582" s="39" t="s">
        <v>82</v>
      </c>
      <c r="C582" s="39" t="s">
        <v>593</v>
      </c>
      <c r="D582" s="38" t="s">
        <v>72</v>
      </c>
    </row>
    <row r="583" spans="1:4" ht="15.6">
      <c r="A583" s="42" t="s">
        <v>599</v>
      </c>
      <c r="B583" s="39" t="s">
        <v>84</v>
      </c>
      <c r="C583" s="39" t="s">
        <v>593</v>
      </c>
      <c r="D583" s="38" t="s">
        <v>72</v>
      </c>
    </row>
    <row r="584" spans="1:4" ht="15.6">
      <c r="A584" s="42" t="s">
        <v>600</v>
      </c>
      <c r="B584" s="39" t="s">
        <v>86</v>
      </c>
      <c r="C584" s="39" t="s">
        <v>593</v>
      </c>
      <c r="D584" s="38" t="s">
        <v>72</v>
      </c>
    </row>
    <row r="585" spans="1:4" ht="15.6">
      <c r="A585" s="42" t="s">
        <v>601</v>
      </c>
      <c r="B585" s="39" t="s">
        <v>88</v>
      </c>
      <c r="C585" s="39" t="s">
        <v>593</v>
      </c>
      <c r="D585" s="38" t="s">
        <v>72</v>
      </c>
    </row>
    <row r="586" spans="1:4" ht="15.6">
      <c r="A586" s="42" t="s">
        <v>602</v>
      </c>
      <c r="B586" s="39" t="s">
        <v>90</v>
      </c>
      <c r="C586" s="39" t="s">
        <v>593</v>
      </c>
      <c r="D586" s="38" t="s">
        <v>72</v>
      </c>
    </row>
    <row r="587" spans="1:4" ht="15.6">
      <c r="A587" s="42" t="s">
        <v>603</v>
      </c>
      <c r="B587" s="39" t="s">
        <v>92</v>
      </c>
      <c r="C587" s="39" t="s">
        <v>593</v>
      </c>
      <c r="D587" s="39" t="s">
        <v>72</v>
      </c>
    </row>
    <row r="588" spans="1:4" ht="15.6">
      <c r="A588" s="42" t="s">
        <v>604</v>
      </c>
      <c r="B588" s="39" t="s">
        <v>94</v>
      </c>
      <c r="C588" s="39" t="s">
        <v>593</v>
      </c>
      <c r="D588" s="39" t="s">
        <v>72</v>
      </c>
    </row>
    <row r="589" spans="1:4" ht="15.6">
      <c r="A589" s="42" t="s">
        <v>605</v>
      </c>
      <c r="B589" s="39" t="s">
        <v>96</v>
      </c>
      <c r="C589" s="39" t="s">
        <v>593</v>
      </c>
      <c r="D589" s="39" t="s">
        <v>72</v>
      </c>
    </row>
    <row r="590" spans="1:4" ht="15.6">
      <c r="A590" s="42" t="s">
        <v>606</v>
      </c>
      <c r="B590" s="39" t="s">
        <v>98</v>
      </c>
      <c r="C590" s="39" t="s">
        <v>593</v>
      </c>
      <c r="D590" s="39" t="s">
        <v>72</v>
      </c>
    </row>
    <row r="591" spans="1:4" ht="15.6">
      <c r="A591" s="42" t="s">
        <v>607</v>
      </c>
      <c r="B591" s="39" t="s">
        <v>100</v>
      </c>
      <c r="C591" s="39" t="s">
        <v>593</v>
      </c>
      <c r="D591" s="39" t="s">
        <v>72</v>
      </c>
    </row>
    <row r="592" spans="1:4" ht="15.6">
      <c r="A592" s="42" t="s">
        <v>608</v>
      </c>
      <c r="B592" s="39" t="s">
        <v>102</v>
      </c>
      <c r="C592" s="39" t="s">
        <v>593</v>
      </c>
      <c r="D592" s="39" t="s">
        <v>72</v>
      </c>
    </row>
    <row r="593" spans="1:4" ht="15.6">
      <c r="A593" s="42" t="s">
        <v>609</v>
      </c>
      <c r="B593" s="39" t="s">
        <v>104</v>
      </c>
      <c r="C593" s="39" t="s">
        <v>593</v>
      </c>
      <c r="D593" s="39" t="s">
        <v>72</v>
      </c>
    </row>
    <row r="594" spans="1:4" ht="15.6">
      <c r="A594" s="42" t="s">
        <v>610</v>
      </c>
      <c r="B594" s="39" t="s">
        <v>106</v>
      </c>
      <c r="C594" s="39" t="s">
        <v>593</v>
      </c>
      <c r="D594" s="39" t="s">
        <v>72</v>
      </c>
    </row>
    <row r="595" spans="1:4" ht="15.6">
      <c r="A595" s="42" t="s">
        <v>611</v>
      </c>
      <c r="B595" s="39" t="s">
        <v>108</v>
      </c>
      <c r="C595" s="39" t="s">
        <v>593</v>
      </c>
      <c r="D595" s="39" t="s">
        <v>72</v>
      </c>
    </row>
    <row r="596" spans="1:4" ht="15.6">
      <c r="A596" s="42" t="s">
        <v>612</v>
      </c>
      <c r="B596" s="39" t="s">
        <v>110</v>
      </c>
      <c r="C596" s="39" t="s">
        <v>593</v>
      </c>
      <c r="D596" s="39" t="s">
        <v>72</v>
      </c>
    </row>
    <row r="597" spans="1:4" ht="15.6">
      <c r="A597" s="42" t="s">
        <v>613</v>
      </c>
      <c r="B597" s="39" t="s">
        <v>112</v>
      </c>
      <c r="C597" s="39" t="s">
        <v>593</v>
      </c>
      <c r="D597" s="39" t="s">
        <v>72</v>
      </c>
    </row>
    <row r="598" spans="1:4" ht="15.6">
      <c r="A598" s="42" t="s">
        <v>614</v>
      </c>
      <c r="B598" s="39" t="s">
        <v>114</v>
      </c>
      <c r="C598" s="39" t="s">
        <v>593</v>
      </c>
      <c r="D598" s="39" t="s">
        <v>72</v>
      </c>
    </row>
    <row r="599" spans="1:4" ht="15.6">
      <c r="A599" s="42" t="s">
        <v>615</v>
      </c>
      <c r="B599" s="39" t="s">
        <v>116</v>
      </c>
      <c r="C599" s="39" t="s">
        <v>593</v>
      </c>
      <c r="D599" s="39" t="s">
        <v>72</v>
      </c>
    </row>
    <row r="600" spans="1:4" ht="15.6">
      <c r="A600" s="42" t="s">
        <v>616</v>
      </c>
      <c r="B600" s="39" t="s">
        <v>118</v>
      </c>
      <c r="C600" s="39" t="s">
        <v>593</v>
      </c>
      <c r="D600" s="39" t="s">
        <v>72</v>
      </c>
    </row>
    <row r="601" spans="1:4" ht="15.6">
      <c r="A601" s="42" t="s">
        <v>617</v>
      </c>
      <c r="B601" s="39" t="s">
        <v>120</v>
      </c>
      <c r="C601" s="39" t="s">
        <v>593</v>
      </c>
      <c r="D601" s="39" t="s">
        <v>72</v>
      </c>
    </row>
    <row r="602" spans="1:4" ht="15.6">
      <c r="A602" s="42" t="s">
        <v>618</v>
      </c>
      <c r="B602" s="39" t="s">
        <v>122</v>
      </c>
      <c r="C602" s="39" t="s">
        <v>593</v>
      </c>
      <c r="D602" s="39" t="s">
        <v>72</v>
      </c>
    </row>
    <row r="603" spans="1:4" ht="15.6">
      <c r="A603" s="42" t="s">
        <v>619</v>
      </c>
      <c r="B603" s="39" t="s">
        <v>124</v>
      </c>
      <c r="C603" s="39" t="s">
        <v>593</v>
      </c>
      <c r="D603" s="39" t="s">
        <v>72</v>
      </c>
    </row>
    <row r="604" spans="1:4" ht="15.6">
      <c r="A604" s="42" t="s">
        <v>620</v>
      </c>
      <c r="B604" s="39" t="s">
        <v>126</v>
      </c>
      <c r="C604" s="39" t="s">
        <v>593</v>
      </c>
      <c r="D604" s="39" t="s">
        <v>72</v>
      </c>
    </row>
    <row r="605" spans="1:4" ht="15.6">
      <c r="A605" s="42" t="s">
        <v>621</v>
      </c>
      <c r="B605" s="39" t="s">
        <v>128</v>
      </c>
      <c r="C605" s="39" t="s">
        <v>593</v>
      </c>
      <c r="D605" s="39" t="s">
        <v>72</v>
      </c>
    </row>
    <row r="606" spans="1:4" ht="15.6">
      <c r="A606" s="42" t="s">
        <v>622</v>
      </c>
      <c r="B606" s="39" t="s">
        <v>130</v>
      </c>
      <c r="C606" s="39" t="s">
        <v>593</v>
      </c>
      <c r="D606" s="39" t="s">
        <v>72</v>
      </c>
    </row>
    <row r="607" spans="1:4" ht="15.6">
      <c r="A607" s="42" t="s">
        <v>623</v>
      </c>
      <c r="B607" s="39"/>
      <c r="C607" s="39" t="s">
        <v>593</v>
      </c>
      <c r="D607" s="39" t="s">
        <v>72</v>
      </c>
    </row>
    <row r="608" spans="1:4" ht="15.6">
      <c r="A608" s="42" t="s">
        <v>624</v>
      </c>
      <c r="B608" s="39"/>
      <c r="C608" s="39" t="s">
        <v>593</v>
      </c>
      <c r="D608" s="39" t="s">
        <v>72</v>
      </c>
    </row>
    <row r="609" spans="1:4" ht="15.6">
      <c r="A609" s="42" t="s">
        <v>625</v>
      </c>
      <c r="B609" s="39"/>
      <c r="C609" s="39" t="s">
        <v>593</v>
      </c>
      <c r="D609" s="39" t="s">
        <v>72</v>
      </c>
    </row>
    <row r="610" spans="1:4" ht="15.6">
      <c r="A610" s="42" t="s">
        <v>626</v>
      </c>
      <c r="B610" s="39"/>
      <c r="C610" s="39" t="s">
        <v>593</v>
      </c>
      <c r="D610" s="39" t="s">
        <v>72</v>
      </c>
    </row>
    <row r="611" spans="1:4" ht="16.2" thickBot="1">
      <c r="A611" s="42" t="s">
        <v>627</v>
      </c>
      <c r="B611" s="39"/>
      <c r="C611" s="39" t="s">
        <v>593</v>
      </c>
      <c r="D611" s="39" t="s">
        <v>72</v>
      </c>
    </row>
    <row r="612" spans="1:4" ht="16.2" thickBot="1">
      <c r="A612" s="32">
        <v>364</v>
      </c>
      <c r="B612" s="33" t="s">
        <v>628</v>
      </c>
      <c r="C612" s="33" t="s">
        <v>628</v>
      </c>
      <c r="D612" s="34" t="s">
        <v>72</v>
      </c>
    </row>
    <row r="613" spans="1:4" ht="15.6">
      <c r="A613" s="42" t="s">
        <v>629</v>
      </c>
      <c r="B613" s="39" t="s">
        <v>74</v>
      </c>
      <c r="C613" s="39" t="s">
        <v>628</v>
      </c>
      <c r="D613" s="38" t="s">
        <v>72</v>
      </c>
    </row>
    <row r="614" spans="1:4" ht="15.6">
      <c r="A614" s="42" t="s">
        <v>630</v>
      </c>
      <c r="B614" s="39" t="s">
        <v>76</v>
      </c>
      <c r="C614" s="39" t="s">
        <v>628</v>
      </c>
      <c r="D614" s="38" t="s">
        <v>72</v>
      </c>
    </row>
    <row r="615" spans="1:4" ht="15.6">
      <c r="A615" s="42" t="s">
        <v>631</v>
      </c>
      <c r="B615" s="39" t="s">
        <v>141</v>
      </c>
      <c r="C615" s="39" t="s">
        <v>628</v>
      </c>
      <c r="D615" s="38" t="s">
        <v>72</v>
      </c>
    </row>
    <row r="616" spans="1:4" ht="15.6">
      <c r="A616" s="42" t="s">
        <v>632</v>
      </c>
      <c r="B616" s="39" t="s">
        <v>80</v>
      </c>
      <c r="C616" s="39" t="s">
        <v>628</v>
      </c>
      <c r="D616" s="38" t="s">
        <v>72</v>
      </c>
    </row>
    <row r="617" spans="1:4" ht="15.6">
      <c r="A617" s="42" t="s">
        <v>633</v>
      </c>
      <c r="B617" s="39" t="s">
        <v>82</v>
      </c>
      <c r="C617" s="39" t="s">
        <v>628</v>
      </c>
      <c r="D617" s="38" t="s">
        <v>72</v>
      </c>
    </row>
    <row r="618" spans="1:4" ht="15.6">
      <c r="A618" s="42" t="s">
        <v>634</v>
      </c>
      <c r="B618" s="39" t="s">
        <v>84</v>
      </c>
      <c r="C618" s="39" t="s">
        <v>628</v>
      </c>
      <c r="D618" s="38" t="s">
        <v>72</v>
      </c>
    </row>
    <row r="619" spans="1:4" ht="15.6">
      <c r="A619" s="42" t="s">
        <v>635</v>
      </c>
      <c r="B619" s="39" t="s">
        <v>86</v>
      </c>
      <c r="C619" s="39" t="s">
        <v>628</v>
      </c>
      <c r="D619" s="38" t="s">
        <v>72</v>
      </c>
    </row>
    <row r="620" spans="1:4" ht="15.6">
      <c r="A620" s="42" t="s">
        <v>636</v>
      </c>
      <c r="B620" s="39" t="s">
        <v>88</v>
      </c>
      <c r="C620" s="39" t="s">
        <v>628</v>
      </c>
      <c r="D620" s="38" t="s">
        <v>72</v>
      </c>
    </row>
    <row r="621" spans="1:4" ht="15.6">
      <c r="A621" s="42" t="s">
        <v>637</v>
      </c>
      <c r="B621" s="39" t="s">
        <v>90</v>
      </c>
      <c r="C621" s="39" t="s">
        <v>628</v>
      </c>
      <c r="D621" s="38" t="s">
        <v>72</v>
      </c>
    </row>
    <row r="622" spans="1:4" ht="15.6">
      <c r="A622" s="42" t="s">
        <v>638</v>
      </c>
      <c r="B622" s="39" t="s">
        <v>92</v>
      </c>
      <c r="C622" s="39" t="s">
        <v>628</v>
      </c>
      <c r="D622" s="39" t="s">
        <v>72</v>
      </c>
    </row>
    <row r="623" spans="1:4" ht="15.6">
      <c r="A623" s="42" t="s">
        <v>639</v>
      </c>
      <c r="B623" s="39" t="s">
        <v>94</v>
      </c>
      <c r="C623" s="39" t="s">
        <v>628</v>
      </c>
      <c r="D623" s="39" t="s">
        <v>72</v>
      </c>
    </row>
    <row r="624" spans="1:4" ht="15.6">
      <c r="A624" s="42" t="s">
        <v>640</v>
      </c>
      <c r="B624" s="39" t="s">
        <v>96</v>
      </c>
      <c r="C624" s="39" t="s">
        <v>628</v>
      </c>
      <c r="D624" s="39" t="s">
        <v>72</v>
      </c>
    </row>
    <row r="625" spans="1:4" ht="15.6">
      <c r="A625" s="42" t="s">
        <v>641</v>
      </c>
      <c r="B625" s="39" t="s">
        <v>98</v>
      </c>
      <c r="C625" s="39" t="s">
        <v>628</v>
      </c>
      <c r="D625" s="39" t="s">
        <v>72</v>
      </c>
    </row>
    <row r="626" spans="1:4" ht="15.6">
      <c r="A626" s="42" t="s">
        <v>642</v>
      </c>
      <c r="B626" s="39" t="s">
        <v>100</v>
      </c>
      <c r="C626" s="39" t="s">
        <v>628</v>
      </c>
      <c r="D626" s="39" t="s">
        <v>72</v>
      </c>
    </row>
    <row r="627" spans="1:4" ht="15.6">
      <c r="A627" s="42" t="s">
        <v>643</v>
      </c>
      <c r="B627" s="39" t="s">
        <v>102</v>
      </c>
      <c r="C627" s="39" t="s">
        <v>628</v>
      </c>
      <c r="D627" s="39" t="s">
        <v>72</v>
      </c>
    </row>
    <row r="628" spans="1:4" ht="15.6">
      <c r="A628" s="42" t="s">
        <v>644</v>
      </c>
      <c r="B628" s="39" t="s">
        <v>104</v>
      </c>
      <c r="C628" s="39" t="s">
        <v>628</v>
      </c>
      <c r="D628" s="39" t="s">
        <v>72</v>
      </c>
    </row>
    <row r="629" spans="1:4" ht="15.6">
      <c r="A629" s="42" t="s">
        <v>645</v>
      </c>
      <c r="B629" s="39" t="s">
        <v>106</v>
      </c>
      <c r="C629" s="39" t="s">
        <v>628</v>
      </c>
      <c r="D629" s="39" t="s">
        <v>72</v>
      </c>
    </row>
    <row r="630" spans="1:4" ht="15.6">
      <c r="A630" s="42" t="s">
        <v>646</v>
      </c>
      <c r="B630" s="39" t="s">
        <v>108</v>
      </c>
      <c r="C630" s="39" t="s">
        <v>628</v>
      </c>
      <c r="D630" s="39" t="s">
        <v>72</v>
      </c>
    </row>
    <row r="631" spans="1:4" ht="15.6">
      <c r="A631" s="42" t="s">
        <v>647</v>
      </c>
      <c r="B631" s="39" t="s">
        <v>110</v>
      </c>
      <c r="C631" s="39" t="s">
        <v>628</v>
      </c>
      <c r="D631" s="39" t="s">
        <v>72</v>
      </c>
    </row>
    <row r="632" spans="1:4" ht="15.6">
      <c r="A632" s="42" t="s">
        <v>648</v>
      </c>
      <c r="B632" s="39" t="s">
        <v>112</v>
      </c>
      <c r="C632" s="39" t="s">
        <v>628</v>
      </c>
      <c r="D632" s="39" t="s">
        <v>72</v>
      </c>
    </row>
    <row r="633" spans="1:4" ht="15.6">
      <c r="A633" s="42" t="s">
        <v>649</v>
      </c>
      <c r="B633" s="39" t="s">
        <v>114</v>
      </c>
      <c r="C633" s="39" t="s">
        <v>628</v>
      </c>
      <c r="D633" s="39" t="s">
        <v>72</v>
      </c>
    </row>
    <row r="634" spans="1:4" ht="15.6">
      <c r="A634" s="42" t="s">
        <v>650</v>
      </c>
      <c r="B634" s="39" t="s">
        <v>116</v>
      </c>
      <c r="C634" s="39" t="s">
        <v>628</v>
      </c>
      <c r="D634" s="39" t="s">
        <v>72</v>
      </c>
    </row>
    <row r="635" spans="1:4" ht="15.6">
      <c r="A635" s="42" t="s">
        <v>651</v>
      </c>
      <c r="B635" s="39" t="s">
        <v>118</v>
      </c>
      <c r="C635" s="39" t="s">
        <v>628</v>
      </c>
      <c r="D635" s="39" t="s">
        <v>72</v>
      </c>
    </row>
    <row r="636" spans="1:4" ht="15.6">
      <c r="A636" s="42" t="s">
        <v>652</v>
      </c>
      <c r="B636" s="39" t="s">
        <v>120</v>
      </c>
      <c r="C636" s="39" t="s">
        <v>628</v>
      </c>
      <c r="D636" s="39" t="s">
        <v>72</v>
      </c>
    </row>
    <row r="637" spans="1:4" ht="15.6">
      <c r="A637" s="42" t="s">
        <v>653</v>
      </c>
      <c r="B637" s="39" t="s">
        <v>122</v>
      </c>
      <c r="C637" s="39" t="s">
        <v>628</v>
      </c>
      <c r="D637" s="39" t="s">
        <v>72</v>
      </c>
    </row>
    <row r="638" spans="1:4" ht="15.6">
      <c r="A638" s="42" t="s">
        <v>654</v>
      </c>
      <c r="B638" s="39" t="s">
        <v>124</v>
      </c>
      <c r="C638" s="39" t="s">
        <v>628</v>
      </c>
      <c r="D638" s="39" t="s">
        <v>72</v>
      </c>
    </row>
    <row r="639" spans="1:4" ht="15.6">
      <c r="A639" s="42" t="s">
        <v>655</v>
      </c>
      <c r="B639" s="39" t="s">
        <v>126</v>
      </c>
      <c r="C639" s="39" t="s">
        <v>628</v>
      </c>
      <c r="D639" s="39" t="s">
        <v>72</v>
      </c>
    </row>
    <row r="640" spans="1:4" ht="15.6">
      <c r="A640" s="42" t="s">
        <v>656</v>
      </c>
      <c r="B640" s="39" t="s">
        <v>128</v>
      </c>
      <c r="C640" s="39" t="s">
        <v>628</v>
      </c>
      <c r="D640" s="39" t="s">
        <v>72</v>
      </c>
    </row>
    <row r="641" spans="1:4" ht="15.6">
      <c r="A641" s="42" t="s">
        <v>657</v>
      </c>
      <c r="B641" s="39" t="s">
        <v>130</v>
      </c>
      <c r="C641" s="39" t="s">
        <v>628</v>
      </c>
      <c r="D641" s="39" t="s">
        <v>72</v>
      </c>
    </row>
    <row r="642" spans="1:4" ht="15.6">
      <c r="A642" s="42" t="s">
        <v>658</v>
      </c>
      <c r="B642" s="39"/>
      <c r="C642" s="39" t="s">
        <v>628</v>
      </c>
      <c r="D642" s="39" t="s">
        <v>72</v>
      </c>
    </row>
    <row r="643" spans="1:4" ht="15.6">
      <c r="A643" s="42" t="s">
        <v>659</v>
      </c>
      <c r="B643" s="39"/>
      <c r="C643" s="39" t="s">
        <v>628</v>
      </c>
      <c r="D643" s="39" t="s">
        <v>72</v>
      </c>
    </row>
    <row r="644" spans="1:4" ht="15.6">
      <c r="A644" s="42" t="s">
        <v>660</v>
      </c>
      <c r="B644" s="39"/>
      <c r="C644" s="39" t="s">
        <v>628</v>
      </c>
      <c r="D644" s="39" t="s">
        <v>72</v>
      </c>
    </row>
    <row r="645" spans="1:4" ht="15.6">
      <c r="A645" s="42" t="s">
        <v>661</v>
      </c>
      <c r="B645" s="39"/>
      <c r="C645" s="39" t="s">
        <v>628</v>
      </c>
      <c r="D645" s="39" t="s">
        <v>72</v>
      </c>
    </row>
    <row r="646" spans="1:4" ht="16.2" thickBot="1">
      <c r="A646" s="42" t="s">
        <v>662</v>
      </c>
      <c r="B646" s="39"/>
      <c r="C646" s="39" t="s">
        <v>628</v>
      </c>
      <c r="D646" s="39" t="s">
        <v>72</v>
      </c>
    </row>
    <row r="647" spans="1:4" ht="31.8" thickBot="1">
      <c r="A647" s="32">
        <v>365</v>
      </c>
      <c r="B647" s="33" t="s">
        <v>663</v>
      </c>
      <c r="C647" s="33" t="s">
        <v>663</v>
      </c>
      <c r="D647" s="34" t="s">
        <v>72</v>
      </c>
    </row>
    <row r="648" spans="1:4" ht="31.2">
      <c r="A648" s="42" t="s">
        <v>664</v>
      </c>
      <c r="B648" s="39" t="s">
        <v>74</v>
      </c>
      <c r="C648" s="39" t="s">
        <v>663</v>
      </c>
      <c r="D648" s="38" t="s">
        <v>72</v>
      </c>
    </row>
    <row r="649" spans="1:4" ht="31.2">
      <c r="A649" s="42" t="s">
        <v>665</v>
      </c>
      <c r="B649" s="39" t="s">
        <v>76</v>
      </c>
      <c r="C649" s="39" t="s">
        <v>663</v>
      </c>
      <c r="D649" s="38" t="s">
        <v>72</v>
      </c>
    </row>
    <row r="650" spans="1:4" ht="31.2">
      <c r="A650" s="42" t="s">
        <v>666</v>
      </c>
      <c r="B650" s="39" t="s">
        <v>141</v>
      </c>
      <c r="C650" s="39" t="s">
        <v>663</v>
      </c>
      <c r="D650" s="38" t="s">
        <v>72</v>
      </c>
    </row>
    <row r="651" spans="1:4" ht="31.2">
      <c r="A651" s="42" t="s">
        <v>667</v>
      </c>
      <c r="B651" s="39" t="s">
        <v>80</v>
      </c>
      <c r="C651" s="39" t="s">
        <v>663</v>
      </c>
      <c r="D651" s="38" t="s">
        <v>72</v>
      </c>
    </row>
    <row r="652" spans="1:4" ht="31.2">
      <c r="A652" s="42" t="s">
        <v>668</v>
      </c>
      <c r="B652" s="39" t="s">
        <v>82</v>
      </c>
      <c r="C652" s="39" t="s">
        <v>663</v>
      </c>
      <c r="D652" s="38" t="s">
        <v>72</v>
      </c>
    </row>
    <row r="653" spans="1:4" ht="31.2">
      <c r="A653" s="42" t="s">
        <v>669</v>
      </c>
      <c r="B653" s="39" t="s">
        <v>84</v>
      </c>
      <c r="C653" s="39" t="s">
        <v>663</v>
      </c>
      <c r="D653" s="38" t="s">
        <v>72</v>
      </c>
    </row>
    <row r="654" spans="1:4" ht="31.2">
      <c r="A654" s="42" t="s">
        <v>670</v>
      </c>
      <c r="B654" s="39" t="s">
        <v>86</v>
      </c>
      <c r="C654" s="39" t="s">
        <v>663</v>
      </c>
      <c r="D654" s="38" t="s">
        <v>72</v>
      </c>
    </row>
    <row r="655" spans="1:4" ht="31.2">
      <c r="A655" s="42" t="s">
        <v>671</v>
      </c>
      <c r="B655" s="39" t="s">
        <v>88</v>
      </c>
      <c r="C655" s="39" t="s">
        <v>663</v>
      </c>
      <c r="D655" s="38" t="s">
        <v>72</v>
      </c>
    </row>
    <row r="656" spans="1:4" ht="31.2">
      <c r="A656" s="42" t="s">
        <v>672</v>
      </c>
      <c r="B656" s="39" t="s">
        <v>90</v>
      </c>
      <c r="C656" s="39" t="s">
        <v>663</v>
      </c>
      <c r="D656" s="38" t="s">
        <v>72</v>
      </c>
    </row>
    <row r="657" spans="1:4" ht="31.2">
      <c r="A657" s="42" t="s">
        <v>673</v>
      </c>
      <c r="B657" s="39" t="s">
        <v>92</v>
      </c>
      <c r="C657" s="39" t="s">
        <v>663</v>
      </c>
      <c r="D657" s="39" t="s">
        <v>72</v>
      </c>
    </row>
    <row r="658" spans="1:4" ht="31.2">
      <c r="A658" s="42" t="s">
        <v>674</v>
      </c>
      <c r="B658" s="39" t="s">
        <v>94</v>
      </c>
      <c r="C658" s="39" t="s">
        <v>663</v>
      </c>
      <c r="D658" s="39" t="s">
        <v>72</v>
      </c>
    </row>
    <row r="659" spans="1:4" ht="31.2">
      <c r="A659" s="42" t="s">
        <v>675</v>
      </c>
      <c r="B659" s="39" t="s">
        <v>96</v>
      </c>
      <c r="C659" s="39" t="s">
        <v>663</v>
      </c>
      <c r="D659" s="39" t="s">
        <v>72</v>
      </c>
    </row>
    <row r="660" spans="1:4" ht="31.2">
      <c r="A660" s="42" t="s">
        <v>676</v>
      </c>
      <c r="B660" s="39" t="s">
        <v>98</v>
      </c>
      <c r="C660" s="39" t="s">
        <v>663</v>
      </c>
      <c r="D660" s="39" t="s">
        <v>72</v>
      </c>
    </row>
    <row r="661" spans="1:4" ht="31.2">
      <c r="A661" s="42" t="s">
        <v>677</v>
      </c>
      <c r="B661" s="39" t="s">
        <v>100</v>
      </c>
      <c r="C661" s="39" t="s">
        <v>663</v>
      </c>
      <c r="D661" s="39" t="s">
        <v>72</v>
      </c>
    </row>
    <row r="662" spans="1:4" ht="31.2">
      <c r="A662" s="42" t="s">
        <v>678</v>
      </c>
      <c r="B662" s="39" t="s">
        <v>102</v>
      </c>
      <c r="C662" s="39" t="s">
        <v>663</v>
      </c>
      <c r="D662" s="39" t="s">
        <v>72</v>
      </c>
    </row>
    <row r="663" spans="1:4" ht="31.2">
      <c r="A663" s="42" t="s">
        <v>679</v>
      </c>
      <c r="B663" s="39" t="s">
        <v>104</v>
      </c>
      <c r="C663" s="39" t="s">
        <v>663</v>
      </c>
      <c r="D663" s="39" t="s">
        <v>72</v>
      </c>
    </row>
    <row r="664" spans="1:4" ht="31.2">
      <c r="A664" s="42" t="s">
        <v>680</v>
      </c>
      <c r="B664" s="39" t="s">
        <v>106</v>
      </c>
      <c r="C664" s="39" t="s">
        <v>663</v>
      </c>
      <c r="D664" s="39" t="s">
        <v>72</v>
      </c>
    </row>
    <row r="665" spans="1:4" ht="31.2">
      <c r="A665" s="42" t="s">
        <v>681</v>
      </c>
      <c r="B665" s="39" t="s">
        <v>108</v>
      </c>
      <c r="C665" s="39" t="s">
        <v>663</v>
      </c>
      <c r="D665" s="39" t="s">
        <v>72</v>
      </c>
    </row>
    <row r="666" spans="1:4" ht="31.2">
      <c r="A666" s="42" t="s">
        <v>682</v>
      </c>
      <c r="B666" s="39" t="s">
        <v>110</v>
      </c>
      <c r="C666" s="39" t="s">
        <v>663</v>
      </c>
      <c r="D666" s="39" t="s">
        <v>72</v>
      </c>
    </row>
    <row r="667" spans="1:4" ht="31.2">
      <c r="A667" s="42" t="s">
        <v>683</v>
      </c>
      <c r="B667" s="39" t="s">
        <v>112</v>
      </c>
      <c r="C667" s="39" t="s">
        <v>663</v>
      </c>
      <c r="D667" s="39" t="s">
        <v>72</v>
      </c>
    </row>
    <row r="668" spans="1:4" ht="31.2">
      <c r="A668" s="42" t="s">
        <v>684</v>
      </c>
      <c r="B668" s="39" t="s">
        <v>114</v>
      </c>
      <c r="C668" s="39" t="s">
        <v>663</v>
      </c>
      <c r="D668" s="39" t="s">
        <v>72</v>
      </c>
    </row>
    <row r="669" spans="1:4" ht="31.2">
      <c r="A669" s="42" t="s">
        <v>685</v>
      </c>
      <c r="B669" s="39" t="s">
        <v>116</v>
      </c>
      <c r="C669" s="39" t="s">
        <v>663</v>
      </c>
      <c r="D669" s="39" t="s">
        <v>72</v>
      </c>
    </row>
    <row r="670" spans="1:4" ht="31.2">
      <c r="A670" s="42" t="s">
        <v>686</v>
      </c>
      <c r="B670" s="39" t="s">
        <v>118</v>
      </c>
      <c r="C670" s="39" t="s">
        <v>663</v>
      </c>
      <c r="D670" s="39" t="s">
        <v>72</v>
      </c>
    </row>
    <row r="671" spans="1:4" ht="31.2">
      <c r="A671" s="42" t="s">
        <v>687</v>
      </c>
      <c r="B671" s="39" t="s">
        <v>120</v>
      </c>
      <c r="C671" s="39" t="s">
        <v>663</v>
      </c>
      <c r="D671" s="39" t="s">
        <v>72</v>
      </c>
    </row>
    <row r="672" spans="1:4" ht="31.2">
      <c r="A672" s="42" t="s">
        <v>688</v>
      </c>
      <c r="B672" s="39" t="s">
        <v>122</v>
      </c>
      <c r="C672" s="39" t="s">
        <v>663</v>
      </c>
      <c r="D672" s="39" t="s">
        <v>72</v>
      </c>
    </row>
    <row r="673" spans="1:4" ht="31.2">
      <c r="A673" s="42" t="s">
        <v>689</v>
      </c>
      <c r="B673" s="39" t="s">
        <v>124</v>
      </c>
      <c r="C673" s="39" t="s">
        <v>663</v>
      </c>
      <c r="D673" s="39" t="s">
        <v>72</v>
      </c>
    </row>
    <row r="674" spans="1:4" ht="31.2">
      <c r="A674" s="42" t="s">
        <v>690</v>
      </c>
      <c r="B674" s="39" t="s">
        <v>126</v>
      </c>
      <c r="C674" s="39" t="s">
        <v>663</v>
      </c>
      <c r="D674" s="39" t="s">
        <v>72</v>
      </c>
    </row>
    <row r="675" spans="1:4" ht="31.2">
      <c r="A675" s="42" t="s">
        <v>691</v>
      </c>
      <c r="B675" s="39" t="s">
        <v>128</v>
      </c>
      <c r="C675" s="39" t="s">
        <v>663</v>
      </c>
      <c r="D675" s="39" t="s">
        <v>72</v>
      </c>
    </row>
    <row r="676" spans="1:4" ht="31.2">
      <c r="A676" s="42" t="s">
        <v>692</v>
      </c>
      <c r="B676" s="39" t="s">
        <v>130</v>
      </c>
      <c r="C676" s="39" t="s">
        <v>663</v>
      </c>
      <c r="D676" s="39" t="s">
        <v>72</v>
      </c>
    </row>
    <row r="677" spans="1:4" ht="31.2">
      <c r="A677" s="42" t="s">
        <v>693</v>
      </c>
      <c r="B677" s="39"/>
      <c r="C677" s="39" t="s">
        <v>663</v>
      </c>
      <c r="D677" s="39" t="s">
        <v>72</v>
      </c>
    </row>
    <row r="678" spans="1:4" ht="31.2">
      <c r="A678" s="42" t="s">
        <v>694</v>
      </c>
      <c r="B678" s="39"/>
      <c r="C678" s="39" t="s">
        <v>663</v>
      </c>
      <c r="D678" s="39" t="s">
        <v>72</v>
      </c>
    </row>
    <row r="679" spans="1:4" ht="31.2">
      <c r="A679" s="42" t="s">
        <v>695</v>
      </c>
      <c r="B679" s="39"/>
      <c r="C679" s="39" t="s">
        <v>663</v>
      </c>
      <c r="D679" s="39" t="s">
        <v>72</v>
      </c>
    </row>
    <row r="680" spans="1:4" ht="31.2">
      <c r="A680" s="42" t="s">
        <v>696</v>
      </c>
      <c r="B680" s="39"/>
      <c r="C680" s="39" t="s">
        <v>663</v>
      </c>
      <c r="D680" s="39" t="s">
        <v>72</v>
      </c>
    </row>
    <row r="681" spans="1:4" ht="31.8" thickBot="1">
      <c r="A681" s="42" t="s">
        <v>697</v>
      </c>
      <c r="B681" s="39"/>
      <c r="C681" s="39" t="s">
        <v>663</v>
      </c>
      <c r="D681" s="39" t="s">
        <v>72</v>
      </c>
    </row>
    <row r="682" spans="1:4" ht="31.8" thickBot="1">
      <c r="A682" s="32">
        <v>372</v>
      </c>
      <c r="B682" s="33" t="s">
        <v>698</v>
      </c>
      <c r="C682" s="33" t="s">
        <v>698</v>
      </c>
      <c r="D682" s="34" t="s">
        <v>72</v>
      </c>
    </row>
    <row r="683" spans="1:4" ht="31.2">
      <c r="A683" s="42" t="s">
        <v>699</v>
      </c>
      <c r="B683" s="39" t="s">
        <v>74</v>
      </c>
      <c r="C683" s="39" t="s">
        <v>698</v>
      </c>
      <c r="D683" s="38" t="s">
        <v>72</v>
      </c>
    </row>
    <row r="684" spans="1:4" ht="31.2">
      <c r="A684" s="42" t="s">
        <v>700</v>
      </c>
      <c r="B684" s="39" t="s">
        <v>76</v>
      </c>
      <c r="C684" s="39" t="s">
        <v>698</v>
      </c>
      <c r="D684" s="38" t="s">
        <v>72</v>
      </c>
    </row>
    <row r="685" spans="1:4" ht="31.2">
      <c r="A685" s="42" t="s">
        <v>701</v>
      </c>
      <c r="B685" s="39" t="s">
        <v>141</v>
      </c>
      <c r="C685" s="39" t="s">
        <v>698</v>
      </c>
      <c r="D685" s="38" t="s">
        <v>72</v>
      </c>
    </row>
    <row r="686" spans="1:4" ht="31.2">
      <c r="A686" s="42" t="s">
        <v>702</v>
      </c>
      <c r="B686" s="39" t="s">
        <v>80</v>
      </c>
      <c r="C686" s="39" t="s">
        <v>698</v>
      </c>
      <c r="D686" s="38" t="s">
        <v>72</v>
      </c>
    </row>
    <row r="687" spans="1:4" ht="31.2">
      <c r="A687" s="42" t="s">
        <v>703</v>
      </c>
      <c r="B687" s="39" t="s">
        <v>82</v>
      </c>
      <c r="C687" s="39" t="s">
        <v>698</v>
      </c>
      <c r="D687" s="38" t="s">
        <v>72</v>
      </c>
    </row>
    <row r="688" spans="1:4" ht="31.2">
      <c r="A688" s="42" t="s">
        <v>704</v>
      </c>
      <c r="B688" s="39" t="s">
        <v>84</v>
      </c>
      <c r="C688" s="39" t="s">
        <v>698</v>
      </c>
      <c r="D688" s="38" t="s">
        <v>72</v>
      </c>
    </row>
    <row r="689" spans="1:4" ht="31.2">
      <c r="A689" s="42" t="s">
        <v>705</v>
      </c>
      <c r="B689" s="39" t="s">
        <v>86</v>
      </c>
      <c r="C689" s="39" t="s">
        <v>698</v>
      </c>
      <c r="D689" s="38" t="s">
        <v>72</v>
      </c>
    </row>
    <row r="690" spans="1:4" ht="31.2">
      <c r="A690" s="42" t="s">
        <v>706</v>
      </c>
      <c r="B690" s="39" t="s">
        <v>88</v>
      </c>
      <c r="C690" s="39" t="s">
        <v>698</v>
      </c>
      <c r="D690" s="38" t="s">
        <v>72</v>
      </c>
    </row>
    <row r="691" spans="1:4" ht="31.2">
      <c r="A691" s="42" t="s">
        <v>707</v>
      </c>
      <c r="B691" s="39" t="s">
        <v>90</v>
      </c>
      <c r="C691" s="39" t="s">
        <v>698</v>
      </c>
      <c r="D691" s="38" t="s">
        <v>72</v>
      </c>
    </row>
    <row r="692" spans="1:4" ht="31.2">
      <c r="A692" s="42" t="s">
        <v>708</v>
      </c>
      <c r="B692" s="39" t="s">
        <v>92</v>
      </c>
      <c r="C692" s="39" t="s">
        <v>698</v>
      </c>
      <c r="D692" s="39" t="s">
        <v>72</v>
      </c>
    </row>
    <row r="693" spans="1:4" ht="31.2">
      <c r="A693" s="42" t="s">
        <v>709</v>
      </c>
      <c r="B693" s="39" t="s">
        <v>94</v>
      </c>
      <c r="C693" s="39" t="s">
        <v>698</v>
      </c>
      <c r="D693" s="39" t="s">
        <v>72</v>
      </c>
    </row>
    <row r="694" spans="1:4" ht="31.2">
      <c r="A694" s="42" t="s">
        <v>710</v>
      </c>
      <c r="B694" s="39" t="s">
        <v>96</v>
      </c>
      <c r="C694" s="39" t="s">
        <v>698</v>
      </c>
      <c r="D694" s="39" t="s">
        <v>72</v>
      </c>
    </row>
    <row r="695" spans="1:4" ht="31.2">
      <c r="A695" s="42" t="s">
        <v>711</v>
      </c>
      <c r="B695" s="39" t="s">
        <v>98</v>
      </c>
      <c r="C695" s="39" t="s">
        <v>698</v>
      </c>
      <c r="D695" s="39" t="s">
        <v>72</v>
      </c>
    </row>
    <row r="696" spans="1:4" ht="31.2">
      <c r="A696" s="42" t="s">
        <v>712</v>
      </c>
      <c r="B696" s="39" t="s">
        <v>100</v>
      </c>
      <c r="C696" s="39" t="s">
        <v>698</v>
      </c>
      <c r="D696" s="39" t="s">
        <v>72</v>
      </c>
    </row>
    <row r="697" spans="1:4" ht="31.2">
      <c r="A697" s="42" t="s">
        <v>713</v>
      </c>
      <c r="B697" s="39" t="s">
        <v>102</v>
      </c>
      <c r="C697" s="39" t="s">
        <v>698</v>
      </c>
      <c r="D697" s="39" t="s">
        <v>72</v>
      </c>
    </row>
    <row r="698" spans="1:4" ht="31.2">
      <c r="A698" s="42" t="s">
        <v>714</v>
      </c>
      <c r="B698" s="39" t="s">
        <v>104</v>
      </c>
      <c r="C698" s="39" t="s">
        <v>698</v>
      </c>
      <c r="D698" s="39" t="s">
        <v>72</v>
      </c>
    </row>
    <row r="699" spans="1:4" ht="31.2">
      <c r="A699" s="42" t="s">
        <v>715</v>
      </c>
      <c r="B699" s="39" t="s">
        <v>106</v>
      </c>
      <c r="C699" s="39" t="s">
        <v>698</v>
      </c>
      <c r="D699" s="39" t="s">
        <v>72</v>
      </c>
    </row>
    <row r="700" spans="1:4" ht="31.2">
      <c r="A700" s="42" t="s">
        <v>716</v>
      </c>
      <c r="B700" s="39" t="s">
        <v>108</v>
      </c>
      <c r="C700" s="39" t="s">
        <v>698</v>
      </c>
      <c r="D700" s="39" t="s">
        <v>72</v>
      </c>
    </row>
    <row r="701" spans="1:4" ht="31.2">
      <c r="A701" s="42" t="s">
        <v>717</v>
      </c>
      <c r="B701" s="39" t="s">
        <v>110</v>
      </c>
      <c r="C701" s="39" t="s">
        <v>698</v>
      </c>
      <c r="D701" s="39" t="s">
        <v>72</v>
      </c>
    </row>
    <row r="702" spans="1:4" ht="31.2">
      <c r="A702" s="42" t="s">
        <v>718</v>
      </c>
      <c r="B702" s="39" t="s">
        <v>112</v>
      </c>
      <c r="C702" s="39" t="s">
        <v>698</v>
      </c>
      <c r="D702" s="39" t="s">
        <v>72</v>
      </c>
    </row>
    <row r="703" spans="1:4" ht="31.2">
      <c r="A703" s="42" t="s">
        <v>719</v>
      </c>
      <c r="B703" s="39" t="s">
        <v>114</v>
      </c>
      <c r="C703" s="39" t="s">
        <v>698</v>
      </c>
      <c r="D703" s="39" t="s">
        <v>72</v>
      </c>
    </row>
    <row r="704" spans="1:4" ht="31.2">
      <c r="A704" s="42" t="s">
        <v>720</v>
      </c>
      <c r="B704" s="39" t="s">
        <v>116</v>
      </c>
      <c r="C704" s="39" t="s">
        <v>698</v>
      </c>
      <c r="D704" s="39" t="s">
        <v>72</v>
      </c>
    </row>
    <row r="705" spans="1:4" ht="31.2">
      <c r="A705" s="42" t="s">
        <v>721</v>
      </c>
      <c r="B705" s="39" t="s">
        <v>118</v>
      </c>
      <c r="C705" s="39" t="s">
        <v>698</v>
      </c>
      <c r="D705" s="39" t="s">
        <v>72</v>
      </c>
    </row>
    <row r="706" spans="1:4" ht="31.2">
      <c r="A706" s="42" t="s">
        <v>722</v>
      </c>
      <c r="B706" s="39" t="s">
        <v>120</v>
      </c>
      <c r="C706" s="39" t="s">
        <v>698</v>
      </c>
      <c r="D706" s="39" t="s">
        <v>72</v>
      </c>
    </row>
    <row r="707" spans="1:4" ht="31.2">
      <c r="A707" s="42" t="s">
        <v>723</v>
      </c>
      <c r="B707" s="39" t="s">
        <v>122</v>
      </c>
      <c r="C707" s="39" t="s">
        <v>698</v>
      </c>
      <c r="D707" s="39" t="s">
        <v>72</v>
      </c>
    </row>
    <row r="708" spans="1:4" ht="31.2">
      <c r="A708" s="42" t="s">
        <v>724</v>
      </c>
      <c r="B708" s="39" t="s">
        <v>124</v>
      </c>
      <c r="C708" s="39" t="s">
        <v>698</v>
      </c>
      <c r="D708" s="39" t="s">
        <v>72</v>
      </c>
    </row>
    <row r="709" spans="1:4" ht="31.2">
      <c r="A709" s="42" t="s">
        <v>725</v>
      </c>
      <c r="B709" s="39" t="s">
        <v>126</v>
      </c>
      <c r="C709" s="39" t="s">
        <v>698</v>
      </c>
      <c r="D709" s="39" t="s">
        <v>72</v>
      </c>
    </row>
    <row r="710" spans="1:4" ht="31.2">
      <c r="A710" s="42" t="s">
        <v>726</v>
      </c>
      <c r="B710" s="39" t="s">
        <v>128</v>
      </c>
      <c r="C710" s="39" t="s">
        <v>698</v>
      </c>
      <c r="D710" s="39" t="s">
        <v>72</v>
      </c>
    </row>
    <row r="711" spans="1:4" ht="31.2">
      <c r="A711" s="42" t="s">
        <v>727</v>
      </c>
      <c r="B711" s="39" t="s">
        <v>130</v>
      </c>
      <c r="C711" s="39" t="s">
        <v>698</v>
      </c>
      <c r="D711" s="39" t="s">
        <v>72</v>
      </c>
    </row>
    <row r="712" spans="1:4" ht="31.2">
      <c r="A712" s="42" t="s">
        <v>728</v>
      </c>
      <c r="B712" s="39"/>
      <c r="C712" s="39" t="s">
        <v>698</v>
      </c>
      <c r="D712" s="39" t="s">
        <v>72</v>
      </c>
    </row>
    <row r="713" spans="1:4" ht="31.2">
      <c r="A713" s="42" t="s">
        <v>729</v>
      </c>
      <c r="B713" s="39"/>
      <c r="C713" s="39" t="s">
        <v>698</v>
      </c>
      <c r="D713" s="39" t="s">
        <v>72</v>
      </c>
    </row>
    <row r="714" spans="1:4" ht="31.2">
      <c r="A714" s="42" t="s">
        <v>730</v>
      </c>
      <c r="B714" s="39"/>
      <c r="C714" s="39" t="s">
        <v>698</v>
      </c>
      <c r="D714" s="39" t="s">
        <v>72</v>
      </c>
    </row>
    <row r="715" spans="1:4" ht="31.2">
      <c r="A715" s="42" t="s">
        <v>731</v>
      </c>
      <c r="B715" s="39"/>
      <c r="C715" s="39" t="s">
        <v>698</v>
      </c>
      <c r="D715" s="39" t="s">
        <v>72</v>
      </c>
    </row>
    <row r="716" spans="1:4" ht="31.8" thickBot="1">
      <c r="A716" s="42" t="s">
        <v>732</v>
      </c>
      <c r="B716" s="39"/>
      <c r="C716" s="39" t="s">
        <v>698</v>
      </c>
      <c r="D716" s="39" t="s">
        <v>72</v>
      </c>
    </row>
    <row r="717" spans="1:4" ht="16.2" thickBot="1">
      <c r="A717" s="32">
        <v>380</v>
      </c>
      <c r="B717" s="33" t="s">
        <v>733</v>
      </c>
      <c r="C717" s="33" t="s">
        <v>733</v>
      </c>
      <c r="D717" s="34" t="s">
        <v>72</v>
      </c>
    </row>
    <row r="718" spans="1:4" ht="15.6">
      <c r="A718" s="42" t="s">
        <v>734</v>
      </c>
      <c r="B718" s="39" t="s">
        <v>74</v>
      </c>
      <c r="C718" s="39" t="s">
        <v>733</v>
      </c>
      <c r="D718" s="38" t="s">
        <v>72</v>
      </c>
    </row>
    <row r="719" spans="1:4" ht="15.6">
      <c r="A719" s="42" t="s">
        <v>735</v>
      </c>
      <c r="B719" s="39" t="s">
        <v>76</v>
      </c>
      <c r="C719" s="39" t="s">
        <v>733</v>
      </c>
      <c r="D719" s="38" t="s">
        <v>72</v>
      </c>
    </row>
    <row r="720" spans="1:4" ht="15.6">
      <c r="A720" s="42" t="s">
        <v>736</v>
      </c>
      <c r="B720" s="39" t="s">
        <v>141</v>
      </c>
      <c r="C720" s="39" t="s">
        <v>733</v>
      </c>
      <c r="D720" s="38" t="s">
        <v>72</v>
      </c>
    </row>
    <row r="721" spans="1:4" ht="15.6">
      <c r="A721" s="42" t="s">
        <v>737</v>
      </c>
      <c r="B721" s="39" t="s">
        <v>80</v>
      </c>
      <c r="C721" s="39" t="s">
        <v>733</v>
      </c>
      <c r="D721" s="38" t="s">
        <v>72</v>
      </c>
    </row>
    <row r="722" spans="1:4" ht="15.6">
      <c r="A722" s="42" t="s">
        <v>738</v>
      </c>
      <c r="B722" s="39" t="s">
        <v>82</v>
      </c>
      <c r="C722" s="39" t="s">
        <v>733</v>
      </c>
      <c r="D722" s="38" t="s">
        <v>72</v>
      </c>
    </row>
    <row r="723" spans="1:4" ht="15.6">
      <c r="A723" s="42" t="s">
        <v>739</v>
      </c>
      <c r="B723" s="39" t="s">
        <v>84</v>
      </c>
      <c r="C723" s="39" t="s">
        <v>733</v>
      </c>
      <c r="D723" s="38" t="s">
        <v>72</v>
      </c>
    </row>
    <row r="724" spans="1:4" ht="15.6">
      <c r="A724" s="42" t="s">
        <v>740</v>
      </c>
      <c r="B724" s="39" t="s">
        <v>86</v>
      </c>
      <c r="C724" s="39" t="s">
        <v>733</v>
      </c>
      <c r="D724" s="38" t="s">
        <v>72</v>
      </c>
    </row>
    <row r="725" spans="1:4" ht="15.6">
      <c r="A725" s="42" t="s">
        <v>741</v>
      </c>
      <c r="B725" s="39" t="s">
        <v>88</v>
      </c>
      <c r="C725" s="39" t="s">
        <v>733</v>
      </c>
      <c r="D725" s="38" t="s">
        <v>72</v>
      </c>
    </row>
    <row r="726" spans="1:4" ht="15.6">
      <c r="A726" s="42" t="s">
        <v>742</v>
      </c>
      <c r="B726" s="39" t="s">
        <v>90</v>
      </c>
      <c r="C726" s="39" t="s">
        <v>733</v>
      </c>
      <c r="D726" s="38" t="s">
        <v>72</v>
      </c>
    </row>
    <row r="727" spans="1:4" ht="15.6">
      <c r="A727" s="42" t="s">
        <v>743</v>
      </c>
      <c r="B727" s="39" t="s">
        <v>92</v>
      </c>
      <c r="C727" s="39" t="s">
        <v>733</v>
      </c>
      <c r="D727" s="39" t="s">
        <v>72</v>
      </c>
    </row>
    <row r="728" spans="1:4" ht="15.6">
      <c r="A728" s="42" t="s">
        <v>744</v>
      </c>
      <c r="B728" s="39" t="s">
        <v>94</v>
      </c>
      <c r="C728" s="39" t="s">
        <v>733</v>
      </c>
      <c r="D728" s="39" t="s">
        <v>72</v>
      </c>
    </row>
    <row r="729" spans="1:4" ht="15.6">
      <c r="A729" s="42" t="s">
        <v>745</v>
      </c>
      <c r="B729" s="39" t="s">
        <v>96</v>
      </c>
      <c r="C729" s="39" t="s">
        <v>733</v>
      </c>
      <c r="D729" s="39" t="s">
        <v>72</v>
      </c>
    </row>
    <row r="730" spans="1:4" ht="15.6">
      <c r="A730" s="42" t="s">
        <v>746</v>
      </c>
      <c r="B730" s="39" t="s">
        <v>98</v>
      </c>
      <c r="C730" s="39" t="s">
        <v>733</v>
      </c>
      <c r="D730" s="39" t="s">
        <v>72</v>
      </c>
    </row>
    <row r="731" spans="1:4" ht="15.6">
      <c r="A731" s="42" t="s">
        <v>747</v>
      </c>
      <c r="B731" s="39" t="s">
        <v>100</v>
      </c>
      <c r="C731" s="39" t="s">
        <v>733</v>
      </c>
      <c r="D731" s="39" t="s">
        <v>72</v>
      </c>
    </row>
    <row r="732" spans="1:4" ht="15.6">
      <c r="A732" s="42" t="s">
        <v>748</v>
      </c>
      <c r="B732" s="39" t="s">
        <v>102</v>
      </c>
      <c r="C732" s="39" t="s">
        <v>733</v>
      </c>
      <c r="D732" s="39" t="s">
        <v>72</v>
      </c>
    </row>
    <row r="733" spans="1:4" ht="15.6">
      <c r="A733" s="42" t="s">
        <v>749</v>
      </c>
      <c r="B733" s="39" t="s">
        <v>104</v>
      </c>
      <c r="C733" s="39" t="s">
        <v>733</v>
      </c>
      <c r="D733" s="39" t="s">
        <v>72</v>
      </c>
    </row>
    <row r="734" spans="1:4" ht="15.6">
      <c r="A734" s="42" t="s">
        <v>750</v>
      </c>
      <c r="B734" s="39" t="s">
        <v>106</v>
      </c>
      <c r="C734" s="39" t="s">
        <v>733</v>
      </c>
      <c r="D734" s="39" t="s">
        <v>72</v>
      </c>
    </row>
    <row r="735" spans="1:4" ht="15.6">
      <c r="A735" s="42" t="s">
        <v>751</v>
      </c>
      <c r="B735" s="39" t="s">
        <v>108</v>
      </c>
      <c r="C735" s="39" t="s">
        <v>733</v>
      </c>
      <c r="D735" s="39" t="s">
        <v>72</v>
      </c>
    </row>
    <row r="736" spans="1:4" ht="15.6">
      <c r="A736" s="42" t="s">
        <v>752</v>
      </c>
      <c r="B736" s="39" t="s">
        <v>110</v>
      </c>
      <c r="C736" s="39" t="s">
        <v>733</v>
      </c>
      <c r="D736" s="39" t="s">
        <v>72</v>
      </c>
    </row>
    <row r="737" spans="1:4" ht="15.6">
      <c r="A737" s="42" t="s">
        <v>753</v>
      </c>
      <c r="B737" s="39" t="s">
        <v>112</v>
      </c>
      <c r="C737" s="39" t="s">
        <v>733</v>
      </c>
      <c r="D737" s="39" t="s">
        <v>72</v>
      </c>
    </row>
    <row r="738" spans="1:4" ht="15.6">
      <c r="A738" s="42" t="s">
        <v>754</v>
      </c>
      <c r="B738" s="39" t="s">
        <v>114</v>
      </c>
      <c r="C738" s="39" t="s">
        <v>733</v>
      </c>
      <c r="D738" s="39" t="s">
        <v>72</v>
      </c>
    </row>
    <row r="739" spans="1:4" ht="15.6">
      <c r="A739" s="42" t="s">
        <v>755</v>
      </c>
      <c r="B739" s="39" t="s">
        <v>116</v>
      </c>
      <c r="C739" s="39" t="s">
        <v>733</v>
      </c>
      <c r="D739" s="39" t="s">
        <v>72</v>
      </c>
    </row>
    <row r="740" spans="1:4" ht="15.6">
      <c r="A740" s="42" t="s">
        <v>756</v>
      </c>
      <c r="B740" s="39" t="s">
        <v>118</v>
      </c>
      <c r="C740" s="39" t="s">
        <v>733</v>
      </c>
      <c r="D740" s="39" t="s">
        <v>72</v>
      </c>
    </row>
    <row r="741" spans="1:4" ht="15.6">
      <c r="A741" s="42" t="s">
        <v>757</v>
      </c>
      <c r="B741" s="39" t="s">
        <v>120</v>
      </c>
      <c r="C741" s="39" t="s">
        <v>733</v>
      </c>
      <c r="D741" s="39" t="s">
        <v>72</v>
      </c>
    </row>
    <row r="742" spans="1:4" ht="15.6">
      <c r="A742" s="42" t="s">
        <v>758</v>
      </c>
      <c r="B742" s="39" t="s">
        <v>122</v>
      </c>
      <c r="C742" s="39" t="s">
        <v>733</v>
      </c>
      <c r="D742" s="39" t="s">
        <v>72</v>
      </c>
    </row>
    <row r="743" spans="1:4" ht="15.6">
      <c r="A743" s="42" t="s">
        <v>759</v>
      </c>
      <c r="B743" s="39" t="s">
        <v>124</v>
      </c>
      <c r="C743" s="39" t="s">
        <v>733</v>
      </c>
      <c r="D743" s="39" t="s">
        <v>72</v>
      </c>
    </row>
    <row r="744" spans="1:4" ht="15.6">
      <c r="A744" s="42" t="s">
        <v>760</v>
      </c>
      <c r="B744" s="39" t="s">
        <v>126</v>
      </c>
      <c r="C744" s="39" t="s">
        <v>733</v>
      </c>
      <c r="D744" s="39" t="s">
        <v>72</v>
      </c>
    </row>
    <row r="745" spans="1:4" ht="15.6">
      <c r="A745" s="42" t="s">
        <v>761</v>
      </c>
      <c r="B745" s="39" t="s">
        <v>128</v>
      </c>
      <c r="C745" s="39" t="s">
        <v>733</v>
      </c>
      <c r="D745" s="39" t="s">
        <v>72</v>
      </c>
    </row>
    <row r="746" spans="1:4" ht="15.6">
      <c r="A746" s="42" t="s">
        <v>762</v>
      </c>
      <c r="B746" s="39" t="s">
        <v>130</v>
      </c>
      <c r="C746" s="39" t="s">
        <v>733</v>
      </c>
      <c r="D746" s="39" t="s">
        <v>72</v>
      </c>
    </row>
    <row r="747" spans="1:4" ht="15.6">
      <c r="A747" s="42" t="s">
        <v>763</v>
      </c>
      <c r="B747" s="39"/>
      <c r="C747" s="39" t="s">
        <v>733</v>
      </c>
      <c r="D747" s="39" t="s">
        <v>72</v>
      </c>
    </row>
    <row r="748" spans="1:4" ht="15.6">
      <c r="A748" s="42" t="s">
        <v>764</v>
      </c>
      <c r="B748" s="39"/>
      <c r="C748" s="39" t="s">
        <v>733</v>
      </c>
      <c r="D748" s="39" t="s">
        <v>72</v>
      </c>
    </row>
    <row r="749" spans="1:4" ht="15.6">
      <c r="A749" s="42" t="s">
        <v>765</v>
      </c>
      <c r="B749" s="39"/>
      <c r="C749" s="39" t="s">
        <v>733</v>
      </c>
      <c r="D749" s="39" t="s">
        <v>72</v>
      </c>
    </row>
    <row r="750" spans="1:4" ht="15.6">
      <c r="A750" s="42" t="s">
        <v>766</v>
      </c>
      <c r="B750" s="39"/>
      <c r="C750" s="39" t="s">
        <v>733</v>
      </c>
      <c r="D750" s="39" t="s">
        <v>72</v>
      </c>
    </row>
    <row r="751" spans="1:4" ht="16.2" thickBot="1">
      <c r="A751" s="42" t="s">
        <v>767</v>
      </c>
      <c r="B751" s="39"/>
      <c r="C751" s="39" t="s">
        <v>733</v>
      </c>
      <c r="D751" s="39" t="s">
        <v>72</v>
      </c>
    </row>
    <row r="752" spans="1:4" ht="16.2" thickBot="1">
      <c r="A752" s="32">
        <v>388</v>
      </c>
      <c r="B752" s="33" t="s">
        <v>768</v>
      </c>
      <c r="C752" s="33" t="s">
        <v>768</v>
      </c>
      <c r="D752" s="34" t="s">
        <v>72</v>
      </c>
    </row>
    <row r="753" spans="1:4" ht="15.6">
      <c r="A753" s="42" t="s">
        <v>769</v>
      </c>
      <c r="B753" s="39" t="s">
        <v>74</v>
      </c>
      <c r="C753" s="39" t="s">
        <v>768</v>
      </c>
      <c r="D753" s="38" t="s">
        <v>72</v>
      </c>
    </row>
    <row r="754" spans="1:4" ht="15.6">
      <c r="A754" s="42" t="s">
        <v>770</v>
      </c>
      <c r="B754" s="39" t="s">
        <v>76</v>
      </c>
      <c r="C754" s="39" t="s">
        <v>768</v>
      </c>
      <c r="D754" s="38" t="s">
        <v>72</v>
      </c>
    </row>
    <row r="755" spans="1:4" ht="15.6">
      <c r="A755" s="42" t="s">
        <v>771</v>
      </c>
      <c r="B755" s="39" t="s">
        <v>141</v>
      </c>
      <c r="C755" s="39" t="s">
        <v>768</v>
      </c>
      <c r="D755" s="38" t="s">
        <v>72</v>
      </c>
    </row>
    <row r="756" spans="1:4" ht="15.6">
      <c r="A756" s="42" t="s">
        <v>772</v>
      </c>
      <c r="B756" s="39" t="s">
        <v>80</v>
      </c>
      <c r="C756" s="39" t="s">
        <v>768</v>
      </c>
      <c r="D756" s="38" t="s">
        <v>72</v>
      </c>
    </row>
    <row r="757" spans="1:4" ht="15.6">
      <c r="A757" s="42" t="s">
        <v>773</v>
      </c>
      <c r="B757" s="39" t="s">
        <v>82</v>
      </c>
      <c r="C757" s="39" t="s">
        <v>768</v>
      </c>
      <c r="D757" s="38" t="s">
        <v>72</v>
      </c>
    </row>
    <row r="758" spans="1:4" ht="15.6">
      <c r="A758" s="42" t="s">
        <v>774</v>
      </c>
      <c r="B758" s="39" t="s">
        <v>84</v>
      </c>
      <c r="C758" s="39" t="s">
        <v>768</v>
      </c>
      <c r="D758" s="38" t="s">
        <v>72</v>
      </c>
    </row>
    <row r="759" spans="1:4" ht="15.6">
      <c r="A759" s="42" t="s">
        <v>775</v>
      </c>
      <c r="B759" s="39" t="s">
        <v>86</v>
      </c>
      <c r="C759" s="39" t="s">
        <v>768</v>
      </c>
      <c r="D759" s="38" t="s">
        <v>72</v>
      </c>
    </row>
    <row r="760" spans="1:4" ht="15.6">
      <c r="A760" s="42" t="s">
        <v>776</v>
      </c>
      <c r="B760" s="39" t="s">
        <v>88</v>
      </c>
      <c r="C760" s="39" t="s">
        <v>768</v>
      </c>
      <c r="D760" s="38" t="s">
        <v>72</v>
      </c>
    </row>
    <row r="761" spans="1:4" ht="15.6">
      <c r="A761" s="42" t="s">
        <v>777</v>
      </c>
      <c r="B761" s="39" t="s">
        <v>90</v>
      </c>
      <c r="C761" s="39" t="s">
        <v>768</v>
      </c>
      <c r="D761" s="38" t="s">
        <v>72</v>
      </c>
    </row>
    <row r="762" spans="1:4" ht="15.6">
      <c r="A762" s="42" t="s">
        <v>778</v>
      </c>
      <c r="B762" s="39" t="s">
        <v>92</v>
      </c>
      <c r="C762" s="39" t="s">
        <v>768</v>
      </c>
      <c r="D762" s="39" t="s">
        <v>72</v>
      </c>
    </row>
    <row r="763" spans="1:4" ht="15.6">
      <c r="A763" s="42" t="s">
        <v>779</v>
      </c>
      <c r="B763" s="39" t="s">
        <v>94</v>
      </c>
      <c r="C763" s="39" t="s">
        <v>768</v>
      </c>
      <c r="D763" s="39" t="s">
        <v>72</v>
      </c>
    </row>
    <row r="764" spans="1:4" ht="15.6">
      <c r="A764" s="42" t="s">
        <v>780</v>
      </c>
      <c r="B764" s="39" t="s">
        <v>96</v>
      </c>
      <c r="C764" s="39" t="s">
        <v>768</v>
      </c>
      <c r="D764" s="39" t="s">
        <v>72</v>
      </c>
    </row>
    <row r="765" spans="1:4" ht="15.6">
      <c r="A765" s="42" t="s">
        <v>781</v>
      </c>
      <c r="B765" s="39" t="s">
        <v>98</v>
      </c>
      <c r="C765" s="39" t="s">
        <v>768</v>
      </c>
      <c r="D765" s="39" t="s">
        <v>72</v>
      </c>
    </row>
    <row r="766" spans="1:4" ht="15.6">
      <c r="A766" s="42" t="s">
        <v>782</v>
      </c>
      <c r="B766" s="39" t="s">
        <v>100</v>
      </c>
      <c r="C766" s="39" t="s">
        <v>768</v>
      </c>
      <c r="D766" s="39" t="s">
        <v>72</v>
      </c>
    </row>
    <row r="767" spans="1:4" ht="15.6">
      <c r="A767" s="42" t="s">
        <v>783</v>
      </c>
      <c r="B767" s="39" t="s">
        <v>102</v>
      </c>
      <c r="C767" s="39" t="s">
        <v>768</v>
      </c>
      <c r="D767" s="39" t="s">
        <v>72</v>
      </c>
    </row>
    <row r="768" spans="1:4" ht="15.6">
      <c r="A768" s="42" t="s">
        <v>784</v>
      </c>
      <c r="B768" s="39" t="s">
        <v>104</v>
      </c>
      <c r="C768" s="39" t="s">
        <v>768</v>
      </c>
      <c r="D768" s="39" t="s">
        <v>72</v>
      </c>
    </row>
    <row r="769" spans="1:4" ht="15.6">
      <c r="A769" s="42" t="s">
        <v>785</v>
      </c>
      <c r="B769" s="39" t="s">
        <v>106</v>
      </c>
      <c r="C769" s="39" t="s">
        <v>768</v>
      </c>
      <c r="D769" s="39" t="s">
        <v>72</v>
      </c>
    </row>
    <row r="770" spans="1:4" ht="15.6">
      <c r="A770" s="42" t="s">
        <v>786</v>
      </c>
      <c r="B770" s="39" t="s">
        <v>108</v>
      </c>
      <c r="C770" s="39" t="s">
        <v>768</v>
      </c>
      <c r="D770" s="39" t="s">
        <v>72</v>
      </c>
    </row>
    <row r="771" spans="1:4" ht="15.6">
      <c r="A771" s="42" t="s">
        <v>787</v>
      </c>
      <c r="B771" s="39" t="s">
        <v>110</v>
      </c>
      <c r="C771" s="39" t="s">
        <v>768</v>
      </c>
      <c r="D771" s="39" t="s">
        <v>72</v>
      </c>
    </row>
    <row r="772" spans="1:4" ht="15.6">
      <c r="A772" s="42" t="s">
        <v>788</v>
      </c>
      <c r="B772" s="39" t="s">
        <v>112</v>
      </c>
      <c r="C772" s="39" t="s">
        <v>768</v>
      </c>
      <c r="D772" s="39" t="s">
        <v>72</v>
      </c>
    </row>
    <row r="773" spans="1:4" ht="15.6">
      <c r="A773" s="42" t="s">
        <v>789</v>
      </c>
      <c r="B773" s="39" t="s">
        <v>114</v>
      </c>
      <c r="C773" s="39" t="s">
        <v>768</v>
      </c>
      <c r="D773" s="39" t="s">
        <v>72</v>
      </c>
    </row>
    <row r="774" spans="1:4" ht="15.6">
      <c r="A774" s="42" t="s">
        <v>790</v>
      </c>
      <c r="B774" s="39" t="s">
        <v>116</v>
      </c>
      <c r="C774" s="39" t="s">
        <v>768</v>
      </c>
      <c r="D774" s="39" t="s">
        <v>72</v>
      </c>
    </row>
    <row r="775" spans="1:4" ht="15.6">
      <c r="A775" s="42" t="s">
        <v>791</v>
      </c>
      <c r="B775" s="39" t="s">
        <v>118</v>
      </c>
      <c r="C775" s="39" t="s">
        <v>768</v>
      </c>
      <c r="D775" s="39" t="s">
        <v>72</v>
      </c>
    </row>
    <row r="776" spans="1:4" ht="15.6">
      <c r="A776" s="42" t="s">
        <v>792</v>
      </c>
      <c r="B776" s="39" t="s">
        <v>120</v>
      </c>
      <c r="C776" s="39" t="s">
        <v>768</v>
      </c>
      <c r="D776" s="39" t="s">
        <v>72</v>
      </c>
    </row>
    <row r="777" spans="1:4" ht="15.6">
      <c r="A777" s="42" t="s">
        <v>793</v>
      </c>
      <c r="B777" s="39" t="s">
        <v>122</v>
      </c>
      <c r="C777" s="39" t="s">
        <v>768</v>
      </c>
      <c r="D777" s="39" t="s">
        <v>72</v>
      </c>
    </row>
    <row r="778" spans="1:4" ht="15.6">
      <c r="A778" s="42" t="s">
        <v>794</v>
      </c>
      <c r="B778" s="39" t="s">
        <v>124</v>
      </c>
      <c r="C778" s="39" t="s">
        <v>768</v>
      </c>
      <c r="D778" s="39" t="s">
        <v>72</v>
      </c>
    </row>
    <row r="779" spans="1:4" ht="15.6">
      <c r="A779" s="42" t="s">
        <v>795</v>
      </c>
      <c r="B779" s="39" t="s">
        <v>126</v>
      </c>
      <c r="C779" s="39" t="s">
        <v>768</v>
      </c>
      <c r="D779" s="39" t="s">
        <v>72</v>
      </c>
    </row>
    <row r="780" spans="1:4" ht="15.6">
      <c r="A780" s="42" t="s">
        <v>796</v>
      </c>
      <c r="B780" s="39" t="s">
        <v>128</v>
      </c>
      <c r="C780" s="39" t="s">
        <v>768</v>
      </c>
      <c r="D780" s="39" t="s">
        <v>72</v>
      </c>
    </row>
    <row r="781" spans="1:4" ht="15.6">
      <c r="A781" s="42" t="s">
        <v>797</v>
      </c>
      <c r="B781" s="39" t="s">
        <v>130</v>
      </c>
      <c r="C781" s="39" t="s">
        <v>768</v>
      </c>
      <c r="D781" s="39" t="s">
        <v>72</v>
      </c>
    </row>
    <row r="782" spans="1:4" ht="15.6">
      <c r="A782" s="42" t="s">
        <v>798</v>
      </c>
      <c r="B782" s="39"/>
      <c r="C782" s="39" t="s">
        <v>768</v>
      </c>
      <c r="D782" s="39" t="s">
        <v>72</v>
      </c>
    </row>
    <row r="783" spans="1:4" ht="15.6">
      <c r="A783" s="42" t="s">
        <v>799</v>
      </c>
      <c r="B783" s="39"/>
      <c r="C783" s="39" t="s">
        <v>768</v>
      </c>
      <c r="D783" s="39" t="s">
        <v>72</v>
      </c>
    </row>
    <row r="784" spans="1:4" ht="15.6">
      <c r="A784" s="42" t="s">
        <v>800</v>
      </c>
      <c r="B784" s="39"/>
      <c r="C784" s="39" t="s">
        <v>768</v>
      </c>
      <c r="D784" s="39" t="s">
        <v>72</v>
      </c>
    </row>
    <row r="785" spans="1:4" ht="15.6">
      <c r="A785" s="42" t="s">
        <v>801</v>
      </c>
      <c r="B785" s="39"/>
      <c r="C785" s="39" t="s">
        <v>768</v>
      </c>
      <c r="D785" s="39" t="s">
        <v>72</v>
      </c>
    </row>
    <row r="786" spans="1:4" ht="16.2" thickBot="1">
      <c r="A786" s="42" t="s">
        <v>802</v>
      </c>
      <c r="B786" s="39"/>
      <c r="C786" s="39" t="s">
        <v>768</v>
      </c>
      <c r="D786" s="39" t="s">
        <v>72</v>
      </c>
    </row>
    <row r="787" spans="1:4" ht="16.2" thickBot="1">
      <c r="A787" s="32">
        <v>401</v>
      </c>
      <c r="B787" s="33" t="s">
        <v>803</v>
      </c>
      <c r="C787" s="33" t="s">
        <v>803</v>
      </c>
      <c r="D787" s="34" t="s">
        <v>72</v>
      </c>
    </row>
    <row r="788" spans="1:4" ht="15.6">
      <c r="A788" s="42" t="s">
        <v>804</v>
      </c>
      <c r="B788" s="39" t="s">
        <v>74</v>
      </c>
      <c r="C788" s="39" t="s">
        <v>803</v>
      </c>
      <c r="D788" s="38" t="s">
        <v>72</v>
      </c>
    </row>
    <row r="789" spans="1:4" ht="15.6">
      <c r="A789" s="42" t="s">
        <v>805</v>
      </c>
      <c r="B789" s="39" t="s">
        <v>76</v>
      </c>
      <c r="C789" s="39" t="s">
        <v>803</v>
      </c>
      <c r="D789" s="38" t="s">
        <v>72</v>
      </c>
    </row>
    <row r="790" spans="1:4" ht="15.6">
      <c r="A790" s="42" t="s">
        <v>806</v>
      </c>
      <c r="B790" s="39" t="s">
        <v>141</v>
      </c>
      <c r="C790" s="39" t="s">
        <v>803</v>
      </c>
      <c r="D790" s="38" t="s">
        <v>72</v>
      </c>
    </row>
    <row r="791" spans="1:4" ht="15.6">
      <c r="A791" s="42" t="s">
        <v>807</v>
      </c>
      <c r="B791" s="39" t="s">
        <v>80</v>
      </c>
      <c r="C791" s="39" t="s">
        <v>803</v>
      </c>
      <c r="D791" s="38" t="s">
        <v>72</v>
      </c>
    </row>
    <row r="792" spans="1:4" ht="15.6">
      <c r="A792" s="42" t="s">
        <v>808</v>
      </c>
      <c r="B792" s="39" t="s">
        <v>82</v>
      </c>
      <c r="C792" s="39" t="s">
        <v>803</v>
      </c>
      <c r="D792" s="38" t="s">
        <v>72</v>
      </c>
    </row>
    <row r="793" spans="1:4" ht="15.6">
      <c r="A793" s="42" t="s">
        <v>809</v>
      </c>
      <c r="B793" s="39" t="s">
        <v>84</v>
      </c>
      <c r="C793" s="39" t="s">
        <v>803</v>
      </c>
      <c r="D793" s="38" t="s">
        <v>72</v>
      </c>
    </row>
    <row r="794" spans="1:4" ht="15.6">
      <c r="A794" s="42" t="s">
        <v>810</v>
      </c>
      <c r="B794" s="39" t="s">
        <v>86</v>
      </c>
      <c r="C794" s="39" t="s">
        <v>803</v>
      </c>
      <c r="D794" s="38" t="s">
        <v>72</v>
      </c>
    </row>
    <row r="795" spans="1:4" ht="15.6">
      <c r="A795" s="42" t="s">
        <v>811</v>
      </c>
      <c r="B795" s="39" t="s">
        <v>88</v>
      </c>
      <c r="C795" s="39" t="s">
        <v>803</v>
      </c>
      <c r="D795" s="38" t="s">
        <v>72</v>
      </c>
    </row>
    <row r="796" spans="1:4" ht="15.6">
      <c r="A796" s="42" t="s">
        <v>812</v>
      </c>
      <c r="B796" s="39" t="s">
        <v>90</v>
      </c>
      <c r="C796" s="39" t="s">
        <v>803</v>
      </c>
      <c r="D796" s="38" t="s">
        <v>72</v>
      </c>
    </row>
    <row r="797" spans="1:4" ht="15.6">
      <c r="A797" s="42" t="s">
        <v>813</v>
      </c>
      <c r="B797" s="39" t="s">
        <v>92</v>
      </c>
      <c r="C797" s="39" t="s">
        <v>803</v>
      </c>
      <c r="D797" s="39" t="s">
        <v>72</v>
      </c>
    </row>
    <row r="798" spans="1:4" ht="15.6">
      <c r="A798" s="42" t="s">
        <v>814</v>
      </c>
      <c r="B798" s="39" t="s">
        <v>94</v>
      </c>
      <c r="C798" s="39" t="s">
        <v>803</v>
      </c>
      <c r="D798" s="39" t="s">
        <v>72</v>
      </c>
    </row>
    <row r="799" spans="1:4" ht="15.6">
      <c r="A799" s="42" t="s">
        <v>815</v>
      </c>
      <c r="B799" s="39" t="s">
        <v>96</v>
      </c>
      <c r="C799" s="39" t="s">
        <v>803</v>
      </c>
      <c r="D799" s="39" t="s">
        <v>72</v>
      </c>
    </row>
    <row r="800" spans="1:4" ht="15.6">
      <c r="A800" s="42" t="s">
        <v>816</v>
      </c>
      <c r="B800" s="39" t="s">
        <v>98</v>
      </c>
      <c r="C800" s="39" t="s">
        <v>803</v>
      </c>
      <c r="D800" s="39" t="s">
        <v>72</v>
      </c>
    </row>
    <row r="801" spans="1:4" ht="15.6">
      <c r="A801" s="42" t="s">
        <v>817</v>
      </c>
      <c r="B801" s="39" t="s">
        <v>100</v>
      </c>
      <c r="C801" s="39" t="s">
        <v>803</v>
      </c>
      <c r="D801" s="39" t="s">
        <v>72</v>
      </c>
    </row>
    <row r="802" spans="1:4" ht="15.6">
      <c r="A802" s="42" t="s">
        <v>818</v>
      </c>
      <c r="B802" s="39" t="s">
        <v>102</v>
      </c>
      <c r="C802" s="39" t="s">
        <v>803</v>
      </c>
      <c r="D802" s="39" t="s">
        <v>72</v>
      </c>
    </row>
    <row r="803" spans="1:4" ht="15.6">
      <c r="A803" s="42" t="s">
        <v>819</v>
      </c>
      <c r="B803" s="39" t="s">
        <v>104</v>
      </c>
      <c r="C803" s="39" t="s">
        <v>803</v>
      </c>
      <c r="D803" s="39" t="s">
        <v>72</v>
      </c>
    </row>
    <row r="804" spans="1:4" ht="15.6">
      <c r="A804" s="42" t="s">
        <v>820</v>
      </c>
      <c r="B804" s="39" t="s">
        <v>106</v>
      </c>
      <c r="C804" s="39" t="s">
        <v>803</v>
      </c>
      <c r="D804" s="39" t="s">
        <v>72</v>
      </c>
    </row>
    <row r="805" spans="1:4" ht="15.6">
      <c r="A805" s="42" t="s">
        <v>821</v>
      </c>
      <c r="B805" s="39" t="s">
        <v>108</v>
      </c>
      <c r="C805" s="39" t="s">
        <v>803</v>
      </c>
      <c r="D805" s="39" t="s">
        <v>72</v>
      </c>
    </row>
    <row r="806" spans="1:4" ht="15.6">
      <c r="A806" s="42" t="s">
        <v>822</v>
      </c>
      <c r="B806" s="39" t="s">
        <v>110</v>
      </c>
      <c r="C806" s="39" t="s">
        <v>803</v>
      </c>
      <c r="D806" s="39" t="s">
        <v>72</v>
      </c>
    </row>
    <row r="807" spans="1:4" ht="15.6">
      <c r="A807" s="42" t="s">
        <v>823</v>
      </c>
      <c r="B807" s="39" t="s">
        <v>112</v>
      </c>
      <c r="C807" s="39" t="s">
        <v>803</v>
      </c>
      <c r="D807" s="39" t="s">
        <v>72</v>
      </c>
    </row>
    <row r="808" spans="1:4" ht="15.6">
      <c r="A808" s="42" t="s">
        <v>824</v>
      </c>
      <c r="B808" s="39" t="s">
        <v>114</v>
      </c>
      <c r="C808" s="39" t="s">
        <v>803</v>
      </c>
      <c r="D808" s="39" t="s">
        <v>72</v>
      </c>
    </row>
    <row r="809" spans="1:4" ht="15.6">
      <c r="A809" s="42" t="s">
        <v>825</v>
      </c>
      <c r="B809" s="39" t="s">
        <v>116</v>
      </c>
      <c r="C809" s="39" t="s">
        <v>803</v>
      </c>
      <c r="D809" s="39" t="s">
        <v>72</v>
      </c>
    </row>
    <row r="810" spans="1:4" ht="15.6">
      <c r="A810" s="42" t="s">
        <v>826</v>
      </c>
      <c r="B810" s="39" t="s">
        <v>118</v>
      </c>
      <c r="C810" s="39" t="s">
        <v>803</v>
      </c>
      <c r="D810" s="39" t="s">
        <v>72</v>
      </c>
    </row>
    <row r="811" spans="1:4" ht="15.6">
      <c r="A811" s="42" t="s">
        <v>827</v>
      </c>
      <c r="B811" s="39" t="s">
        <v>120</v>
      </c>
      <c r="C811" s="39" t="s">
        <v>803</v>
      </c>
      <c r="D811" s="39" t="s">
        <v>72</v>
      </c>
    </row>
    <row r="812" spans="1:4" ht="15.6">
      <c r="A812" s="42" t="s">
        <v>828</v>
      </c>
      <c r="B812" s="39" t="s">
        <v>122</v>
      </c>
      <c r="C812" s="39" t="s">
        <v>803</v>
      </c>
      <c r="D812" s="39" t="s">
        <v>72</v>
      </c>
    </row>
    <row r="813" spans="1:4" ht="15.6">
      <c r="A813" s="42" t="s">
        <v>829</v>
      </c>
      <c r="B813" s="39" t="s">
        <v>124</v>
      </c>
      <c r="C813" s="39" t="s">
        <v>803</v>
      </c>
      <c r="D813" s="39" t="s">
        <v>72</v>
      </c>
    </row>
    <row r="814" spans="1:4" ht="15.6">
      <c r="A814" s="42" t="s">
        <v>830</v>
      </c>
      <c r="B814" s="39" t="s">
        <v>126</v>
      </c>
      <c r="C814" s="39" t="s">
        <v>803</v>
      </c>
      <c r="D814" s="39" t="s">
        <v>72</v>
      </c>
    </row>
    <row r="815" spans="1:4" ht="15.6">
      <c r="A815" s="42" t="s">
        <v>831</v>
      </c>
      <c r="B815" s="39" t="s">
        <v>128</v>
      </c>
      <c r="C815" s="39" t="s">
        <v>803</v>
      </c>
      <c r="D815" s="39" t="s">
        <v>72</v>
      </c>
    </row>
    <row r="816" spans="1:4" ht="15.6">
      <c r="A816" s="42" t="s">
        <v>832</v>
      </c>
      <c r="B816" s="39" t="s">
        <v>130</v>
      </c>
      <c r="C816" s="39" t="s">
        <v>803</v>
      </c>
      <c r="D816" s="39" t="s">
        <v>72</v>
      </c>
    </row>
    <row r="817" spans="1:4" ht="15.6">
      <c r="A817" s="42" t="s">
        <v>833</v>
      </c>
      <c r="B817" s="39"/>
      <c r="C817" s="39" t="s">
        <v>803</v>
      </c>
      <c r="D817" s="39" t="s">
        <v>72</v>
      </c>
    </row>
    <row r="818" spans="1:4" ht="15.6">
      <c r="A818" s="42" t="s">
        <v>834</v>
      </c>
      <c r="B818" s="39"/>
      <c r="C818" s="39" t="s">
        <v>803</v>
      </c>
      <c r="D818" s="39" t="s">
        <v>72</v>
      </c>
    </row>
    <row r="819" spans="1:4" ht="15.6">
      <c r="A819" s="42" t="s">
        <v>835</v>
      </c>
      <c r="B819" s="39"/>
      <c r="C819" s="39" t="s">
        <v>803</v>
      </c>
      <c r="D819" s="39" t="s">
        <v>72</v>
      </c>
    </row>
    <row r="820" spans="1:4" ht="15.6">
      <c r="A820" s="42" t="s">
        <v>836</v>
      </c>
      <c r="B820" s="39"/>
      <c r="C820" s="39" t="s">
        <v>803</v>
      </c>
      <c r="D820" s="39" t="s">
        <v>72</v>
      </c>
    </row>
    <row r="821" spans="1:4" ht="16.2" thickBot="1">
      <c r="A821" s="42" t="s">
        <v>837</v>
      </c>
      <c r="B821" s="39"/>
      <c r="C821" s="39" t="s">
        <v>803</v>
      </c>
      <c r="D821" s="39" t="s">
        <v>72</v>
      </c>
    </row>
    <row r="822" spans="1:4" ht="16.2" thickBot="1">
      <c r="A822" s="32">
        <v>5100</v>
      </c>
      <c r="B822" s="33" t="s">
        <v>838</v>
      </c>
      <c r="C822" s="33" t="s">
        <v>838</v>
      </c>
      <c r="D822" s="34" t="s">
        <v>72</v>
      </c>
    </row>
    <row r="823" spans="1:4" ht="15.6">
      <c r="A823" s="42" t="s">
        <v>839</v>
      </c>
      <c r="B823" s="39" t="s">
        <v>74</v>
      </c>
      <c r="C823" s="39" t="s">
        <v>838</v>
      </c>
      <c r="D823" s="38" t="s">
        <v>72</v>
      </c>
    </row>
    <row r="824" spans="1:4" ht="15.6">
      <c r="A824" s="42" t="s">
        <v>840</v>
      </c>
      <c r="B824" s="39" t="s">
        <v>76</v>
      </c>
      <c r="C824" s="39" t="s">
        <v>838</v>
      </c>
      <c r="D824" s="38" t="s">
        <v>72</v>
      </c>
    </row>
    <row r="825" spans="1:4" ht="15.6">
      <c r="A825" s="42" t="s">
        <v>841</v>
      </c>
      <c r="B825" s="39" t="s">
        <v>141</v>
      </c>
      <c r="C825" s="39" t="s">
        <v>838</v>
      </c>
      <c r="D825" s="38" t="s">
        <v>72</v>
      </c>
    </row>
    <row r="826" spans="1:4" ht="15.6">
      <c r="A826" s="42" t="s">
        <v>842</v>
      </c>
      <c r="B826" s="39" t="s">
        <v>80</v>
      </c>
      <c r="C826" s="39" t="s">
        <v>838</v>
      </c>
      <c r="D826" s="38" t="s">
        <v>72</v>
      </c>
    </row>
    <row r="827" spans="1:4" ht="15.6">
      <c r="A827" s="42" t="s">
        <v>843</v>
      </c>
      <c r="B827" s="39" t="s">
        <v>82</v>
      </c>
      <c r="C827" s="39" t="s">
        <v>838</v>
      </c>
      <c r="D827" s="38" t="s">
        <v>72</v>
      </c>
    </row>
    <row r="828" spans="1:4" ht="15.6">
      <c r="A828" s="42" t="s">
        <v>844</v>
      </c>
      <c r="B828" s="39" t="s">
        <v>84</v>
      </c>
      <c r="C828" s="39" t="s">
        <v>838</v>
      </c>
      <c r="D828" s="38" t="s">
        <v>72</v>
      </c>
    </row>
    <row r="829" spans="1:4" ht="15.6">
      <c r="A829" s="42" t="s">
        <v>845</v>
      </c>
      <c r="B829" s="39" t="s">
        <v>86</v>
      </c>
      <c r="C829" s="39" t="s">
        <v>838</v>
      </c>
      <c r="D829" s="38" t="s">
        <v>72</v>
      </c>
    </row>
    <row r="830" spans="1:4" ht="15.6">
      <c r="A830" s="42" t="s">
        <v>846</v>
      </c>
      <c r="B830" s="39" t="s">
        <v>88</v>
      </c>
      <c r="C830" s="39" t="s">
        <v>838</v>
      </c>
      <c r="D830" s="38" t="s">
        <v>72</v>
      </c>
    </row>
    <row r="831" spans="1:4" ht="15.6">
      <c r="A831" s="42" t="s">
        <v>847</v>
      </c>
      <c r="B831" s="39" t="s">
        <v>90</v>
      </c>
      <c r="C831" s="39" t="s">
        <v>838</v>
      </c>
      <c r="D831" s="38" t="s">
        <v>72</v>
      </c>
    </row>
    <row r="832" spans="1:4" ht="15.6">
      <c r="A832" s="42" t="s">
        <v>848</v>
      </c>
      <c r="B832" s="39" t="s">
        <v>92</v>
      </c>
      <c r="C832" s="39" t="s">
        <v>838</v>
      </c>
      <c r="D832" s="39" t="s">
        <v>72</v>
      </c>
    </row>
    <row r="833" spans="1:4" ht="15.6">
      <c r="A833" s="42" t="s">
        <v>849</v>
      </c>
      <c r="B833" s="39" t="s">
        <v>94</v>
      </c>
      <c r="C833" s="39" t="s">
        <v>838</v>
      </c>
      <c r="D833" s="39" t="s">
        <v>72</v>
      </c>
    </row>
    <row r="834" spans="1:4" ht="15.6">
      <c r="A834" s="42" t="s">
        <v>850</v>
      </c>
      <c r="B834" s="39" t="s">
        <v>96</v>
      </c>
      <c r="C834" s="39" t="s">
        <v>838</v>
      </c>
      <c r="D834" s="39" t="s">
        <v>72</v>
      </c>
    </row>
    <row r="835" spans="1:4" ht="15.6">
      <c r="A835" s="42" t="s">
        <v>851</v>
      </c>
      <c r="B835" s="39" t="s">
        <v>98</v>
      </c>
      <c r="C835" s="39" t="s">
        <v>838</v>
      </c>
      <c r="D835" s="39" t="s">
        <v>72</v>
      </c>
    </row>
    <row r="836" spans="1:4" ht="15.6">
      <c r="A836" s="42" t="s">
        <v>852</v>
      </c>
      <c r="B836" s="39" t="s">
        <v>100</v>
      </c>
      <c r="C836" s="39" t="s">
        <v>838</v>
      </c>
      <c r="D836" s="39" t="s">
        <v>72</v>
      </c>
    </row>
    <row r="837" spans="1:4" ht="15.6">
      <c r="A837" s="42" t="s">
        <v>853</v>
      </c>
      <c r="B837" s="39" t="s">
        <v>102</v>
      </c>
      <c r="C837" s="39" t="s">
        <v>838</v>
      </c>
      <c r="D837" s="39" t="s">
        <v>72</v>
      </c>
    </row>
    <row r="838" spans="1:4" ht="15.6">
      <c r="A838" s="42" t="s">
        <v>854</v>
      </c>
      <c r="B838" s="39" t="s">
        <v>104</v>
      </c>
      <c r="C838" s="39" t="s">
        <v>838</v>
      </c>
      <c r="D838" s="39" t="s">
        <v>72</v>
      </c>
    </row>
    <row r="839" spans="1:4" ht="15.6">
      <c r="A839" s="42" t="s">
        <v>855</v>
      </c>
      <c r="B839" s="39" t="s">
        <v>106</v>
      </c>
      <c r="C839" s="39" t="s">
        <v>838</v>
      </c>
      <c r="D839" s="39" t="s">
        <v>72</v>
      </c>
    </row>
    <row r="840" spans="1:4" ht="15.6">
      <c r="A840" s="42" t="s">
        <v>856</v>
      </c>
      <c r="B840" s="39" t="s">
        <v>108</v>
      </c>
      <c r="C840" s="39" t="s">
        <v>838</v>
      </c>
      <c r="D840" s="39" t="s">
        <v>72</v>
      </c>
    </row>
    <row r="841" spans="1:4" ht="15.6">
      <c r="A841" s="42" t="s">
        <v>857</v>
      </c>
      <c r="B841" s="39" t="s">
        <v>110</v>
      </c>
      <c r="C841" s="39" t="s">
        <v>838</v>
      </c>
      <c r="D841" s="39" t="s">
        <v>72</v>
      </c>
    </row>
    <row r="842" spans="1:4" ht="15.6">
      <c r="A842" s="42" t="s">
        <v>858</v>
      </c>
      <c r="B842" s="39" t="s">
        <v>112</v>
      </c>
      <c r="C842" s="39" t="s">
        <v>838</v>
      </c>
      <c r="D842" s="39" t="s">
        <v>72</v>
      </c>
    </row>
    <row r="843" spans="1:4" ht="15.6">
      <c r="A843" s="42" t="s">
        <v>859</v>
      </c>
      <c r="B843" s="39" t="s">
        <v>114</v>
      </c>
      <c r="C843" s="39" t="s">
        <v>838</v>
      </c>
      <c r="D843" s="39" t="s">
        <v>72</v>
      </c>
    </row>
    <row r="844" spans="1:4" ht="15.6">
      <c r="A844" s="42" t="s">
        <v>860</v>
      </c>
      <c r="B844" s="39" t="s">
        <v>116</v>
      </c>
      <c r="C844" s="39" t="s">
        <v>838</v>
      </c>
      <c r="D844" s="39" t="s">
        <v>72</v>
      </c>
    </row>
    <row r="845" spans="1:4" ht="15.6">
      <c r="A845" s="42" t="s">
        <v>861</v>
      </c>
      <c r="B845" s="39" t="s">
        <v>118</v>
      </c>
      <c r="C845" s="39" t="s">
        <v>838</v>
      </c>
      <c r="D845" s="39" t="s">
        <v>72</v>
      </c>
    </row>
    <row r="846" spans="1:4" ht="15.6">
      <c r="A846" s="42" t="s">
        <v>862</v>
      </c>
      <c r="B846" s="39" t="s">
        <v>120</v>
      </c>
      <c r="C846" s="39" t="s">
        <v>838</v>
      </c>
      <c r="D846" s="39" t="s">
        <v>72</v>
      </c>
    </row>
    <row r="847" spans="1:4" ht="15.6">
      <c r="A847" s="42" t="s">
        <v>863</v>
      </c>
      <c r="B847" s="39" t="s">
        <v>122</v>
      </c>
      <c r="C847" s="39" t="s">
        <v>838</v>
      </c>
      <c r="D847" s="39" t="s">
        <v>72</v>
      </c>
    </row>
    <row r="848" spans="1:4" ht="15.6">
      <c r="A848" s="42" t="s">
        <v>864</v>
      </c>
      <c r="B848" s="39" t="s">
        <v>124</v>
      </c>
      <c r="C848" s="39" t="s">
        <v>838</v>
      </c>
      <c r="D848" s="39" t="s">
        <v>72</v>
      </c>
    </row>
    <row r="849" spans="1:4" ht="15.6">
      <c r="A849" s="42" t="s">
        <v>865</v>
      </c>
      <c r="B849" s="39" t="s">
        <v>126</v>
      </c>
      <c r="C849" s="39" t="s">
        <v>838</v>
      </c>
      <c r="D849" s="39" t="s">
        <v>72</v>
      </c>
    </row>
    <row r="850" spans="1:4" ht="15.6">
      <c r="A850" s="42" t="s">
        <v>866</v>
      </c>
      <c r="B850" s="39" t="s">
        <v>128</v>
      </c>
      <c r="C850" s="39" t="s">
        <v>838</v>
      </c>
      <c r="D850" s="39" t="s">
        <v>72</v>
      </c>
    </row>
    <row r="851" spans="1:4" ht="15.6">
      <c r="A851" s="42" t="s">
        <v>867</v>
      </c>
      <c r="B851" s="39" t="s">
        <v>130</v>
      </c>
      <c r="C851" s="39" t="s">
        <v>838</v>
      </c>
      <c r="D851" s="39" t="s">
        <v>72</v>
      </c>
    </row>
    <row r="852" spans="1:4" ht="15.6">
      <c r="A852" s="42" t="s">
        <v>868</v>
      </c>
      <c r="B852" s="39"/>
      <c r="C852" s="39" t="s">
        <v>838</v>
      </c>
      <c r="D852" s="39" t="s">
        <v>72</v>
      </c>
    </row>
    <row r="853" spans="1:4" ht="15.6">
      <c r="A853" s="42" t="s">
        <v>869</v>
      </c>
      <c r="B853" s="39"/>
      <c r="C853" s="39" t="s">
        <v>838</v>
      </c>
      <c r="D853" s="39" t="s">
        <v>72</v>
      </c>
    </row>
    <row r="854" spans="1:4" ht="15.6">
      <c r="A854" s="42" t="s">
        <v>870</v>
      </c>
      <c r="B854" s="39"/>
      <c r="C854" s="39" t="s">
        <v>838</v>
      </c>
      <c r="D854" s="39" t="s">
        <v>72</v>
      </c>
    </row>
    <row r="855" spans="1:4" ht="15.6">
      <c r="A855" s="42" t="s">
        <v>871</v>
      </c>
      <c r="B855" s="39"/>
      <c r="C855" s="39" t="s">
        <v>838</v>
      </c>
      <c r="D855" s="39" t="s">
        <v>72</v>
      </c>
    </row>
    <row r="856" spans="1:4" ht="16.2" thickBot="1">
      <c r="A856" s="42" t="s">
        <v>872</v>
      </c>
      <c r="B856" s="39"/>
      <c r="C856" s="39" t="s">
        <v>838</v>
      </c>
      <c r="D856" s="39" t="s">
        <v>72</v>
      </c>
    </row>
    <row r="857" spans="1:4" ht="31.8" thickBot="1">
      <c r="A857" s="32">
        <v>5200</v>
      </c>
      <c r="B857" s="33" t="s">
        <v>873</v>
      </c>
      <c r="C857" s="33" t="s">
        <v>873</v>
      </c>
      <c r="D857" s="34" t="s">
        <v>72</v>
      </c>
    </row>
    <row r="858" spans="1:4" ht="31.2">
      <c r="A858" s="42" t="s">
        <v>874</v>
      </c>
      <c r="B858" s="39" t="s">
        <v>74</v>
      </c>
      <c r="C858" s="39" t="s">
        <v>873</v>
      </c>
      <c r="D858" s="38" t="s">
        <v>72</v>
      </c>
    </row>
    <row r="859" spans="1:4" ht="31.2">
      <c r="A859" s="42" t="s">
        <v>875</v>
      </c>
      <c r="B859" s="39" t="s">
        <v>76</v>
      </c>
      <c r="C859" s="39" t="s">
        <v>873</v>
      </c>
      <c r="D859" s="38" t="s">
        <v>72</v>
      </c>
    </row>
    <row r="860" spans="1:4" ht="31.2">
      <c r="A860" s="42" t="s">
        <v>876</v>
      </c>
      <c r="B860" s="39" t="s">
        <v>141</v>
      </c>
      <c r="C860" s="39" t="s">
        <v>873</v>
      </c>
      <c r="D860" s="38" t="s">
        <v>72</v>
      </c>
    </row>
    <row r="861" spans="1:4" ht="31.2">
      <c r="A861" s="42" t="s">
        <v>877</v>
      </c>
      <c r="B861" s="39" t="s">
        <v>80</v>
      </c>
      <c r="C861" s="39" t="s">
        <v>873</v>
      </c>
      <c r="D861" s="38" t="s">
        <v>72</v>
      </c>
    </row>
    <row r="862" spans="1:4" ht="31.2">
      <c r="A862" s="42" t="s">
        <v>878</v>
      </c>
      <c r="B862" s="39" t="s">
        <v>82</v>
      </c>
      <c r="C862" s="39" t="s">
        <v>873</v>
      </c>
      <c r="D862" s="38" t="s">
        <v>72</v>
      </c>
    </row>
    <row r="863" spans="1:4" ht="31.2">
      <c r="A863" s="42" t="s">
        <v>879</v>
      </c>
      <c r="B863" s="39" t="s">
        <v>84</v>
      </c>
      <c r="C863" s="39" t="s">
        <v>873</v>
      </c>
      <c r="D863" s="38" t="s">
        <v>72</v>
      </c>
    </row>
    <row r="864" spans="1:4" ht="31.2">
      <c r="A864" s="42" t="s">
        <v>880</v>
      </c>
      <c r="B864" s="39" t="s">
        <v>86</v>
      </c>
      <c r="C864" s="39" t="s">
        <v>873</v>
      </c>
      <c r="D864" s="38" t="s">
        <v>72</v>
      </c>
    </row>
    <row r="865" spans="1:4" ht="31.2">
      <c r="A865" s="42" t="s">
        <v>881</v>
      </c>
      <c r="B865" s="39" t="s">
        <v>88</v>
      </c>
      <c r="C865" s="39" t="s">
        <v>873</v>
      </c>
      <c r="D865" s="38" t="s">
        <v>72</v>
      </c>
    </row>
    <row r="866" spans="1:4" ht="31.2">
      <c r="A866" s="42" t="s">
        <v>882</v>
      </c>
      <c r="B866" s="39" t="s">
        <v>90</v>
      </c>
      <c r="C866" s="39" t="s">
        <v>873</v>
      </c>
      <c r="D866" s="38" t="s">
        <v>72</v>
      </c>
    </row>
    <row r="867" spans="1:4" ht="31.2">
      <c r="A867" s="42" t="s">
        <v>883</v>
      </c>
      <c r="B867" s="39" t="s">
        <v>92</v>
      </c>
      <c r="C867" s="39" t="s">
        <v>873</v>
      </c>
      <c r="D867" s="39" t="s">
        <v>72</v>
      </c>
    </row>
    <row r="868" spans="1:4" ht="31.2">
      <c r="A868" s="42" t="s">
        <v>884</v>
      </c>
      <c r="B868" s="39" t="s">
        <v>94</v>
      </c>
      <c r="C868" s="39" t="s">
        <v>873</v>
      </c>
      <c r="D868" s="39" t="s">
        <v>72</v>
      </c>
    </row>
    <row r="869" spans="1:4" ht="31.2">
      <c r="A869" s="42" t="s">
        <v>885</v>
      </c>
      <c r="B869" s="39" t="s">
        <v>96</v>
      </c>
      <c r="C869" s="39" t="s">
        <v>873</v>
      </c>
      <c r="D869" s="39" t="s">
        <v>72</v>
      </c>
    </row>
    <row r="870" spans="1:4" ht="31.2">
      <c r="A870" s="42" t="s">
        <v>886</v>
      </c>
      <c r="B870" s="39" t="s">
        <v>98</v>
      </c>
      <c r="C870" s="39" t="s">
        <v>873</v>
      </c>
      <c r="D870" s="39" t="s">
        <v>72</v>
      </c>
    </row>
    <row r="871" spans="1:4" ht="31.2">
      <c r="A871" s="42" t="s">
        <v>887</v>
      </c>
      <c r="B871" s="39" t="s">
        <v>100</v>
      </c>
      <c r="C871" s="39" t="s">
        <v>873</v>
      </c>
      <c r="D871" s="39" t="s">
        <v>72</v>
      </c>
    </row>
    <row r="872" spans="1:4" ht="31.2">
      <c r="A872" s="42" t="s">
        <v>888</v>
      </c>
      <c r="B872" s="39" t="s">
        <v>102</v>
      </c>
      <c r="C872" s="39" t="s">
        <v>873</v>
      </c>
      <c r="D872" s="39" t="s">
        <v>72</v>
      </c>
    </row>
    <row r="873" spans="1:4" ht="31.2">
      <c r="A873" s="42" t="s">
        <v>889</v>
      </c>
      <c r="B873" s="39" t="s">
        <v>890</v>
      </c>
      <c r="C873" s="39" t="s">
        <v>873</v>
      </c>
      <c r="D873" s="39" t="s">
        <v>72</v>
      </c>
    </row>
    <row r="874" spans="1:4" ht="31.2">
      <c r="A874" s="42" t="s">
        <v>891</v>
      </c>
      <c r="B874" s="39" t="s">
        <v>106</v>
      </c>
      <c r="C874" s="39" t="s">
        <v>873</v>
      </c>
      <c r="D874" s="39" t="s">
        <v>72</v>
      </c>
    </row>
    <row r="875" spans="1:4" ht="31.2">
      <c r="A875" s="42" t="s">
        <v>892</v>
      </c>
      <c r="B875" s="39" t="s">
        <v>108</v>
      </c>
      <c r="C875" s="39" t="s">
        <v>873</v>
      </c>
      <c r="D875" s="39" t="s">
        <v>72</v>
      </c>
    </row>
    <row r="876" spans="1:4" ht="31.2">
      <c r="A876" s="42" t="s">
        <v>893</v>
      </c>
      <c r="B876" s="39" t="s">
        <v>110</v>
      </c>
      <c r="C876" s="39" t="s">
        <v>873</v>
      </c>
      <c r="D876" s="39" t="s">
        <v>72</v>
      </c>
    </row>
    <row r="877" spans="1:4" ht="31.2">
      <c r="A877" s="42" t="s">
        <v>894</v>
      </c>
      <c r="B877" s="39" t="s">
        <v>112</v>
      </c>
      <c r="C877" s="39" t="s">
        <v>873</v>
      </c>
      <c r="D877" s="39" t="s">
        <v>72</v>
      </c>
    </row>
    <row r="878" spans="1:4" ht="31.2">
      <c r="A878" s="42" t="s">
        <v>895</v>
      </c>
      <c r="B878" s="39" t="s">
        <v>114</v>
      </c>
      <c r="C878" s="39" t="s">
        <v>873</v>
      </c>
      <c r="D878" s="39" t="s">
        <v>72</v>
      </c>
    </row>
    <row r="879" spans="1:4" ht="31.2">
      <c r="A879" s="42" t="s">
        <v>896</v>
      </c>
      <c r="B879" s="39" t="s">
        <v>116</v>
      </c>
      <c r="C879" s="39" t="s">
        <v>873</v>
      </c>
      <c r="D879" s="39" t="s">
        <v>72</v>
      </c>
    </row>
    <row r="880" spans="1:4" ht="31.2">
      <c r="A880" s="42" t="s">
        <v>897</v>
      </c>
      <c r="B880" s="39" t="s">
        <v>118</v>
      </c>
      <c r="C880" s="39" t="s">
        <v>873</v>
      </c>
      <c r="D880" s="39" t="s">
        <v>72</v>
      </c>
    </row>
    <row r="881" spans="1:4" ht="31.2">
      <c r="A881" s="42" t="s">
        <v>898</v>
      </c>
      <c r="B881" s="39" t="s">
        <v>120</v>
      </c>
      <c r="C881" s="39" t="s">
        <v>873</v>
      </c>
      <c r="D881" s="39" t="s">
        <v>72</v>
      </c>
    </row>
    <row r="882" spans="1:4" ht="31.2">
      <c r="A882" s="42" t="s">
        <v>899</v>
      </c>
      <c r="B882" s="39" t="s">
        <v>122</v>
      </c>
      <c r="C882" s="39" t="s">
        <v>873</v>
      </c>
      <c r="D882" s="39" t="s">
        <v>72</v>
      </c>
    </row>
    <row r="883" spans="1:4" ht="31.2">
      <c r="A883" s="42" t="s">
        <v>900</v>
      </c>
      <c r="B883" s="39" t="s">
        <v>124</v>
      </c>
      <c r="C883" s="39" t="s">
        <v>873</v>
      </c>
      <c r="D883" s="39" t="s">
        <v>72</v>
      </c>
    </row>
    <row r="884" spans="1:4" ht="31.2">
      <c r="A884" s="42" t="s">
        <v>901</v>
      </c>
      <c r="B884" s="39" t="s">
        <v>126</v>
      </c>
      <c r="C884" s="39" t="s">
        <v>873</v>
      </c>
      <c r="D884" s="39" t="s">
        <v>72</v>
      </c>
    </row>
    <row r="885" spans="1:4" ht="31.2">
      <c r="A885" s="42" t="s">
        <v>902</v>
      </c>
      <c r="B885" s="39" t="s">
        <v>128</v>
      </c>
      <c r="C885" s="39" t="s">
        <v>873</v>
      </c>
      <c r="D885" s="39" t="s">
        <v>72</v>
      </c>
    </row>
    <row r="886" spans="1:4" ht="31.2">
      <c r="A886" s="42" t="s">
        <v>903</v>
      </c>
      <c r="B886" s="39" t="s">
        <v>130</v>
      </c>
      <c r="C886" s="39" t="s">
        <v>873</v>
      </c>
      <c r="D886" s="39" t="s">
        <v>72</v>
      </c>
    </row>
    <row r="887" spans="1:4" ht="31.2">
      <c r="A887" s="42" t="s">
        <v>904</v>
      </c>
      <c r="B887" s="39"/>
      <c r="C887" s="39" t="s">
        <v>873</v>
      </c>
      <c r="D887" s="39" t="s">
        <v>72</v>
      </c>
    </row>
    <row r="888" spans="1:4" ht="31.2">
      <c r="A888" s="42" t="s">
        <v>905</v>
      </c>
      <c r="B888" s="39"/>
      <c r="C888" s="39" t="s">
        <v>873</v>
      </c>
      <c r="D888" s="39" t="s">
        <v>72</v>
      </c>
    </row>
    <row r="889" spans="1:4" ht="31.2">
      <c r="A889" s="42" t="s">
        <v>906</v>
      </c>
      <c r="B889" s="39"/>
      <c r="C889" s="39" t="s">
        <v>873</v>
      </c>
      <c r="D889" s="39" t="s">
        <v>72</v>
      </c>
    </row>
    <row r="890" spans="1:4" ht="31.2">
      <c r="A890" s="42" t="s">
        <v>907</v>
      </c>
      <c r="B890" s="39"/>
      <c r="C890" s="39" t="s">
        <v>873</v>
      </c>
      <c r="D890" s="39" t="s">
        <v>72</v>
      </c>
    </row>
    <row r="891" spans="1:4" ht="31.8" thickBot="1">
      <c r="A891" s="42" t="s">
        <v>908</v>
      </c>
      <c r="B891" s="39"/>
      <c r="C891" s="39" t="s">
        <v>873</v>
      </c>
      <c r="D891" s="39" t="s">
        <v>72</v>
      </c>
    </row>
    <row r="892" spans="1:4" ht="31.8" thickBot="1">
      <c r="A892" s="32">
        <v>398</v>
      </c>
      <c r="B892" s="33" t="s">
        <v>909</v>
      </c>
      <c r="C892" s="33" t="s">
        <v>909</v>
      </c>
      <c r="D892" s="34" t="s">
        <v>72</v>
      </c>
    </row>
    <row r="893" spans="1:4" ht="31.2">
      <c r="A893" s="42" t="s">
        <v>910</v>
      </c>
      <c r="B893" s="39" t="s">
        <v>74</v>
      </c>
      <c r="C893" s="39" t="s">
        <v>909</v>
      </c>
      <c r="D893" s="38" t="s">
        <v>72</v>
      </c>
    </row>
    <row r="894" spans="1:4" ht="31.2">
      <c r="A894" s="42" t="s">
        <v>911</v>
      </c>
      <c r="B894" s="39" t="s">
        <v>76</v>
      </c>
      <c r="C894" s="39" t="s">
        <v>909</v>
      </c>
      <c r="D894" s="38" t="s">
        <v>72</v>
      </c>
    </row>
    <row r="895" spans="1:4" ht="31.2">
      <c r="A895" s="42" t="s">
        <v>912</v>
      </c>
      <c r="B895" s="39" t="s">
        <v>141</v>
      </c>
      <c r="C895" s="39" t="s">
        <v>909</v>
      </c>
      <c r="D895" s="38" t="s">
        <v>72</v>
      </c>
    </row>
    <row r="896" spans="1:4" ht="31.2">
      <c r="A896" s="42" t="s">
        <v>913</v>
      </c>
      <c r="B896" s="39" t="s">
        <v>80</v>
      </c>
      <c r="C896" s="39" t="s">
        <v>909</v>
      </c>
      <c r="D896" s="38" t="s">
        <v>72</v>
      </c>
    </row>
    <row r="897" spans="1:4" ht="31.2">
      <c r="A897" s="42" t="s">
        <v>914</v>
      </c>
      <c r="B897" s="39" t="s">
        <v>82</v>
      </c>
      <c r="C897" s="39" t="s">
        <v>909</v>
      </c>
      <c r="D897" s="38" t="s">
        <v>72</v>
      </c>
    </row>
    <row r="898" spans="1:4" ht="31.2">
      <c r="A898" s="42" t="s">
        <v>915</v>
      </c>
      <c r="B898" s="39" t="s">
        <v>84</v>
      </c>
      <c r="C898" s="39" t="s">
        <v>909</v>
      </c>
      <c r="D898" s="38" t="s">
        <v>72</v>
      </c>
    </row>
    <row r="899" spans="1:4" ht="31.2">
      <c r="A899" s="42" t="s">
        <v>916</v>
      </c>
      <c r="B899" s="39" t="s">
        <v>86</v>
      </c>
      <c r="C899" s="39" t="s">
        <v>909</v>
      </c>
      <c r="D899" s="38" t="s">
        <v>72</v>
      </c>
    </row>
    <row r="900" spans="1:4" ht="31.2">
      <c r="A900" s="42" t="s">
        <v>917</v>
      </c>
      <c r="B900" s="39" t="s">
        <v>88</v>
      </c>
      <c r="C900" s="39" t="s">
        <v>909</v>
      </c>
      <c r="D900" s="38" t="s">
        <v>72</v>
      </c>
    </row>
    <row r="901" spans="1:4" ht="31.2">
      <c r="A901" s="42" t="s">
        <v>918</v>
      </c>
      <c r="B901" s="39" t="s">
        <v>90</v>
      </c>
      <c r="C901" s="39" t="s">
        <v>909</v>
      </c>
      <c r="D901" s="38" t="s">
        <v>72</v>
      </c>
    </row>
    <row r="902" spans="1:4" ht="31.2">
      <c r="A902" s="42" t="s">
        <v>919</v>
      </c>
      <c r="B902" s="39" t="s">
        <v>92</v>
      </c>
      <c r="C902" s="39" t="s">
        <v>909</v>
      </c>
      <c r="D902" s="39" t="s">
        <v>72</v>
      </c>
    </row>
    <row r="903" spans="1:4" ht="31.2">
      <c r="A903" s="42" t="s">
        <v>920</v>
      </c>
      <c r="B903" s="39" t="s">
        <v>94</v>
      </c>
      <c r="C903" s="39" t="s">
        <v>909</v>
      </c>
      <c r="D903" s="39" t="s">
        <v>72</v>
      </c>
    </row>
    <row r="904" spans="1:4" ht="31.2">
      <c r="A904" s="42" t="s">
        <v>921</v>
      </c>
      <c r="B904" s="39" t="s">
        <v>96</v>
      </c>
      <c r="C904" s="39" t="s">
        <v>909</v>
      </c>
      <c r="D904" s="39" t="s">
        <v>72</v>
      </c>
    </row>
    <row r="905" spans="1:4" ht="31.2">
      <c r="A905" s="42" t="s">
        <v>922</v>
      </c>
      <c r="B905" s="39" t="s">
        <v>98</v>
      </c>
      <c r="C905" s="39" t="s">
        <v>909</v>
      </c>
      <c r="D905" s="39" t="s">
        <v>72</v>
      </c>
    </row>
    <row r="906" spans="1:4" ht="31.2">
      <c r="A906" s="42" t="s">
        <v>923</v>
      </c>
      <c r="B906" s="39" t="s">
        <v>100</v>
      </c>
      <c r="C906" s="39" t="s">
        <v>909</v>
      </c>
      <c r="D906" s="39" t="s">
        <v>72</v>
      </c>
    </row>
    <row r="907" spans="1:4" ht="31.2">
      <c r="A907" s="42" t="s">
        <v>924</v>
      </c>
      <c r="B907" s="39" t="s">
        <v>102</v>
      </c>
      <c r="C907" s="39" t="s">
        <v>909</v>
      </c>
      <c r="D907" s="39" t="s">
        <v>72</v>
      </c>
    </row>
    <row r="908" spans="1:4" ht="31.2">
      <c r="A908" s="42" t="s">
        <v>925</v>
      </c>
      <c r="B908" s="39" t="s">
        <v>104</v>
      </c>
      <c r="C908" s="39" t="s">
        <v>909</v>
      </c>
      <c r="D908" s="39" t="s">
        <v>72</v>
      </c>
    </row>
    <row r="909" spans="1:4" ht="31.2">
      <c r="A909" s="42" t="s">
        <v>926</v>
      </c>
      <c r="B909" s="39" t="s">
        <v>106</v>
      </c>
      <c r="C909" s="39" t="s">
        <v>909</v>
      </c>
      <c r="D909" s="39" t="s">
        <v>72</v>
      </c>
    </row>
    <row r="910" spans="1:4" ht="31.2">
      <c r="A910" s="42" t="s">
        <v>927</v>
      </c>
      <c r="B910" s="39" t="s">
        <v>108</v>
      </c>
      <c r="C910" s="39" t="s">
        <v>909</v>
      </c>
      <c r="D910" s="39" t="s">
        <v>72</v>
      </c>
    </row>
    <row r="911" spans="1:4" ht="31.2">
      <c r="A911" s="42" t="s">
        <v>928</v>
      </c>
      <c r="B911" s="39" t="s">
        <v>110</v>
      </c>
      <c r="C911" s="39" t="s">
        <v>909</v>
      </c>
      <c r="D911" s="39" t="s">
        <v>72</v>
      </c>
    </row>
    <row r="912" spans="1:4" ht="31.2">
      <c r="A912" s="42" t="s">
        <v>929</v>
      </c>
      <c r="B912" s="39" t="s">
        <v>112</v>
      </c>
      <c r="C912" s="39" t="s">
        <v>909</v>
      </c>
      <c r="D912" s="39" t="s">
        <v>72</v>
      </c>
    </row>
    <row r="913" spans="1:4" ht="31.2">
      <c r="A913" s="42" t="s">
        <v>930</v>
      </c>
      <c r="B913" s="39" t="s">
        <v>114</v>
      </c>
      <c r="C913" s="39" t="s">
        <v>909</v>
      </c>
      <c r="D913" s="39" t="s">
        <v>72</v>
      </c>
    </row>
    <row r="914" spans="1:4" ht="31.2">
      <c r="A914" s="42" t="s">
        <v>931</v>
      </c>
      <c r="B914" s="39" t="s">
        <v>116</v>
      </c>
      <c r="C914" s="39" t="s">
        <v>909</v>
      </c>
      <c r="D914" s="39" t="s">
        <v>72</v>
      </c>
    </row>
    <row r="915" spans="1:4" ht="31.2">
      <c r="A915" s="42" t="s">
        <v>932</v>
      </c>
      <c r="B915" s="39" t="s">
        <v>118</v>
      </c>
      <c r="C915" s="39" t="s">
        <v>909</v>
      </c>
      <c r="D915" s="39" t="s">
        <v>72</v>
      </c>
    </row>
    <row r="916" spans="1:4" ht="31.2">
      <c r="A916" s="42" t="s">
        <v>933</v>
      </c>
      <c r="B916" s="39" t="s">
        <v>120</v>
      </c>
      <c r="C916" s="39" t="s">
        <v>909</v>
      </c>
      <c r="D916" s="39" t="s">
        <v>72</v>
      </c>
    </row>
    <row r="917" spans="1:4" ht="31.2">
      <c r="A917" s="42" t="s">
        <v>934</v>
      </c>
      <c r="B917" s="39" t="s">
        <v>122</v>
      </c>
      <c r="C917" s="39" t="s">
        <v>909</v>
      </c>
      <c r="D917" s="39" t="s">
        <v>72</v>
      </c>
    </row>
    <row r="918" spans="1:4" ht="31.2">
      <c r="A918" s="42" t="s">
        <v>935</v>
      </c>
      <c r="B918" s="39" t="s">
        <v>124</v>
      </c>
      <c r="C918" s="39" t="s">
        <v>909</v>
      </c>
      <c r="D918" s="39" t="s">
        <v>72</v>
      </c>
    </row>
    <row r="919" spans="1:4" ht="31.2">
      <c r="A919" s="42" t="s">
        <v>936</v>
      </c>
      <c r="B919" s="39" t="s">
        <v>126</v>
      </c>
      <c r="C919" s="39" t="s">
        <v>909</v>
      </c>
      <c r="D919" s="39" t="s">
        <v>72</v>
      </c>
    </row>
    <row r="920" spans="1:4" ht="31.2">
      <c r="A920" s="42" t="s">
        <v>937</v>
      </c>
      <c r="B920" s="39" t="s">
        <v>128</v>
      </c>
      <c r="C920" s="39" t="s">
        <v>909</v>
      </c>
      <c r="D920" s="39" t="s">
        <v>72</v>
      </c>
    </row>
    <row r="921" spans="1:4" ht="31.2">
      <c r="A921" s="42" t="s">
        <v>938</v>
      </c>
      <c r="B921" s="39" t="s">
        <v>130</v>
      </c>
      <c r="C921" s="39" t="s">
        <v>909</v>
      </c>
      <c r="D921" s="39" t="s">
        <v>72</v>
      </c>
    </row>
    <row r="922" spans="1:4" ht="31.2">
      <c r="A922" s="42" t="s">
        <v>939</v>
      </c>
      <c r="B922" s="39"/>
      <c r="C922" s="39" t="s">
        <v>909</v>
      </c>
      <c r="D922" s="39" t="s">
        <v>72</v>
      </c>
    </row>
    <row r="923" spans="1:4" ht="31.2">
      <c r="A923" s="42" t="s">
        <v>940</v>
      </c>
      <c r="B923" s="39"/>
      <c r="C923" s="39" t="s">
        <v>909</v>
      </c>
      <c r="D923" s="39" t="s">
        <v>72</v>
      </c>
    </row>
    <row r="924" spans="1:4" ht="31.2">
      <c r="A924" s="42" t="s">
        <v>941</v>
      </c>
      <c r="B924" s="39"/>
      <c r="C924" s="39" t="s">
        <v>909</v>
      </c>
      <c r="D924" s="39" t="s">
        <v>72</v>
      </c>
    </row>
    <row r="925" spans="1:4" ht="31.2">
      <c r="A925" s="42" t="s">
        <v>942</v>
      </c>
      <c r="B925" s="39"/>
      <c r="C925" s="39" t="s">
        <v>909</v>
      </c>
      <c r="D925" s="39" t="s">
        <v>72</v>
      </c>
    </row>
    <row r="926" spans="1:4" ht="31.8" thickBot="1">
      <c r="A926" s="42" t="s">
        <v>943</v>
      </c>
      <c r="B926" s="39"/>
      <c r="C926" s="39" t="s">
        <v>909</v>
      </c>
      <c r="D926" s="39" t="s">
        <v>72</v>
      </c>
    </row>
    <row r="927" spans="1:4" ht="16.2" thickBot="1">
      <c r="A927" s="32"/>
      <c r="B927" s="33"/>
      <c r="C927" s="33"/>
      <c r="D927" s="34" t="s">
        <v>72</v>
      </c>
    </row>
    <row r="928" spans="1:4" ht="15.6">
      <c r="A928" s="42"/>
      <c r="B928" s="39" t="s">
        <v>74</v>
      </c>
      <c r="C928" s="39"/>
      <c r="D928" s="38" t="s">
        <v>72</v>
      </c>
    </row>
    <row r="929" spans="1:4" ht="15.6">
      <c r="A929" s="42"/>
      <c r="B929" s="39" t="s">
        <v>76</v>
      </c>
      <c r="C929" s="39"/>
      <c r="D929" s="38" t="s">
        <v>72</v>
      </c>
    </row>
    <row r="930" spans="1:4" ht="15.6">
      <c r="A930" s="42"/>
      <c r="B930" s="39" t="s">
        <v>944</v>
      </c>
      <c r="C930" s="39"/>
      <c r="D930" s="38" t="s">
        <v>72</v>
      </c>
    </row>
    <row r="931" spans="1:4" ht="15.6">
      <c r="A931" s="42"/>
      <c r="B931" s="39" t="s">
        <v>80</v>
      </c>
      <c r="C931" s="39"/>
      <c r="D931" s="38" t="s">
        <v>72</v>
      </c>
    </row>
    <row r="932" spans="1:4" ht="15.6">
      <c r="A932" s="42"/>
      <c r="B932" s="39" t="s">
        <v>82</v>
      </c>
      <c r="C932" s="39"/>
      <c r="D932" s="38" t="s">
        <v>72</v>
      </c>
    </row>
    <row r="933" spans="1:4" ht="15.6">
      <c r="A933" s="42"/>
      <c r="B933" s="39" t="s">
        <v>84</v>
      </c>
      <c r="C933" s="39"/>
      <c r="D933" s="38" t="s">
        <v>72</v>
      </c>
    </row>
    <row r="934" spans="1:4" ht="15.6">
      <c r="A934" s="42"/>
      <c r="B934" s="39" t="s">
        <v>86</v>
      </c>
      <c r="C934" s="39"/>
      <c r="D934" s="38" t="s">
        <v>72</v>
      </c>
    </row>
    <row r="935" spans="1:4" ht="15.6">
      <c r="A935" s="42"/>
      <c r="B935" s="39" t="s">
        <v>88</v>
      </c>
      <c r="C935" s="39"/>
      <c r="D935" s="38" t="s">
        <v>72</v>
      </c>
    </row>
    <row r="936" spans="1:4" ht="15.6">
      <c r="A936" s="42"/>
      <c r="B936" s="39" t="s">
        <v>90</v>
      </c>
      <c r="C936" s="39"/>
      <c r="D936" s="38" t="s">
        <v>72</v>
      </c>
    </row>
    <row r="937" spans="1:4" ht="15.6">
      <c r="A937" s="42"/>
      <c r="B937" s="39" t="s">
        <v>92</v>
      </c>
      <c r="C937" s="39"/>
      <c r="D937" s="39" t="s">
        <v>72</v>
      </c>
    </row>
    <row r="938" spans="1:4" ht="15.6">
      <c r="A938" s="42"/>
      <c r="B938" s="39" t="s">
        <v>94</v>
      </c>
      <c r="C938" s="39"/>
      <c r="D938" s="39" t="s">
        <v>72</v>
      </c>
    </row>
    <row r="939" spans="1:4" ht="15.6">
      <c r="A939" s="42"/>
      <c r="B939" s="39" t="s">
        <v>96</v>
      </c>
      <c r="C939" s="39"/>
      <c r="D939" s="39" t="s">
        <v>72</v>
      </c>
    </row>
    <row r="940" spans="1:4" ht="15.6">
      <c r="A940" s="42"/>
      <c r="B940" s="39" t="s">
        <v>98</v>
      </c>
      <c r="C940" s="39"/>
      <c r="D940" s="39" t="s">
        <v>72</v>
      </c>
    </row>
    <row r="941" spans="1:4" ht="15.6">
      <c r="A941" s="42"/>
      <c r="B941" s="39" t="s">
        <v>100</v>
      </c>
      <c r="C941" s="39"/>
      <c r="D941" s="39" t="s">
        <v>72</v>
      </c>
    </row>
    <row r="942" spans="1:4" ht="15.6">
      <c r="A942" s="42"/>
      <c r="B942" s="39" t="s">
        <v>102</v>
      </c>
      <c r="C942" s="39"/>
      <c r="D942" s="39" t="s">
        <v>72</v>
      </c>
    </row>
    <row r="943" spans="1:4" ht="15.6">
      <c r="A943" s="42"/>
      <c r="B943" s="39" t="s">
        <v>104</v>
      </c>
      <c r="C943" s="39"/>
      <c r="D943" s="39" t="s">
        <v>72</v>
      </c>
    </row>
    <row r="944" spans="1:4" ht="15.6">
      <c r="A944" s="42"/>
      <c r="B944" s="39" t="s">
        <v>106</v>
      </c>
      <c r="C944" s="39"/>
      <c r="D944" s="39" t="s">
        <v>72</v>
      </c>
    </row>
    <row r="945" spans="1:4" ht="15.6">
      <c r="A945" s="42"/>
      <c r="B945" s="39" t="s">
        <v>108</v>
      </c>
      <c r="C945" s="39"/>
      <c r="D945" s="39" t="s">
        <v>72</v>
      </c>
    </row>
    <row r="946" spans="1:4" ht="15.6">
      <c r="A946" s="42"/>
      <c r="B946" s="39" t="s">
        <v>110</v>
      </c>
      <c r="C946" s="39"/>
      <c r="D946" s="39" t="s">
        <v>72</v>
      </c>
    </row>
    <row r="947" spans="1:4" ht="15.6">
      <c r="A947" s="42"/>
      <c r="B947" s="39" t="s">
        <v>112</v>
      </c>
      <c r="C947" s="39"/>
      <c r="D947" s="39" t="s">
        <v>72</v>
      </c>
    </row>
    <row r="948" spans="1:4" ht="15.6">
      <c r="A948" s="42"/>
      <c r="B948" s="39" t="s">
        <v>114</v>
      </c>
      <c r="C948" s="39"/>
      <c r="D948" s="39" t="s">
        <v>72</v>
      </c>
    </row>
    <row r="949" spans="1:4" ht="15.6">
      <c r="A949" s="42"/>
      <c r="B949" s="39" t="s">
        <v>116</v>
      </c>
      <c r="C949" s="39"/>
      <c r="D949" s="39" t="s">
        <v>72</v>
      </c>
    </row>
    <row r="950" spans="1:4" ht="15.6">
      <c r="A950" s="42"/>
      <c r="B950" s="39" t="s">
        <v>118</v>
      </c>
      <c r="C950" s="39"/>
      <c r="D950" s="39" t="s">
        <v>72</v>
      </c>
    </row>
    <row r="951" spans="1:4" ht="15.6">
      <c r="A951" s="42"/>
      <c r="B951" s="39" t="s">
        <v>120</v>
      </c>
      <c r="C951" s="39"/>
      <c r="D951" s="39" t="s">
        <v>72</v>
      </c>
    </row>
    <row r="952" spans="1:4" ht="15.6">
      <c r="A952" s="42"/>
      <c r="B952" s="39" t="s">
        <v>122</v>
      </c>
      <c r="C952" s="39"/>
      <c r="D952" s="39" t="s">
        <v>72</v>
      </c>
    </row>
    <row r="953" spans="1:4" ht="15.6">
      <c r="A953" s="42"/>
      <c r="B953" s="39" t="s">
        <v>124</v>
      </c>
      <c r="C953" s="39"/>
      <c r="D953" s="39" t="s">
        <v>72</v>
      </c>
    </row>
    <row r="954" spans="1:4" ht="15.6">
      <c r="A954" s="42"/>
      <c r="B954" s="39" t="s">
        <v>126</v>
      </c>
      <c r="C954" s="39"/>
      <c r="D954" s="39" t="s">
        <v>72</v>
      </c>
    </row>
    <row r="955" spans="1:4" ht="15.6">
      <c r="A955" s="42"/>
      <c r="B955" s="39" t="s">
        <v>945</v>
      </c>
      <c r="C955" s="39"/>
      <c r="D955" s="39" t="s">
        <v>72</v>
      </c>
    </row>
    <row r="956" spans="1:4" ht="15.6">
      <c r="A956" s="42"/>
      <c r="B956" s="39" t="s">
        <v>130</v>
      </c>
      <c r="C956" s="39"/>
      <c r="D956" s="39" t="s">
        <v>72</v>
      </c>
    </row>
    <row r="957" spans="1:4" ht="15.6">
      <c r="A957" s="42"/>
      <c r="B957" s="39"/>
      <c r="C957" s="39"/>
      <c r="D957" s="39" t="s">
        <v>72</v>
      </c>
    </row>
    <row r="958" spans="1:4" ht="15.6">
      <c r="A958" s="42"/>
      <c r="B958" s="39"/>
      <c r="C958" s="39"/>
      <c r="D958" s="39" t="s">
        <v>72</v>
      </c>
    </row>
    <row r="959" spans="1:4" ht="15.6">
      <c r="A959" s="42"/>
      <c r="B959" s="39"/>
      <c r="C959" s="39"/>
      <c r="D959" s="39" t="s">
        <v>72</v>
      </c>
    </row>
    <row r="960" spans="1:4" ht="15.6">
      <c r="A960" s="42"/>
      <c r="B960" s="39"/>
      <c r="C960" s="39"/>
      <c r="D960" s="39" t="s">
        <v>72</v>
      </c>
    </row>
    <row r="961" spans="1:4" ht="16.2" thickBot="1">
      <c r="A961" s="42"/>
      <c r="B961" s="39"/>
      <c r="C961" s="39"/>
      <c r="D961" s="39" t="s">
        <v>72</v>
      </c>
    </row>
    <row r="962" spans="1:4" ht="16.2" thickBot="1">
      <c r="A962" s="41"/>
      <c r="B962" s="33"/>
      <c r="C962" s="33"/>
      <c r="D962" s="34" t="s">
        <v>72</v>
      </c>
    </row>
    <row r="963" spans="1:4" ht="15.6">
      <c r="A963" s="42"/>
      <c r="B963" s="39" t="s">
        <v>74</v>
      </c>
      <c r="C963" s="39"/>
      <c r="D963" s="38" t="s">
        <v>72</v>
      </c>
    </row>
    <row r="964" spans="1:4" ht="15.6">
      <c r="A964" s="42"/>
      <c r="B964" s="39" t="s">
        <v>76</v>
      </c>
      <c r="C964" s="39"/>
      <c r="D964" s="38" t="s">
        <v>72</v>
      </c>
    </row>
    <row r="965" spans="1:4" ht="15.6">
      <c r="A965" s="42"/>
      <c r="B965" s="39" t="s">
        <v>944</v>
      </c>
      <c r="C965" s="39"/>
      <c r="D965" s="38" t="s">
        <v>72</v>
      </c>
    </row>
    <row r="966" spans="1:4" ht="15.6">
      <c r="A966" s="42"/>
      <c r="B966" s="39" t="s">
        <v>80</v>
      </c>
      <c r="C966" s="39"/>
      <c r="D966" s="38" t="s">
        <v>72</v>
      </c>
    </row>
    <row r="967" spans="1:4" ht="15.6">
      <c r="A967" s="42"/>
      <c r="B967" s="39" t="s">
        <v>82</v>
      </c>
      <c r="C967" s="39"/>
      <c r="D967" s="38" t="s">
        <v>72</v>
      </c>
    </row>
    <row r="968" spans="1:4" ht="15.6">
      <c r="A968" s="42"/>
      <c r="B968" s="39" t="s">
        <v>84</v>
      </c>
      <c r="C968" s="39"/>
      <c r="D968" s="38" t="s">
        <v>72</v>
      </c>
    </row>
    <row r="969" spans="1:4" ht="15.6">
      <c r="A969" s="42"/>
      <c r="B969" s="39" t="s">
        <v>86</v>
      </c>
      <c r="C969" s="39"/>
      <c r="D969" s="38" t="s">
        <v>72</v>
      </c>
    </row>
    <row r="970" spans="1:4" ht="15.6">
      <c r="A970" s="42"/>
      <c r="B970" s="39" t="s">
        <v>88</v>
      </c>
      <c r="C970" s="39"/>
      <c r="D970" s="38" t="s">
        <v>72</v>
      </c>
    </row>
    <row r="971" spans="1:4" ht="15.6">
      <c r="A971" s="42"/>
      <c r="B971" s="39" t="s">
        <v>90</v>
      </c>
      <c r="C971" s="39"/>
      <c r="D971" s="38" t="s">
        <v>72</v>
      </c>
    </row>
    <row r="972" spans="1:4" ht="15.6">
      <c r="A972" s="42"/>
      <c r="B972" s="39" t="s">
        <v>92</v>
      </c>
      <c r="C972" s="39"/>
      <c r="D972" s="39" t="s">
        <v>72</v>
      </c>
    </row>
    <row r="973" spans="1:4" ht="15.6">
      <c r="A973" s="42"/>
      <c r="B973" s="39" t="s">
        <v>94</v>
      </c>
      <c r="C973" s="39"/>
      <c r="D973" s="39" t="s">
        <v>72</v>
      </c>
    </row>
    <row r="974" spans="1:4" ht="15.6">
      <c r="A974" s="42"/>
      <c r="B974" s="39" t="s">
        <v>96</v>
      </c>
      <c r="C974" s="39"/>
      <c r="D974" s="39" t="s">
        <v>72</v>
      </c>
    </row>
    <row r="975" spans="1:4" ht="15.6">
      <c r="A975" s="42"/>
      <c r="B975" s="39" t="s">
        <v>98</v>
      </c>
      <c r="C975" s="39"/>
      <c r="D975" s="39" t="s">
        <v>72</v>
      </c>
    </row>
    <row r="976" spans="1:4" ht="15.6">
      <c r="A976" s="42"/>
      <c r="B976" s="39" t="s">
        <v>100</v>
      </c>
      <c r="C976" s="39"/>
      <c r="D976" s="39" t="s">
        <v>72</v>
      </c>
    </row>
    <row r="977" spans="1:4" ht="15.6">
      <c r="A977" s="42"/>
      <c r="B977" s="39" t="s">
        <v>102</v>
      </c>
      <c r="C977" s="39"/>
      <c r="D977" s="39" t="s">
        <v>72</v>
      </c>
    </row>
    <row r="978" spans="1:4" ht="15.6">
      <c r="A978" s="42"/>
      <c r="B978" s="39" t="s">
        <v>104</v>
      </c>
      <c r="C978" s="39"/>
      <c r="D978" s="39" t="s">
        <v>72</v>
      </c>
    </row>
    <row r="979" spans="1:4" ht="15.6">
      <c r="A979" s="42"/>
      <c r="B979" s="39" t="s">
        <v>106</v>
      </c>
      <c r="C979" s="39"/>
      <c r="D979" s="39" t="s">
        <v>72</v>
      </c>
    </row>
    <row r="980" spans="1:4" ht="15.6">
      <c r="A980" s="42"/>
      <c r="B980" s="39" t="s">
        <v>108</v>
      </c>
      <c r="C980" s="39"/>
      <c r="D980" s="39" t="s">
        <v>72</v>
      </c>
    </row>
    <row r="981" spans="1:4" ht="15.6">
      <c r="A981" s="42"/>
      <c r="B981" s="39" t="s">
        <v>110</v>
      </c>
      <c r="C981" s="39"/>
      <c r="D981" s="39" t="s">
        <v>72</v>
      </c>
    </row>
    <row r="982" spans="1:4" ht="15.6">
      <c r="A982" s="42"/>
      <c r="B982" s="39" t="s">
        <v>112</v>
      </c>
      <c r="C982" s="39"/>
      <c r="D982" s="39" t="s">
        <v>72</v>
      </c>
    </row>
    <row r="983" spans="1:4" ht="15.6">
      <c r="A983" s="42"/>
      <c r="B983" s="39" t="s">
        <v>114</v>
      </c>
      <c r="C983" s="39"/>
      <c r="D983" s="39" t="s">
        <v>72</v>
      </c>
    </row>
    <row r="984" spans="1:4" ht="15.6">
      <c r="A984" s="42"/>
      <c r="B984" s="39" t="s">
        <v>116</v>
      </c>
      <c r="C984" s="39"/>
      <c r="D984" s="39" t="s">
        <v>72</v>
      </c>
    </row>
    <row r="985" spans="1:4" ht="15.6">
      <c r="A985" s="42"/>
      <c r="B985" s="39" t="s">
        <v>118</v>
      </c>
      <c r="C985" s="39"/>
      <c r="D985" s="39" t="s">
        <v>72</v>
      </c>
    </row>
    <row r="986" spans="1:4" ht="15.6">
      <c r="A986" s="42"/>
      <c r="B986" s="39" t="s">
        <v>120</v>
      </c>
      <c r="C986" s="39"/>
      <c r="D986" s="39" t="s">
        <v>72</v>
      </c>
    </row>
    <row r="987" spans="1:4" ht="15.6">
      <c r="A987" s="42"/>
      <c r="B987" s="39" t="s">
        <v>122</v>
      </c>
      <c r="C987" s="39"/>
      <c r="D987" s="39" t="s">
        <v>72</v>
      </c>
    </row>
    <row r="988" spans="1:4" ht="15.6">
      <c r="A988" s="42"/>
      <c r="B988" s="39" t="s">
        <v>124</v>
      </c>
      <c r="C988" s="39"/>
      <c r="D988" s="39" t="s">
        <v>72</v>
      </c>
    </row>
    <row r="989" spans="1:4" ht="15.6">
      <c r="A989" s="42"/>
      <c r="B989" s="39" t="s">
        <v>126</v>
      </c>
      <c r="C989" s="39"/>
      <c r="D989" s="39" t="s">
        <v>72</v>
      </c>
    </row>
    <row r="990" spans="1:4" ht="15.6">
      <c r="A990" s="42"/>
      <c r="B990" s="39" t="s">
        <v>945</v>
      </c>
      <c r="C990" s="39"/>
      <c r="D990" s="39" t="s">
        <v>72</v>
      </c>
    </row>
    <row r="991" spans="1:4" ht="15.6">
      <c r="A991" s="42"/>
      <c r="B991" s="39" t="s">
        <v>130</v>
      </c>
      <c r="C991" s="39"/>
      <c r="D991" s="39" t="s">
        <v>72</v>
      </c>
    </row>
    <row r="992" spans="1:4" ht="15.6">
      <c r="A992" s="42"/>
      <c r="B992" s="39"/>
      <c r="C992" s="39"/>
      <c r="D992" s="39" t="s">
        <v>72</v>
      </c>
    </row>
    <row r="993" spans="1:4" ht="15.6">
      <c r="A993" s="42"/>
      <c r="B993" s="39"/>
      <c r="C993" s="39"/>
      <c r="D993" s="39" t="s">
        <v>72</v>
      </c>
    </row>
    <row r="994" spans="1:4" ht="15.6">
      <c r="A994" s="42"/>
      <c r="B994" s="39"/>
      <c r="C994" s="39"/>
      <c r="D994" s="39" t="s">
        <v>72</v>
      </c>
    </row>
    <row r="995" spans="1:4" ht="15.6">
      <c r="A995" s="42"/>
      <c r="B995" s="39"/>
      <c r="C995" s="39"/>
      <c r="D995" s="39" t="s">
        <v>72</v>
      </c>
    </row>
    <row r="996" spans="1:4" ht="16.2" thickBot="1">
      <c r="A996" s="42"/>
      <c r="B996" s="39"/>
      <c r="C996" s="39"/>
      <c r="D996" s="39" t="s">
        <v>72</v>
      </c>
    </row>
    <row r="997" spans="1:4" ht="16.2" thickBot="1">
      <c r="A997" s="32"/>
      <c r="B997" s="33"/>
      <c r="C997" s="33"/>
      <c r="D997" s="34" t="s">
        <v>72</v>
      </c>
    </row>
    <row r="998" spans="1:4" ht="15.6">
      <c r="A998" s="42"/>
      <c r="B998" s="39" t="s">
        <v>74</v>
      </c>
      <c r="C998" s="39"/>
      <c r="D998" s="38" t="s">
        <v>72</v>
      </c>
    </row>
    <row r="999" spans="1:4" ht="15.6">
      <c r="A999" s="42"/>
      <c r="B999" s="39" t="s">
        <v>76</v>
      </c>
      <c r="C999" s="39"/>
      <c r="D999" s="38" t="s">
        <v>72</v>
      </c>
    </row>
    <row r="1000" spans="1:4" ht="15.6">
      <c r="A1000" s="42"/>
      <c r="B1000" s="39" t="s">
        <v>944</v>
      </c>
      <c r="C1000" s="39"/>
      <c r="D1000" s="38" t="s">
        <v>72</v>
      </c>
    </row>
    <row r="1001" spans="1:4" ht="15.6">
      <c r="A1001" s="42"/>
      <c r="B1001" s="39" t="s">
        <v>80</v>
      </c>
      <c r="C1001" s="39"/>
      <c r="D1001" s="38" t="s">
        <v>72</v>
      </c>
    </row>
    <row r="1002" spans="1:4" ht="15.6">
      <c r="A1002" s="42"/>
      <c r="B1002" s="39" t="s">
        <v>82</v>
      </c>
      <c r="C1002" s="39"/>
      <c r="D1002" s="38" t="s">
        <v>72</v>
      </c>
    </row>
    <row r="1003" spans="1:4" ht="15.6">
      <c r="A1003" s="42"/>
      <c r="B1003" s="39" t="s">
        <v>84</v>
      </c>
      <c r="C1003" s="39"/>
      <c r="D1003" s="38" t="s">
        <v>72</v>
      </c>
    </row>
    <row r="1004" spans="1:4" ht="15.6">
      <c r="A1004" s="42"/>
      <c r="B1004" s="39" t="s">
        <v>86</v>
      </c>
      <c r="C1004" s="39"/>
      <c r="D1004" s="38" t="s">
        <v>72</v>
      </c>
    </row>
    <row r="1005" spans="1:4" ht="15.6">
      <c r="A1005" s="42"/>
      <c r="B1005" s="39" t="s">
        <v>88</v>
      </c>
      <c r="C1005" s="39"/>
      <c r="D1005" s="38" t="s">
        <v>72</v>
      </c>
    </row>
    <row r="1006" spans="1:4" ht="15.6">
      <c r="A1006" s="42"/>
      <c r="B1006" s="39" t="s">
        <v>90</v>
      </c>
      <c r="C1006" s="39"/>
      <c r="D1006" s="38" t="s">
        <v>72</v>
      </c>
    </row>
    <row r="1007" spans="1:4" ht="15.6">
      <c r="A1007" s="42"/>
      <c r="B1007" s="39" t="s">
        <v>92</v>
      </c>
      <c r="C1007" s="39"/>
      <c r="D1007" s="39" t="s">
        <v>72</v>
      </c>
    </row>
    <row r="1008" spans="1:4" ht="15.6">
      <c r="A1008" s="42"/>
      <c r="B1008" s="39" t="s">
        <v>94</v>
      </c>
      <c r="C1008" s="39"/>
      <c r="D1008" s="39" t="s">
        <v>72</v>
      </c>
    </row>
    <row r="1009" spans="1:4" ht="15.6">
      <c r="A1009" s="42"/>
      <c r="B1009" s="39" t="s">
        <v>96</v>
      </c>
      <c r="C1009" s="39"/>
      <c r="D1009" s="39" t="s">
        <v>72</v>
      </c>
    </row>
    <row r="1010" spans="1:4" ht="15.6">
      <c r="A1010" s="42"/>
      <c r="B1010" s="39" t="s">
        <v>98</v>
      </c>
      <c r="C1010" s="39"/>
      <c r="D1010" s="39" t="s">
        <v>72</v>
      </c>
    </row>
    <row r="1011" spans="1:4" ht="15.6">
      <c r="A1011" s="42"/>
      <c r="B1011" s="39" t="s">
        <v>100</v>
      </c>
      <c r="C1011" s="39"/>
      <c r="D1011" s="39" t="s">
        <v>72</v>
      </c>
    </row>
    <row r="1012" spans="1:4" ht="15.6">
      <c r="A1012" s="42"/>
      <c r="B1012" s="39" t="s">
        <v>102</v>
      </c>
      <c r="C1012" s="39"/>
      <c r="D1012" s="39" t="s">
        <v>72</v>
      </c>
    </row>
    <row r="1013" spans="1:4" ht="15.6">
      <c r="A1013" s="42"/>
      <c r="B1013" s="39" t="s">
        <v>104</v>
      </c>
      <c r="C1013" s="39"/>
      <c r="D1013" s="39" t="s">
        <v>72</v>
      </c>
    </row>
    <row r="1014" spans="1:4" ht="15.6">
      <c r="A1014" s="42"/>
      <c r="B1014" s="39" t="s">
        <v>106</v>
      </c>
      <c r="C1014" s="39"/>
      <c r="D1014" s="39" t="s">
        <v>72</v>
      </c>
    </row>
    <row r="1015" spans="1:4" ht="15.6">
      <c r="A1015" s="42"/>
      <c r="B1015" s="39" t="s">
        <v>108</v>
      </c>
      <c r="C1015" s="39"/>
      <c r="D1015" s="39" t="s">
        <v>72</v>
      </c>
    </row>
    <row r="1016" spans="1:4" ht="15.6">
      <c r="A1016" s="42"/>
      <c r="B1016" s="39" t="s">
        <v>110</v>
      </c>
      <c r="C1016" s="39"/>
      <c r="D1016" s="39" t="s">
        <v>72</v>
      </c>
    </row>
    <row r="1017" spans="1:4" ht="15.6">
      <c r="A1017" s="42"/>
      <c r="B1017" s="39" t="s">
        <v>112</v>
      </c>
      <c r="C1017" s="39"/>
      <c r="D1017" s="39" t="s">
        <v>72</v>
      </c>
    </row>
    <row r="1018" spans="1:4" ht="15.6">
      <c r="A1018" s="42"/>
      <c r="B1018" s="39" t="s">
        <v>114</v>
      </c>
      <c r="C1018" s="39"/>
      <c r="D1018" s="39" t="s">
        <v>72</v>
      </c>
    </row>
    <row r="1019" spans="1:4" ht="15.6">
      <c r="A1019" s="42"/>
      <c r="B1019" s="39" t="s">
        <v>116</v>
      </c>
      <c r="C1019" s="39"/>
      <c r="D1019" s="39" t="s">
        <v>72</v>
      </c>
    </row>
    <row r="1020" spans="1:4" ht="15.6">
      <c r="A1020" s="42"/>
      <c r="B1020" s="39" t="s">
        <v>118</v>
      </c>
      <c r="C1020" s="39"/>
      <c r="D1020" s="39" t="s">
        <v>72</v>
      </c>
    </row>
    <row r="1021" spans="1:4" ht="15.6">
      <c r="A1021" s="42"/>
      <c r="B1021" s="39" t="s">
        <v>120</v>
      </c>
      <c r="C1021" s="39"/>
      <c r="D1021" s="39" t="s">
        <v>72</v>
      </c>
    </row>
    <row r="1022" spans="1:4" ht="15.6">
      <c r="A1022" s="42"/>
      <c r="B1022" s="39" t="s">
        <v>122</v>
      </c>
      <c r="C1022" s="39"/>
      <c r="D1022" s="39" t="s">
        <v>72</v>
      </c>
    </row>
    <row r="1023" spans="1:4" ht="15.6">
      <c r="A1023" s="42"/>
      <c r="B1023" s="39" t="s">
        <v>124</v>
      </c>
      <c r="C1023" s="39"/>
      <c r="D1023" s="39" t="s">
        <v>72</v>
      </c>
    </row>
    <row r="1024" spans="1:4" ht="15.6">
      <c r="A1024" s="42"/>
      <c r="B1024" s="39" t="s">
        <v>126</v>
      </c>
      <c r="C1024" s="39"/>
      <c r="D1024" s="39" t="s">
        <v>72</v>
      </c>
    </row>
    <row r="1025" spans="1:4" ht="15.6">
      <c r="A1025" s="42"/>
      <c r="B1025" s="39" t="s">
        <v>945</v>
      </c>
      <c r="C1025" s="39"/>
      <c r="D1025" s="39" t="s">
        <v>72</v>
      </c>
    </row>
    <row r="1026" spans="1:4" ht="15.6">
      <c r="A1026" s="42"/>
      <c r="B1026" s="39" t="s">
        <v>130</v>
      </c>
      <c r="C1026" s="39"/>
      <c r="D1026" s="39" t="s">
        <v>72</v>
      </c>
    </row>
    <row r="1027" spans="1:4" ht="15.6">
      <c r="A1027" s="42"/>
      <c r="B1027" s="39"/>
      <c r="C1027" s="39"/>
      <c r="D1027" s="39" t="s">
        <v>72</v>
      </c>
    </row>
    <row r="1028" spans="1:4" ht="15.6">
      <c r="A1028" s="42"/>
      <c r="B1028" s="39"/>
      <c r="C1028" s="39"/>
      <c r="D1028" s="39" t="s">
        <v>72</v>
      </c>
    </row>
    <row r="1029" spans="1:4" ht="15.6">
      <c r="A1029" s="42"/>
      <c r="B1029" s="39"/>
      <c r="C1029" s="39"/>
      <c r="D1029" s="39" t="s">
        <v>72</v>
      </c>
    </row>
    <row r="1030" spans="1:4" ht="15.6">
      <c r="A1030" s="42"/>
      <c r="B1030" s="39"/>
      <c r="C1030" s="39"/>
      <c r="D1030" s="39" t="s">
        <v>72</v>
      </c>
    </row>
    <row r="1031" spans="1:4" ht="16.2" thickBot="1">
      <c r="A1031" s="42"/>
      <c r="B1031" s="39"/>
      <c r="C1031" s="39"/>
      <c r="D1031" s="39" t="s">
        <v>72</v>
      </c>
    </row>
    <row r="1032" spans="1:4" ht="16.2" thickBot="1">
      <c r="A1032" s="41"/>
      <c r="B1032" s="33"/>
      <c r="C1032" s="33"/>
      <c r="D1032" s="34" t="s">
        <v>72</v>
      </c>
    </row>
    <row r="1033" spans="1:4" ht="15.6">
      <c r="A1033" s="42"/>
      <c r="B1033" s="39" t="s">
        <v>74</v>
      </c>
      <c r="C1033" s="39"/>
      <c r="D1033" s="38" t="s">
        <v>72</v>
      </c>
    </row>
    <row r="1034" spans="1:4" ht="15.6">
      <c r="A1034" s="42"/>
      <c r="B1034" s="39" t="s">
        <v>76</v>
      </c>
      <c r="C1034" s="39"/>
      <c r="D1034" s="38" t="s">
        <v>72</v>
      </c>
    </row>
    <row r="1035" spans="1:4" ht="15.6">
      <c r="A1035" s="42"/>
      <c r="B1035" s="39" t="s">
        <v>944</v>
      </c>
      <c r="C1035" s="39"/>
      <c r="D1035" s="38" t="s">
        <v>72</v>
      </c>
    </row>
    <row r="1036" spans="1:4" ht="15.6">
      <c r="A1036" s="42"/>
      <c r="B1036" s="39" t="s">
        <v>80</v>
      </c>
      <c r="C1036" s="39"/>
      <c r="D1036" s="38" t="s">
        <v>72</v>
      </c>
    </row>
    <row r="1037" spans="1:4" ht="15.6">
      <c r="A1037" s="42"/>
      <c r="B1037" s="39" t="s">
        <v>82</v>
      </c>
      <c r="C1037" s="39"/>
      <c r="D1037" s="38" t="s">
        <v>72</v>
      </c>
    </row>
    <row r="1038" spans="1:4" ht="15.6">
      <c r="A1038" s="42"/>
      <c r="B1038" s="39" t="s">
        <v>84</v>
      </c>
      <c r="C1038" s="39"/>
      <c r="D1038" s="38" t="s">
        <v>72</v>
      </c>
    </row>
    <row r="1039" spans="1:4" ht="15.6">
      <c r="A1039" s="42"/>
      <c r="B1039" s="39" t="s">
        <v>86</v>
      </c>
      <c r="C1039" s="39"/>
      <c r="D1039" s="38" t="s">
        <v>72</v>
      </c>
    </row>
    <row r="1040" spans="1:4" ht="15.6">
      <c r="A1040" s="42"/>
      <c r="B1040" s="39" t="s">
        <v>88</v>
      </c>
      <c r="C1040" s="39"/>
      <c r="D1040" s="38" t="s">
        <v>72</v>
      </c>
    </row>
    <row r="1041" spans="1:4" ht="15.6">
      <c r="A1041" s="42"/>
      <c r="B1041" s="39" t="s">
        <v>90</v>
      </c>
      <c r="C1041" s="39"/>
      <c r="D1041" s="38" t="s">
        <v>72</v>
      </c>
    </row>
    <row r="1042" spans="1:4" ht="15.6">
      <c r="A1042" s="42"/>
      <c r="B1042" s="39" t="s">
        <v>92</v>
      </c>
      <c r="C1042" s="39"/>
      <c r="D1042" s="39" t="s">
        <v>72</v>
      </c>
    </row>
    <row r="1043" spans="1:4" ht="15.6">
      <c r="A1043" s="42"/>
      <c r="B1043" s="39" t="s">
        <v>94</v>
      </c>
      <c r="C1043" s="39"/>
      <c r="D1043" s="39" t="s">
        <v>72</v>
      </c>
    </row>
    <row r="1044" spans="1:4" ht="15.6">
      <c r="A1044" s="42"/>
      <c r="B1044" s="39" t="s">
        <v>96</v>
      </c>
      <c r="C1044" s="39"/>
      <c r="D1044" s="39" t="s">
        <v>72</v>
      </c>
    </row>
    <row r="1045" spans="1:4" ht="15.6">
      <c r="A1045" s="42"/>
      <c r="B1045" s="39" t="s">
        <v>98</v>
      </c>
      <c r="C1045" s="39"/>
      <c r="D1045" s="39" t="s">
        <v>72</v>
      </c>
    </row>
    <row r="1046" spans="1:4" ht="15.6">
      <c r="A1046" s="42"/>
      <c r="B1046" s="39" t="s">
        <v>100</v>
      </c>
      <c r="C1046" s="39"/>
      <c r="D1046" s="39" t="s">
        <v>72</v>
      </c>
    </row>
    <row r="1047" spans="1:4" ht="15.6">
      <c r="A1047" s="42"/>
      <c r="B1047" s="39" t="s">
        <v>102</v>
      </c>
      <c r="C1047" s="39"/>
      <c r="D1047" s="39" t="s">
        <v>72</v>
      </c>
    </row>
    <row r="1048" spans="1:4" ht="15.6">
      <c r="A1048" s="42"/>
      <c r="B1048" s="39" t="s">
        <v>104</v>
      </c>
      <c r="C1048" s="39"/>
      <c r="D1048" s="39" t="s">
        <v>72</v>
      </c>
    </row>
    <row r="1049" spans="1:4" ht="15.6">
      <c r="A1049" s="42"/>
      <c r="B1049" s="39" t="s">
        <v>106</v>
      </c>
      <c r="C1049" s="39"/>
      <c r="D1049" s="39" t="s">
        <v>72</v>
      </c>
    </row>
    <row r="1050" spans="1:4" ht="15.6">
      <c r="A1050" s="42"/>
      <c r="B1050" s="39" t="s">
        <v>108</v>
      </c>
      <c r="C1050" s="39"/>
      <c r="D1050" s="39" t="s">
        <v>72</v>
      </c>
    </row>
    <row r="1051" spans="1:4" ht="15.6">
      <c r="A1051" s="42"/>
      <c r="B1051" s="39" t="s">
        <v>110</v>
      </c>
      <c r="C1051" s="39"/>
      <c r="D1051" s="39" t="s">
        <v>72</v>
      </c>
    </row>
    <row r="1052" spans="1:4" ht="15.6">
      <c r="A1052" s="42"/>
      <c r="B1052" s="39" t="s">
        <v>112</v>
      </c>
      <c r="C1052" s="39"/>
      <c r="D1052" s="39" t="s">
        <v>72</v>
      </c>
    </row>
    <row r="1053" spans="1:4" ht="15.6">
      <c r="A1053" s="42"/>
      <c r="B1053" s="39" t="s">
        <v>114</v>
      </c>
      <c r="C1053" s="39"/>
      <c r="D1053" s="39" t="s">
        <v>72</v>
      </c>
    </row>
    <row r="1054" spans="1:4" ht="15.6">
      <c r="A1054" s="42"/>
      <c r="B1054" s="39" t="s">
        <v>116</v>
      </c>
      <c r="C1054" s="39"/>
      <c r="D1054" s="39" t="s">
        <v>72</v>
      </c>
    </row>
    <row r="1055" spans="1:4" ht="15.6">
      <c r="A1055" s="42"/>
      <c r="B1055" s="39" t="s">
        <v>118</v>
      </c>
      <c r="C1055" s="39"/>
      <c r="D1055" s="39" t="s">
        <v>72</v>
      </c>
    </row>
    <row r="1056" spans="1:4" ht="15.6">
      <c r="A1056" s="42"/>
      <c r="B1056" s="39" t="s">
        <v>120</v>
      </c>
      <c r="C1056" s="39"/>
      <c r="D1056" s="39" t="s">
        <v>72</v>
      </c>
    </row>
    <row r="1057" spans="1:4" ht="15.6">
      <c r="A1057" s="42"/>
      <c r="B1057" s="39" t="s">
        <v>122</v>
      </c>
      <c r="C1057" s="39"/>
      <c r="D1057" s="39" t="s">
        <v>72</v>
      </c>
    </row>
    <row r="1058" spans="1:4" ht="15.6">
      <c r="A1058" s="42"/>
      <c r="B1058" s="39" t="s">
        <v>124</v>
      </c>
      <c r="C1058" s="39"/>
      <c r="D1058" s="39" t="s">
        <v>72</v>
      </c>
    </row>
    <row r="1059" spans="1:4" ht="15.6">
      <c r="A1059" s="42"/>
      <c r="B1059" s="39" t="s">
        <v>126</v>
      </c>
      <c r="C1059" s="39"/>
      <c r="D1059" s="39" t="s">
        <v>72</v>
      </c>
    </row>
    <row r="1060" spans="1:4" ht="15.6">
      <c r="A1060" s="42"/>
      <c r="B1060" s="39" t="s">
        <v>945</v>
      </c>
      <c r="C1060" s="39"/>
      <c r="D1060" s="39" t="s">
        <v>72</v>
      </c>
    </row>
    <row r="1061" spans="1:4" ht="15.6">
      <c r="A1061" s="42"/>
      <c r="B1061" s="39" t="s">
        <v>130</v>
      </c>
      <c r="C1061" s="39"/>
      <c r="D1061" s="39" t="s">
        <v>72</v>
      </c>
    </row>
    <row r="1062" spans="1:4" ht="15.6">
      <c r="A1062" s="42"/>
      <c r="B1062" s="39"/>
      <c r="C1062" s="39"/>
      <c r="D1062" s="39" t="s">
        <v>72</v>
      </c>
    </row>
    <row r="1063" spans="1:4" ht="15.6">
      <c r="A1063" s="42"/>
      <c r="B1063" s="39"/>
      <c r="C1063" s="39"/>
      <c r="D1063" s="39" t="s">
        <v>72</v>
      </c>
    </row>
    <row r="1064" spans="1:4" ht="15.6">
      <c r="A1064" s="42"/>
      <c r="B1064" s="39"/>
      <c r="C1064" s="39"/>
      <c r="D1064" s="39" t="s">
        <v>72</v>
      </c>
    </row>
    <row r="1065" spans="1:4" ht="16.2" thickBot="1">
      <c r="A1065" s="42"/>
      <c r="B1065" s="39"/>
      <c r="C1065" s="39"/>
      <c r="D1065" s="39" t="s">
        <v>72</v>
      </c>
    </row>
    <row r="1066" spans="1:4" ht="16.2" thickBot="1">
      <c r="A1066" s="32"/>
      <c r="B1066" s="33"/>
      <c r="C1066" s="33"/>
      <c r="D1066" s="34" t="s">
        <v>72</v>
      </c>
    </row>
    <row r="1067" spans="1:4" ht="15.6">
      <c r="A1067" s="42"/>
      <c r="B1067" s="39" t="s">
        <v>74</v>
      </c>
      <c r="C1067" s="39"/>
      <c r="D1067" s="38" t="s">
        <v>72</v>
      </c>
    </row>
    <row r="1068" spans="1:4" ht="15.6">
      <c r="A1068" s="42"/>
      <c r="B1068" s="39" t="s">
        <v>76</v>
      </c>
      <c r="C1068" s="39"/>
      <c r="D1068" s="38" t="s">
        <v>72</v>
      </c>
    </row>
    <row r="1069" spans="1:4" ht="15.6">
      <c r="A1069" s="42"/>
      <c r="B1069" s="39" t="s">
        <v>944</v>
      </c>
      <c r="C1069" s="39"/>
      <c r="D1069" s="38" t="s">
        <v>72</v>
      </c>
    </row>
    <row r="1070" spans="1:4" ht="15.6">
      <c r="A1070" s="42"/>
      <c r="B1070" s="39" t="s">
        <v>80</v>
      </c>
      <c r="C1070" s="39"/>
      <c r="D1070" s="38" t="s">
        <v>72</v>
      </c>
    </row>
    <row r="1071" spans="1:4" ht="15.6">
      <c r="A1071" s="42"/>
      <c r="B1071" s="39" t="s">
        <v>82</v>
      </c>
      <c r="C1071" s="39"/>
      <c r="D1071" s="38" t="s">
        <v>72</v>
      </c>
    </row>
    <row r="1072" spans="1:4" ht="15.6">
      <c r="A1072" s="42"/>
      <c r="B1072" s="39" t="s">
        <v>84</v>
      </c>
      <c r="C1072" s="39"/>
      <c r="D1072" s="38" t="s">
        <v>72</v>
      </c>
    </row>
    <row r="1073" spans="1:4" ht="15.6">
      <c r="A1073" s="42"/>
      <c r="B1073" s="39" t="s">
        <v>86</v>
      </c>
      <c r="C1073" s="39"/>
      <c r="D1073" s="38" t="s">
        <v>72</v>
      </c>
    </row>
    <row r="1074" spans="1:4" ht="15.6">
      <c r="A1074" s="42"/>
      <c r="B1074" s="39" t="s">
        <v>88</v>
      </c>
      <c r="C1074" s="39"/>
      <c r="D1074" s="38" t="s">
        <v>72</v>
      </c>
    </row>
    <row r="1075" spans="1:4" ht="15.6">
      <c r="A1075" s="42"/>
      <c r="B1075" s="39" t="s">
        <v>90</v>
      </c>
      <c r="C1075" s="39"/>
      <c r="D1075" s="38" t="s">
        <v>72</v>
      </c>
    </row>
    <row r="1076" spans="1:4" ht="15.6">
      <c r="A1076" s="42"/>
      <c r="B1076" s="39" t="s">
        <v>92</v>
      </c>
      <c r="C1076" s="39"/>
      <c r="D1076" s="39" t="s">
        <v>72</v>
      </c>
    </row>
    <row r="1077" spans="1:4" ht="15.6">
      <c r="A1077" s="42"/>
      <c r="B1077" s="39" t="s">
        <v>94</v>
      </c>
      <c r="C1077" s="39"/>
      <c r="D1077" s="39" t="s">
        <v>72</v>
      </c>
    </row>
    <row r="1078" spans="1:4" ht="15.6">
      <c r="A1078" s="42"/>
      <c r="B1078" s="39" t="s">
        <v>96</v>
      </c>
      <c r="C1078" s="39"/>
      <c r="D1078" s="39" t="s">
        <v>72</v>
      </c>
    </row>
    <row r="1079" spans="1:4" ht="15.6">
      <c r="A1079" s="42"/>
      <c r="B1079" s="39" t="s">
        <v>98</v>
      </c>
      <c r="C1079" s="39"/>
      <c r="D1079" s="39" t="s">
        <v>72</v>
      </c>
    </row>
    <row r="1080" spans="1:4" ht="15.6">
      <c r="A1080" s="42"/>
      <c r="B1080" s="39" t="s">
        <v>100</v>
      </c>
      <c r="C1080" s="39"/>
      <c r="D1080" s="39" t="s">
        <v>72</v>
      </c>
    </row>
    <row r="1081" spans="1:4" ht="15.6">
      <c r="A1081" s="42"/>
      <c r="B1081" s="39" t="s">
        <v>102</v>
      </c>
      <c r="C1081" s="39"/>
      <c r="D1081" s="39" t="s">
        <v>72</v>
      </c>
    </row>
    <row r="1082" spans="1:4" ht="15.6">
      <c r="A1082" s="42"/>
      <c r="B1082" s="39" t="s">
        <v>104</v>
      </c>
      <c r="C1082" s="39"/>
      <c r="D1082" s="39" t="s">
        <v>72</v>
      </c>
    </row>
    <row r="1083" spans="1:4" ht="15.6">
      <c r="A1083" s="42"/>
      <c r="B1083" s="39" t="s">
        <v>106</v>
      </c>
      <c r="C1083" s="39"/>
      <c r="D1083" s="39" t="s">
        <v>72</v>
      </c>
    </row>
    <row r="1084" spans="1:4" ht="15.6">
      <c r="A1084" s="42"/>
      <c r="B1084" s="39" t="s">
        <v>108</v>
      </c>
      <c r="C1084" s="39"/>
      <c r="D1084" s="39" t="s">
        <v>72</v>
      </c>
    </row>
    <row r="1085" spans="1:4" ht="15.6">
      <c r="A1085" s="42"/>
      <c r="B1085" s="39" t="s">
        <v>110</v>
      </c>
      <c r="C1085" s="39"/>
      <c r="D1085" s="39" t="s">
        <v>72</v>
      </c>
    </row>
    <row r="1086" spans="1:4" ht="15.6">
      <c r="A1086" s="42"/>
      <c r="B1086" s="39" t="s">
        <v>112</v>
      </c>
      <c r="C1086" s="39"/>
      <c r="D1086" s="39" t="s">
        <v>72</v>
      </c>
    </row>
    <row r="1087" spans="1:4" ht="15.6">
      <c r="A1087" s="42"/>
      <c r="B1087" s="39" t="s">
        <v>114</v>
      </c>
      <c r="C1087" s="39"/>
      <c r="D1087" s="39" t="s">
        <v>72</v>
      </c>
    </row>
    <row r="1088" spans="1:4" ht="15.6">
      <c r="A1088" s="42"/>
      <c r="B1088" s="39" t="s">
        <v>116</v>
      </c>
      <c r="C1088" s="39"/>
      <c r="D1088" s="39" t="s">
        <v>72</v>
      </c>
    </row>
    <row r="1089" spans="1:4" ht="15.6">
      <c r="A1089" s="42"/>
      <c r="B1089" s="39" t="s">
        <v>118</v>
      </c>
      <c r="C1089" s="39"/>
      <c r="D1089" s="39" t="s">
        <v>72</v>
      </c>
    </row>
    <row r="1090" spans="1:4" ht="15.6">
      <c r="A1090" s="42"/>
      <c r="B1090" s="39" t="s">
        <v>120</v>
      </c>
      <c r="C1090" s="39"/>
      <c r="D1090" s="39" t="s">
        <v>72</v>
      </c>
    </row>
    <row r="1091" spans="1:4" ht="15.6">
      <c r="A1091" s="42"/>
      <c r="B1091" s="39" t="s">
        <v>122</v>
      </c>
      <c r="C1091" s="39"/>
      <c r="D1091" s="39" t="s">
        <v>72</v>
      </c>
    </row>
    <row r="1092" spans="1:4" ht="15.6">
      <c r="A1092" s="42"/>
      <c r="B1092" s="39" t="s">
        <v>124</v>
      </c>
      <c r="C1092" s="39"/>
      <c r="D1092" s="39" t="s">
        <v>72</v>
      </c>
    </row>
    <row r="1093" spans="1:4" ht="15.6">
      <c r="A1093" s="42"/>
      <c r="B1093" s="39" t="s">
        <v>126</v>
      </c>
      <c r="C1093" s="39"/>
      <c r="D1093" s="39" t="s">
        <v>72</v>
      </c>
    </row>
    <row r="1094" spans="1:4" ht="15.6">
      <c r="A1094" s="42"/>
      <c r="B1094" s="39" t="s">
        <v>945</v>
      </c>
      <c r="C1094" s="39"/>
      <c r="D1094" s="39" t="s">
        <v>72</v>
      </c>
    </row>
    <row r="1095" spans="1:4" ht="15.6">
      <c r="A1095" s="42"/>
      <c r="B1095" s="39" t="s">
        <v>130</v>
      </c>
      <c r="C1095" s="39"/>
      <c r="D1095" s="39" t="s">
        <v>72</v>
      </c>
    </row>
    <row r="1096" spans="1:4" ht="15.6">
      <c r="A1096" s="42"/>
      <c r="B1096" s="39"/>
      <c r="C1096" s="39"/>
      <c r="D1096" s="39" t="s">
        <v>72</v>
      </c>
    </row>
    <row r="1097" spans="1:4" ht="15.6">
      <c r="A1097" s="42"/>
      <c r="B1097" s="39"/>
      <c r="C1097" s="39"/>
      <c r="D1097" s="39" t="s">
        <v>72</v>
      </c>
    </row>
    <row r="1098" spans="1:4" ht="15.6">
      <c r="A1098" s="42"/>
      <c r="B1098" s="39"/>
      <c r="C1098" s="39"/>
      <c r="D1098" s="39" t="s">
        <v>72</v>
      </c>
    </row>
    <row r="1099" spans="1:4" ht="15.6">
      <c r="A1099" s="42"/>
      <c r="B1099" s="39"/>
      <c r="C1099" s="39"/>
      <c r="D1099" s="39" t="s">
        <v>72</v>
      </c>
    </row>
    <row r="1100" spans="1:4" ht="16.2" thickBot="1">
      <c r="A1100" s="42"/>
      <c r="B1100" s="39"/>
      <c r="C1100" s="39"/>
      <c r="D1100" s="39" t="s">
        <v>72</v>
      </c>
    </row>
    <row r="1101" spans="1:4" ht="31.8" thickBot="1">
      <c r="A1101" s="41">
        <v>5300</v>
      </c>
      <c r="B1101" s="33" t="s">
        <v>946</v>
      </c>
      <c r="C1101" s="33" t="s">
        <v>947</v>
      </c>
      <c r="D1101" s="34" t="s">
        <v>72</v>
      </c>
    </row>
    <row r="1102" spans="1:4" ht="15.6">
      <c r="A1102" s="42"/>
      <c r="B1102" s="39" t="s">
        <v>74</v>
      </c>
      <c r="C1102" s="39"/>
      <c r="D1102" s="38" t="s">
        <v>72</v>
      </c>
    </row>
    <row r="1103" spans="1:4" ht="15.6">
      <c r="A1103" s="42"/>
      <c r="B1103" s="39" t="s">
        <v>76</v>
      </c>
      <c r="C1103" s="39"/>
      <c r="D1103" s="38" t="s">
        <v>72</v>
      </c>
    </row>
    <row r="1104" spans="1:4" ht="15.6">
      <c r="A1104" s="42"/>
      <c r="B1104" s="39" t="s">
        <v>944</v>
      </c>
      <c r="C1104" s="39"/>
      <c r="D1104" s="38" t="s">
        <v>72</v>
      </c>
    </row>
    <row r="1105" spans="1:4" ht="15.6">
      <c r="A1105" s="42"/>
      <c r="B1105" s="39" t="s">
        <v>80</v>
      </c>
      <c r="C1105" s="39"/>
      <c r="D1105" s="38" t="s">
        <v>72</v>
      </c>
    </row>
    <row r="1106" spans="1:4" ht="15.6">
      <c r="A1106" s="42"/>
      <c r="B1106" s="39" t="s">
        <v>82</v>
      </c>
      <c r="C1106" s="39"/>
      <c r="D1106" s="38" t="s">
        <v>72</v>
      </c>
    </row>
    <row r="1107" spans="1:4" ht="15.6">
      <c r="A1107" s="42"/>
      <c r="B1107" s="39" t="s">
        <v>84</v>
      </c>
      <c r="C1107" s="39"/>
      <c r="D1107" s="38" t="s">
        <v>72</v>
      </c>
    </row>
    <row r="1108" spans="1:4" ht="15.6">
      <c r="A1108" s="42"/>
      <c r="B1108" s="39" t="s">
        <v>86</v>
      </c>
      <c r="C1108" s="39"/>
      <c r="D1108" s="38" t="s">
        <v>72</v>
      </c>
    </row>
    <row r="1109" spans="1:4" ht="15.6">
      <c r="A1109" s="42"/>
      <c r="B1109" s="39" t="s">
        <v>88</v>
      </c>
      <c r="C1109" s="39"/>
      <c r="D1109" s="38" t="s">
        <v>72</v>
      </c>
    </row>
    <row r="1110" spans="1:4" ht="15.6">
      <c r="A1110" s="42"/>
      <c r="B1110" s="39" t="s">
        <v>90</v>
      </c>
      <c r="C1110" s="39"/>
      <c r="D1110" s="38" t="s">
        <v>72</v>
      </c>
    </row>
    <row r="1111" spans="1:4" ht="15.6">
      <c r="A1111" s="42"/>
      <c r="B1111" s="39" t="s">
        <v>92</v>
      </c>
      <c r="C1111" s="39"/>
      <c r="D1111" s="39" t="s">
        <v>72</v>
      </c>
    </row>
    <row r="1112" spans="1:4" ht="15.6">
      <c r="A1112" s="42"/>
      <c r="B1112" s="39" t="s">
        <v>94</v>
      </c>
      <c r="C1112" s="39"/>
      <c r="D1112" s="39" t="s">
        <v>72</v>
      </c>
    </row>
    <row r="1113" spans="1:4" ht="15.6">
      <c r="A1113" s="42"/>
      <c r="B1113" s="39" t="s">
        <v>96</v>
      </c>
      <c r="C1113" s="39"/>
      <c r="D1113" s="39" t="s">
        <v>72</v>
      </c>
    </row>
    <row r="1114" spans="1:4" ht="15.6">
      <c r="A1114" s="42"/>
      <c r="B1114" s="39" t="s">
        <v>98</v>
      </c>
      <c r="C1114" s="39"/>
      <c r="D1114" s="39" t="s">
        <v>72</v>
      </c>
    </row>
    <row r="1115" spans="1:4" ht="15.6">
      <c r="A1115" s="42"/>
      <c r="B1115" s="39" t="s">
        <v>100</v>
      </c>
      <c r="C1115" s="39"/>
      <c r="D1115" s="39" t="s">
        <v>72</v>
      </c>
    </row>
    <row r="1116" spans="1:4" ht="15.6">
      <c r="A1116" s="42"/>
      <c r="B1116" s="39" t="s">
        <v>102</v>
      </c>
      <c r="C1116" s="39"/>
      <c r="D1116" s="39" t="s">
        <v>72</v>
      </c>
    </row>
    <row r="1117" spans="1:4" ht="15.6">
      <c r="A1117" s="42"/>
      <c r="B1117" s="39" t="s">
        <v>104</v>
      </c>
      <c r="C1117" s="39"/>
      <c r="D1117" s="39" t="s">
        <v>72</v>
      </c>
    </row>
    <row r="1118" spans="1:4" ht="15.6">
      <c r="A1118" s="42"/>
      <c r="B1118" s="39" t="s">
        <v>106</v>
      </c>
      <c r="C1118" s="39"/>
      <c r="D1118" s="39" t="s">
        <v>72</v>
      </c>
    </row>
    <row r="1119" spans="1:4" ht="15.6">
      <c r="A1119" s="42"/>
      <c r="B1119" s="39" t="s">
        <v>108</v>
      </c>
      <c r="C1119" s="39"/>
      <c r="D1119" s="39" t="s">
        <v>72</v>
      </c>
    </row>
    <row r="1120" spans="1:4" ht="15.6">
      <c r="A1120" s="42"/>
      <c r="B1120" s="39" t="s">
        <v>110</v>
      </c>
      <c r="C1120" s="39"/>
      <c r="D1120" s="39" t="s">
        <v>72</v>
      </c>
    </row>
    <row r="1121" spans="1:4" ht="15.6">
      <c r="A1121" s="42"/>
      <c r="B1121" s="39" t="s">
        <v>112</v>
      </c>
      <c r="C1121" s="39"/>
      <c r="D1121" s="39" t="s">
        <v>72</v>
      </c>
    </row>
    <row r="1122" spans="1:4" ht="15.6">
      <c r="A1122" s="42"/>
      <c r="B1122" s="39" t="s">
        <v>114</v>
      </c>
      <c r="C1122" s="39"/>
      <c r="D1122" s="39" t="s">
        <v>72</v>
      </c>
    </row>
    <row r="1123" spans="1:4" ht="15.6">
      <c r="A1123" s="42"/>
      <c r="B1123" s="39" t="s">
        <v>116</v>
      </c>
      <c r="C1123" s="39"/>
      <c r="D1123" s="39" t="s">
        <v>72</v>
      </c>
    </row>
    <row r="1124" spans="1:4" ht="15.6">
      <c r="A1124" s="42"/>
      <c r="B1124" s="39" t="s">
        <v>118</v>
      </c>
      <c r="C1124" s="39"/>
      <c r="D1124" s="39" t="s">
        <v>72</v>
      </c>
    </row>
    <row r="1125" spans="1:4" ht="15.6">
      <c r="A1125" s="42"/>
      <c r="B1125" s="39" t="s">
        <v>120</v>
      </c>
      <c r="C1125" s="39"/>
      <c r="D1125" s="39" t="s">
        <v>72</v>
      </c>
    </row>
    <row r="1126" spans="1:4" ht="15.6">
      <c r="A1126" s="42"/>
      <c r="B1126" s="39" t="s">
        <v>122</v>
      </c>
      <c r="C1126" s="39"/>
      <c r="D1126" s="39" t="s">
        <v>72</v>
      </c>
    </row>
    <row r="1127" spans="1:4" ht="15.6">
      <c r="A1127" s="42"/>
      <c r="B1127" s="39" t="s">
        <v>124</v>
      </c>
      <c r="C1127" s="39"/>
      <c r="D1127" s="39" t="s">
        <v>72</v>
      </c>
    </row>
    <row r="1128" spans="1:4" ht="15.6">
      <c r="A1128" s="42"/>
      <c r="B1128" s="39" t="s">
        <v>126</v>
      </c>
      <c r="C1128" s="39"/>
      <c r="D1128" s="39" t="s">
        <v>72</v>
      </c>
    </row>
    <row r="1129" spans="1:4" ht="15.6">
      <c r="A1129" s="42"/>
      <c r="B1129" s="39" t="s">
        <v>945</v>
      </c>
      <c r="C1129" s="39"/>
      <c r="D1129" s="39" t="s">
        <v>72</v>
      </c>
    </row>
    <row r="1130" spans="1:4" ht="15.6">
      <c r="A1130" s="42"/>
      <c r="B1130" s="39" t="s">
        <v>130</v>
      </c>
      <c r="C1130" s="39"/>
      <c r="D1130" s="39" t="s">
        <v>72</v>
      </c>
    </row>
    <row r="1131" spans="1:4" ht="15.6">
      <c r="A1131" s="42"/>
      <c r="B1131" s="39"/>
      <c r="C1131" s="39"/>
      <c r="D1131" s="39" t="s">
        <v>72</v>
      </c>
    </row>
    <row r="1132" spans="1:4" ht="15.6">
      <c r="A1132" s="42"/>
      <c r="B1132" s="39"/>
      <c r="C1132" s="39"/>
      <c r="D1132" s="39" t="s">
        <v>72</v>
      </c>
    </row>
    <row r="1133" spans="1:4" ht="15.6">
      <c r="A1133" s="42"/>
      <c r="B1133" s="39"/>
      <c r="C1133" s="39"/>
      <c r="D1133" s="39" t="s">
        <v>72</v>
      </c>
    </row>
    <row r="1134" spans="1:4" ht="15.6">
      <c r="A1134" s="42"/>
      <c r="B1134" s="39"/>
      <c r="C1134" s="39"/>
      <c r="D1134" s="39" t="s">
        <v>72</v>
      </c>
    </row>
    <row r="1135" spans="1:4" ht="15.6">
      <c r="A1135" s="42"/>
      <c r="B1135" s="39"/>
      <c r="C1135" s="39"/>
      <c r="D1135" s="39" t="s">
        <v>72</v>
      </c>
    </row>
    <row r="1136" spans="1:4" ht="16.2" thickBot="1">
      <c r="A1136" s="44">
        <v>598</v>
      </c>
      <c r="B1136" s="45"/>
      <c r="C1136" s="45" t="s">
        <v>948</v>
      </c>
      <c r="D1136" s="46" t="s">
        <v>72</v>
      </c>
    </row>
    <row r="1137" spans="1:4" ht="15.6">
      <c r="A1137" s="42" t="s">
        <v>949</v>
      </c>
      <c r="B1137" s="39" t="s">
        <v>950</v>
      </c>
      <c r="C1137" s="39" t="s">
        <v>948</v>
      </c>
      <c r="D1137" s="38" t="s">
        <v>72</v>
      </c>
    </row>
    <row r="1138" spans="1:4" ht="15.6">
      <c r="A1138" s="42" t="s">
        <v>951</v>
      </c>
      <c r="B1138" s="39" t="s">
        <v>952</v>
      </c>
      <c r="C1138" s="39" t="s">
        <v>948</v>
      </c>
      <c r="D1138" s="38" t="s">
        <v>72</v>
      </c>
    </row>
    <row r="1139" spans="1:4" ht="15.6">
      <c r="A1139" s="42" t="s">
        <v>953</v>
      </c>
      <c r="B1139" s="39"/>
      <c r="C1139" s="39" t="s">
        <v>948</v>
      </c>
      <c r="D1139" s="38" t="s">
        <v>72</v>
      </c>
    </row>
    <row r="1140" spans="1:4" ht="15.6">
      <c r="A1140" s="42" t="s">
        <v>954</v>
      </c>
      <c r="B1140" s="39"/>
      <c r="C1140" s="39" t="s">
        <v>948</v>
      </c>
      <c r="D1140" s="38" t="s">
        <v>72</v>
      </c>
    </row>
    <row r="1141" spans="1:4" ht="15.6">
      <c r="A1141" s="42" t="s">
        <v>955</v>
      </c>
      <c r="B1141" s="39"/>
      <c r="C1141" s="39" t="s">
        <v>948</v>
      </c>
      <c r="D1141" s="38" t="s">
        <v>72</v>
      </c>
    </row>
    <row r="1142" spans="1:4" ht="15.6">
      <c r="A1142" s="42" t="s">
        <v>956</v>
      </c>
      <c r="B1142" s="39"/>
      <c r="C1142" s="39" t="s">
        <v>948</v>
      </c>
      <c r="D1142" s="38" t="s">
        <v>72</v>
      </c>
    </row>
    <row r="1143" spans="1:4" ht="15.6">
      <c r="A1143" s="42" t="s">
        <v>957</v>
      </c>
      <c r="B1143" s="39"/>
      <c r="C1143" s="39" t="s">
        <v>948</v>
      </c>
      <c r="D1143" s="38" t="s">
        <v>72</v>
      </c>
    </row>
    <row r="1144" spans="1:4" ht="15.6">
      <c r="A1144" s="42" t="s">
        <v>958</v>
      </c>
      <c r="B1144" s="39"/>
      <c r="C1144" s="39" t="s">
        <v>948</v>
      </c>
      <c r="D1144" s="38" t="s">
        <v>72</v>
      </c>
    </row>
    <row r="1145" spans="1:4" ht="15.6">
      <c r="A1145" s="42" t="s">
        <v>959</v>
      </c>
      <c r="B1145" s="39"/>
      <c r="C1145" s="39" t="s">
        <v>948</v>
      </c>
      <c r="D1145" s="38" t="s">
        <v>72</v>
      </c>
    </row>
    <row r="1146" spans="1:4" ht="16.2" thickBot="1">
      <c r="A1146" s="42" t="s">
        <v>960</v>
      </c>
      <c r="B1146" s="39"/>
      <c r="C1146" s="39" t="s">
        <v>948</v>
      </c>
      <c r="D1146" s="38" t="s">
        <v>72</v>
      </c>
    </row>
    <row r="1147" spans="1:4" ht="16.2" thickBot="1">
      <c r="A1147" s="47">
        <v>570</v>
      </c>
      <c r="B1147" s="48" t="s">
        <v>961</v>
      </c>
      <c r="C1147" s="48" t="s">
        <v>961</v>
      </c>
      <c r="D1147" s="48" t="s">
        <v>23</v>
      </c>
    </row>
    <row r="1148" spans="1:4" ht="16.2" thickBot="1">
      <c r="A1148" s="35" t="s">
        <v>962</v>
      </c>
      <c r="B1148" s="37"/>
      <c r="C1148" s="49" t="s">
        <v>961</v>
      </c>
      <c r="D1148" s="38" t="s">
        <v>23</v>
      </c>
    </row>
    <row r="1149" spans="1:4" ht="16.2" thickBot="1">
      <c r="A1149" s="42" t="s">
        <v>963</v>
      </c>
      <c r="B1149" s="39"/>
      <c r="C1149" s="49" t="s">
        <v>961</v>
      </c>
      <c r="D1149" s="38" t="s">
        <v>23</v>
      </c>
    </row>
    <row r="1150" spans="1:4" ht="18" thickBot="1">
      <c r="A1150" s="50">
        <v>508</v>
      </c>
      <c r="B1150" s="51" t="s">
        <v>964</v>
      </c>
      <c r="C1150" s="52" t="s">
        <v>964</v>
      </c>
      <c r="D1150" s="53" t="s">
        <v>23</v>
      </c>
    </row>
    <row r="1151" spans="1:4" ht="17.399999999999999">
      <c r="A1151" s="54" t="s">
        <v>965</v>
      </c>
      <c r="B1151" s="55" t="s">
        <v>966</v>
      </c>
      <c r="C1151" s="56" t="s">
        <v>964</v>
      </c>
      <c r="D1151" s="57" t="s">
        <v>23</v>
      </c>
    </row>
    <row r="1152" spans="1:4" ht="17.399999999999999">
      <c r="A1152" s="54" t="s">
        <v>967</v>
      </c>
      <c r="B1152" s="55" t="s">
        <v>968</v>
      </c>
      <c r="C1152" s="56" t="s">
        <v>964</v>
      </c>
      <c r="D1152" s="57" t="s">
        <v>23</v>
      </c>
    </row>
    <row r="1153" spans="1:4" ht="17.399999999999999">
      <c r="A1153" s="54" t="s">
        <v>969</v>
      </c>
      <c r="B1153" s="55" t="s">
        <v>970</v>
      </c>
      <c r="C1153" s="56" t="s">
        <v>964</v>
      </c>
      <c r="D1153" s="57" t="s">
        <v>23</v>
      </c>
    </row>
    <row r="1154" spans="1:4" ht="17.399999999999999">
      <c r="A1154" s="54" t="s">
        <v>971</v>
      </c>
      <c r="B1154" s="55" t="s">
        <v>972</v>
      </c>
      <c r="C1154" s="56" t="s">
        <v>964</v>
      </c>
      <c r="D1154" s="57" t="s">
        <v>23</v>
      </c>
    </row>
    <row r="1155" spans="1:4" ht="17.399999999999999">
      <c r="A1155" s="54" t="s">
        <v>973</v>
      </c>
      <c r="B1155" s="55" t="s">
        <v>974</v>
      </c>
      <c r="C1155" s="56" t="s">
        <v>964</v>
      </c>
      <c r="D1155" s="57" t="s">
        <v>23</v>
      </c>
    </row>
    <row r="1156" spans="1:4" ht="17.399999999999999">
      <c r="A1156" s="54"/>
      <c r="B1156" s="55"/>
      <c r="C1156" s="56"/>
      <c r="D1156" s="57"/>
    </row>
    <row r="1157" spans="1:4" ht="17.399999999999999">
      <c r="A1157" s="54"/>
      <c r="B1157" s="55"/>
      <c r="C1157" s="56"/>
      <c r="D1157" s="57"/>
    </row>
    <row r="1158" spans="1:4" ht="17.399999999999999">
      <c r="A1158" s="54"/>
      <c r="B1158" s="55"/>
      <c r="C1158" s="56"/>
      <c r="D1158" s="56"/>
    </row>
    <row r="1159" spans="1:4" ht="17.399999999999999">
      <c r="A1159" s="54">
        <v>600</v>
      </c>
      <c r="B1159" s="55" t="s">
        <v>975</v>
      </c>
      <c r="C1159" s="56" t="s">
        <v>976</v>
      </c>
      <c r="D1159" s="56" t="s">
        <v>976</v>
      </c>
    </row>
    <row r="1160" spans="1:4" ht="17.399999999999999">
      <c r="A1160" s="54">
        <v>601</v>
      </c>
      <c r="B1160" s="55" t="s">
        <v>977</v>
      </c>
      <c r="C1160" s="56" t="s">
        <v>976</v>
      </c>
      <c r="D1160" s="56" t="s">
        <v>976</v>
      </c>
    </row>
    <row r="1161" spans="1:4" ht="18" thickBot="1">
      <c r="A1161" s="54">
        <v>602</v>
      </c>
      <c r="B1161" s="55"/>
      <c r="C1161" s="56"/>
      <c r="D1161" s="56" t="s">
        <v>976</v>
      </c>
    </row>
    <row r="1162" spans="1:4" ht="18" thickBot="1">
      <c r="A1162" s="58">
        <v>6000</v>
      </c>
      <c r="B1162" s="59" t="s">
        <v>978</v>
      </c>
      <c r="C1162" s="60" t="s">
        <v>978</v>
      </c>
      <c r="D1162" s="61" t="s">
        <v>976</v>
      </c>
    </row>
    <row r="1163" spans="1:4" ht="17.399999999999999">
      <c r="A1163" s="54" t="s">
        <v>979</v>
      </c>
      <c r="B1163" s="55" t="s">
        <v>980</v>
      </c>
      <c r="C1163" s="56" t="s">
        <v>978</v>
      </c>
      <c r="D1163" s="56" t="s">
        <v>976</v>
      </c>
    </row>
    <row r="1164" spans="1:4" ht="17.399999999999999">
      <c r="A1164" s="54" t="s">
        <v>981</v>
      </c>
      <c r="B1164" s="55" t="s">
        <v>982</v>
      </c>
      <c r="C1164" s="56" t="s">
        <v>978</v>
      </c>
      <c r="D1164" s="56" t="s">
        <v>976</v>
      </c>
    </row>
    <row r="1165" spans="1:4" ht="17.399999999999999">
      <c r="A1165" s="54" t="s">
        <v>983</v>
      </c>
      <c r="B1165" s="55" t="s">
        <v>984</v>
      </c>
      <c r="C1165" s="56" t="s">
        <v>978</v>
      </c>
      <c r="D1165" s="56" t="s">
        <v>976</v>
      </c>
    </row>
    <row r="1166" spans="1:4" ht="17.399999999999999">
      <c r="A1166" s="54" t="s">
        <v>985</v>
      </c>
      <c r="B1166" s="55" t="s">
        <v>986</v>
      </c>
      <c r="C1166" s="56" t="s">
        <v>978</v>
      </c>
      <c r="D1166" s="56" t="s">
        <v>976</v>
      </c>
    </row>
    <row r="1167" spans="1:4" ht="17.399999999999999">
      <c r="A1167" s="54" t="s">
        <v>987</v>
      </c>
      <c r="B1167" s="55" t="s">
        <v>988</v>
      </c>
      <c r="C1167" s="56" t="s">
        <v>978</v>
      </c>
      <c r="D1167" s="56" t="s">
        <v>976</v>
      </c>
    </row>
    <row r="1168" spans="1:4" ht="17.399999999999999">
      <c r="A1168" s="54" t="s">
        <v>989</v>
      </c>
      <c r="B1168" s="55" t="s">
        <v>990</v>
      </c>
      <c r="C1168" s="56" t="s">
        <v>978</v>
      </c>
      <c r="D1168" s="56" t="s">
        <v>976</v>
      </c>
    </row>
    <row r="1169" spans="1:4" ht="17.399999999999999">
      <c r="A1169" s="54" t="s">
        <v>991</v>
      </c>
      <c r="B1169" s="55" t="s">
        <v>992</v>
      </c>
      <c r="C1169" s="56" t="s">
        <v>978</v>
      </c>
      <c r="D1169" s="56" t="s">
        <v>976</v>
      </c>
    </row>
    <row r="1170" spans="1:4" ht="17.399999999999999">
      <c r="A1170" s="54" t="s">
        <v>993</v>
      </c>
      <c r="B1170" s="55" t="s">
        <v>994</v>
      </c>
      <c r="C1170" s="56" t="s">
        <v>978</v>
      </c>
      <c r="D1170" s="56" t="s">
        <v>976</v>
      </c>
    </row>
    <row r="1171" spans="1:4" ht="17.399999999999999">
      <c r="A1171" s="54" t="s">
        <v>995</v>
      </c>
      <c r="B1171" s="55" t="s">
        <v>996</v>
      </c>
      <c r="C1171" s="56" t="s">
        <v>978</v>
      </c>
      <c r="D1171" s="56" t="s">
        <v>976</v>
      </c>
    </row>
    <row r="1172" spans="1:4" ht="17.399999999999999">
      <c r="A1172" s="54" t="s">
        <v>997</v>
      </c>
      <c r="B1172" s="55" t="s">
        <v>998</v>
      </c>
      <c r="C1172" s="56" t="s">
        <v>978</v>
      </c>
      <c r="D1172" s="56" t="s">
        <v>976</v>
      </c>
    </row>
    <row r="1173" spans="1:4" ht="17.399999999999999">
      <c r="A1173" s="54" t="s">
        <v>999</v>
      </c>
      <c r="B1173" s="55" t="s">
        <v>1000</v>
      </c>
      <c r="C1173" s="56" t="s">
        <v>978</v>
      </c>
      <c r="D1173" s="56" t="s">
        <v>976</v>
      </c>
    </row>
    <row r="1174" spans="1:4" ht="17.399999999999999">
      <c r="A1174" s="54" t="s">
        <v>1001</v>
      </c>
      <c r="B1174" s="55" t="s">
        <v>1002</v>
      </c>
      <c r="C1174" s="56" t="s">
        <v>978</v>
      </c>
      <c r="D1174" s="56" t="s">
        <v>976</v>
      </c>
    </row>
    <row r="1175" spans="1:4" ht="17.399999999999999">
      <c r="A1175" s="54" t="s">
        <v>1003</v>
      </c>
      <c r="B1175" s="55" t="s">
        <v>1004</v>
      </c>
      <c r="C1175" s="56" t="s">
        <v>978</v>
      </c>
      <c r="D1175" s="56" t="s">
        <v>976</v>
      </c>
    </row>
    <row r="1176" spans="1:4" ht="17.399999999999999">
      <c r="A1176" s="54" t="s">
        <v>1005</v>
      </c>
      <c r="B1176" s="55" t="s">
        <v>1006</v>
      </c>
      <c r="C1176" s="56" t="s">
        <v>978</v>
      </c>
      <c r="D1176" s="56" t="s">
        <v>976</v>
      </c>
    </row>
    <row r="1177" spans="1:4" ht="17.399999999999999">
      <c r="A1177" s="54" t="s">
        <v>1007</v>
      </c>
      <c r="B1177" s="55" t="s">
        <v>1008</v>
      </c>
      <c r="C1177" s="56" t="s">
        <v>978</v>
      </c>
      <c r="D1177" s="56" t="s">
        <v>976</v>
      </c>
    </row>
    <row r="1178" spans="1:4" ht="17.399999999999999">
      <c r="A1178" s="54" t="s">
        <v>1009</v>
      </c>
      <c r="B1178" s="55" t="s">
        <v>1010</v>
      </c>
      <c r="C1178" s="56" t="s">
        <v>978</v>
      </c>
      <c r="D1178" s="56" t="s">
        <v>976</v>
      </c>
    </row>
    <row r="1179" spans="1:4" ht="17.399999999999999">
      <c r="A1179" s="54" t="s">
        <v>1011</v>
      </c>
      <c r="B1179" s="55" t="s">
        <v>1012</v>
      </c>
      <c r="C1179" s="56" t="s">
        <v>978</v>
      </c>
      <c r="D1179" s="56" t="s">
        <v>976</v>
      </c>
    </row>
    <row r="1180" spans="1:4" ht="17.399999999999999">
      <c r="A1180" s="54" t="s">
        <v>1013</v>
      </c>
      <c r="B1180" s="55" t="s">
        <v>1014</v>
      </c>
      <c r="C1180" s="56" t="s">
        <v>978</v>
      </c>
      <c r="D1180" s="56" t="s">
        <v>976</v>
      </c>
    </row>
    <row r="1181" spans="1:4" ht="17.399999999999999">
      <c r="A1181" s="54" t="s">
        <v>1015</v>
      </c>
      <c r="B1181" s="55" t="s">
        <v>1016</v>
      </c>
      <c r="C1181" s="56" t="s">
        <v>978</v>
      </c>
      <c r="D1181" s="56" t="s">
        <v>976</v>
      </c>
    </row>
    <row r="1182" spans="1:4" ht="17.399999999999999">
      <c r="A1182" s="54" t="s">
        <v>1017</v>
      </c>
      <c r="B1182" s="55" t="s">
        <v>1018</v>
      </c>
      <c r="C1182" s="56" t="s">
        <v>978</v>
      </c>
      <c r="D1182" s="56" t="s">
        <v>976</v>
      </c>
    </row>
    <row r="1183" spans="1:4" ht="17.399999999999999">
      <c r="A1183" s="54">
        <v>6031</v>
      </c>
      <c r="B1183" s="55" t="s">
        <v>1019</v>
      </c>
      <c r="C1183" s="56" t="s">
        <v>978</v>
      </c>
      <c r="D1183" s="56" t="s">
        <v>976</v>
      </c>
    </row>
    <row r="1184" spans="1:4" ht="17.399999999999999">
      <c r="A1184" s="54" t="s">
        <v>1020</v>
      </c>
      <c r="B1184" s="55" t="s">
        <v>1021</v>
      </c>
      <c r="C1184" s="56" t="s">
        <v>978</v>
      </c>
      <c r="D1184" s="56" t="s">
        <v>976</v>
      </c>
    </row>
    <row r="1185" spans="1:4" ht="17.399999999999999">
      <c r="A1185" s="54">
        <v>6033</v>
      </c>
      <c r="B1185" s="55" t="s">
        <v>1022</v>
      </c>
      <c r="C1185" s="56" t="s">
        <v>978</v>
      </c>
      <c r="D1185" s="56" t="s">
        <v>976</v>
      </c>
    </row>
    <row r="1186" spans="1:4" ht="17.399999999999999">
      <c r="A1186" s="54">
        <v>6034</v>
      </c>
      <c r="B1186" s="55" t="s">
        <v>1023</v>
      </c>
      <c r="C1186" s="56" t="s">
        <v>978</v>
      </c>
      <c r="D1186" s="56" t="s">
        <v>976</v>
      </c>
    </row>
    <row r="1187" spans="1:4" ht="17.399999999999999">
      <c r="A1187" s="54">
        <v>6035</v>
      </c>
      <c r="B1187" s="55" t="s">
        <v>1024</v>
      </c>
      <c r="C1187" s="56" t="s">
        <v>978</v>
      </c>
      <c r="D1187" s="56" t="s">
        <v>976</v>
      </c>
    </row>
    <row r="1188" spans="1:4" ht="17.399999999999999">
      <c r="A1188" s="54">
        <v>6036</v>
      </c>
      <c r="B1188" s="55"/>
      <c r="C1188" s="56" t="s">
        <v>978</v>
      </c>
      <c r="D1188" s="56" t="s">
        <v>976</v>
      </c>
    </row>
    <row r="1189" spans="1:4" ht="17.399999999999999">
      <c r="A1189" s="54">
        <v>6037</v>
      </c>
      <c r="B1189" s="55"/>
      <c r="C1189" s="56" t="s">
        <v>978</v>
      </c>
      <c r="D1189" s="56" t="s">
        <v>976</v>
      </c>
    </row>
    <row r="1190" spans="1:4" ht="17.399999999999999">
      <c r="A1190" s="54">
        <v>6038</v>
      </c>
      <c r="B1190" s="55"/>
      <c r="C1190" s="56" t="s">
        <v>978</v>
      </c>
      <c r="D1190" s="56" t="s">
        <v>976</v>
      </c>
    </row>
    <row r="1191" spans="1:4" ht="17.399999999999999">
      <c r="A1191" s="54">
        <v>6039</v>
      </c>
      <c r="B1191" s="55"/>
      <c r="C1191" s="56" t="s">
        <v>978</v>
      </c>
      <c r="D1191" s="56" t="s">
        <v>976</v>
      </c>
    </row>
    <row r="1192" spans="1:4" ht="17.399999999999999">
      <c r="A1192" s="54">
        <v>6040</v>
      </c>
      <c r="B1192" s="55"/>
      <c r="C1192" s="56" t="s">
        <v>978</v>
      </c>
      <c r="D1192" s="56" t="s">
        <v>976</v>
      </c>
    </row>
    <row r="1193" spans="1:4" ht="17.399999999999999">
      <c r="A1193" s="54" t="s">
        <v>1025</v>
      </c>
      <c r="B1193" s="55" t="s">
        <v>1026</v>
      </c>
      <c r="C1193" s="56" t="s">
        <v>1027</v>
      </c>
      <c r="D1193" s="56" t="s">
        <v>976</v>
      </c>
    </row>
    <row r="1194" spans="1:4" ht="17.399999999999999">
      <c r="A1194" s="54" t="s">
        <v>1028</v>
      </c>
      <c r="B1194" s="55" t="s">
        <v>1029</v>
      </c>
      <c r="C1194" s="56" t="s">
        <v>1027</v>
      </c>
      <c r="D1194" s="56" t="s">
        <v>976</v>
      </c>
    </row>
    <row r="1195" spans="1:4" ht="17.399999999999999">
      <c r="A1195" s="54" t="s">
        <v>1030</v>
      </c>
      <c r="B1195" s="55" t="s">
        <v>1031</v>
      </c>
      <c r="C1195" s="56" t="s">
        <v>1027</v>
      </c>
      <c r="D1195" s="56" t="s">
        <v>976</v>
      </c>
    </row>
    <row r="1196" spans="1:4" ht="17.399999999999999">
      <c r="A1196" s="54" t="s">
        <v>1032</v>
      </c>
      <c r="B1196" s="55" t="s">
        <v>1033</v>
      </c>
      <c r="C1196" s="56" t="s">
        <v>1027</v>
      </c>
      <c r="D1196" s="56" t="s">
        <v>976</v>
      </c>
    </row>
    <row r="1197" spans="1:4" ht="17.399999999999999">
      <c r="A1197" s="54" t="s">
        <v>1034</v>
      </c>
      <c r="B1197" s="55" t="s">
        <v>1035</v>
      </c>
      <c r="C1197" s="56" t="s">
        <v>1027</v>
      </c>
      <c r="D1197" s="56" t="s">
        <v>976</v>
      </c>
    </row>
    <row r="1198" spans="1:4" ht="17.399999999999999">
      <c r="A1198" s="54" t="s">
        <v>1036</v>
      </c>
      <c r="B1198" s="55" t="s">
        <v>1037</v>
      </c>
      <c r="C1198" s="56" t="s">
        <v>1027</v>
      </c>
      <c r="D1198" s="56" t="s">
        <v>976</v>
      </c>
    </row>
    <row r="1199" spans="1:4" ht="17.399999999999999">
      <c r="A1199" s="54" t="s">
        <v>1038</v>
      </c>
      <c r="B1199" s="55" t="s">
        <v>1039</v>
      </c>
      <c r="C1199" s="56" t="s">
        <v>1027</v>
      </c>
      <c r="D1199" s="56" t="s">
        <v>976</v>
      </c>
    </row>
    <row r="1200" spans="1:4" ht="17.399999999999999">
      <c r="A1200" s="54" t="s">
        <v>1040</v>
      </c>
      <c r="B1200" s="55" t="s">
        <v>1041</v>
      </c>
      <c r="C1200" s="56" t="s">
        <v>1027</v>
      </c>
      <c r="D1200" s="56" t="s">
        <v>976</v>
      </c>
    </row>
    <row r="1201" spans="1:4" ht="17.399999999999999">
      <c r="A1201" s="54" t="s">
        <v>1042</v>
      </c>
      <c r="B1201" s="55" t="s">
        <v>1043</v>
      </c>
      <c r="C1201" s="56" t="s">
        <v>1027</v>
      </c>
      <c r="D1201" s="56" t="s">
        <v>976</v>
      </c>
    </row>
    <row r="1202" spans="1:4" ht="17.399999999999999">
      <c r="A1202" s="54" t="s">
        <v>1044</v>
      </c>
      <c r="B1202" s="55" t="s">
        <v>1045</v>
      </c>
      <c r="C1202" s="56" t="s">
        <v>1027</v>
      </c>
      <c r="D1202" s="56" t="s">
        <v>976</v>
      </c>
    </row>
    <row r="1203" spans="1:4" ht="17.399999999999999">
      <c r="A1203" s="54" t="s">
        <v>1046</v>
      </c>
      <c r="B1203" s="55" t="s">
        <v>1047</v>
      </c>
      <c r="C1203" s="56" t="s">
        <v>1027</v>
      </c>
      <c r="D1203" s="56" t="s">
        <v>976</v>
      </c>
    </row>
    <row r="1204" spans="1:4" ht="17.399999999999999">
      <c r="A1204" s="54" t="s">
        <v>1048</v>
      </c>
      <c r="B1204" s="55" t="s">
        <v>1049</v>
      </c>
      <c r="C1204" s="56" t="s">
        <v>1027</v>
      </c>
      <c r="D1204" s="56" t="s">
        <v>976</v>
      </c>
    </row>
    <row r="1205" spans="1:4" ht="17.399999999999999">
      <c r="A1205" s="54" t="s">
        <v>1050</v>
      </c>
      <c r="B1205" s="55" t="s">
        <v>1051</v>
      </c>
      <c r="C1205" s="56" t="s">
        <v>1027</v>
      </c>
      <c r="D1205" s="56" t="s">
        <v>976</v>
      </c>
    </row>
    <row r="1206" spans="1:4" ht="17.399999999999999">
      <c r="A1206" s="54" t="s">
        <v>1052</v>
      </c>
      <c r="B1206" s="55" t="s">
        <v>1053</v>
      </c>
      <c r="C1206" s="56" t="s">
        <v>1027</v>
      </c>
      <c r="D1206" s="56" t="s">
        <v>976</v>
      </c>
    </row>
    <row r="1207" spans="1:4" ht="17.399999999999999">
      <c r="A1207" s="54" t="s">
        <v>1054</v>
      </c>
      <c r="B1207" s="55" t="s">
        <v>1055</v>
      </c>
      <c r="C1207" s="56" t="s">
        <v>1027</v>
      </c>
      <c r="D1207" s="56" t="s">
        <v>976</v>
      </c>
    </row>
    <row r="1208" spans="1:4" ht="17.399999999999999">
      <c r="A1208" s="54" t="s">
        <v>1056</v>
      </c>
      <c r="B1208" s="55" t="s">
        <v>1057</v>
      </c>
      <c r="C1208" s="56" t="s">
        <v>1027</v>
      </c>
      <c r="D1208" s="56" t="s">
        <v>976</v>
      </c>
    </row>
    <row r="1209" spans="1:4" ht="17.399999999999999">
      <c r="A1209" s="54" t="s">
        <v>1058</v>
      </c>
      <c r="B1209" s="55" t="s">
        <v>1059</v>
      </c>
      <c r="C1209" s="56" t="s">
        <v>1027</v>
      </c>
      <c r="D1209" s="56" t="s">
        <v>976</v>
      </c>
    </row>
    <row r="1210" spans="1:4" ht="17.399999999999999">
      <c r="A1210" s="54" t="s">
        <v>1060</v>
      </c>
      <c r="B1210" s="55" t="s">
        <v>1061</v>
      </c>
      <c r="C1210" s="56" t="s">
        <v>1027</v>
      </c>
      <c r="D1210" s="56" t="s">
        <v>976</v>
      </c>
    </row>
    <row r="1211" spans="1:4" ht="17.399999999999999">
      <c r="A1211" s="54" t="s">
        <v>1062</v>
      </c>
      <c r="B1211" s="55" t="s">
        <v>1063</v>
      </c>
      <c r="C1211" s="56" t="s">
        <v>1027</v>
      </c>
      <c r="D1211" s="56" t="s">
        <v>976</v>
      </c>
    </row>
    <row r="1212" spans="1:4" ht="17.399999999999999">
      <c r="A1212" s="62" t="s">
        <v>1064</v>
      </c>
      <c r="B1212" s="55" t="s">
        <v>1065</v>
      </c>
      <c r="C1212" s="56" t="s">
        <v>1027</v>
      </c>
      <c r="D1212" s="56" t="s">
        <v>976</v>
      </c>
    </row>
    <row r="1213" spans="1:4" ht="17.399999999999999">
      <c r="A1213" s="54">
        <v>6061</v>
      </c>
      <c r="B1213" s="55" t="s">
        <v>1066</v>
      </c>
      <c r="C1213" s="56" t="s">
        <v>1027</v>
      </c>
      <c r="D1213" s="56" t="s">
        <v>976</v>
      </c>
    </row>
    <row r="1214" spans="1:4" ht="17.399999999999999">
      <c r="A1214" s="54" t="s">
        <v>1067</v>
      </c>
      <c r="B1214" s="55" t="s">
        <v>1068</v>
      </c>
      <c r="C1214" s="56" t="s">
        <v>1027</v>
      </c>
      <c r="D1214" s="56" t="s">
        <v>976</v>
      </c>
    </row>
    <row r="1215" spans="1:4" ht="17.399999999999999">
      <c r="A1215" s="54" t="s">
        <v>1069</v>
      </c>
      <c r="B1215" s="55" t="s">
        <v>1070</v>
      </c>
      <c r="C1215" s="56" t="s">
        <v>1027</v>
      </c>
      <c r="D1215" s="56" t="s">
        <v>976</v>
      </c>
    </row>
    <row r="1216" spans="1:4" ht="17.399999999999999">
      <c r="A1216" s="54">
        <v>6041</v>
      </c>
      <c r="B1216" s="55" t="s">
        <v>1071</v>
      </c>
      <c r="C1216" s="56" t="s">
        <v>1027</v>
      </c>
      <c r="D1216" s="56" t="s">
        <v>976</v>
      </c>
    </row>
    <row r="1217" spans="1:4" ht="17.399999999999999">
      <c r="A1217" s="54" t="s">
        <v>1072</v>
      </c>
      <c r="B1217" s="55" t="s">
        <v>1073</v>
      </c>
      <c r="C1217" s="56" t="s">
        <v>1027</v>
      </c>
      <c r="D1217" s="56" t="s">
        <v>976</v>
      </c>
    </row>
    <row r="1218" spans="1:4" ht="17.399999999999999">
      <c r="A1218" s="54"/>
      <c r="B1218" s="55"/>
      <c r="C1218" s="56"/>
      <c r="D1218" s="56"/>
    </row>
    <row r="1219" spans="1:4" ht="17.399999999999999">
      <c r="A1219" s="54"/>
      <c r="B1219" s="55"/>
      <c r="C1219" s="56"/>
      <c r="D1219" s="56"/>
    </row>
    <row r="1220" spans="1:4" ht="17.399999999999999">
      <c r="A1220" s="54"/>
      <c r="B1220" s="55"/>
      <c r="C1220" s="56"/>
      <c r="D1220" s="56"/>
    </row>
    <row r="1221" spans="1:4" ht="17.399999999999999">
      <c r="A1221" s="54"/>
      <c r="B1221" s="55"/>
      <c r="C1221" s="56"/>
      <c r="D1221" s="56"/>
    </row>
    <row r="1222" spans="1:4" ht="17.399999999999999">
      <c r="A1222" s="54"/>
      <c r="B1222" s="55"/>
      <c r="C1222" s="56"/>
      <c r="D1222" s="56"/>
    </row>
    <row r="1223" spans="1:4" ht="17.399999999999999">
      <c r="A1223" s="54"/>
      <c r="B1223" s="55"/>
      <c r="C1223" s="56"/>
      <c r="D1223" s="56"/>
    </row>
    <row r="1224" spans="1:4" ht="17.399999999999999">
      <c r="A1224" s="54"/>
      <c r="B1224" s="55"/>
      <c r="C1224" s="56"/>
      <c r="D1224" s="56"/>
    </row>
    <row r="1225" spans="1:4" ht="17.399999999999999">
      <c r="A1225" s="54"/>
      <c r="B1225" s="55"/>
      <c r="C1225" s="56"/>
      <c r="D1225" s="56"/>
    </row>
    <row r="1226" spans="1:4" ht="17.399999999999999">
      <c r="A1226" s="54"/>
      <c r="B1226" s="55"/>
      <c r="C1226" s="56"/>
      <c r="D1226" s="56"/>
    </row>
    <row r="1227" spans="1:4" ht="17.399999999999999">
      <c r="A1227" s="54"/>
      <c r="B1227" s="55"/>
      <c r="C1227" s="56"/>
      <c r="D1227" s="56"/>
    </row>
    <row r="1228" spans="1:4" ht="18" thickBot="1">
      <c r="A1228" s="54"/>
      <c r="B1228" s="55"/>
      <c r="C1228" s="56"/>
      <c r="D1228" s="56"/>
    </row>
    <row r="1229" spans="1:4" ht="18" thickBot="1">
      <c r="A1229" s="63">
        <v>50</v>
      </c>
      <c r="B1229" s="64" t="s">
        <v>1074</v>
      </c>
      <c r="C1229" s="65" t="s">
        <v>1074</v>
      </c>
      <c r="D1229" s="66" t="s">
        <v>976</v>
      </c>
    </row>
    <row r="1230" spans="1:4" ht="17.399999999999999">
      <c r="A1230" s="67" t="s">
        <v>1075</v>
      </c>
      <c r="B1230" s="68" t="s">
        <v>1076</v>
      </c>
      <c r="C1230" s="56" t="s">
        <v>1077</v>
      </c>
      <c r="D1230" s="56" t="s">
        <v>976</v>
      </c>
    </row>
    <row r="1231" spans="1:4" ht="17.399999999999999">
      <c r="A1231" s="67" t="s">
        <v>1078</v>
      </c>
      <c r="B1231" s="68" t="s">
        <v>1079</v>
      </c>
      <c r="C1231" s="56" t="s">
        <v>1077</v>
      </c>
      <c r="D1231" s="56" t="s">
        <v>976</v>
      </c>
    </row>
    <row r="1232" spans="1:4" ht="17.399999999999999">
      <c r="A1232" s="67" t="s">
        <v>1080</v>
      </c>
      <c r="B1232" s="68"/>
      <c r="C1232" s="56" t="s">
        <v>1077</v>
      </c>
      <c r="D1232" s="56" t="s">
        <v>976</v>
      </c>
    </row>
    <row r="1233" spans="1:4" ht="17.399999999999999">
      <c r="A1233" s="67" t="s">
        <v>1081</v>
      </c>
      <c r="B1233" s="68"/>
      <c r="C1233" s="56" t="s">
        <v>1077</v>
      </c>
      <c r="D1233" s="56" t="s">
        <v>976</v>
      </c>
    </row>
    <row r="1234" spans="1:4" ht="17.399999999999999">
      <c r="A1234" s="67" t="s">
        <v>1082</v>
      </c>
      <c r="B1234" s="68"/>
      <c r="C1234" s="56" t="s">
        <v>1077</v>
      </c>
      <c r="D1234" s="56" t="s">
        <v>976</v>
      </c>
    </row>
    <row r="1235" spans="1:4" ht="17.399999999999999">
      <c r="A1235" s="67" t="s">
        <v>1083</v>
      </c>
      <c r="B1235" s="68" t="s">
        <v>1084</v>
      </c>
      <c r="C1235" s="56" t="s">
        <v>1085</v>
      </c>
      <c r="D1235" s="56" t="s">
        <v>976</v>
      </c>
    </row>
    <row r="1236" spans="1:4" ht="17.399999999999999">
      <c r="A1236" s="67" t="s">
        <v>1086</v>
      </c>
      <c r="B1236" s="68" t="s">
        <v>1087</v>
      </c>
      <c r="C1236" s="56" t="s">
        <v>1085</v>
      </c>
      <c r="D1236" s="56" t="s">
        <v>976</v>
      </c>
    </row>
    <row r="1237" spans="1:4" ht="17.399999999999999">
      <c r="A1237" s="67" t="s">
        <v>1088</v>
      </c>
      <c r="B1237" s="68" t="s">
        <v>1089</v>
      </c>
      <c r="C1237" s="56" t="s">
        <v>1085</v>
      </c>
      <c r="D1237" s="56" t="s">
        <v>976</v>
      </c>
    </row>
    <row r="1238" spans="1:4" ht="17.399999999999999">
      <c r="A1238" s="67" t="s">
        <v>1090</v>
      </c>
      <c r="B1238" s="68" t="s">
        <v>1091</v>
      </c>
      <c r="C1238" s="56" t="s">
        <v>1085</v>
      </c>
      <c r="D1238" s="56" t="s">
        <v>976</v>
      </c>
    </row>
    <row r="1239" spans="1:4" ht="17.399999999999999">
      <c r="A1239" s="67" t="s">
        <v>1092</v>
      </c>
      <c r="B1239" s="68" t="s">
        <v>1093</v>
      </c>
      <c r="C1239" s="56" t="s">
        <v>1085</v>
      </c>
      <c r="D1239" s="56" t="s">
        <v>976</v>
      </c>
    </row>
    <row r="1240" spans="1:4" ht="17.399999999999999">
      <c r="A1240" s="67" t="s">
        <v>1094</v>
      </c>
      <c r="B1240" s="68"/>
      <c r="C1240" s="56" t="s">
        <v>1085</v>
      </c>
      <c r="D1240" s="56" t="s">
        <v>976</v>
      </c>
    </row>
    <row r="1241" spans="1:4" ht="17.399999999999999">
      <c r="A1241" s="67" t="s">
        <v>1095</v>
      </c>
      <c r="B1241" s="55" t="s">
        <v>1096</v>
      </c>
      <c r="C1241" s="56" t="s">
        <v>1097</v>
      </c>
      <c r="D1241" s="56" t="s">
        <v>976</v>
      </c>
    </row>
    <row r="1242" spans="1:4" ht="17.399999999999999">
      <c r="A1242" s="54">
        <v>6030</v>
      </c>
      <c r="B1242" s="55"/>
      <c r="C1242" s="56"/>
      <c r="D1242" s="56" t="s">
        <v>976</v>
      </c>
    </row>
    <row r="1243" spans="1:4" ht="17.399999999999999">
      <c r="A1243" s="54">
        <v>6031</v>
      </c>
      <c r="B1243" s="55"/>
      <c r="C1243" s="56"/>
      <c r="D1243" s="56" t="s">
        <v>976</v>
      </c>
    </row>
    <row r="1244" spans="1:4" ht="18" thickBot="1">
      <c r="A1244" s="54">
        <v>6032</v>
      </c>
      <c r="B1244" s="55"/>
      <c r="C1244" s="56"/>
      <c r="D1244" s="56" t="s">
        <v>976</v>
      </c>
    </row>
    <row r="1245" spans="1:4" ht="18" thickBot="1">
      <c r="A1245" s="63">
        <v>6027</v>
      </c>
      <c r="B1245" s="65" t="s">
        <v>1098</v>
      </c>
      <c r="C1245" s="65" t="s">
        <v>1098</v>
      </c>
      <c r="D1245" s="66" t="s">
        <v>1098</v>
      </c>
    </row>
    <row r="1246" spans="1:4" ht="17.399999999999999">
      <c r="A1246" s="54">
        <v>1000</v>
      </c>
      <c r="B1246" s="55" t="s">
        <v>1099</v>
      </c>
      <c r="C1246" s="56" t="s">
        <v>1100</v>
      </c>
      <c r="D1246" s="56" t="s">
        <v>1098</v>
      </c>
    </row>
    <row r="1247" spans="1:4" ht="17.399999999999999">
      <c r="A1247" s="54" t="s">
        <v>1101</v>
      </c>
      <c r="B1247" s="55" t="s">
        <v>1102</v>
      </c>
      <c r="C1247" s="56" t="s">
        <v>1103</v>
      </c>
      <c r="D1247" s="56" t="s">
        <v>1098</v>
      </c>
    </row>
    <row r="1248" spans="1:4" ht="17.399999999999999">
      <c r="A1248" s="54">
        <v>2000</v>
      </c>
      <c r="B1248" s="55"/>
      <c r="C1248" s="56" t="s">
        <v>1103</v>
      </c>
      <c r="D1248" s="56" t="s">
        <v>1098</v>
      </c>
    </row>
    <row r="1249" spans="1:4" ht="17.399999999999999">
      <c r="A1249" s="54">
        <v>2001</v>
      </c>
      <c r="B1249" s="55"/>
      <c r="C1249" s="56" t="s">
        <v>1103</v>
      </c>
      <c r="D1249" s="56" t="s">
        <v>1098</v>
      </c>
    </row>
    <row r="1250" spans="1:4" ht="17.399999999999999">
      <c r="A1250" s="54">
        <v>2013</v>
      </c>
      <c r="B1250" s="55"/>
      <c r="C1250" s="56" t="s">
        <v>1103</v>
      </c>
      <c r="D1250" s="56" t="s">
        <v>1098</v>
      </c>
    </row>
    <row r="1251" spans="1:4" ht="17.399999999999999">
      <c r="A1251" s="54">
        <v>2014</v>
      </c>
      <c r="B1251" s="69"/>
      <c r="C1251" s="56" t="s">
        <v>1103</v>
      </c>
      <c r="D1251" s="56" t="s">
        <v>1098</v>
      </c>
    </row>
    <row r="1252" spans="1:4" ht="17.399999999999999">
      <c r="A1252" s="54">
        <v>2015</v>
      </c>
      <c r="B1252" s="69"/>
      <c r="C1252" s="56" t="s">
        <v>1103</v>
      </c>
      <c r="D1252" s="56" t="s">
        <v>1098</v>
      </c>
    </row>
    <row r="1253" spans="1:4" ht="17.399999999999999">
      <c r="A1253" s="54">
        <v>2016</v>
      </c>
      <c r="B1253" s="69" t="s">
        <v>1104</v>
      </c>
      <c r="C1253" s="56" t="s">
        <v>1105</v>
      </c>
      <c r="D1253" s="56" t="s">
        <v>1098</v>
      </c>
    </row>
    <row r="1254" spans="1:4" ht="18" thickBot="1">
      <c r="A1254" s="54">
        <v>2002</v>
      </c>
      <c r="B1254" s="55" t="s">
        <v>1106</v>
      </c>
      <c r="C1254" s="55" t="s">
        <v>1106</v>
      </c>
      <c r="D1254" s="56" t="s">
        <v>1098</v>
      </c>
    </row>
    <row r="1255" spans="1:4" ht="18" thickBot="1">
      <c r="A1255" s="63">
        <v>2003</v>
      </c>
      <c r="B1255" s="65" t="s">
        <v>1107</v>
      </c>
      <c r="C1255" s="65" t="s">
        <v>1107</v>
      </c>
      <c r="D1255" s="66" t="s">
        <v>1107</v>
      </c>
    </row>
    <row r="1256" spans="1:4" ht="17.399999999999999">
      <c r="A1256" s="54">
        <v>2004</v>
      </c>
      <c r="B1256" s="55" t="s">
        <v>1108</v>
      </c>
      <c r="C1256" s="56" t="s">
        <v>1109</v>
      </c>
      <c r="D1256" s="56" t="s">
        <v>1107</v>
      </c>
    </row>
    <row r="1257" spans="1:4" ht="17.399999999999999">
      <c r="A1257" s="54">
        <v>2005</v>
      </c>
      <c r="B1257" s="55" t="s">
        <v>1110</v>
      </c>
      <c r="C1257" s="56" t="s">
        <v>1109</v>
      </c>
      <c r="D1257" s="56" t="s">
        <v>1107</v>
      </c>
    </row>
    <row r="1258" spans="1:4" ht="17.399999999999999">
      <c r="A1258" s="54">
        <v>2006</v>
      </c>
      <c r="B1258" s="55" t="s">
        <v>1111</v>
      </c>
      <c r="C1258" s="56" t="s">
        <v>1109</v>
      </c>
      <c r="D1258" s="56" t="s">
        <v>1107</v>
      </c>
    </row>
    <row r="1259" spans="1:4" ht="17.399999999999999">
      <c r="A1259" s="54">
        <v>2007</v>
      </c>
      <c r="B1259" s="55" t="s">
        <v>1112</v>
      </c>
      <c r="C1259" s="56" t="s">
        <v>1109</v>
      </c>
      <c r="D1259" s="56" t="s">
        <v>1107</v>
      </c>
    </row>
    <row r="1260" spans="1:4" ht="17.399999999999999">
      <c r="A1260" s="54">
        <v>2008</v>
      </c>
      <c r="B1260" s="55" t="s">
        <v>1113</v>
      </c>
      <c r="C1260" s="56" t="s">
        <v>1109</v>
      </c>
      <c r="D1260" s="56" t="s">
        <v>1107</v>
      </c>
    </row>
    <row r="1261" spans="1:4" ht="17.399999999999999">
      <c r="A1261" s="54">
        <v>2009</v>
      </c>
      <c r="B1261" s="55" t="s">
        <v>1114</v>
      </c>
      <c r="C1261" s="56" t="s">
        <v>1109</v>
      </c>
      <c r="D1261" s="56" t="s">
        <v>1107</v>
      </c>
    </row>
    <row r="1262" spans="1:4" ht="17.399999999999999">
      <c r="A1262" s="54">
        <v>2010</v>
      </c>
      <c r="B1262" s="55" t="s">
        <v>1115</v>
      </c>
      <c r="C1262" s="56" t="s">
        <v>1109</v>
      </c>
      <c r="D1262" s="56" t="s">
        <v>1107</v>
      </c>
    </row>
    <row r="1263" spans="1:4" ht="17.399999999999999">
      <c r="A1263" s="54">
        <v>2011</v>
      </c>
      <c r="B1263" s="55" t="s">
        <v>1116</v>
      </c>
      <c r="C1263" s="56" t="s">
        <v>1109</v>
      </c>
      <c r="D1263" s="56" t="s">
        <v>1107</v>
      </c>
    </row>
    <row r="1264" spans="1:4" ht="17.399999999999999">
      <c r="A1264" s="54">
        <v>2012</v>
      </c>
      <c r="B1264" s="55" t="s">
        <v>1117</v>
      </c>
      <c r="C1264" s="56" t="s">
        <v>1109</v>
      </c>
      <c r="D1264" s="56" t="s">
        <v>1107</v>
      </c>
    </row>
    <row r="1265" spans="1:4" ht="17.399999999999999">
      <c r="A1265" s="54">
        <v>2012</v>
      </c>
      <c r="B1265" s="55" t="s">
        <v>1118</v>
      </c>
      <c r="C1265" s="56" t="s">
        <v>1109</v>
      </c>
      <c r="D1265" s="56" t="s">
        <v>1107</v>
      </c>
    </row>
    <row r="1266" spans="1:4" ht="17.399999999999999">
      <c r="A1266" s="54">
        <v>2012</v>
      </c>
      <c r="B1266" s="55" t="s">
        <v>1119</v>
      </c>
      <c r="C1266" s="56" t="s">
        <v>1109</v>
      </c>
      <c r="D1266" s="56" t="s">
        <v>1107</v>
      </c>
    </row>
    <row r="1267" spans="1:4" ht="17.399999999999999">
      <c r="A1267" s="54">
        <v>2012</v>
      </c>
      <c r="B1267" s="55" t="s">
        <v>1120</v>
      </c>
      <c r="C1267" s="56" t="s">
        <v>1109</v>
      </c>
      <c r="D1267" s="56" t="s">
        <v>1107</v>
      </c>
    </row>
    <row r="1268" spans="1:4" ht="17.399999999999999">
      <c r="A1268" s="54">
        <v>2012</v>
      </c>
      <c r="B1268" s="55" t="s">
        <v>1121</v>
      </c>
      <c r="C1268" s="56" t="s">
        <v>1109</v>
      </c>
      <c r="D1268" s="56" t="s">
        <v>1107</v>
      </c>
    </row>
    <row r="1269" spans="1:4" ht="17.399999999999999">
      <c r="A1269" s="54">
        <v>2012</v>
      </c>
      <c r="B1269" s="55" t="s">
        <v>1122</v>
      </c>
      <c r="C1269" s="56" t="s">
        <v>1109</v>
      </c>
      <c r="D1269" s="56" t="s">
        <v>1107</v>
      </c>
    </row>
    <row r="1270" spans="1:4" ht="17.399999999999999">
      <c r="A1270" s="54">
        <v>2012</v>
      </c>
      <c r="B1270" s="55" t="s">
        <v>1123</v>
      </c>
      <c r="C1270" s="56" t="s">
        <v>1109</v>
      </c>
      <c r="D1270" s="56" t="s">
        <v>1107</v>
      </c>
    </row>
    <row r="1271" spans="1:4" ht="17.399999999999999">
      <c r="A1271" s="54">
        <v>2012</v>
      </c>
      <c r="B1271" s="55" t="s">
        <v>1124</v>
      </c>
      <c r="C1271" s="56" t="s">
        <v>1109</v>
      </c>
      <c r="D1271" s="56" t="s">
        <v>1107</v>
      </c>
    </row>
    <row r="1272" spans="1:4" ht="17.399999999999999">
      <c r="A1272" s="54">
        <v>2012</v>
      </c>
      <c r="B1272" s="55" t="s">
        <v>1125</v>
      </c>
      <c r="C1272" s="56" t="s">
        <v>1109</v>
      </c>
      <c r="D1272" s="56" t="s">
        <v>1107</v>
      </c>
    </row>
    <row r="1273" spans="1:4" ht="17.399999999999999">
      <c r="A1273" s="54">
        <v>2012</v>
      </c>
      <c r="B1273" s="55" t="s">
        <v>1126</v>
      </c>
      <c r="C1273" s="56" t="s">
        <v>1109</v>
      </c>
      <c r="D1273" s="56" t="s">
        <v>1107</v>
      </c>
    </row>
    <row r="1274" spans="1:4" ht="17.399999999999999">
      <c r="A1274" s="54">
        <v>2012</v>
      </c>
      <c r="B1274" s="55" t="s">
        <v>1127</v>
      </c>
      <c r="C1274" s="56" t="s">
        <v>1109</v>
      </c>
      <c r="D1274" s="56" t="s">
        <v>1107</v>
      </c>
    </row>
    <row r="1275" spans="1:4" ht="17.399999999999999">
      <c r="A1275" s="54">
        <v>2012</v>
      </c>
      <c r="B1275" s="55" t="s">
        <v>1128</v>
      </c>
      <c r="C1275" s="56" t="s">
        <v>1109</v>
      </c>
      <c r="D1275" s="56" t="s">
        <v>1107</v>
      </c>
    </row>
    <row r="1276" spans="1:4" ht="17.399999999999999">
      <c r="A1276" s="54">
        <v>2012</v>
      </c>
      <c r="B1276" s="55" t="s">
        <v>1129</v>
      </c>
      <c r="C1276" s="56" t="s">
        <v>1109</v>
      </c>
      <c r="D1276" s="56" t="s">
        <v>1107</v>
      </c>
    </row>
    <row r="1277" spans="1:4" ht="17.399999999999999">
      <c r="A1277" s="54">
        <v>2012</v>
      </c>
      <c r="B1277" s="55" t="s">
        <v>1130</v>
      </c>
      <c r="C1277" s="56" t="s">
        <v>1109</v>
      </c>
      <c r="D1277" s="56" t="s">
        <v>1107</v>
      </c>
    </row>
    <row r="1278" spans="1:4" ht="17.399999999999999">
      <c r="A1278" s="54">
        <v>2012</v>
      </c>
      <c r="B1278" s="55" t="s">
        <v>1131</v>
      </c>
      <c r="C1278" s="56" t="s">
        <v>1109</v>
      </c>
      <c r="D1278" s="56" t="s">
        <v>1107</v>
      </c>
    </row>
    <row r="1279" spans="1:4" ht="17.399999999999999">
      <c r="A1279" s="54">
        <v>2012</v>
      </c>
      <c r="B1279" s="55" t="s">
        <v>1132</v>
      </c>
      <c r="C1279" s="56" t="s">
        <v>1109</v>
      </c>
      <c r="D1279" s="56" t="s">
        <v>1107</v>
      </c>
    </row>
    <row r="1280" spans="1:4" ht="17.399999999999999">
      <c r="A1280" s="54">
        <v>2012</v>
      </c>
      <c r="B1280" s="55" t="s">
        <v>1133</v>
      </c>
      <c r="C1280" s="56" t="s">
        <v>1109</v>
      </c>
      <c r="D1280" s="56" t="s">
        <v>1107</v>
      </c>
    </row>
    <row r="1281" spans="1:4" ht="17.399999999999999">
      <c r="A1281" s="54">
        <v>2012</v>
      </c>
      <c r="B1281" s="55" t="s">
        <v>1134</v>
      </c>
      <c r="C1281" s="56" t="s">
        <v>1109</v>
      </c>
      <c r="D1281" s="56" t="s">
        <v>1107</v>
      </c>
    </row>
    <row r="1282" spans="1:4" ht="17.399999999999999">
      <c r="A1282" s="54">
        <v>2012</v>
      </c>
      <c r="B1282" s="55"/>
      <c r="C1282" s="56" t="s">
        <v>1109</v>
      </c>
      <c r="D1282" s="56" t="s">
        <v>1107</v>
      </c>
    </row>
    <row r="1283" spans="1:4" ht="17.399999999999999">
      <c r="A1283" s="54">
        <v>2012</v>
      </c>
      <c r="B1283" s="55"/>
      <c r="C1283" s="56" t="s">
        <v>1109</v>
      </c>
      <c r="D1283" s="56" t="s">
        <v>1107</v>
      </c>
    </row>
    <row r="1284" spans="1:4" ht="17.399999999999999">
      <c r="A1284" s="54">
        <v>2012</v>
      </c>
      <c r="B1284" s="55"/>
      <c r="C1284" s="56" t="s">
        <v>1109</v>
      </c>
      <c r="D1284" s="56" t="s">
        <v>1107</v>
      </c>
    </row>
    <row r="1285" spans="1:4" ht="17.399999999999999">
      <c r="A1285" s="54">
        <v>2012</v>
      </c>
      <c r="B1285" s="55"/>
      <c r="C1285" s="56" t="s">
        <v>1109</v>
      </c>
      <c r="D1285" s="56" t="s">
        <v>1107</v>
      </c>
    </row>
    <row r="1286" spans="1:4" ht="17.399999999999999">
      <c r="A1286" s="54">
        <v>2012</v>
      </c>
      <c r="B1286" s="55"/>
      <c r="C1286" s="56" t="s">
        <v>1109</v>
      </c>
      <c r="D1286" s="56" t="s">
        <v>1107</v>
      </c>
    </row>
    <row r="1287" spans="1:4" ht="17.399999999999999">
      <c r="A1287" s="54" t="s">
        <v>1135</v>
      </c>
      <c r="B1287" s="55" t="s">
        <v>1136</v>
      </c>
      <c r="C1287" s="56" t="s">
        <v>1136</v>
      </c>
      <c r="D1287" s="56" t="s">
        <v>1107</v>
      </c>
    </row>
    <row r="1288" spans="1:4" ht="17.399999999999999">
      <c r="A1288" s="54"/>
      <c r="B1288" s="55"/>
      <c r="C1288" s="56" t="s">
        <v>1137</v>
      </c>
      <c r="D1288" s="56" t="s">
        <v>1107</v>
      </c>
    </row>
    <row r="1289" spans="1:4" ht="17.399999999999999">
      <c r="A1289" s="54"/>
      <c r="B1289" s="55"/>
      <c r="C1289" s="56" t="s">
        <v>1137</v>
      </c>
      <c r="D1289" s="56" t="s">
        <v>1107</v>
      </c>
    </row>
    <row r="1290" spans="1:4" ht="17.399999999999999">
      <c r="A1290" s="54"/>
      <c r="B1290" s="55"/>
      <c r="C1290" s="56" t="s">
        <v>1137</v>
      </c>
      <c r="D1290" s="56" t="s">
        <v>1107</v>
      </c>
    </row>
    <row r="1291" spans="1:4" ht="17.399999999999999">
      <c r="A1291" s="54"/>
      <c r="B1291" s="55"/>
      <c r="C1291" s="56" t="s">
        <v>1137</v>
      </c>
      <c r="D1291" s="56" t="s">
        <v>1107</v>
      </c>
    </row>
    <row r="1292" spans="1:4" ht="17.399999999999999">
      <c r="A1292" s="54"/>
      <c r="B1292" s="55"/>
      <c r="C1292" s="56" t="s">
        <v>1137</v>
      </c>
      <c r="D1292" s="56" t="s">
        <v>1107</v>
      </c>
    </row>
    <row r="1293" spans="1:4" ht="17.399999999999999">
      <c r="A1293" s="54"/>
      <c r="B1293" s="55"/>
      <c r="C1293" s="56" t="s">
        <v>1137</v>
      </c>
      <c r="D1293" s="56" t="s">
        <v>1107</v>
      </c>
    </row>
    <row r="1294" spans="1:4" ht="17.399999999999999">
      <c r="A1294" s="54"/>
      <c r="B1294" s="55"/>
      <c r="C1294" s="56" t="s">
        <v>1137</v>
      </c>
      <c r="D1294" s="56" t="s">
        <v>1107</v>
      </c>
    </row>
    <row r="1295" spans="1:4" ht="17.399999999999999">
      <c r="A1295" s="54"/>
      <c r="B1295" s="55"/>
      <c r="C1295" s="56" t="s">
        <v>1137</v>
      </c>
      <c r="D1295" s="56" t="s">
        <v>1107</v>
      </c>
    </row>
    <row r="1296" spans="1:4" ht="17.399999999999999">
      <c r="A1296" s="54"/>
      <c r="B1296" s="55"/>
      <c r="C1296" s="56" t="s">
        <v>1137</v>
      </c>
      <c r="D1296" s="56" t="s">
        <v>1107</v>
      </c>
    </row>
    <row r="1297" spans="1:4" ht="17.399999999999999">
      <c r="A1297" s="54">
        <v>2012</v>
      </c>
      <c r="B1297" s="55"/>
      <c r="C1297" s="56" t="s">
        <v>1137</v>
      </c>
      <c r="D1297" s="56" t="s">
        <v>1107</v>
      </c>
    </row>
    <row r="1298" spans="1:4" ht="17.399999999999999">
      <c r="A1298" s="54">
        <v>2012</v>
      </c>
      <c r="B1298" s="55"/>
      <c r="C1298" s="56" t="s">
        <v>1137</v>
      </c>
      <c r="D1298" s="56" t="s">
        <v>1107</v>
      </c>
    </row>
    <row r="1299" spans="1:4" ht="17.399999999999999">
      <c r="A1299" s="54">
        <v>2012</v>
      </c>
      <c r="B1299" s="55"/>
      <c r="C1299" s="56" t="s">
        <v>1137</v>
      </c>
      <c r="D1299" s="56" t="s">
        <v>1107</v>
      </c>
    </row>
    <row r="1300" spans="1:4" ht="17.399999999999999">
      <c r="A1300" s="54">
        <v>2012</v>
      </c>
      <c r="B1300" s="55"/>
      <c r="C1300" s="56" t="s">
        <v>1137</v>
      </c>
      <c r="D1300" s="56" t="s">
        <v>1107</v>
      </c>
    </row>
    <row r="1301" spans="1:4" ht="17.399999999999999">
      <c r="A1301" s="54">
        <v>2012</v>
      </c>
      <c r="B1301" s="55"/>
      <c r="C1301" s="56" t="s">
        <v>1137</v>
      </c>
      <c r="D1301" s="56" t="s">
        <v>1107</v>
      </c>
    </row>
    <row r="1302" spans="1:4" ht="17.399999999999999">
      <c r="A1302" s="54">
        <v>2012</v>
      </c>
      <c r="B1302" s="55"/>
      <c r="C1302" s="56" t="s">
        <v>1137</v>
      </c>
      <c r="D1302" s="56" t="s">
        <v>1107</v>
      </c>
    </row>
    <row r="1303" spans="1:4" ht="17.399999999999999">
      <c r="A1303" s="54">
        <v>2012</v>
      </c>
      <c r="B1303" s="55"/>
      <c r="C1303" s="56" t="s">
        <v>1137</v>
      </c>
      <c r="D1303" s="56" t="s">
        <v>1107</v>
      </c>
    </row>
    <row r="1304" spans="1:4" ht="17.399999999999999">
      <c r="A1304" s="54">
        <v>2012</v>
      </c>
      <c r="B1304" s="55"/>
      <c r="C1304" s="56" t="s">
        <v>1137</v>
      </c>
      <c r="D1304" s="56" t="s">
        <v>1107</v>
      </c>
    </row>
    <row r="1305" spans="1:4" ht="17.399999999999999">
      <c r="A1305" s="54">
        <v>2012</v>
      </c>
      <c r="B1305" s="55"/>
      <c r="C1305" s="56" t="s">
        <v>1137</v>
      </c>
      <c r="D1305" s="56" t="s">
        <v>1107</v>
      </c>
    </row>
    <row r="1306" spans="1:4" ht="17.399999999999999">
      <c r="A1306" s="54">
        <v>2012</v>
      </c>
      <c r="B1306" s="55"/>
      <c r="C1306" s="56" t="s">
        <v>1137</v>
      </c>
      <c r="D1306" s="56" t="s">
        <v>1107</v>
      </c>
    </row>
    <row r="1307" spans="1:4" ht="17.399999999999999">
      <c r="A1307" s="54">
        <v>2012</v>
      </c>
      <c r="B1307" s="55"/>
      <c r="C1307" s="56" t="s">
        <v>1137</v>
      </c>
      <c r="D1307" s="56" t="s">
        <v>1107</v>
      </c>
    </row>
    <row r="1308" spans="1:4" ht="17.399999999999999">
      <c r="A1308" s="54" t="s">
        <v>1138</v>
      </c>
      <c r="B1308" s="55" t="s">
        <v>1139</v>
      </c>
      <c r="C1308" s="56" t="s">
        <v>1139</v>
      </c>
      <c r="D1308" s="56" t="s">
        <v>1107</v>
      </c>
    </row>
    <row r="1309" spans="1:4" ht="18" thickBot="1">
      <c r="A1309" s="54"/>
      <c r="B1309" s="55"/>
      <c r="C1309" s="56"/>
      <c r="D1309" s="56"/>
    </row>
    <row r="1310" spans="1:4" ht="18" thickBot="1">
      <c r="A1310" s="70">
        <v>4000</v>
      </c>
      <c r="B1310" s="71" t="s">
        <v>1140</v>
      </c>
      <c r="C1310" s="65" t="s">
        <v>1141</v>
      </c>
      <c r="D1310" s="66" t="s">
        <v>1142</v>
      </c>
    </row>
    <row r="1311" spans="1:4" ht="17.399999999999999">
      <c r="A1311" s="72">
        <v>4001</v>
      </c>
      <c r="B1311" s="73" t="s">
        <v>1143</v>
      </c>
      <c r="C1311" s="56" t="s">
        <v>1144</v>
      </c>
      <c r="D1311" s="56" t="s">
        <v>1142</v>
      </c>
    </row>
    <row r="1312" spans="1:4" ht="17.399999999999999">
      <c r="A1312" s="72">
        <v>4002</v>
      </c>
      <c r="B1312" s="73" t="s">
        <v>1145</v>
      </c>
      <c r="C1312" s="56" t="s">
        <v>1144</v>
      </c>
      <c r="D1312" s="56" t="s">
        <v>1142</v>
      </c>
    </row>
    <row r="1313" spans="1:4" ht="17.399999999999999">
      <c r="A1313" s="72">
        <v>4003</v>
      </c>
      <c r="B1313" s="73" t="s">
        <v>1146</v>
      </c>
      <c r="C1313" s="56" t="s">
        <v>1144</v>
      </c>
      <c r="D1313" s="56" t="s">
        <v>1142</v>
      </c>
    </row>
    <row r="1314" spans="1:4" ht="17.399999999999999">
      <c r="A1314" s="72">
        <v>4004</v>
      </c>
      <c r="B1314" s="73" t="s">
        <v>1147</v>
      </c>
      <c r="C1314" s="56" t="s">
        <v>1144</v>
      </c>
      <c r="D1314" s="56" t="s">
        <v>1142</v>
      </c>
    </row>
    <row r="1315" spans="1:4" ht="17.399999999999999">
      <c r="A1315" s="74">
        <v>4005</v>
      </c>
      <c r="B1315" s="73" t="s">
        <v>1148</v>
      </c>
      <c r="C1315" s="56" t="s">
        <v>1144</v>
      </c>
      <c r="D1315" s="56" t="s">
        <v>1142</v>
      </c>
    </row>
    <row r="1316" spans="1:4" ht="17.399999999999999">
      <c r="A1316" s="54">
        <v>4006</v>
      </c>
      <c r="B1316" s="73" t="s">
        <v>1149</v>
      </c>
      <c r="C1316" s="56" t="s">
        <v>1144</v>
      </c>
      <c r="D1316" s="56" t="s">
        <v>1142</v>
      </c>
    </row>
    <row r="1317" spans="1:4" ht="17.399999999999999">
      <c r="A1317" s="54">
        <v>4007</v>
      </c>
      <c r="B1317" s="73" t="s">
        <v>1150</v>
      </c>
      <c r="C1317" s="56" t="s">
        <v>1144</v>
      </c>
      <c r="D1317" s="56" t="s">
        <v>1142</v>
      </c>
    </row>
    <row r="1318" spans="1:4" ht="17.399999999999999">
      <c r="A1318" s="54">
        <v>4008</v>
      </c>
      <c r="B1318" s="73" t="s">
        <v>1151</v>
      </c>
      <c r="C1318" s="56" t="s">
        <v>1144</v>
      </c>
      <c r="D1318" s="56" t="s">
        <v>1142</v>
      </c>
    </row>
    <row r="1319" spans="1:4" ht="17.399999999999999">
      <c r="A1319" s="54">
        <v>4009</v>
      </c>
      <c r="B1319" s="73" t="s">
        <v>1152</v>
      </c>
      <c r="C1319" s="56" t="s">
        <v>1144</v>
      </c>
      <c r="D1319" s="56" t="s">
        <v>1142</v>
      </c>
    </row>
    <row r="1320" spans="1:4" ht="17.399999999999999">
      <c r="A1320" s="75">
        <v>4010</v>
      </c>
      <c r="B1320" s="73" t="s">
        <v>1153</v>
      </c>
      <c r="C1320" s="56" t="s">
        <v>1144</v>
      </c>
      <c r="D1320" s="56" t="s">
        <v>1142</v>
      </c>
    </row>
    <row r="1321" spans="1:4" ht="17.399999999999999">
      <c r="A1321" s="54">
        <v>4011</v>
      </c>
      <c r="B1321" s="73" t="s">
        <v>1154</v>
      </c>
      <c r="C1321" s="56" t="s">
        <v>1144</v>
      </c>
      <c r="D1321" s="56" t="s">
        <v>1142</v>
      </c>
    </row>
    <row r="1322" spans="1:4" ht="17.399999999999999">
      <c r="A1322" s="54">
        <v>4012</v>
      </c>
      <c r="B1322" s="73" t="s">
        <v>1155</v>
      </c>
      <c r="C1322" s="56" t="s">
        <v>1144</v>
      </c>
      <c r="D1322" s="56" t="s">
        <v>1142</v>
      </c>
    </row>
    <row r="1323" spans="1:4" ht="17.399999999999999">
      <c r="A1323" s="54">
        <v>4013</v>
      </c>
      <c r="B1323" s="73" t="s">
        <v>1156</v>
      </c>
      <c r="C1323" s="56" t="s">
        <v>1144</v>
      </c>
      <c r="D1323" s="56" t="s">
        <v>1142</v>
      </c>
    </row>
    <row r="1324" spans="1:4" ht="17.399999999999999">
      <c r="A1324" s="54">
        <v>4014</v>
      </c>
      <c r="B1324" s="73" t="s">
        <v>1157</v>
      </c>
      <c r="C1324" s="56" t="s">
        <v>1144</v>
      </c>
      <c r="D1324" s="56" t="s">
        <v>1142</v>
      </c>
    </row>
    <row r="1325" spans="1:4" ht="17.399999999999999">
      <c r="A1325" s="54">
        <v>4015</v>
      </c>
      <c r="B1325" s="73" t="s">
        <v>1158</v>
      </c>
      <c r="C1325" s="56" t="s">
        <v>1144</v>
      </c>
      <c r="D1325" s="56" t="s">
        <v>1142</v>
      </c>
    </row>
    <row r="1326" spans="1:4" ht="17.399999999999999">
      <c r="A1326" s="54">
        <v>4016</v>
      </c>
      <c r="B1326" s="73" t="s">
        <v>1159</v>
      </c>
      <c r="C1326" s="56" t="s">
        <v>1144</v>
      </c>
      <c r="D1326" s="56" t="s">
        <v>1142</v>
      </c>
    </row>
    <row r="1327" spans="1:4" ht="17.399999999999999">
      <c r="A1327" s="54">
        <v>4017</v>
      </c>
      <c r="B1327" s="73" t="s">
        <v>1160</v>
      </c>
      <c r="C1327" s="56" t="s">
        <v>1144</v>
      </c>
      <c r="D1327" s="56" t="s">
        <v>1142</v>
      </c>
    </row>
    <row r="1328" spans="1:4" ht="17.399999999999999">
      <c r="A1328" s="54">
        <v>4018</v>
      </c>
      <c r="B1328" s="73" t="s">
        <v>1161</v>
      </c>
      <c r="C1328" s="56" t="s">
        <v>1144</v>
      </c>
      <c r="D1328" s="56" t="s">
        <v>1142</v>
      </c>
    </row>
    <row r="1329" spans="1:4" ht="17.399999999999999">
      <c r="A1329" s="54">
        <v>4019</v>
      </c>
      <c r="B1329" s="73" t="s">
        <v>1162</v>
      </c>
      <c r="C1329" s="56" t="s">
        <v>1144</v>
      </c>
      <c r="D1329" s="56" t="s">
        <v>1142</v>
      </c>
    </row>
    <row r="1330" spans="1:4" ht="17.399999999999999">
      <c r="A1330" s="54">
        <v>4020</v>
      </c>
      <c r="B1330" s="73" t="s">
        <v>1163</v>
      </c>
      <c r="C1330" s="56" t="s">
        <v>1144</v>
      </c>
      <c r="D1330" s="56" t="s">
        <v>1142</v>
      </c>
    </row>
    <row r="1331" spans="1:4" ht="17.399999999999999">
      <c r="A1331" s="54">
        <v>4021</v>
      </c>
      <c r="B1331" s="73" t="s">
        <v>1164</v>
      </c>
      <c r="C1331" s="56" t="s">
        <v>1144</v>
      </c>
      <c r="D1331" s="56" t="s">
        <v>1142</v>
      </c>
    </row>
    <row r="1332" spans="1:4" ht="17.399999999999999">
      <c r="A1332" s="54">
        <v>4022</v>
      </c>
      <c r="B1332" s="73" t="s">
        <v>1165</v>
      </c>
      <c r="C1332" s="56" t="s">
        <v>1144</v>
      </c>
      <c r="D1332" s="56" t="s">
        <v>1142</v>
      </c>
    </row>
    <row r="1333" spans="1:4" ht="17.399999999999999">
      <c r="A1333" s="54">
        <v>4023</v>
      </c>
      <c r="B1333" s="73" t="s">
        <v>1166</v>
      </c>
      <c r="C1333" s="56" t="s">
        <v>1144</v>
      </c>
      <c r="D1333" s="56" t="s">
        <v>1142</v>
      </c>
    </row>
    <row r="1334" spans="1:4" ht="17.399999999999999">
      <c r="A1334" s="54">
        <v>4031</v>
      </c>
      <c r="B1334" s="73" t="s">
        <v>1167</v>
      </c>
      <c r="C1334" s="56" t="s">
        <v>1144</v>
      </c>
      <c r="D1334" s="56" t="s">
        <v>1142</v>
      </c>
    </row>
    <row r="1335" spans="1:4" ht="17.399999999999999">
      <c r="A1335" s="54">
        <v>4032</v>
      </c>
      <c r="B1335" s="73" t="s">
        <v>1168</v>
      </c>
      <c r="C1335" s="56" t="s">
        <v>1144</v>
      </c>
      <c r="D1335" s="56" t="s">
        <v>1142</v>
      </c>
    </row>
    <row r="1336" spans="1:4" ht="17.399999999999999">
      <c r="A1336" s="54">
        <v>4033</v>
      </c>
      <c r="B1336" s="73" t="s">
        <v>1169</v>
      </c>
      <c r="C1336" s="56" t="s">
        <v>1144</v>
      </c>
      <c r="D1336" s="56" t="s">
        <v>1142</v>
      </c>
    </row>
    <row r="1337" spans="1:4" ht="17.399999999999999">
      <c r="A1337" s="54">
        <v>4034</v>
      </c>
      <c r="B1337" s="73" t="s">
        <v>1170</v>
      </c>
      <c r="C1337" s="56" t="s">
        <v>1144</v>
      </c>
      <c r="D1337" s="56" t="s">
        <v>1142</v>
      </c>
    </row>
    <row r="1338" spans="1:4" ht="17.399999999999999">
      <c r="A1338" s="54">
        <v>4035</v>
      </c>
      <c r="B1338" s="73" t="s">
        <v>1171</v>
      </c>
      <c r="C1338" s="56" t="s">
        <v>1144</v>
      </c>
      <c r="D1338" s="56" t="s">
        <v>1142</v>
      </c>
    </row>
    <row r="1339" spans="1:4" ht="17.399999999999999">
      <c r="A1339" s="54">
        <v>4036</v>
      </c>
      <c r="B1339" s="73" t="s">
        <v>1172</v>
      </c>
      <c r="C1339" s="56" t="s">
        <v>1144</v>
      </c>
      <c r="D1339" s="56" t="s">
        <v>1142</v>
      </c>
    </row>
    <row r="1340" spans="1:4" ht="17.399999999999999">
      <c r="A1340" s="54">
        <v>4037</v>
      </c>
      <c r="B1340" s="73" t="s">
        <v>1173</v>
      </c>
      <c r="C1340" s="56" t="s">
        <v>1144</v>
      </c>
      <c r="D1340" s="56" t="s">
        <v>1142</v>
      </c>
    </row>
    <row r="1341" spans="1:4" ht="17.399999999999999">
      <c r="A1341" s="54">
        <v>4038</v>
      </c>
      <c r="B1341" s="73" t="s">
        <v>1174</v>
      </c>
      <c r="C1341" s="56" t="s">
        <v>1144</v>
      </c>
      <c r="D1341" s="56" t="s">
        <v>1142</v>
      </c>
    </row>
    <row r="1342" spans="1:4" ht="17.399999999999999">
      <c r="A1342" s="54">
        <v>4039</v>
      </c>
      <c r="B1342" s="73" t="s">
        <v>1175</v>
      </c>
      <c r="C1342" s="56" t="s">
        <v>1144</v>
      </c>
      <c r="D1342" s="56" t="s">
        <v>1142</v>
      </c>
    </row>
    <row r="1343" spans="1:4" ht="17.399999999999999">
      <c r="A1343" s="54">
        <v>4040</v>
      </c>
      <c r="B1343" s="73" t="s">
        <v>1176</v>
      </c>
      <c r="C1343" s="56" t="s">
        <v>1144</v>
      </c>
      <c r="D1343" s="56" t="s">
        <v>1142</v>
      </c>
    </row>
    <row r="1344" spans="1:4" ht="17.399999999999999">
      <c r="A1344" s="54">
        <v>4041</v>
      </c>
      <c r="B1344" s="73" t="s">
        <v>1177</v>
      </c>
      <c r="C1344" s="56" t="s">
        <v>1144</v>
      </c>
      <c r="D1344" s="56" t="s">
        <v>1142</v>
      </c>
    </row>
    <row r="1345" spans="1:4" ht="17.399999999999999">
      <c r="A1345" s="54">
        <v>4042</v>
      </c>
      <c r="B1345" s="73" t="s">
        <v>1178</v>
      </c>
      <c r="C1345" s="56" t="s">
        <v>1144</v>
      </c>
      <c r="D1345" s="56" t="s">
        <v>1142</v>
      </c>
    </row>
    <row r="1346" spans="1:4" ht="17.399999999999999">
      <c r="A1346" s="54">
        <v>4043</v>
      </c>
      <c r="B1346" s="73" t="s">
        <v>1179</v>
      </c>
      <c r="C1346" s="56" t="s">
        <v>1144</v>
      </c>
      <c r="D1346" s="56" t="s">
        <v>1142</v>
      </c>
    </row>
    <row r="1347" spans="1:4" ht="17.399999999999999">
      <c r="A1347" s="54">
        <v>4044</v>
      </c>
      <c r="B1347" s="73" t="s">
        <v>1180</v>
      </c>
      <c r="C1347" s="56" t="s">
        <v>1144</v>
      </c>
      <c r="D1347" s="56" t="s">
        <v>1142</v>
      </c>
    </row>
    <row r="1348" spans="1:4" ht="17.399999999999999">
      <c r="A1348" s="54">
        <v>4045</v>
      </c>
      <c r="B1348" s="73" t="s">
        <v>1163</v>
      </c>
      <c r="C1348" s="56" t="s">
        <v>1144</v>
      </c>
      <c r="D1348" s="56" t="s">
        <v>1142</v>
      </c>
    </row>
    <row r="1349" spans="1:4" ht="17.399999999999999">
      <c r="A1349" s="54">
        <v>4046</v>
      </c>
      <c r="B1349" s="73" t="s">
        <v>1167</v>
      </c>
      <c r="C1349" s="56" t="s">
        <v>1144</v>
      </c>
      <c r="D1349" s="56" t="s">
        <v>1142</v>
      </c>
    </row>
    <row r="1350" spans="1:4" ht="17.399999999999999">
      <c r="A1350" s="54">
        <v>4047</v>
      </c>
      <c r="B1350" s="73" t="s">
        <v>1181</v>
      </c>
      <c r="C1350" s="56" t="s">
        <v>1144</v>
      </c>
      <c r="D1350" s="56" t="s">
        <v>1142</v>
      </c>
    </row>
    <row r="1351" spans="1:4" ht="17.399999999999999">
      <c r="A1351" s="54">
        <v>4048</v>
      </c>
      <c r="B1351" s="73" t="s">
        <v>1182</v>
      </c>
      <c r="C1351" s="56" t="s">
        <v>1144</v>
      </c>
      <c r="D1351" s="56" t="s">
        <v>1142</v>
      </c>
    </row>
    <row r="1352" spans="1:4" ht="17.399999999999999">
      <c r="A1352" s="54">
        <v>4049</v>
      </c>
      <c r="B1352" s="73" t="s">
        <v>1183</v>
      </c>
      <c r="C1352" s="56" t="s">
        <v>1141</v>
      </c>
      <c r="D1352" s="56" t="s">
        <v>1142</v>
      </c>
    </row>
    <row r="1353" spans="1:4" ht="17.399999999999999">
      <c r="A1353" s="54">
        <v>4050</v>
      </c>
      <c r="B1353" s="73" t="s">
        <v>1184</v>
      </c>
      <c r="C1353" s="56" t="s">
        <v>1141</v>
      </c>
      <c r="D1353" s="56" t="s">
        <v>1142</v>
      </c>
    </row>
    <row r="1354" spans="1:4" ht="17.399999999999999">
      <c r="A1354" s="54">
        <v>4051</v>
      </c>
      <c r="B1354" s="73" t="s">
        <v>1185</v>
      </c>
      <c r="C1354" s="56" t="s">
        <v>1141</v>
      </c>
      <c r="D1354" s="56" t="s">
        <v>1142</v>
      </c>
    </row>
    <row r="1355" spans="1:4" ht="17.399999999999999">
      <c r="A1355" s="54">
        <v>4052</v>
      </c>
      <c r="B1355" s="73" t="s">
        <v>1186</v>
      </c>
      <c r="C1355" s="56" t="s">
        <v>1141</v>
      </c>
      <c r="D1355" s="56" t="s">
        <v>1142</v>
      </c>
    </row>
    <row r="1356" spans="1:4" ht="17.399999999999999">
      <c r="A1356" s="54">
        <v>4053</v>
      </c>
      <c r="B1356" s="73" t="s">
        <v>1187</v>
      </c>
      <c r="C1356" s="56" t="s">
        <v>1141</v>
      </c>
      <c r="D1356" s="56" t="s">
        <v>1142</v>
      </c>
    </row>
    <row r="1357" spans="1:4" ht="17.399999999999999">
      <c r="A1357" s="54">
        <v>4054</v>
      </c>
      <c r="B1357" s="73" t="s">
        <v>1188</v>
      </c>
      <c r="C1357" s="56" t="s">
        <v>1141</v>
      </c>
      <c r="D1357" s="56" t="s">
        <v>1142</v>
      </c>
    </row>
    <row r="1358" spans="1:4" ht="17.399999999999999">
      <c r="A1358" s="54">
        <v>4055</v>
      </c>
      <c r="B1358" s="73" t="s">
        <v>1189</v>
      </c>
      <c r="C1358" s="56" t="s">
        <v>1141</v>
      </c>
      <c r="D1358" s="56" t="s">
        <v>1142</v>
      </c>
    </row>
    <row r="1359" spans="1:4" ht="17.399999999999999">
      <c r="A1359" s="54">
        <v>4056</v>
      </c>
      <c r="B1359" s="73" t="s">
        <v>1190</v>
      </c>
      <c r="C1359" s="56" t="s">
        <v>1141</v>
      </c>
      <c r="D1359" s="56" t="s">
        <v>1142</v>
      </c>
    </row>
    <row r="1360" spans="1:4" ht="17.399999999999999">
      <c r="A1360" s="54">
        <v>4057</v>
      </c>
      <c r="B1360" s="73" t="s">
        <v>1191</v>
      </c>
      <c r="C1360" s="56" t="s">
        <v>1141</v>
      </c>
      <c r="D1360" s="56" t="s">
        <v>1142</v>
      </c>
    </row>
    <row r="1361" spans="1:4" ht="17.399999999999999">
      <c r="A1361" s="54">
        <v>4058</v>
      </c>
      <c r="B1361" s="73" t="s">
        <v>1192</v>
      </c>
      <c r="C1361" s="56" t="s">
        <v>1141</v>
      </c>
      <c r="D1361" s="56" t="s">
        <v>1142</v>
      </c>
    </row>
    <row r="1362" spans="1:4" ht="17.399999999999999">
      <c r="A1362" s="54">
        <v>4059</v>
      </c>
      <c r="B1362" s="73" t="s">
        <v>1193</v>
      </c>
      <c r="C1362" s="56" t="s">
        <v>1141</v>
      </c>
      <c r="D1362" s="56" t="s">
        <v>1142</v>
      </c>
    </row>
    <row r="1363" spans="1:4" ht="17.399999999999999">
      <c r="A1363" s="54">
        <v>4060</v>
      </c>
      <c r="B1363" s="73" t="s">
        <v>1194</v>
      </c>
      <c r="C1363" s="56" t="s">
        <v>1141</v>
      </c>
      <c r="D1363" s="56" t="s">
        <v>1142</v>
      </c>
    </row>
    <row r="1364" spans="1:4" ht="17.399999999999999">
      <c r="A1364" s="54">
        <v>4061</v>
      </c>
      <c r="B1364" s="73" t="s">
        <v>1195</v>
      </c>
      <c r="C1364" s="56" t="s">
        <v>1141</v>
      </c>
      <c r="D1364" s="56" t="s">
        <v>1142</v>
      </c>
    </row>
    <row r="1365" spans="1:4" ht="17.399999999999999">
      <c r="A1365" s="54">
        <v>4062</v>
      </c>
      <c r="B1365" s="73" t="s">
        <v>1196</v>
      </c>
      <c r="C1365" s="56" t="s">
        <v>1141</v>
      </c>
      <c r="D1365" s="56" t="s">
        <v>1142</v>
      </c>
    </row>
    <row r="1366" spans="1:4" ht="17.399999999999999">
      <c r="A1366" s="54">
        <v>4063</v>
      </c>
      <c r="B1366" s="76" t="s">
        <v>1197</v>
      </c>
      <c r="C1366" s="56" t="s">
        <v>1141</v>
      </c>
      <c r="D1366" s="56" t="s">
        <v>1142</v>
      </c>
    </row>
    <row r="1367" spans="1:4" ht="17.399999999999999">
      <c r="A1367" s="54">
        <v>4064</v>
      </c>
      <c r="B1367" s="76" t="s">
        <v>1198</v>
      </c>
      <c r="C1367" s="56" t="s">
        <v>1141</v>
      </c>
      <c r="D1367" s="56" t="s">
        <v>1142</v>
      </c>
    </row>
    <row r="1368" spans="1:4" ht="17.399999999999999">
      <c r="A1368" s="54">
        <v>4065</v>
      </c>
      <c r="B1368" s="73" t="s">
        <v>1199</v>
      </c>
      <c r="C1368" s="56" t="s">
        <v>1141</v>
      </c>
      <c r="D1368" s="56" t="s">
        <v>1142</v>
      </c>
    </row>
    <row r="1369" spans="1:4" ht="17.399999999999999">
      <c r="A1369" s="54">
        <v>4066</v>
      </c>
      <c r="B1369" s="73" t="s">
        <v>1200</v>
      </c>
      <c r="C1369" s="56" t="s">
        <v>1141</v>
      </c>
      <c r="D1369" s="56" t="s">
        <v>1142</v>
      </c>
    </row>
    <row r="1370" spans="1:4" ht="17.399999999999999">
      <c r="A1370" s="54">
        <v>4067</v>
      </c>
      <c r="B1370" s="73" t="s">
        <v>1201</v>
      </c>
      <c r="C1370" s="56" t="s">
        <v>1141</v>
      </c>
      <c r="D1370" s="56" t="s">
        <v>1142</v>
      </c>
    </row>
    <row r="1371" spans="1:4" ht="17.399999999999999">
      <c r="A1371" s="54">
        <v>4068</v>
      </c>
      <c r="B1371" s="73" t="s">
        <v>1202</v>
      </c>
      <c r="C1371" s="56" t="s">
        <v>1141</v>
      </c>
      <c r="D1371" s="56" t="s">
        <v>1142</v>
      </c>
    </row>
    <row r="1372" spans="1:4" ht="17.399999999999999">
      <c r="A1372" s="54">
        <v>4069</v>
      </c>
      <c r="B1372" s="73" t="s">
        <v>1203</v>
      </c>
      <c r="C1372" s="56" t="s">
        <v>1141</v>
      </c>
      <c r="D1372" s="56" t="s">
        <v>1142</v>
      </c>
    </row>
    <row r="1373" spans="1:4" ht="17.399999999999999">
      <c r="A1373" s="54">
        <v>4070</v>
      </c>
      <c r="B1373" s="73" t="s">
        <v>1204</v>
      </c>
      <c r="C1373" s="56" t="s">
        <v>1141</v>
      </c>
      <c r="D1373" s="56" t="s">
        <v>1142</v>
      </c>
    </row>
    <row r="1374" spans="1:4" ht="17.399999999999999">
      <c r="A1374" s="54">
        <v>4071</v>
      </c>
      <c r="B1374" s="73"/>
      <c r="C1374" s="56" t="s">
        <v>1141</v>
      </c>
      <c r="D1374" s="56" t="s">
        <v>1142</v>
      </c>
    </row>
    <row r="1375" spans="1:4" ht="17.399999999999999">
      <c r="A1375" s="54">
        <v>4072</v>
      </c>
      <c r="B1375" s="73"/>
      <c r="C1375" s="56" t="s">
        <v>1141</v>
      </c>
      <c r="D1375" s="56" t="s">
        <v>1142</v>
      </c>
    </row>
    <row r="1376" spans="1:4" ht="17.399999999999999">
      <c r="A1376" s="54">
        <v>4073</v>
      </c>
      <c r="B1376" s="73"/>
      <c r="C1376" s="56" t="s">
        <v>1141</v>
      </c>
      <c r="D1376" s="56" t="s">
        <v>1142</v>
      </c>
    </row>
    <row r="1377" spans="1:4" ht="17.399999999999999">
      <c r="A1377" s="54">
        <v>4074</v>
      </c>
      <c r="B1377" s="73"/>
      <c r="C1377" s="56" t="s">
        <v>1141</v>
      </c>
      <c r="D1377" s="56" t="s">
        <v>1142</v>
      </c>
    </row>
    <row r="1378" spans="1:4" ht="17.399999999999999">
      <c r="A1378" s="54">
        <v>4075</v>
      </c>
      <c r="B1378" s="73"/>
      <c r="C1378" s="56" t="s">
        <v>1141</v>
      </c>
      <c r="D1378" s="56" t="s">
        <v>1142</v>
      </c>
    </row>
    <row r="1379" spans="1:4" ht="17.399999999999999">
      <c r="A1379" s="54">
        <v>4076</v>
      </c>
      <c r="B1379" s="73"/>
      <c r="C1379" s="56" t="s">
        <v>1141</v>
      </c>
      <c r="D1379" s="56" t="s">
        <v>1142</v>
      </c>
    </row>
    <row r="1380" spans="1:4" ht="17.399999999999999">
      <c r="A1380" s="54">
        <v>4077</v>
      </c>
      <c r="B1380" s="73"/>
      <c r="C1380" s="56" t="s">
        <v>1141</v>
      </c>
      <c r="D1380" s="56" t="s">
        <v>1142</v>
      </c>
    </row>
    <row r="1381" spans="1:4" ht="17.399999999999999">
      <c r="A1381" s="54">
        <v>4078</v>
      </c>
      <c r="B1381" s="73"/>
      <c r="C1381" s="56" t="s">
        <v>1141</v>
      </c>
      <c r="D1381" s="56" t="s">
        <v>1142</v>
      </c>
    </row>
    <row r="1382" spans="1:4" ht="17.399999999999999">
      <c r="A1382" s="54">
        <v>4079</v>
      </c>
      <c r="B1382" s="73"/>
      <c r="C1382" s="56" t="s">
        <v>1141</v>
      </c>
      <c r="D1382" s="56" t="s">
        <v>1142</v>
      </c>
    </row>
    <row r="1383" spans="1:4" ht="17.399999999999999">
      <c r="A1383" s="54">
        <v>4080</v>
      </c>
      <c r="B1383" s="73"/>
      <c r="C1383" s="56" t="s">
        <v>1141</v>
      </c>
      <c r="D1383" s="56" t="s">
        <v>1142</v>
      </c>
    </row>
    <row r="1384" spans="1:4" ht="17.399999999999999">
      <c r="A1384" s="54">
        <v>4081</v>
      </c>
      <c r="B1384" s="73"/>
      <c r="C1384" s="56" t="s">
        <v>1141</v>
      </c>
      <c r="D1384" s="56" t="s">
        <v>1142</v>
      </c>
    </row>
    <row r="1385" spans="1:4" ht="17.399999999999999">
      <c r="A1385" s="54">
        <v>4082</v>
      </c>
      <c r="B1385" s="73"/>
      <c r="C1385" s="56" t="s">
        <v>1141</v>
      </c>
      <c r="D1385" s="56" t="s">
        <v>1142</v>
      </c>
    </row>
    <row r="1386" spans="1:4" ht="17.399999999999999">
      <c r="A1386" s="54">
        <v>4083</v>
      </c>
      <c r="B1386" s="73"/>
      <c r="C1386" s="56" t="s">
        <v>1141</v>
      </c>
      <c r="D1386" s="56" t="s">
        <v>1142</v>
      </c>
    </row>
    <row r="1387" spans="1:4" ht="17.399999999999999">
      <c r="A1387" s="54">
        <v>4084</v>
      </c>
      <c r="B1387" s="73"/>
      <c r="C1387" s="56" t="s">
        <v>1141</v>
      </c>
      <c r="D1387" s="56" t="s">
        <v>1142</v>
      </c>
    </row>
    <row r="1388" spans="1:4" ht="17.399999999999999">
      <c r="A1388" s="54">
        <v>4085</v>
      </c>
      <c r="B1388" s="73"/>
      <c r="C1388" s="56" t="s">
        <v>1141</v>
      </c>
      <c r="D1388" s="56" t="s">
        <v>1142</v>
      </c>
    </row>
    <row r="1389" spans="1:4" ht="17.399999999999999">
      <c r="A1389" s="54">
        <v>4086</v>
      </c>
      <c r="B1389" s="73"/>
      <c r="C1389" s="56" t="s">
        <v>1141</v>
      </c>
      <c r="D1389" s="56" t="s">
        <v>1142</v>
      </c>
    </row>
    <row r="1390" spans="1:4" ht="17.399999999999999">
      <c r="A1390" s="54">
        <v>4087</v>
      </c>
      <c r="B1390" s="73"/>
      <c r="C1390" s="56" t="s">
        <v>1141</v>
      </c>
      <c r="D1390" s="56" t="s">
        <v>1142</v>
      </c>
    </row>
    <row r="1391" spans="1:4" ht="17.399999999999999">
      <c r="A1391" s="54">
        <v>4088</v>
      </c>
      <c r="B1391" s="73"/>
      <c r="C1391" s="56" t="s">
        <v>1141</v>
      </c>
      <c r="D1391" s="56" t="s">
        <v>1142</v>
      </c>
    </row>
    <row r="1392" spans="1:4" ht="17.399999999999999">
      <c r="A1392" s="54">
        <v>4089</v>
      </c>
      <c r="B1392" s="73"/>
      <c r="C1392" s="56" t="s">
        <v>1141</v>
      </c>
      <c r="D1392" s="56" t="s">
        <v>1142</v>
      </c>
    </row>
    <row r="1393" spans="1:4" ht="17.399999999999999">
      <c r="A1393" s="54">
        <v>4090</v>
      </c>
      <c r="B1393" s="73"/>
      <c r="C1393" s="56" t="s">
        <v>1141</v>
      </c>
      <c r="D1393" s="56" t="s">
        <v>1142</v>
      </c>
    </row>
    <row r="1394" spans="1:4" ht="18" thickBot="1">
      <c r="A1394" s="54">
        <v>4091</v>
      </c>
      <c r="B1394" s="73"/>
      <c r="C1394" s="56" t="s">
        <v>1141</v>
      </c>
      <c r="D1394" s="56" t="s">
        <v>1142</v>
      </c>
    </row>
    <row r="1395" spans="1:4" ht="18" thickBot="1">
      <c r="A1395" s="63">
        <v>4182</v>
      </c>
      <c r="B1395" s="77" t="s">
        <v>1205</v>
      </c>
      <c r="C1395" s="77" t="s">
        <v>1205</v>
      </c>
      <c r="D1395" s="66" t="s">
        <v>1142</v>
      </c>
    </row>
    <row r="1396" spans="1:4" ht="17.399999999999999">
      <c r="A1396" s="54">
        <v>4183</v>
      </c>
      <c r="B1396" s="55" t="s">
        <v>1206</v>
      </c>
      <c r="C1396" s="55" t="s">
        <v>1205</v>
      </c>
      <c r="D1396" s="56" t="s">
        <v>1142</v>
      </c>
    </row>
    <row r="1397" spans="1:4" ht="17.399999999999999">
      <c r="A1397" s="54">
        <v>4184</v>
      </c>
      <c r="B1397" s="55" t="s">
        <v>1207</v>
      </c>
      <c r="C1397" s="55" t="s">
        <v>1205</v>
      </c>
      <c r="D1397" s="56" t="s">
        <v>1142</v>
      </c>
    </row>
    <row r="1398" spans="1:4" ht="17.399999999999999">
      <c r="A1398" s="54">
        <v>4185</v>
      </c>
      <c r="B1398" s="55" t="s">
        <v>1208</v>
      </c>
      <c r="C1398" s="55" t="s">
        <v>1205</v>
      </c>
      <c r="D1398" s="56" t="s">
        <v>1142</v>
      </c>
    </row>
    <row r="1399" spans="1:4" ht="17.399999999999999">
      <c r="A1399" s="54">
        <v>4186</v>
      </c>
      <c r="B1399" s="55" t="s">
        <v>1209</v>
      </c>
      <c r="C1399" s="55" t="s">
        <v>1205</v>
      </c>
      <c r="D1399" s="56" t="s">
        <v>1142</v>
      </c>
    </row>
    <row r="1400" spans="1:4" ht="17.399999999999999">
      <c r="A1400" s="54">
        <v>4187</v>
      </c>
      <c r="B1400" s="55" t="s">
        <v>1210</v>
      </c>
      <c r="C1400" s="55" t="s">
        <v>1205</v>
      </c>
      <c r="D1400" s="56" t="s">
        <v>1142</v>
      </c>
    </row>
    <row r="1401" spans="1:4" ht="17.399999999999999">
      <c r="A1401" s="54">
        <v>4188</v>
      </c>
      <c r="B1401" s="55" t="s">
        <v>1211</v>
      </c>
      <c r="C1401" s="55" t="s">
        <v>1205</v>
      </c>
      <c r="D1401" s="56" t="s">
        <v>1142</v>
      </c>
    </row>
    <row r="1402" spans="1:4" ht="17.399999999999999">
      <c r="A1402" s="54">
        <v>4189</v>
      </c>
      <c r="B1402" s="55" t="s">
        <v>1212</v>
      </c>
      <c r="C1402" s="55" t="s">
        <v>1205</v>
      </c>
      <c r="D1402" s="56" t="s">
        <v>1142</v>
      </c>
    </row>
    <row r="1403" spans="1:4" ht="17.399999999999999">
      <c r="A1403" s="54">
        <v>4190</v>
      </c>
      <c r="B1403" s="55" t="s">
        <v>1213</v>
      </c>
      <c r="C1403" s="55" t="s">
        <v>1205</v>
      </c>
      <c r="D1403" s="56" t="s">
        <v>1142</v>
      </c>
    </row>
    <row r="1404" spans="1:4" ht="17.399999999999999">
      <c r="A1404" s="54">
        <v>4191</v>
      </c>
      <c r="B1404" s="55" t="s">
        <v>1214</v>
      </c>
      <c r="C1404" s="55" t="s">
        <v>1205</v>
      </c>
      <c r="D1404" s="56" t="s">
        <v>1142</v>
      </c>
    </row>
    <row r="1405" spans="1:4" ht="17.399999999999999">
      <c r="A1405" s="54">
        <v>4192</v>
      </c>
      <c r="B1405" s="55" t="s">
        <v>1215</v>
      </c>
      <c r="C1405" s="55" t="s">
        <v>1205</v>
      </c>
      <c r="D1405" s="56" t="s">
        <v>1142</v>
      </c>
    </row>
    <row r="1406" spans="1:4" ht="17.399999999999999">
      <c r="A1406" s="54">
        <v>4193</v>
      </c>
      <c r="B1406" s="55" t="s">
        <v>1216</v>
      </c>
      <c r="C1406" s="55" t="s">
        <v>1205</v>
      </c>
      <c r="D1406" s="56" t="s">
        <v>1142</v>
      </c>
    </row>
    <row r="1407" spans="1:4" ht="17.399999999999999">
      <c r="A1407" s="54">
        <v>4024</v>
      </c>
      <c r="B1407" s="55" t="s">
        <v>1217</v>
      </c>
      <c r="C1407" s="55" t="s">
        <v>1217</v>
      </c>
      <c r="D1407" s="56" t="s">
        <v>1142</v>
      </c>
    </row>
    <row r="1408" spans="1:4" ht="17.399999999999999">
      <c r="A1408" s="54">
        <v>4025</v>
      </c>
      <c r="B1408" s="55" t="s">
        <v>1218</v>
      </c>
      <c r="C1408" s="55" t="s">
        <v>1218</v>
      </c>
      <c r="D1408" s="56" t="s">
        <v>1142</v>
      </c>
    </row>
    <row r="1409" spans="1:4" ht="34.799999999999997">
      <c r="A1409" s="54">
        <v>4026</v>
      </c>
      <c r="B1409" s="55" t="s">
        <v>1219</v>
      </c>
      <c r="C1409" s="55" t="s">
        <v>1219</v>
      </c>
      <c r="D1409" s="56" t="s">
        <v>1142</v>
      </c>
    </row>
    <row r="1410" spans="1:4" ht="17.399999999999999">
      <c r="A1410" s="54">
        <v>4027</v>
      </c>
      <c r="B1410" s="55" t="s">
        <v>1220</v>
      </c>
      <c r="C1410" s="55" t="s">
        <v>1220</v>
      </c>
      <c r="D1410" s="56" t="s">
        <v>1142</v>
      </c>
    </row>
    <row r="1411" spans="1:4" ht="34.799999999999997">
      <c r="A1411" s="54">
        <v>4028</v>
      </c>
      <c r="B1411" s="55" t="s">
        <v>1221</v>
      </c>
      <c r="C1411" s="55" t="s">
        <v>1221</v>
      </c>
      <c r="D1411" s="56" t="s">
        <v>1142</v>
      </c>
    </row>
    <row r="1412" spans="1:4" ht="17.399999999999999">
      <c r="A1412" s="54">
        <v>4029</v>
      </c>
      <c r="B1412" s="55" t="s">
        <v>1222</v>
      </c>
      <c r="C1412" s="55" t="s">
        <v>1223</v>
      </c>
      <c r="D1412" s="56" t="s">
        <v>1142</v>
      </c>
    </row>
    <row r="1413" spans="1:4" ht="17.399999999999999">
      <c r="A1413" s="54">
        <v>4030</v>
      </c>
      <c r="B1413" s="55" t="s">
        <v>1224</v>
      </c>
      <c r="C1413" s="55" t="s">
        <v>1223</v>
      </c>
      <c r="D1413" s="56" t="s">
        <v>1142</v>
      </c>
    </row>
    <row r="1414" spans="1:4" ht="17.399999999999999">
      <c r="A1414" s="54">
        <v>4090</v>
      </c>
      <c r="B1414" s="55" t="s">
        <v>1225</v>
      </c>
      <c r="C1414" s="55" t="s">
        <v>1225</v>
      </c>
      <c r="D1414" s="56" t="s">
        <v>1142</v>
      </c>
    </row>
    <row r="1415" spans="1:4" ht="17.399999999999999">
      <c r="A1415" s="54">
        <v>4089</v>
      </c>
      <c r="B1415" s="55" t="s">
        <v>1226</v>
      </c>
      <c r="C1415" s="55" t="s">
        <v>1226</v>
      </c>
      <c r="D1415" s="56" t="s">
        <v>1142</v>
      </c>
    </row>
    <row r="1416" spans="1:4" ht="17.399999999999999">
      <c r="A1416" s="54">
        <v>4110</v>
      </c>
      <c r="B1416" s="55" t="s">
        <v>1205</v>
      </c>
      <c r="C1416" s="55" t="s">
        <v>1205</v>
      </c>
      <c r="D1416" s="56" t="s">
        <v>1142</v>
      </c>
    </row>
    <row r="1417" spans="1:4" ht="17.399999999999999">
      <c r="A1417" s="54">
        <v>4200</v>
      </c>
      <c r="B1417" s="55" t="s">
        <v>1227</v>
      </c>
      <c r="C1417" s="56" t="s">
        <v>1142</v>
      </c>
      <c r="D1417" s="56" t="s">
        <v>1142</v>
      </c>
    </row>
    <row r="1418" spans="1:4" ht="17.399999999999999">
      <c r="A1418" s="54">
        <v>5000</v>
      </c>
      <c r="B1418" s="55" t="s">
        <v>1228</v>
      </c>
      <c r="C1418" s="56" t="s">
        <v>1228</v>
      </c>
      <c r="D1418" s="56" t="s">
        <v>1228</v>
      </c>
    </row>
    <row r="1419" spans="1:4" ht="17.399999999999999">
      <c r="A1419" s="54">
        <v>6000</v>
      </c>
      <c r="B1419" s="55" t="s">
        <v>1229</v>
      </c>
      <c r="C1419" s="56" t="s">
        <v>1230</v>
      </c>
      <c r="D1419" s="56" t="s">
        <v>1230</v>
      </c>
    </row>
    <row r="1420" spans="1:4" ht="17.399999999999999">
      <c r="A1420" s="54">
        <v>7000</v>
      </c>
      <c r="B1420" s="55" t="s">
        <v>1231</v>
      </c>
      <c r="C1420" s="55" t="s">
        <v>1232</v>
      </c>
      <c r="D1420" s="55" t="s">
        <v>1232</v>
      </c>
    </row>
    <row r="1421" spans="1:4" ht="34.799999999999997">
      <c r="A1421" s="54">
        <v>8000</v>
      </c>
      <c r="B1421" s="55" t="s">
        <v>1233</v>
      </c>
      <c r="C1421" s="55" t="s">
        <v>1233</v>
      </c>
      <c r="D1421" s="55" t="s">
        <v>1233</v>
      </c>
    </row>
    <row r="1422" spans="1:4" ht="17.399999999999999">
      <c r="A1422" s="54">
        <v>9000</v>
      </c>
      <c r="B1422" s="55" t="s">
        <v>1234</v>
      </c>
      <c r="C1422" s="55" t="s">
        <v>1234</v>
      </c>
      <c r="D1422" s="55" t="s">
        <v>1234</v>
      </c>
    </row>
    <row r="1423" spans="1:4" ht="17.399999999999999">
      <c r="A1423" s="54">
        <v>9500</v>
      </c>
      <c r="B1423" s="55" t="s">
        <v>1235</v>
      </c>
      <c r="C1423" s="55" t="s">
        <v>1235</v>
      </c>
      <c r="D1423" s="55" t="s">
        <v>1235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6CDC4-C60A-4E0A-85DB-0AC597204D51}">
  <dimension ref="A1:P3230"/>
  <sheetViews>
    <sheetView rightToLeft="1" tabSelected="1" zoomScaleNormal="100" workbookViewId="0">
      <selection activeCell="A2" sqref="A2"/>
    </sheetView>
  </sheetViews>
  <sheetFormatPr defaultRowHeight="14.4"/>
  <cols>
    <col min="2" max="2" width="10.33203125" bestFit="1" customWidth="1"/>
    <col min="3" max="3" width="8.21875" bestFit="1" customWidth="1"/>
    <col min="4" max="4" width="34.44140625" bestFit="1" customWidth="1"/>
    <col min="6" max="7" width="11.6640625" bestFit="1" customWidth="1"/>
    <col min="8" max="9" width="10.88671875" bestFit="1" customWidth="1"/>
    <col min="10" max="10" width="11.21875" bestFit="1" customWidth="1"/>
    <col min="13" max="13" width="27.6640625" bestFit="1" customWidth="1"/>
    <col min="14" max="14" width="23.109375" bestFit="1" customWidth="1"/>
    <col min="15" max="15" width="82.109375" customWidth="1"/>
    <col min="16" max="16" width="22.109375" bestFit="1" customWidth="1"/>
  </cols>
  <sheetData>
    <row r="1" spans="1:16">
      <c r="A1" s="78">
        <f>SUM(I:I)-SUM(H:H)</f>
        <v>0</v>
      </c>
      <c r="B1" s="79"/>
      <c r="C1" s="79"/>
      <c r="D1" s="79"/>
      <c r="E1" s="79"/>
      <c r="F1" s="79"/>
      <c r="G1" s="80"/>
      <c r="H1" s="81" t="s">
        <v>1236</v>
      </c>
      <c r="I1" s="82"/>
      <c r="J1" s="83"/>
      <c r="K1" s="84"/>
      <c r="L1" s="84"/>
      <c r="M1" s="84"/>
      <c r="N1" s="85">
        <v>-1E-4</v>
      </c>
      <c r="O1" s="85"/>
      <c r="P1" s="84"/>
    </row>
    <row r="2" spans="1:16">
      <c r="A2" s="86" t="s">
        <v>1237</v>
      </c>
      <c r="B2" s="86" t="s">
        <v>1238</v>
      </c>
      <c r="C2" s="87" t="s">
        <v>1239</v>
      </c>
      <c r="D2" s="88" t="s">
        <v>1</v>
      </c>
      <c r="E2" s="86" t="s">
        <v>1240</v>
      </c>
      <c r="F2" s="89" t="s">
        <v>1241</v>
      </c>
      <c r="G2" s="89" t="s">
        <v>1242</v>
      </c>
      <c r="H2" s="90" t="s">
        <v>1243</v>
      </c>
      <c r="I2" s="90" t="s">
        <v>1244</v>
      </c>
      <c r="J2" s="90" t="s">
        <v>1245</v>
      </c>
      <c r="K2" s="91" t="s">
        <v>1246</v>
      </c>
      <c r="L2" s="91" t="s">
        <v>1247</v>
      </c>
      <c r="M2" s="91" t="s">
        <v>1248</v>
      </c>
      <c r="N2" s="91" t="s">
        <v>1249</v>
      </c>
      <c r="O2" s="91" t="s">
        <v>1250</v>
      </c>
      <c r="P2" s="91" t="s">
        <v>1251</v>
      </c>
    </row>
    <row r="3" spans="1:16">
      <c r="A3" s="92">
        <v>1</v>
      </c>
      <c r="B3" s="93">
        <v>46023</v>
      </c>
      <c r="C3" s="94">
        <v>102</v>
      </c>
      <c r="D3" s="95" t="str">
        <f>IF(ISERROR(VLOOKUP(C3,'[1]خريطة الحسابات'!_xlnm.Print_Area,3,FALSE))," ",(VLOOKUP(C3,'[1]خريطة الحسابات'!_xlnm.Print_Area,3,FALSE)))</f>
        <v>اثاث مكتبى</v>
      </c>
      <c r="E3" s="96"/>
      <c r="F3" s="97">
        <v>251865</v>
      </c>
      <c r="G3" s="97"/>
      <c r="H3" s="98">
        <f t="shared" ref="H3:I87" si="0">IF($E3=2,F3*3.465,F3)</f>
        <v>251865</v>
      </c>
      <c r="I3" s="98">
        <f t="shared" si="0"/>
        <v>0</v>
      </c>
      <c r="J3" s="98">
        <f t="shared" ref="J3:J87" si="1">H3-I3</f>
        <v>251865</v>
      </c>
      <c r="K3" s="99"/>
      <c r="L3" s="100" t="str">
        <f t="shared" ref="L3:L87" si="2">IF(J3&lt;0,"دائن",IF(J3&gt;0,"مدين",""))</f>
        <v>مدين</v>
      </c>
      <c r="M3" s="101" t="str">
        <f>IF(ISERROR(VLOOKUP(C3,'[1]خريطة الحسابات'!_xlnm.Print_Area,4,FALSE))," ",(VLOOKUP(C3,'[1]خريطة الحسابات'!_xlnm.Print_Area,4,FALSE)))</f>
        <v>الأصول ثابتة</v>
      </c>
      <c r="N3" s="102" t="str">
        <f>IF(ISERROR(VLOOKUP(C3,'[1]خريطة الحسابات'!_xlnm.Print_Area,5,FALSE))," ",(VLOOKUP(C3,'[1]خريطة الحسابات'!_xlnm.Print_Area,5,FALSE)))</f>
        <v>الاصول</v>
      </c>
      <c r="O3" s="103" t="s">
        <v>1252</v>
      </c>
      <c r="P3" s="103" t="s">
        <v>1253</v>
      </c>
    </row>
    <row r="4" spans="1:16">
      <c r="A4" s="104">
        <v>1</v>
      </c>
      <c r="B4" s="93">
        <v>46023</v>
      </c>
      <c r="C4" s="94">
        <v>103</v>
      </c>
      <c r="D4" s="95" t="str">
        <f>IF(ISERROR(VLOOKUP(C4,'[1]خريطة الحسابات'!_xlnm.Print_Area,3,FALSE))," ",(VLOOKUP(C4,'[1]خريطة الحسابات'!_xlnm.Print_Area,3,FALSE)))</f>
        <v>اجهزة كمبيوتر واجهزة المقر</v>
      </c>
      <c r="E4" s="96"/>
      <c r="F4" s="97">
        <v>754715</v>
      </c>
      <c r="G4" s="97"/>
      <c r="H4" s="98">
        <f t="shared" si="0"/>
        <v>754715</v>
      </c>
      <c r="I4" s="98">
        <f t="shared" si="0"/>
        <v>0</v>
      </c>
      <c r="J4" s="98">
        <f t="shared" si="1"/>
        <v>754715</v>
      </c>
      <c r="K4" s="99"/>
      <c r="L4" s="100" t="str">
        <f t="shared" si="2"/>
        <v>مدين</v>
      </c>
      <c r="M4" s="101" t="str">
        <f>IF(ISERROR(VLOOKUP(C4,'[1]خريطة الحسابات'!_xlnm.Print_Area,4,FALSE))," ",(VLOOKUP(C4,'[1]خريطة الحسابات'!_xlnm.Print_Area,4,FALSE)))</f>
        <v>الأصول ثابتة</v>
      </c>
      <c r="N4" s="102" t="str">
        <f>IF(ISERROR(VLOOKUP(C4,'[1]خريطة الحسابات'!_xlnm.Print_Area,5,FALSE))," ",(VLOOKUP(C4,'[1]خريطة الحسابات'!_xlnm.Print_Area,5,FALSE)))</f>
        <v>الاصول</v>
      </c>
      <c r="O4" s="103" t="s">
        <v>1252</v>
      </c>
      <c r="P4" s="103" t="s">
        <v>1254</v>
      </c>
    </row>
    <row r="5" spans="1:16">
      <c r="A5" s="104">
        <v>1</v>
      </c>
      <c r="B5" s="93">
        <v>46023</v>
      </c>
      <c r="C5" s="94">
        <v>104</v>
      </c>
      <c r="D5" s="95" t="str">
        <f>IF(ISERROR(VLOOKUP(C5,'[1]خريطة الحسابات'!_xlnm.Print_Area,3,FALSE))," ",(VLOOKUP(C5,'[1]خريطة الحسابات'!_xlnm.Print_Area,3,FALSE)))</f>
        <v>معدات موقع</v>
      </c>
      <c r="E5" s="96"/>
      <c r="F5" s="97">
        <v>51513</v>
      </c>
      <c r="G5" s="97"/>
      <c r="H5" s="98">
        <f t="shared" si="0"/>
        <v>51513</v>
      </c>
      <c r="I5" s="98">
        <f t="shared" si="0"/>
        <v>0</v>
      </c>
      <c r="J5" s="98">
        <f t="shared" si="1"/>
        <v>51513</v>
      </c>
      <c r="K5" s="99"/>
      <c r="L5" s="100" t="str">
        <f t="shared" si="2"/>
        <v>مدين</v>
      </c>
      <c r="M5" s="101" t="str">
        <f>IF(ISERROR(VLOOKUP(C5,'[1]خريطة الحسابات'!_xlnm.Print_Area,4,FALSE))," ",(VLOOKUP(C5,'[1]خريطة الحسابات'!_xlnm.Print_Area,4,FALSE)))</f>
        <v>الأصول ثابتة</v>
      </c>
      <c r="N5" s="102" t="str">
        <f>IF(ISERROR(VLOOKUP(C5,'[1]خريطة الحسابات'!_xlnm.Print_Area,5,FALSE))," ",(VLOOKUP(C5,'[1]خريطة الحسابات'!_xlnm.Print_Area,5,FALSE)))</f>
        <v>الاصول</v>
      </c>
      <c r="O5" s="103" t="s">
        <v>1252</v>
      </c>
      <c r="P5" s="103" t="s">
        <v>1255</v>
      </c>
    </row>
    <row r="6" spans="1:16">
      <c r="A6" s="104">
        <v>1</v>
      </c>
      <c r="B6" s="93">
        <v>46023</v>
      </c>
      <c r="C6" s="94">
        <v>20</v>
      </c>
      <c r="D6" s="95" t="str">
        <f>IF(ISERROR(VLOOKUP(C6,'[1]خريطة الحسابات'!_xlnm.Print_Area,3,FALSE))," ",(VLOOKUP(C6,'[1]خريطة الحسابات'!_xlnm.Print_Area,3,FALSE)))</f>
        <v xml:space="preserve">الخزينة </v>
      </c>
      <c r="E6" s="96"/>
      <c r="F6" s="97">
        <v>102042</v>
      </c>
      <c r="G6" s="97"/>
      <c r="H6" s="98">
        <f t="shared" si="0"/>
        <v>102042</v>
      </c>
      <c r="I6" s="98">
        <f t="shared" si="0"/>
        <v>0</v>
      </c>
      <c r="J6" s="98">
        <f t="shared" si="1"/>
        <v>102042</v>
      </c>
      <c r="K6" s="99"/>
      <c r="L6" s="100" t="str">
        <f t="shared" si="2"/>
        <v>مدين</v>
      </c>
      <c r="M6" s="101" t="str">
        <f>IF(ISERROR(VLOOKUP(C6,'[1]خريطة الحسابات'!_xlnm.Print_Area,4,FALSE))," ",(VLOOKUP(C6,'[1]خريطة الحسابات'!_xlnm.Print_Area,4,FALSE)))</f>
        <v xml:space="preserve">أصول متداوله -النقدية ومافي حكمها </v>
      </c>
      <c r="N6" s="102" t="str">
        <f>IF(ISERROR(VLOOKUP(C6,'[1]خريطة الحسابات'!_xlnm.Print_Area,5,FALSE))," ",(VLOOKUP(C6,'[1]خريطة الحسابات'!_xlnm.Print_Area,5,FALSE)))</f>
        <v>الاصول</v>
      </c>
      <c r="O6" s="103" t="s">
        <v>1252</v>
      </c>
      <c r="P6" s="103" t="s">
        <v>1256</v>
      </c>
    </row>
    <row r="7" spans="1:16">
      <c r="A7" s="104">
        <v>1</v>
      </c>
      <c r="B7" s="93">
        <v>46023</v>
      </c>
      <c r="C7" s="94">
        <v>201</v>
      </c>
      <c r="D7" s="95" t="str">
        <f>IF(ISERROR(VLOOKUP(C7,'[1]خريطة الحسابات'!_xlnm.Print_Area,3,FALSE))," ",(VLOOKUP(C7,'[1]خريطة الحسابات'!_xlnm.Print_Area,3,FALSE)))</f>
        <v xml:space="preserve">بنك cib شخصي </v>
      </c>
      <c r="E7" s="96"/>
      <c r="F7" s="97">
        <v>542984</v>
      </c>
      <c r="G7" s="97"/>
      <c r="H7" s="98">
        <f t="shared" si="0"/>
        <v>542984</v>
      </c>
      <c r="I7" s="98">
        <f t="shared" si="0"/>
        <v>0</v>
      </c>
      <c r="J7" s="98">
        <f t="shared" si="1"/>
        <v>542984</v>
      </c>
      <c r="K7" s="99"/>
      <c r="L7" s="100" t="str">
        <f t="shared" si="2"/>
        <v>مدين</v>
      </c>
      <c r="M7" s="101" t="str">
        <f>IF(ISERROR(VLOOKUP(C7,'[1]خريطة الحسابات'!_xlnm.Print_Area,4,FALSE))," ",(VLOOKUP(C7,'[1]خريطة الحسابات'!_xlnm.Print_Area,4,FALSE)))</f>
        <v xml:space="preserve">أصول متداوله -النقدية ومافي حكمها </v>
      </c>
      <c r="N7" s="102" t="str">
        <f>IF(ISERROR(VLOOKUP(C7,'[1]خريطة الحسابات'!_xlnm.Print_Area,5,FALSE))," ",(VLOOKUP(C7,'[1]خريطة الحسابات'!_xlnm.Print_Area,5,FALSE)))</f>
        <v>الاصول</v>
      </c>
      <c r="O7" s="103" t="s">
        <v>1252</v>
      </c>
      <c r="P7" s="103" t="s">
        <v>1257</v>
      </c>
    </row>
    <row r="8" spans="1:16">
      <c r="A8" s="104">
        <v>1</v>
      </c>
      <c r="B8" s="93">
        <v>46023</v>
      </c>
      <c r="C8" s="94">
        <v>206</v>
      </c>
      <c r="D8" s="95" t="str">
        <f>IF(ISERROR(VLOOKUP(C8,'[1]خريطة الحسابات'!_xlnm.Print_Area,3,FALSE))," ",(VLOOKUP(C8,'[1]خريطة الحسابات'!_xlnm.Print_Area,3,FALSE)))</f>
        <v xml:space="preserve">المخزن </v>
      </c>
      <c r="E8" s="96"/>
      <c r="F8" s="97">
        <v>50000</v>
      </c>
      <c r="G8" s="97"/>
      <c r="H8" s="98">
        <f t="shared" si="0"/>
        <v>50000</v>
      </c>
      <c r="I8" s="98">
        <f t="shared" si="0"/>
        <v>0</v>
      </c>
      <c r="J8" s="98">
        <f t="shared" si="1"/>
        <v>50000</v>
      </c>
      <c r="K8" s="99"/>
      <c r="L8" s="100" t="str">
        <f t="shared" si="2"/>
        <v>مدين</v>
      </c>
      <c r="M8" s="101" t="str">
        <f>IF(ISERROR(VLOOKUP(C8,'[1]خريطة الحسابات'!_xlnm.Print_Area,4,FALSE))," ",(VLOOKUP(C8,'[1]خريطة الحسابات'!_xlnm.Print_Area,4,FALSE)))</f>
        <v xml:space="preserve">اصول متدواله </v>
      </c>
      <c r="N8" s="102" t="str">
        <f>IF(ISERROR(VLOOKUP(C8,'[1]خريطة الحسابات'!_xlnm.Print_Area,5,FALSE))," ",(VLOOKUP(C8,'[1]خريطة الحسابات'!_xlnm.Print_Area,5,FALSE)))</f>
        <v>الاصول</v>
      </c>
      <c r="O8" s="103" t="s">
        <v>1252</v>
      </c>
      <c r="P8" s="103" t="s">
        <v>1258</v>
      </c>
    </row>
    <row r="9" spans="1:16">
      <c r="A9" s="104">
        <v>1</v>
      </c>
      <c r="B9" s="93">
        <v>46023</v>
      </c>
      <c r="C9" s="94">
        <v>6000</v>
      </c>
      <c r="D9" s="95" t="str">
        <f>IF(ISERROR(VLOOKUP(C9,'[1]خريطة الحسابات'!_xlnm.Print_Area,3,FALSE))," ",(VLOOKUP(C9,'[1]خريطة الحسابات'!_xlnm.Print_Area,3,FALSE)))</f>
        <v>عملاء</v>
      </c>
      <c r="E9" s="96"/>
      <c r="F9" s="97">
        <v>1133759</v>
      </c>
      <c r="G9" s="97"/>
      <c r="H9" s="98">
        <f t="shared" si="0"/>
        <v>1133759</v>
      </c>
      <c r="I9" s="98">
        <f t="shared" si="0"/>
        <v>0</v>
      </c>
      <c r="J9" s="98">
        <f t="shared" si="1"/>
        <v>1133759</v>
      </c>
      <c r="K9" s="99"/>
      <c r="L9" s="100" t="str">
        <f t="shared" si="2"/>
        <v>مدين</v>
      </c>
      <c r="M9" s="101" t="str">
        <f>IF(ISERROR(VLOOKUP(C9,'[1]خريطة الحسابات'!_xlnm.Print_Area,4,FALSE))," ",(VLOOKUP(C9,'[1]خريطة الحسابات'!_xlnm.Print_Area,4,FALSE)))</f>
        <v>عملاء</v>
      </c>
      <c r="N9" s="102" t="str">
        <f>IF(ISERROR(VLOOKUP(C9,'[1]خريطة الحسابات'!_xlnm.Print_Area,5,FALSE))," ",(VLOOKUP(C9,'[1]خريطة الحسابات'!_xlnm.Print_Area,5,FALSE)))</f>
        <v>المدينون والأرصدة المدينة الأخرى</v>
      </c>
      <c r="O9" s="103" t="s">
        <v>1252</v>
      </c>
      <c r="P9" s="103" t="s">
        <v>1259</v>
      </c>
    </row>
    <row r="10" spans="1:16">
      <c r="A10" s="104">
        <v>1</v>
      </c>
      <c r="B10" s="93">
        <v>46023</v>
      </c>
      <c r="C10" s="94" t="s">
        <v>1075</v>
      </c>
      <c r="D10" s="95" t="str">
        <f>IF(ISERROR(VLOOKUP(C10,'[1]خريطة الحسابات'!_xlnm.Print_Area,3,FALSE))," ",(VLOOKUP(C10,'[1]خريطة الحسابات'!_xlnm.Print_Area,3,FALSE)))</f>
        <v>عهدة م ايه</v>
      </c>
      <c r="E10" s="96"/>
      <c r="F10" s="97">
        <v>60839</v>
      </c>
      <c r="G10" s="97"/>
      <c r="H10" s="98">
        <f t="shared" si="0"/>
        <v>60839</v>
      </c>
      <c r="I10" s="98">
        <f t="shared" si="0"/>
        <v>0</v>
      </c>
      <c r="J10" s="98">
        <f t="shared" si="1"/>
        <v>60839</v>
      </c>
      <c r="K10" s="99"/>
      <c r="L10" s="100" t="str">
        <f t="shared" si="2"/>
        <v>مدين</v>
      </c>
      <c r="M10" s="101" t="str">
        <f>IF(ISERROR(VLOOKUP(C10,'[1]خريطة الحسابات'!_xlnm.Print_Area,4,FALSE))," ",(VLOOKUP(C10,'[1]خريطة الحسابات'!_xlnm.Print_Area,4,FALSE)))</f>
        <v>عهد</v>
      </c>
      <c r="N10" s="102" t="str">
        <f>IF(ISERROR(VLOOKUP(C10,'[1]خريطة الحسابات'!_xlnm.Print_Area,5,FALSE))," ",(VLOOKUP(C10,'[1]خريطة الحسابات'!_xlnm.Print_Area,5,FALSE)))</f>
        <v>المدينون والأرصدة المدينة الأخرى</v>
      </c>
      <c r="O10" s="103" t="s">
        <v>1252</v>
      </c>
      <c r="P10" s="103" t="s">
        <v>1260</v>
      </c>
    </row>
    <row r="11" spans="1:16">
      <c r="A11" s="104">
        <v>1</v>
      </c>
      <c r="B11" s="93">
        <v>46023</v>
      </c>
      <c r="C11" s="94" t="s">
        <v>1088</v>
      </c>
      <c r="D11" s="95" t="str">
        <f>IF(ISERROR(VLOOKUP(C11,'[1]خريطة الحسابات'!_xlnm.Print_Area,3,FALSE))," ",(VLOOKUP(C11,'[1]خريطة الحسابات'!_xlnm.Print_Area,3,FALSE)))</f>
        <v>سلفة احمد يونس</v>
      </c>
      <c r="E11" s="96"/>
      <c r="F11" s="97">
        <v>7000</v>
      </c>
      <c r="G11" s="97"/>
      <c r="H11" s="98">
        <f t="shared" si="0"/>
        <v>7000</v>
      </c>
      <c r="I11" s="98">
        <f t="shared" si="0"/>
        <v>0</v>
      </c>
      <c r="J11" s="98">
        <f t="shared" si="1"/>
        <v>7000</v>
      </c>
      <c r="K11" s="99"/>
      <c r="L11" s="100" t="str">
        <f t="shared" si="2"/>
        <v>مدين</v>
      </c>
      <c r="M11" s="101" t="str">
        <f>IF(ISERROR(VLOOKUP(C11,'[1]خريطة الحسابات'!_xlnm.Print_Area,4,FALSE))," ",(VLOOKUP(C11,'[1]خريطة الحسابات'!_xlnm.Print_Area,4,FALSE)))</f>
        <v>سلف</v>
      </c>
      <c r="N11" s="102" t="str">
        <f>IF(ISERROR(VLOOKUP(C11,'[1]خريطة الحسابات'!_xlnm.Print_Area,5,FALSE))," ",(VLOOKUP(C11,'[1]خريطة الحسابات'!_xlnm.Print_Area,5,FALSE)))</f>
        <v>المدينون والأرصدة المدينة الأخرى</v>
      </c>
      <c r="O11" s="103" t="s">
        <v>1252</v>
      </c>
      <c r="P11" s="103" t="s">
        <v>1261</v>
      </c>
    </row>
    <row r="12" spans="1:16">
      <c r="A12" s="104">
        <v>1</v>
      </c>
      <c r="B12" s="93">
        <v>46023</v>
      </c>
      <c r="C12" s="94" t="s">
        <v>1092</v>
      </c>
      <c r="D12" s="95" t="str">
        <f>IF(ISERROR(VLOOKUP(C12,'[1]خريطة الحسابات'!_xlnm.Print_Area,3,FALSE))," ",(VLOOKUP(C12,'[1]خريطة الحسابات'!_xlnm.Print_Area,3,FALSE)))</f>
        <v>سلفة احمد علي</v>
      </c>
      <c r="E12" s="96"/>
      <c r="F12" s="97">
        <v>12000</v>
      </c>
      <c r="G12" s="97"/>
      <c r="H12" s="98">
        <f t="shared" si="0"/>
        <v>12000</v>
      </c>
      <c r="I12" s="98">
        <f t="shared" si="0"/>
        <v>0</v>
      </c>
      <c r="J12" s="98">
        <f t="shared" si="1"/>
        <v>12000</v>
      </c>
      <c r="K12" s="99"/>
      <c r="L12" s="100" t="str">
        <f t="shared" si="2"/>
        <v>مدين</v>
      </c>
      <c r="M12" s="101" t="str">
        <f>IF(ISERROR(VLOOKUP(C12,'[1]خريطة الحسابات'!_xlnm.Print_Area,4,FALSE))," ",(VLOOKUP(C12,'[1]خريطة الحسابات'!_xlnm.Print_Area,4,FALSE)))</f>
        <v>سلف</v>
      </c>
      <c r="N12" s="102" t="str">
        <f>IF(ISERROR(VLOOKUP(C12,'[1]خريطة الحسابات'!_xlnm.Print_Area,5,FALSE))," ",(VLOOKUP(C12,'[1]خريطة الحسابات'!_xlnm.Print_Area,5,FALSE)))</f>
        <v>المدينون والأرصدة المدينة الأخرى</v>
      </c>
      <c r="O12" s="103" t="s">
        <v>1252</v>
      </c>
      <c r="P12" s="103" t="s">
        <v>1262</v>
      </c>
    </row>
    <row r="13" spans="1:16">
      <c r="A13" s="104">
        <v>1</v>
      </c>
      <c r="B13" s="93">
        <v>46023</v>
      </c>
      <c r="C13" s="94" t="s">
        <v>1090</v>
      </c>
      <c r="D13" s="95" t="str">
        <f>IF(ISERROR(VLOOKUP(C13,'[1]خريطة الحسابات'!_xlnm.Print_Area,3,FALSE))," ",(VLOOKUP(C13,'[1]خريطة الحسابات'!_xlnm.Print_Area,3,FALSE)))</f>
        <v>سلفة عبدالرحمن</v>
      </c>
      <c r="E13" s="96"/>
      <c r="F13" s="97">
        <v>4000</v>
      </c>
      <c r="G13" s="97"/>
      <c r="H13" s="98">
        <f t="shared" si="0"/>
        <v>4000</v>
      </c>
      <c r="I13" s="98">
        <f t="shared" si="0"/>
        <v>0</v>
      </c>
      <c r="J13" s="98">
        <f t="shared" si="1"/>
        <v>4000</v>
      </c>
      <c r="K13" s="99"/>
      <c r="L13" s="100" t="str">
        <f t="shared" si="2"/>
        <v>مدين</v>
      </c>
      <c r="M13" s="101" t="str">
        <f>IF(ISERROR(VLOOKUP(C13,'[1]خريطة الحسابات'!_xlnm.Print_Area,4,FALSE))," ",(VLOOKUP(C13,'[1]خريطة الحسابات'!_xlnm.Print_Area,4,FALSE)))</f>
        <v>سلف</v>
      </c>
      <c r="N13" s="102" t="str">
        <f>IF(ISERROR(VLOOKUP(C13,'[1]خريطة الحسابات'!_xlnm.Print_Area,5,FALSE))," ",(VLOOKUP(C13,'[1]خريطة الحسابات'!_xlnm.Print_Area,5,FALSE)))</f>
        <v>المدينون والأرصدة المدينة الأخرى</v>
      </c>
      <c r="O13" s="103" t="s">
        <v>1252</v>
      </c>
      <c r="P13" s="103" t="s">
        <v>1263</v>
      </c>
    </row>
    <row r="14" spans="1:16">
      <c r="A14" s="104">
        <v>1</v>
      </c>
      <c r="B14" s="93">
        <v>46023</v>
      </c>
      <c r="C14" s="94" t="s">
        <v>1095</v>
      </c>
      <c r="D14" s="95" t="str">
        <f>IF(ISERROR(VLOOKUP(C14,'[1]خريطة الحسابات'!_xlnm.Print_Area,3,FALSE))," ",(VLOOKUP(C14,'[1]خريطة الحسابات'!_xlnm.Print_Area,3,FALSE)))</f>
        <v>تأمين مقر</v>
      </c>
      <c r="E14" s="96"/>
      <c r="F14" s="97">
        <v>38000</v>
      </c>
      <c r="G14" s="97"/>
      <c r="H14" s="98">
        <f t="shared" si="0"/>
        <v>38000</v>
      </c>
      <c r="I14" s="98">
        <f t="shared" si="0"/>
        <v>0</v>
      </c>
      <c r="J14" s="98">
        <f t="shared" si="1"/>
        <v>38000</v>
      </c>
      <c r="K14" s="99"/>
      <c r="L14" s="100" t="str">
        <f t="shared" si="2"/>
        <v>مدين</v>
      </c>
      <c r="M14" s="101" t="str">
        <f>IF(ISERROR(VLOOKUP(C14,'[1]خريطة الحسابات'!_xlnm.Print_Area,4,FALSE))," ",(VLOOKUP(C14,'[1]خريطة الحسابات'!_xlnm.Print_Area,4,FALSE)))</f>
        <v>تأمينات لدي الغير</v>
      </c>
      <c r="N14" s="102" t="str">
        <f>IF(ISERROR(VLOOKUP(C14,'[1]خريطة الحسابات'!_xlnm.Print_Area,5,FALSE))," ",(VLOOKUP(C14,'[1]خريطة الحسابات'!_xlnm.Print_Area,5,FALSE)))</f>
        <v>المدينون والأرصدة المدينة الأخرى</v>
      </c>
      <c r="O14" s="103" t="s">
        <v>1252</v>
      </c>
      <c r="P14" s="103" t="s">
        <v>1264</v>
      </c>
    </row>
    <row r="15" spans="1:16">
      <c r="A15" s="104">
        <v>1</v>
      </c>
      <c r="B15" s="93">
        <v>46023</v>
      </c>
      <c r="C15" s="94" t="s">
        <v>1078</v>
      </c>
      <c r="D15" s="95" t="str">
        <f>IF(ISERROR(VLOOKUP(C15,'[1]خريطة الحسابات'!_xlnm.Print_Area,3,FALSE))," ",(VLOOKUP(C15,'[1]خريطة الحسابات'!_xlnm.Print_Area,3,FALSE)))</f>
        <v>عهدة سامح مشتريات</v>
      </c>
      <c r="E15" s="96"/>
      <c r="F15" s="97">
        <v>8442</v>
      </c>
      <c r="G15" s="97"/>
      <c r="H15" s="98">
        <f t="shared" si="0"/>
        <v>8442</v>
      </c>
      <c r="I15" s="98">
        <f t="shared" si="0"/>
        <v>0</v>
      </c>
      <c r="J15" s="98">
        <f t="shared" si="1"/>
        <v>8442</v>
      </c>
      <c r="K15" s="99"/>
      <c r="L15" s="100" t="str">
        <f t="shared" si="2"/>
        <v>مدين</v>
      </c>
      <c r="M15" s="101" t="str">
        <f>IF(ISERROR(VLOOKUP(C15,'[1]خريطة الحسابات'!_xlnm.Print_Area,4,FALSE))," ",(VLOOKUP(C15,'[1]خريطة الحسابات'!_xlnm.Print_Area,4,FALSE)))</f>
        <v>عهد</v>
      </c>
      <c r="N15" s="102" t="str">
        <f>IF(ISERROR(VLOOKUP(C15,'[1]خريطة الحسابات'!_xlnm.Print_Area,5,FALSE))," ",(VLOOKUP(C15,'[1]خريطة الحسابات'!_xlnm.Print_Area,5,FALSE)))</f>
        <v>المدينون والأرصدة المدينة الأخرى</v>
      </c>
      <c r="O15" s="103" t="s">
        <v>1252</v>
      </c>
      <c r="P15" s="103" t="s">
        <v>1265</v>
      </c>
    </row>
    <row r="16" spans="1:16">
      <c r="A16" s="104">
        <v>1</v>
      </c>
      <c r="B16" s="93">
        <v>46023</v>
      </c>
      <c r="C16" s="94">
        <v>2016</v>
      </c>
      <c r="D16" s="95" t="str">
        <f>IF(ISERROR(VLOOKUP(C16,'[1]خريطة الحسابات'!_xlnm.Print_Area,3,FALSE))," ",(VLOOKUP(C16,'[1]خريطة الحسابات'!_xlnm.Print_Area,3,FALSE)))</f>
        <v xml:space="preserve">خسارة مرحلة </v>
      </c>
      <c r="E16" s="96"/>
      <c r="F16" s="97">
        <v>1013005</v>
      </c>
      <c r="G16" s="97"/>
      <c r="H16" s="98">
        <f t="shared" si="0"/>
        <v>1013005</v>
      </c>
      <c r="I16" s="98">
        <f t="shared" si="0"/>
        <v>0</v>
      </c>
      <c r="J16" s="98">
        <f t="shared" si="1"/>
        <v>1013005</v>
      </c>
      <c r="K16" s="99"/>
      <c r="L16" s="100" t="str">
        <f t="shared" si="2"/>
        <v>مدين</v>
      </c>
      <c r="M16" s="101" t="str">
        <f>IF(ISERROR(VLOOKUP(C16,'[1]خريطة الحسابات'!_xlnm.Print_Area,4,FALSE))," ",(VLOOKUP(C16,'[1]خريطة الحسابات'!_xlnm.Print_Area,4,FALSE)))</f>
        <v xml:space="preserve">خسائر مرحلة </v>
      </c>
      <c r="N16" s="102" t="str">
        <f>IF(ISERROR(VLOOKUP(C16,'[1]خريطة الحسابات'!_xlnm.Print_Area,5,FALSE))," ",(VLOOKUP(C16,'[1]خريطة الحسابات'!_xlnm.Print_Area,5,FALSE)))</f>
        <v xml:space="preserve">حقوق الملكية </v>
      </c>
      <c r="O16" s="103" t="s">
        <v>1252</v>
      </c>
      <c r="P16" s="103" t="s">
        <v>1266</v>
      </c>
    </row>
    <row r="17" spans="1:16">
      <c r="A17" s="104">
        <v>1</v>
      </c>
      <c r="B17" s="93">
        <v>46023</v>
      </c>
      <c r="C17" s="94">
        <v>5000</v>
      </c>
      <c r="D17" s="95" t="str">
        <f>IF(ISERROR(VLOOKUP(C17,'[1]خريطة الحسابات'!_xlnm.Print_Area,3,FALSE))," ",(VLOOKUP(C17,'[1]خريطة الحسابات'!_xlnm.Print_Area,3,FALSE)))</f>
        <v>مجمع الاهلاك</v>
      </c>
      <c r="E17" s="96"/>
      <c r="F17" s="97"/>
      <c r="G17" s="97">
        <v>330345</v>
      </c>
      <c r="H17" s="98">
        <f t="shared" si="0"/>
        <v>0</v>
      </c>
      <c r="I17" s="98">
        <f t="shared" si="0"/>
        <v>330345</v>
      </c>
      <c r="J17" s="98">
        <f t="shared" si="1"/>
        <v>-330345</v>
      </c>
      <c r="K17" s="99"/>
      <c r="L17" s="100" t="str">
        <f t="shared" si="2"/>
        <v>دائن</v>
      </c>
      <c r="M17" s="101" t="str">
        <f>IF(ISERROR(VLOOKUP(C17,'[1]خريطة الحسابات'!_xlnm.Print_Area,4,FALSE))," ",(VLOOKUP(C17,'[1]خريطة الحسابات'!_xlnm.Print_Area,4,FALSE)))</f>
        <v>مجمع الاهلاك</v>
      </c>
      <c r="N17" s="102" t="str">
        <f>IF(ISERROR(VLOOKUP(C17,'[1]خريطة الحسابات'!_xlnm.Print_Area,5,FALSE))," ",(VLOOKUP(C17,'[1]خريطة الحسابات'!_xlnm.Print_Area,5,FALSE)))</f>
        <v>مجمع الاهلاك</v>
      </c>
      <c r="O17" s="103" t="s">
        <v>1252</v>
      </c>
      <c r="P17" s="103" t="s">
        <v>1267</v>
      </c>
    </row>
    <row r="18" spans="1:16">
      <c r="A18" s="104">
        <v>1</v>
      </c>
      <c r="B18" s="93">
        <v>46023</v>
      </c>
      <c r="C18" s="94">
        <v>8000</v>
      </c>
      <c r="D18" s="95" t="str">
        <f>IF(ISERROR(VLOOKUP(C18,'[1]خريطة الحسابات'!_xlnm.Print_Area,3,FALSE))," ",(VLOOKUP(C18,'[1]خريطة الحسابات'!_xlnm.Print_Area,3,FALSE)))</f>
        <v>مخصص ديون مشكوك فى تحصيلها</v>
      </c>
      <c r="E18" s="96"/>
      <c r="F18" s="97"/>
      <c r="G18" s="97">
        <v>805074</v>
      </c>
      <c r="H18" s="98">
        <f t="shared" si="0"/>
        <v>0</v>
      </c>
      <c r="I18" s="98">
        <f t="shared" si="0"/>
        <v>805074</v>
      </c>
      <c r="J18" s="98">
        <f t="shared" si="1"/>
        <v>-805074</v>
      </c>
      <c r="K18" s="99"/>
      <c r="L18" s="100" t="str">
        <f t="shared" si="2"/>
        <v>دائن</v>
      </c>
      <c r="M18" s="101" t="str">
        <f>IF(ISERROR(VLOOKUP(C18,'[1]خريطة الحسابات'!_xlnm.Print_Area,4,FALSE))," ",(VLOOKUP(C18,'[1]خريطة الحسابات'!_xlnm.Print_Area,4,FALSE)))</f>
        <v>مخصص ديون مشكوك فى تحصيلها</v>
      </c>
      <c r="N18" s="102" t="str">
        <f>IF(ISERROR(VLOOKUP(C18,'[1]خريطة الحسابات'!_xlnm.Print_Area,5,FALSE))," ",(VLOOKUP(C18,'[1]خريطة الحسابات'!_xlnm.Print_Area,5,FALSE)))</f>
        <v>مخصص ديون مشكوك فى تحصيلها</v>
      </c>
      <c r="O18" s="103" t="s">
        <v>1252</v>
      </c>
      <c r="P18" s="103" t="s">
        <v>1268</v>
      </c>
    </row>
    <row r="19" spans="1:16">
      <c r="A19" s="104">
        <v>1</v>
      </c>
      <c r="B19" s="93">
        <v>46023</v>
      </c>
      <c r="C19" s="94">
        <v>4049</v>
      </c>
      <c r="D19" s="95" t="str">
        <f>IF(ISERROR(VLOOKUP(C19,'[1]خريطة الحسابات'!_xlnm.Print_Area,3,FALSE))," ",(VLOOKUP(C19,'[1]خريطة الحسابات'!_xlnm.Print_Area,3,FALSE)))</f>
        <v>محمد السيد توريدات كهرباء</v>
      </c>
      <c r="E19" s="96"/>
      <c r="F19" s="97"/>
      <c r="G19" s="97">
        <v>32128</v>
      </c>
      <c r="H19" s="98">
        <f t="shared" si="0"/>
        <v>0</v>
      </c>
      <c r="I19" s="98">
        <f t="shared" si="0"/>
        <v>32128</v>
      </c>
      <c r="J19" s="98">
        <f t="shared" si="1"/>
        <v>-32128</v>
      </c>
      <c r="K19" s="99"/>
      <c r="L19" s="100" t="str">
        <f t="shared" si="2"/>
        <v>دائن</v>
      </c>
      <c r="M19" s="101" t="str">
        <f>IF(ISERROR(VLOOKUP(C19,'[1]خريطة الحسابات'!_xlnm.Print_Area,4,FALSE))," ",(VLOOKUP(C19,'[1]خريطة الحسابات'!_xlnm.Print_Area,4,FALSE)))</f>
        <v>موردين</v>
      </c>
      <c r="N19" s="102" t="str">
        <f>IF(ISERROR(VLOOKUP(C19,'[1]خريطة الحسابات'!_xlnm.Print_Area,5,FALSE))," ",(VLOOKUP(C19,'[1]خريطة الحسابات'!_xlnm.Print_Area,5,FALSE)))</f>
        <v xml:space="preserve">الدائنون والأرصدة الدائنة الأخرى </v>
      </c>
      <c r="O19" s="103" t="s">
        <v>1252</v>
      </c>
      <c r="P19" s="103" t="s">
        <v>1269</v>
      </c>
    </row>
    <row r="20" spans="1:16">
      <c r="A20" s="104">
        <v>1</v>
      </c>
      <c r="B20" s="93">
        <v>46023</v>
      </c>
      <c r="C20" s="94">
        <v>4056</v>
      </c>
      <c r="D20" s="95" t="str">
        <f>IF(ISERROR(VLOOKUP(C20,'[1]خريطة الحسابات'!_xlnm.Print_Area,3,FALSE))," ",(VLOOKUP(C20,'[1]خريطة الحسابات'!_xlnm.Print_Area,3,FALSE)))</f>
        <v>القبيصي</v>
      </c>
      <c r="E20" s="96"/>
      <c r="F20" s="97"/>
      <c r="G20" s="97">
        <v>25088</v>
      </c>
      <c r="H20" s="98">
        <f t="shared" si="0"/>
        <v>0</v>
      </c>
      <c r="I20" s="98">
        <f t="shared" si="0"/>
        <v>25088</v>
      </c>
      <c r="J20" s="98">
        <f t="shared" si="1"/>
        <v>-25088</v>
      </c>
      <c r="K20" s="99"/>
      <c r="L20" s="100" t="str">
        <f t="shared" si="2"/>
        <v>دائن</v>
      </c>
      <c r="M20" s="101" t="str">
        <f>IF(ISERROR(VLOOKUP(C20,'[1]خريطة الحسابات'!_xlnm.Print_Area,4,FALSE))," ",(VLOOKUP(C20,'[1]خريطة الحسابات'!_xlnm.Print_Area,4,FALSE)))</f>
        <v>موردين</v>
      </c>
      <c r="N20" s="102" t="str">
        <f>IF(ISERROR(VLOOKUP(C20,'[1]خريطة الحسابات'!_xlnm.Print_Area,5,FALSE))," ",(VLOOKUP(C20,'[1]خريطة الحسابات'!_xlnm.Print_Area,5,FALSE)))</f>
        <v xml:space="preserve">الدائنون والأرصدة الدائنة الأخرى </v>
      </c>
      <c r="O20" s="103" t="s">
        <v>1252</v>
      </c>
      <c r="P20" s="103" t="s">
        <v>1270</v>
      </c>
    </row>
    <row r="21" spans="1:16">
      <c r="A21" s="104">
        <v>1</v>
      </c>
      <c r="B21" s="93">
        <v>46023</v>
      </c>
      <c r="C21" s="94">
        <v>4060</v>
      </c>
      <c r="D21" s="95" t="str">
        <f>IF(ISERROR(VLOOKUP(C21,'[1]خريطة الحسابات'!_xlnm.Print_Area,3,FALSE))," ",(VLOOKUP(C21,'[1]خريطة الحسابات'!_xlnm.Print_Area,3,FALSE)))</f>
        <v>كايرو لايت</v>
      </c>
      <c r="E21" s="96"/>
      <c r="F21" s="97"/>
      <c r="G21" s="97">
        <v>220660</v>
      </c>
      <c r="H21" s="98">
        <f t="shared" si="0"/>
        <v>0</v>
      </c>
      <c r="I21" s="98">
        <f t="shared" si="0"/>
        <v>220660</v>
      </c>
      <c r="J21" s="98">
        <f t="shared" si="1"/>
        <v>-220660</v>
      </c>
      <c r="K21" s="99"/>
      <c r="L21" s="100" t="str">
        <f t="shared" si="2"/>
        <v>دائن</v>
      </c>
      <c r="M21" s="101" t="str">
        <f>IF(ISERROR(VLOOKUP(C21,'[1]خريطة الحسابات'!_xlnm.Print_Area,4,FALSE))," ",(VLOOKUP(C21,'[1]خريطة الحسابات'!_xlnm.Print_Area,4,FALSE)))</f>
        <v>موردين</v>
      </c>
      <c r="N21" s="102" t="str">
        <f>IF(ISERROR(VLOOKUP(C21,'[1]خريطة الحسابات'!_xlnm.Print_Area,5,FALSE))," ",(VLOOKUP(C21,'[1]خريطة الحسابات'!_xlnm.Print_Area,5,FALSE)))</f>
        <v xml:space="preserve">الدائنون والأرصدة الدائنة الأخرى </v>
      </c>
      <c r="O21" s="103" t="s">
        <v>1252</v>
      </c>
      <c r="P21" s="103" t="s">
        <v>1271</v>
      </c>
    </row>
    <row r="22" spans="1:16">
      <c r="A22" s="104">
        <v>1</v>
      </c>
      <c r="B22" s="93">
        <v>46023</v>
      </c>
      <c r="C22" s="94">
        <v>4003</v>
      </c>
      <c r="D22" s="95" t="str">
        <f>IF(ISERROR(VLOOKUP(C22,'[1]خريطة الحسابات'!_xlnm.Print_Area,3,FALSE))," ",(VLOOKUP(C22,'[1]خريطة الحسابات'!_xlnm.Print_Area,3,FALSE)))</f>
        <v>سامي رخام</v>
      </c>
      <c r="E22" s="96"/>
      <c r="F22" s="97"/>
      <c r="G22" s="97">
        <v>217000</v>
      </c>
      <c r="H22" s="98">
        <f t="shared" si="0"/>
        <v>0</v>
      </c>
      <c r="I22" s="98">
        <f t="shared" si="0"/>
        <v>217000</v>
      </c>
      <c r="J22" s="98">
        <f t="shared" si="1"/>
        <v>-217000</v>
      </c>
      <c r="K22" s="99"/>
      <c r="L22" s="100" t="str">
        <f t="shared" si="2"/>
        <v>دائن</v>
      </c>
      <c r="M22" s="101" t="str">
        <f>IF(ISERROR(VLOOKUP(C22,'[1]خريطة الحسابات'!_xlnm.Print_Area,4,FALSE))," ",(VLOOKUP(C22,'[1]خريطة الحسابات'!_xlnm.Print_Area,4,FALSE)))</f>
        <v xml:space="preserve">مقاولين </v>
      </c>
      <c r="N22" s="102" t="str">
        <f>IF(ISERROR(VLOOKUP(C22,'[1]خريطة الحسابات'!_xlnm.Print_Area,5,FALSE))," ",(VLOOKUP(C22,'[1]خريطة الحسابات'!_xlnm.Print_Area,5,FALSE)))</f>
        <v xml:space="preserve">الدائنون والأرصدة الدائنة الأخرى </v>
      </c>
      <c r="O22" s="103" t="s">
        <v>1252</v>
      </c>
      <c r="P22" s="103" t="s">
        <v>1272</v>
      </c>
    </row>
    <row r="23" spans="1:16">
      <c r="A23" s="104">
        <v>1</v>
      </c>
      <c r="B23" s="93">
        <v>46023</v>
      </c>
      <c r="C23" s="94">
        <v>4034</v>
      </c>
      <c r="D23" s="95" t="str">
        <f>IF(ISERROR(VLOOKUP(C23,'[1]خريطة الحسابات'!_xlnm.Print_Area,3,FALSE))," ",(VLOOKUP(C23,'[1]خريطة الحسابات'!_xlnm.Print_Area,3,FALSE)))</f>
        <v>اشرف تكييف</v>
      </c>
      <c r="E23" s="96"/>
      <c r="F23" s="97"/>
      <c r="G23" s="97">
        <v>36250</v>
      </c>
      <c r="H23" s="98">
        <f t="shared" si="0"/>
        <v>0</v>
      </c>
      <c r="I23" s="98">
        <f t="shared" si="0"/>
        <v>36250</v>
      </c>
      <c r="J23" s="98">
        <f t="shared" si="1"/>
        <v>-36250</v>
      </c>
      <c r="K23" s="99"/>
      <c r="L23" s="100" t="str">
        <f t="shared" si="2"/>
        <v>دائن</v>
      </c>
      <c r="M23" s="101" t="str">
        <f>IF(ISERROR(VLOOKUP(C23,'[1]خريطة الحسابات'!_xlnm.Print_Area,4,FALSE))," ",(VLOOKUP(C23,'[1]خريطة الحسابات'!_xlnm.Print_Area,4,FALSE)))</f>
        <v xml:space="preserve">مقاولين </v>
      </c>
      <c r="N23" s="102" t="str">
        <f>IF(ISERROR(VLOOKUP(C23,'[1]خريطة الحسابات'!_xlnm.Print_Area,5,FALSE))," ",(VLOOKUP(C23,'[1]خريطة الحسابات'!_xlnm.Print_Area,5,FALSE)))</f>
        <v xml:space="preserve">الدائنون والأرصدة الدائنة الأخرى </v>
      </c>
      <c r="O23" s="103" t="s">
        <v>1252</v>
      </c>
      <c r="P23" s="103" t="s">
        <v>1273</v>
      </c>
    </row>
    <row r="24" spans="1:16">
      <c r="A24" s="104">
        <v>1</v>
      </c>
      <c r="B24" s="93">
        <v>46023</v>
      </c>
      <c r="C24" s="94">
        <v>4035</v>
      </c>
      <c r="D24" s="95" t="str">
        <f>IF(ISERROR(VLOOKUP(C24,'[1]خريطة الحسابات'!_xlnm.Print_Area,3,FALSE))," ",(VLOOKUP(C24,'[1]خريطة الحسابات'!_xlnm.Print_Area,3,FALSE)))</f>
        <v>محمد امين</v>
      </c>
      <c r="E24" s="96"/>
      <c r="F24" s="97"/>
      <c r="G24" s="97">
        <v>238525</v>
      </c>
      <c r="H24" s="98">
        <f t="shared" si="0"/>
        <v>0</v>
      </c>
      <c r="I24" s="98">
        <f t="shared" si="0"/>
        <v>238525</v>
      </c>
      <c r="J24" s="98">
        <f t="shared" si="1"/>
        <v>-238525</v>
      </c>
      <c r="K24" s="99"/>
      <c r="L24" s="100" t="str">
        <f t="shared" si="2"/>
        <v>دائن</v>
      </c>
      <c r="M24" s="101" t="str">
        <f>IF(ISERROR(VLOOKUP(C24,'[1]خريطة الحسابات'!_xlnm.Print_Area,4,FALSE))," ",(VLOOKUP(C24,'[1]خريطة الحسابات'!_xlnm.Print_Area,4,FALSE)))</f>
        <v xml:space="preserve">مقاولين </v>
      </c>
      <c r="N24" s="102" t="str">
        <f>IF(ISERROR(VLOOKUP(C24,'[1]خريطة الحسابات'!_xlnm.Print_Area,5,FALSE))," ",(VLOOKUP(C24,'[1]خريطة الحسابات'!_xlnm.Print_Area,5,FALSE)))</f>
        <v xml:space="preserve">الدائنون والأرصدة الدائنة الأخرى </v>
      </c>
      <c r="O24" s="103" t="s">
        <v>1252</v>
      </c>
      <c r="P24" s="103" t="s">
        <v>1274</v>
      </c>
    </row>
    <row r="25" spans="1:16">
      <c r="A25" s="104">
        <v>1</v>
      </c>
      <c r="B25" s="93">
        <v>46023</v>
      </c>
      <c r="C25" s="94">
        <v>4036</v>
      </c>
      <c r="D25" s="95" t="str">
        <f>IF(ISERROR(VLOOKUP(C25,'[1]خريطة الحسابات'!_xlnm.Print_Area,3,FALSE))," ",(VLOOKUP(C25,'[1]خريطة الحسابات'!_xlnm.Print_Area,3,FALSE)))</f>
        <v>اسلام سكوريت</v>
      </c>
      <c r="E25" s="96"/>
      <c r="F25" s="97"/>
      <c r="G25" s="97">
        <v>20583</v>
      </c>
      <c r="H25" s="98">
        <f t="shared" si="0"/>
        <v>0</v>
      </c>
      <c r="I25" s="98">
        <f t="shared" si="0"/>
        <v>20583</v>
      </c>
      <c r="J25" s="98">
        <f t="shared" si="1"/>
        <v>-20583</v>
      </c>
      <c r="K25" s="99"/>
      <c r="L25" s="100" t="str">
        <f t="shared" si="2"/>
        <v>دائن</v>
      </c>
      <c r="M25" s="101" t="str">
        <f>IF(ISERROR(VLOOKUP(C25,'[1]خريطة الحسابات'!_xlnm.Print_Area,4,FALSE))," ",(VLOOKUP(C25,'[1]خريطة الحسابات'!_xlnm.Print_Area,4,FALSE)))</f>
        <v xml:space="preserve">مقاولين </v>
      </c>
      <c r="N25" s="102" t="str">
        <f>IF(ISERROR(VLOOKUP(C25,'[1]خريطة الحسابات'!_xlnm.Print_Area,5,FALSE))," ",(VLOOKUP(C25,'[1]خريطة الحسابات'!_xlnm.Print_Area,5,FALSE)))</f>
        <v xml:space="preserve">الدائنون والأرصدة الدائنة الأخرى </v>
      </c>
      <c r="O25" s="103" t="s">
        <v>1252</v>
      </c>
      <c r="P25" s="103" t="s">
        <v>1275</v>
      </c>
    </row>
    <row r="26" spans="1:16">
      <c r="A26" s="104">
        <v>1</v>
      </c>
      <c r="B26" s="93">
        <v>46023</v>
      </c>
      <c r="C26" s="94">
        <v>4037</v>
      </c>
      <c r="D26" s="95" t="str">
        <f>IF(ISERROR(VLOOKUP(C26,'[1]خريطة الحسابات'!_xlnm.Print_Area,3,FALSE))," ",(VLOOKUP(C26,'[1]خريطة الحسابات'!_xlnm.Print_Area,3,FALSE)))</f>
        <v>محمود الجبس</v>
      </c>
      <c r="E26" s="96"/>
      <c r="F26" s="97"/>
      <c r="G26" s="97">
        <v>82395</v>
      </c>
      <c r="H26" s="98">
        <f t="shared" si="0"/>
        <v>0</v>
      </c>
      <c r="I26" s="98">
        <f t="shared" si="0"/>
        <v>82395</v>
      </c>
      <c r="J26" s="98">
        <f t="shared" si="1"/>
        <v>-82395</v>
      </c>
      <c r="K26" s="99"/>
      <c r="L26" s="100" t="str">
        <f t="shared" si="2"/>
        <v>دائن</v>
      </c>
      <c r="M26" s="101" t="str">
        <f>IF(ISERROR(VLOOKUP(C26,'[1]خريطة الحسابات'!_xlnm.Print_Area,4,FALSE))," ",(VLOOKUP(C26,'[1]خريطة الحسابات'!_xlnm.Print_Area,4,FALSE)))</f>
        <v xml:space="preserve">مقاولين </v>
      </c>
      <c r="N26" s="102" t="str">
        <f>IF(ISERROR(VLOOKUP(C26,'[1]خريطة الحسابات'!_xlnm.Print_Area,5,FALSE))," ",(VLOOKUP(C26,'[1]خريطة الحسابات'!_xlnm.Print_Area,5,FALSE)))</f>
        <v xml:space="preserve">الدائنون والأرصدة الدائنة الأخرى </v>
      </c>
      <c r="O26" s="103" t="s">
        <v>1252</v>
      </c>
      <c r="P26" s="103" t="s">
        <v>1276</v>
      </c>
    </row>
    <row r="27" spans="1:16">
      <c r="A27" s="104">
        <v>1</v>
      </c>
      <c r="B27" s="93">
        <v>46023</v>
      </c>
      <c r="C27" s="94">
        <v>4001</v>
      </c>
      <c r="D27" s="95" t="str">
        <f>IF(ISERROR(VLOOKUP(C27,'[1]خريطة الحسابات'!_xlnm.Print_Area,3,FALSE))," ",(VLOOKUP(C27,'[1]خريطة الحسابات'!_xlnm.Print_Area,3,FALSE)))</f>
        <v>عبدالشكور محارة</v>
      </c>
      <c r="E27" s="96"/>
      <c r="F27" s="97"/>
      <c r="G27" s="97">
        <v>92827</v>
      </c>
      <c r="H27" s="98">
        <f t="shared" si="0"/>
        <v>0</v>
      </c>
      <c r="I27" s="98">
        <f t="shared" si="0"/>
        <v>92827</v>
      </c>
      <c r="J27" s="98">
        <f t="shared" si="1"/>
        <v>-92827</v>
      </c>
      <c r="K27" s="99"/>
      <c r="L27" s="100" t="str">
        <f t="shared" si="2"/>
        <v>دائن</v>
      </c>
      <c r="M27" s="101" t="str">
        <f>IF(ISERROR(VLOOKUP(C27,'[1]خريطة الحسابات'!_xlnm.Print_Area,4,FALSE))," ",(VLOOKUP(C27,'[1]خريطة الحسابات'!_xlnm.Print_Area,4,FALSE)))</f>
        <v xml:space="preserve">مقاولين </v>
      </c>
      <c r="N27" s="102" t="str">
        <f>IF(ISERROR(VLOOKUP(C27,'[1]خريطة الحسابات'!_xlnm.Print_Area,5,FALSE))," ",(VLOOKUP(C27,'[1]خريطة الحسابات'!_xlnm.Print_Area,5,FALSE)))</f>
        <v xml:space="preserve">الدائنون والأرصدة الدائنة الأخرى </v>
      </c>
      <c r="O27" s="103" t="s">
        <v>1252</v>
      </c>
      <c r="P27" s="103" t="s">
        <v>1277</v>
      </c>
    </row>
    <row r="28" spans="1:16">
      <c r="A28" s="104">
        <v>1</v>
      </c>
      <c r="B28" s="93">
        <v>46023</v>
      </c>
      <c r="C28" s="94">
        <v>4023</v>
      </c>
      <c r="D28" s="95" t="str">
        <f>IF(ISERROR(VLOOKUP(C28,'[1]خريطة الحسابات'!_xlnm.Print_Area,3,FALSE))," ",(VLOOKUP(C28,'[1]خريطة الحسابات'!_xlnm.Print_Area,3,FALSE)))</f>
        <v>عمرو السباك</v>
      </c>
      <c r="E28" s="96"/>
      <c r="F28" s="97"/>
      <c r="G28" s="97">
        <v>7990</v>
      </c>
      <c r="H28" s="98">
        <f t="shared" si="0"/>
        <v>0</v>
      </c>
      <c r="I28" s="98">
        <f t="shared" si="0"/>
        <v>7990</v>
      </c>
      <c r="J28" s="98">
        <f t="shared" si="1"/>
        <v>-7990</v>
      </c>
      <c r="K28" s="99"/>
      <c r="L28" s="100" t="str">
        <f t="shared" si="2"/>
        <v>دائن</v>
      </c>
      <c r="M28" s="101" t="str">
        <f>IF(ISERROR(VLOOKUP(C28,'[1]خريطة الحسابات'!_xlnm.Print_Area,4,FALSE))," ",(VLOOKUP(C28,'[1]خريطة الحسابات'!_xlnm.Print_Area,4,FALSE)))</f>
        <v xml:space="preserve">مقاولين </v>
      </c>
      <c r="N28" s="102" t="str">
        <f>IF(ISERROR(VLOOKUP(C28,'[1]خريطة الحسابات'!_xlnm.Print_Area,5,FALSE))," ",(VLOOKUP(C28,'[1]خريطة الحسابات'!_xlnm.Print_Area,5,FALSE)))</f>
        <v xml:space="preserve">الدائنون والأرصدة الدائنة الأخرى </v>
      </c>
      <c r="O28" s="103" t="s">
        <v>1252</v>
      </c>
      <c r="P28" s="103" t="s">
        <v>1278</v>
      </c>
    </row>
    <row r="29" spans="1:16">
      <c r="A29" s="104">
        <v>1</v>
      </c>
      <c r="B29" s="93">
        <v>46023</v>
      </c>
      <c r="C29" s="94">
        <v>4032</v>
      </c>
      <c r="D29" s="95" t="str">
        <f>IF(ISERROR(VLOOKUP(C29,'[1]خريطة الحسابات'!_xlnm.Print_Area,3,FALSE))," ",(VLOOKUP(C29,'[1]خريطة الحسابات'!_xlnm.Print_Area,3,FALSE)))</f>
        <v>عاطف النجار</v>
      </c>
      <c r="E29" s="96"/>
      <c r="F29" s="97"/>
      <c r="G29" s="97">
        <v>7850</v>
      </c>
      <c r="H29" s="98">
        <f t="shared" si="0"/>
        <v>0</v>
      </c>
      <c r="I29" s="98">
        <f t="shared" si="0"/>
        <v>7850</v>
      </c>
      <c r="J29" s="98">
        <f t="shared" si="1"/>
        <v>-7850</v>
      </c>
      <c r="K29" s="99"/>
      <c r="L29" s="100" t="str">
        <f t="shared" si="2"/>
        <v>دائن</v>
      </c>
      <c r="M29" s="101" t="str">
        <f>IF(ISERROR(VLOOKUP(C29,'[1]خريطة الحسابات'!_xlnm.Print_Area,4,FALSE))," ",(VLOOKUP(C29,'[1]خريطة الحسابات'!_xlnm.Print_Area,4,FALSE)))</f>
        <v xml:space="preserve">مقاولين </v>
      </c>
      <c r="N29" s="102" t="str">
        <f>IF(ISERROR(VLOOKUP(C29,'[1]خريطة الحسابات'!_xlnm.Print_Area,5,FALSE))," ",(VLOOKUP(C29,'[1]خريطة الحسابات'!_xlnm.Print_Area,5,FALSE)))</f>
        <v xml:space="preserve">الدائنون والأرصدة الدائنة الأخرى </v>
      </c>
      <c r="O29" s="103" t="s">
        <v>1252</v>
      </c>
      <c r="P29" s="103" t="s">
        <v>1279</v>
      </c>
    </row>
    <row r="30" spans="1:16">
      <c r="A30" s="104">
        <v>1</v>
      </c>
      <c r="B30" s="93">
        <v>46023</v>
      </c>
      <c r="C30" s="94">
        <v>4013</v>
      </c>
      <c r="D30" s="95" t="str">
        <f>IF(ISERROR(VLOOKUP(C30,'[1]خريطة الحسابات'!_xlnm.Print_Area,3,FALSE))," ",(VLOOKUP(C30,'[1]خريطة الحسابات'!_xlnm.Print_Area,3,FALSE)))</f>
        <v>محمد السيد كهربائي مقاول</v>
      </c>
      <c r="E30" s="96"/>
      <c r="F30" s="97"/>
      <c r="G30" s="97">
        <v>56675</v>
      </c>
      <c r="H30" s="98">
        <f t="shared" si="0"/>
        <v>0</v>
      </c>
      <c r="I30" s="98">
        <f t="shared" si="0"/>
        <v>56675</v>
      </c>
      <c r="J30" s="98">
        <f t="shared" si="1"/>
        <v>-56675</v>
      </c>
      <c r="K30" s="99"/>
      <c r="L30" s="100" t="str">
        <f t="shared" si="2"/>
        <v>دائن</v>
      </c>
      <c r="M30" s="101" t="str">
        <f>IF(ISERROR(VLOOKUP(C30,'[1]خريطة الحسابات'!_xlnm.Print_Area,4,FALSE))," ",(VLOOKUP(C30,'[1]خريطة الحسابات'!_xlnm.Print_Area,4,FALSE)))</f>
        <v xml:space="preserve">مقاولين </v>
      </c>
      <c r="N30" s="102" t="str">
        <f>IF(ISERROR(VLOOKUP(C30,'[1]خريطة الحسابات'!_xlnm.Print_Area,5,FALSE))," ",(VLOOKUP(C30,'[1]خريطة الحسابات'!_xlnm.Print_Area,5,FALSE)))</f>
        <v xml:space="preserve">الدائنون والأرصدة الدائنة الأخرى </v>
      </c>
      <c r="O30" s="103" t="s">
        <v>1252</v>
      </c>
      <c r="P30" s="103" t="s">
        <v>1280</v>
      </c>
    </row>
    <row r="31" spans="1:16">
      <c r="A31" s="104">
        <v>1</v>
      </c>
      <c r="B31" s="93">
        <v>46023</v>
      </c>
      <c r="C31" s="94">
        <v>4033</v>
      </c>
      <c r="D31" s="95" t="str">
        <f>IF(ISERROR(VLOOKUP(C31,'[1]خريطة الحسابات'!_xlnm.Print_Area,3,FALSE))," ",(VLOOKUP(C31,'[1]خريطة الحسابات'!_xlnm.Print_Area,3,FALSE)))</f>
        <v>كريم النجار</v>
      </c>
      <c r="E31" s="96"/>
      <c r="F31" s="97"/>
      <c r="G31" s="97">
        <v>50000</v>
      </c>
      <c r="H31" s="98">
        <f t="shared" si="0"/>
        <v>0</v>
      </c>
      <c r="I31" s="98">
        <f t="shared" si="0"/>
        <v>50000</v>
      </c>
      <c r="J31" s="98">
        <f t="shared" si="1"/>
        <v>-50000</v>
      </c>
      <c r="K31" s="99"/>
      <c r="L31" s="100" t="str">
        <f t="shared" si="2"/>
        <v>دائن</v>
      </c>
      <c r="M31" s="101" t="str">
        <f>IF(ISERROR(VLOOKUP(C31,'[1]خريطة الحسابات'!_xlnm.Print_Area,4,FALSE))," ",(VLOOKUP(C31,'[1]خريطة الحسابات'!_xlnm.Print_Area,4,FALSE)))</f>
        <v xml:space="preserve">مقاولين </v>
      </c>
      <c r="N31" s="102" t="str">
        <f>IF(ISERROR(VLOOKUP(C31,'[1]خريطة الحسابات'!_xlnm.Print_Area,5,FALSE))," ",(VLOOKUP(C31,'[1]خريطة الحسابات'!_xlnm.Print_Area,5,FALSE)))</f>
        <v xml:space="preserve">الدائنون والأرصدة الدائنة الأخرى </v>
      </c>
      <c r="O31" s="103" t="s">
        <v>1252</v>
      </c>
      <c r="P31" s="103" t="s">
        <v>1281</v>
      </c>
    </row>
    <row r="32" spans="1:16">
      <c r="A32" s="104">
        <v>1</v>
      </c>
      <c r="B32" s="93">
        <v>46023</v>
      </c>
      <c r="C32" s="94">
        <v>4005</v>
      </c>
      <c r="D32" s="95" t="str">
        <f>IF(ISERROR(VLOOKUP(C32,'[1]خريطة الحسابات'!_xlnm.Print_Area,3,FALSE))," ",(VLOOKUP(C32,'[1]خريطة الحسابات'!_xlnm.Print_Area,3,FALSE)))</f>
        <v>ناصر الهدم</v>
      </c>
      <c r="E32" s="96"/>
      <c r="F32" s="97"/>
      <c r="G32" s="97">
        <v>49054</v>
      </c>
      <c r="H32" s="98">
        <f t="shared" si="0"/>
        <v>0</v>
      </c>
      <c r="I32" s="98">
        <f t="shared" si="0"/>
        <v>49054</v>
      </c>
      <c r="J32" s="98">
        <f t="shared" si="1"/>
        <v>-49054</v>
      </c>
      <c r="K32" s="99"/>
      <c r="L32" s="100" t="str">
        <f t="shared" si="2"/>
        <v>دائن</v>
      </c>
      <c r="M32" s="101" t="str">
        <f>IF(ISERROR(VLOOKUP(C32,'[1]خريطة الحسابات'!_xlnm.Print_Area,4,FALSE))," ",(VLOOKUP(C32,'[1]خريطة الحسابات'!_xlnm.Print_Area,4,FALSE)))</f>
        <v xml:space="preserve">مقاولين </v>
      </c>
      <c r="N32" s="102" t="str">
        <f>IF(ISERROR(VLOOKUP(C32,'[1]خريطة الحسابات'!_xlnm.Print_Area,5,FALSE))," ",(VLOOKUP(C32,'[1]خريطة الحسابات'!_xlnm.Print_Area,5,FALSE)))</f>
        <v xml:space="preserve">الدائنون والأرصدة الدائنة الأخرى </v>
      </c>
      <c r="O32" s="103" t="s">
        <v>1252</v>
      </c>
      <c r="P32" s="103" t="s">
        <v>1282</v>
      </c>
    </row>
    <row r="33" spans="1:16">
      <c r="A33" s="104">
        <v>1</v>
      </c>
      <c r="B33" s="93">
        <v>46023</v>
      </c>
      <c r="C33" s="94">
        <v>4004</v>
      </c>
      <c r="D33" s="95" t="str">
        <f>IF(ISERROR(VLOOKUP(C33,'[1]خريطة الحسابات'!_xlnm.Print_Area,3,FALSE))," ",(VLOOKUP(C33,'[1]خريطة الحسابات'!_xlnm.Print_Area,3,FALSE)))</f>
        <v>دائنون 2024</v>
      </c>
      <c r="E33" s="96"/>
      <c r="F33" s="97"/>
      <c r="G33" s="97">
        <v>46744</v>
      </c>
      <c r="H33" s="98">
        <f t="shared" si="0"/>
        <v>0</v>
      </c>
      <c r="I33" s="98">
        <f t="shared" si="0"/>
        <v>46744</v>
      </c>
      <c r="J33" s="98">
        <f t="shared" si="1"/>
        <v>-46744</v>
      </c>
      <c r="K33" s="99"/>
      <c r="L33" s="100" t="str">
        <f t="shared" si="2"/>
        <v>دائن</v>
      </c>
      <c r="M33" s="101" t="str">
        <f>IF(ISERROR(VLOOKUP(C33,'[1]خريطة الحسابات'!_xlnm.Print_Area,4,FALSE))," ",(VLOOKUP(C33,'[1]خريطة الحسابات'!_xlnm.Print_Area,4,FALSE)))</f>
        <v xml:space="preserve">مقاولين </v>
      </c>
      <c r="N33" s="102" t="str">
        <f>IF(ISERROR(VLOOKUP(C33,'[1]خريطة الحسابات'!_xlnm.Print_Area,5,FALSE))," ",(VLOOKUP(C33,'[1]خريطة الحسابات'!_xlnm.Print_Area,5,FALSE)))</f>
        <v xml:space="preserve">الدائنون والأرصدة الدائنة الأخرى </v>
      </c>
      <c r="O33" s="103" t="s">
        <v>1252</v>
      </c>
      <c r="P33" s="103" t="s">
        <v>1283</v>
      </c>
    </row>
    <row r="34" spans="1:16">
      <c r="A34" s="104">
        <v>1</v>
      </c>
      <c r="B34" s="93">
        <v>46023</v>
      </c>
      <c r="C34" s="94">
        <v>6000</v>
      </c>
      <c r="D34" s="95" t="str">
        <f>IF(ISERROR(VLOOKUP(C34,'[1]خريطة الحسابات'!_xlnm.Print_Area,3,FALSE))," ",(VLOOKUP(C34,'[1]خريطة الحسابات'!_xlnm.Print_Area,3,FALSE)))</f>
        <v>عملاء</v>
      </c>
      <c r="E34" s="96"/>
      <c r="F34" s="97"/>
      <c r="G34" s="97">
        <v>915976</v>
      </c>
      <c r="H34" s="98">
        <f t="shared" si="0"/>
        <v>0</v>
      </c>
      <c r="I34" s="98">
        <f t="shared" si="0"/>
        <v>915976</v>
      </c>
      <c r="J34" s="98">
        <f t="shared" si="1"/>
        <v>-915976</v>
      </c>
      <c r="K34" s="99"/>
      <c r="L34" s="100" t="str">
        <f t="shared" si="2"/>
        <v>دائن</v>
      </c>
      <c r="M34" s="101" t="str">
        <f>IF(ISERROR(VLOOKUP(C34,'[1]خريطة الحسابات'!_xlnm.Print_Area,4,FALSE))," ",(VLOOKUP(C34,'[1]خريطة الحسابات'!_xlnm.Print_Area,4,FALSE)))</f>
        <v>عملاء</v>
      </c>
      <c r="N34" s="102" t="str">
        <f>IF(ISERROR(VLOOKUP(C34,'[1]خريطة الحسابات'!_xlnm.Print_Area,5,FALSE))," ",(VLOOKUP(C34,'[1]خريطة الحسابات'!_xlnm.Print_Area,5,FALSE)))</f>
        <v>المدينون والأرصدة المدينة الأخرى</v>
      </c>
      <c r="O34" s="103" t="s">
        <v>1252</v>
      </c>
      <c r="P34" s="103" t="s">
        <v>1284</v>
      </c>
    </row>
    <row r="35" spans="1:16">
      <c r="A35" s="104">
        <v>1</v>
      </c>
      <c r="B35" s="93">
        <v>46023</v>
      </c>
      <c r="C35" s="94">
        <v>4183</v>
      </c>
      <c r="D35" s="95" t="str">
        <f>IF(ISERROR(VLOOKUP(C35,'[1]خريطة الحسابات'!_xlnm.Print_Area,3,FALSE))," ",(VLOOKUP(C35,'[1]خريطة الحسابات'!_xlnm.Print_Area,3,FALSE)))</f>
        <v>عمولة التسويق</v>
      </c>
      <c r="E35" s="96"/>
      <c r="F35" s="97"/>
      <c r="G35" s="97">
        <v>50000</v>
      </c>
      <c r="H35" s="98">
        <f t="shared" si="0"/>
        <v>0</v>
      </c>
      <c r="I35" s="98">
        <f t="shared" si="0"/>
        <v>50000</v>
      </c>
      <c r="J35" s="98">
        <f t="shared" si="1"/>
        <v>-50000</v>
      </c>
      <c r="K35" s="99"/>
      <c r="L35" s="100" t="str">
        <f t="shared" si="2"/>
        <v>دائن</v>
      </c>
      <c r="M35" s="101" t="str">
        <f>IF(ISERROR(VLOOKUP(C35,'[1]خريطة الحسابات'!_xlnm.Print_Area,4,FALSE))," ",(VLOOKUP(C35,'[1]خريطة الحسابات'!_xlnm.Print_Area,4,FALSE)))</f>
        <v>م.مستحقه</v>
      </c>
      <c r="N35" s="102" t="str">
        <f>IF(ISERROR(VLOOKUP(C35,'[1]خريطة الحسابات'!_xlnm.Print_Area,5,FALSE))," ",(VLOOKUP(C35,'[1]خريطة الحسابات'!_xlnm.Print_Area,5,FALSE)))</f>
        <v xml:space="preserve">الدائنون والأرصدة الدائنة الأخرى </v>
      </c>
      <c r="O35" s="103" t="s">
        <v>1252</v>
      </c>
      <c r="P35" s="103" t="s">
        <v>1285</v>
      </c>
    </row>
    <row r="36" spans="1:16">
      <c r="A36" s="104">
        <v>1</v>
      </c>
      <c r="B36" s="93">
        <v>46023</v>
      </c>
      <c r="C36" s="94">
        <v>4184</v>
      </c>
      <c r="D36" s="95" t="str">
        <f>IF(ISERROR(VLOOKUP(C36,'[1]خريطة الحسابات'!_xlnm.Print_Area,3,FALSE))," ",(VLOOKUP(C36,'[1]خريطة الحسابات'!_xlnm.Print_Area,3,FALSE)))</f>
        <v>عمولة المشتريات</v>
      </c>
      <c r="E36" s="96"/>
      <c r="F36" s="97"/>
      <c r="G36" s="97">
        <v>20000</v>
      </c>
      <c r="H36" s="98">
        <f t="shared" si="0"/>
        <v>0</v>
      </c>
      <c r="I36" s="98">
        <f t="shared" si="0"/>
        <v>20000</v>
      </c>
      <c r="J36" s="98">
        <f t="shared" si="1"/>
        <v>-20000</v>
      </c>
      <c r="K36" s="99"/>
      <c r="L36" s="100" t="str">
        <f t="shared" si="2"/>
        <v>دائن</v>
      </c>
      <c r="M36" s="101" t="str">
        <f>IF(ISERROR(VLOOKUP(C36,'[1]خريطة الحسابات'!_xlnm.Print_Area,4,FALSE))," ",(VLOOKUP(C36,'[1]خريطة الحسابات'!_xlnm.Print_Area,4,FALSE)))</f>
        <v>م.مستحقه</v>
      </c>
      <c r="N36" s="102" t="str">
        <f>IF(ISERROR(VLOOKUP(C36,'[1]خريطة الحسابات'!_xlnm.Print_Area,5,FALSE))," ",(VLOOKUP(C36,'[1]خريطة الحسابات'!_xlnm.Print_Area,5,FALSE)))</f>
        <v xml:space="preserve">الدائنون والأرصدة الدائنة الأخرى </v>
      </c>
      <c r="O36" s="103" t="s">
        <v>1252</v>
      </c>
      <c r="P36" s="103" t="s">
        <v>1286</v>
      </c>
    </row>
    <row r="37" spans="1:16">
      <c r="A37" s="104">
        <v>1</v>
      </c>
      <c r="B37" s="93">
        <v>46023</v>
      </c>
      <c r="C37" s="94" t="s">
        <v>1101</v>
      </c>
      <c r="D37" s="95" t="str">
        <f>IF(ISERROR(VLOOKUP(C37,'[1]خريطة الحسابات'!_xlnm.Print_Area,3,FALSE))," ",(VLOOKUP(C37,'[1]خريطة الحسابات'!_xlnm.Print_Area,3,FALSE)))</f>
        <v xml:space="preserve">جارى شركاء دكتور احمد </v>
      </c>
      <c r="E37" s="96"/>
      <c r="F37" s="97"/>
      <c r="G37" s="97">
        <v>225000</v>
      </c>
      <c r="H37" s="98">
        <f t="shared" si="0"/>
        <v>0</v>
      </c>
      <c r="I37" s="98">
        <f t="shared" si="0"/>
        <v>225000</v>
      </c>
      <c r="J37" s="98">
        <f t="shared" si="1"/>
        <v>-225000</v>
      </c>
      <c r="K37" s="99"/>
      <c r="L37" s="100" t="str">
        <f t="shared" si="2"/>
        <v>دائن</v>
      </c>
      <c r="M37" s="101" t="str">
        <f>IF(ISERROR(VLOOKUP(C37,'[1]خريطة الحسابات'!_xlnm.Print_Area,4,FALSE))," ",(VLOOKUP(C37,'[1]خريطة الحسابات'!_xlnm.Print_Area,4,FALSE)))</f>
        <v>جاري الشركاء</v>
      </c>
      <c r="N37" s="102" t="str">
        <f>IF(ISERROR(VLOOKUP(C37,'[1]خريطة الحسابات'!_xlnm.Print_Area,5,FALSE))," ",(VLOOKUP(C37,'[1]خريطة الحسابات'!_xlnm.Print_Area,5,FALSE)))</f>
        <v xml:space="preserve">حقوق الملكية </v>
      </c>
      <c r="O37" s="103" t="s">
        <v>1252</v>
      </c>
      <c r="P37" s="103" t="s">
        <v>1287</v>
      </c>
    </row>
    <row r="38" spans="1:16">
      <c r="A38" s="104">
        <v>1</v>
      </c>
      <c r="B38" s="93">
        <v>46023</v>
      </c>
      <c r="C38" s="94">
        <v>1000</v>
      </c>
      <c r="D38" s="95" t="str">
        <f>IF(ISERROR(VLOOKUP(C38,'[1]خريطة الحسابات'!_xlnm.Print_Area,3,FALSE))," ",(VLOOKUP(C38,'[1]خريطة الحسابات'!_xlnm.Print_Area,3,FALSE)))</f>
        <v xml:space="preserve">رأس المال المستثمر اول المدة </v>
      </c>
      <c r="E38" s="96"/>
      <c r="F38" s="97"/>
      <c r="G38" s="97">
        <v>500000</v>
      </c>
      <c r="H38" s="98">
        <f t="shared" si="0"/>
        <v>0</v>
      </c>
      <c r="I38" s="98">
        <f t="shared" si="0"/>
        <v>500000</v>
      </c>
      <c r="J38" s="98">
        <f t="shared" si="1"/>
        <v>-500000</v>
      </c>
      <c r="K38" s="99"/>
      <c r="L38" s="100" t="str">
        <f t="shared" si="2"/>
        <v>دائن</v>
      </c>
      <c r="M38" s="101" t="str">
        <f>IF(ISERROR(VLOOKUP(C38,'[1]خريطة الحسابات'!_xlnm.Print_Area,4,FALSE))," ",(VLOOKUP(C38,'[1]خريطة الحسابات'!_xlnm.Print_Area,4,FALSE)))</f>
        <v>رأس المال</v>
      </c>
      <c r="N38" s="102" t="str">
        <f>IF(ISERROR(VLOOKUP(C38,'[1]خريطة الحسابات'!_xlnm.Print_Area,5,FALSE))," ",(VLOOKUP(C38,'[1]خريطة الحسابات'!_xlnm.Print_Area,5,FALSE)))</f>
        <v xml:space="preserve">حقوق الملكية </v>
      </c>
      <c r="O38" s="103" t="s">
        <v>1252</v>
      </c>
      <c r="P38" s="103" t="s">
        <v>1288</v>
      </c>
    </row>
    <row r="39" spans="1:16">
      <c r="A39" s="104">
        <v>2</v>
      </c>
      <c r="B39" s="93">
        <v>46027</v>
      </c>
      <c r="C39" s="105">
        <v>4003</v>
      </c>
      <c r="D39" s="95" t="str">
        <f>IF(ISERROR(VLOOKUP(C39,'[1]خريطة الحسابات'!_xlnm.Print_Area,3,FALSE))," ",(VLOOKUP(C39,'[1]خريطة الحسابات'!_xlnm.Print_Area,3,FALSE)))</f>
        <v>سامي رخام</v>
      </c>
      <c r="E39" s="96"/>
      <c r="F39" s="97">
        <v>50000</v>
      </c>
      <c r="G39" s="97"/>
      <c r="H39" s="98">
        <f t="shared" si="0"/>
        <v>50000</v>
      </c>
      <c r="I39" s="98">
        <f t="shared" si="0"/>
        <v>0</v>
      </c>
      <c r="J39" s="98">
        <f t="shared" si="1"/>
        <v>50000</v>
      </c>
      <c r="K39" s="99"/>
      <c r="L39" s="100" t="str">
        <f t="shared" si="2"/>
        <v>مدين</v>
      </c>
      <c r="M39" s="101" t="str">
        <f>IF(ISERROR(VLOOKUP(C39,'[1]خريطة الحسابات'!_xlnm.Print_Area,4,FALSE))," ",(VLOOKUP(C39,'[1]خريطة الحسابات'!_xlnm.Print_Area,4,FALSE)))</f>
        <v xml:space="preserve">مقاولين </v>
      </c>
      <c r="N39" s="102" t="str">
        <f>IF(ISERROR(VLOOKUP(C39,'[1]خريطة الحسابات'!_xlnm.Print_Area,5,FALSE))," ",(VLOOKUP(C39,'[1]خريطة الحسابات'!_xlnm.Print_Area,5,FALSE)))</f>
        <v xml:space="preserve">الدائنون والأرصدة الدائنة الأخرى </v>
      </c>
      <c r="O39" s="103" t="s">
        <v>1289</v>
      </c>
      <c r="P39" s="103" t="s">
        <v>1290</v>
      </c>
    </row>
    <row r="40" spans="1:16">
      <c r="A40" s="104">
        <v>2</v>
      </c>
      <c r="B40" s="93">
        <v>46036</v>
      </c>
      <c r="C40" s="105">
        <v>4003</v>
      </c>
      <c r="D40" s="95" t="str">
        <f>IF(ISERROR(VLOOKUP(C40,'[1]خريطة الحسابات'!_xlnm.Print_Area,3,FALSE))," ",(VLOOKUP(C40,'[1]خريطة الحسابات'!_xlnm.Print_Area,3,FALSE)))</f>
        <v>سامي رخام</v>
      </c>
      <c r="E40" s="96"/>
      <c r="F40" s="97">
        <v>50020</v>
      </c>
      <c r="G40" s="97"/>
      <c r="H40" s="98">
        <f t="shared" si="0"/>
        <v>50020</v>
      </c>
      <c r="I40" s="98">
        <f t="shared" si="0"/>
        <v>0</v>
      </c>
      <c r="J40" s="98">
        <f t="shared" si="1"/>
        <v>50020</v>
      </c>
      <c r="K40" s="99"/>
      <c r="L40" s="100" t="str">
        <f t="shared" si="2"/>
        <v>مدين</v>
      </c>
      <c r="M40" s="101" t="str">
        <f>IF(ISERROR(VLOOKUP(C40,'[1]خريطة الحسابات'!_xlnm.Print_Area,4,FALSE))," ",(VLOOKUP(C40,'[1]خريطة الحسابات'!_xlnm.Print_Area,4,FALSE)))</f>
        <v xml:space="preserve">مقاولين </v>
      </c>
      <c r="N40" s="102" t="str">
        <f>IF(ISERROR(VLOOKUP(C40,'[1]خريطة الحسابات'!_xlnm.Print_Area,5,FALSE))," ",(VLOOKUP(C40,'[1]خريطة الحسابات'!_xlnm.Print_Area,5,FALSE)))</f>
        <v xml:space="preserve">الدائنون والأرصدة الدائنة الأخرى </v>
      </c>
      <c r="O40" s="103" t="s">
        <v>1291</v>
      </c>
      <c r="P40" s="103" t="s">
        <v>1292</v>
      </c>
    </row>
    <row r="41" spans="1:16">
      <c r="A41" s="104">
        <v>2</v>
      </c>
      <c r="B41" s="106">
        <v>46040</v>
      </c>
      <c r="C41" s="105">
        <v>4003</v>
      </c>
      <c r="D41" s="95" t="str">
        <f>IF(ISERROR(VLOOKUP(C41,'[1]خريطة الحسابات'!_xlnm.Print_Area,3,FALSE))," ",(VLOOKUP(C41,'[1]خريطة الحسابات'!_xlnm.Print_Area,3,FALSE)))</f>
        <v>سامي رخام</v>
      </c>
      <c r="E41" s="96"/>
      <c r="F41" s="97">
        <v>350000</v>
      </c>
      <c r="G41" s="97"/>
      <c r="H41" s="98">
        <f t="shared" si="0"/>
        <v>350000</v>
      </c>
      <c r="I41" s="98">
        <f t="shared" si="0"/>
        <v>0</v>
      </c>
      <c r="J41" s="98">
        <f t="shared" si="1"/>
        <v>350000</v>
      </c>
      <c r="K41" s="99"/>
      <c r="L41" s="100" t="str">
        <f t="shared" si="2"/>
        <v>مدين</v>
      </c>
      <c r="M41" s="101" t="str">
        <f>IF(ISERROR(VLOOKUP(C41,'[1]خريطة الحسابات'!_xlnm.Print_Area,4,FALSE))," ",(VLOOKUP(C41,'[1]خريطة الحسابات'!_xlnm.Print_Area,4,FALSE)))</f>
        <v xml:space="preserve">مقاولين </v>
      </c>
      <c r="N41" s="102" t="str">
        <f>IF(ISERROR(VLOOKUP(C41,'[1]خريطة الحسابات'!_xlnm.Print_Area,5,FALSE))," ",(VLOOKUP(C41,'[1]خريطة الحسابات'!_xlnm.Print_Area,5,FALSE)))</f>
        <v xml:space="preserve">الدائنون والأرصدة الدائنة الأخرى </v>
      </c>
      <c r="O41" s="103" t="s">
        <v>1293</v>
      </c>
      <c r="P41" s="103" t="s">
        <v>1292</v>
      </c>
    </row>
    <row r="42" spans="1:16">
      <c r="A42" s="104">
        <v>2</v>
      </c>
      <c r="B42" s="106">
        <v>46056</v>
      </c>
      <c r="C42" s="105">
        <v>4003</v>
      </c>
      <c r="D42" s="95" t="str">
        <f>IF(ISERROR(VLOOKUP(C42,'[1]خريطة الحسابات'!_xlnm.Print_Area,3,FALSE))," ",(VLOOKUP(C42,'[1]خريطة الحسابات'!_xlnm.Print_Area,3,FALSE)))</f>
        <v>سامي رخام</v>
      </c>
      <c r="E42" s="96"/>
      <c r="F42" s="97">
        <v>25000</v>
      </c>
      <c r="G42" s="97"/>
      <c r="H42" s="98">
        <f t="shared" si="0"/>
        <v>25000</v>
      </c>
      <c r="I42" s="98">
        <f t="shared" si="0"/>
        <v>0</v>
      </c>
      <c r="J42" s="98">
        <f t="shared" si="1"/>
        <v>25000</v>
      </c>
      <c r="K42" s="99"/>
      <c r="L42" s="100" t="str">
        <f t="shared" si="2"/>
        <v>مدين</v>
      </c>
      <c r="M42" s="101" t="str">
        <f>IF(ISERROR(VLOOKUP(C42,'[1]خريطة الحسابات'!_xlnm.Print_Area,4,FALSE))," ",(VLOOKUP(C42,'[1]خريطة الحسابات'!_xlnm.Print_Area,4,FALSE)))</f>
        <v xml:space="preserve">مقاولين </v>
      </c>
      <c r="N42" s="102" t="str">
        <f>IF(ISERROR(VLOOKUP(C42,'[1]خريطة الحسابات'!_xlnm.Print_Area,5,FALSE))," ",(VLOOKUP(C42,'[1]خريطة الحسابات'!_xlnm.Print_Area,5,FALSE)))</f>
        <v xml:space="preserve">الدائنون والأرصدة الدائنة الأخرى </v>
      </c>
      <c r="O42" s="103" t="s">
        <v>1294</v>
      </c>
      <c r="P42" s="103" t="s">
        <v>1295</v>
      </c>
    </row>
    <row r="43" spans="1:16">
      <c r="A43" s="104">
        <v>2</v>
      </c>
      <c r="B43" s="106">
        <v>46061</v>
      </c>
      <c r="C43" s="105">
        <v>4003</v>
      </c>
      <c r="D43" s="95" t="str">
        <f>IF(ISERROR(VLOOKUP(C43,'[1]خريطة الحسابات'!_xlnm.Print_Area,3,FALSE))," ",(VLOOKUP(C43,'[1]خريطة الحسابات'!_xlnm.Print_Area,3,FALSE)))</f>
        <v>سامي رخام</v>
      </c>
      <c r="E43" s="96"/>
      <c r="F43" s="97">
        <v>48020</v>
      </c>
      <c r="G43" s="97"/>
      <c r="H43" s="98">
        <f t="shared" si="0"/>
        <v>48020</v>
      </c>
      <c r="I43" s="98">
        <f t="shared" si="0"/>
        <v>0</v>
      </c>
      <c r="J43" s="98">
        <f t="shared" si="1"/>
        <v>48020</v>
      </c>
      <c r="K43" s="99"/>
      <c r="L43" s="100" t="str">
        <f t="shared" si="2"/>
        <v>مدين</v>
      </c>
      <c r="M43" s="101" t="str">
        <f>IF(ISERROR(VLOOKUP(C43,'[1]خريطة الحسابات'!_xlnm.Print_Area,4,FALSE))," ",(VLOOKUP(C43,'[1]خريطة الحسابات'!_xlnm.Print_Area,4,FALSE)))</f>
        <v xml:space="preserve">مقاولين </v>
      </c>
      <c r="N43" s="102" t="str">
        <f>IF(ISERROR(VLOOKUP(C43,'[1]خريطة الحسابات'!_xlnm.Print_Area,5,FALSE))," ",(VLOOKUP(C43,'[1]خريطة الحسابات'!_xlnm.Print_Area,5,FALSE)))</f>
        <v xml:space="preserve">الدائنون والأرصدة الدائنة الأخرى </v>
      </c>
      <c r="O43" s="103" t="s">
        <v>1296</v>
      </c>
      <c r="P43" s="103" t="s">
        <v>1297</v>
      </c>
    </row>
    <row r="44" spans="1:16">
      <c r="A44" s="104">
        <v>2</v>
      </c>
      <c r="B44" s="106">
        <v>46061</v>
      </c>
      <c r="C44" s="105">
        <v>4003</v>
      </c>
      <c r="D44" s="95" t="str">
        <f>IF(ISERROR(VLOOKUP(C44,'[1]خريطة الحسابات'!_xlnm.Print_Area,3,FALSE))," ",(VLOOKUP(C44,'[1]خريطة الحسابات'!_xlnm.Print_Area,3,FALSE)))</f>
        <v>سامي رخام</v>
      </c>
      <c r="E44" s="96"/>
      <c r="F44" s="97">
        <v>2000</v>
      </c>
      <c r="G44" s="97"/>
      <c r="H44" s="98">
        <f t="shared" si="0"/>
        <v>2000</v>
      </c>
      <c r="I44" s="98">
        <f t="shared" si="0"/>
        <v>0</v>
      </c>
      <c r="J44" s="98">
        <f t="shared" si="1"/>
        <v>2000</v>
      </c>
      <c r="K44" s="99"/>
      <c r="L44" s="100" t="str">
        <f t="shared" si="2"/>
        <v>مدين</v>
      </c>
      <c r="M44" s="101" t="str">
        <f>IF(ISERROR(VLOOKUP(C44,'[1]خريطة الحسابات'!_xlnm.Print_Area,4,FALSE))," ",(VLOOKUP(C44,'[1]خريطة الحسابات'!_xlnm.Print_Area,4,FALSE)))</f>
        <v xml:space="preserve">مقاولين </v>
      </c>
      <c r="N44" s="102" t="str">
        <f>IF(ISERROR(VLOOKUP(C44,'[1]خريطة الحسابات'!_xlnm.Print_Area,5,FALSE))," ",(VLOOKUP(C44,'[1]خريطة الحسابات'!_xlnm.Print_Area,5,FALSE)))</f>
        <v xml:space="preserve">الدائنون والأرصدة الدائنة الأخرى </v>
      </c>
      <c r="O44" s="103" t="s">
        <v>1298</v>
      </c>
      <c r="P44" s="103" t="s">
        <v>1299</v>
      </c>
    </row>
    <row r="45" spans="1:16">
      <c r="A45" s="104">
        <v>2</v>
      </c>
      <c r="B45" s="106">
        <v>46071</v>
      </c>
      <c r="C45" s="105">
        <v>4003</v>
      </c>
      <c r="D45" s="95" t="str">
        <f>IF(ISERROR(VLOOKUP(C45,'[1]خريطة الحسابات'!_xlnm.Print_Area,3,FALSE))," ",(VLOOKUP(C45,'[1]خريطة الحسابات'!_xlnm.Print_Area,3,FALSE)))</f>
        <v>سامي رخام</v>
      </c>
      <c r="E45" s="96"/>
      <c r="F45" s="97">
        <v>50000</v>
      </c>
      <c r="G45" s="97"/>
      <c r="H45" s="98">
        <f t="shared" si="0"/>
        <v>50000</v>
      </c>
      <c r="I45" s="98">
        <f t="shared" si="0"/>
        <v>0</v>
      </c>
      <c r="J45" s="98">
        <f t="shared" si="1"/>
        <v>50000</v>
      </c>
      <c r="K45" s="99"/>
      <c r="L45" s="100" t="str">
        <f t="shared" si="2"/>
        <v>مدين</v>
      </c>
      <c r="M45" s="101" t="str">
        <f>IF(ISERROR(VLOOKUP(C45,'[1]خريطة الحسابات'!_xlnm.Print_Area,4,FALSE))," ",(VLOOKUP(C45,'[1]خريطة الحسابات'!_xlnm.Print_Area,4,FALSE)))</f>
        <v xml:space="preserve">مقاولين </v>
      </c>
      <c r="N45" s="102" t="str">
        <f>IF(ISERROR(VLOOKUP(C45,'[1]خريطة الحسابات'!_xlnm.Print_Area,5,FALSE))," ",(VLOOKUP(C45,'[1]خريطة الحسابات'!_xlnm.Print_Area,5,FALSE)))</f>
        <v xml:space="preserve">الدائنون والأرصدة الدائنة الأخرى </v>
      </c>
      <c r="O45" s="103" t="s">
        <v>1300</v>
      </c>
      <c r="P45" s="103" t="s">
        <v>1292</v>
      </c>
    </row>
    <row r="46" spans="1:16">
      <c r="A46" s="104">
        <v>2</v>
      </c>
      <c r="B46" s="106">
        <v>46089</v>
      </c>
      <c r="C46" s="105">
        <v>4003</v>
      </c>
      <c r="D46" s="95" t="str">
        <f>IF(ISERROR(VLOOKUP(C46,'[1]خريطة الحسابات'!_xlnm.Print_Area,3,FALSE))," ",(VLOOKUP(C46,'[1]خريطة الحسابات'!_xlnm.Print_Area,3,FALSE)))</f>
        <v>سامي رخام</v>
      </c>
      <c r="E46" s="96"/>
      <c r="F46" s="97">
        <v>50000</v>
      </c>
      <c r="G46" s="97"/>
      <c r="H46" s="98">
        <f t="shared" si="0"/>
        <v>50000</v>
      </c>
      <c r="I46" s="98">
        <f t="shared" si="0"/>
        <v>0</v>
      </c>
      <c r="J46" s="98">
        <f t="shared" si="1"/>
        <v>50000</v>
      </c>
      <c r="K46" s="99"/>
      <c r="L46" s="100" t="str">
        <f t="shared" si="2"/>
        <v>مدين</v>
      </c>
      <c r="M46" s="101" t="str">
        <f>IF(ISERROR(VLOOKUP(C46,'[1]خريطة الحسابات'!_xlnm.Print_Area,4,FALSE))," ",(VLOOKUP(C46,'[1]خريطة الحسابات'!_xlnm.Print_Area,4,FALSE)))</f>
        <v xml:space="preserve">مقاولين </v>
      </c>
      <c r="N46" s="102" t="str">
        <f>IF(ISERROR(VLOOKUP(C46,'[1]خريطة الحسابات'!_xlnm.Print_Area,5,FALSE))," ",(VLOOKUP(C46,'[1]خريطة الحسابات'!_xlnm.Print_Area,5,FALSE)))</f>
        <v xml:space="preserve">الدائنون والأرصدة الدائنة الأخرى </v>
      </c>
      <c r="O46" s="103" t="s">
        <v>1301</v>
      </c>
      <c r="P46" s="103" t="s">
        <v>1290</v>
      </c>
    </row>
    <row r="47" spans="1:16">
      <c r="A47" s="104">
        <v>2</v>
      </c>
      <c r="B47" s="106">
        <v>46096</v>
      </c>
      <c r="C47" s="105">
        <v>4003</v>
      </c>
      <c r="D47" s="95" t="str">
        <f>IF(ISERROR(VLOOKUP(C47,'[1]خريطة الحسابات'!_xlnm.Print_Area,3,FALSE))," ",(VLOOKUP(C47,'[1]خريطة الحسابات'!_xlnm.Print_Area,3,FALSE)))</f>
        <v>سامي رخام</v>
      </c>
      <c r="E47" s="96"/>
      <c r="F47" s="97">
        <v>50000</v>
      </c>
      <c r="G47" s="97"/>
      <c r="H47" s="98">
        <f t="shared" si="0"/>
        <v>50000</v>
      </c>
      <c r="I47" s="98">
        <f t="shared" si="0"/>
        <v>0</v>
      </c>
      <c r="J47" s="98">
        <f t="shared" si="1"/>
        <v>50000</v>
      </c>
      <c r="K47" s="99"/>
      <c r="L47" s="100" t="str">
        <f t="shared" si="2"/>
        <v>مدين</v>
      </c>
      <c r="M47" s="101" t="str">
        <f>IF(ISERROR(VLOOKUP(C47,'[1]خريطة الحسابات'!_xlnm.Print_Area,4,FALSE))," ",(VLOOKUP(C47,'[1]خريطة الحسابات'!_xlnm.Print_Area,4,FALSE)))</f>
        <v xml:space="preserve">مقاولين </v>
      </c>
      <c r="N47" s="102" t="str">
        <f>IF(ISERROR(VLOOKUP(C47,'[1]خريطة الحسابات'!_xlnm.Print_Area,5,FALSE))," ",(VLOOKUP(C47,'[1]خريطة الحسابات'!_xlnm.Print_Area,5,FALSE)))</f>
        <v xml:space="preserve">الدائنون والأرصدة الدائنة الأخرى </v>
      </c>
      <c r="O47" s="103" t="s">
        <v>1302</v>
      </c>
      <c r="P47" s="103" t="s">
        <v>1292</v>
      </c>
    </row>
    <row r="48" spans="1:16">
      <c r="A48" s="104">
        <v>2</v>
      </c>
      <c r="B48" s="106">
        <v>46098</v>
      </c>
      <c r="C48" s="105">
        <v>4003</v>
      </c>
      <c r="D48" s="95" t="str">
        <f>IF(ISERROR(VLOOKUP(C48,'[1]خريطة الحسابات'!_xlnm.Print_Area,3,FALSE))," ",(VLOOKUP(C48,'[1]خريطة الحسابات'!_xlnm.Print_Area,3,FALSE)))</f>
        <v>سامي رخام</v>
      </c>
      <c r="E48" s="96"/>
      <c r="F48" s="97">
        <v>50000</v>
      </c>
      <c r="G48" s="97"/>
      <c r="H48" s="98">
        <f t="shared" si="0"/>
        <v>50000</v>
      </c>
      <c r="I48" s="98">
        <f t="shared" si="0"/>
        <v>0</v>
      </c>
      <c r="J48" s="98">
        <f t="shared" si="1"/>
        <v>50000</v>
      </c>
      <c r="K48" s="99"/>
      <c r="L48" s="100" t="str">
        <f t="shared" si="2"/>
        <v>مدين</v>
      </c>
      <c r="M48" s="101" t="str">
        <f>IF(ISERROR(VLOOKUP(C48,'[1]خريطة الحسابات'!_xlnm.Print_Area,4,FALSE))," ",(VLOOKUP(C48,'[1]خريطة الحسابات'!_xlnm.Print_Area,4,FALSE)))</f>
        <v xml:space="preserve">مقاولين </v>
      </c>
      <c r="N48" s="102" t="str">
        <f>IF(ISERROR(VLOOKUP(C48,'[1]خريطة الحسابات'!_xlnm.Print_Area,5,FALSE))," ",(VLOOKUP(C48,'[1]خريطة الحسابات'!_xlnm.Print_Area,5,FALSE)))</f>
        <v xml:space="preserve">الدائنون والأرصدة الدائنة الأخرى </v>
      </c>
      <c r="O48" s="103" t="s">
        <v>1303</v>
      </c>
      <c r="P48" s="103" t="s">
        <v>1304</v>
      </c>
    </row>
    <row r="49" spans="1:16">
      <c r="A49" s="104">
        <v>2</v>
      </c>
      <c r="B49" s="106">
        <v>46121</v>
      </c>
      <c r="C49" s="105">
        <v>4003</v>
      </c>
      <c r="D49" s="95" t="str">
        <f>IF(ISERROR(VLOOKUP(C49,'[1]خريطة الحسابات'!_xlnm.Print_Area,3,FALSE))," ",(VLOOKUP(C49,'[1]خريطة الحسابات'!_xlnm.Print_Area,3,FALSE)))</f>
        <v>سامي رخام</v>
      </c>
      <c r="E49" s="96"/>
      <c r="F49" s="97">
        <v>26000</v>
      </c>
      <c r="G49" s="97"/>
      <c r="H49" s="98">
        <f t="shared" si="0"/>
        <v>26000</v>
      </c>
      <c r="I49" s="98">
        <f t="shared" si="0"/>
        <v>0</v>
      </c>
      <c r="J49" s="98">
        <f t="shared" si="1"/>
        <v>26000</v>
      </c>
      <c r="K49" s="99"/>
      <c r="L49" s="100" t="str">
        <f t="shared" si="2"/>
        <v>مدين</v>
      </c>
      <c r="M49" s="101" t="str">
        <f>IF(ISERROR(VLOOKUP(C49,'[1]خريطة الحسابات'!_xlnm.Print_Area,4,FALSE))," ",(VLOOKUP(C49,'[1]خريطة الحسابات'!_xlnm.Print_Area,4,FALSE)))</f>
        <v xml:space="preserve">مقاولين </v>
      </c>
      <c r="N49" s="102" t="str">
        <f>IF(ISERROR(VLOOKUP(C49,'[1]خريطة الحسابات'!_xlnm.Print_Area,5,FALSE))," ",(VLOOKUP(C49,'[1]خريطة الحسابات'!_xlnm.Print_Area,5,FALSE)))</f>
        <v xml:space="preserve">الدائنون والأرصدة الدائنة الأخرى </v>
      </c>
      <c r="O49" s="103" t="s">
        <v>1305</v>
      </c>
      <c r="P49" s="103" t="s">
        <v>1304</v>
      </c>
    </row>
    <row r="50" spans="1:16">
      <c r="A50" s="104">
        <v>2</v>
      </c>
      <c r="B50" s="106">
        <v>46121</v>
      </c>
      <c r="C50" s="105">
        <v>4003</v>
      </c>
      <c r="D50" s="95" t="str">
        <f>IF(ISERROR(VLOOKUP(C50,'[1]خريطة الحسابات'!_xlnm.Print_Area,3,FALSE))," ",(VLOOKUP(C50,'[1]خريطة الحسابات'!_xlnm.Print_Area,3,FALSE)))</f>
        <v>سامي رخام</v>
      </c>
      <c r="E50" s="96"/>
      <c r="F50" s="97">
        <v>48000</v>
      </c>
      <c r="G50" s="97"/>
      <c r="H50" s="98">
        <f t="shared" si="0"/>
        <v>48000</v>
      </c>
      <c r="I50" s="98">
        <f t="shared" si="0"/>
        <v>0</v>
      </c>
      <c r="J50" s="98">
        <f t="shared" si="1"/>
        <v>48000</v>
      </c>
      <c r="K50" s="99"/>
      <c r="L50" s="100" t="str">
        <f t="shared" si="2"/>
        <v>مدين</v>
      </c>
      <c r="M50" s="101" t="str">
        <f>IF(ISERROR(VLOOKUP(C50,'[1]خريطة الحسابات'!_xlnm.Print_Area,4,FALSE))," ",(VLOOKUP(C50,'[1]خريطة الحسابات'!_xlnm.Print_Area,4,FALSE)))</f>
        <v xml:space="preserve">مقاولين </v>
      </c>
      <c r="N50" s="102" t="str">
        <f>IF(ISERROR(VLOOKUP(C50,'[1]خريطة الحسابات'!_xlnm.Print_Area,5,FALSE))," ",(VLOOKUP(C50,'[1]خريطة الحسابات'!_xlnm.Print_Area,5,FALSE)))</f>
        <v xml:space="preserve">الدائنون والأرصدة الدائنة الأخرى </v>
      </c>
      <c r="O50" s="103" t="s">
        <v>1302</v>
      </c>
      <c r="P50" s="103" t="s">
        <v>1292</v>
      </c>
    </row>
    <row r="51" spans="1:16">
      <c r="A51" s="104">
        <v>2</v>
      </c>
      <c r="B51" s="106">
        <v>46133</v>
      </c>
      <c r="C51" s="105">
        <v>4003</v>
      </c>
      <c r="D51" s="95" t="str">
        <f>IF(ISERROR(VLOOKUP(C51,'[1]خريطة الحسابات'!_xlnm.Print_Area,3,FALSE))," ",(VLOOKUP(C51,'[1]خريطة الحسابات'!_xlnm.Print_Area,3,FALSE)))</f>
        <v>سامي رخام</v>
      </c>
      <c r="E51" s="96"/>
      <c r="F51" s="97">
        <v>200000</v>
      </c>
      <c r="G51" s="97"/>
      <c r="H51" s="98">
        <f t="shared" si="0"/>
        <v>200000</v>
      </c>
      <c r="I51" s="98">
        <f t="shared" si="0"/>
        <v>0</v>
      </c>
      <c r="J51" s="98">
        <f t="shared" si="1"/>
        <v>200000</v>
      </c>
      <c r="K51" s="99"/>
      <c r="L51" s="100" t="str">
        <f t="shared" si="2"/>
        <v>مدين</v>
      </c>
      <c r="M51" s="101" t="str">
        <f>IF(ISERROR(VLOOKUP(C51,'[1]خريطة الحسابات'!_xlnm.Print_Area,4,FALSE))," ",(VLOOKUP(C51,'[1]خريطة الحسابات'!_xlnm.Print_Area,4,FALSE)))</f>
        <v xml:space="preserve">مقاولين </v>
      </c>
      <c r="N51" s="102" t="str">
        <f>IF(ISERROR(VLOOKUP(C51,'[1]خريطة الحسابات'!_xlnm.Print_Area,5,FALSE))," ",(VLOOKUP(C51,'[1]خريطة الحسابات'!_xlnm.Print_Area,5,FALSE)))</f>
        <v xml:space="preserve">الدائنون والأرصدة الدائنة الأخرى </v>
      </c>
      <c r="O51" s="103" t="s">
        <v>1306</v>
      </c>
      <c r="P51" s="103" t="s">
        <v>1290</v>
      </c>
    </row>
    <row r="52" spans="1:16">
      <c r="A52" s="104">
        <v>2</v>
      </c>
      <c r="B52" s="106">
        <v>46146</v>
      </c>
      <c r="C52" s="105">
        <v>4003</v>
      </c>
      <c r="D52" s="95" t="str">
        <f>IF(ISERROR(VLOOKUP(C52,'[1]خريطة الحسابات'!_xlnm.Print_Area,3,FALSE))," ",(VLOOKUP(C52,'[1]خريطة الحسابات'!_xlnm.Print_Area,3,FALSE)))</f>
        <v>سامي رخام</v>
      </c>
      <c r="E52" s="96"/>
      <c r="F52" s="97">
        <v>250000</v>
      </c>
      <c r="G52" s="97"/>
      <c r="H52" s="98">
        <f t="shared" si="0"/>
        <v>250000</v>
      </c>
      <c r="I52" s="98">
        <f t="shared" si="0"/>
        <v>0</v>
      </c>
      <c r="J52" s="98">
        <f t="shared" si="1"/>
        <v>250000</v>
      </c>
      <c r="K52" s="99"/>
      <c r="L52" s="100" t="str">
        <f t="shared" si="2"/>
        <v>مدين</v>
      </c>
      <c r="M52" s="101" t="str">
        <f>IF(ISERROR(VLOOKUP(C52,'[1]خريطة الحسابات'!_xlnm.Print_Area,4,FALSE))," ",(VLOOKUP(C52,'[1]خريطة الحسابات'!_xlnm.Print_Area,4,FALSE)))</f>
        <v xml:space="preserve">مقاولين </v>
      </c>
      <c r="N52" s="102" t="str">
        <f>IF(ISERROR(VLOOKUP(C52,'[1]خريطة الحسابات'!_xlnm.Print_Area,5,FALSE))," ",(VLOOKUP(C52,'[1]خريطة الحسابات'!_xlnm.Print_Area,5,FALSE)))</f>
        <v xml:space="preserve">الدائنون والأرصدة الدائنة الأخرى </v>
      </c>
      <c r="O52" s="103" t="s">
        <v>1307</v>
      </c>
      <c r="P52" s="103" t="s">
        <v>1292</v>
      </c>
    </row>
    <row r="53" spans="1:16">
      <c r="A53" s="104">
        <v>2</v>
      </c>
      <c r="B53" s="106">
        <v>46167</v>
      </c>
      <c r="C53" s="105">
        <v>4003</v>
      </c>
      <c r="D53" s="95" t="str">
        <f>IF(ISERROR(VLOOKUP(C53,'[1]خريطة الحسابات'!_xlnm.Print_Area,3,FALSE))," ",(VLOOKUP(C53,'[1]خريطة الحسابات'!_xlnm.Print_Area,3,FALSE)))</f>
        <v>سامي رخام</v>
      </c>
      <c r="E53" s="96"/>
      <c r="F53" s="97">
        <v>120000</v>
      </c>
      <c r="G53" s="97"/>
      <c r="H53" s="98">
        <f t="shared" si="0"/>
        <v>120000</v>
      </c>
      <c r="I53" s="98">
        <f t="shared" si="0"/>
        <v>0</v>
      </c>
      <c r="J53" s="98">
        <f t="shared" si="1"/>
        <v>120000</v>
      </c>
      <c r="K53" s="99"/>
      <c r="L53" s="100" t="str">
        <f t="shared" si="2"/>
        <v>مدين</v>
      </c>
      <c r="M53" s="101" t="str">
        <f>IF(ISERROR(VLOOKUP(C53,'[1]خريطة الحسابات'!_xlnm.Print_Area,4,FALSE))," ",(VLOOKUP(C53,'[1]خريطة الحسابات'!_xlnm.Print_Area,4,FALSE)))</f>
        <v xml:space="preserve">مقاولين </v>
      </c>
      <c r="N53" s="102" t="str">
        <f>IF(ISERROR(VLOOKUP(C53,'[1]خريطة الحسابات'!_xlnm.Print_Area,5,FALSE))," ",(VLOOKUP(C53,'[1]خريطة الحسابات'!_xlnm.Print_Area,5,FALSE)))</f>
        <v xml:space="preserve">الدائنون والأرصدة الدائنة الأخرى </v>
      </c>
      <c r="O53" s="103" t="s">
        <v>1308</v>
      </c>
      <c r="P53" s="103" t="s">
        <v>1290</v>
      </c>
    </row>
    <row r="54" spans="1:16">
      <c r="A54" s="104">
        <v>2</v>
      </c>
      <c r="B54" s="106">
        <v>46168</v>
      </c>
      <c r="C54" s="105">
        <v>4003</v>
      </c>
      <c r="D54" s="95" t="str">
        <f>IF(ISERROR(VLOOKUP(C54,'[1]خريطة الحسابات'!_xlnm.Print_Area,3,FALSE))," ",(VLOOKUP(C54,'[1]خريطة الحسابات'!_xlnm.Print_Area,3,FALSE)))</f>
        <v>سامي رخام</v>
      </c>
      <c r="E54" s="96"/>
      <c r="F54" s="97">
        <v>50000</v>
      </c>
      <c r="G54" s="97"/>
      <c r="H54" s="98">
        <f t="shared" si="0"/>
        <v>50000</v>
      </c>
      <c r="I54" s="98">
        <f t="shared" si="0"/>
        <v>0</v>
      </c>
      <c r="J54" s="98">
        <f t="shared" si="1"/>
        <v>50000</v>
      </c>
      <c r="K54" s="99"/>
      <c r="L54" s="100" t="str">
        <f t="shared" si="2"/>
        <v>مدين</v>
      </c>
      <c r="M54" s="101" t="str">
        <f>IF(ISERROR(VLOOKUP(C54,'[1]خريطة الحسابات'!_xlnm.Print_Area,4,FALSE))," ",(VLOOKUP(C54,'[1]خريطة الحسابات'!_xlnm.Print_Area,4,FALSE)))</f>
        <v xml:space="preserve">مقاولين </v>
      </c>
      <c r="N54" s="102" t="str">
        <f>IF(ISERROR(VLOOKUP(C54,'[1]خريطة الحسابات'!_xlnm.Print_Area,5,FALSE))," ",(VLOOKUP(C54,'[1]خريطة الحسابات'!_xlnm.Print_Area,5,FALSE)))</f>
        <v xml:space="preserve">الدائنون والأرصدة الدائنة الأخرى </v>
      </c>
      <c r="O54" s="103" t="s">
        <v>1308</v>
      </c>
      <c r="P54" s="103" t="s">
        <v>1292</v>
      </c>
    </row>
    <row r="55" spans="1:16">
      <c r="A55" s="104">
        <v>2</v>
      </c>
      <c r="B55" s="106">
        <v>46184</v>
      </c>
      <c r="C55" s="105">
        <v>4003</v>
      </c>
      <c r="D55" s="95" t="str">
        <f>IF(ISERROR(VLOOKUP(C55,'[1]خريطة الحسابات'!_xlnm.Print_Area,3,FALSE))," ",(VLOOKUP(C55,'[1]خريطة الحسابات'!_xlnm.Print_Area,3,FALSE)))</f>
        <v>سامي رخام</v>
      </c>
      <c r="E55" s="96"/>
      <c r="F55" s="97">
        <v>50000</v>
      </c>
      <c r="G55" s="97"/>
      <c r="H55" s="98">
        <f t="shared" si="0"/>
        <v>50000</v>
      </c>
      <c r="I55" s="98">
        <f t="shared" si="0"/>
        <v>0</v>
      </c>
      <c r="J55" s="98">
        <f t="shared" si="1"/>
        <v>50000</v>
      </c>
      <c r="K55" s="99"/>
      <c r="L55" s="100" t="str">
        <f t="shared" si="2"/>
        <v>مدين</v>
      </c>
      <c r="M55" s="101" t="str">
        <f>IF(ISERROR(VLOOKUP(C55,'[1]خريطة الحسابات'!_xlnm.Print_Area,4,FALSE))," ",(VLOOKUP(C55,'[1]خريطة الحسابات'!_xlnm.Print_Area,4,FALSE)))</f>
        <v xml:space="preserve">مقاولين </v>
      </c>
      <c r="N55" s="102" t="str">
        <f>IF(ISERROR(VLOOKUP(C55,'[1]خريطة الحسابات'!_xlnm.Print_Area,5,FALSE))," ",(VLOOKUP(C55,'[1]خريطة الحسابات'!_xlnm.Print_Area,5,FALSE)))</f>
        <v xml:space="preserve">الدائنون والأرصدة الدائنة الأخرى </v>
      </c>
      <c r="O55" s="103" t="s">
        <v>1302</v>
      </c>
      <c r="P55" s="103" t="s">
        <v>1290</v>
      </c>
    </row>
    <row r="56" spans="1:16">
      <c r="A56" s="104">
        <v>2</v>
      </c>
      <c r="B56" s="106">
        <v>46184</v>
      </c>
      <c r="C56" s="105">
        <v>4003</v>
      </c>
      <c r="D56" s="95" t="str">
        <f>IF(ISERROR(VLOOKUP(C56,'[1]خريطة الحسابات'!_xlnm.Print_Area,3,FALSE))," ",(VLOOKUP(C56,'[1]خريطة الحسابات'!_xlnm.Print_Area,3,FALSE)))</f>
        <v>سامي رخام</v>
      </c>
      <c r="E56" s="96"/>
      <c r="F56" s="97">
        <v>50000</v>
      </c>
      <c r="G56" s="97"/>
      <c r="H56" s="98">
        <f t="shared" si="0"/>
        <v>50000</v>
      </c>
      <c r="I56" s="98">
        <f t="shared" si="0"/>
        <v>0</v>
      </c>
      <c r="J56" s="98">
        <f t="shared" si="1"/>
        <v>50000</v>
      </c>
      <c r="K56" s="99"/>
      <c r="L56" s="100" t="str">
        <f t="shared" si="2"/>
        <v>مدين</v>
      </c>
      <c r="M56" s="101" t="str">
        <f>IF(ISERROR(VLOOKUP(C56,'[1]خريطة الحسابات'!_xlnm.Print_Area,4,FALSE))," ",(VLOOKUP(C56,'[1]خريطة الحسابات'!_xlnm.Print_Area,4,FALSE)))</f>
        <v xml:space="preserve">مقاولين </v>
      </c>
      <c r="N56" s="102" t="str">
        <f>IF(ISERROR(VLOOKUP(C56,'[1]خريطة الحسابات'!_xlnm.Print_Area,5,FALSE))," ",(VLOOKUP(C56,'[1]خريطة الحسابات'!_xlnm.Print_Area,5,FALSE)))</f>
        <v xml:space="preserve">الدائنون والأرصدة الدائنة الأخرى </v>
      </c>
      <c r="O56" s="103" t="s">
        <v>1302</v>
      </c>
      <c r="P56" s="103" t="s">
        <v>1292</v>
      </c>
    </row>
    <row r="57" spans="1:16">
      <c r="A57" s="104">
        <v>2</v>
      </c>
      <c r="B57" s="93">
        <v>46027</v>
      </c>
      <c r="C57" s="105">
        <v>20</v>
      </c>
      <c r="D57" s="95" t="str">
        <f>IF(ISERROR(VLOOKUP(C57,'[1]خريطة الحسابات'!_xlnm.Print_Area,3,FALSE))," ",(VLOOKUP(C57,'[1]خريطة الحسابات'!_xlnm.Print_Area,3,FALSE)))</f>
        <v xml:space="preserve">الخزينة </v>
      </c>
      <c r="E57" s="96"/>
      <c r="F57" s="97"/>
      <c r="G57" s="97">
        <v>50000</v>
      </c>
      <c r="H57" s="98">
        <f t="shared" si="0"/>
        <v>0</v>
      </c>
      <c r="I57" s="98">
        <f t="shared" si="0"/>
        <v>50000</v>
      </c>
      <c r="J57" s="98">
        <f t="shared" si="1"/>
        <v>-50000</v>
      </c>
      <c r="K57" s="99"/>
      <c r="L57" s="100" t="str">
        <f t="shared" si="2"/>
        <v>دائن</v>
      </c>
      <c r="M57" s="101" t="str">
        <f>IF(ISERROR(VLOOKUP(C57,'[1]خريطة الحسابات'!_xlnm.Print_Area,4,FALSE))," ",(VLOOKUP(C57,'[1]خريطة الحسابات'!_xlnm.Print_Area,4,FALSE)))</f>
        <v xml:space="preserve">أصول متداوله -النقدية ومافي حكمها </v>
      </c>
      <c r="N57" s="102" t="str">
        <f>IF(ISERROR(VLOOKUP(C57,'[1]خريطة الحسابات'!_xlnm.Print_Area,5,FALSE))," ",(VLOOKUP(C57,'[1]خريطة الحسابات'!_xlnm.Print_Area,5,FALSE)))</f>
        <v>الاصول</v>
      </c>
      <c r="O57" s="103" t="s">
        <v>1289</v>
      </c>
      <c r="P57" s="103" t="s">
        <v>1290</v>
      </c>
    </row>
    <row r="58" spans="1:16">
      <c r="A58" s="104">
        <v>2</v>
      </c>
      <c r="B58" s="93">
        <v>46036</v>
      </c>
      <c r="C58" s="105">
        <v>20</v>
      </c>
      <c r="D58" s="95" t="str">
        <f>IF(ISERROR(VLOOKUP(C58,'[1]خريطة الحسابات'!_xlnm.Print_Area,3,FALSE))," ",(VLOOKUP(C58,'[1]خريطة الحسابات'!_xlnm.Print_Area,3,FALSE)))</f>
        <v xml:space="preserve">الخزينة </v>
      </c>
      <c r="E58" s="96"/>
      <c r="F58" s="97"/>
      <c r="G58" s="97">
        <v>50020</v>
      </c>
      <c r="H58" s="98">
        <f t="shared" si="0"/>
        <v>0</v>
      </c>
      <c r="I58" s="98">
        <f t="shared" si="0"/>
        <v>50020</v>
      </c>
      <c r="J58" s="98">
        <f t="shared" si="1"/>
        <v>-50020</v>
      </c>
      <c r="K58" s="99"/>
      <c r="L58" s="100" t="str">
        <f t="shared" si="2"/>
        <v>دائن</v>
      </c>
      <c r="M58" s="101" t="str">
        <f>IF(ISERROR(VLOOKUP(C58,'[1]خريطة الحسابات'!_xlnm.Print_Area,4,FALSE))," ",(VLOOKUP(C58,'[1]خريطة الحسابات'!_xlnm.Print_Area,4,FALSE)))</f>
        <v xml:space="preserve">أصول متداوله -النقدية ومافي حكمها </v>
      </c>
      <c r="N58" s="102" t="str">
        <f>IF(ISERROR(VLOOKUP(C58,'[1]خريطة الحسابات'!_xlnm.Print_Area,5,FALSE))," ",(VLOOKUP(C58,'[1]خريطة الحسابات'!_xlnm.Print_Area,5,FALSE)))</f>
        <v>الاصول</v>
      </c>
      <c r="O58" s="103" t="s">
        <v>1291</v>
      </c>
      <c r="P58" s="103" t="s">
        <v>1292</v>
      </c>
    </row>
    <row r="59" spans="1:16">
      <c r="A59" s="104">
        <v>2</v>
      </c>
      <c r="B59" s="106">
        <v>46040</v>
      </c>
      <c r="C59" s="105">
        <v>20</v>
      </c>
      <c r="D59" s="95" t="str">
        <f>IF(ISERROR(VLOOKUP(C59,'[1]خريطة الحسابات'!_xlnm.Print_Area,3,FALSE))," ",(VLOOKUP(C59,'[1]خريطة الحسابات'!_xlnm.Print_Area,3,FALSE)))</f>
        <v xml:space="preserve">الخزينة </v>
      </c>
      <c r="E59" s="96"/>
      <c r="F59" s="97"/>
      <c r="G59" s="97">
        <v>350000</v>
      </c>
      <c r="H59" s="98">
        <f t="shared" si="0"/>
        <v>0</v>
      </c>
      <c r="I59" s="98">
        <f t="shared" si="0"/>
        <v>350000</v>
      </c>
      <c r="J59" s="98">
        <f t="shared" si="1"/>
        <v>-350000</v>
      </c>
      <c r="K59" s="99"/>
      <c r="L59" s="100" t="str">
        <f t="shared" si="2"/>
        <v>دائن</v>
      </c>
      <c r="M59" s="101" t="str">
        <f>IF(ISERROR(VLOOKUP(C59,'[1]خريطة الحسابات'!_xlnm.Print_Area,4,FALSE))," ",(VLOOKUP(C59,'[1]خريطة الحسابات'!_xlnm.Print_Area,4,FALSE)))</f>
        <v xml:space="preserve">أصول متداوله -النقدية ومافي حكمها </v>
      </c>
      <c r="N59" s="102" t="str">
        <f>IF(ISERROR(VLOOKUP(C59,'[1]خريطة الحسابات'!_xlnm.Print_Area,5,FALSE))," ",(VLOOKUP(C59,'[1]خريطة الحسابات'!_xlnm.Print_Area,5,FALSE)))</f>
        <v>الاصول</v>
      </c>
      <c r="O59" s="103" t="s">
        <v>1293</v>
      </c>
      <c r="P59" s="103" t="s">
        <v>1292</v>
      </c>
    </row>
    <row r="60" spans="1:16">
      <c r="A60" s="104">
        <v>2</v>
      </c>
      <c r="B60" s="106">
        <v>46056</v>
      </c>
      <c r="C60" s="105">
        <v>20</v>
      </c>
      <c r="D60" s="95" t="str">
        <f>IF(ISERROR(VLOOKUP(C60,'[1]خريطة الحسابات'!_xlnm.Print_Area,3,FALSE))," ",(VLOOKUP(C60,'[1]خريطة الحسابات'!_xlnm.Print_Area,3,FALSE)))</f>
        <v xml:space="preserve">الخزينة </v>
      </c>
      <c r="E60" s="96"/>
      <c r="F60" s="97"/>
      <c r="G60" s="97">
        <v>25000</v>
      </c>
      <c r="H60" s="98">
        <f t="shared" si="0"/>
        <v>0</v>
      </c>
      <c r="I60" s="98">
        <f t="shared" si="0"/>
        <v>25000</v>
      </c>
      <c r="J60" s="98">
        <f t="shared" si="1"/>
        <v>-25000</v>
      </c>
      <c r="K60" s="99"/>
      <c r="L60" s="100" t="str">
        <f t="shared" si="2"/>
        <v>دائن</v>
      </c>
      <c r="M60" s="101" t="str">
        <f>IF(ISERROR(VLOOKUP(C60,'[1]خريطة الحسابات'!_xlnm.Print_Area,4,FALSE))," ",(VLOOKUP(C60,'[1]خريطة الحسابات'!_xlnm.Print_Area,4,FALSE)))</f>
        <v xml:space="preserve">أصول متداوله -النقدية ومافي حكمها </v>
      </c>
      <c r="N60" s="102" t="str">
        <f>IF(ISERROR(VLOOKUP(C60,'[1]خريطة الحسابات'!_xlnm.Print_Area,5,FALSE))," ",(VLOOKUP(C60,'[1]خريطة الحسابات'!_xlnm.Print_Area,5,FALSE)))</f>
        <v>الاصول</v>
      </c>
      <c r="O60" s="103" t="s">
        <v>1294</v>
      </c>
      <c r="P60" s="103" t="s">
        <v>1295</v>
      </c>
    </row>
    <row r="61" spans="1:16">
      <c r="A61" s="104">
        <v>2</v>
      </c>
      <c r="B61" s="106">
        <v>46061</v>
      </c>
      <c r="C61" s="105">
        <v>20</v>
      </c>
      <c r="D61" s="95" t="str">
        <f>IF(ISERROR(VLOOKUP(C61,'[1]خريطة الحسابات'!_xlnm.Print_Area,3,FALSE))," ",(VLOOKUP(C61,'[1]خريطة الحسابات'!_xlnm.Print_Area,3,FALSE)))</f>
        <v xml:space="preserve">الخزينة </v>
      </c>
      <c r="E61" s="96"/>
      <c r="F61" s="97"/>
      <c r="G61" s="97">
        <v>48020</v>
      </c>
      <c r="H61" s="98">
        <f t="shared" si="0"/>
        <v>0</v>
      </c>
      <c r="I61" s="98">
        <f t="shared" si="0"/>
        <v>48020</v>
      </c>
      <c r="J61" s="98">
        <f t="shared" si="1"/>
        <v>-48020</v>
      </c>
      <c r="K61" s="99"/>
      <c r="L61" s="100" t="str">
        <f t="shared" si="2"/>
        <v>دائن</v>
      </c>
      <c r="M61" s="101" t="str">
        <f>IF(ISERROR(VLOOKUP(C61,'[1]خريطة الحسابات'!_xlnm.Print_Area,4,FALSE))," ",(VLOOKUP(C61,'[1]خريطة الحسابات'!_xlnm.Print_Area,4,FALSE)))</f>
        <v xml:space="preserve">أصول متداوله -النقدية ومافي حكمها </v>
      </c>
      <c r="N61" s="102" t="str">
        <f>IF(ISERROR(VLOOKUP(C61,'[1]خريطة الحسابات'!_xlnm.Print_Area,5,FALSE))," ",(VLOOKUP(C61,'[1]خريطة الحسابات'!_xlnm.Print_Area,5,FALSE)))</f>
        <v>الاصول</v>
      </c>
      <c r="O61" s="103" t="s">
        <v>1296</v>
      </c>
      <c r="P61" s="103" t="s">
        <v>1297</v>
      </c>
    </row>
    <row r="62" spans="1:16">
      <c r="A62" s="104">
        <v>2</v>
      </c>
      <c r="B62" s="106">
        <v>46061</v>
      </c>
      <c r="C62" s="105">
        <v>20</v>
      </c>
      <c r="D62" s="95" t="str">
        <f>IF(ISERROR(VLOOKUP(C62,'[1]خريطة الحسابات'!_xlnm.Print_Area,3,FALSE))," ",(VLOOKUP(C62,'[1]خريطة الحسابات'!_xlnm.Print_Area,3,FALSE)))</f>
        <v xml:space="preserve">الخزينة </v>
      </c>
      <c r="E62" s="96"/>
      <c r="F62" s="97"/>
      <c r="G62" s="97">
        <v>2000</v>
      </c>
      <c r="H62" s="98">
        <f t="shared" si="0"/>
        <v>0</v>
      </c>
      <c r="I62" s="98">
        <f t="shared" si="0"/>
        <v>2000</v>
      </c>
      <c r="J62" s="98">
        <f t="shared" si="1"/>
        <v>-2000</v>
      </c>
      <c r="K62" s="99"/>
      <c r="L62" s="100" t="str">
        <f t="shared" si="2"/>
        <v>دائن</v>
      </c>
      <c r="M62" s="101" t="str">
        <f>IF(ISERROR(VLOOKUP(C62,'[1]خريطة الحسابات'!_xlnm.Print_Area,4,FALSE))," ",(VLOOKUP(C62,'[1]خريطة الحسابات'!_xlnm.Print_Area,4,FALSE)))</f>
        <v xml:space="preserve">أصول متداوله -النقدية ومافي حكمها </v>
      </c>
      <c r="N62" s="102" t="str">
        <f>IF(ISERROR(VLOOKUP(C62,'[1]خريطة الحسابات'!_xlnm.Print_Area,5,FALSE))," ",(VLOOKUP(C62,'[1]خريطة الحسابات'!_xlnm.Print_Area,5,FALSE)))</f>
        <v>الاصول</v>
      </c>
      <c r="O62" s="103" t="s">
        <v>1298</v>
      </c>
      <c r="P62" s="103" t="s">
        <v>1299</v>
      </c>
    </row>
    <row r="63" spans="1:16">
      <c r="A63" s="104">
        <v>2</v>
      </c>
      <c r="B63" s="106">
        <v>46071</v>
      </c>
      <c r="C63" s="105">
        <v>20</v>
      </c>
      <c r="D63" s="95" t="str">
        <f>IF(ISERROR(VLOOKUP(C63,'[1]خريطة الحسابات'!_xlnm.Print_Area,3,FALSE))," ",(VLOOKUP(C63,'[1]خريطة الحسابات'!_xlnm.Print_Area,3,FALSE)))</f>
        <v xml:space="preserve">الخزينة </v>
      </c>
      <c r="E63" s="96"/>
      <c r="F63" s="97"/>
      <c r="G63" s="97">
        <v>50000</v>
      </c>
      <c r="H63" s="98">
        <f t="shared" si="0"/>
        <v>0</v>
      </c>
      <c r="I63" s="98">
        <f t="shared" si="0"/>
        <v>50000</v>
      </c>
      <c r="J63" s="98">
        <f t="shared" si="1"/>
        <v>-50000</v>
      </c>
      <c r="K63" s="99"/>
      <c r="L63" s="100" t="str">
        <f t="shared" si="2"/>
        <v>دائن</v>
      </c>
      <c r="M63" s="101" t="str">
        <f>IF(ISERROR(VLOOKUP(C63,'[1]خريطة الحسابات'!_xlnm.Print_Area,4,FALSE))," ",(VLOOKUP(C63,'[1]خريطة الحسابات'!_xlnm.Print_Area,4,FALSE)))</f>
        <v xml:space="preserve">أصول متداوله -النقدية ومافي حكمها </v>
      </c>
      <c r="N63" s="102" t="str">
        <f>IF(ISERROR(VLOOKUP(C63,'[1]خريطة الحسابات'!_xlnm.Print_Area,5,FALSE))," ",(VLOOKUP(C63,'[1]خريطة الحسابات'!_xlnm.Print_Area,5,FALSE)))</f>
        <v>الاصول</v>
      </c>
      <c r="O63" s="103" t="s">
        <v>1300</v>
      </c>
      <c r="P63" s="103" t="s">
        <v>1292</v>
      </c>
    </row>
    <row r="64" spans="1:16">
      <c r="A64" s="104">
        <v>2</v>
      </c>
      <c r="B64" s="106">
        <v>46089</v>
      </c>
      <c r="C64" s="105">
        <v>20</v>
      </c>
      <c r="D64" s="95" t="str">
        <f>IF(ISERROR(VLOOKUP(C64,'[1]خريطة الحسابات'!_xlnm.Print_Area,3,FALSE))," ",(VLOOKUP(C64,'[1]خريطة الحسابات'!_xlnm.Print_Area,3,FALSE)))</f>
        <v xml:space="preserve">الخزينة </v>
      </c>
      <c r="E64" s="96"/>
      <c r="F64" s="97"/>
      <c r="G64" s="97">
        <v>50000</v>
      </c>
      <c r="H64" s="98">
        <f t="shared" si="0"/>
        <v>0</v>
      </c>
      <c r="I64" s="98">
        <f t="shared" si="0"/>
        <v>50000</v>
      </c>
      <c r="J64" s="98">
        <f t="shared" si="1"/>
        <v>-50000</v>
      </c>
      <c r="K64" s="99"/>
      <c r="L64" s="100" t="str">
        <f t="shared" si="2"/>
        <v>دائن</v>
      </c>
      <c r="M64" s="101" t="str">
        <f>IF(ISERROR(VLOOKUP(C64,'[1]خريطة الحسابات'!_xlnm.Print_Area,4,FALSE))," ",(VLOOKUP(C64,'[1]خريطة الحسابات'!_xlnm.Print_Area,4,FALSE)))</f>
        <v xml:space="preserve">أصول متداوله -النقدية ومافي حكمها </v>
      </c>
      <c r="N64" s="102" t="str">
        <f>IF(ISERROR(VLOOKUP(C64,'[1]خريطة الحسابات'!_xlnm.Print_Area,5,FALSE))," ",(VLOOKUP(C64,'[1]خريطة الحسابات'!_xlnm.Print_Area,5,FALSE)))</f>
        <v>الاصول</v>
      </c>
      <c r="O64" s="103" t="s">
        <v>1301</v>
      </c>
      <c r="P64" s="103" t="s">
        <v>1290</v>
      </c>
    </row>
    <row r="65" spans="1:16">
      <c r="A65" s="104">
        <v>2</v>
      </c>
      <c r="B65" s="106">
        <v>46096</v>
      </c>
      <c r="C65" s="105">
        <v>20</v>
      </c>
      <c r="D65" s="95" t="str">
        <f>IF(ISERROR(VLOOKUP(C65,'[1]خريطة الحسابات'!_xlnm.Print_Area,3,FALSE))," ",(VLOOKUP(C65,'[1]خريطة الحسابات'!_xlnm.Print_Area,3,FALSE)))</f>
        <v xml:space="preserve">الخزينة </v>
      </c>
      <c r="E65" s="96"/>
      <c r="F65" s="97"/>
      <c r="G65" s="97">
        <v>50000</v>
      </c>
      <c r="H65" s="98">
        <f t="shared" si="0"/>
        <v>0</v>
      </c>
      <c r="I65" s="98">
        <f t="shared" si="0"/>
        <v>50000</v>
      </c>
      <c r="J65" s="98">
        <f t="shared" si="1"/>
        <v>-50000</v>
      </c>
      <c r="K65" s="99"/>
      <c r="L65" s="100" t="str">
        <f t="shared" si="2"/>
        <v>دائن</v>
      </c>
      <c r="M65" s="101" t="str">
        <f>IF(ISERROR(VLOOKUP(C65,'[1]خريطة الحسابات'!_xlnm.Print_Area,4,FALSE))," ",(VLOOKUP(C65,'[1]خريطة الحسابات'!_xlnm.Print_Area,4,FALSE)))</f>
        <v xml:space="preserve">أصول متداوله -النقدية ومافي حكمها </v>
      </c>
      <c r="N65" s="102" t="str">
        <f>IF(ISERROR(VLOOKUP(C65,'[1]خريطة الحسابات'!_xlnm.Print_Area,5,FALSE))," ",(VLOOKUP(C65,'[1]خريطة الحسابات'!_xlnm.Print_Area,5,FALSE)))</f>
        <v>الاصول</v>
      </c>
      <c r="O65" s="103" t="s">
        <v>1302</v>
      </c>
      <c r="P65" s="103" t="s">
        <v>1292</v>
      </c>
    </row>
    <row r="66" spans="1:16">
      <c r="A66" s="104">
        <v>2</v>
      </c>
      <c r="B66" s="106">
        <v>46098</v>
      </c>
      <c r="C66" s="105">
        <v>20</v>
      </c>
      <c r="D66" s="95" t="str">
        <f>IF(ISERROR(VLOOKUP(C66,'[1]خريطة الحسابات'!_xlnm.Print_Area,3,FALSE))," ",(VLOOKUP(C66,'[1]خريطة الحسابات'!_xlnm.Print_Area,3,FALSE)))</f>
        <v xml:space="preserve">الخزينة </v>
      </c>
      <c r="E66" s="96"/>
      <c r="F66" s="97"/>
      <c r="G66" s="97">
        <v>50000</v>
      </c>
      <c r="H66" s="98">
        <f t="shared" si="0"/>
        <v>0</v>
      </c>
      <c r="I66" s="98">
        <f t="shared" si="0"/>
        <v>50000</v>
      </c>
      <c r="J66" s="98">
        <f t="shared" si="1"/>
        <v>-50000</v>
      </c>
      <c r="K66" s="99"/>
      <c r="L66" s="100" t="str">
        <f t="shared" si="2"/>
        <v>دائن</v>
      </c>
      <c r="M66" s="101" t="str">
        <f>IF(ISERROR(VLOOKUP(C66,'[1]خريطة الحسابات'!_xlnm.Print_Area,4,FALSE))," ",(VLOOKUP(C66,'[1]خريطة الحسابات'!_xlnm.Print_Area,4,FALSE)))</f>
        <v xml:space="preserve">أصول متداوله -النقدية ومافي حكمها </v>
      </c>
      <c r="N66" s="102" t="str">
        <f>IF(ISERROR(VLOOKUP(C66,'[1]خريطة الحسابات'!_xlnm.Print_Area,5,FALSE))," ",(VLOOKUP(C66,'[1]خريطة الحسابات'!_xlnm.Print_Area,5,FALSE)))</f>
        <v>الاصول</v>
      </c>
      <c r="O66" s="103" t="s">
        <v>1303</v>
      </c>
      <c r="P66" s="103" t="s">
        <v>1304</v>
      </c>
    </row>
    <row r="67" spans="1:16">
      <c r="A67" s="104">
        <v>2</v>
      </c>
      <c r="B67" s="106">
        <v>46121</v>
      </c>
      <c r="C67" s="105">
        <v>20</v>
      </c>
      <c r="D67" s="95" t="str">
        <f>IF(ISERROR(VLOOKUP(C67,'[1]خريطة الحسابات'!_xlnm.Print_Area,3,FALSE))," ",(VLOOKUP(C67,'[1]خريطة الحسابات'!_xlnm.Print_Area,3,FALSE)))</f>
        <v xml:space="preserve">الخزينة </v>
      </c>
      <c r="E67" s="96"/>
      <c r="F67" s="97"/>
      <c r="G67" s="97">
        <v>26000</v>
      </c>
      <c r="H67" s="98">
        <f t="shared" si="0"/>
        <v>0</v>
      </c>
      <c r="I67" s="98">
        <f t="shared" si="0"/>
        <v>26000</v>
      </c>
      <c r="J67" s="98">
        <f t="shared" si="1"/>
        <v>-26000</v>
      </c>
      <c r="K67" s="99"/>
      <c r="L67" s="100" t="str">
        <f t="shared" si="2"/>
        <v>دائن</v>
      </c>
      <c r="M67" s="101" t="str">
        <f>IF(ISERROR(VLOOKUP(C67,'[1]خريطة الحسابات'!_xlnm.Print_Area,4,FALSE))," ",(VLOOKUP(C67,'[1]خريطة الحسابات'!_xlnm.Print_Area,4,FALSE)))</f>
        <v xml:space="preserve">أصول متداوله -النقدية ومافي حكمها </v>
      </c>
      <c r="N67" s="102" t="str">
        <f>IF(ISERROR(VLOOKUP(C67,'[1]خريطة الحسابات'!_xlnm.Print_Area,5,FALSE))," ",(VLOOKUP(C67,'[1]خريطة الحسابات'!_xlnm.Print_Area,5,FALSE)))</f>
        <v>الاصول</v>
      </c>
      <c r="O67" s="103" t="s">
        <v>1305</v>
      </c>
      <c r="P67" s="103" t="s">
        <v>1304</v>
      </c>
    </row>
    <row r="68" spans="1:16">
      <c r="A68" s="104">
        <v>2</v>
      </c>
      <c r="B68" s="106">
        <v>46121</v>
      </c>
      <c r="C68" s="105">
        <v>20</v>
      </c>
      <c r="D68" s="95" t="str">
        <f>IF(ISERROR(VLOOKUP(C68,'[1]خريطة الحسابات'!_xlnm.Print_Area,3,FALSE))," ",(VLOOKUP(C68,'[1]خريطة الحسابات'!_xlnm.Print_Area,3,FALSE)))</f>
        <v xml:space="preserve">الخزينة </v>
      </c>
      <c r="E68" s="96"/>
      <c r="F68" s="97"/>
      <c r="G68" s="97">
        <v>48000</v>
      </c>
      <c r="H68" s="98">
        <f t="shared" si="0"/>
        <v>0</v>
      </c>
      <c r="I68" s="98">
        <f t="shared" si="0"/>
        <v>48000</v>
      </c>
      <c r="J68" s="98">
        <f t="shared" si="1"/>
        <v>-48000</v>
      </c>
      <c r="K68" s="99"/>
      <c r="L68" s="100" t="str">
        <f t="shared" si="2"/>
        <v>دائن</v>
      </c>
      <c r="M68" s="101" t="str">
        <f>IF(ISERROR(VLOOKUP(C68,'[1]خريطة الحسابات'!_xlnm.Print_Area,4,FALSE))," ",(VLOOKUP(C68,'[1]خريطة الحسابات'!_xlnm.Print_Area,4,FALSE)))</f>
        <v xml:space="preserve">أصول متداوله -النقدية ومافي حكمها </v>
      </c>
      <c r="N68" s="102" t="str">
        <f>IF(ISERROR(VLOOKUP(C68,'[1]خريطة الحسابات'!_xlnm.Print_Area,5,FALSE))," ",(VLOOKUP(C68,'[1]خريطة الحسابات'!_xlnm.Print_Area,5,FALSE)))</f>
        <v>الاصول</v>
      </c>
      <c r="O68" s="103" t="s">
        <v>1302</v>
      </c>
      <c r="P68" s="103" t="s">
        <v>1292</v>
      </c>
    </row>
    <row r="69" spans="1:16">
      <c r="A69" s="104">
        <v>2</v>
      </c>
      <c r="B69" s="106">
        <v>46133</v>
      </c>
      <c r="C69" s="105">
        <v>20</v>
      </c>
      <c r="D69" s="95" t="str">
        <f>IF(ISERROR(VLOOKUP(C69,'[1]خريطة الحسابات'!_xlnm.Print_Area,3,FALSE))," ",(VLOOKUP(C69,'[1]خريطة الحسابات'!_xlnm.Print_Area,3,FALSE)))</f>
        <v xml:space="preserve">الخزينة </v>
      </c>
      <c r="E69" s="96"/>
      <c r="F69" s="97"/>
      <c r="G69" s="97">
        <v>200000</v>
      </c>
      <c r="H69" s="98">
        <f t="shared" si="0"/>
        <v>0</v>
      </c>
      <c r="I69" s="98">
        <f t="shared" si="0"/>
        <v>200000</v>
      </c>
      <c r="J69" s="98">
        <f t="shared" si="1"/>
        <v>-200000</v>
      </c>
      <c r="K69" s="99"/>
      <c r="L69" s="100" t="str">
        <f t="shared" si="2"/>
        <v>دائن</v>
      </c>
      <c r="M69" s="101" t="str">
        <f>IF(ISERROR(VLOOKUP(C69,'[1]خريطة الحسابات'!_xlnm.Print_Area,4,FALSE))," ",(VLOOKUP(C69,'[1]خريطة الحسابات'!_xlnm.Print_Area,4,FALSE)))</f>
        <v xml:space="preserve">أصول متداوله -النقدية ومافي حكمها </v>
      </c>
      <c r="N69" s="102" t="str">
        <f>IF(ISERROR(VLOOKUP(C69,'[1]خريطة الحسابات'!_xlnm.Print_Area,5,FALSE))," ",(VLOOKUP(C69,'[1]خريطة الحسابات'!_xlnm.Print_Area,5,FALSE)))</f>
        <v>الاصول</v>
      </c>
      <c r="O69" s="103" t="s">
        <v>1306</v>
      </c>
      <c r="P69" s="103" t="s">
        <v>1290</v>
      </c>
    </row>
    <row r="70" spans="1:16">
      <c r="A70" s="104">
        <v>2</v>
      </c>
      <c r="B70" s="106">
        <v>46146</v>
      </c>
      <c r="C70" s="105">
        <v>20</v>
      </c>
      <c r="D70" s="95" t="str">
        <f>IF(ISERROR(VLOOKUP(C70,'[1]خريطة الحسابات'!_xlnm.Print_Area,3,FALSE))," ",(VLOOKUP(C70,'[1]خريطة الحسابات'!_xlnm.Print_Area,3,FALSE)))</f>
        <v xml:space="preserve">الخزينة </v>
      </c>
      <c r="E70" s="96"/>
      <c r="F70" s="97"/>
      <c r="G70" s="97">
        <v>250000</v>
      </c>
      <c r="H70" s="98">
        <f t="shared" si="0"/>
        <v>0</v>
      </c>
      <c r="I70" s="98">
        <f t="shared" si="0"/>
        <v>250000</v>
      </c>
      <c r="J70" s="98">
        <f t="shared" si="1"/>
        <v>-250000</v>
      </c>
      <c r="K70" s="99"/>
      <c r="L70" s="100" t="str">
        <f t="shared" si="2"/>
        <v>دائن</v>
      </c>
      <c r="M70" s="101" t="str">
        <f>IF(ISERROR(VLOOKUP(C70,'[1]خريطة الحسابات'!_xlnm.Print_Area,4,FALSE))," ",(VLOOKUP(C70,'[1]خريطة الحسابات'!_xlnm.Print_Area,4,FALSE)))</f>
        <v xml:space="preserve">أصول متداوله -النقدية ومافي حكمها </v>
      </c>
      <c r="N70" s="102" t="str">
        <f>IF(ISERROR(VLOOKUP(C70,'[1]خريطة الحسابات'!_xlnm.Print_Area,5,FALSE))," ",(VLOOKUP(C70,'[1]خريطة الحسابات'!_xlnm.Print_Area,5,FALSE)))</f>
        <v>الاصول</v>
      </c>
      <c r="O70" s="103" t="s">
        <v>1307</v>
      </c>
      <c r="P70" s="103" t="s">
        <v>1292</v>
      </c>
    </row>
    <row r="71" spans="1:16">
      <c r="A71" s="104">
        <v>2</v>
      </c>
      <c r="B71" s="106">
        <v>46167</v>
      </c>
      <c r="C71" s="105">
        <v>20</v>
      </c>
      <c r="D71" s="95" t="str">
        <f>IF(ISERROR(VLOOKUP(C71,'[1]خريطة الحسابات'!_xlnm.Print_Area,3,FALSE))," ",(VLOOKUP(C71,'[1]خريطة الحسابات'!_xlnm.Print_Area,3,FALSE)))</f>
        <v xml:space="preserve">الخزينة </v>
      </c>
      <c r="E71" s="96"/>
      <c r="F71" s="97"/>
      <c r="G71" s="97">
        <v>120000</v>
      </c>
      <c r="H71" s="98">
        <f t="shared" si="0"/>
        <v>0</v>
      </c>
      <c r="I71" s="98">
        <f t="shared" si="0"/>
        <v>120000</v>
      </c>
      <c r="J71" s="98">
        <f t="shared" si="1"/>
        <v>-120000</v>
      </c>
      <c r="K71" s="99"/>
      <c r="L71" s="100" t="str">
        <f t="shared" si="2"/>
        <v>دائن</v>
      </c>
      <c r="M71" s="101" t="str">
        <f>IF(ISERROR(VLOOKUP(C71,'[1]خريطة الحسابات'!_xlnm.Print_Area,4,FALSE))," ",(VLOOKUP(C71,'[1]خريطة الحسابات'!_xlnm.Print_Area,4,FALSE)))</f>
        <v xml:space="preserve">أصول متداوله -النقدية ومافي حكمها </v>
      </c>
      <c r="N71" s="102" t="str">
        <f>IF(ISERROR(VLOOKUP(C71,'[1]خريطة الحسابات'!_xlnm.Print_Area,5,FALSE))," ",(VLOOKUP(C71,'[1]خريطة الحسابات'!_xlnm.Print_Area,5,FALSE)))</f>
        <v>الاصول</v>
      </c>
      <c r="O71" s="103" t="s">
        <v>1308</v>
      </c>
      <c r="P71" s="103" t="s">
        <v>1290</v>
      </c>
    </row>
    <row r="72" spans="1:16">
      <c r="A72" s="104">
        <v>2</v>
      </c>
      <c r="B72" s="106">
        <v>46168</v>
      </c>
      <c r="C72" s="105">
        <v>20</v>
      </c>
      <c r="D72" s="95" t="str">
        <f>IF(ISERROR(VLOOKUP(C72,'[1]خريطة الحسابات'!_xlnm.Print_Area,3,FALSE))," ",(VLOOKUP(C72,'[1]خريطة الحسابات'!_xlnm.Print_Area,3,FALSE)))</f>
        <v xml:space="preserve">الخزينة </v>
      </c>
      <c r="E72" s="96"/>
      <c r="F72" s="97"/>
      <c r="G72" s="97">
        <v>50000</v>
      </c>
      <c r="H72" s="98">
        <f t="shared" si="0"/>
        <v>0</v>
      </c>
      <c r="I72" s="98">
        <f t="shared" si="0"/>
        <v>50000</v>
      </c>
      <c r="J72" s="98">
        <f t="shared" si="1"/>
        <v>-50000</v>
      </c>
      <c r="K72" s="99"/>
      <c r="L72" s="100" t="str">
        <f t="shared" si="2"/>
        <v>دائن</v>
      </c>
      <c r="M72" s="101" t="str">
        <f>IF(ISERROR(VLOOKUP(C72,'[1]خريطة الحسابات'!_xlnm.Print_Area,4,FALSE))," ",(VLOOKUP(C72,'[1]خريطة الحسابات'!_xlnm.Print_Area,4,FALSE)))</f>
        <v xml:space="preserve">أصول متداوله -النقدية ومافي حكمها </v>
      </c>
      <c r="N72" s="102" t="str">
        <f>IF(ISERROR(VLOOKUP(C72,'[1]خريطة الحسابات'!_xlnm.Print_Area,5,FALSE))," ",(VLOOKUP(C72,'[1]خريطة الحسابات'!_xlnm.Print_Area,5,FALSE)))</f>
        <v>الاصول</v>
      </c>
      <c r="O72" s="103" t="s">
        <v>1308</v>
      </c>
      <c r="P72" s="103" t="s">
        <v>1292</v>
      </c>
    </row>
    <row r="73" spans="1:16">
      <c r="A73" s="104">
        <v>2</v>
      </c>
      <c r="B73" s="106">
        <v>46184</v>
      </c>
      <c r="C73" s="105">
        <v>20</v>
      </c>
      <c r="D73" s="95" t="str">
        <f>IF(ISERROR(VLOOKUP(C73,'[1]خريطة الحسابات'!_xlnm.Print_Area,3,FALSE))," ",(VLOOKUP(C73,'[1]خريطة الحسابات'!_xlnm.Print_Area,3,FALSE)))</f>
        <v xml:space="preserve">الخزينة </v>
      </c>
      <c r="E73" s="96"/>
      <c r="F73" s="97"/>
      <c r="G73" s="97">
        <v>50000</v>
      </c>
      <c r="H73" s="98">
        <f t="shared" si="0"/>
        <v>0</v>
      </c>
      <c r="I73" s="98">
        <f t="shared" si="0"/>
        <v>50000</v>
      </c>
      <c r="J73" s="98">
        <f t="shared" si="1"/>
        <v>-50000</v>
      </c>
      <c r="K73" s="99"/>
      <c r="L73" s="100" t="str">
        <f t="shared" si="2"/>
        <v>دائن</v>
      </c>
      <c r="M73" s="101" t="str">
        <f>IF(ISERROR(VLOOKUP(C73,'[1]خريطة الحسابات'!_xlnm.Print_Area,4,FALSE))," ",(VLOOKUP(C73,'[1]خريطة الحسابات'!_xlnm.Print_Area,4,FALSE)))</f>
        <v xml:space="preserve">أصول متداوله -النقدية ومافي حكمها </v>
      </c>
      <c r="N73" s="102" t="str">
        <f>IF(ISERROR(VLOOKUP(C73,'[1]خريطة الحسابات'!_xlnm.Print_Area,5,FALSE))," ",(VLOOKUP(C73,'[1]خريطة الحسابات'!_xlnm.Print_Area,5,FALSE)))</f>
        <v>الاصول</v>
      </c>
      <c r="O73" s="103" t="s">
        <v>1302</v>
      </c>
      <c r="P73" s="103" t="s">
        <v>1290</v>
      </c>
    </row>
    <row r="74" spans="1:16">
      <c r="A74" s="104">
        <v>2</v>
      </c>
      <c r="B74" s="106">
        <v>46184</v>
      </c>
      <c r="C74" s="105">
        <v>20</v>
      </c>
      <c r="D74" s="95" t="str">
        <f>IF(ISERROR(VLOOKUP(C74,'[1]خريطة الحسابات'!_xlnm.Print_Area,3,FALSE))," ",(VLOOKUP(C74,'[1]خريطة الحسابات'!_xlnm.Print_Area,3,FALSE)))</f>
        <v xml:space="preserve">الخزينة </v>
      </c>
      <c r="E74" s="96"/>
      <c r="F74" s="97"/>
      <c r="G74" s="97">
        <v>50000</v>
      </c>
      <c r="H74" s="98">
        <f t="shared" si="0"/>
        <v>0</v>
      </c>
      <c r="I74" s="98">
        <f t="shared" si="0"/>
        <v>50000</v>
      </c>
      <c r="J74" s="98">
        <f t="shared" si="1"/>
        <v>-50000</v>
      </c>
      <c r="K74" s="99"/>
      <c r="L74" s="100" t="str">
        <f t="shared" si="2"/>
        <v>دائن</v>
      </c>
      <c r="M74" s="101" t="str">
        <f>IF(ISERROR(VLOOKUP(C74,'[1]خريطة الحسابات'!_xlnm.Print_Area,4,FALSE))," ",(VLOOKUP(C74,'[1]خريطة الحسابات'!_xlnm.Print_Area,4,FALSE)))</f>
        <v xml:space="preserve">أصول متداوله -النقدية ومافي حكمها </v>
      </c>
      <c r="N74" s="102" t="str">
        <f>IF(ISERROR(VLOOKUP(C74,'[1]خريطة الحسابات'!_xlnm.Print_Area,5,FALSE))," ",(VLOOKUP(C74,'[1]خريطة الحسابات'!_xlnm.Print_Area,5,FALSE)))</f>
        <v>الاصول</v>
      </c>
      <c r="O74" s="103" t="s">
        <v>1302</v>
      </c>
      <c r="P74" s="103" t="s">
        <v>1292</v>
      </c>
    </row>
    <row r="75" spans="1:16">
      <c r="A75" s="104">
        <v>3</v>
      </c>
      <c r="B75" s="106">
        <v>46064</v>
      </c>
      <c r="C75" s="105">
        <v>4018</v>
      </c>
      <c r="D75" s="95" t="str">
        <f>IF(ISERROR(VLOOKUP(C75,'[1]خريطة الحسابات'!_xlnm.Print_Area,3,FALSE))," ",(VLOOKUP(C75,'[1]خريطة الحسابات'!_xlnm.Print_Area,3,FALSE)))</f>
        <v>احمد كيريتال</v>
      </c>
      <c r="E75" s="96"/>
      <c r="F75" s="97">
        <v>50020</v>
      </c>
      <c r="G75" s="97"/>
      <c r="H75" s="98">
        <f t="shared" si="0"/>
        <v>50020</v>
      </c>
      <c r="I75" s="98">
        <f t="shared" si="0"/>
        <v>0</v>
      </c>
      <c r="J75" s="98">
        <f t="shared" si="1"/>
        <v>50020</v>
      </c>
      <c r="K75" s="99"/>
      <c r="L75" s="100" t="str">
        <f t="shared" si="2"/>
        <v>مدين</v>
      </c>
      <c r="M75" s="101" t="str">
        <f>IF(ISERROR(VLOOKUP(C75,'[1]خريطة الحسابات'!_xlnm.Print_Area,4,FALSE))," ",(VLOOKUP(C75,'[1]خريطة الحسابات'!_xlnm.Print_Area,4,FALSE)))</f>
        <v xml:space="preserve">مقاولين </v>
      </c>
      <c r="N75" s="102" t="str">
        <f>IF(ISERROR(VLOOKUP(C75,'[1]خريطة الحسابات'!_xlnm.Print_Area,5,FALSE))," ",(VLOOKUP(C75,'[1]خريطة الحسابات'!_xlnm.Print_Area,5,FALSE)))</f>
        <v xml:space="preserve">الدائنون والأرصدة الدائنة الأخرى </v>
      </c>
      <c r="O75" s="103" t="s">
        <v>1309</v>
      </c>
      <c r="P75" s="103" t="s">
        <v>1310</v>
      </c>
    </row>
    <row r="76" spans="1:16">
      <c r="A76" s="104">
        <v>3</v>
      </c>
      <c r="B76" s="106">
        <v>46091</v>
      </c>
      <c r="C76" s="105">
        <v>4018</v>
      </c>
      <c r="D76" s="95" t="str">
        <f>IF(ISERROR(VLOOKUP(C76,'[1]خريطة الحسابات'!_xlnm.Print_Area,3,FALSE))," ",(VLOOKUP(C76,'[1]خريطة الحسابات'!_xlnm.Print_Area,3,FALSE)))</f>
        <v>احمد كيريتال</v>
      </c>
      <c r="E76" s="96"/>
      <c r="F76" s="97">
        <v>30000</v>
      </c>
      <c r="G76" s="97"/>
      <c r="H76" s="98">
        <f t="shared" si="0"/>
        <v>30000</v>
      </c>
      <c r="I76" s="98">
        <f t="shared" si="0"/>
        <v>0</v>
      </c>
      <c r="J76" s="98">
        <f t="shared" si="1"/>
        <v>30000</v>
      </c>
      <c r="K76" s="99"/>
      <c r="L76" s="100" t="str">
        <f t="shared" si="2"/>
        <v>مدين</v>
      </c>
      <c r="M76" s="101" t="str">
        <f>IF(ISERROR(VLOOKUP(C76,'[1]خريطة الحسابات'!_xlnm.Print_Area,4,FALSE))," ",(VLOOKUP(C76,'[1]خريطة الحسابات'!_xlnm.Print_Area,4,FALSE)))</f>
        <v xml:space="preserve">مقاولين </v>
      </c>
      <c r="N76" s="102" t="str">
        <f>IF(ISERROR(VLOOKUP(C76,'[1]خريطة الحسابات'!_xlnm.Print_Area,5,FALSE))," ",(VLOOKUP(C76,'[1]خريطة الحسابات'!_xlnm.Print_Area,5,FALSE)))</f>
        <v xml:space="preserve">الدائنون والأرصدة الدائنة الأخرى </v>
      </c>
      <c r="O76" s="103" t="s">
        <v>1311</v>
      </c>
      <c r="P76" s="103" t="s">
        <v>1290</v>
      </c>
    </row>
    <row r="77" spans="1:16">
      <c r="A77" s="104">
        <v>3</v>
      </c>
      <c r="B77" s="106">
        <v>46096</v>
      </c>
      <c r="C77" s="105">
        <v>4018</v>
      </c>
      <c r="D77" s="95" t="str">
        <f>IF(ISERROR(VLOOKUP(C77,'[1]خريطة الحسابات'!_xlnm.Print_Area,3,FALSE))," ",(VLOOKUP(C77,'[1]خريطة الحسابات'!_xlnm.Print_Area,3,FALSE)))</f>
        <v>احمد كيريتال</v>
      </c>
      <c r="E77" s="96"/>
      <c r="F77" s="97">
        <v>12512</v>
      </c>
      <c r="G77" s="97"/>
      <c r="H77" s="98">
        <f t="shared" si="0"/>
        <v>12512</v>
      </c>
      <c r="I77" s="98">
        <f t="shared" si="0"/>
        <v>0</v>
      </c>
      <c r="J77" s="98">
        <f t="shared" si="1"/>
        <v>12512</v>
      </c>
      <c r="K77" s="99"/>
      <c r="L77" s="100" t="str">
        <f t="shared" si="2"/>
        <v>مدين</v>
      </c>
      <c r="M77" s="101" t="str">
        <f>IF(ISERROR(VLOOKUP(C77,'[1]خريطة الحسابات'!_xlnm.Print_Area,4,FALSE))," ",(VLOOKUP(C77,'[1]خريطة الحسابات'!_xlnm.Print_Area,4,FALSE)))</f>
        <v xml:space="preserve">مقاولين </v>
      </c>
      <c r="N77" s="102" t="str">
        <f>IF(ISERROR(VLOOKUP(C77,'[1]خريطة الحسابات'!_xlnm.Print_Area,5,FALSE))," ",(VLOOKUP(C77,'[1]خريطة الحسابات'!_xlnm.Print_Area,5,FALSE)))</f>
        <v xml:space="preserve">الدائنون والأرصدة الدائنة الأخرى </v>
      </c>
      <c r="O77" s="103" t="s">
        <v>1312</v>
      </c>
      <c r="P77" s="103" t="s">
        <v>1297</v>
      </c>
    </row>
    <row r="78" spans="1:16">
      <c r="A78" s="104">
        <v>3</v>
      </c>
      <c r="B78" s="106">
        <v>46099</v>
      </c>
      <c r="C78" s="105">
        <v>4018</v>
      </c>
      <c r="D78" s="95" t="str">
        <f>IF(ISERROR(VLOOKUP(C78,'[1]خريطة الحسابات'!_xlnm.Print_Area,3,FALSE))," ",(VLOOKUP(C78,'[1]خريطة الحسابات'!_xlnm.Print_Area,3,FALSE)))</f>
        <v>احمد كيريتال</v>
      </c>
      <c r="E78" s="96"/>
      <c r="F78" s="97">
        <v>12510</v>
      </c>
      <c r="G78" s="97"/>
      <c r="H78" s="98">
        <f t="shared" si="0"/>
        <v>12510</v>
      </c>
      <c r="I78" s="98">
        <f t="shared" si="0"/>
        <v>0</v>
      </c>
      <c r="J78" s="98">
        <f t="shared" si="1"/>
        <v>12510</v>
      </c>
      <c r="K78" s="99"/>
      <c r="L78" s="100" t="str">
        <f t="shared" si="2"/>
        <v>مدين</v>
      </c>
      <c r="M78" s="101" t="str">
        <f>IF(ISERROR(VLOOKUP(C78,'[1]خريطة الحسابات'!_xlnm.Print_Area,4,FALSE))," ",(VLOOKUP(C78,'[1]خريطة الحسابات'!_xlnm.Print_Area,4,FALSE)))</f>
        <v xml:space="preserve">مقاولين </v>
      </c>
      <c r="N78" s="102" t="str">
        <f>IF(ISERROR(VLOOKUP(C78,'[1]خريطة الحسابات'!_xlnm.Print_Area,5,FALSE))," ",(VLOOKUP(C78,'[1]خريطة الحسابات'!_xlnm.Print_Area,5,FALSE)))</f>
        <v xml:space="preserve">الدائنون والأرصدة الدائنة الأخرى </v>
      </c>
      <c r="O78" s="103" t="s">
        <v>1313</v>
      </c>
      <c r="P78" s="103" t="s">
        <v>1297</v>
      </c>
    </row>
    <row r="79" spans="1:16">
      <c r="A79" s="104">
        <v>3</v>
      </c>
      <c r="B79" s="106">
        <v>46135</v>
      </c>
      <c r="C79" s="105">
        <v>4018</v>
      </c>
      <c r="D79" s="95" t="str">
        <f>IF(ISERROR(VLOOKUP(C79,'[1]خريطة الحسابات'!_xlnm.Print_Area,3,FALSE))," ",(VLOOKUP(C79,'[1]خريطة الحسابات'!_xlnm.Print_Area,3,FALSE)))</f>
        <v>احمد كيريتال</v>
      </c>
      <c r="E79" s="96"/>
      <c r="F79" s="97">
        <v>9000</v>
      </c>
      <c r="G79" s="97"/>
      <c r="H79" s="98">
        <f t="shared" si="0"/>
        <v>9000</v>
      </c>
      <c r="I79" s="98">
        <f t="shared" si="0"/>
        <v>0</v>
      </c>
      <c r="J79" s="98">
        <f t="shared" si="1"/>
        <v>9000</v>
      </c>
      <c r="K79" s="99"/>
      <c r="L79" s="100" t="str">
        <f t="shared" si="2"/>
        <v>مدين</v>
      </c>
      <c r="M79" s="101" t="str">
        <f>IF(ISERROR(VLOOKUP(C79,'[1]خريطة الحسابات'!_xlnm.Print_Area,4,FALSE))," ",(VLOOKUP(C79,'[1]خريطة الحسابات'!_xlnm.Print_Area,4,FALSE)))</f>
        <v xml:space="preserve">مقاولين </v>
      </c>
      <c r="N79" s="102" t="str">
        <f>IF(ISERROR(VLOOKUP(C79,'[1]خريطة الحسابات'!_xlnm.Print_Area,5,FALSE))," ",(VLOOKUP(C79,'[1]خريطة الحسابات'!_xlnm.Print_Area,5,FALSE)))</f>
        <v xml:space="preserve">الدائنون والأرصدة الدائنة الأخرى </v>
      </c>
      <c r="O79" s="103" t="s">
        <v>1314</v>
      </c>
      <c r="P79" s="103" t="s">
        <v>1315</v>
      </c>
    </row>
    <row r="80" spans="1:16">
      <c r="A80" s="104">
        <v>3</v>
      </c>
      <c r="B80" s="106">
        <v>46135</v>
      </c>
      <c r="C80" s="105">
        <v>4018</v>
      </c>
      <c r="D80" s="95" t="str">
        <f>IF(ISERROR(VLOOKUP(C80,'[1]خريطة الحسابات'!_xlnm.Print_Area,3,FALSE))," ",(VLOOKUP(C80,'[1]خريطة الحسابات'!_xlnm.Print_Area,3,FALSE)))</f>
        <v>احمد كيريتال</v>
      </c>
      <c r="E80" s="96"/>
      <c r="F80" s="97">
        <v>8000</v>
      </c>
      <c r="G80" s="97"/>
      <c r="H80" s="98">
        <f t="shared" si="0"/>
        <v>8000</v>
      </c>
      <c r="I80" s="98">
        <f t="shared" si="0"/>
        <v>0</v>
      </c>
      <c r="J80" s="98">
        <f t="shared" si="1"/>
        <v>8000</v>
      </c>
      <c r="K80" s="99"/>
      <c r="L80" s="100" t="str">
        <f t="shared" si="2"/>
        <v>مدين</v>
      </c>
      <c r="M80" s="101" t="str">
        <f>IF(ISERROR(VLOOKUP(C80,'[1]خريطة الحسابات'!_xlnm.Print_Area,4,FALSE))," ",(VLOOKUP(C80,'[1]خريطة الحسابات'!_xlnm.Print_Area,4,FALSE)))</f>
        <v xml:space="preserve">مقاولين </v>
      </c>
      <c r="N80" s="102" t="str">
        <f>IF(ISERROR(VLOOKUP(C80,'[1]خريطة الحسابات'!_xlnm.Print_Area,5,FALSE))," ",(VLOOKUP(C80,'[1]خريطة الحسابات'!_xlnm.Print_Area,5,FALSE)))</f>
        <v xml:space="preserve">الدائنون والأرصدة الدائنة الأخرى </v>
      </c>
      <c r="O80" s="103" t="s">
        <v>1316</v>
      </c>
      <c r="P80" s="103" t="s">
        <v>1317</v>
      </c>
    </row>
    <row r="81" spans="1:16">
      <c r="A81" s="104">
        <v>3</v>
      </c>
      <c r="B81" s="106">
        <v>46166</v>
      </c>
      <c r="C81" s="105">
        <v>4018</v>
      </c>
      <c r="D81" s="95" t="str">
        <f>IF(ISERROR(VLOOKUP(C81,'[1]خريطة الحسابات'!_xlnm.Print_Area,3,FALSE))," ",(VLOOKUP(C81,'[1]خريطة الحسابات'!_xlnm.Print_Area,3,FALSE)))</f>
        <v>احمد كيريتال</v>
      </c>
      <c r="E81" s="96"/>
      <c r="F81" s="97">
        <v>9500</v>
      </c>
      <c r="G81" s="97"/>
      <c r="H81" s="98">
        <f t="shared" si="0"/>
        <v>9500</v>
      </c>
      <c r="I81" s="98">
        <f t="shared" si="0"/>
        <v>0</v>
      </c>
      <c r="J81" s="98">
        <f t="shared" si="1"/>
        <v>9500</v>
      </c>
      <c r="K81" s="99"/>
      <c r="L81" s="100" t="str">
        <f t="shared" si="2"/>
        <v>مدين</v>
      </c>
      <c r="M81" s="101" t="str">
        <f>IF(ISERROR(VLOOKUP(C81,'[1]خريطة الحسابات'!_xlnm.Print_Area,4,FALSE))," ",(VLOOKUP(C81,'[1]خريطة الحسابات'!_xlnm.Print_Area,4,FALSE)))</f>
        <v xml:space="preserve">مقاولين </v>
      </c>
      <c r="N81" s="102" t="str">
        <f>IF(ISERROR(VLOOKUP(C81,'[1]خريطة الحسابات'!_xlnm.Print_Area,5,FALSE))," ",(VLOOKUP(C81,'[1]خريطة الحسابات'!_xlnm.Print_Area,5,FALSE)))</f>
        <v xml:space="preserve">الدائنون والأرصدة الدائنة الأخرى </v>
      </c>
      <c r="O81" s="103" t="s">
        <v>1318</v>
      </c>
      <c r="P81" s="103" t="s">
        <v>1315</v>
      </c>
    </row>
    <row r="82" spans="1:16">
      <c r="A82" s="104">
        <v>3</v>
      </c>
      <c r="B82" s="106">
        <v>46166</v>
      </c>
      <c r="C82" s="105">
        <v>4018</v>
      </c>
      <c r="D82" s="95" t="str">
        <f>IF(ISERROR(VLOOKUP(C82,'[1]خريطة الحسابات'!_xlnm.Print_Area,3,FALSE))," ",(VLOOKUP(C82,'[1]خريطة الحسابات'!_xlnm.Print_Area,3,FALSE)))</f>
        <v>احمد كيريتال</v>
      </c>
      <c r="E82" s="96"/>
      <c r="F82" s="97">
        <v>9500</v>
      </c>
      <c r="G82" s="97"/>
      <c r="H82" s="98">
        <f t="shared" si="0"/>
        <v>9500</v>
      </c>
      <c r="I82" s="98">
        <f t="shared" si="0"/>
        <v>0</v>
      </c>
      <c r="J82" s="98">
        <f t="shared" si="1"/>
        <v>9500</v>
      </c>
      <c r="K82" s="99"/>
      <c r="L82" s="100" t="str">
        <f t="shared" si="2"/>
        <v>مدين</v>
      </c>
      <c r="M82" s="101" t="str">
        <f>IF(ISERROR(VLOOKUP(C82,'[1]خريطة الحسابات'!_xlnm.Print_Area,4,FALSE))," ",(VLOOKUP(C82,'[1]خريطة الحسابات'!_xlnm.Print_Area,4,FALSE)))</f>
        <v xml:space="preserve">مقاولين </v>
      </c>
      <c r="N82" s="102" t="str">
        <f>IF(ISERROR(VLOOKUP(C82,'[1]خريطة الحسابات'!_xlnm.Print_Area,5,FALSE))," ",(VLOOKUP(C82,'[1]خريطة الحسابات'!_xlnm.Print_Area,5,FALSE)))</f>
        <v xml:space="preserve">الدائنون والأرصدة الدائنة الأخرى </v>
      </c>
      <c r="O82" s="103" t="s">
        <v>1319</v>
      </c>
      <c r="P82" s="103" t="s">
        <v>1317</v>
      </c>
    </row>
    <row r="83" spans="1:16">
      <c r="A83" s="104">
        <v>3</v>
      </c>
      <c r="B83" s="106">
        <v>46166</v>
      </c>
      <c r="C83" s="105">
        <v>4018</v>
      </c>
      <c r="D83" s="95" t="str">
        <f>IF(ISERROR(VLOOKUP(C83,'[1]خريطة الحسابات'!_xlnm.Print_Area,3,FALSE))," ",(VLOOKUP(C83,'[1]خريطة الحسابات'!_xlnm.Print_Area,3,FALSE)))</f>
        <v>احمد كيريتال</v>
      </c>
      <c r="E83" s="96"/>
      <c r="F83" s="97">
        <v>6000</v>
      </c>
      <c r="G83" s="97"/>
      <c r="H83" s="98">
        <f t="shared" si="0"/>
        <v>6000</v>
      </c>
      <c r="I83" s="98">
        <f t="shared" si="0"/>
        <v>0</v>
      </c>
      <c r="J83" s="98">
        <f t="shared" si="1"/>
        <v>6000</v>
      </c>
      <c r="K83" s="99"/>
      <c r="L83" s="100" t="str">
        <f t="shared" si="2"/>
        <v>مدين</v>
      </c>
      <c r="M83" s="101" t="str">
        <f>IF(ISERROR(VLOOKUP(C83,'[1]خريطة الحسابات'!_xlnm.Print_Area,4,FALSE))," ",(VLOOKUP(C83,'[1]خريطة الحسابات'!_xlnm.Print_Area,4,FALSE)))</f>
        <v xml:space="preserve">مقاولين </v>
      </c>
      <c r="N83" s="102" t="str">
        <f>IF(ISERROR(VLOOKUP(C83,'[1]خريطة الحسابات'!_xlnm.Print_Area,5,FALSE))," ",(VLOOKUP(C83,'[1]خريطة الحسابات'!_xlnm.Print_Area,5,FALSE)))</f>
        <v xml:space="preserve">الدائنون والأرصدة الدائنة الأخرى </v>
      </c>
      <c r="O83" s="103" t="s">
        <v>1320</v>
      </c>
      <c r="P83" s="103" t="s">
        <v>1290</v>
      </c>
    </row>
    <row r="84" spans="1:16">
      <c r="A84" s="104">
        <v>3</v>
      </c>
      <c r="B84" s="106">
        <v>46064</v>
      </c>
      <c r="C84" s="105">
        <v>20</v>
      </c>
      <c r="D84" s="95" t="str">
        <f>IF(ISERROR(VLOOKUP(C84,'[1]خريطة الحسابات'!_xlnm.Print_Area,3,FALSE))," ",(VLOOKUP(C84,'[1]خريطة الحسابات'!_xlnm.Print_Area,3,FALSE)))</f>
        <v xml:space="preserve">الخزينة </v>
      </c>
      <c r="E84" s="96"/>
      <c r="F84" s="97"/>
      <c r="G84" s="97">
        <v>50020</v>
      </c>
      <c r="H84" s="98">
        <f t="shared" si="0"/>
        <v>0</v>
      </c>
      <c r="I84" s="98">
        <f t="shared" si="0"/>
        <v>50020</v>
      </c>
      <c r="J84" s="98">
        <f t="shared" si="1"/>
        <v>-50020</v>
      </c>
      <c r="K84" s="99"/>
      <c r="L84" s="100" t="str">
        <f t="shared" si="2"/>
        <v>دائن</v>
      </c>
      <c r="M84" s="101" t="str">
        <f>IF(ISERROR(VLOOKUP(C84,'[1]خريطة الحسابات'!_xlnm.Print_Area,4,FALSE))," ",(VLOOKUP(C84,'[1]خريطة الحسابات'!_xlnm.Print_Area,4,FALSE)))</f>
        <v xml:space="preserve">أصول متداوله -النقدية ومافي حكمها </v>
      </c>
      <c r="N84" s="102" t="str">
        <f>IF(ISERROR(VLOOKUP(C84,'[1]خريطة الحسابات'!_xlnm.Print_Area,5,FALSE))," ",(VLOOKUP(C84,'[1]خريطة الحسابات'!_xlnm.Print_Area,5,FALSE)))</f>
        <v>الاصول</v>
      </c>
      <c r="O84" s="103" t="s">
        <v>1309</v>
      </c>
      <c r="P84" s="103" t="s">
        <v>1310</v>
      </c>
    </row>
    <row r="85" spans="1:16">
      <c r="A85" s="104">
        <v>3</v>
      </c>
      <c r="B85" s="106">
        <v>46091</v>
      </c>
      <c r="C85" s="105">
        <v>20</v>
      </c>
      <c r="D85" s="95" t="str">
        <f>IF(ISERROR(VLOOKUP(C85,'[1]خريطة الحسابات'!_xlnm.Print_Area,3,FALSE))," ",(VLOOKUP(C85,'[1]خريطة الحسابات'!_xlnm.Print_Area,3,FALSE)))</f>
        <v xml:space="preserve">الخزينة </v>
      </c>
      <c r="E85" s="96"/>
      <c r="F85" s="107"/>
      <c r="G85" s="97">
        <v>30000</v>
      </c>
      <c r="H85" s="98">
        <f t="shared" si="0"/>
        <v>0</v>
      </c>
      <c r="I85" s="98">
        <f t="shared" si="0"/>
        <v>30000</v>
      </c>
      <c r="J85" s="98">
        <f t="shared" si="1"/>
        <v>-30000</v>
      </c>
      <c r="K85" s="99"/>
      <c r="L85" s="100" t="str">
        <f t="shared" si="2"/>
        <v>دائن</v>
      </c>
      <c r="M85" s="101" t="str">
        <f>IF(ISERROR(VLOOKUP(C85,'[1]خريطة الحسابات'!_xlnm.Print_Area,4,FALSE))," ",(VLOOKUP(C85,'[1]خريطة الحسابات'!_xlnm.Print_Area,4,FALSE)))</f>
        <v xml:space="preserve">أصول متداوله -النقدية ومافي حكمها </v>
      </c>
      <c r="N85" s="102" t="str">
        <f>IF(ISERROR(VLOOKUP(C85,'[1]خريطة الحسابات'!_xlnm.Print_Area,5,FALSE))," ",(VLOOKUP(C85,'[1]خريطة الحسابات'!_xlnm.Print_Area,5,FALSE)))</f>
        <v>الاصول</v>
      </c>
      <c r="O85" s="103" t="s">
        <v>1311</v>
      </c>
      <c r="P85" s="103" t="s">
        <v>1290</v>
      </c>
    </row>
    <row r="86" spans="1:16">
      <c r="A86" s="104">
        <v>3</v>
      </c>
      <c r="B86" s="108">
        <v>46096</v>
      </c>
      <c r="C86" s="105">
        <v>20</v>
      </c>
      <c r="D86" s="109" t="str">
        <f>IF(ISERROR(VLOOKUP(C86,'[1]خريطة الحسابات'!_xlnm.Print_Area,3,FALSE))," ",(VLOOKUP(C86,'[1]خريطة الحسابات'!_xlnm.Print_Area,3,FALSE)))</f>
        <v xml:space="preserve">الخزينة </v>
      </c>
      <c r="E86" s="110"/>
      <c r="F86" s="107"/>
      <c r="G86" s="97">
        <v>12512</v>
      </c>
      <c r="H86" s="111">
        <f t="shared" si="0"/>
        <v>0</v>
      </c>
      <c r="I86" s="111">
        <f t="shared" si="0"/>
        <v>12512</v>
      </c>
      <c r="J86" s="111">
        <f t="shared" si="1"/>
        <v>-12512</v>
      </c>
      <c r="K86" s="112"/>
      <c r="L86" s="100" t="str">
        <f t="shared" si="2"/>
        <v>دائن</v>
      </c>
      <c r="M86" s="113" t="str">
        <f>IF(ISERROR(VLOOKUP(C86,'[1]خريطة الحسابات'!_xlnm.Print_Area,4,FALSE))," ",(VLOOKUP(C86,'[1]خريطة الحسابات'!_xlnm.Print_Area,4,FALSE)))</f>
        <v xml:space="preserve">أصول متداوله -النقدية ومافي حكمها </v>
      </c>
      <c r="N86" s="114" t="str">
        <f>IF(ISERROR(VLOOKUP(C86,'[1]خريطة الحسابات'!_xlnm.Print_Area,5,FALSE))," ",(VLOOKUP(C86,'[1]خريطة الحسابات'!_xlnm.Print_Area,5,FALSE)))</f>
        <v>الاصول</v>
      </c>
      <c r="O86" s="115" t="s">
        <v>1312</v>
      </c>
      <c r="P86" s="115" t="s">
        <v>1297</v>
      </c>
    </row>
    <row r="87" spans="1:16">
      <c r="A87" s="104">
        <v>3</v>
      </c>
      <c r="B87" s="116">
        <v>46099</v>
      </c>
      <c r="C87" s="105">
        <v>20</v>
      </c>
      <c r="D87" s="95" t="str">
        <f>IF(ISERROR(VLOOKUP(C87,'[1]خريطة الحسابات'!_xlnm.Print_Area,3,FALSE))," ",(VLOOKUP(C87,'[1]خريطة الحسابات'!_xlnm.Print_Area,3,FALSE)))</f>
        <v xml:space="preserve">الخزينة </v>
      </c>
      <c r="E87" s="117"/>
      <c r="F87" s="118"/>
      <c r="G87" s="97">
        <v>12510</v>
      </c>
      <c r="H87" s="119">
        <f t="shared" si="0"/>
        <v>0</v>
      </c>
      <c r="I87" s="119">
        <f t="shared" si="0"/>
        <v>12510</v>
      </c>
      <c r="J87" s="119">
        <f t="shared" si="1"/>
        <v>-12510</v>
      </c>
      <c r="K87" s="120"/>
      <c r="L87" s="100" t="str">
        <f t="shared" si="2"/>
        <v>دائن</v>
      </c>
      <c r="M87" s="121" t="str">
        <f>IF(ISERROR(VLOOKUP(C87,'[1]خريطة الحسابات'!_xlnm.Print_Area,4,FALSE))," ",(VLOOKUP(C87,'[1]خريطة الحسابات'!_xlnm.Print_Area,4,FALSE)))</f>
        <v xml:space="preserve">أصول متداوله -النقدية ومافي حكمها </v>
      </c>
      <c r="N87" s="122" t="str">
        <f>IF(ISERROR(VLOOKUP(C87,'[1]خريطة الحسابات'!_xlnm.Print_Area,5,FALSE))," ",(VLOOKUP(C87,'[1]خريطة الحسابات'!_xlnm.Print_Area,5,FALSE)))</f>
        <v>الاصول</v>
      </c>
      <c r="O87" s="123" t="s">
        <v>1313</v>
      </c>
      <c r="P87" s="123" t="s">
        <v>1297</v>
      </c>
    </row>
    <row r="88" spans="1:16">
      <c r="A88" s="104">
        <v>3</v>
      </c>
      <c r="B88" s="116">
        <v>46135</v>
      </c>
      <c r="C88" s="105">
        <v>20</v>
      </c>
      <c r="D88" s="95" t="str">
        <f>IF(ISERROR(VLOOKUP(C88,'[1]خريطة الحسابات'!_xlnm.Print_Area,3,FALSE))," ",(VLOOKUP(C88,'[1]خريطة الحسابات'!_xlnm.Print_Area,3,FALSE)))</f>
        <v xml:space="preserve">الخزينة </v>
      </c>
      <c r="E88" s="117"/>
      <c r="F88" s="118"/>
      <c r="G88" s="97">
        <v>9000</v>
      </c>
      <c r="H88" s="119">
        <f t="shared" ref="H88:I151" si="3">IF($E88=2,F88*3.465,F88)</f>
        <v>0</v>
      </c>
      <c r="I88" s="119">
        <f t="shared" si="3"/>
        <v>9000</v>
      </c>
      <c r="J88" s="119">
        <f t="shared" ref="J88:J151" si="4">H88-I88</f>
        <v>-9000</v>
      </c>
      <c r="K88" s="120"/>
      <c r="L88" s="100" t="str">
        <f t="shared" ref="L88:L151" si="5">IF(J88&lt;0,"دائن",IF(J88&gt;0,"مدين",""))</f>
        <v>دائن</v>
      </c>
      <c r="M88" s="121" t="str">
        <f>IF(ISERROR(VLOOKUP(C88,'[1]خريطة الحسابات'!_xlnm.Print_Area,4,FALSE))," ",(VLOOKUP(C88,'[1]خريطة الحسابات'!_xlnm.Print_Area,4,FALSE)))</f>
        <v xml:space="preserve">أصول متداوله -النقدية ومافي حكمها </v>
      </c>
      <c r="N88" s="122" t="str">
        <f>IF(ISERROR(VLOOKUP(C88,'[1]خريطة الحسابات'!_xlnm.Print_Area,5,FALSE))," ",(VLOOKUP(C88,'[1]خريطة الحسابات'!_xlnm.Print_Area,5,FALSE)))</f>
        <v>الاصول</v>
      </c>
      <c r="O88" s="123" t="s">
        <v>1314</v>
      </c>
      <c r="P88" s="123" t="s">
        <v>1315</v>
      </c>
    </row>
    <row r="89" spans="1:16">
      <c r="A89" s="104">
        <v>3</v>
      </c>
      <c r="B89" s="116">
        <v>46135</v>
      </c>
      <c r="C89" s="105">
        <v>20</v>
      </c>
      <c r="D89" s="95" t="str">
        <f>IF(ISERROR(VLOOKUP(C89,'[1]خريطة الحسابات'!_xlnm.Print_Area,3,FALSE))," ",(VLOOKUP(C89,'[1]خريطة الحسابات'!_xlnm.Print_Area,3,FALSE)))</f>
        <v xml:space="preserve">الخزينة </v>
      </c>
      <c r="E89" s="117"/>
      <c r="F89" s="118"/>
      <c r="G89" s="97">
        <v>8000</v>
      </c>
      <c r="H89" s="119">
        <f t="shared" si="3"/>
        <v>0</v>
      </c>
      <c r="I89" s="119">
        <f t="shared" si="3"/>
        <v>8000</v>
      </c>
      <c r="J89" s="119">
        <f t="shared" si="4"/>
        <v>-8000</v>
      </c>
      <c r="K89" s="120"/>
      <c r="L89" s="100" t="str">
        <f t="shared" si="5"/>
        <v>دائن</v>
      </c>
      <c r="M89" s="121" t="str">
        <f>IF(ISERROR(VLOOKUP(C89,'[1]خريطة الحسابات'!_xlnm.Print_Area,4,FALSE))," ",(VLOOKUP(C89,'[1]خريطة الحسابات'!_xlnm.Print_Area,4,FALSE)))</f>
        <v xml:space="preserve">أصول متداوله -النقدية ومافي حكمها </v>
      </c>
      <c r="N89" s="122" t="str">
        <f>IF(ISERROR(VLOOKUP(C89,'[1]خريطة الحسابات'!_xlnm.Print_Area,5,FALSE))," ",(VLOOKUP(C89,'[1]خريطة الحسابات'!_xlnm.Print_Area,5,FALSE)))</f>
        <v>الاصول</v>
      </c>
      <c r="O89" s="123" t="s">
        <v>1316</v>
      </c>
      <c r="P89" s="123" t="s">
        <v>1317</v>
      </c>
    </row>
    <row r="90" spans="1:16">
      <c r="A90" s="104">
        <v>3</v>
      </c>
      <c r="B90" s="116">
        <v>46166</v>
      </c>
      <c r="C90" s="105">
        <v>20</v>
      </c>
      <c r="D90" s="95" t="str">
        <f>IF(ISERROR(VLOOKUP(C90,'[1]خريطة الحسابات'!_xlnm.Print_Area,3,FALSE))," ",(VLOOKUP(C90,'[1]خريطة الحسابات'!_xlnm.Print_Area,3,FALSE)))</f>
        <v xml:space="preserve">الخزينة </v>
      </c>
      <c r="E90" s="117"/>
      <c r="F90" s="118"/>
      <c r="G90" s="97">
        <v>9500</v>
      </c>
      <c r="H90" s="119">
        <f t="shared" si="3"/>
        <v>0</v>
      </c>
      <c r="I90" s="119">
        <f t="shared" si="3"/>
        <v>9500</v>
      </c>
      <c r="J90" s="119">
        <f t="shared" si="4"/>
        <v>-9500</v>
      </c>
      <c r="K90" s="120"/>
      <c r="L90" s="100" t="str">
        <f t="shared" si="5"/>
        <v>دائن</v>
      </c>
      <c r="M90" s="121" t="str">
        <f>IF(ISERROR(VLOOKUP(C90,'[1]خريطة الحسابات'!_xlnm.Print_Area,4,FALSE))," ",(VLOOKUP(C90,'[1]خريطة الحسابات'!_xlnm.Print_Area,4,FALSE)))</f>
        <v xml:space="preserve">أصول متداوله -النقدية ومافي حكمها </v>
      </c>
      <c r="N90" s="122" t="str">
        <f>IF(ISERROR(VLOOKUP(C90,'[1]خريطة الحسابات'!_xlnm.Print_Area,5,FALSE))," ",(VLOOKUP(C90,'[1]خريطة الحسابات'!_xlnm.Print_Area,5,FALSE)))</f>
        <v>الاصول</v>
      </c>
      <c r="O90" s="123" t="s">
        <v>1318</v>
      </c>
      <c r="P90" s="123" t="s">
        <v>1315</v>
      </c>
    </row>
    <row r="91" spans="1:16">
      <c r="A91" s="104">
        <v>3</v>
      </c>
      <c r="B91" s="116">
        <v>46166</v>
      </c>
      <c r="C91" s="105">
        <v>20</v>
      </c>
      <c r="D91" s="95" t="str">
        <f>IF(ISERROR(VLOOKUP(C91,'[1]خريطة الحسابات'!_xlnm.Print_Area,3,FALSE))," ",(VLOOKUP(C91,'[1]خريطة الحسابات'!_xlnm.Print_Area,3,FALSE)))</f>
        <v xml:space="preserve">الخزينة </v>
      </c>
      <c r="E91" s="117"/>
      <c r="F91" s="118"/>
      <c r="G91" s="97">
        <v>9500</v>
      </c>
      <c r="H91" s="119">
        <f t="shared" si="3"/>
        <v>0</v>
      </c>
      <c r="I91" s="119">
        <f t="shared" si="3"/>
        <v>9500</v>
      </c>
      <c r="J91" s="119">
        <f t="shared" si="4"/>
        <v>-9500</v>
      </c>
      <c r="K91" s="120"/>
      <c r="L91" s="100" t="str">
        <f t="shared" si="5"/>
        <v>دائن</v>
      </c>
      <c r="M91" s="121" t="str">
        <f>IF(ISERROR(VLOOKUP(C91,'[1]خريطة الحسابات'!_xlnm.Print_Area,4,FALSE))," ",(VLOOKUP(C91,'[1]خريطة الحسابات'!_xlnm.Print_Area,4,FALSE)))</f>
        <v xml:space="preserve">أصول متداوله -النقدية ومافي حكمها </v>
      </c>
      <c r="N91" s="122" t="str">
        <f>IF(ISERROR(VLOOKUP(C91,'[1]خريطة الحسابات'!_xlnm.Print_Area,5,FALSE))," ",(VLOOKUP(C91,'[1]خريطة الحسابات'!_xlnm.Print_Area,5,FALSE)))</f>
        <v>الاصول</v>
      </c>
      <c r="O91" s="123" t="s">
        <v>1319</v>
      </c>
      <c r="P91" s="123" t="s">
        <v>1317</v>
      </c>
    </row>
    <row r="92" spans="1:16">
      <c r="A92" s="104">
        <v>3</v>
      </c>
      <c r="B92" s="116">
        <v>46166</v>
      </c>
      <c r="C92" s="105">
        <v>20</v>
      </c>
      <c r="D92" s="95" t="str">
        <f>IF(ISERROR(VLOOKUP(C92,'[1]خريطة الحسابات'!_xlnm.Print_Area,3,FALSE))," ",(VLOOKUP(C92,'[1]خريطة الحسابات'!_xlnm.Print_Area,3,FALSE)))</f>
        <v xml:space="preserve">الخزينة </v>
      </c>
      <c r="E92" s="117"/>
      <c r="F92" s="118"/>
      <c r="G92" s="97">
        <v>6000</v>
      </c>
      <c r="H92" s="119">
        <f t="shared" si="3"/>
        <v>0</v>
      </c>
      <c r="I92" s="119">
        <f t="shared" si="3"/>
        <v>6000</v>
      </c>
      <c r="J92" s="119">
        <f t="shared" si="4"/>
        <v>-6000</v>
      </c>
      <c r="K92" s="120"/>
      <c r="L92" s="100" t="str">
        <f t="shared" si="5"/>
        <v>دائن</v>
      </c>
      <c r="M92" s="121" t="str">
        <f>IF(ISERROR(VLOOKUP(C92,'[1]خريطة الحسابات'!_xlnm.Print_Area,4,FALSE))," ",(VLOOKUP(C92,'[1]خريطة الحسابات'!_xlnm.Print_Area,4,FALSE)))</f>
        <v xml:space="preserve">أصول متداوله -النقدية ومافي حكمها </v>
      </c>
      <c r="N92" s="122" t="str">
        <f>IF(ISERROR(VLOOKUP(C92,'[1]خريطة الحسابات'!_xlnm.Print_Area,5,FALSE))," ",(VLOOKUP(C92,'[1]خريطة الحسابات'!_xlnm.Print_Area,5,FALSE)))</f>
        <v>الاصول</v>
      </c>
      <c r="O92" s="123" t="s">
        <v>1320</v>
      </c>
      <c r="P92" s="123" t="s">
        <v>1290</v>
      </c>
    </row>
    <row r="93" spans="1:16">
      <c r="A93" s="104">
        <v>4</v>
      </c>
      <c r="B93" s="116">
        <v>46083</v>
      </c>
      <c r="C93" s="105">
        <v>20</v>
      </c>
      <c r="D93" s="95" t="str">
        <f>IF(ISERROR(VLOOKUP(C93,'[1]خريطة الحسابات'!_xlnm.Print_Area,3,FALSE))," ",(VLOOKUP(C93,'[1]خريطة الحسابات'!_xlnm.Print_Area,3,FALSE)))</f>
        <v xml:space="preserve">الخزينة </v>
      </c>
      <c r="E93" s="124"/>
      <c r="F93" s="118">
        <v>5000</v>
      </c>
      <c r="G93" s="97"/>
      <c r="H93" s="119">
        <f t="shared" si="3"/>
        <v>5000</v>
      </c>
      <c r="I93" s="119">
        <f t="shared" si="3"/>
        <v>0</v>
      </c>
      <c r="J93" s="119">
        <f t="shared" si="4"/>
        <v>5000</v>
      </c>
      <c r="K93" s="120"/>
      <c r="L93" s="100" t="str">
        <f t="shared" si="5"/>
        <v>مدين</v>
      </c>
      <c r="M93" s="121" t="str">
        <f>IF(ISERROR(VLOOKUP(C93,'[1]خريطة الحسابات'!_xlnm.Print_Area,4,FALSE))," ",(VLOOKUP(C93,'[1]خريطة الحسابات'!_xlnm.Print_Area,4,FALSE)))</f>
        <v xml:space="preserve">أصول متداوله -النقدية ومافي حكمها </v>
      </c>
      <c r="N93" s="122" t="str">
        <f>IF(ISERROR(VLOOKUP(C93,'[1]خريطة الحسابات'!_xlnm.Print_Area,5,FALSE))," ",(VLOOKUP(C93,'[1]خريطة الحسابات'!_xlnm.Print_Area,5,FALSE)))</f>
        <v>الاصول</v>
      </c>
      <c r="O93" s="123" t="s">
        <v>1321</v>
      </c>
      <c r="P93" s="125" t="s">
        <v>1310</v>
      </c>
    </row>
    <row r="94" spans="1:16">
      <c r="A94" s="104">
        <v>4</v>
      </c>
      <c r="B94" s="116">
        <v>46083</v>
      </c>
      <c r="C94" s="105">
        <v>4018</v>
      </c>
      <c r="D94" s="95" t="str">
        <f>IF(ISERROR(VLOOKUP(C94,'[1]خريطة الحسابات'!_xlnm.Print_Area,3,FALSE))," ",(VLOOKUP(C94,'[1]خريطة الحسابات'!_xlnm.Print_Area,3,FALSE)))</f>
        <v>احمد كيريتال</v>
      </c>
      <c r="E94" s="124"/>
      <c r="F94" s="118"/>
      <c r="G94" s="118">
        <v>5000</v>
      </c>
      <c r="H94" s="119">
        <f t="shared" si="3"/>
        <v>0</v>
      </c>
      <c r="I94" s="119">
        <f t="shared" si="3"/>
        <v>5000</v>
      </c>
      <c r="J94" s="119">
        <f t="shared" si="4"/>
        <v>-5000</v>
      </c>
      <c r="K94" s="120"/>
      <c r="L94" s="100" t="str">
        <f t="shared" si="5"/>
        <v>دائن</v>
      </c>
      <c r="M94" s="121" t="str">
        <f>IF(ISERROR(VLOOKUP(C94,'[1]خريطة الحسابات'!_xlnm.Print_Area,4,FALSE))," ",(VLOOKUP(C94,'[1]خريطة الحسابات'!_xlnm.Print_Area,4,FALSE)))</f>
        <v xml:space="preserve">مقاولين </v>
      </c>
      <c r="N94" s="122" t="str">
        <f>IF(ISERROR(VLOOKUP(C94,'[1]خريطة الحسابات'!_xlnm.Print_Area,5,FALSE))," ",(VLOOKUP(C94,'[1]خريطة الحسابات'!_xlnm.Print_Area,5,FALSE)))</f>
        <v xml:space="preserve">الدائنون والأرصدة الدائنة الأخرى </v>
      </c>
      <c r="O94" s="123" t="s">
        <v>1321</v>
      </c>
      <c r="P94" s="125" t="s">
        <v>1310</v>
      </c>
    </row>
    <row r="95" spans="1:16">
      <c r="A95" s="104">
        <v>5</v>
      </c>
      <c r="B95" s="116">
        <v>46037</v>
      </c>
      <c r="C95" s="105">
        <v>4036</v>
      </c>
      <c r="D95" s="95" t="str">
        <f>IF(ISERROR(VLOOKUP(C95,'[1]خريطة الحسابات'!_xlnm.Print_Area,3,FALSE))," ",(VLOOKUP(C95,'[1]خريطة الحسابات'!_xlnm.Print_Area,3,FALSE)))</f>
        <v>اسلام سكوريت</v>
      </c>
      <c r="E95" s="124"/>
      <c r="F95" s="118">
        <v>10010</v>
      </c>
      <c r="G95" s="97"/>
      <c r="H95" s="119">
        <f t="shared" si="3"/>
        <v>10010</v>
      </c>
      <c r="I95" s="119">
        <f t="shared" si="3"/>
        <v>0</v>
      </c>
      <c r="J95" s="119">
        <f t="shared" si="4"/>
        <v>10010</v>
      </c>
      <c r="K95" s="120"/>
      <c r="L95" s="100" t="str">
        <f t="shared" si="5"/>
        <v>مدين</v>
      </c>
      <c r="M95" s="121" t="str">
        <f>IF(ISERROR(VLOOKUP(C95,'[1]خريطة الحسابات'!_xlnm.Print_Area,4,FALSE))," ",(VLOOKUP(C95,'[1]خريطة الحسابات'!_xlnm.Print_Area,4,FALSE)))</f>
        <v xml:space="preserve">مقاولين </v>
      </c>
      <c r="N95" s="122" t="str">
        <f>IF(ISERROR(VLOOKUP(C95,'[1]خريطة الحسابات'!_xlnm.Print_Area,5,FALSE))," ",(VLOOKUP(C95,'[1]خريطة الحسابات'!_xlnm.Print_Area,5,FALSE)))</f>
        <v xml:space="preserve">الدائنون والأرصدة الدائنة الأخرى </v>
      </c>
      <c r="O95" s="123" t="s">
        <v>1322</v>
      </c>
      <c r="P95" s="125" t="s">
        <v>1299</v>
      </c>
    </row>
    <row r="96" spans="1:16">
      <c r="A96" s="104">
        <v>5</v>
      </c>
      <c r="B96" s="116">
        <v>46041</v>
      </c>
      <c r="C96" s="105">
        <v>4036</v>
      </c>
      <c r="D96" s="95" t="str">
        <f>IF(ISERROR(VLOOKUP(C96,'[1]خريطة الحسابات'!_xlnm.Print_Area,3,FALSE))," ",(VLOOKUP(C96,'[1]خريطة الحسابات'!_xlnm.Print_Area,3,FALSE)))</f>
        <v>اسلام سكوريت</v>
      </c>
      <c r="E96" s="124"/>
      <c r="F96" s="118">
        <v>6006</v>
      </c>
      <c r="G96" s="107"/>
      <c r="H96" s="119">
        <f t="shared" si="3"/>
        <v>6006</v>
      </c>
      <c r="I96" s="119">
        <f t="shared" si="3"/>
        <v>0</v>
      </c>
      <c r="J96" s="119">
        <f t="shared" si="4"/>
        <v>6006</v>
      </c>
      <c r="K96" s="120"/>
      <c r="L96" s="100" t="str">
        <f t="shared" si="5"/>
        <v>مدين</v>
      </c>
      <c r="M96" s="121" t="str">
        <f>IF(ISERROR(VLOOKUP(C96,'[1]خريطة الحسابات'!_xlnm.Print_Area,4,FALSE))," ",(VLOOKUP(C96,'[1]خريطة الحسابات'!_xlnm.Print_Area,4,FALSE)))</f>
        <v xml:space="preserve">مقاولين </v>
      </c>
      <c r="N96" s="122" t="str">
        <f>IF(ISERROR(VLOOKUP(C96,'[1]خريطة الحسابات'!_xlnm.Print_Area,5,FALSE))," ",(VLOOKUP(C96,'[1]خريطة الحسابات'!_xlnm.Print_Area,5,FALSE)))</f>
        <v xml:space="preserve">الدائنون والأرصدة الدائنة الأخرى </v>
      </c>
      <c r="O96" s="123" t="s">
        <v>1323</v>
      </c>
      <c r="P96" s="125" t="s">
        <v>1297</v>
      </c>
    </row>
    <row r="97" spans="1:16">
      <c r="A97" s="104">
        <v>5</v>
      </c>
      <c r="B97" s="116">
        <v>46056</v>
      </c>
      <c r="C97" s="105">
        <v>4036</v>
      </c>
      <c r="D97" s="95" t="str">
        <f>IF(ISERROR(VLOOKUP(C97,'[1]خريطة الحسابات'!_xlnm.Print_Area,3,FALSE))," ",(VLOOKUP(C97,'[1]خريطة الحسابات'!_xlnm.Print_Area,3,FALSE)))</f>
        <v>اسلام سكوريت</v>
      </c>
      <c r="E97" s="124"/>
      <c r="F97" s="118">
        <v>6656</v>
      </c>
      <c r="G97" s="118"/>
      <c r="H97" s="119">
        <f t="shared" si="3"/>
        <v>6656</v>
      </c>
      <c r="I97" s="119">
        <f t="shared" si="3"/>
        <v>0</v>
      </c>
      <c r="J97" s="119">
        <f t="shared" si="4"/>
        <v>6656</v>
      </c>
      <c r="K97" s="120"/>
      <c r="L97" s="100" t="str">
        <f t="shared" si="5"/>
        <v>مدين</v>
      </c>
      <c r="M97" s="121" t="str">
        <f>IF(ISERROR(VLOOKUP(C97,'[1]خريطة الحسابات'!_xlnm.Print_Area,4,FALSE))," ",(VLOOKUP(C97,'[1]خريطة الحسابات'!_xlnm.Print_Area,4,FALSE)))</f>
        <v xml:space="preserve">مقاولين </v>
      </c>
      <c r="N97" s="122" t="str">
        <f>IF(ISERROR(VLOOKUP(C97,'[1]خريطة الحسابات'!_xlnm.Print_Area,5,FALSE))," ",(VLOOKUP(C97,'[1]خريطة الحسابات'!_xlnm.Print_Area,5,FALSE)))</f>
        <v xml:space="preserve">الدائنون والأرصدة الدائنة الأخرى </v>
      </c>
      <c r="O97" s="123" t="s">
        <v>1324</v>
      </c>
      <c r="P97" s="125" t="s">
        <v>1325</v>
      </c>
    </row>
    <row r="98" spans="1:16">
      <c r="A98" s="104">
        <v>5</v>
      </c>
      <c r="B98" s="116">
        <v>46065</v>
      </c>
      <c r="C98" s="105">
        <v>4036</v>
      </c>
      <c r="D98" s="95" t="str">
        <f>IF(ISERROR(VLOOKUP(C98,'[1]خريطة الحسابات'!_xlnm.Print_Area,3,FALSE))," ",(VLOOKUP(C98,'[1]خريطة الحسابات'!_xlnm.Print_Area,3,FALSE)))</f>
        <v>اسلام سكوريت</v>
      </c>
      <c r="E98" s="124"/>
      <c r="F98" s="118">
        <v>4850</v>
      </c>
      <c r="G98" s="118"/>
      <c r="H98" s="119">
        <f t="shared" si="3"/>
        <v>4850</v>
      </c>
      <c r="I98" s="119">
        <f t="shared" si="3"/>
        <v>0</v>
      </c>
      <c r="J98" s="119">
        <f t="shared" si="4"/>
        <v>4850</v>
      </c>
      <c r="K98" s="120"/>
      <c r="L98" s="100" t="str">
        <f t="shared" si="5"/>
        <v>مدين</v>
      </c>
      <c r="M98" s="121" t="str">
        <f>IF(ISERROR(VLOOKUP(C98,'[1]خريطة الحسابات'!_xlnm.Print_Area,4,FALSE))," ",(VLOOKUP(C98,'[1]خريطة الحسابات'!_xlnm.Print_Area,4,FALSE)))</f>
        <v xml:space="preserve">مقاولين </v>
      </c>
      <c r="N98" s="122" t="str">
        <f>IF(ISERROR(VLOOKUP(C98,'[1]خريطة الحسابات'!_xlnm.Print_Area,5,FALSE))," ",(VLOOKUP(C98,'[1]خريطة الحسابات'!_xlnm.Print_Area,5,FALSE)))</f>
        <v xml:space="preserve">الدائنون والأرصدة الدائنة الأخرى </v>
      </c>
      <c r="O98" s="123" t="s">
        <v>1326</v>
      </c>
      <c r="P98" s="125" t="s">
        <v>1327</v>
      </c>
    </row>
    <row r="99" spans="1:16">
      <c r="A99" s="104">
        <v>5</v>
      </c>
      <c r="B99" s="116">
        <v>46065</v>
      </c>
      <c r="C99" s="105">
        <v>4036</v>
      </c>
      <c r="D99" s="95" t="str">
        <f>IF(ISERROR(VLOOKUP(C99,'[1]خريطة الحسابات'!_xlnm.Print_Area,3,FALSE))," ",(VLOOKUP(C99,'[1]خريطة الحسابات'!_xlnm.Print_Area,3,FALSE)))</f>
        <v>اسلام سكوريت</v>
      </c>
      <c r="E99" s="124"/>
      <c r="F99" s="118">
        <v>6600</v>
      </c>
      <c r="G99" s="118"/>
      <c r="H99" s="119">
        <f t="shared" si="3"/>
        <v>6600</v>
      </c>
      <c r="I99" s="119">
        <f t="shared" si="3"/>
        <v>0</v>
      </c>
      <c r="J99" s="119">
        <f t="shared" si="4"/>
        <v>6600</v>
      </c>
      <c r="K99" s="120"/>
      <c r="L99" s="100" t="str">
        <f t="shared" si="5"/>
        <v>مدين</v>
      </c>
      <c r="M99" s="121" t="str">
        <f>IF(ISERROR(VLOOKUP(C99,'[1]خريطة الحسابات'!_xlnm.Print_Area,4,FALSE))," ",(VLOOKUP(C99,'[1]خريطة الحسابات'!_xlnm.Print_Area,4,FALSE)))</f>
        <v xml:space="preserve">مقاولين </v>
      </c>
      <c r="N99" s="122" t="str">
        <f>IF(ISERROR(VLOOKUP(C99,'[1]خريطة الحسابات'!_xlnm.Print_Area,5,FALSE))," ",(VLOOKUP(C99,'[1]خريطة الحسابات'!_xlnm.Print_Area,5,FALSE)))</f>
        <v xml:space="preserve">الدائنون والأرصدة الدائنة الأخرى </v>
      </c>
      <c r="O99" s="123" t="s">
        <v>1328</v>
      </c>
      <c r="P99" s="125" t="s">
        <v>1325</v>
      </c>
    </row>
    <row r="100" spans="1:16">
      <c r="A100" s="104">
        <v>5</v>
      </c>
      <c r="B100" s="126">
        <v>46070</v>
      </c>
      <c r="C100" s="105">
        <v>4036</v>
      </c>
      <c r="D100" s="95" t="str">
        <f>IF(ISERROR(VLOOKUP(C100,'[1]خريطة الحسابات'!_xlnm.Print_Area,3,FALSE))," ",(VLOOKUP(C100,'[1]خريطة الحسابات'!_xlnm.Print_Area,3,FALSE)))</f>
        <v>اسلام سكوريت</v>
      </c>
      <c r="E100" s="124"/>
      <c r="F100" s="118">
        <v>15500</v>
      </c>
      <c r="G100" s="118"/>
      <c r="H100" s="119">
        <f t="shared" si="3"/>
        <v>15500</v>
      </c>
      <c r="I100" s="119">
        <f t="shared" si="3"/>
        <v>0</v>
      </c>
      <c r="J100" s="119">
        <f t="shared" si="4"/>
        <v>15500</v>
      </c>
      <c r="K100" s="120"/>
      <c r="L100" s="100" t="str">
        <f t="shared" si="5"/>
        <v>مدين</v>
      </c>
      <c r="M100" s="121" t="str">
        <f>IF(ISERROR(VLOOKUP(C100,'[1]خريطة الحسابات'!_xlnm.Print_Area,4,FALSE))," ",(VLOOKUP(C100,'[1]خريطة الحسابات'!_xlnm.Print_Area,4,FALSE)))</f>
        <v xml:space="preserve">مقاولين </v>
      </c>
      <c r="N100" s="122" t="str">
        <f>IF(ISERROR(VLOOKUP(C100,'[1]خريطة الحسابات'!_xlnm.Print_Area,5,FALSE))," ",(VLOOKUP(C100,'[1]خريطة الحسابات'!_xlnm.Print_Area,5,FALSE)))</f>
        <v xml:space="preserve">الدائنون والأرصدة الدائنة الأخرى </v>
      </c>
      <c r="O100" s="123" t="s">
        <v>1329</v>
      </c>
      <c r="P100" s="125" t="s">
        <v>1299</v>
      </c>
    </row>
    <row r="101" spans="1:16">
      <c r="A101" s="104">
        <v>5</v>
      </c>
      <c r="B101" s="126">
        <v>46082</v>
      </c>
      <c r="C101" s="105">
        <v>4036</v>
      </c>
      <c r="D101" s="95" t="str">
        <f>IF(ISERROR(VLOOKUP(C101,'[1]خريطة الحسابات'!_xlnm.Print_Area,3,FALSE))," ",(VLOOKUP(C101,'[1]خريطة الحسابات'!_xlnm.Print_Area,3,FALSE)))</f>
        <v>اسلام سكوريت</v>
      </c>
      <c r="E101" s="124"/>
      <c r="F101" s="118">
        <v>7507</v>
      </c>
      <c r="G101" s="118"/>
      <c r="H101" s="119">
        <f t="shared" si="3"/>
        <v>7507</v>
      </c>
      <c r="I101" s="119">
        <f t="shared" si="3"/>
        <v>0</v>
      </c>
      <c r="J101" s="119">
        <f t="shared" si="4"/>
        <v>7507</v>
      </c>
      <c r="K101" s="120"/>
      <c r="L101" s="100" t="str">
        <f t="shared" si="5"/>
        <v>مدين</v>
      </c>
      <c r="M101" s="121" t="str">
        <f>IF(ISERROR(VLOOKUP(C101,'[1]خريطة الحسابات'!_xlnm.Print_Area,4,FALSE))," ",(VLOOKUP(C101,'[1]خريطة الحسابات'!_xlnm.Print_Area,4,FALSE)))</f>
        <v xml:space="preserve">مقاولين </v>
      </c>
      <c r="N101" s="122" t="str">
        <f>IF(ISERROR(VLOOKUP(C101,'[1]خريطة الحسابات'!_xlnm.Print_Area,5,FALSE))," ",(VLOOKUP(C101,'[1]خريطة الحسابات'!_xlnm.Print_Area,5,FALSE)))</f>
        <v xml:space="preserve">الدائنون والأرصدة الدائنة الأخرى </v>
      </c>
      <c r="O101" s="123" t="s">
        <v>1330</v>
      </c>
      <c r="P101" s="125" t="s">
        <v>1295</v>
      </c>
    </row>
    <row r="102" spans="1:16">
      <c r="A102" s="104">
        <v>5</v>
      </c>
      <c r="B102" s="126">
        <v>46093</v>
      </c>
      <c r="C102" s="105">
        <v>4036</v>
      </c>
      <c r="D102" s="95" t="str">
        <f>IF(ISERROR(VLOOKUP(C102,'[1]خريطة الحسابات'!_xlnm.Print_Area,3,FALSE))," ",(VLOOKUP(C102,'[1]خريطة الحسابات'!_xlnm.Print_Area,3,FALSE)))</f>
        <v>اسلام سكوريت</v>
      </c>
      <c r="E102" s="124"/>
      <c r="F102" s="118">
        <v>2500</v>
      </c>
      <c r="G102" s="118"/>
      <c r="H102" s="119">
        <f t="shared" si="3"/>
        <v>2500</v>
      </c>
      <c r="I102" s="119">
        <f t="shared" si="3"/>
        <v>0</v>
      </c>
      <c r="J102" s="119">
        <f t="shared" si="4"/>
        <v>2500</v>
      </c>
      <c r="K102" s="120"/>
      <c r="L102" s="100" t="str">
        <f t="shared" si="5"/>
        <v>مدين</v>
      </c>
      <c r="M102" s="121" t="str">
        <f>IF(ISERROR(VLOOKUP(C102,'[1]خريطة الحسابات'!_xlnm.Print_Area,4,FALSE))," ",(VLOOKUP(C102,'[1]خريطة الحسابات'!_xlnm.Print_Area,4,FALSE)))</f>
        <v xml:space="preserve">مقاولين </v>
      </c>
      <c r="N102" s="122" t="str">
        <f>IF(ISERROR(VLOOKUP(C102,'[1]خريطة الحسابات'!_xlnm.Print_Area,5,FALSE))," ",(VLOOKUP(C102,'[1]خريطة الحسابات'!_xlnm.Print_Area,5,FALSE)))</f>
        <v xml:space="preserve">الدائنون والأرصدة الدائنة الأخرى </v>
      </c>
      <c r="O102" s="123" t="s">
        <v>1331</v>
      </c>
      <c r="P102" s="125" t="s">
        <v>1325</v>
      </c>
    </row>
    <row r="103" spans="1:16">
      <c r="A103" s="104">
        <v>5</v>
      </c>
      <c r="B103" s="126">
        <v>46093</v>
      </c>
      <c r="C103" s="105">
        <v>4036</v>
      </c>
      <c r="D103" s="95" t="str">
        <f>IF(ISERROR(VLOOKUP(C103,'[1]خريطة الحسابات'!_xlnm.Print_Area,3,FALSE))," ",(VLOOKUP(C103,'[1]خريطة الحسابات'!_xlnm.Print_Area,3,FALSE)))</f>
        <v>اسلام سكوريت</v>
      </c>
      <c r="E103" s="124"/>
      <c r="F103" s="118">
        <v>4855</v>
      </c>
      <c r="G103" s="118"/>
      <c r="H103" s="119">
        <f t="shared" si="3"/>
        <v>4855</v>
      </c>
      <c r="I103" s="119">
        <f t="shared" si="3"/>
        <v>0</v>
      </c>
      <c r="J103" s="119">
        <f t="shared" si="4"/>
        <v>4855</v>
      </c>
      <c r="K103" s="120"/>
      <c r="L103" s="100" t="str">
        <f t="shared" si="5"/>
        <v>مدين</v>
      </c>
      <c r="M103" s="121" t="str">
        <f>IF(ISERROR(VLOOKUP(C103,'[1]خريطة الحسابات'!_xlnm.Print_Area,4,FALSE))," ",(VLOOKUP(C103,'[1]خريطة الحسابات'!_xlnm.Print_Area,4,FALSE)))</f>
        <v xml:space="preserve">مقاولين </v>
      </c>
      <c r="N103" s="122" t="str">
        <f>IF(ISERROR(VLOOKUP(C103,'[1]خريطة الحسابات'!_xlnm.Print_Area,5,FALSE))," ",(VLOOKUP(C103,'[1]خريطة الحسابات'!_xlnm.Print_Area,5,FALSE)))</f>
        <v xml:space="preserve">الدائنون والأرصدة الدائنة الأخرى </v>
      </c>
      <c r="O103" s="123" t="s">
        <v>1332</v>
      </c>
      <c r="P103" s="125" t="s">
        <v>1327</v>
      </c>
    </row>
    <row r="104" spans="1:16">
      <c r="A104" s="104">
        <v>5</v>
      </c>
      <c r="B104" s="126">
        <v>46099</v>
      </c>
      <c r="C104" s="105">
        <v>4036</v>
      </c>
      <c r="D104" s="95" t="str">
        <f>IF(ISERROR(VLOOKUP(C104,'[1]خريطة الحسابات'!_xlnm.Print_Area,3,FALSE))," ",(VLOOKUP(C104,'[1]خريطة الحسابات'!_xlnm.Print_Area,3,FALSE)))</f>
        <v>اسلام سكوريت</v>
      </c>
      <c r="E104" s="124"/>
      <c r="F104" s="118">
        <v>5005</v>
      </c>
      <c r="G104" s="118"/>
      <c r="H104" s="119">
        <f t="shared" si="3"/>
        <v>5005</v>
      </c>
      <c r="I104" s="119">
        <f t="shared" si="3"/>
        <v>0</v>
      </c>
      <c r="J104" s="119">
        <f t="shared" si="4"/>
        <v>5005</v>
      </c>
      <c r="K104" s="120"/>
      <c r="L104" s="100" t="str">
        <f t="shared" si="5"/>
        <v>مدين</v>
      </c>
      <c r="M104" s="121" t="str">
        <f>IF(ISERROR(VLOOKUP(C104,'[1]خريطة الحسابات'!_xlnm.Print_Area,4,FALSE))," ",(VLOOKUP(C104,'[1]خريطة الحسابات'!_xlnm.Print_Area,4,FALSE)))</f>
        <v xml:space="preserve">مقاولين </v>
      </c>
      <c r="N104" s="122" t="str">
        <f>IF(ISERROR(VLOOKUP(C104,'[1]خريطة الحسابات'!_xlnm.Print_Area,5,FALSE))," ",(VLOOKUP(C104,'[1]خريطة الحسابات'!_xlnm.Print_Area,5,FALSE)))</f>
        <v xml:space="preserve">الدائنون والأرصدة الدائنة الأخرى </v>
      </c>
      <c r="O104" s="123" t="s">
        <v>1333</v>
      </c>
      <c r="P104" s="125" t="s">
        <v>1295</v>
      </c>
    </row>
    <row r="105" spans="1:16">
      <c r="A105" s="104">
        <v>5</v>
      </c>
      <c r="B105" s="126">
        <v>46128</v>
      </c>
      <c r="C105" s="105">
        <v>4036</v>
      </c>
      <c r="D105" s="95" t="str">
        <f>IF(ISERROR(VLOOKUP(C105,'[1]خريطة الحسابات'!_xlnm.Print_Area,3,FALSE))," ",(VLOOKUP(C105,'[1]خريطة الحسابات'!_xlnm.Print_Area,3,FALSE)))</f>
        <v>اسلام سكوريت</v>
      </c>
      <c r="E105" s="124"/>
      <c r="F105" s="118">
        <v>30000</v>
      </c>
      <c r="G105" s="118"/>
      <c r="H105" s="119">
        <f t="shared" si="3"/>
        <v>30000</v>
      </c>
      <c r="I105" s="119">
        <f t="shared" si="3"/>
        <v>0</v>
      </c>
      <c r="J105" s="119">
        <f t="shared" si="4"/>
        <v>30000</v>
      </c>
      <c r="K105" s="120"/>
      <c r="L105" s="100" t="str">
        <f t="shared" si="5"/>
        <v>مدين</v>
      </c>
      <c r="M105" s="121" t="str">
        <f>IF(ISERROR(VLOOKUP(C105,'[1]خريطة الحسابات'!_xlnm.Print_Area,4,FALSE))," ",(VLOOKUP(C105,'[1]خريطة الحسابات'!_xlnm.Print_Area,4,FALSE)))</f>
        <v xml:space="preserve">مقاولين </v>
      </c>
      <c r="N105" s="122" t="str">
        <f>IF(ISERROR(VLOOKUP(C105,'[1]خريطة الحسابات'!_xlnm.Print_Area,5,FALSE))," ",(VLOOKUP(C105,'[1]خريطة الحسابات'!_xlnm.Print_Area,5,FALSE)))</f>
        <v xml:space="preserve">الدائنون والأرصدة الدائنة الأخرى </v>
      </c>
      <c r="O105" s="123" t="s">
        <v>1334</v>
      </c>
      <c r="P105" s="125" t="s">
        <v>1290</v>
      </c>
    </row>
    <row r="106" spans="1:16">
      <c r="A106" s="104">
        <v>5</v>
      </c>
      <c r="B106" s="126">
        <v>46148</v>
      </c>
      <c r="C106" s="105">
        <v>4036</v>
      </c>
      <c r="D106" s="95" t="str">
        <f>IF(ISERROR(VLOOKUP(C106,'[1]خريطة الحسابات'!_xlnm.Print_Area,3,FALSE))," ",(VLOOKUP(C106,'[1]خريطة الحسابات'!_xlnm.Print_Area,3,FALSE)))</f>
        <v>اسلام سكوريت</v>
      </c>
      <c r="E106" s="124"/>
      <c r="F106" s="118">
        <v>7007</v>
      </c>
      <c r="G106" s="118"/>
      <c r="H106" s="119">
        <f t="shared" si="3"/>
        <v>7007</v>
      </c>
      <c r="I106" s="119">
        <f t="shared" si="3"/>
        <v>0</v>
      </c>
      <c r="J106" s="119">
        <f t="shared" si="4"/>
        <v>7007</v>
      </c>
      <c r="K106" s="120"/>
      <c r="L106" s="100" t="str">
        <f t="shared" si="5"/>
        <v>مدين</v>
      </c>
      <c r="M106" s="121" t="str">
        <f>IF(ISERROR(VLOOKUP(C106,'[1]خريطة الحسابات'!_xlnm.Print_Area,4,FALSE))," ",(VLOOKUP(C106,'[1]خريطة الحسابات'!_xlnm.Print_Area,4,FALSE)))</f>
        <v xml:space="preserve">مقاولين </v>
      </c>
      <c r="N106" s="122" t="str">
        <f>IF(ISERROR(VLOOKUP(C106,'[1]خريطة الحسابات'!_xlnm.Print_Area,5,FALSE))," ",(VLOOKUP(C106,'[1]خريطة الحسابات'!_xlnm.Print_Area,5,FALSE)))</f>
        <v xml:space="preserve">الدائنون والأرصدة الدائنة الأخرى </v>
      </c>
      <c r="O106" s="123" t="s">
        <v>1335</v>
      </c>
      <c r="P106" s="125" t="s">
        <v>1336</v>
      </c>
    </row>
    <row r="107" spans="1:16">
      <c r="A107" s="104">
        <v>5</v>
      </c>
      <c r="B107" s="126">
        <v>46152</v>
      </c>
      <c r="C107" s="105">
        <v>4036</v>
      </c>
      <c r="D107" s="95" t="str">
        <f>IF(ISERROR(VLOOKUP(C107,'[1]خريطة الحسابات'!_xlnm.Print_Area,3,FALSE))," ",(VLOOKUP(C107,'[1]خريطة الحسابات'!_xlnm.Print_Area,3,FALSE)))</f>
        <v>اسلام سكوريت</v>
      </c>
      <c r="E107" s="124"/>
      <c r="F107" s="118">
        <v>9009</v>
      </c>
      <c r="G107" s="118"/>
      <c r="H107" s="119">
        <f t="shared" si="3"/>
        <v>9009</v>
      </c>
      <c r="I107" s="119">
        <f t="shared" si="3"/>
        <v>0</v>
      </c>
      <c r="J107" s="119">
        <f t="shared" si="4"/>
        <v>9009</v>
      </c>
      <c r="K107" s="120"/>
      <c r="L107" s="100" t="str">
        <f t="shared" si="5"/>
        <v>مدين</v>
      </c>
      <c r="M107" s="121" t="str">
        <f>IF(ISERROR(VLOOKUP(C107,'[1]خريطة الحسابات'!_xlnm.Print_Area,4,FALSE))," ",(VLOOKUP(C107,'[1]خريطة الحسابات'!_xlnm.Print_Area,4,FALSE)))</f>
        <v xml:space="preserve">مقاولين </v>
      </c>
      <c r="N107" s="122" t="str">
        <f>IF(ISERROR(VLOOKUP(C107,'[1]خريطة الحسابات'!_xlnm.Print_Area,5,FALSE))," ",(VLOOKUP(C107,'[1]خريطة الحسابات'!_xlnm.Print_Area,5,FALSE)))</f>
        <v xml:space="preserve">الدائنون والأرصدة الدائنة الأخرى </v>
      </c>
      <c r="O107" s="123" t="s">
        <v>1337</v>
      </c>
      <c r="P107" s="125" t="s">
        <v>1315</v>
      </c>
    </row>
    <row r="108" spans="1:16">
      <c r="A108" s="104">
        <v>5</v>
      </c>
      <c r="B108" s="126">
        <v>46161</v>
      </c>
      <c r="C108" s="105">
        <v>4036</v>
      </c>
      <c r="D108" s="95" t="str">
        <f>IF(ISERROR(VLOOKUP(C108,'[1]خريطة الحسابات'!_xlnm.Print_Area,3,FALSE))," ",(VLOOKUP(C108,'[1]خريطة الحسابات'!_xlnm.Print_Area,3,FALSE)))</f>
        <v>اسلام سكوريت</v>
      </c>
      <c r="E108" s="124"/>
      <c r="F108" s="118">
        <v>40000</v>
      </c>
      <c r="G108" s="118"/>
      <c r="H108" s="119">
        <f t="shared" si="3"/>
        <v>40000</v>
      </c>
      <c r="I108" s="119">
        <f t="shared" si="3"/>
        <v>0</v>
      </c>
      <c r="J108" s="119">
        <f t="shared" si="4"/>
        <v>40000</v>
      </c>
      <c r="K108" s="120"/>
      <c r="L108" s="100" t="str">
        <f t="shared" si="5"/>
        <v>مدين</v>
      </c>
      <c r="M108" s="121" t="str">
        <f>IF(ISERROR(VLOOKUP(C108,'[1]خريطة الحسابات'!_xlnm.Print_Area,4,FALSE))," ",(VLOOKUP(C108,'[1]خريطة الحسابات'!_xlnm.Print_Area,4,FALSE)))</f>
        <v xml:space="preserve">مقاولين </v>
      </c>
      <c r="N108" s="122" t="str">
        <f>IF(ISERROR(VLOOKUP(C108,'[1]خريطة الحسابات'!_xlnm.Print_Area,5,FALSE))," ",(VLOOKUP(C108,'[1]خريطة الحسابات'!_xlnm.Print_Area,5,FALSE)))</f>
        <v xml:space="preserve">الدائنون والأرصدة الدائنة الأخرى </v>
      </c>
      <c r="O108" s="123" t="s">
        <v>1338</v>
      </c>
      <c r="P108" s="125" t="s">
        <v>1290</v>
      </c>
    </row>
    <row r="109" spans="1:16">
      <c r="A109" s="104">
        <v>5</v>
      </c>
      <c r="B109" s="126">
        <v>46037</v>
      </c>
      <c r="C109" s="105">
        <v>20</v>
      </c>
      <c r="D109" s="95" t="str">
        <f>IF(ISERROR(VLOOKUP(C109,'[1]خريطة الحسابات'!_xlnm.Print_Area,3,FALSE))," ",(VLOOKUP(C109,'[1]خريطة الحسابات'!_xlnm.Print_Area,3,FALSE)))</f>
        <v xml:space="preserve">الخزينة </v>
      </c>
      <c r="E109" s="124"/>
      <c r="F109" s="118"/>
      <c r="G109" s="118">
        <v>10010</v>
      </c>
      <c r="H109" s="119">
        <f t="shared" si="3"/>
        <v>0</v>
      </c>
      <c r="I109" s="119">
        <f t="shared" si="3"/>
        <v>10010</v>
      </c>
      <c r="J109" s="119">
        <f t="shared" si="4"/>
        <v>-10010</v>
      </c>
      <c r="K109" s="120"/>
      <c r="L109" s="100" t="str">
        <f t="shared" si="5"/>
        <v>دائن</v>
      </c>
      <c r="M109" s="121" t="str">
        <f>IF(ISERROR(VLOOKUP(C109,'[1]خريطة الحسابات'!_xlnm.Print_Area,4,FALSE))," ",(VLOOKUP(C109,'[1]خريطة الحسابات'!_xlnm.Print_Area,4,FALSE)))</f>
        <v xml:space="preserve">أصول متداوله -النقدية ومافي حكمها </v>
      </c>
      <c r="N109" s="122" t="str">
        <f>IF(ISERROR(VLOOKUP(C109,'[1]خريطة الحسابات'!_xlnm.Print_Area,5,FALSE))," ",(VLOOKUP(C109,'[1]خريطة الحسابات'!_xlnm.Print_Area,5,FALSE)))</f>
        <v>الاصول</v>
      </c>
      <c r="O109" s="123" t="s">
        <v>1322</v>
      </c>
      <c r="P109" s="125" t="s">
        <v>1299</v>
      </c>
    </row>
    <row r="110" spans="1:16">
      <c r="A110" s="104">
        <v>5</v>
      </c>
      <c r="B110" s="126">
        <v>46041</v>
      </c>
      <c r="C110" s="105">
        <v>20</v>
      </c>
      <c r="D110" s="95" t="str">
        <f>IF(ISERROR(VLOOKUP(C110,'[1]خريطة الحسابات'!_xlnm.Print_Area,3,FALSE))," ",(VLOOKUP(C110,'[1]خريطة الحسابات'!_xlnm.Print_Area,3,FALSE)))</f>
        <v xml:space="preserve">الخزينة </v>
      </c>
      <c r="E110" s="124"/>
      <c r="F110" s="118"/>
      <c r="G110" s="118">
        <v>6006</v>
      </c>
      <c r="H110" s="119">
        <f t="shared" si="3"/>
        <v>0</v>
      </c>
      <c r="I110" s="119">
        <f t="shared" si="3"/>
        <v>6006</v>
      </c>
      <c r="J110" s="119">
        <f t="shared" si="4"/>
        <v>-6006</v>
      </c>
      <c r="K110" s="120"/>
      <c r="L110" s="100" t="str">
        <f t="shared" si="5"/>
        <v>دائن</v>
      </c>
      <c r="M110" s="121" t="str">
        <f>IF(ISERROR(VLOOKUP(C110,'[1]خريطة الحسابات'!_xlnm.Print_Area,4,FALSE))," ",(VLOOKUP(C110,'[1]خريطة الحسابات'!_xlnm.Print_Area,4,FALSE)))</f>
        <v xml:space="preserve">أصول متداوله -النقدية ومافي حكمها </v>
      </c>
      <c r="N110" s="122" t="str">
        <f>IF(ISERROR(VLOOKUP(C110,'[1]خريطة الحسابات'!_xlnm.Print_Area,5,FALSE))," ",(VLOOKUP(C110,'[1]خريطة الحسابات'!_xlnm.Print_Area,5,FALSE)))</f>
        <v>الاصول</v>
      </c>
      <c r="O110" s="123" t="s">
        <v>1323</v>
      </c>
      <c r="P110" s="125" t="s">
        <v>1297</v>
      </c>
    </row>
    <row r="111" spans="1:16">
      <c r="A111" s="104">
        <v>5</v>
      </c>
      <c r="B111" s="126">
        <v>46056</v>
      </c>
      <c r="C111" s="105">
        <v>20</v>
      </c>
      <c r="D111" s="95" t="str">
        <f>IF(ISERROR(VLOOKUP(C111,'[1]خريطة الحسابات'!_xlnm.Print_Area,3,FALSE))," ",(VLOOKUP(C111,'[1]خريطة الحسابات'!_xlnm.Print_Area,3,FALSE)))</f>
        <v xml:space="preserve">الخزينة </v>
      </c>
      <c r="E111" s="124"/>
      <c r="F111" s="118"/>
      <c r="G111" s="118">
        <v>6656</v>
      </c>
      <c r="H111" s="119">
        <f t="shared" si="3"/>
        <v>0</v>
      </c>
      <c r="I111" s="119">
        <f t="shared" si="3"/>
        <v>6656</v>
      </c>
      <c r="J111" s="119">
        <f t="shared" si="4"/>
        <v>-6656</v>
      </c>
      <c r="K111" s="120"/>
      <c r="L111" s="100" t="str">
        <f t="shared" si="5"/>
        <v>دائن</v>
      </c>
      <c r="M111" s="121" t="str">
        <f>IF(ISERROR(VLOOKUP(C111,'[1]خريطة الحسابات'!_xlnm.Print_Area,4,FALSE))," ",(VLOOKUP(C111,'[1]خريطة الحسابات'!_xlnm.Print_Area,4,FALSE)))</f>
        <v xml:space="preserve">أصول متداوله -النقدية ومافي حكمها </v>
      </c>
      <c r="N111" s="122" t="str">
        <f>IF(ISERROR(VLOOKUP(C111,'[1]خريطة الحسابات'!_xlnm.Print_Area,5,FALSE))," ",(VLOOKUP(C111,'[1]خريطة الحسابات'!_xlnm.Print_Area,5,FALSE)))</f>
        <v>الاصول</v>
      </c>
      <c r="O111" s="123" t="s">
        <v>1324</v>
      </c>
      <c r="P111" s="125" t="s">
        <v>1325</v>
      </c>
    </row>
    <row r="112" spans="1:16">
      <c r="A112" s="104">
        <v>5</v>
      </c>
      <c r="B112" s="126">
        <v>46065</v>
      </c>
      <c r="C112" s="105">
        <v>20</v>
      </c>
      <c r="D112" s="95" t="str">
        <f>IF(ISERROR(VLOOKUP(C112,'[1]خريطة الحسابات'!_xlnm.Print_Area,3,FALSE))," ",(VLOOKUP(C112,'[1]خريطة الحسابات'!_xlnm.Print_Area,3,FALSE)))</f>
        <v xml:space="preserve">الخزينة </v>
      </c>
      <c r="E112" s="124"/>
      <c r="F112" s="118"/>
      <c r="G112" s="118">
        <v>4850</v>
      </c>
      <c r="H112" s="119">
        <f t="shared" si="3"/>
        <v>0</v>
      </c>
      <c r="I112" s="119">
        <f t="shared" si="3"/>
        <v>4850</v>
      </c>
      <c r="J112" s="119">
        <f t="shared" si="4"/>
        <v>-4850</v>
      </c>
      <c r="K112" s="120"/>
      <c r="L112" s="100" t="str">
        <f t="shared" si="5"/>
        <v>دائن</v>
      </c>
      <c r="M112" s="121" t="str">
        <f>IF(ISERROR(VLOOKUP(C112,'[1]خريطة الحسابات'!_xlnm.Print_Area,4,FALSE))," ",(VLOOKUP(C112,'[1]خريطة الحسابات'!_xlnm.Print_Area,4,FALSE)))</f>
        <v xml:space="preserve">أصول متداوله -النقدية ومافي حكمها </v>
      </c>
      <c r="N112" s="122" t="str">
        <f>IF(ISERROR(VLOOKUP(C112,'[1]خريطة الحسابات'!_xlnm.Print_Area,5,FALSE))," ",(VLOOKUP(C112,'[1]خريطة الحسابات'!_xlnm.Print_Area,5,FALSE)))</f>
        <v>الاصول</v>
      </c>
      <c r="O112" s="123" t="s">
        <v>1326</v>
      </c>
      <c r="P112" s="125" t="s">
        <v>1327</v>
      </c>
    </row>
    <row r="113" spans="1:16">
      <c r="A113" s="104">
        <v>5</v>
      </c>
      <c r="B113" s="126">
        <v>46065</v>
      </c>
      <c r="C113" s="105">
        <v>20</v>
      </c>
      <c r="D113" s="95" t="str">
        <f>IF(ISERROR(VLOOKUP(C113,'[1]خريطة الحسابات'!_xlnm.Print_Area,3,FALSE))," ",(VLOOKUP(C113,'[1]خريطة الحسابات'!_xlnm.Print_Area,3,FALSE)))</f>
        <v xml:space="preserve">الخزينة </v>
      </c>
      <c r="E113" s="124"/>
      <c r="F113" s="118"/>
      <c r="G113" s="118">
        <v>6600</v>
      </c>
      <c r="H113" s="119">
        <f t="shared" si="3"/>
        <v>0</v>
      </c>
      <c r="I113" s="119">
        <f t="shared" si="3"/>
        <v>6600</v>
      </c>
      <c r="J113" s="119">
        <f t="shared" si="4"/>
        <v>-6600</v>
      </c>
      <c r="K113" s="120"/>
      <c r="L113" s="100" t="str">
        <f t="shared" si="5"/>
        <v>دائن</v>
      </c>
      <c r="M113" s="121" t="str">
        <f>IF(ISERROR(VLOOKUP(C113,'[1]خريطة الحسابات'!_xlnm.Print_Area,4,FALSE))," ",(VLOOKUP(C113,'[1]خريطة الحسابات'!_xlnm.Print_Area,4,FALSE)))</f>
        <v xml:space="preserve">أصول متداوله -النقدية ومافي حكمها </v>
      </c>
      <c r="N113" s="122" t="str">
        <f>IF(ISERROR(VLOOKUP(C113,'[1]خريطة الحسابات'!_xlnm.Print_Area,5,FALSE))," ",(VLOOKUP(C113,'[1]خريطة الحسابات'!_xlnm.Print_Area,5,FALSE)))</f>
        <v>الاصول</v>
      </c>
      <c r="O113" s="123" t="s">
        <v>1328</v>
      </c>
      <c r="P113" s="125" t="s">
        <v>1325</v>
      </c>
    </row>
    <row r="114" spans="1:16">
      <c r="A114" s="104">
        <v>5</v>
      </c>
      <c r="B114" s="126">
        <v>46070</v>
      </c>
      <c r="C114" s="105">
        <v>20</v>
      </c>
      <c r="D114" s="95" t="str">
        <f>IF(ISERROR(VLOOKUP(C114,'[1]خريطة الحسابات'!_xlnm.Print_Area,3,FALSE))," ",(VLOOKUP(C114,'[1]خريطة الحسابات'!_xlnm.Print_Area,3,FALSE)))</f>
        <v xml:space="preserve">الخزينة </v>
      </c>
      <c r="E114" s="124"/>
      <c r="F114" s="118"/>
      <c r="G114" s="118">
        <v>15500</v>
      </c>
      <c r="H114" s="119">
        <f t="shared" si="3"/>
        <v>0</v>
      </c>
      <c r="I114" s="119">
        <f t="shared" si="3"/>
        <v>15500</v>
      </c>
      <c r="J114" s="119">
        <f t="shared" si="4"/>
        <v>-15500</v>
      </c>
      <c r="K114" s="120"/>
      <c r="L114" s="100" t="str">
        <f t="shared" si="5"/>
        <v>دائن</v>
      </c>
      <c r="M114" s="121" t="str">
        <f>IF(ISERROR(VLOOKUP(C114,'[1]خريطة الحسابات'!_xlnm.Print_Area,4,FALSE))," ",(VLOOKUP(C114,'[1]خريطة الحسابات'!_xlnm.Print_Area,4,FALSE)))</f>
        <v xml:space="preserve">أصول متداوله -النقدية ومافي حكمها </v>
      </c>
      <c r="N114" s="122" t="str">
        <f>IF(ISERROR(VLOOKUP(C114,'[1]خريطة الحسابات'!_xlnm.Print_Area,5,FALSE))," ",(VLOOKUP(C114,'[1]خريطة الحسابات'!_xlnm.Print_Area,5,FALSE)))</f>
        <v>الاصول</v>
      </c>
      <c r="O114" s="123" t="s">
        <v>1329</v>
      </c>
      <c r="P114" s="125" t="s">
        <v>1299</v>
      </c>
    </row>
    <row r="115" spans="1:16">
      <c r="A115" s="104">
        <v>5</v>
      </c>
      <c r="B115" s="126">
        <v>46082</v>
      </c>
      <c r="C115" s="105">
        <v>20</v>
      </c>
      <c r="D115" s="95" t="str">
        <f>IF(ISERROR(VLOOKUP(C115,'[1]خريطة الحسابات'!_xlnm.Print_Area,3,FALSE))," ",(VLOOKUP(C115,'[1]خريطة الحسابات'!_xlnm.Print_Area,3,FALSE)))</f>
        <v xml:space="preserve">الخزينة </v>
      </c>
      <c r="E115" s="124"/>
      <c r="F115" s="118"/>
      <c r="G115" s="118">
        <v>7507</v>
      </c>
      <c r="H115" s="119">
        <f t="shared" si="3"/>
        <v>0</v>
      </c>
      <c r="I115" s="119">
        <f t="shared" si="3"/>
        <v>7507</v>
      </c>
      <c r="J115" s="119">
        <f t="shared" si="4"/>
        <v>-7507</v>
      </c>
      <c r="K115" s="120"/>
      <c r="L115" s="100" t="str">
        <f t="shared" si="5"/>
        <v>دائن</v>
      </c>
      <c r="M115" s="121" t="str">
        <f>IF(ISERROR(VLOOKUP(C115,'[1]خريطة الحسابات'!_xlnm.Print_Area,4,FALSE))," ",(VLOOKUP(C115,'[1]خريطة الحسابات'!_xlnm.Print_Area,4,FALSE)))</f>
        <v xml:space="preserve">أصول متداوله -النقدية ومافي حكمها </v>
      </c>
      <c r="N115" s="122" t="str">
        <f>IF(ISERROR(VLOOKUP(C115,'[1]خريطة الحسابات'!_xlnm.Print_Area,5,FALSE))," ",(VLOOKUP(C115,'[1]خريطة الحسابات'!_xlnm.Print_Area,5,FALSE)))</f>
        <v>الاصول</v>
      </c>
      <c r="O115" s="123" t="s">
        <v>1330</v>
      </c>
      <c r="P115" s="125" t="s">
        <v>1295</v>
      </c>
    </row>
    <row r="116" spans="1:16">
      <c r="A116" s="104">
        <v>5</v>
      </c>
      <c r="B116" s="126">
        <v>46093</v>
      </c>
      <c r="C116" s="105">
        <v>20</v>
      </c>
      <c r="D116" s="95" t="str">
        <f>IF(ISERROR(VLOOKUP(C116,'[1]خريطة الحسابات'!_xlnm.Print_Area,3,FALSE))," ",(VLOOKUP(C116,'[1]خريطة الحسابات'!_xlnm.Print_Area,3,FALSE)))</f>
        <v xml:space="preserve">الخزينة </v>
      </c>
      <c r="E116" s="124"/>
      <c r="F116" s="118"/>
      <c r="G116" s="118">
        <v>2500</v>
      </c>
      <c r="H116" s="119">
        <f t="shared" si="3"/>
        <v>0</v>
      </c>
      <c r="I116" s="119">
        <f t="shared" si="3"/>
        <v>2500</v>
      </c>
      <c r="J116" s="119">
        <f t="shared" si="4"/>
        <v>-2500</v>
      </c>
      <c r="K116" s="120"/>
      <c r="L116" s="100" t="str">
        <f t="shared" si="5"/>
        <v>دائن</v>
      </c>
      <c r="M116" s="121" t="str">
        <f>IF(ISERROR(VLOOKUP(C116,'[1]خريطة الحسابات'!_xlnm.Print_Area,4,FALSE))," ",(VLOOKUP(C116,'[1]خريطة الحسابات'!_xlnm.Print_Area,4,FALSE)))</f>
        <v xml:space="preserve">أصول متداوله -النقدية ومافي حكمها </v>
      </c>
      <c r="N116" s="122" t="str">
        <f>IF(ISERROR(VLOOKUP(C116,'[1]خريطة الحسابات'!_xlnm.Print_Area,5,FALSE))," ",(VLOOKUP(C116,'[1]خريطة الحسابات'!_xlnm.Print_Area,5,FALSE)))</f>
        <v>الاصول</v>
      </c>
      <c r="O116" s="123" t="s">
        <v>1331</v>
      </c>
      <c r="P116" s="125" t="s">
        <v>1325</v>
      </c>
    </row>
    <row r="117" spans="1:16">
      <c r="A117" s="104">
        <v>5</v>
      </c>
      <c r="B117" s="126">
        <v>46093</v>
      </c>
      <c r="C117" s="105">
        <v>20</v>
      </c>
      <c r="D117" s="95" t="str">
        <f>IF(ISERROR(VLOOKUP(C117,'[1]خريطة الحسابات'!_xlnm.Print_Area,3,FALSE))," ",(VLOOKUP(C117,'[1]خريطة الحسابات'!_xlnm.Print_Area,3,FALSE)))</f>
        <v xml:space="preserve">الخزينة </v>
      </c>
      <c r="E117" s="124"/>
      <c r="F117" s="118"/>
      <c r="G117" s="118">
        <v>4855</v>
      </c>
      <c r="H117" s="119">
        <f t="shared" si="3"/>
        <v>0</v>
      </c>
      <c r="I117" s="119">
        <f t="shared" si="3"/>
        <v>4855</v>
      </c>
      <c r="J117" s="119">
        <f t="shared" si="4"/>
        <v>-4855</v>
      </c>
      <c r="K117" s="120"/>
      <c r="L117" s="100" t="str">
        <f t="shared" si="5"/>
        <v>دائن</v>
      </c>
      <c r="M117" s="121" t="str">
        <f>IF(ISERROR(VLOOKUP(C117,'[1]خريطة الحسابات'!_xlnm.Print_Area,4,FALSE))," ",(VLOOKUP(C117,'[1]خريطة الحسابات'!_xlnm.Print_Area,4,FALSE)))</f>
        <v xml:space="preserve">أصول متداوله -النقدية ومافي حكمها </v>
      </c>
      <c r="N117" s="122" t="str">
        <f>IF(ISERROR(VLOOKUP(C117,'[1]خريطة الحسابات'!_xlnm.Print_Area,5,FALSE))," ",(VLOOKUP(C117,'[1]خريطة الحسابات'!_xlnm.Print_Area,5,FALSE)))</f>
        <v>الاصول</v>
      </c>
      <c r="O117" s="123" t="s">
        <v>1332</v>
      </c>
      <c r="P117" s="125" t="s">
        <v>1327</v>
      </c>
    </row>
    <row r="118" spans="1:16">
      <c r="A118" s="104">
        <v>5</v>
      </c>
      <c r="B118" s="126">
        <v>46099</v>
      </c>
      <c r="C118" s="105">
        <v>20</v>
      </c>
      <c r="D118" s="95" t="str">
        <f>IF(ISERROR(VLOOKUP(C118,'[1]خريطة الحسابات'!_xlnm.Print_Area,3,FALSE))," ",(VLOOKUP(C118,'[1]خريطة الحسابات'!_xlnm.Print_Area,3,FALSE)))</f>
        <v xml:space="preserve">الخزينة </v>
      </c>
      <c r="E118" s="124"/>
      <c r="F118" s="118"/>
      <c r="G118" s="118">
        <v>5005</v>
      </c>
      <c r="H118" s="119">
        <f t="shared" si="3"/>
        <v>0</v>
      </c>
      <c r="I118" s="119">
        <f t="shared" si="3"/>
        <v>5005</v>
      </c>
      <c r="J118" s="119">
        <f t="shared" si="4"/>
        <v>-5005</v>
      </c>
      <c r="K118" s="120"/>
      <c r="L118" s="100" t="str">
        <f t="shared" si="5"/>
        <v>دائن</v>
      </c>
      <c r="M118" s="121" t="str">
        <f>IF(ISERROR(VLOOKUP(C118,'[1]خريطة الحسابات'!_xlnm.Print_Area,4,FALSE))," ",(VLOOKUP(C118,'[1]خريطة الحسابات'!_xlnm.Print_Area,4,FALSE)))</f>
        <v xml:space="preserve">أصول متداوله -النقدية ومافي حكمها </v>
      </c>
      <c r="N118" s="122" t="str">
        <f>IF(ISERROR(VLOOKUP(C118,'[1]خريطة الحسابات'!_xlnm.Print_Area,5,FALSE))," ",(VLOOKUP(C118,'[1]خريطة الحسابات'!_xlnm.Print_Area,5,FALSE)))</f>
        <v>الاصول</v>
      </c>
      <c r="O118" s="123" t="s">
        <v>1333</v>
      </c>
      <c r="P118" s="125" t="s">
        <v>1295</v>
      </c>
    </row>
    <row r="119" spans="1:16">
      <c r="A119" s="104">
        <v>5</v>
      </c>
      <c r="B119" s="126">
        <v>46128</v>
      </c>
      <c r="C119" s="105">
        <v>20</v>
      </c>
      <c r="D119" s="95" t="str">
        <f>IF(ISERROR(VLOOKUP(C119,'[1]خريطة الحسابات'!_xlnm.Print_Area,3,FALSE))," ",(VLOOKUP(C119,'[1]خريطة الحسابات'!_xlnm.Print_Area,3,FALSE)))</f>
        <v xml:space="preserve">الخزينة </v>
      </c>
      <c r="E119" s="124"/>
      <c r="F119" s="118"/>
      <c r="G119" s="118">
        <v>30000</v>
      </c>
      <c r="H119" s="119">
        <f t="shared" si="3"/>
        <v>0</v>
      </c>
      <c r="I119" s="119">
        <f t="shared" si="3"/>
        <v>30000</v>
      </c>
      <c r="J119" s="119">
        <f t="shared" si="4"/>
        <v>-30000</v>
      </c>
      <c r="K119" s="120"/>
      <c r="L119" s="100" t="str">
        <f t="shared" si="5"/>
        <v>دائن</v>
      </c>
      <c r="M119" s="121" t="str">
        <f>IF(ISERROR(VLOOKUP(C119,'[1]خريطة الحسابات'!_xlnm.Print_Area,4,FALSE))," ",(VLOOKUP(C119,'[1]خريطة الحسابات'!_xlnm.Print_Area,4,FALSE)))</f>
        <v xml:space="preserve">أصول متداوله -النقدية ومافي حكمها </v>
      </c>
      <c r="N119" s="122" t="str">
        <f>IF(ISERROR(VLOOKUP(C119,'[1]خريطة الحسابات'!_xlnm.Print_Area,5,FALSE))," ",(VLOOKUP(C119,'[1]خريطة الحسابات'!_xlnm.Print_Area,5,FALSE)))</f>
        <v>الاصول</v>
      </c>
      <c r="O119" s="123" t="s">
        <v>1334</v>
      </c>
      <c r="P119" s="125" t="s">
        <v>1290</v>
      </c>
    </row>
    <row r="120" spans="1:16">
      <c r="A120" s="104">
        <v>5</v>
      </c>
      <c r="B120" s="126">
        <v>46148</v>
      </c>
      <c r="C120" s="105">
        <v>20</v>
      </c>
      <c r="D120" s="95" t="str">
        <f>IF(ISERROR(VLOOKUP(C120,'[1]خريطة الحسابات'!_xlnm.Print_Area,3,FALSE))," ",(VLOOKUP(C120,'[1]خريطة الحسابات'!_xlnm.Print_Area,3,FALSE)))</f>
        <v xml:space="preserve">الخزينة </v>
      </c>
      <c r="E120" s="124"/>
      <c r="F120" s="118"/>
      <c r="G120" s="118">
        <v>7007</v>
      </c>
      <c r="H120" s="119">
        <f t="shared" si="3"/>
        <v>0</v>
      </c>
      <c r="I120" s="119">
        <f t="shared" si="3"/>
        <v>7007</v>
      </c>
      <c r="J120" s="119">
        <f t="shared" si="4"/>
        <v>-7007</v>
      </c>
      <c r="K120" s="120"/>
      <c r="L120" s="100" t="str">
        <f t="shared" si="5"/>
        <v>دائن</v>
      </c>
      <c r="M120" s="121" t="str">
        <f>IF(ISERROR(VLOOKUP(C120,'[1]خريطة الحسابات'!_xlnm.Print_Area,4,FALSE))," ",(VLOOKUP(C120,'[1]خريطة الحسابات'!_xlnm.Print_Area,4,FALSE)))</f>
        <v xml:space="preserve">أصول متداوله -النقدية ومافي حكمها </v>
      </c>
      <c r="N120" s="122" t="str">
        <f>IF(ISERROR(VLOOKUP(C120,'[1]خريطة الحسابات'!_xlnm.Print_Area,5,FALSE))," ",(VLOOKUP(C120,'[1]خريطة الحسابات'!_xlnm.Print_Area,5,FALSE)))</f>
        <v>الاصول</v>
      </c>
      <c r="O120" s="123" t="s">
        <v>1335</v>
      </c>
      <c r="P120" s="125" t="s">
        <v>1336</v>
      </c>
    </row>
    <row r="121" spans="1:16">
      <c r="A121" s="104">
        <v>5</v>
      </c>
      <c r="B121" s="126">
        <v>46152</v>
      </c>
      <c r="C121" s="105">
        <v>20</v>
      </c>
      <c r="D121" s="95" t="str">
        <f>IF(ISERROR(VLOOKUP(C121,'[1]خريطة الحسابات'!_xlnm.Print_Area,3,FALSE))," ",(VLOOKUP(C121,'[1]خريطة الحسابات'!_xlnm.Print_Area,3,FALSE)))</f>
        <v xml:space="preserve">الخزينة </v>
      </c>
      <c r="E121" s="124"/>
      <c r="F121" s="118"/>
      <c r="G121" s="118">
        <v>9009</v>
      </c>
      <c r="H121" s="119">
        <f t="shared" si="3"/>
        <v>0</v>
      </c>
      <c r="I121" s="119">
        <f t="shared" si="3"/>
        <v>9009</v>
      </c>
      <c r="J121" s="119">
        <f t="shared" si="4"/>
        <v>-9009</v>
      </c>
      <c r="K121" s="120"/>
      <c r="L121" s="100" t="str">
        <f t="shared" si="5"/>
        <v>دائن</v>
      </c>
      <c r="M121" s="121" t="str">
        <f>IF(ISERROR(VLOOKUP(C121,'[1]خريطة الحسابات'!_xlnm.Print_Area,4,FALSE))," ",(VLOOKUP(C121,'[1]خريطة الحسابات'!_xlnm.Print_Area,4,FALSE)))</f>
        <v xml:space="preserve">أصول متداوله -النقدية ومافي حكمها </v>
      </c>
      <c r="N121" s="122" t="str">
        <f>IF(ISERROR(VLOOKUP(C121,'[1]خريطة الحسابات'!_xlnm.Print_Area,5,FALSE))," ",(VLOOKUP(C121,'[1]خريطة الحسابات'!_xlnm.Print_Area,5,FALSE)))</f>
        <v>الاصول</v>
      </c>
      <c r="O121" s="123" t="s">
        <v>1337</v>
      </c>
      <c r="P121" s="125" t="s">
        <v>1315</v>
      </c>
    </row>
    <row r="122" spans="1:16">
      <c r="A122" s="104">
        <v>5</v>
      </c>
      <c r="B122" s="126">
        <v>46161</v>
      </c>
      <c r="C122" s="105">
        <v>20</v>
      </c>
      <c r="D122" s="95" t="str">
        <f>IF(ISERROR(VLOOKUP(C122,'[1]خريطة الحسابات'!_xlnm.Print_Area,3,FALSE))," ",(VLOOKUP(C122,'[1]خريطة الحسابات'!_xlnm.Print_Area,3,FALSE)))</f>
        <v xml:space="preserve">الخزينة </v>
      </c>
      <c r="E122" s="124"/>
      <c r="F122" s="118"/>
      <c r="G122" s="118">
        <v>40000</v>
      </c>
      <c r="H122" s="119">
        <f t="shared" si="3"/>
        <v>0</v>
      </c>
      <c r="I122" s="119">
        <f t="shared" si="3"/>
        <v>40000</v>
      </c>
      <c r="J122" s="119">
        <f t="shared" si="4"/>
        <v>-40000</v>
      </c>
      <c r="K122" s="120"/>
      <c r="L122" s="100" t="str">
        <f t="shared" si="5"/>
        <v>دائن</v>
      </c>
      <c r="M122" s="121" t="str">
        <f>IF(ISERROR(VLOOKUP(C122,'[1]خريطة الحسابات'!_xlnm.Print_Area,4,FALSE))," ",(VLOOKUP(C122,'[1]خريطة الحسابات'!_xlnm.Print_Area,4,FALSE)))</f>
        <v xml:space="preserve">أصول متداوله -النقدية ومافي حكمها </v>
      </c>
      <c r="N122" s="122" t="str">
        <f>IF(ISERROR(VLOOKUP(C122,'[1]خريطة الحسابات'!_xlnm.Print_Area,5,FALSE))," ",(VLOOKUP(C122,'[1]خريطة الحسابات'!_xlnm.Print_Area,5,FALSE)))</f>
        <v>الاصول</v>
      </c>
      <c r="O122" s="123" t="s">
        <v>1338</v>
      </c>
      <c r="P122" s="125" t="s">
        <v>1290</v>
      </c>
    </row>
    <row r="123" spans="1:16" ht="15.6">
      <c r="A123" s="104">
        <v>6</v>
      </c>
      <c r="B123" s="126">
        <v>46096</v>
      </c>
      <c r="C123" s="94">
        <v>4034</v>
      </c>
      <c r="D123" s="95" t="str">
        <f>IF(ISERROR(VLOOKUP(C123,'[1]خريطة الحسابات'!_xlnm.Print_Area,3,FALSE))," ",(VLOOKUP(C123,'[1]خريطة الحسابات'!_xlnm.Print_Area,3,FALSE)))</f>
        <v>اشرف تكييف</v>
      </c>
      <c r="E123" s="124"/>
      <c r="F123" s="118">
        <v>30020</v>
      </c>
      <c r="G123" s="118"/>
      <c r="H123" s="119">
        <f t="shared" si="3"/>
        <v>30020</v>
      </c>
      <c r="I123" s="119">
        <f t="shared" si="3"/>
        <v>0</v>
      </c>
      <c r="J123" s="119">
        <f t="shared" si="4"/>
        <v>30020</v>
      </c>
      <c r="K123" s="120"/>
      <c r="L123" s="100" t="str">
        <f t="shared" si="5"/>
        <v>مدين</v>
      </c>
      <c r="M123" s="121" t="str">
        <f>IF(ISERROR(VLOOKUP(C123,'[1]خريطة الحسابات'!_xlnm.Print_Area,4,FALSE))," ",(VLOOKUP(C123,'[1]خريطة الحسابات'!_xlnm.Print_Area,4,FALSE)))</f>
        <v xml:space="preserve">مقاولين </v>
      </c>
      <c r="N123" s="122" t="str">
        <f>IF(ISERROR(VLOOKUP(C123,'[1]خريطة الحسابات'!_xlnm.Print_Area,5,FALSE))," ",(VLOOKUP(C123,'[1]خريطة الحسابات'!_xlnm.Print_Area,5,FALSE)))</f>
        <v xml:space="preserve">الدائنون والأرصدة الدائنة الأخرى </v>
      </c>
      <c r="O123" s="127" t="s">
        <v>1339</v>
      </c>
      <c r="P123" s="128" t="s">
        <v>1340</v>
      </c>
    </row>
    <row r="124" spans="1:16" ht="15.6">
      <c r="A124" s="104">
        <v>6</v>
      </c>
      <c r="B124" s="126">
        <v>46156</v>
      </c>
      <c r="C124" s="94">
        <v>4034</v>
      </c>
      <c r="D124" s="95" t="str">
        <f>IF(ISERROR(VLOOKUP(C124,'[1]خريطة الحسابات'!_xlnm.Print_Area,3,FALSE))," ",(VLOOKUP(C124,'[1]خريطة الحسابات'!_xlnm.Print_Area,3,FALSE)))</f>
        <v>اشرف تكييف</v>
      </c>
      <c r="E124" s="124"/>
      <c r="F124" s="118">
        <v>5755</v>
      </c>
      <c r="G124" s="118"/>
      <c r="H124" s="119">
        <f t="shared" si="3"/>
        <v>5755</v>
      </c>
      <c r="I124" s="119">
        <f t="shared" si="3"/>
        <v>0</v>
      </c>
      <c r="J124" s="119">
        <f t="shared" si="4"/>
        <v>5755</v>
      </c>
      <c r="K124" s="120"/>
      <c r="L124" s="100" t="str">
        <f t="shared" si="5"/>
        <v>مدين</v>
      </c>
      <c r="M124" s="121" t="str">
        <f>IF(ISERROR(VLOOKUP(C124,'[1]خريطة الحسابات'!_xlnm.Print_Area,4,FALSE))," ",(VLOOKUP(C124,'[1]خريطة الحسابات'!_xlnm.Print_Area,4,FALSE)))</f>
        <v xml:space="preserve">مقاولين </v>
      </c>
      <c r="N124" s="122" t="str">
        <f>IF(ISERROR(VLOOKUP(C124,'[1]خريطة الحسابات'!_xlnm.Print_Area,5,FALSE))," ",(VLOOKUP(C124,'[1]خريطة الحسابات'!_xlnm.Print_Area,5,FALSE)))</f>
        <v xml:space="preserve">الدائنون والأرصدة الدائنة الأخرى </v>
      </c>
      <c r="O124" s="129" t="s">
        <v>1341</v>
      </c>
      <c r="P124" s="128" t="s">
        <v>1342</v>
      </c>
    </row>
    <row r="125" spans="1:16" ht="15.6">
      <c r="A125" s="104">
        <v>6</v>
      </c>
      <c r="B125" s="126">
        <v>46096</v>
      </c>
      <c r="C125" s="130">
        <v>20</v>
      </c>
      <c r="D125" s="95" t="str">
        <f>IF(ISERROR(VLOOKUP(C125,'[1]خريطة الحسابات'!_xlnm.Print_Area,3,FALSE))," ",(VLOOKUP(C125,'[1]خريطة الحسابات'!_xlnm.Print_Area,3,FALSE)))</f>
        <v xml:space="preserve">الخزينة </v>
      </c>
      <c r="E125" s="124"/>
      <c r="F125" s="118"/>
      <c r="G125" s="118">
        <v>30020</v>
      </c>
      <c r="H125" s="119">
        <f t="shared" si="3"/>
        <v>0</v>
      </c>
      <c r="I125" s="119">
        <f t="shared" si="3"/>
        <v>30020</v>
      </c>
      <c r="J125" s="119">
        <f t="shared" si="4"/>
        <v>-30020</v>
      </c>
      <c r="K125" s="120"/>
      <c r="L125" s="100" t="str">
        <f t="shared" si="5"/>
        <v>دائن</v>
      </c>
      <c r="M125" s="121" t="str">
        <f>IF(ISERROR(VLOOKUP(C125,'[1]خريطة الحسابات'!_xlnm.Print_Area,4,FALSE))," ",(VLOOKUP(C125,'[1]خريطة الحسابات'!_xlnm.Print_Area,4,FALSE)))</f>
        <v xml:space="preserve">أصول متداوله -النقدية ومافي حكمها </v>
      </c>
      <c r="N125" s="122" t="str">
        <f>IF(ISERROR(VLOOKUP(C125,'[1]خريطة الحسابات'!_xlnm.Print_Area,5,FALSE))," ",(VLOOKUP(C125,'[1]خريطة الحسابات'!_xlnm.Print_Area,5,FALSE)))</f>
        <v>الاصول</v>
      </c>
      <c r="O125" s="127" t="s">
        <v>1339</v>
      </c>
      <c r="P125" s="128" t="s">
        <v>1340</v>
      </c>
    </row>
    <row r="126" spans="1:16" ht="15.6">
      <c r="A126" s="104">
        <v>6</v>
      </c>
      <c r="B126" s="126">
        <v>46156</v>
      </c>
      <c r="C126" s="130">
        <v>20</v>
      </c>
      <c r="D126" s="95" t="str">
        <f>IF(ISERROR(VLOOKUP(C126,'[1]خريطة الحسابات'!_xlnm.Print_Area,3,FALSE))," ",(VLOOKUP(C126,'[1]خريطة الحسابات'!_xlnm.Print_Area,3,FALSE)))</f>
        <v xml:space="preserve">الخزينة </v>
      </c>
      <c r="E126" s="124"/>
      <c r="F126" s="118"/>
      <c r="G126" s="118">
        <v>5755</v>
      </c>
      <c r="H126" s="119">
        <f t="shared" si="3"/>
        <v>0</v>
      </c>
      <c r="I126" s="119">
        <f t="shared" si="3"/>
        <v>5755</v>
      </c>
      <c r="J126" s="119">
        <f t="shared" si="4"/>
        <v>-5755</v>
      </c>
      <c r="K126" s="120"/>
      <c r="L126" s="100" t="str">
        <f t="shared" si="5"/>
        <v>دائن</v>
      </c>
      <c r="M126" s="121" t="str">
        <f>IF(ISERROR(VLOOKUP(C126,'[1]خريطة الحسابات'!_xlnm.Print_Area,4,FALSE))," ",(VLOOKUP(C126,'[1]خريطة الحسابات'!_xlnm.Print_Area,4,FALSE)))</f>
        <v xml:space="preserve">أصول متداوله -النقدية ومافي حكمها </v>
      </c>
      <c r="N126" s="122" t="str">
        <f>IF(ISERROR(VLOOKUP(C126,'[1]خريطة الحسابات'!_xlnm.Print_Area,5,FALSE))," ",(VLOOKUP(C126,'[1]خريطة الحسابات'!_xlnm.Print_Area,5,FALSE)))</f>
        <v>الاصول</v>
      </c>
      <c r="O126" s="129" t="s">
        <v>1341</v>
      </c>
      <c r="P126" s="128" t="s">
        <v>1342</v>
      </c>
    </row>
    <row r="127" spans="1:16" ht="15.6">
      <c r="A127" s="104">
        <v>7</v>
      </c>
      <c r="B127" s="126">
        <v>46093</v>
      </c>
      <c r="C127" s="130">
        <v>4053</v>
      </c>
      <c r="D127" s="95" t="str">
        <f>IF(ISERROR(VLOOKUP(C127,'[1]خريطة الحسابات'!_xlnm.Print_Area,3,FALSE))," ",(VLOOKUP(C127,'[1]خريطة الحسابات'!_xlnm.Print_Area,3,FALSE)))</f>
        <v>الامل صحي</v>
      </c>
      <c r="E127" s="124"/>
      <c r="F127" s="118">
        <v>10336</v>
      </c>
      <c r="G127" s="118"/>
      <c r="H127" s="119">
        <f t="shared" si="3"/>
        <v>10336</v>
      </c>
      <c r="I127" s="119">
        <f t="shared" si="3"/>
        <v>0</v>
      </c>
      <c r="J127" s="119">
        <f t="shared" si="4"/>
        <v>10336</v>
      </c>
      <c r="K127" s="120"/>
      <c r="L127" s="100" t="str">
        <f t="shared" si="5"/>
        <v>مدين</v>
      </c>
      <c r="M127" s="121" t="str">
        <f>IF(ISERROR(VLOOKUP(C127,'[1]خريطة الحسابات'!_xlnm.Print_Area,4,FALSE))," ",(VLOOKUP(C127,'[1]خريطة الحسابات'!_xlnm.Print_Area,4,FALSE)))</f>
        <v>موردين</v>
      </c>
      <c r="N127" s="122" t="str">
        <f>IF(ISERROR(VLOOKUP(C127,'[1]خريطة الحسابات'!_xlnm.Print_Area,5,FALSE))," ",(VLOOKUP(C127,'[1]خريطة الحسابات'!_xlnm.Print_Area,5,FALSE)))</f>
        <v xml:space="preserve">الدائنون والأرصدة الدائنة الأخرى </v>
      </c>
      <c r="O127" s="123" t="s">
        <v>1343</v>
      </c>
      <c r="P127" s="128" t="s">
        <v>1290</v>
      </c>
    </row>
    <row r="128" spans="1:16" ht="15.6">
      <c r="A128" s="104">
        <v>7</v>
      </c>
      <c r="B128" s="126">
        <v>46163</v>
      </c>
      <c r="C128" s="130">
        <v>4053</v>
      </c>
      <c r="D128" s="95" t="str">
        <f>IF(ISERROR(VLOOKUP(C128,'[1]خريطة الحسابات'!_xlnm.Print_Area,3,FALSE))," ",(VLOOKUP(C128,'[1]خريطة الحسابات'!_xlnm.Print_Area,3,FALSE)))</f>
        <v>الامل صحي</v>
      </c>
      <c r="E128" s="124"/>
      <c r="F128" s="118">
        <v>25000</v>
      </c>
      <c r="G128" s="118"/>
      <c r="H128" s="119">
        <f t="shared" si="3"/>
        <v>25000</v>
      </c>
      <c r="I128" s="119">
        <f t="shared" si="3"/>
        <v>0</v>
      </c>
      <c r="J128" s="119">
        <f t="shared" si="4"/>
        <v>25000</v>
      </c>
      <c r="K128" s="120"/>
      <c r="L128" s="100" t="str">
        <f t="shared" si="5"/>
        <v>مدين</v>
      </c>
      <c r="M128" s="121" t="str">
        <f>IF(ISERROR(VLOOKUP(C128,'[1]خريطة الحسابات'!_xlnm.Print_Area,4,FALSE))," ",(VLOOKUP(C128,'[1]خريطة الحسابات'!_xlnm.Print_Area,4,FALSE)))</f>
        <v>موردين</v>
      </c>
      <c r="N128" s="122" t="str">
        <f>IF(ISERROR(VLOOKUP(C128,'[1]خريطة الحسابات'!_xlnm.Print_Area,5,FALSE))," ",(VLOOKUP(C128,'[1]خريطة الحسابات'!_xlnm.Print_Area,5,FALSE)))</f>
        <v xml:space="preserve">الدائنون والأرصدة الدائنة الأخرى </v>
      </c>
      <c r="O128" s="123" t="s">
        <v>1344</v>
      </c>
      <c r="P128" s="128" t="s">
        <v>1345</v>
      </c>
    </row>
    <row r="129" spans="1:16" ht="15.6">
      <c r="A129" s="104">
        <v>7</v>
      </c>
      <c r="B129" s="126">
        <v>46182</v>
      </c>
      <c r="C129" s="130">
        <v>4053</v>
      </c>
      <c r="D129" s="95" t="str">
        <f>IF(ISERROR(VLOOKUP(C129,'[1]خريطة الحسابات'!_xlnm.Print_Area,3,FALSE))," ",(VLOOKUP(C129,'[1]خريطة الحسابات'!_xlnm.Print_Area,3,FALSE)))</f>
        <v>الامل صحي</v>
      </c>
      <c r="E129" s="124"/>
      <c r="F129" s="118">
        <v>27460</v>
      </c>
      <c r="G129" s="118"/>
      <c r="H129" s="119">
        <f t="shared" si="3"/>
        <v>27460</v>
      </c>
      <c r="I129" s="119">
        <f t="shared" si="3"/>
        <v>0</v>
      </c>
      <c r="J129" s="119">
        <f t="shared" si="4"/>
        <v>27460</v>
      </c>
      <c r="K129" s="120"/>
      <c r="L129" s="100" t="str">
        <f t="shared" si="5"/>
        <v>مدين</v>
      </c>
      <c r="M129" s="121" t="str">
        <f>IF(ISERROR(VLOOKUP(C129,'[1]خريطة الحسابات'!_xlnm.Print_Area,4,FALSE))," ",(VLOOKUP(C129,'[1]خريطة الحسابات'!_xlnm.Print_Area,4,FALSE)))</f>
        <v>موردين</v>
      </c>
      <c r="N129" s="122" t="str">
        <f>IF(ISERROR(VLOOKUP(C129,'[1]خريطة الحسابات'!_xlnm.Print_Area,5,FALSE))," ",(VLOOKUP(C129,'[1]خريطة الحسابات'!_xlnm.Print_Area,5,FALSE)))</f>
        <v xml:space="preserve">الدائنون والأرصدة الدائنة الأخرى </v>
      </c>
      <c r="O129" s="123" t="s">
        <v>1346</v>
      </c>
      <c r="P129" s="128" t="s">
        <v>1345</v>
      </c>
    </row>
    <row r="130" spans="1:16" ht="15.6">
      <c r="A130" s="104">
        <v>7</v>
      </c>
      <c r="B130" s="126">
        <v>46093</v>
      </c>
      <c r="C130" s="130">
        <v>20</v>
      </c>
      <c r="D130" s="95" t="str">
        <f>IF(ISERROR(VLOOKUP(C130,'[1]خريطة الحسابات'!_xlnm.Print_Area,3,FALSE))," ",(VLOOKUP(C130,'[1]خريطة الحسابات'!_xlnm.Print_Area,3,FALSE)))</f>
        <v xml:space="preserve">الخزينة </v>
      </c>
      <c r="E130" s="124"/>
      <c r="F130" s="118"/>
      <c r="G130" s="118">
        <v>10336</v>
      </c>
      <c r="H130" s="119">
        <f t="shared" si="3"/>
        <v>0</v>
      </c>
      <c r="I130" s="119">
        <f t="shared" si="3"/>
        <v>10336</v>
      </c>
      <c r="J130" s="119">
        <f t="shared" si="4"/>
        <v>-10336</v>
      </c>
      <c r="K130" s="120"/>
      <c r="L130" s="100" t="str">
        <f t="shared" si="5"/>
        <v>دائن</v>
      </c>
      <c r="M130" s="121" t="str">
        <f>IF(ISERROR(VLOOKUP(C130,'[1]خريطة الحسابات'!_xlnm.Print_Area,4,FALSE))," ",(VLOOKUP(C130,'[1]خريطة الحسابات'!_xlnm.Print_Area,4,FALSE)))</f>
        <v xml:space="preserve">أصول متداوله -النقدية ومافي حكمها </v>
      </c>
      <c r="N130" s="122" t="str">
        <f>IF(ISERROR(VLOOKUP(C130,'[1]خريطة الحسابات'!_xlnm.Print_Area,5,FALSE))," ",(VLOOKUP(C130,'[1]خريطة الحسابات'!_xlnm.Print_Area,5,FALSE)))</f>
        <v>الاصول</v>
      </c>
      <c r="O130" s="123" t="s">
        <v>1343</v>
      </c>
      <c r="P130" s="128" t="s">
        <v>1290</v>
      </c>
    </row>
    <row r="131" spans="1:16" ht="15.6">
      <c r="A131" s="104">
        <v>7</v>
      </c>
      <c r="B131" s="126">
        <v>46163</v>
      </c>
      <c r="C131" s="130">
        <v>20</v>
      </c>
      <c r="D131" s="95" t="str">
        <f>IF(ISERROR(VLOOKUP(C131,'[1]خريطة الحسابات'!_xlnm.Print_Area,3,FALSE))," ",(VLOOKUP(C131,'[1]خريطة الحسابات'!_xlnm.Print_Area,3,FALSE)))</f>
        <v xml:space="preserve">الخزينة </v>
      </c>
      <c r="E131" s="124"/>
      <c r="F131" s="118"/>
      <c r="G131" s="118">
        <v>25000</v>
      </c>
      <c r="H131" s="119">
        <f t="shared" si="3"/>
        <v>0</v>
      </c>
      <c r="I131" s="119">
        <f t="shared" si="3"/>
        <v>25000</v>
      </c>
      <c r="J131" s="119">
        <f t="shared" si="4"/>
        <v>-25000</v>
      </c>
      <c r="K131" s="120"/>
      <c r="L131" s="100" t="str">
        <f t="shared" si="5"/>
        <v>دائن</v>
      </c>
      <c r="M131" s="121" t="str">
        <f>IF(ISERROR(VLOOKUP(C131,'[1]خريطة الحسابات'!_xlnm.Print_Area,4,FALSE))," ",(VLOOKUP(C131,'[1]خريطة الحسابات'!_xlnm.Print_Area,4,FALSE)))</f>
        <v xml:space="preserve">أصول متداوله -النقدية ومافي حكمها </v>
      </c>
      <c r="N131" s="122" t="str">
        <f>IF(ISERROR(VLOOKUP(C131,'[1]خريطة الحسابات'!_xlnm.Print_Area,5,FALSE))," ",(VLOOKUP(C131,'[1]خريطة الحسابات'!_xlnm.Print_Area,5,FALSE)))</f>
        <v>الاصول</v>
      </c>
      <c r="O131" s="123" t="s">
        <v>1344</v>
      </c>
      <c r="P131" s="128" t="s">
        <v>1345</v>
      </c>
    </row>
    <row r="132" spans="1:16" ht="15.6">
      <c r="A132" s="104">
        <v>7</v>
      </c>
      <c r="B132" s="126">
        <v>46182</v>
      </c>
      <c r="C132" s="130">
        <v>20</v>
      </c>
      <c r="D132" s="95" t="str">
        <f>IF(ISERROR(VLOOKUP(C132,'[1]خريطة الحسابات'!_xlnm.Print_Area,3,FALSE))," ",(VLOOKUP(C132,'[1]خريطة الحسابات'!_xlnm.Print_Area,3,FALSE)))</f>
        <v xml:space="preserve">الخزينة </v>
      </c>
      <c r="E132" s="124"/>
      <c r="F132" s="118"/>
      <c r="G132" s="118">
        <v>27460</v>
      </c>
      <c r="H132" s="119">
        <f t="shared" si="3"/>
        <v>0</v>
      </c>
      <c r="I132" s="119">
        <f t="shared" si="3"/>
        <v>27460</v>
      </c>
      <c r="J132" s="119">
        <f t="shared" si="4"/>
        <v>-27460</v>
      </c>
      <c r="K132" s="120"/>
      <c r="L132" s="100" t="str">
        <f t="shared" si="5"/>
        <v>دائن</v>
      </c>
      <c r="M132" s="121" t="str">
        <f>IF(ISERROR(VLOOKUP(C132,'[1]خريطة الحسابات'!_xlnm.Print_Area,4,FALSE))," ",(VLOOKUP(C132,'[1]خريطة الحسابات'!_xlnm.Print_Area,4,FALSE)))</f>
        <v xml:space="preserve">أصول متداوله -النقدية ومافي حكمها </v>
      </c>
      <c r="N132" s="122" t="str">
        <f>IF(ISERROR(VLOOKUP(C132,'[1]خريطة الحسابات'!_xlnm.Print_Area,5,FALSE))," ",(VLOOKUP(C132,'[1]خريطة الحسابات'!_xlnm.Print_Area,5,FALSE)))</f>
        <v>الاصول</v>
      </c>
      <c r="O132" s="123" t="s">
        <v>1346</v>
      </c>
      <c r="P132" s="128" t="s">
        <v>1345</v>
      </c>
    </row>
    <row r="133" spans="1:16" ht="15.6">
      <c r="A133" s="104">
        <v>8</v>
      </c>
      <c r="B133" s="126">
        <v>46051</v>
      </c>
      <c r="C133" s="130">
        <v>4056</v>
      </c>
      <c r="D133" s="95" t="str">
        <f>IF(ISERROR(VLOOKUP(C133,'[1]خريطة الحسابات'!_xlnm.Print_Area,3,FALSE))," ",(VLOOKUP(C133,'[1]خريطة الحسابات'!_xlnm.Print_Area,3,FALSE)))</f>
        <v>القبيصي</v>
      </c>
      <c r="E133" s="124"/>
      <c r="F133" s="118">
        <v>16000</v>
      </c>
      <c r="G133" s="118"/>
      <c r="H133" s="119">
        <f t="shared" si="3"/>
        <v>16000</v>
      </c>
      <c r="I133" s="119">
        <f t="shared" si="3"/>
        <v>0</v>
      </c>
      <c r="J133" s="119">
        <f t="shared" si="4"/>
        <v>16000</v>
      </c>
      <c r="K133" s="120"/>
      <c r="L133" s="100" t="str">
        <f t="shared" si="5"/>
        <v>مدين</v>
      </c>
      <c r="M133" s="121" t="str">
        <f>IF(ISERROR(VLOOKUP(C133,'[1]خريطة الحسابات'!_xlnm.Print_Area,4,FALSE))," ",(VLOOKUP(C133,'[1]خريطة الحسابات'!_xlnm.Print_Area,4,FALSE)))</f>
        <v>موردين</v>
      </c>
      <c r="N133" s="122" t="str">
        <f>IF(ISERROR(VLOOKUP(C133,'[1]خريطة الحسابات'!_xlnm.Print_Area,5,FALSE))," ",(VLOOKUP(C133,'[1]خريطة الحسابات'!_xlnm.Print_Area,5,FALSE)))</f>
        <v xml:space="preserve">الدائنون والأرصدة الدائنة الأخرى </v>
      </c>
      <c r="O133" s="129" t="s">
        <v>1347</v>
      </c>
      <c r="P133" s="128" t="s">
        <v>1299</v>
      </c>
    </row>
    <row r="134" spans="1:16" ht="15.6">
      <c r="A134" s="104">
        <v>8</v>
      </c>
      <c r="B134" s="126">
        <v>46051</v>
      </c>
      <c r="C134" s="130">
        <v>4056</v>
      </c>
      <c r="D134" s="95" t="str">
        <f>IF(ISERROR(VLOOKUP(C134,'[1]خريطة الحسابات'!_xlnm.Print_Area,3,FALSE))," ",(VLOOKUP(C134,'[1]خريطة الحسابات'!_xlnm.Print_Area,3,FALSE)))</f>
        <v>القبيصي</v>
      </c>
      <c r="E134" s="124"/>
      <c r="F134" s="118">
        <v>9100</v>
      </c>
      <c r="G134" s="118"/>
      <c r="H134" s="119">
        <f t="shared" si="3"/>
        <v>9100</v>
      </c>
      <c r="I134" s="119">
        <f t="shared" si="3"/>
        <v>0</v>
      </c>
      <c r="J134" s="119">
        <f t="shared" si="4"/>
        <v>9100</v>
      </c>
      <c r="K134" s="120"/>
      <c r="L134" s="100" t="str">
        <f t="shared" si="5"/>
        <v>مدين</v>
      </c>
      <c r="M134" s="121" t="str">
        <f>IF(ISERROR(VLOOKUP(C134,'[1]خريطة الحسابات'!_xlnm.Print_Area,4,FALSE))," ",(VLOOKUP(C134,'[1]خريطة الحسابات'!_xlnm.Print_Area,4,FALSE)))</f>
        <v>موردين</v>
      </c>
      <c r="N134" s="122" t="str">
        <f>IF(ISERROR(VLOOKUP(C134,'[1]خريطة الحسابات'!_xlnm.Print_Area,5,FALSE))," ",(VLOOKUP(C134,'[1]خريطة الحسابات'!_xlnm.Print_Area,5,FALSE)))</f>
        <v xml:space="preserve">الدائنون والأرصدة الدائنة الأخرى </v>
      </c>
      <c r="O134" s="129" t="s">
        <v>1347</v>
      </c>
      <c r="P134" s="128" t="s">
        <v>1297</v>
      </c>
    </row>
    <row r="135" spans="1:16" ht="15.6">
      <c r="A135" s="104">
        <v>8</v>
      </c>
      <c r="B135" s="126">
        <v>46124</v>
      </c>
      <c r="C135" s="130">
        <v>4056</v>
      </c>
      <c r="D135" s="95" t="str">
        <f>IF(ISERROR(VLOOKUP(C135,'[1]خريطة الحسابات'!_xlnm.Print_Area,3,FALSE))," ",(VLOOKUP(C135,'[1]خريطة الحسابات'!_xlnm.Print_Area,3,FALSE)))</f>
        <v>القبيصي</v>
      </c>
      <c r="E135" s="124"/>
      <c r="F135" s="118">
        <v>13000</v>
      </c>
      <c r="G135" s="118"/>
      <c r="H135" s="119">
        <f t="shared" si="3"/>
        <v>13000</v>
      </c>
      <c r="I135" s="119">
        <f t="shared" si="3"/>
        <v>0</v>
      </c>
      <c r="J135" s="119">
        <f t="shared" si="4"/>
        <v>13000</v>
      </c>
      <c r="K135" s="120"/>
      <c r="L135" s="100" t="str">
        <f t="shared" si="5"/>
        <v>مدين</v>
      </c>
      <c r="M135" s="121" t="str">
        <f>IF(ISERROR(VLOOKUP(C135,'[1]خريطة الحسابات'!_xlnm.Print_Area,4,FALSE))," ",(VLOOKUP(C135,'[1]خريطة الحسابات'!_xlnm.Print_Area,4,FALSE)))</f>
        <v>موردين</v>
      </c>
      <c r="N135" s="122" t="str">
        <f>IF(ISERROR(VLOOKUP(C135,'[1]خريطة الحسابات'!_xlnm.Print_Area,5,FALSE))," ",(VLOOKUP(C135,'[1]خريطة الحسابات'!_xlnm.Print_Area,5,FALSE)))</f>
        <v xml:space="preserve">الدائنون والأرصدة الدائنة الأخرى </v>
      </c>
      <c r="O135" s="129" t="s">
        <v>1348</v>
      </c>
      <c r="P135" s="128" t="s">
        <v>1342</v>
      </c>
    </row>
    <row r="136" spans="1:16" ht="15.6">
      <c r="A136" s="104">
        <v>8</v>
      </c>
      <c r="B136" s="126">
        <v>46135</v>
      </c>
      <c r="C136" s="130">
        <v>4056</v>
      </c>
      <c r="D136" s="95" t="str">
        <f>IF(ISERROR(VLOOKUP(C136,'[1]خريطة الحسابات'!_xlnm.Print_Area,3,FALSE))," ",(VLOOKUP(C136,'[1]خريطة الحسابات'!_xlnm.Print_Area,3,FALSE)))</f>
        <v>القبيصي</v>
      </c>
      <c r="E136" s="124"/>
      <c r="F136" s="118">
        <v>25020</v>
      </c>
      <c r="G136" s="118"/>
      <c r="H136" s="119">
        <f t="shared" si="3"/>
        <v>25020</v>
      </c>
      <c r="I136" s="119">
        <f t="shared" si="3"/>
        <v>0</v>
      </c>
      <c r="J136" s="119">
        <f t="shared" si="4"/>
        <v>25020</v>
      </c>
      <c r="K136" s="120"/>
      <c r="L136" s="100" t="str">
        <f t="shared" si="5"/>
        <v>مدين</v>
      </c>
      <c r="M136" s="121" t="str">
        <f>IF(ISERROR(VLOOKUP(C136,'[1]خريطة الحسابات'!_xlnm.Print_Area,4,FALSE))," ",(VLOOKUP(C136,'[1]خريطة الحسابات'!_xlnm.Print_Area,4,FALSE)))</f>
        <v>موردين</v>
      </c>
      <c r="N136" s="122" t="str">
        <f>IF(ISERROR(VLOOKUP(C136,'[1]خريطة الحسابات'!_xlnm.Print_Area,5,FALSE))," ",(VLOOKUP(C136,'[1]خريطة الحسابات'!_xlnm.Print_Area,5,FALSE)))</f>
        <v xml:space="preserve">الدائنون والأرصدة الدائنة الأخرى </v>
      </c>
      <c r="O136" s="129" t="s">
        <v>1348</v>
      </c>
      <c r="P136" s="128" t="s">
        <v>1342</v>
      </c>
    </row>
    <row r="137" spans="1:16" ht="15.6">
      <c r="A137" s="104">
        <v>8</v>
      </c>
      <c r="B137" s="126">
        <v>46163</v>
      </c>
      <c r="C137" s="130">
        <v>4056</v>
      </c>
      <c r="D137" s="95" t="str">
        <f>IF(ISERROR(VLOOKUP(C137,'[1]خريطة الحسابات'!_xlnm.Print_Area,3,FALSE))," ",(VLOOKUP(C137,'[1]خريطة الحسابات'!_xlnm.Print_Area,3,FALSE)))</f>
        <v>القبيصي</v>
      </c>
      <c r="E137" s="124"/>
      <c r="F137" s="118">
        <v>15000</v>
      </c>
      <c r="G137" s="118"/>
      <c r="H137" s="119">
        <f t="shared" si="3"/>
        <v>15000</v>
      </c>
      <c r="I137" s="119">
        <f t="shared" si="3"/>
        <v>0</v>
      </c>
      <c r="J137" s="119">
        <f t="shared" si="4"/>
        <v>15000</v>
      </c>
      <c r="K137" s="120"/>
      <c r="L137" s="100" t="str">
        <f t="shared" si="5"/>
        <v>مدين</v>
      </c>
      <c r="M137" s="121" t="str">
        <f>IF(ISERROR(VLOOKUP(C137,'[1]خريطة الحسابات'!_xlnm.Print_Area,4,FALSE))," ",(VLOOKUP(C137,'[1]خريطة الحسابات'!_xlnm.Print_Area,4,FALSE)))</f>
        <v>موردين</v>
      </c>
      <c r="N137" s="122" t="str">
        <f>IF(ISERROR(VLOOKUP(C137,'[1]خريطة الحسابات'!_xlnm.Print_Area,5,FALSE))," ",(VLOOKUP(C137,'[1]خريطة الحسابات'!_xlnm.Print_Area,5,FALSE)))</f>
        <v xml:space="preserve">الدائنون والأرصدة الدائنة الأخرى </v>
      </c>
      <c r="O137" s="129" t="s">
        <v>1349</v>
      </c>
      <c r="P137" s="128" t="s">
        <v>1315</v>
      </c>
    </row>
    <row r="138" spans="1:16" ht="15.6">
      <c r="A138" s="104">
        <v>8</v>
      </c>
      <c r="B138" s="126">
        <v>46051</v>
      </c>
      <c r="C138" s="130">
        <v>20</v>
      </c>
      <c r="D138" s="95" t="str">
        <f>IF(ISERROR(VLOOKUP(C138,'[1]خريطة الحسابات'!_xlnm.Print_Area,3,FALSE))," ",(VLOOKUP(C138,'[1]خريطة الحسابات'!_xlnm.Print_Area,3,FALSE)))</f>
        <v xml:space="preserve">الخزينة </v>
      </c>
      <c r="E138" s="124"/>
      <c r="F138" s="118"/>
      <c r="G138" s="118">
        <v>16000</v>
      </c>
      <c r="H138" s="119">
        <f t="shared" si="3"/>
        <v>0</v>
      </c>
      <c r="I138" s="119">
        <f t="shared" si="3"/>
        <v>16000</v>
      </c>
      <c r="J138" s="119">
        <f t="shared" si="4"/>
        <v>-16000</v>
      </c>
      <c r="K138" s="120"/>
      <c r="L138" s="100" t="str">
        <f t="shared" si="5"/>
        <v>دائن</v>
      </c>
      <c r="M138" s="121" t="str">
        <f>IF(ISERROR(VLOOKUP(C138,'[1]خريطة الحسابات'!_xlnm.Print_Area,4,FALSE))," ",(VLOOKUP(C138,'[1]خريطة الحسابات'!_xlnm.Print_Area,4,FALSE)))</f>
        <v xml:space="preserve">أصول متداوله -النقدية ومافي حكمها </v>
      </c>
      <c r="N138" s="122" t="str">
        <f>IF(ISERROR(VLOOKUP(C138,'[1]خريطة الحسابات'!_xlnm.Print_Area,5,FALSE))," ",(VLOOKUP(C138,'[1]خريطة الحسابات'!_xlnm.Print_Area,5,FALSE)))</f>
        <v>الاصول</v>
      </c>
      <c r="O138" s="129" t="s">
        <v>1347</v>
      </c>
      <c r="P138" s="128" t="s">
        <v>1299</v>
      </c>
    </row>
    <row r="139" spans="1:16" ht="15.6">
      <c r="A139" s="104">
        <v>8</v>
      </c>
      <c r="B139" s="126">
        <v>46051</v>
      </c>
      <c r="C139" s="130">
        <v>20</v>
      </c>
      <c r="D139" s="95" t="str">
        <f>IF(ISERROR(VLOOKUP(C139,'[1]خريطة الحسابات'!_xlnm.Print_Area,3,FALSE))," ",(VLOOKUP(C139,'[1]خريطة الحسابات'!_xlnm.Print_Area,3,FALSE)))</f>
        <v xml:space="preserve">الخزينة </v>
      </c>
      <c r="E139" s="124"/>
      <c r="F139" s="118"/>
      <c r="G139" s="118">
        <v>9100</v>
      </c>
      <c r="H139" s="119">
        <f t="shared" si="3"/>
        <v>0</v>
      </c>
      <c r="I139" s="119">
        <f t="shared" si="3"/>
        <v>9100</v>
      </c>
      <c r="J139" s="119">
        <f t="shared" si="4"/>
        <v>-9100</v>
      </c>
      <c r="K139" s="120"/>
      <c r="L139" s="100" t="str">
        <f t="shared" si="5"/>
        <v>دائن</v>
      </c>
      <c r="M139" s="121" t="str">
        <f>IF(ISERROR(VLOOKUP(C139,'[1]خريطة الحسابات'!_xlnm.Print_Area,4,FALSE))," ",(VLOOKUP(C139,'[1]خريطة الحسابات'!_xlnm.Print_Area,4,FALSE)))</f>
        <v xml:space="preserve">أصول متداوله -النقدية ومافي حكمها </v>
      </c>
      <c r="N139" s="122" t="str">
        <f>IF(ISERROR(VLOOKUP(C139,'[1]خريطة الحسابات'!_xlnm.Print_Area,5,FALSE))," ",(VLOOKUP(C139,'[1]خريطة الحسابات'!_xlnm.Print_Area,5,FALSE)))</f>
        <v>الاصول</v>
      </c>
      <c r="O139" s="129" t="s">
        <v>1347</v>
      </c>
      <c r="P139" s="128" t="s">
        <v>1297</v>
      </c>
    </row>
    <row r="140" spans="1:16" ht="15.6">
      <c r="A140" s="104">
        <v>8</v>
      </c>
      <c r="B140" s="126">
        <v>46124</v>
      </c>
      <c r="C140" s="130">
        <v>20</v>
      </c>
      <c r="D140" s="95" t="str">
        <f>IF(ISERROR(VLOOKUP(C140,'[1]خريطة الحسابات'!_xlnm.Print_Area,3,FALSE))," ",(VLOOKUP(C140,'[1]خريطة الحسابات'!_xlnm.Print_Area,3,FALSE)))</f>
        <v xml:space="preserve">الخزينة </v>
      </c>
      <c r="E140" s="124"/>
      <c r="F140" s="118"/>
      <c r="G140" s="118">
        <v>13000</v>
      </c>
      <c r="H140" s="119">
        <f t="shared" si="3"/>
        <v>0</v>
      </c>
      <c r="I140" s="119">
        <f t="shared" si="3"/>
        <v>13000</v>
      </c>
      <c r="J140" s="119">
        <f t="shared" si="4"/>
        <v>-13000</v>
      </c>
      <c r="K140" s="120"/>
      <c r="L140" s="100" t="str">
        <f t="shared" si="5"/>
        <v>دائن</v>
      </c>
      <c r="M140" s="121" t="str">
        <f>IF(ISERROR(VLOOKUP(C140,'[1]خريطة الحسابات'!_xlnm.Print_Area,4,FALSE))," ",(VLOOKUP(C140,'[1]خريطة الحسابات'!_xlnm.Print_Area,4,FALSE)))</f>
        <v xml:space="preserve">أصول متداوله -النقدية ومافي حكمها </v>
      </c>
      <c r="N140" s="122" t="str">
        <f>IF(ISERROR(VLOOKUP(C140,'[1]خريطة الحسابات'!_xlnm.Print_Area,5,FALSE))," ",(VLOOKUP(C140,'[1]خريطة الحسابات'!_xlnm.Print_Area,5,FALSE)))</f>
        <v>الاصول</v>
      </c>
      <c r="O140" s="129" t="s">
        <v>1348</v>
      </c>
      <c r="P140" s="128" t="s">
        <v>1342</v>
      </c>
    </row>
    <row r="141" spans="1:16" ht="15.6">
      <c r="A141" s="104">
        <v>8</v>
      </c>
      <c r="B141" s="126">
        <v>46135</v>
      </c>
      <c r="C141" s="130">
        <v>20</v>
      </c>
      <c r="D141" s="95" t="str">
        <f>IF(ISERROR(VLOOKUP(C141,'[1]خريطة الحسابات'!_xlnm.Print_Area,3,FALSE))," ",(VLOOKUP(C141,'[1]خريطة الحسابات'!_xlnm.Print_Area,3,FALSE)))</f>
        <v xml:space="preserve">الخزينة </v>
      </c>
      <c r="E141" s="124"/>
      <c r="F141" s="118"/>
      <c r="G141" s="118">
        <v>25020</v>
      </c>
      <c r="H141" s="119">
        <f t="shared" si="3"/>
        <v>0</v>
      </c>
      <c r="I141" s="119">
        <f t="shared" si="3"/>
        <v>25020</v>
      </c>
      <c r="J141" s="119">
        <f t="shared" si="4"/>
        <v>-25020</v>
      </c>
      <c r="K141" s="120"/>
      <c r="L141" s="100" t="str">
        <f t="shared" si="5"/>
        <v>دائن</v>
      </c>
      <c r="M141" s="121" t="str">
        <f>IF(ISERROR(VLOOKUP(C141,'[1]خريطة الحسابات'!_xlnm.Print_Area,4,FALSE))," ",(VLOOKUP(C141,'[1]خريطة الحسابات'!_xlnm.Print_Area,4,FALSE)))</f>
        <v xml:space="preserve">أصول متداوله -النقدية ومافي حكمها </v>
      </c>
      <c r="N141" s="122" t="str">
        <f>IF(ISERROR(VLOOKUP(C141,'[1]خريطة الحسابات'!_xlnm.Print_Area,5,FALSE))," ",(VLOOKUP(C141,'[1]خريطة الحسابات'!_xlnm.Print_Area,5,FALSE)))</f>
        <v>الاصول</v>
      </c>
      <c r="O141" s="129" t="s">
        <v>1348</v>
      </c>
      <c r="P141" s="128" t="s">
        <v>1342</v>
      </c>
    </row>
    <row r="142" spans="1:16" ht="15.6">
      <c r="A142" s="104">
        <v>8</v>
      </c>
      <c r="B142" s="126">
        <v>46163</v>
      </c>
      <c r="C142" s="130">
        <v>20</v>
      </c>
      <c r="D142" s="95" t="str">
        <f>IF(ISERROR(VLOOKUP(C142,'[1]خريطة الحسابات'!_xlnm.Print_Area,3,FALSE))," ",(VLOOKUP(C142,'[1]خريطة الحسابات'!_xlnm.Print_Area,3,FALSE)))</f>
        <v xml:space="preserve">الخزينة </v>
      </c>
      <c r="E142" s="124"/>
      <c r="F142" s="118"/>
      <c r="G142" s="118">
        <v>15000</v>
      </c>
      <c r="H142" s="119">
        <f t="shared" si="3"/>
        <v>0</v>
      </c>
      <c r="I142" s="119">
        <f t="shared" si="3"/>
        <v>15000</v>
      </c>
      <c r="J142" s="119">
        <f t="shared" si="4"/>
        <v>-15000</v>
      </c>
      <c r="K142" s="120"/>
      <c r="L142" s="100" t="str">
        <f t="shared" si="5"/>
        <v>دائن</v>
      </c>
      <c r="M142" s="121" t="str">
        <f>IF(ISERROR(VLOOKUP(C142,'[1]خريطة الحسابات'!_xlnm.Print_Area,4,FALSE))," ",(VLOOKUP(C142,'[1]خريطة الحسابات'!_xlnm.Print_Area,4,FALSE)))</f>
        <v xml:space="preserve">أصول متداوله -النقدية ومافي حكمها </v>
      </c>
      <c r="N142" s="122" t="str">
        <f>IF(ISERROR(VLOOKUP(C142,'[1]خريطة الحسابات'!_xlnm.Print_Area,5,FALSE))," ",(VLOOKUP(C142,'[1]خريطة الحسابات'!_xlnm.Print_Area,5,FALSE)))</f>
        <v>الاصول</v>
      </c>
      <c r="O142" s="129" t="s">
        <v>1349</v>
      </c>
      <c r="P142" s="128" t="s">
        <v>1315</v>
      </c>
    </row>
    <row r="143" spans="1:16" ht="15.6">
      <c r="A143" s="104">
        <v>9</v>
      </c>
      <c r="B143" s="126">
        <v>46146</v>
      </c>
      <c r="C143" s="130">
        <v>4067</v>
      </c>
      <c r="D143" s="95" t="str">
        <f>IF(ISERROR(VLOOKUP(C143,'[1]خريطة الحسابات'!_xlnm.Print_Area,3,FALSE))," ",(VLOOKUP(C143,'[1]خريطة الحسابات'!_xlnm.Print_Area,3,FALSE)))</f>
        <v>ايجي تند</v>
      </c>
      <c r="E143" s="124"/>
      <c r="F143" s="118">
        <v>23000</v>
      </c>
      <c r="G143" s="118"/>
      <c r="H143" s="119">
        <f t="shared" si="3"/>
        <v>23000</v>
      </c>
      <c r="I143" s="119">
        <f t="shared" si="3"/>
        <v>0</v>
      </c>
      <c r="J143" s="119">
        <f t="shared" si="4"/>
        <v>23000</v>
      </c>
      <c r="K143" s="120"/>
      <c r="L143" s="100" t="str">
        <f t="shared" si="5"/>
        <v>مدين</v>
      </c>
      <c r="M143" s="121" t="str">
        <f>IF(ISERROR(VLOOKUP(C143,'[1]خريطة الحسابات'!_xlnm.Print_Area,4,FALSE))," ",(VLOOKUP(C143,'[1]خريطة الحسابات'!_xlnm.Print_Area,4,FALSE)))</f>
        <v>موردين</v>
      </c>
      <c r="N143" s="122" t="str">
        <f>IF(ISERROR(VLOOKUP(C143,'[1]خريطة الحسابات'!_xlnm.Print_Area,5,FALSE))," ",(VLOOKUP(C143,'[1]خريطة الحسابات'!_xlnm.Print_Area,5,FALSE)))</f>
        <v xml:space="preserve">الدائنون والأرصدة الدائنة الأخرى </v>
      </c>
      <c r="O143" s="129" t="s">
        <v>1350</v>
      </c>
      <c r="P143" s="128" t="s">
        <v>1290</v>
      </c>
    </row>
    <row r="144" spans="1:16" ht="15.6">
      <c r="A144" s="104">
        <v>9</v>
      </c>
      <c r="B144" s="126">
        <v>46146</v>
      </c>
      <c r="C144" s="130">
        <v>20</v>
      </c>
      <c r="D144" s="95" t="str">
        <f>IF(ISERROR(VLOOKUP(C144,'[1]خريطة الحسابات'!_xlnm.Print_Area,3,FALSE))," ",(VLOOKUP(C144,'[1]خريطة الحسابات'!_xlnm.Print_Area,3,FALSE)))</f>
        <v xml:space="preserve">الخزينة </v>
      </c>
      <c r="E144" s="124"/>
      <c r="F144" s="118"/>
      <c r="G144" s="118">
        <v>23000</v>
      </c>
      <c r="H144" s="119">
        <f t="shared" si="3"/>
        <v>0</v>
      </c>
      <c r="I144" s="119">
        <f t="shared" si="3"/>
        <v>23000</v>
      </c>
      <c r="J144" s="119">
        <f t="shared" si="4"/>
        <v>-23000</v>
      </c>
      <c r="K144" s="120"/>
      <c r="L144" s="100" t="str">
        <f t="shared" si="5"/>
        <v>دائن</v>
      </c>
      <c r="M144" s="121" t="str">
        <f>IF(ISERROR(VLOOKUP(C144,'[1]خريطة الحسابات'!_xlnm.Print_Area,4,FALSE))," ",(VLOOKUP(C144,'[1]خريطة الحسابات'!_xlnm.Print_Area,4,FALSE)))</f>
        <v xml:space="preserve">أصول متداوله -النقدية ومافي حكمها </v>
      </c>
      <c r="N144" s="122" t="str">
        <f>IF(ISERROR(VLOOKUP(C144,'[1]خريطة الحسابات'!_xlnm.Print_Area,5,FALSE))," ",(VLOOKUP(C144,'[1]خريطة الحسابات'!_xlnm.Print_Area,5,FALSE)))</f>
        <v>الاصول</v>
      </c>
      <c r="O144" s="129" t="s">
        <v>1350</v>
      </c>
      <c r="P144" s="128" t="s">
        <v>1290</v>
      </c>
    </row>
    <row r="145" spans="1:16">
      <c r="A145" s="104">
        <v>10</v>
      </c>
      <c r="B145" s="126">
        <v>46029</v>
      </c>
      <c r="C145" s="130">
        <v>4061</v>
      </c>
      <c r="D145" s="95" t="str">
        <f>IF(ISERROR(VLOOKUP(C145,'[1]خريطة الحسابات'!_xlnm.Print_Area,3,FALSE))," ",(VLOOKUP(C145,'[1]خريطة الحسابات'!_xlnm.Print_Area,3,FALSE)))</f>
        <v>ايليت للمطابخ ( الميري)</v>
      </c>
      <c r="E145" s="124"/>
      <c r="F145" s="118">
        <v>25020</v>
      </c>
      <c r="G145" s="118"/>
      <c r="H145" s="119">
        <f t="shared" si="3"/>
        <v>25020</v>
      </c>
      <c r="I145" s="119">
        <f t="shared" si="3"/>
        <v>0</v>
      </c>
      <c r="J145" s="119">
        <f t="shared" si="4"/>
        <v>25020</v>
      </c>
      <c r="K145" s="120"/>
      <c r="L145" s="100" t="str">
        <f t="shared" si="5"/>
        <v>مدين</v>
      </c>
      <c r="M145" s="121" t="str">
        <f>IF(ISERROR(VLOOKUP(C145,'[1]خريطة الحسابات'!_xlnm.Print_Area,4,FALSE))," ",(VLOOKUP(C145,'[1]خريطة الحسابات'!_xlnm.Print_Area,4,FALSE)))</f>
        <v>موردين</v>
      </c>
      <c r="N145" s="122" t="str">
        <f>IF(ISERROR(VLOOKUP(C145,'[1]خريطة الحسابات'!_xlnm.Print_Area,5,FALSE))," ",(VLOOKUP(C145,'[1]خريطة الحسابات'!_xlnm.Print_Area,5,FALSE)))</f>
        <v xml:space="preserve">الدائنون والأرصدة الدائنة الأخرى </v>
      </c>
      <c r="O145" s="123" t="s">
        <v>1351</v>
      </c>
      <c r="P145" s="125" t="s">
        <v>1295</v>
      </c>
    </row>
    <row r="146" spans="1:16">
      <c r="A146" s="104">
        <v>10</v>
      </c>
      <c r="B146" s="126">
        <v>46033</v>
      </c>
      <c r="C146" s="130">
        <v>4061</v>
      </c>
      <c r="D146" s="95" t="str">
        <f>IF(ISERROR(VLOOKUP(C146,'[1]خريطة الحسابات'!_xlnm.Print_Area,3,FALSE))," ",(VLOOKUP(C146,'[1]خريطة الحسابات'!_xlnm.Print_Area,3,FALSE)))</f>
        <v>ايليت للمطابخ ( الميري)</v>
      </c>
      <c r="E146" s="124"/>
      <c r="F146" s="118">
        <v>5000</v>
      </c>
      <c r="G146" s="118"/>
      <c r="H146" s="119">
        <f t="shared" si="3"/>
        <v>5000</v>
      </c>
      <c r="I146" s="119">
        <f t="shared" si="3"/>
        <v>0</v>
      </c>
      <c r="J146" s="119">
        <f t="shared" si="4"/>
        <v>5000</v>
      </c>
      <c r="K146" s="120"/>
      <c r="L146" s="100" t="str">
        <f t="shared" si="5"/>
        <v>مدين</v>
      </c>
      <c r="M146" s="121" t="str">
        <f>IF(ISERROR(VLOOKUP(C146,'[1]خريطة الحسابات'!_xlnm.Print_Area,4,FALSE))," ",(VLOOKUP(C146,'[1]خريطة الحسابات'!_xlnm.Print_Area,4,FALSE)))</f>
        <v>موردين</v>
      </c>
      <c r="N146" s="122" t="str">
        <f>IF(ISERROR(VLOOKUP(C146,'[1]خريطة الحسابات'!_xlnm.Print_Area,5,FALSE))," ",(VLOOKUP(C146,'[1]خريطة الحسابات'!_xlnm.Print_Area,5,FALSE)))</f>
        <v xml:space="preserve">الدائنون والأرصدة الدائنة الأخرى </v>
      </c>
      <c r="O146" s="123" t="s">
        <v>1352</v>
      </c>
      <c r="P146" s="125" t="s">
        <v>1299</v>
      </c>
    </row>
    <row r="147" spans="1:16">
      <c r="A147" s="104">
        <v>10</v>
      </c>
      <c r="B147" s="126">
        <v>46035</v>
      </c>
      <c r="C147" s="130">
        <v>4061</v>
      </c>
      <c r="D147" s="95" t="str">
        <f>IF(ISERROR(VLOOKUP(C147,'[1]خريطة الحسابات'!_xlnm.Print_Area,3,FALSE))," ",(VLOOKUP(C147,'[1]خريطة الحسابات'!_xlnm.Print_Area,3,FALSE)))</f>
        <v>ايليت للمطابخ ( الميري)</v>
      </c>
      <c r="E147" s="124"/>
      <c r="F147" s="118">
        <v>50000</v>
      </c>
      <c r="G147" s="118"/>
      <c r="H147" s="119">
        <f t="shared" si="3"/>
        <v>50000</v>
      </c>
      <c r="I147" s="119">
        <f t="shared" si="3"/>
        <v>0</v>
      </c>
      <c r="J147" s="119">
        <f t="shared" si="4"/>
        <v>50000</v>
      </c>
      <c r="K147" s="120"/>
      <c r="L147" s="100" t="str">
        <f t="shared" si="5"/>
        <v>مدين</v>
      </c>
      <c r="M147" s="121" t="str">
        <f>IF(ISERROR(VLOOKUP(C147,'[1]خريطة الحسابات'!_xlnm.Print_Area,4,FALSE))," ",(VLOOKUP(C147,'[1]خريطة الحسابات'!_xlnm.Print_Area,4,FALSE)))</f>
        <v>موردين</v>
      </c>
      <c r="N147" s="122" t="str">
        <f>IF(ISERROR(VLOOKUP(C147,'[1]خريطة الحسابات'!_xlnm.Print_Area,5,FALSE))," ",(VLOOKUP(C147,'[1]خريطة الحسابات'!_xlnm.Print_Area,5,FALSE)))</f>
        <v xml:space="preserve">الدائنون والأرصدة الدائنة الأخرى </v>
      </c>
      <c r="O147" s="123" t="s">
        <v>1352</v>
      </c>
      <c r="P147" s="125" t="s">
        <v>1299</v>
      </c>
    </row>
    <row r="148" spans="1:16">
      <c r="A148" s="104">
        <v>10</v>
      </c>
      <c r="B148" s="126">
        <v>46040</v>
      </c>
      <c r="C148" s="130">
        <v>4061</v>
      </c>
      <c r="D148" s="95" t="str">
        <f>IF(ISERROR(VLOOKUP(C148,'[1]خريطة الحسابات'!_xlnm.Print_Area,3,FALSE))," ",(VLOOKUP(C148,'[1]خريطة الحسابات'!_xlnm.Print_Area,3,FALSE)))</f>
        <v>ايليت للمطابخ ( الميري)</v>
      </c>
      <c r="E148" s="124"/>
      <c r="F148" s="118">
        <v>30000</v>
      </c>
      <c r="G148" s="118"/>
      <c r="H148" s="119">
        <f t="shared" si="3"/>
        <v>30000</v>
      </c>
      <c r="I148" s="119">
        <f t="shared" si="3"/>
        <v>0</v>
      </c>
      <c r="J148" s="119">
        <f t="shared" si="4"/>
        <v>30000</v>
      </c>
      <c r="K148" s="120"/>
      <c r="L148" s="100" t="str">
        <f t="shared" si="5"/>
        <v>مدين</v>
      </c>
      <c r="M148" s="121" t="str">
        <f>IF(ISERROR(VLOOKUP(C148,'[1]خريطة الحسابات'!_xlnm.Print_Area,4,FALSE))," ",(VLOOKUP(C148,'[1]خريطة الحسابات'!_xlnm.Print_Area,4,FALSE)))</f>
        <v>موردين</v>
      </c>
      <c r="N148" s="122" t="str">
        <f>IF(ISERROR(VLOOKUP(C148,'[1]خريطة الحسابات'!_xlnm.Print_Area,5,FALSE))," ",(VLOOKUP(C148,'[1]خريطة الحسابات'!_xlnm.Print_Area,5,FALSE)))</f>
        <v xml:space="preserve">الدائنون والأرصدة الدائنة الأخرى </v>
      </c>
      <c r="O148" s="123" t="s">
        <v>1353</v>
      </c>
      <c r="P148" s="125" t="s">
        <v>1299</v>
      </c>
    </row>
    <row r="149" spans="1:16">
      <c r="A149" s="104">
        <v>10</v>
      </c>
      <c r="B149" s="126">
        <v>46040</v>
      </c>
      <c r="C149" s="130">
        <v>4061</v>
      </c>
      <c r="D149" s="95" t="str">
        <f>IF(ISERROR(VLOOKUP(C149,'[1]خريطة الحسابات'!_xlnm.Print_Area,3,FALSE))," ",(VLOOKUP(C149,'[1]خريطة الحسابات'!_xlnm.Print_Area,3,FALSE)))</f>
        <v>ايليت للمطابخ ( الميري)</v>
      </c>
      <c r="E149" s="124"/>
      <c r="F149" s="118">
        <v>30000</v>
      </c>
      <c r="G149" s="118"/>
      <c r="H149" s="119">
        <f t="shared" si="3"/>
        <v>30000</v>
      </c>
      <c r="I149" s="119">
        <f t="shared" si="3"/>
        <v>0</v>
      </c>
      <c r="J149" s="119">
        <f t="shared" si="4"/>
        <v>30000</v>
      </c>
      <c r="K149" s="120"/>
      <c r="L149" s="100" t="str">
        <f t="shared" si="5"/>
        <v>مدين</v>
      </c>
      <c r="M149" s="121" t="str">
        <f>IF(ISERROR(VLOOKUP(C149,'[1]خريطة الحسابات'!_xlnm.Print_Area,4,FALSE))," ",(VLOOKUP(C149,'[1]خريطة الحسابات'!_xlnm.Print_Area,4,FALSE)))</f>
        <v>موردين</v>
      </c>
      <c r="N149" s="122" t="str">
        <f>IF(ISERROR(VLOOKUP(C149,'[1]خريطة الحسابات'!_xlnm.Print_Area,5,FALSE))," ",(VLOOKUP(C149,'[1]خريطة الحسابات'!_xlnm.Print_Area,5,FALSE)))</f>
        <v xml:space="preserve">الدائنون والأرصدة الدائنة الأخرى </v>
      </c>
      <c r="O149" s="123" t="s">
        <v>1353</v>
      </c>
      <c r="P149" s="125" t="s">
        <v>1295</v>
      </c>
    </row>
    <row r="150" spans="1:16">
      <c r="A150" s="104">
        <v>10</v>
      </c>
      <c r="B150" s="131">
        <v>46048</v>
      </c>
      <c r="C150" s="130">
        <v>4061</v>
      </c>
      <c r="D150" s="95" t="str">
        <f>IF(ISERROR(VLOOKUP(C150,'[1]خريطة الحسابات'!_xlnm.Print_Area,3,FALSE))," ",(VLOOKUP(C150,'[1]خريطة الحسابات'!_xlnm.Print_Area,3,FALSE)))</f>
        <v>ايليت للمطابخ ( الميري)</v>
      </c>
      <c r="E150" s="132"/>
      <c r="F150" s="133">
        <v>6006</v>
      </c>
      <c r="G150" s="133"/>
      <c r="H150" s="134">
        <f t="shared" si="3"/>
        <v>6006</v>
      </c>
      <c r="I150" s="134">
        <f t="shared" si="3"/>
        <v>0</v>
      </c>
      <c r="J150" s="134">
        <f t="shared" si="4"/>
        <v>6006</v>
      </c>
      <c r="K150" s="135"/>
      <c r="L150" s="136" t="str">
        <f t="shared" si="5"/>
        <v>مدين</v>
      </c>
      <c r="M150" s="137" t="str">
        <f>IF(ISERROR(VLOOKUP(C150,'[1]خريطة الحسابات'!_xlnm.Print_Area,4,FALSE))," ",(VLOOKUP(C150,'[1]خريطة الحسابات'!_xlnm.Print_Area,4,FALSE)))</f>
        <v>موردين</v>
      </c>
      <c r="N150" s="138" t="str">
        <f>IF(ISERROR(VLOOKUP(C150,'[1]خريطة الحسابات'!_xlnm.Print_Area,5,FALSE))," ",(VLOOKUP(C150,'[1]خريطة الحسابات'!_xlnm.Print_Area,5,FALSE)))</f>
        <v xml:space="preserve">الدائنون والأرصدة الدائنة الأخرى </v>
      </c>
      <c r="O150" s="84" t="s">
        <v>1354</v>
      </c>
      <c r="P150" s="139" t="s">
        <v>1299</v>
      </c>
    </row>
    <row r="151" spans="1:16">
      <c r="A151" s="104">
        <v>10</v>
      </c>
      <c r="B151" s="131">
        <v>46050</v>
      </c>
      <c r="C151" s="130">
        <v>4061</v>
      </c>
      <c r="D151" s="95" t="str">
        <f>IF(ISERROR(VLOOKUP(C151,'[1]خريطة الحسابات'!_xlnm.Print_Area,3,FALSE))," ",(VLOOKUP(C151,'[1]خريطة الحسابات'!_xlnm.Print_Area,3,FALSE)))</f>
        <v>ايليت للمطابخ ( الميري)</v>
      </c>
      <c r="E151" s="132"/>
      <c r="F151" s="133">
        <v>9240</v>
      </c>
      <c r="G151" s="133"/>
      <c r="H151" s="134">
        <f t="shared" si="3"/>
        <v>9240</v>
      </c>
      <c r="I151" s="134">
        <f t="shared" si="3"/>
        <v>0</v>
      </c>
      <c r="J151" s="134">
        <f t="shared" si="4"/>
        <v>9240</v>
      </c>
      <c r="K151" s="135"/>
      <c r="L151" s="136" t="str">
        <f t="shared" si="5"/>
        <v>مدين</v>
      </c>
      <c r="M151" s="137" t="str">
        <f>IF(ISERROR(VLOOKUP(C151,'[1]خريطة الحسابات'!_xlnm.Print_Area,4,FALSE))," ",(VLOOKUP(C151,'[1]خريطة الحسابات'!_xlnm.Print_Area,4,FALSE)))</f>
        <v>موردين</v>
      </c>
      <c r="N151" s="138" t="str">
        <f>IF(ISERROR(VLOOKUP(C151,'[1]خريطة الحسابات'!_xlnm.Print_Area,5,FALSE))," ",(VLOOKUP(C151,'[1]خريطة الحسابات'!_xlnm.Print_Area,5,FALSE)))</f>
        <v xml:space="preserve">الدائنون والأرصدة الدائنة الأخرى </v>
      </c>
      <c r="O151" s="84" t="s">
        <v>1355</v>
      </c>
      <c r="P151" s="139" t="s">
        <v>1295</v>
      </c>
    </row>
    <row r="152" spans="1:16">
      <c r="A152" s="104">
        <v>10</v>
      </c>
      <c r="B152" s="131">
        <v>46054</v>
      </c>
      <c r="C152" s="130">
        <v>4061</v>
      </c>
      <c r="D152" s="95" t="str">
        <f>IF(ISERROR(VLOOKUP(C152,'[1]خريطة الحسابات'!_xlnm.Print_Area,3,FALSE))," ",(VLOOKUP(C152,'[1]خريطة الحسابات'!_xlnm.Print_Area,3,FALSE)))</f>
        <v>ايليت للمطابخ ( الميري)</v>
      </c>
      <c r="E152" s="132"/>
      <c r="F152" s="133">
        <v>5000</v>
      </c>
      <c r="G152" s="133"/>
      <c r="H152" s="134">
        <f t="shared" ref="H152:I215" si="6">IF($E152=2,F152*3.465,F152)</f>
        <v>5000</v>
      </c>
      <c r="I152" s="134">
        <f t="shared" si="6"/>
        <v>0</v>
      </c>
      <c r="J152" s="134">
        <f t="shared" ref="J152:J215" si="7">H152-I152</f>
        <v>5000</v>
      </c>
      <c r="K152" s="135"/>
      <c r="L152" s="136" t="str">
        <f t="shared" ref="L152:L217" si="8">IF(J152&lt;0,"دائن",IF(J152&gt;0,"مدين",""))</f>
        <v>مدين</v>
      </c>
      <c r="M152" s="137" t="str">
        <f>IF(ISERROR(VLOOKUP(C152,'[1]خريطة الحسابات'!_xlnm.Print_Area,4,FALSE))," ",(VLOOKUP(C152,'[1]خريطة الحسابات'!_xlnm.Print_Area,4,FALSE)))</f>
        <v>موردين</v>
      </c>
      <c r="N152" s="138" t="str">
        <f>IF(ISERROR(VLOOKUP(C152,'[1]خريطة الحسابات'!_xlnm.Print_Area,5,FALSE))," ",(VLOOKUP(C152,'[1]خريطة الحسابات'!_xlnm.Print_Area,5,FALSE)))</f>
        <v xml:space="preserve">الدائنون والأرصدة الدائنة الأخرى </v>
      </c>
      <c r="O152" s="84" t="s">
        <v>1356</v>
      </c>
      <c r="P152" s="139" t="s">
        <v>1299</v>
      </c>
    </row>
    <row r="153" spans="1:16">
      <c r="A153" s="104">
        <v>10</v>
      </c>
      <c r="B153" s="131">
        <v>46056</v>
      </c>
      <c r="C153" s="130">
        <v>4061</v>
      </c>
      <c r="D153" s="140" t="str">
        <f>IF(ISERROR(VLOOKUP(C153,'[1]خريطة الحسابات'!_xlnm.Print_Area,3,FALSE))," ",(VLOOKUP(C153,'[1]خريطة الحسابات'!_xlnm.Print_Area,3,FALSE)))</f>
        <v>ايليت للمطابخ ( الميري)</v>
      </c>
      <c r="E153" s="132"/>
      <c r="F153" s="133">
        <v>6006</v>
      </c>
      <c r="G153" s="133"/>
      <c r="H153" s="134">
        <f t="shared" si="6"/>
        <v>6006</v>
      </c>
      <c r="I153" s="134">
        <f t="shared" si="6"/>
        <v>0</v>
      </c>
      <c r="J153" s="134">
        <f t="shared" si="7"/>
        <v>6006</v>
      </c>
      <c r="K153" s="135"/>
      <c r="L153" s="136" t="str">
        <f t="shared" si="8"/>
        <v>مدين</v>
      </c>
      <c r="M153" s="137" t="str">
        <f>IF(ISERROR(VLOOKUP(C153,'[1]خريطة الحسابات'!_xlnm.Print_Area,4,FALSE))," ",(VLOOKUP(C153,'[1]خريطة الحسابات'!_xlnm.Print_Area,4,FALSE)))</f>
        <v>موردين</v>
      </c>
      <c r="N153" s="138" t="str">
        <f>IF(ISERROR(VLOOKUP(C153,'[1]خريطة الحسابات'!_xlnm.Print_Area,5,FALSE))," ",(VLOOKUP(C153,'[1]خريطة الحسابات'!_xlnm.Print_Area,5,FALSE)))</f>
        <v xml:space="preserve">الدائنون والأرصدة الدائنة الأخرى </v>
      </c>
      <c r="O153" s="84" t="s">
        <v>1357</v>
      </c>
      <c r="P153" s="139" t="s">
        <v>1295</v>
      </c>
    </row>
    <row r="154" spans="1:16">
      <c r="A154" s="104">
        <v>10</v>
      </c>
      <c r="B154" s="131">
        <v>46056</v>
      </c>
      <c r="C154" s="130">
        <v>4061</v>
      </c>
      <c r="D154" s="140" t="str">
        <f>IF(ISERROR(VLOOKUP(C154,'[1]خريطة الحسابات'!_xlnm.Print_Area,3,FALSE))," ",(VLOOKUP(C154,'[1]خريطة الحسابات'!_xlnm.Print_Area,3,FALSE)))</f>
        <v>ايليت للمطابخ ( الميري)</v>
      </c>
      <c r="E154" s="132"/>
      <c r="F154" s="133">
        <v>8708</v>
      </c>
      <c r="G154" s="133"/>
      <c r="H154" s="134">
        <f t="shared" si="6"/>
        <v>8708</v>
      </c>
      <c r="I154" s="134">
        <f t="shared" si="6"/>
        <v>0</v>
      </c>
      <c r="J154" s="134">
        <f t="shared" si="7"/>
        <v>8708</v>
      </c>
      <c r="K154" s="135"/>
      <c r="L154" s="136" t="str">
        <f t="shared" si="8"/>
        <v>مدين</v>
      </c>
      <c r="M154" s="137" t="str">
        <f>IF(ISERROR(VLOOKUP(C154,'[1]خريطة الحسابات'!_xlnm.Print_Area,4,FALSE))," ",(VLOOKUP(C154,'[1]خريطة الحسابات'!_xlnm.Print_Area,4,FALSE)))</f>
        <v>موردين</v>
      </c>
      <c r="N154" s="138" t="str">
        <f>IF(ISERROR(VLOOKUP(C154,'[1]خريطة الحسابات'!_xlnm.Print_Area,5,FALSE))," ",(VLOOKUP(C154,'[1]خريطة الحسابات'!_xlnm.Print_Area,5,FALSE)))</f>
        <v xml:space="preserve">الدائنون والأرصدة الدائنة الأخرى </v>
      </c>
      <c r="O154" s="84" t="s">
        <v>1358</v>
      </c>
      <c r="P154" s="139" t="s">
        <v>1295</v>
      </c>
    </row>
    <row r="155" spans="1:16">
      <c r="A155" s="104">
        <v>10</v>
      </c>
      <c r="B155" s="131">
        <v>46057</v>
      </c>
      <c r="C155" s="130">
        <v>4061</v>
      </c>
      <c r="D155" s="140" t="str">
        <f>IF(ISERROR(VLOOKUP(C155,'[1]خريطة الحسابات'!_xlnm.Print_Area,3,FALSE))," ",(VLOOKUP(C155,'[1]خريطة الحسابات'!_xlnm.Print_Area,3,FALSE)))</f>
        <v>ايليت للمطابخ ( الميري)</v>
      </c>
      <c r="E155" s="132"/>
      <c r="F155" s="133">
        <v>25000</v>
      </c>
      <c r="G155" s="133"/>
      <c r="H155" s="134">
        <f t="shared" si="6"/>
        <v>25000</v>
      </c>
      <c r="I155" s="134">
        <f t="shared" si="6"/>
        <v>0</v>
      </c>
      <c r="J155" s="134">
        <f t="shared" si="7"/>
        <v>25000</v>
      </c>
      <c r="K155" s="135"/>
      <c r="L155" s="136" t="str">
        <f t="shared" si="8"/>
        <v>مدين</v>
      </c>
      <c r="M155" s="137" t="str">
        <f>IF(ISERROR(VLOOKUP(C155,'[1]خريطة الحسابات'!_xlnm.Print_Area,4,FALSE))," ",(VLOOKUP(C155,'[1]خريطة الحسابات'!_xlnm.Print_Area,4,FALSE)))</f>
        <v>موردين</v>
      </c>
      <c r="N155" s="138" t="str">
        <f>IF(ISERROR(VLOOKUP(C155,'[1]خريطة الحسابات'!_xlnm.Print_Area,5,FALSE))," ",(VLOOKUP(C155,'[1]خريطة الحسابات'!_xlnm.Print_Area,5,FALSE)))</f>
        <v xml:space="preserve">الدائنون والأرصدة الدائنة الأخرى </v>
      </c>
      <c r="O155" s="84" t="s">
        <v>1359</v>
      </c>
      <c r="P155" s="139" t="s">
        <v>1295</v>
      </c>
    </row>
    <row r="156" spans="1:16">
      <c r="A156" s="104">
        <v>10</v>
      </c>
      <c r="B156" s="131">
        <v>46057</v>
      </c>
      <c r="C156" s="130">
        <v>4061</v>
      </c>
      <c r="D156" s="140" t="str">
        <f>IF(ISERROR(VLOOKUP(C156,'[1]خريطة الحسابات'!_xlnm.Print_Area,3,FALSE))," ",(VLOOKUP(C156,'[1]خريطة الحسابات'!_xlnm.Print_Area,3,FALSE)))</f>
        <v>ايليت للمطابخ ( الميري)</v>
      </c>
      <c r="E156" s="132"/>
      <c r="F156" s="133">
        <v>400</v>
      </c>
      <c r="G156" s="133"/>
      <c r="H156" s="134">
        <f t="shared" si="6"/>
        <v>400</v>
      </c>
      <c r="I156" s="134">
        <f t="shared" si="6"/>
        <v>0</v>
      </c>
      <c r="J156" s="134">
        <f t="shared" si="7"/>
        <v>400</v>
      </c>
      <c r="K156" s="135"/>
      <c r="L156" s="136" t="str">
        <f t="shared" si="8"/>
        <v>مدين</v>
      </c>
      <c r="M156" s="137" t="str">
        <f>IF(ISERROR(VLOOKUP(C156,'[1]خريطة الحسابات'!_xlnm.Print_Area,4,FALSE))," ",(VLOOKUP(C156,'[1]خريطة الحسابات'!_xlnm.Print_Area,4,FALSE)))</f>
        <v>موردين</v>
      </c>
      <c r="N156" s="138" t="str">
        <f>IF(ISERROR(VLOOKUP(C156,'[1]خريطة الحسابات'!_xlnm.Print_Area,5,FALSE))," ",(VLOOKUP(C156,'[1]خريطة الحسابات'!_xlnm.Print_Area,5,FALSE)))</f>
        <v xml:space="preserve">الدائنون والأرصدة الدائنة الأخرى </v>
      </c>
      <c r="O156" s="84" t="s">
        <v>1352</v>
      </c>
      <c r="P156" s="139" t="s">
        <v>1299</v>
      </c>
    </row>
    <row r="157" spans="1:16">
      <c r="A157" s="104">
        <v>10</v>
      </c>
      <c r="B157" s="131">
        <v>46058</v>
      </c>
      <c r="C157" s="130">
        <v>4061</v>
      </c>
      <c r="D157" s="140" t="str">
        <f>IF(ISERROR(VLOOKUP(C157,'[1]خريطة الحسابات'!_xlnm.Print_Area,3,FALSE))," ",(VLOOKUP(C157,'[1]خريطة الحسابات'!_xlnm.Print_Area,3,FALSE)))</f>
        <v>ايليت للمطابخ ( الميري)</v>
      </c>
      <c r="E157" s="132"/>
      <c r="F157" s="133">
        <v>4805</v>
      </c>
      <c r="G157" s="133"/>
      <c r="H157" s="134">
        <f t="shared" si="6"/>
        <v>4805</v>
      </c>
      <c r="I157" s="134">
        <f t="shared" si="6"/>
        <v>0</v>
      </c>
      <c r="J157" s="134">
        <f t="shared" si="7"/>
        <v>4805</v>
      </c>
      <c r="K157" s="135"/>
      <c r="L157" s="136" t="str">
        <f t="shared" si="8"/>
        <v>مدين</v>
      </c>
      <c r="M157" s="137" t="str">
        <f>IF(ISERROR(VLOOKUP(C157,'[1]خريطة الحسابات'!_xlnm.Print_Area,4,FALSE))," ",(VLOOKUP(C157,'[1]خريطة الحسابات'!_xlnm.Print_Area,4,FALSE)))</f>
        <v>موردين</v>
      </c>
      <c r="N157" s="138" t="str">
        <f>IF(ISERROR(VLOOKUP(C157,'[1]خريطة الحسابات'!_xlnm.Print_Area,5,FALSE))," ",(VLOOKUP(C157,'[1]خريطة الحسابات'!_xlnm.Print_Area,5,FALSE)))</f>
        <v xml:space="preserve">الدائنون والأرصدة الدائنة الأخرى </v>
      </c>
      <c r="O157" s="84" t="s">
        <v>1360</v>
      </c>
      <c r="P157" s="139" t="s">
        <v>1299</v>
      </c>
    </row>
    <row r="158" spans="1:16">
      <c r="A158" s="104">
        <v>10</v>
      </c>
      <c r="B158" s="131">
        <v>46061</v>
      </c>
      <c r="C158" s="130">
        <v>4061</v>
      </c>
      <c r="D158" s="140" t="str">
        <f>IF(ISERROR(VLOOKUP(C158,'[1]خريطة الحسابات'!_xlnm.Print_Area,3,FALSE))," ",(VLOOKUP(C158,'[1]خريطة الحسابات'!_xlnm.Print_Area,3,FALSE)))</f>
        <v>ايليت للمطابخ ( الميري)</v>
      </c>
      <c r="E158" s="132"/>
      <c r="F158" s="133">
        <v>10010</v>
      </c>
      <c r="G158" s="133"/>
      <c r="H158" s="134">
        <f t="shared" si="6"/>
        <v>10010</v>
      </c>
      <c r="I158" s="134">
        <f t="shared" si="6"/>
        <v>0</v>
      </c>
      <c r="J158" s="134">
        <f t="shared" si="7"/>
        <v>10010</v>
      </c>
      <c r="K158" s="135"/>
      <c r="L158" s="136" t="str">
        <f t="shared" si="8"/>
        <v>مدين</v>
      </c>
      <c r="M158" s="137" t="str">
        <f>IF(ISERROR(VLOOKUP(C158,'[1]خريطة الحسابات'!_xlnm.Print_Area,4,FALSE))," ",(VLOOKUP(C158,'[1]خريطة الحسابات'!_xlnm.Print_Area,4,FALSE)))</f>
        <v>موردين</v>
      </c>
      <c r="N158" s="138" t="str">
        <f>IF(ISERROR(VLOOKUP(C158,'[1]خريطة الحسابات'!_xlnm.Print_Area,5,FALSE))," ",(VLOOKUP(C158,'[1]خريطة الحسابات'!_xlnm.Print_Area,5,FALSE)))</f>
        <v xml:space="preserve">الدائنون والأرصدة الدائنة الأخرى </v>
      </c>
      <c r="O158" s="84" t="s">
        <v>1355</v>
      </c>
      <c r="P158" s="139" t="s">
        <v>1295</v>
      </c>
    </row>
    <row r="159" spans="1:16">
      <c r="A159" s="104">
        <v>10</v>
      </c>
      <c r="B159" s="131">
        <v>46062</v>
      </c>
      <c r="C159" s="130">
        <v>4061</v>
      </c>
      <c r="D159" s="140" t="str">
        <f>IF(ISERROR(VLOOKUP(C159,'[1]خريطة الحسابات'!_xlnm.Print_Area,3,FALSE))," ",(VLOOKUP(C159,'[1]خريطة الحسابات'!_xlnm.Print_Area,3,FALSE)))</f>
        <v>ايليت للمطابخ ( الميري)</v>
      </c>
      <c r="E159" s="132"/>
      <c r="F159" s="133">
        <v>20020</v>
      </c>
      <c r="G159" s="133"/>
      <c r="H159" s="134">
        <f t="shared" si="6"/>
        <v>20020</v>
      </c>
      <c r="I159" s="134">
        <f t="shared" si="6"/>
        <v>0</v>
      </c>
      <c r="J159" s="134">
        <f t="shared" si="7"/>
        <v>20020</v>
      </c>
      <c r="K159" s="135"/>
      <c r="L159" s="136" t="str">
        <f t="shared" si="8"/>
        <v>مدين</v>
      </c>
      <c r="M159" s="137" t="str">
        <f>IF(ISERROR(VLOOKUP(C159,'[1]خريطة الحسابات'!_xlnm.Print_Area,4,FALSE))," ",(VLOOKUP(C159,'[1]خريطة الحسابات'!_xlnm.Print_Area,4,FALSE)))</f>
        <v>موردين</v>
      </c>
      <c r="N159" s="138" t="str">
        <f>IF(ISERROR(VLOOKUP(C159,'[1]خريطة الحسابات'!_xlnm.Print_Area,5,FALSE))," ",(VLOOKUP(C159,'[1]خريطة الحسابات'!_xlnm.Print_Area,5,FALSE)))</f>
        <v xml:space="preserve">الدائنون والأرصدة الدائنة الأخرى </v>
      </c>
      <c r="O159" s="84" t="s">
        <v>1355</v>
      </c>
      <c r="P159" s="139" t="s">
        <v>1295</v>
      </c>
    </row>
    <row r="160" spans="1:16">
      <c r="A160" s="104">
        <v>10</v>
      </c>
      <c r="B160" s="131">
        <v>46063</v>
      </c>
      <c r="C160" s="130">
        <v>4061</v>
      </c>
      <c r="D160" s="140" t="str">
        <f>IF(ISERROR(VLOOKUP(C160,'[1]خريطة الحسابات'!_xlnm.Print_Area,3,FALSE))," ",(VLOOKUP(C160,'[1]خريطة الحسابات'!_xlnm.Print_Area,3,FALSE)))</f>
        <v>ايليت للمطابخ ( الميري)</v>
      </c>
      <c r="E160" s="132"/>
      <c r="F160" s="133">
        <v>7150</v>
      </c>
      <c r="G160" s="133"/>
      <c r="H160" s="134">
        <f t="shared" si="6"/>
        <v>7150</v>
      </c>
      <c r="I160" s="134">
        <f t="shared" si="6"/>
        <v>0</v>
      </c>
      <c r="J160" s="134">
        <f t="shared" si="7"/>
        <v>7150</v>
      </c>
      <c r="K160" s="135"/>
      <c r="L160" s="136" t="str">
        <f t="shared" si="8"/>
        <v>مدين</v>
      </c>
      <c r="M160" s="137" t="str">
        <f>IF(ISERROR(VLOOKUP(C160,'[1]خريطة الحسابات'!_xlnm.Print_Area,4,FALSE))," ",(VLOOKUP(C160,'[1]خريطة الحسابات'!_xlnm.Print_Area,4,FALSE)))</f>
        <v>موردين</v>
      </c>
      <c r="N160" s="138" t="str">
        <f>IF(ISERROR(VLOOKUP(C160,'[1]خريطة الحسابات'!_xlnm.Print_Area,5,FALSE))," ",(VLOOKUP(C160,'[1]خريطة الحسابات'!_xlnm.Print_Area,5,FALSE)))</f>
        <v xml:space="preserve">الدائنون والأرصدة الدائنة الأخرى </v>
      </c>
      <c r="O160" s="84" t="s">
        <v>1361</v>
      </c>
      <c r="P160" s="139" t="s">
        <v>1295</v>
      </c>
    </row>
    <row r="161" spans="1:16">
      <c r="A161" s="104">
        <v>10</v>
      </c>
      <c r="B161" s="131">
        <v>46064</v>
      </c>
      <c r="C161" s="130">
        <v>4061</v>
      </c>
      <c r="D161" s="140" t="str">
        <f>IF(ISERROR(VLOOKUP(C161,'[1]خريطة الحسابات'!_xlnm.Print_Area,3,FALSE))," ",(VLOOKUP(C161,'[1]خريطة الحسابات'!_xlnm.Print_Area,3,FALSE)))</f>
        <v>ايليت للمطابخ ( الميري)</v>
      </c>
      <c r="E161" s="132"/>
      <c r="F161" s="133">
        <v>7908</v>
      </c>
      <c r="G161" s="133"/>
      <c r="H161" s="134">
        <f t="shared" si="6"/>
        <v>7908</v>
      </c>
      <c r="I161" s="134">
        <f t="shared" si="6"/>
        <v>0</v>
      </c>
      <c r="J161" s="134">
        <f t="shared" si="7"/>
        <v>7908</v>
      </c>
      <c r="K161" s="135"/>
      <c r="L161" s="136" t="str">
        <f t="shared" si="8"/>
        <v>مدين</v>
      </c>
      <c r="M161" s="137" t="str">
        <f>IF(ISERROR(VLOOKUP(C161,'[1]خريطة الحسابات'!_xlnm.Print_Area,4,FALSE))," ",(VLOOKUP(C161,'[1]خريطة الحسابات'!_xlnm.Print_Area,4,FALSE)))</f>
        <v>موردين</v>
      </c>
      <c r="N161" s="138" t="str">
        <f>IF(ISERROR(VLOOKUP(C161,'[1]خريطة الحسابات'!_xlnm.Print_Area,5,FALSE))," ",(VLOOKUP(C161,'[1]خريطة الحسابات'!_xlnm.Print_Area,5,FALSE)))</f>
        <v xml:space="preserve">الدائنون والأرصدة الدائنة الأخرى </v>
      </c>
      <c r="O161" s="84" t="s">
        <v>1362</v>
      </c>
      <c r="P161" s="139" t="s">
        <v>1295</v>
      </c>
    </row>
    <row r="162" spans="1:16">
      <c r="A162" s="104">
        <v>10</v>
      </c>
      <c r="B162" s="131">
        <v>46065</v>
      </c>
      <c r="C162" s="130">
        <v>4061</v>
      </c>
      <c r="D162" s="140" t="str">
        <f>IF(ISERROR(VLOOKUP(C162,'[1]خريطة الحسابات'!_xlnm.Print_Area,3,FALSE))," ",(VLOOKUP(C162,'[1]خريطة الحسابات'!_xlnm.Print_Area,3,FALSE)))</f>
        <v>ايليت للمطابخ ( الميري)</v>
      </c>
      <c r="E162" s="132"/>
      <c r="F162" s="133">
        <v>10010</v>
      </c>
      <c r="G162" s="133"/>
      <c r="H162" s="134">
        <f t="shared" si="6"/>
        <v>10010</v>
      </c>
      <c r="I162" s="134">
        <f t="shared" si="6"/>
        <v>0</v>
      </c>
      <c r="J162" s="134">
        <f t="shared" si="7"/>
        <v>10010</v>
      </c>
      <c r="K162" s="135"/>
      <c r="L162" s="136" t="str">
        <f t="shared" si="8"/>
        <v>مدين</v>
      </c>
      <c r="M162" s="137" t="str">
        <f>IF(ISERROR(VLOOKUP(C162,'[1]خريطة الحسابات'!_xlnm.Print_Area,4,FALSE))," ",(VLOOKUP(C162,'[1]خريطة الحسابات'!_xlnm.Print_Area,4,FALSE)))</f>
        <v>موردين</v>
      </c>
      <c r="N162" s="138" t="str">
        <f>IF(ISERROR(VLOOKUP(C162,'[1]خريطة الحسابات'!_xlnm.Print_Area,5,FALSE))," ",(VLOOKUP(C162,'[1]خريطة الحسابات'!_xlnm.Print_Area,5,FALSE)))</f>
        <v xml:space="preserve">الدائنون والأرصدة الدائنة الأخرى </v>
      </c>
      <c r="O162" s="84" t="s">
        <v>1363</v>
      </c>
      <c r="P162" s="139" t="s">
        <v>1299</v>
      </c>
    </row>
    <row r="163" spans="1:16">
      <c r="A163" s="104">
        <v>10</v>
      </c>
      <c r="B163" s="131">
        <v>46076</v>
      </c>
      <c r="C163" s="130">
        <v>4061</v>
      </c>
      <c r="D163" s="140" t="str">
        <f>IF(ISERROR(VLOOKUP(C163,'[1]خريطة الحسابات'!_xlnm.Print_Area,3,FALSE))," ",(VLOOKUP(C163,'[1]خريطة الحسابات'!_xlnm.Print_Area,3,FALSE)))</f>
        <v>ايليت للمطابخ ( الميري)</v>
      </c>
      <c r="E163" s="132"/>
      <c r="F163" s="133">
        <v>15000</v>
      </c>
      <c r="G163" s="133"/>
      <c r="H163" s="134">
        <f t="shared" si="6"/>
        <v>15000</v>
      </c>
      <c r="I163" s="134">
        <f t="shared" si="6"/>
        <v>0</v>
      </c>
      <c r="J163" s="134">
        <f t="shared" si="7"/>
        <v>15000</v>
      </c>
      <c r="K163" s="135"/>
      <c r="L163" s="136" t="str">
        <f t="shared" si="8"/>
        <v>مدين</v>
      </c>
      <c r="M163" s="137" t="str">
        <f>IF(ISERROR(VLOOKUP(C163,'[1]خريطة الحسابات'!_xlnm.Print_Area,4,FALSE))," ",(VLOOKUP(C163,'[1]خريطة الحسابات'!_xlnm.Print_Area,4,FALSE)))</f>
        <v>موردين</v>
      </c>
      <c r="N163" s="138" t="str">
        <f>IF(ISERROR(VLOOKUP(C163,'[1]خريطة الحسابات'!_xlnm.Print_Area,5,FALSE))," ",(VLOOKUP(C163,'[1]خريطة الحسابات'!_xlnm.Print_Area,5,FALSE)))</f>
        <v xml:space="preserve">الدائنون والأرصدة الدائنة الأخرى </v>
      </c>
      <c r="O163" s="84" t="s">
        <v>1364</v>
      </c>
      <c r="P163" s="139" t="s">
        <v>1299</v>
      </c>
    </row>
    <row r="164" spans="1:16">
      <c r="A164" s="104">
        <v>10</v>
      </c>
      <c r="B164" s="131">
        <v>46097</v>
      </c>
      <c r="C164" s="130">
        <v>4061</v>
      </c>
      <c r="D164" s="140" t="str">
        <f>IF(ISERROR(VLOOKUP(C164,'[1]خريطة الحسابات'!_xlnm.Print_Area,3,FALSE))," ",(VLOOKUP(C164,'[1]خريطة الحسابات'!_xlnm.Print_Area,3,FALSE)))</f>
        <v>ايليت للمطابخ ( الميري)</v>
      </c>
      <c r="E164" s="132"/>
      <c r="F164" s="133">
        <v>1300</v>
      </c>
      <c r="G164" s="133"/>
      <c r="H164" s="134">
        <f t="shared" si="6"/>
        <v>1300</v>
      </c>
      <c r="I164" s="134">
        <f t="shared" si="6"/>
        <v>0</v>
      </c>
      <c r="J164" s="134">
        <f t="shared" si="7"/>
        <v>1300</v>
      </c>
      <c r="K164" s="135"/>
      <c r="L164" s="136" t="str">
        <f t="shared" si="8"/>
        <v>مدين</v>
      </c>
      <c r="M164" s="137" t="str">
        <f>IF(ISERROR(VLOOKUP(C164,'[1]خريطة الحسابات'!_xlnm.Print_Area,4,FALSE))," ",(VLOOKUP(C164,'[1]خريطة الحسابات'!_xlnm.Print_Area,4,FALSE)))</f>
        <v>موردين</v>
      </c>
      <c r="N164" s="138" t="str">
        <f>IF(ISERROR(VLOOKUP(C164,'[1]خريطة الحسابات'!_xlnm.Print_Area,5,FALSE))," ",(VLOOKUP(C164,'[1]خريطة الحسابات'!_xlnm.Print_Area,5,FALSE)))</f>
        <v xml:space="preserve">الدائنون والأرصدة الدائنة الأخرى </v>
      </c>
      <c r="O164" s="84" t="s">
        <v>1365</v>
      </c>
      <c r="P164" s="139" t="s">
        <v>1295</v>
      </c>
    </row>
    <row r="165" spans="1:16">
      <c r="A165" s="104">
        <v>10</v>
      </c>
      <c r="B165" s="131">
        <v>46120</v>
      </c>
      <c r="C165" s="130">
        <v>4061</v>
      </c>
      <c r="D165" s="140" t="str">
        <f>IF(ISERROR(VLOOKUP(C165,'[1]خريطة الحسابات'!_xlnm.Print_Area,3,FALSE))," ",(VLOOKUP(C165,'[1]خريطة الحسابات'!_xlnm.Print_Area,3,FALSE)))</f>
        <v>ايليت للمطابخ ( الميري)</v>
      </c>
      <c r="E165" s="132"/>
      <c r="F165" s="133">
        <v>1300</v>
      </c>
      <c r="G165" s="133"/>
      <c r="H165" s="134">
        <f t="shared" si="6"/>
        <v>1300</v>
      </c>
      <c r="I165" s="134">
        <f t="shared" si="6"/>
        <v>0</v>
      </c>
      <c r="J165" s="134">
        <f t="shared" si="7"/>
        <v>1300</v>
      </c>
      <c r="K165" s="135"/>
      <c r="L165" s="136" t="str">
        <f t="shared" si="8"/>
        <v>مدين</v>
      </c>
      <c r="M165" s="137" t="str">
        <f>IF(ISERROR(VLOOKUP(C165,'[1]خريطة الحسابات'!_xlnm.Print_Area,4,FALSE))," ",(VLOOKUP(C165,'[1]خريطة الحسابات'!_xlnm.Print_Area,4,FALSE)))</f>
        <v>موردين</v>
      </c>
      <c r="N165" s="138" t="str">
        <f>IF(ISERROR(VLOOKUP(C165,'[1]خريطة الحسابات'!_xlnm.Print_Area,5,FALSE))," ",(VLOOKUP(C165,'[1]خريطة الحسابات'!_xlnm.Print_Area,5,FALSE)))</f>
        <v xml:space="preserve">الدائنون والأرصدة الدائنة الأخرى </v>
      </c>
      <c r="O165" s="84" t="s">
        <v>1366</v>
      </c>
      <c r="P165" s="139" t="s">
        <v>1342</v>
      </c>
    </row>
    <row r="166" spans="1:16">
      <c r="A166" s="104">
        <v>10</v>
      </c>
      <c r="B166" s="131">
        <v>46029</v>
      </c>
      <c r="C166" s="130">
        <v>20</v>
      </c>
      <c r="D166" s="140" t="str">
        <f>IF(ISERROR(VLOOKUP(C166,'[1]خريطة الحسابات'!_xlnm.Print_Area,3,FALSE))," ",(VLOOKUP(C166,'[1]خريطة الحسابات'!_xlnm.Print_Area,3,FALSE)))</f>
        <v xml:space="preserve">الخزينة </v>
      </c>
      <c r="E166" s="132"/>
      <c r="F166" s="133"/>
      <c r="G166" s="133">
        <v>25020</v>
      </c>
      <c r="H166" s="134">
        <f t="shared" si="6"/>
        <v>0</v>
      </c>
      <c r="I166" s="134">
        <f t="shared" si="6"/>
        <v>25020</v>
      </c>
      <c r="J166" s="134">
        <f t="shared" si="7"/>
        <v>-25020</v>
      </c>
      <c r="K166" s="135"/>
      <c r="L166" s="136" t="str">
        <f t="shared" si="8"/>
        <v>دائن</v>
      </c>
      <c r="M166" s="137" t="str">
        <f>IF(ISERROR(VLOOKUP(C166,'[1]خريطة الحسابات'!_xlnm.Print_Area,4,FALSE))," ",(VLOOKUP(C166,'[1]خريطة الحسابات'!_xlnm.Print_Area,4,FALSE)))</f>
        <v xml:space="preserve">أصول متداوله -النقدية ومافي حكمها </v>
      </c>
      <c r="N166" s="138" t="str">
        <f>IF(ISERROR(VLOOKUP(C166,'[1]خريطة الحسابات'!_xlnm.Print_Area,5,FALSE))," ",(VLOOKUP(C166,'[1]خريطة الحسابات'!_xlnm.Print_Area,5,FALSE)))</f>
        <v>الاصول</v>
      </c>
      <c r="O166" s="123" t="s">
        <v>1351</v>
      </c>
      <c r="P166" s="125" t="s">
        <v>1295</v>
      </c>
    </row>
    <row r="167" spans="1:16">
      <c r="A167" s="104">
        <v>10</v>
      </c>
      <c r="B167" s="131">
        <v>46033</v>
      </c>
      <c r="C167" s="130">
        <v>20</v>
      </c>
      <c r="D167" s="140" t="str">
        <f>IF(ISERROR(VLOOKUP(C167,'[1]خريطة الحسابات'!_xlnm.Print_Area,3,FALSE))," ",(VLOOKUP(C167,'[1]خريطة الحسابات'!_xlnm.Print_Area,3,FALSE)))</f>
        <v xml:space="preserve">الخزينة </v>
      </c>
      <c r="E167" s="132"/>
      <c r="F167" s="133"/>
      <c r="G167" s="133">
        <v>5000</v>
      </c>
      <c r="H167" s="134">
        <f t="shared" si="6"/>
        <v>0</v>
      </c>
      <c r="I167" s="134">
        <f t="shared" si="6"/>
        <v>5000</v>
      </c>
      <c r="J167" s="134">
        <f t="shared" si="7"/>
        <v>-5000</v>
      </c>
      <c r="K167" s="135"/>
      <c r="L167" s="136" t="str">
        <f t="shared" si="8"/>
        <v>دائن</v>
      </c>
      <c r="M167" s="137" t="str">
        <f>IF(ISERROR(VLOOKUP(C167,'[1]خريطة الحسابات'!_xlnm.Print_Area,4,FALSE))," ",(VLOOKUP(C167,'[1]خريطة الحسابات'!_xlnm.Print_Area,4,FALSE)))</f>
        <v xml:space="preserve">أصول متداوله -النقدية ومافي حكمها </v>
      </c>
      <c r="N167" s="138" t="str">
        <f>IF(ISERROR(VLOOKUP(C167,'[1]خريطة الحسابات'!_xlnm.Print_Area,5,FALSE))," ",(VLOOKUP(C167,'[1]خريطة الحسابات'!_xlnm.Print_Area,5,FALSE)))</f>
        <v>الاصول</v>
      </c>
      <c r="O167" s="123" t="s">
        <v>1352</v>
      </c>
      <c r="P167" s="125" t="s">
        <v>1299</v>
      </c>
    </row>
    <row r="168" spans="1:16">
      <c r="A168" s="104">
        <v>10</v>
      </c>
      <c r="B168" s="131">
        <v>46035</v>
      </c>
      <c r="C168" s="130">
        <v>20</v>
      </c>
      <c r="D168" s="140" t="str">
        <f>IF(ISERROR(VLOOKUP(C168,'[1]خريطة الحسابات'!_xlnm.Print_Area,3,FALSE))," ",(VLOOKUP(C168,'[1]خريطة الحسابات'!_xlnm.Print_Area,3,FALSE)))</f>
        <v xml:space="preserve">الخزينة </v>
      </c>
      <c r="E168" s="132"/>
      <c r="F168" s="133"/>
      <c r="G168" s="133">
        <v>50000</v>
      </c>
      <c r="H168" s="134">
        <f t="shared" si="6"/>
        <v>0</v>
      </c>
      <c r="I168" s="134">
        <f t="shared" si="6"/>
        <v>50000</v>
      </c>
      <c r="J168" s="134">
        <f t="shared" si="7"/>
        <v>-50000</v>
      </c>
      <c r="K168" s="135"/>
      <c r="L168" s="136" t="str">
        <f t="shared" si="8"/>
        <v>دائن</v>
      </c>
      <c r="M168" s="137" t="str">
        <f>IF(ISERROR(VLOOKUP(C168,'[1]خريطة الحسابات'!_xlnm.Print_Area,4,FALSE))," ",(VLOOKUP(C168,'[1]خريطة الحسابات'!_xlnm.Print_Area,4,FALSE)))</f>
        <v xml:space="preserve">أصول متداوله -النقدية ومافي حكمها </v>
      </c>
      <c r="N168" s="138" t="str">
        <f>IF(ISERROR(VLOOKUP(C168,'[1]خريطة الحسابات'!_xlnm.Print_Area,5,FALSE))," ",(VLOOKUP(C168,'[1]خريطة الحسابات'!_xlnm.Print_Area,5,FALSE)))</f>
        <v>الاصول</v>
      </c>
      <c r="O168" s="123" t="s">
        <v>1352</v>
      </c>
      <c r="P168" s="125" t="s">
        <v>1299</v>
      </c>
    </row>
    <row r="169" spans="1:16">
      <c r="A169" s="104">
        <v>10</v>
      </c>
      <c r="B169" s="131">
        <v>46040</v>
      </c>
      <c r="C169" s="130">
        <v>20</v>
      </c>
      <c r="D169" s="140" t="str">
        <f>IF(ISERROR(VLOOKUP(C169,'[1]خريطة الحسابات'!_xlnm.Print_Area,3,FALSE))," ",(VLOOKUP(C169,'[1]خريطة الحسابات'!_xlnm.Print_Area,3,FALSE)))</f>
        <v xml:space="preserve">الخزينة </v>
      </c>
      <c r="E169" s="132"/>
      <c r="F169" s="133"/>
      <c r="G169" s="133">
        <v>30000</v>
      </c>
      <c r="H169" s="134">
        <f t="shared" si="6"/>
        <v>0</v>
      </c>
      <c r="I169" s="134">
        <f t="shared" si="6"/>
        <v>30000</v>
      </c>
      <c r="J169" s="134">
        <f t="shared" si="7"/>
        <v>-30000</v>
      </c>
      <c r="K169" s="135"/>
      <c r="L169" s="136" t="str">
        <f t="shared" si="8"/>
        <v>دائن</v>
      </c>
      <c r="M169" s="137" t="str">
        <f>IF(ISERROR(VLOOKUP(C169,'[1]خريطة الحسابات'!_xlnm.Print_Area,4,FALSE))," ",(VLOOKUP(C169,'[1]خريطة الحسابات'!_xlnm.Print_Area,4,FALSE)))</f>
        <v xml:space="preserve">أصول متداوله -النقدية ومافي حكمها </v>
      </c>
      <c r="N169" s="138" t="str">
        <f>IF(ISERROR(VLOOKUP(C169,'[1]خريطة الحسابات'!_xlnm.Print_Area,5,FALSE))," ",(VLOOKUP(C169,'[1]خريطة الحسابات'!_xlnm.Print_Area,5,FALSE)))</f>
        <v>الاصول</v>
      </c>
      <c r="O169" s="123" t="s">
        <v>1353</v>
      </c>
      <c r="P169" s="125" t="s">
        <v>1299</v>
      </c>
    </row>
    <row r="170" spans="1:16">
      <c r="A170" s="104">
        <v>10</v>
      </c>
      <c r="B170" s="131">
        <v>46040</v>
      </c>
      <c r="C170" s="130">
        <v>20</v>
      </c>
      <c r="D170" s="140" t="str">
        <f>IF(ISERROR(VLOOKUP(C170,'[1]خريطة الحسابات'!_xlnm.Print_Area,3,FALSE))," ",(VLOOKUP(C170,'[1]خريطة الحسابات'!_xlnm.Print_Area,3,FALSE)))</f>
        <v xml:space="preserve">الخزينة </v>
      </c>
      <c r="E170" s="132"/>
      <c r="F170" s="133"/>
      <c r="G170" s="133">
        <v>30000</v>
      </c>
      <c r="H170" s="134">
        <f t="shared" si="6"/>
        <v>0</v>
      </c>
      <c r="I170" s="134">
        <f t="shared" si="6"/>
        <v>30000</v>
      </c>
      <c r="J170" s="134">
        <f t="shared" si="7"/>
        <v>-30000</v>
      </c>
      <c r="K170" s="135"/>
      <c r="L170" s="136" t="str">
        <f t="shared" si="8"/>
        <v>دائن</v>
      </c>
      <c r="M170" s="137" t="str">
        <f>IF(ISERROR(VLOOKUP(C170,'[1]خريطة الحسابات'!_xlnm.Print_Area,4,FALSE))," ",(VLOOKUP(C170,'[1]خريطة الحسابات'!_xlnm.Print_Area,4,FALSE)))</f>
        <v xml:space="preserve">أصول متداوله -النقدية ومافي حكمها </v>
      </c>
      <c r="N170" s="138" t="str">
        <f>IF(ISERROR(VLOOKUP(C170,'[1]خريطة الحسابات'!_xlnm.Print_Area,5,FALSE))," ",(VLOOKUP(C170,'[1]خريطة الحسابات'!_xlnm.Print_Area,5,FALSE)))</f>
        <v>الاصول</v>
      </c>
      <c r="O170" s="123" t="s">
        <v>1353</v>
      </c>
      <c r="P170" s="125" t="s">
        <v>1295</v>
      </c>
    </row>
    <row r="171" spans="1:16">
      <c r="A171" s="104">
        <v>10</v>
      </c>
      <c r="B171" s="131">
        <v>46048</v>
      </c>
      <c r="C171" s="130">
        <v>20</v>
      </c>
      <c r="D171" s="140" t="str">
        <f>IF(ISERROR(VLOOKUP(C171,'[1]خريطة الحسابات'!_xlnm.Print_Area,3,FALSE))," ",(VLOOKUP(C171,'[1]خريطة الحسابات'!_xlnm.Print_Area,3,FALSE)))</f>
        <v xml:space="preserve">الخزينة </v>
      </c>
      <c r="E171" s="132"/>
      <c r="F171" s="133"/>
      <c r="G171" s="133">
        <v>6006</v>
      </c>
      <c r="H171" s="134">
        <f t="shared" si="6"/>
        <v>0</v>
      </c>
      <c r="I171" s="134">
        <f t="shared" si="6"/>
        <v>6006</v>
      </c>
      <c r="J171" s="134">
        <f t="shared" si="7"/>
        <v>-6006</v>
      </c>
      <c r="K171" s="135"/>
      <c r="L171" s="136" t="str">
        <f t="shared" si="8"/>
        <v>دائن</v>
      </c>
      <c r="M171" s="137" t="str">
        <f>IF(ISERROR(VLOOKUP(C171,'[1]خريطة الحسابات'!_xlnm.Print_Area,4,FALSE))," ",(VLOOKUP(C171,'[1]خريطة الحسابات'!_xlnm.Print_Area,4,FALSE)))</f>
        <v xml:space="preserve">أصول متداوله -النقدية ومافي حكمها </v>
      </c>
      <c r="N171" s="138" t="str">
        <f>IF(ISERROR(VLOOKUP(C171,'[1]خريطة الحسابات'!_xlnm.Print_Area,5,FALSE))," ",(VLOOKUP(C171,'[1]خريطة الحسابات'!_xlnm.Print_Area,5,FALSE)))</f>
        <v>الاصول</v>
      </c>
      <c r="O171" s="84" t="s">
        <v>1354</v>
      </c>
      <c r="P171" s="139" t="s">
        <v>1299</v>
      </c>
    </row>
    <row r="172" spans="1:16">
      <c r="A172" s="104">
        <v>10</v>
      </c>
      <c r="B172" s="131">
        <v>46050</v>
      </c>
      <c r="C172" s="130">
        <v>20</v>
      </c>
      <c r="D172" s="140" t="str">
        <f>IF(ISERROR(VLOOKUP(C172,'[1]خريطة الحسابات'!_xlnm.Print_Area,3,FALSE))," ",(VLOOKUP(C172,'[1]خريطة الحسابات'!_xlnm.Print_Area,3,FALSE)))</f>
        <v xml:space="preserve">الخزينة </v>
      </c>
      <c r="E172" s="132"/>
      <c r="F172" s="133"/>
      <c r="G172" s="133">
        <v>9240</v>
      </c>
      <c r="H172" s="134">
        <f t="shared" si="6"/>
        <v>0</v>
      </c>
      <c r="I172" s="134">
        <f t="shared" si="6"/>
        <v>9240</v>
      </c>
      <c r="J172" s="134">
        <f t="shared" si="7"/>
        <v>-9240</v>
      </c>
      <c r="K172" s="135"/>
      <c r="L172" s="136" t="str">
        <f t="shared" si="8"/>
        <v>دائن</v>
      </c>
      <c r="M172" s="137" t="str">
        <f>IF(ISERROR(VLOOKUP(C172,'[1]خريطة الحسابات'!_xlnm.Print_Area,4,FALSE))," ",(VLOOKUP(C172,'[1]خريطة الحسابات'!_xlnm.Print_Area,4,FALSE)))</f>
        <v xml:space="preserve">أصول متداوله -النقدية ومافي حكمها </v>
      </c>
      <c r="N172" s="138" t="str">
        <f>IF(ISERROR(VLOOKUP(C172,'[1]خريطة الحسابات'!_xlnm.Print_Area,5,FALSE))," ",(VLOOKUP(C172,'[1]خريطة الحسابات'!_xlnm.Print_Area,5,FALSE)))</f>
        <v>الاصول</v>
      </c>
      <c r="O172" s="84" t="s">
        <v>1355</v>
      </c>
      <c r="P172" s="139" t="s">
        <v>1295</v>
      </c>
    </row>
    <row r="173" spans="1:16">
      <c r="A173" s="104">
        <v>10</v>
      </c>
      <c r="B173" s="131">
        <v>46054</v>
      </c>
      <c r="C173" s="130">
        <v>20</v>
      </c>
      <c r="D173" s="140" t="str">
        <f>IF(ISERROR(VLOOKUP(C173,'[1]خريطة الحسابات'!_xlnm.Print_Area,3,FALSE))," ",(VLOOKUP(C173,'[1]خريطة الحسابات'!_xlnm.Print_Area,3,FALSE)))</f>
        <v xml:space="preserve">الخزينة </v>
      </c>
      <c r="E173" s="132"/>
      <c r="F173" s="133"/>
      <c r="G173" s="133">
        <v>5000</v>
      </c>
      <c r="H173" s="134">
        <f t="shared" si="6"/>
        <v>0</v>
      </c>
      <c r="I173" s="134">
        <f t="shared" si="6"/>
        <v>5000</v>
      </c>
      <c r="J173" s="134">
        <f t="shared" si="7"/>
        <v>-5000</v>
      </c>
      <c r="K173" s="135"/>
      <c r="L173" s="136" t="str">
        <f t="shared" si="8"/>
        <v>دائن</v>
      </c>
      <c r="M173" s="137" t="str">
        <f>IF(ISERROR(VLOOKUP(C173,'[1]خريطة الحسابات'!_xlnm.Print_Area,4,FALSE))," ",(VLOOKUP(C173,'[1]خريطة الحسابات'!_xlnm.Print_Area,4,FALSE)))</f>
        <v xml:space="preserve">أصول متداوله -النقدية ومافي حكمها </v>
      </c>
      <c r="N173" s="138" t="str">
        <f>IF(ISERROR(VLOOKUP(C173,'[1]خريطة الحسابات'!_xlnm.Print_Area,5,FALSE))," ",(VLOOKUP(C173,'[1]خريطة الحسابات'!_xlnm.Print_Area,5,FALSE)))</f>
        <v>الاصول</v>
      </c>
      <c r="O173" s="84" t="s">
        <v>1356</v>
      </c>
      <c r="P173" s="139" t="s">
        <v>1299</v>
      </c>
    </row>
    <row r="174" spans="1:16">
      <c r="A174" s="104">
        <v>10</v>
      </c>
      <c r="B174" s="131">
        <v>46056</v>
      </c>
      <c r="C174" s="130">
        <v>20</v>
      </c>
      <c r="D174" s="140" t="str">
        <f>IF(ISERROR(VLOOKUP(C174,'[1]خريطة الحسابات'!_xlnm.Print_Area,3,FALSE))," ",(VLOOKUP(C174,'[1]خريطة الحسابات'!_xlnm.Print_Area,3,FALSE)))</f>
        <v xml:space="preserve">الخزينة </v>
      </c>
      <c r="E174" s="132"/>
      <c r="F174" s="133"/>
      <c r="G174" s="133">
        <v>6006</v>
      </c>
      <c r="H174" s="134">
        <f t="shared" si="6"/>
        <v>0</v>
      </c>
      <c r="I174" s="134">
        <f t="shared" si="6"/>
        <v>6006</v>
      </c>
      <c r="J174" s="134">
        <f t="shared" si="7"/>
        <v>-6006</v>
      </c>
      <c r="K174" s="135"/>
      <c r="L174" s="136" t="str">
        <f t="shared" si="8"/>
        <v>دائن</v>
      </c>
      <c r="M174" s="137" t="str">
        <f>IF(ISERROR(VLOOKUP(C174,'[1]خريطة الحسابات'!_xlnm.Print_Area,4,FALSE))," ",(VLOOKUP(C174,'[1]خريطة الحسابات'!_xlnm.Print_Area,4,FALSE)))</f>
        <v xml:space="preserve">أصول متداوله -النقدية ومافي حكمها </v>
      </c>
      <c r="N174" s="138" t="str">
        <f>IF(ISERROR(VLOOKUP(C174,'[1]خريطة الحسابات'!_xlnm.Print_Area,5,FALSE))," ",(VLOOKUP(C174,'[1]خريطة الحسابات'!_xlnm.Print_Area,5,FALSE)))</f>
        <v>الاصول</v>
      </c>
      <c r="O174" s="84" t="s">
        <v>1357</v>
      </c>
      <c r="P174" s="139" t="s">
        <v>1295</v>
      </c>
    </row>
    <row r="175" spans="1:16">
      <c r="A175" s="104">
        <v>10</v>
      </c>
      <c r="B175" s="131">
        <v>46056</v>
      </c>
      <c r="C175" s="130">
        <v>20</v>
      </c>
      <c r="D175" s="140" t="str">
        <f>IF(ISERROR(VLOOKUP(C175,'[1]خريطة الحسابات'!_xlnm.Print_Area,3,FALSE))," ",(VLOOKUP(C175,'[1]خريطة الحسابات'!_xlnm.Print_Area,3,FALSE)))</f>
        <v xml:space="preserve">الخزينة </v>
      </c>
      <c r="E175" s="132"/>
      <c r="F175" s="133"/>
      <c r="G175" s="133">
        <v>8708</v>
      </c>
      <c r="H175" s="134">
        <f t="shared" si="6"/>
        <v>0</v>
      </c>
      <c r="I175" s="134">
        <f t="shared" si="6"/>
        <v>8708</v>
      </c>
      <c r="J175" s="134">
        <f t="shared" si="7"/>
        <v>-8708</v>
      </c>
      <c r="K175" s="135"/>
      <c r="L175" s="136" t="str">
        <f t="shared" si="8"/>
        <v>دائن</v>
      </c>
      <c r="M175" s="137" t="str">
        <f>IF(ISERROR(VLOOKUP(C175,'[1]خريطة الحسابات'!_xlnm.Print_Area,4,FALSE))," ",(VLOOKUP(C175,'[1]خريطة الحسابات'!_xlnm.Print_Area,4,FALSE)))</f>
        <v xml:space="preserve">أصول متداوله -النقدية ومافي حكمها </v>
      </c>
      <c r="N175" s="138" t="str">
        <f>IF(ISERROR(VLOOKUP(C175,'[1]خريطة الحسابات'!_xlnm.Print_Area,5,FALSE))," ",(VLOOKUP(C175,'[1]خريطة الحسابات'!_xlnm.Print_Area,5,FALSE)))</f>
        <v>الاصول</v>
      </c>
      <c r="O175" s="84" t="s">
        <v>1358</v>
      </c>
      <c r="P175" s="139" t="s">
        <v>1295</v>
      </c>
    </row>
    <row r="176" spans="1:16">
      <c r="A176" s="104">
        <v>10</v>
      </c>
      <c r="B176" s="131">
        <v>46057</v>
      </c>
      <c r="C176" s="130">
        <v>20</v>
      </c>
      <c r="D176" s="140" t="str">
        <f>IF(ISERROR(VLOOKUP(C176,'[1]خريطة الحسابات'!_xlnm.Print_Area,3,FALSE))," ",(VLOOKUP(C176,'[1]خريطة الحسابات'!_xlnm.Print_Area,3,FALSE)))</f>
        <v xml:space="preserve">الخزينة </v>
      </c>
      <c r="E176" s="132"/>
      <c r="F176" s="133"/>
      <c r="G176" s="133">
        <v>25000</v>
      </c>
      <c r="H176" s="134">
        <f t="shared" si="6"/>
        <v>0</v>
      </c>
      <c r="I176" s="134">
        <f t="shared" si="6"/>
        <v>25000</v>
      </c>
      <c r="J176" s="134">
        <f t="shared" si="7"/>
        <v>-25000</v>
      </c>
      <c r="K176" s="135"/>
      <c r="L176" s="136" t="str">
        <f t="shared" si="8"/>
        <v>دائن</v>
      </c>
      <c r="M176" s="137" t="str">
        <f>IF(ISERROR(VLOOKUP(C176,'[1]خريطة الحسابات'!_xlnm.Print_Area,4,FALSE))," ",(VLOOKUP(C176,'[1]خريطة الحسابات'!_xlnm.Print_Area,4,FALSE)))</f>
        <v xml:space="preserve">أصول متداوله -النقدية ومافي حكمها </v>
      </c>
      <c r="N176" s="138" t="str">
        <f>IF(ISERROR(VLOOKUP(C176,'[1]خريطة الحسابات'!_xlnm.Print_Area,5,FALSE))," ",(VLOOKUP(C176,'[1]خريطة الحسابات'!_xlnm.Print_Area,5,FALSE)))</f>
        <v>الاصول</v>
      </c>
      <c r="O176" s="84" t="s">
        <v>1359</v>
      </c>
      <c r="P176" s="139" t="s">
        <v>1295</v>
      </c>
    </row>
    <row r="177" spans="1:16">
      <c r="A177" s="104">
        <v>10</v>
      </c>
      <c r="B177" s="131">
        <v>46057</v>
      </c>
      <c r="C177" s="130">
        <v>20</v>
      </c>
      <c r="D177" s="140" t="str">
        <f>IF(ISERROR(VLOOKUP(C177,'[1]خريطة الحسابات'!_xlnm.Print_Area,3,FALSE))," ",(VLOOKUP(C177,'[1]خريطة الحسابات'!_xlnm.Print_Area,3,FALSE)))</f>
        <v xml:space="preserve">الخزينة </v>
      </c>
      <c r="E177" s="132"/>
      <c r="F177" s="133"/>
      <c r="G177" s="133">
        <v>400</v>
      </c>
      <c r="H177" s="134">
        <f t="shared" si="6"/>
        <v>0</v>
      </c>
      <c r="I177" s="134">
        <f t="shared" si="6"/>
        <v>400</v>
      </c>
      <c r="J177" s="134">
        <f t="shared" si="7"/>
        <v>-400</v>
      </c>
      <c r="K177" s="135"/>
      <c r="L177" s="136" t="str">
        <f t="shared" si="8"/>
        <v>دائن</v>
      </c>
      <c r="M177" s="137" t="str">
        <f>IF(ISERROR(VLOOKUP(C177,'[1]خريطة الحسابات'!_xlnm.Print_Area,4,FALSE))," ",(VLOOKUP(C177,'[1]خريطة الحسابات'!_xlnm.Print_Area,4,FALSE)))</f>
        <v xml:space="preserve">أصول متداوله -النقدية ومافي حكمها </v>
      </c>
      <c r="N177" s="138" t="str">
        <f>IF(ISERROR(VLOOKUP(C177,'[1]خريطة الحسابات'!_xlnm.Print_Area,5,FALSE))," ",(VLOOKUP(C177,'[1]خريطة الحسابات'!_xlnm.Print_Area,5,FALSE)))</f>
        <v>الاصول</v>
      </c>
      <c r="O177" s="84" t="s">
        <v>1352</v>
      </c>
      <c r="P177" s="139" t="s">
        <v>1299</v>
      </c>
    </row>
    <row r="178" spans="1:16">
      <c r="A178" s="104">
        <v>10</v>
      </c>
      <c r="B178" s="131">
        <v>46058</v>
      </c>
      <c r="C178" s="130">
        <v>20</v>
      </c>
      <c r="D178" s="140" t="str">
        <f>IF(ISERROR(VLOOKUP(C178,'[1]خريطة الحسابات'!_xlnm.Print_Area,3,FALSE))," ",(VLOOKUP(C178,'[1]خريطة الحسابات'!_xlnm.Print_Area,3,FALSE)))</f>
        <v xml:space="preserve">الخزينة </v>
      </c>
      <c r="E178" s="132"/>
      <c r="F178" s="133"/>
      <c r="G178" s="133">
        <v>4805</v>
      </c>
      <c r="H178" s="134">
        <f t="shared" si="6"/>
        <v>0</v>
      </c>
      <c r="I178" s="134">
        <f t="shared" si="6"/>
        <v>4805</v>
      </c>
      <c r="J178" s="134">
        <f t="shared" si="7"/>
        <v>-4805</v>
      </c>
      <c r="K178" s="135"/>
      <c r="L178" s="136" t="str">
        <f t="shared" si="8"/>
        <v>دائن</v>
      </c>
      <c r="M178" s="137" t="str">
        <f>IF(ISERROR(VLOOKUP(C178,'[1]خريطة الحسابات'!_xlnm.Print_Area,4,FALSE))," ",(VLOOKUP(C178,'[1]خريطة الحسابات'!_xlnm.Print_Area,4,FALSE)))</f>
        <v xml:space="preserve">أصول متداوله -النقدية ومافي حكمها </v>
      </c>
      <c r="N178" s="138" t="str">
        <f>IF(ISERROR(VLOOKUP(C178,'[1]خريطة الحسابات'!_xlnm.Print_Area,5,FALSE))," ",(VLOOKUP(C178,'[1]خريطة الحسابات'!_xlnm.Print_Area,5,FALSE)))</f>
        <v>الاصول</v>
      </c>
      <c r="O178" s="84" t="s">
        <v>1360</v>
      </c>
      <c r="P178" s="139" t="s">
        <v>1299</v>
      </c>
    </row>
    <row r="179" spans="1:16">
      <c r="A179" s="104">
        <v>10</v>
      </c>
      <c r="B179" s="131">
        <v>46061</v>
      </c>
      <c r="C179" s="130">
        <v>20</v>
      </c>
      <c r="D179" s="140" t="str">
        <f>IF(ISERROR(VLOOKUP(C179,'[1]خريطة الحسابات'!_xlnm.Print_Area,3,FALSE))," ",(VLOOKUP(C179,'[1]خريطة الحسابات'!_xlnm.Print_Area,3,FALSE)))</f>
        <v xml:space="preserve">الخزينة </v>
      </c>
      <c r="E179" s="132"/>
      <c r="F179" s="133"/>
      <c r="G179" s="133">
        <v>10010</v>
      </c>
      <c r="H179" s="134">
        <f t="shared" si="6"/>
        <v>0</v>
      </c>
      <c r="I179" s="134">
        <f t="shared" si="6"/>
        <v>10010</v>
      </c>
      <c r="J179" s="134">
        <f t="shared" si="7"/>
        <v>-10010</v>
      </c>
      <c r="K179" s="135"/>
      <c r="L179" s="136" t="str">
        <f t="shared" si="8"/>
        <v>دائن</v>
      </c>
      <c r="M179" s="137" t="str">
        <f>IF(ISERROR(VLOOKUP(C179,'[1]خريطة الحسابات'!_xlnm.Print_Area,4,FALSE))," ",(VLOOKUP(C179,'[1]خريطة الحسابات'!_xlnm.Print_Area,4,FALSE)))</f>
        <v xml:space="preserve">أصول متداوله -النقدية ومافي حكمها </v>
      </c>
      <c r="N179" s="138" t="str">
        <f>IF(ISERROR(VLOOKUP(C179,'[1]خريطة الحسابات'!_xlnm.Print_Area,5,FALSE))," ",(VLOOKUP(C179,'[1]خريطة الحسابات'!_xlnm.Print_Area,5,FALSE)))</f>
        <v>الاصول</v>
      </c>
      <c r="O179" s="84" t="s">
        <v>1355</v>
      </c>
      <c r="P179" s="139" t="s">
        <v>1295</v>
      </c>
    </row>
    <row r="180" spans="1:16">
      <c r="A180" s="104">
        <v>10</v>
      </c>
      <c r="B180" s="131">
        <v>46062</v>
      </c>
      <c r="C180" s="130">
        <v>20</v>
      </c>
      <c r="D180" s="140" t="str">
        <f>IF(ISERROR(VLOOKUP(C180,'[1]خريطة الحسابات'!_xlnm.Print_Area,3,FALSE))," ",(VLOOKUP(C180,'[1]خريطة الحسابات'!_xlnm.Print_Area,3,FALSE)))</f>
        <v xml:space="preserve">الخزينة </v>
      </c>
      <c r="E180" s="132"/>
      <c r="F180" s="133"/>
      <c r="G180" s="133">
        <v>20020</v>
      </c>
      <c r="H180" s="134">
        <f t="shared" si="6"/>
        <v>0</v>
      </c>
      <c r="I180" s="134">
        <f t="shared" si="6"/>
        <v>20020</v>
      </c>
      <c r="J180" s="134">
        <f t="shared" si="7"/>
        <v>-20020</v>
      </c>
      <c r="K180" s="135"/>
      <c r="L180" s="136" t="str">
        <f t="shared" si="8"/>
        <v>دائن</v>
      </c>
      <c r="M180" s="137" t="str">
        <f>IF(ISERROR(VLOOKUP(C180,'[1]خريطة الحسابات'!_xlnm.Print_Area,4,FALSE))," ",(VLOOKUP(C180,'[1]خريطة الحسابات'!_xlnm.Print_Area,4,FALSE)))</f>
        <v xml:space="preserve">أصول متداوله -النقدية ومافي حكمها </v>
      </c>
      <c r="N180" s="138" t="str">
        <f>IF(ISERROR(VLOOKUP(C180,'[1]خريطة الحسابات'!_xlnm.Print_Area,5,FALSE))," ",(VLOOKUP(C180,'[1]خريطة الحسابات'!_xlnm.Print_Area,5,FALSE)))</f>
        <v>الاصول</v>
      </c>
      <c r="O180" s="84" t="s">
        <v>1355</v>
      </c>
      <c r="P180" s="139" t="s">
        <v>1295</v>
      </c>
    </row>
    <row r="181" spans="1:16">
      <c r="A181" s="104">
        <v>10</v>
      </c>
      <c r="B181" s="131">
        <v>46063</v>
      </c>
      <c r="C181" s="130">
        <v>20</v>
      </c>
      <c r="D181" s="140" t="str">
        <f>IF(ISERROR(VLOOKUP(C181,'[1]خريطة الحسابات'!_xlnm.Print_Area,3,FALSE))," ",(VLOOKUP(C181,'[1]خريطة الحسابات'!_xlnm.Print_Area,3,FALSE)))</f>
        <v xml:space="preserve">الخزينة </v>
      </c>
      <c r="E181" s="132"/>
      <c r="F181" s="133"/>
      <c r="G181" s="133">
        <v>7150</v>
      </c>
      <c r="H181" s="134">
        <f t="shared" si="6"/>
        <v>0</v>
      </c>
      <c r="I181" s="134">
        <f t="shared" si="6"/>
        <v>7150</v>
      </c>
      <c r="J181" s="134">
        <f t="shared" si="7"/>
        <v>-7150</v>
      </c>
      <c r="K181" s="135"/>
      <c r="L181" s="136" t="str">
        <f t="shared" si="8"/>
        <v>دائن</v>
      </c>
      <c r="M181" s="137" t="str">
        <f>IF(ISERROR(VLOOKUP(C181,'[1]خريطة الحسابات'!_xlnm.Print_Area,4,FALSE))," ",(VLOOKUP(C181,'[1]خريطة الحسابات'!_xlnm.Print_Area,4,FALSE)))</f>
        <v xml:space="preserve">أصول متداوله -النقدية ومافي حكمها </v>
      </c>
      <c r="N181" s="138" t="str">
        <f>IF(ISERROR(VLOOKUP(C181,'[1]خريطة الحسابات'!_xlnm.Print_Area,5,FALSE))," ",(VLOOKUP(C181,'[1]خريطة الحسابات'!_xlnm.Print_Area,5,FALSE)))</f>
        <v>الاصول</v>
      </c>
      <c r="O181" s="84" t="s">
        <v>1361</v>
      </c>
      <c r="P181" s="139" t="s">
        <v>1295</v>
      </c>
    </row>
    <row r="182" spans="1:16">
      <c r="A182" s="104">
        <v>10</v>
      </c>
      <c r="B182" s="131">
        <v>46064</v>
      </c>
      <c r="C182" s="130">
        <v>20</v>
      </c>
      <c r="D182" s="140" t="str">
        <f>IF(ISERROR(VLOOKUP(C182,'[1]خريطة الحسابات'!_xlnm.Print_Area,3,FALSE))," ",(VLOOKUP(C182,'[1]خريطة الحسابات'!_xlnm.Print_Area,3,FALSE)))</f>
        <v xml:space="preserve">الخزينة </v>
      </c>
      <c r="E182" s="132"/>
      <c r="F182" s="133"/>
      <c r="G182" s="133">
        <v>7908</v>
      </c>
      <c r="H182" s="134">
        <f t="shared" si="6"/>
        <v>0</v>
      </c>
      <c r="I182" s="134">
        <f t="shared" si="6"/>
        <v>7908</v>
      </c>
      <c r="J182" s="134">
        <f t="shared" si="7"/>
        <v>-7908</v>
      </c>
      <c r="K182" s="135"/>
      <c r="L182" s="136" t="str">
        <f t="shared" si="8"/>
        <v>دائن</v>
      </c>
      <c r="M182" s="137" t="str">
        <f>IF(ISERROR(VLOOKUP(C182,'[1]خريطة الحسابات'!_xlnm.Print_Area,4,FALSE))," ",(VLOOKUP(C182,'[1]خريطة الحسابات'!_xlnm.Print_Area,4,FALSE)))</f>
        <v xml:space="preserve">أصول متداوله -النقدية ومافي حكمها </v>
      </c>
      <c r="N182" s="138" t="str">
        <f>IF(ISERROR(VLOOKUP(C182,'[1]خريطة الحسابات'!_xlnm.Print_Area,5,FALSE))," ",(VLOOKUP(C182,'[1]خريطة الحسابات'!_xlnm.Print_Area,5,FALSE)))</f>
        <v>الاصول</v>
      </c>
      <c r="O182" s="84" t="s">
        <v>1362</v>
      </c>
      <c r="P182" s="139" t="s">
        <v>1295</v>
      </c>
    </row>
    <row r="183" spans="1:16">
      <c r="A183" s="104">
        <v>10</v>
      </c>
      <c r="B183" s="131">
        <v>46065</v>
      </c>
      <c r="C183" s="130">
        <v>20</v>
      </c>
      <c r="D183" s="140" t="str">
        <f>IF(ISERROR(VLOOKUP(C183,'[1]خريطة الحسابات'!_xlnm.Print_Area,3,FALSE))," ",(VLOOKUP(C183,'[1]خريطة الحسابات'!_xlnm.Print_Area,3,FALSE)))</f>
        <v xml:space="preserve">الخزينة </v>
      </c>
      <c r="E183" s="132"/>
      <c r="F183" s="133"/>
      <c r="G183" s="133">
        <v>10010</v>
      </c>
      <c r="H183" s="134">
        <f t="shared" si="6"/>
        <v>0</v>
      </c>
      <c r="I183" s="134">
        <f t="shared" si="6"/>
        <v>10010</v>
      </c>
      <c r="J183" s="134">
        <f t="shared" si="7"/>
        <v>-10010</v>
      </c>
      <c r="K183" s="135"/>
      <c r="L183" s="136" t="str">
        <f t="shared" si="8"/>
        <v>دائن</v>
      </c>
      <c r="M183" s="137" t="str">
        <f>IF(ISERROR(VLOOKUP(C183,'[1]خريطة الحسابات'!_xlnm.Print_Area,4,FALSE))," ",(VLOOKUP(C183,'[1]خريطة الحسابات'!_xlnm.Print_Area,4,FALSE)))</f>
        <v xml:space="preserve">أصول متداوله -النقدية ومافي حكمها </v>
      </c>
      <c r="N183" s="138" t="str">
        <f>IF(ISERROR(VLOOKUP(C183,'[1]خريطة الحسابات'!_xlnm.Print_Area,5,FALSE))," ",(VLOOKUP(C183,'[1]خريطة الحسابات'!_xlnm.Print_Area,5,FALSE)))</f>
        <v>الاصول</v>
      </c>
      <c r="O183" s="84" t="s">
        <v>1363</v>
      </c>
      <c r="P183" s="139" t="s">
        <v>1299</v>
      </c>
    </row>
    <row r="184" spans="1:16">
      <c r="A184" s="104">
        <v>10</v>
      </c>
      <c r="B184" s="131">
        <v>46076</v>
      </c>
      <c r="C184" s="130">
        <v>20</v>
      </c>
      <c r="D184" s="140" t="str">
        <f>IF(ISERROR(VLOOKUP(C184,'[1]خريطة الحسابات'!_xlnm.Print_Area,3,FALSE))," ",(VLOOKUP(C184,'[1]خريطة الحسابات'!_xlnm.Print_Area,3,FALSE)))</f>
        <v xml:space="preserve">الخزينة </v>
      </c>
      <c r="E184" s="132"/>
      <c r="F184" s="133"/>
      <c r="G184" s="133">
        <v>15000</v>
      </c>
      <c r="H184" s="134">
        <f t="shared" si="6"/>
        <v>0</v>
      </c>
      <c r="I184" s="134">
        <f t="shared" si="6"/>
        <v>15000</v>
      </c>
      <c r="J184" s="134">
        <f t="shared" si="7"/>
        <v>-15000</v>
      </c>
      <c r="K184" s="135"/>
      <c r="L184" s="136" t="str">
        <f t="shared" si="8"/>
        <v>دائن</v>
      </c>
      <c r="M184" s="137" t="str">
        <f>IF(ISERROR(VLOOKUP(C184,'[1]خريطة الحسابات'!_xlnm.Print_Area,4,FALSE))," ",(VLOOKUP(C184,'[1]خريطة الحسابات'!_xlnm.Print_Area,4,FALSE)))</f>
        <v xml:space="preserve">أصول متداوله -النقدية ومافي حكمها </v>
      </c>
      <c r="N184" s="138" t="str">
        <f>IF(ISERROR(VLOOKUP(C184,'[1]خريطة الحسابات'!_xlnm.Print_Area,5,FALSE))," ",(VLOOKUP(C184,'[1]خريطة الحسابات'!_xlnm.Print_Area,5,FALSE)))</f>
        <v>الاصول</v>
      </c>
      <c r="O184" s="84" t="s">
        <v>1364</v>
      </c>
      <c r="P184" s="139" t="s">
        <v>1299</v>
      </c>
    </row>
    <row r="185" spans="1:16">
      <c r="A185" s="104">
        <v>10</v>
      </c>
      <c r="B185" s="131">
        <v>46097</v>
      </c>
      <c r="C185" s="130">
        <v>20</v>
      </c>
      <c r="D185" s="140" t="str">
        <f>IF(ISERROR(VLOOKUP(C185,'[1]خريطة الحسابات'!_xlnm.Print_Area,3,FALSE))," ",(VLOOKUP(C185,'[1]خريطة الحسابات'!_xlnm.Print_Area,3,FALSE)))</f>
        <v xml:space="preserve">الخزينة </v>
      </c>
      <c r="E185" s="132"/>
      <c r="F185" s="133"/>
      <c r="G185" s="133">
        <v>1300</v>
      </c>
      <c r="H185" s="134">
        <f t="shared" si="6"/>
        <v>0</v>
      </c>
      <c r="I185" s="134">
        <f t="shared" si="6"/>
        <v>1300</v>
      </c>
      <c r="J185" s="134">
        <f t="shared" si="7"/>
        <v>-1300</v>
      </c>
      <c r="K185" s="135"/>
      <c r="L185" s="136" t="str">
        <f t="shared" si="8"/>
        <v>دائن</v>
      </c>
      <c r="M185" s="137" t="str">
        <f>IF(ISERROR(VLOOKUP(C185,'[1]خريطة الحسابات'!_xlnm.Print_Area,4,FALSE))," ",(VLOOKUP(C185,'[1]خريطة الحسابات'!_xlnm.Print_Area,4,FALSE)))</f>
        <v xml:space="preserve">أصول متداوله -النقدية ومافي حكمها </v>
      </c>
      <c r="N185" s="138" t="str">
        <f>IF(ISERROR(VLOOKUP(C185,'[1]خريطة الحسابات'!_xlnm.Print_Area,5,FALSE))," ",(VLOOKUP(C185,'[1]خريطة الحسابات'!_xlnm.Print_Area,5,FALSE)))</f>
        <v>الاصول</v>
      </c>
      <c r="O185" s="84" t="s">
        <v>1365</v>
      </c>
      <c r="P185" s="139" t="s">
        <v>1295</v>
      </c>
    </row>
    <row r="186" spans="1:16">
      <c r="A186" s="104">
        <v>10</v>
      </c>
      <c r="B186" s="131">
        <v>46120</v>
      </c>
      <c r="C186" s="130">
        <v>20</v>
      </c>
      <c r="D186" s="140" t="str">
        <f>IF(ISERROR(VLOOKUP(C186,'[1]خريطة الحسابات'!_xlnm.Print_Area,3,FALSE))," ",(VLOOKUP(C186,'[1]خريطة الحسابات'!_xlnm.Print_Area,3,FALSE)))</f>
        <v xml:space="preserve">الخزينة </v>
      </c>
      <c r="E186" s="132"/>
      <c r="F186" s="133"/>
      <c r="G186" s="133">
        <v>1300</v>
      </c>
      <c r="H186" s="134">
        <f t="shared" si="6"/>
        <v>0</v>
      </c>
      <c r="I186" s="134">
        <f t="shared" si="6"/>
        <v>1300</v>
      </c>
      <c r="J186" s="134">
        <f t="shared" si="7"/>
        <v>-1300</v>
      </c>
      <c r="K186" s="135"/>
      <c r="L186" s="136" t="str">
        <f t="shared" si="8"/>
        <v>دائن</v>
      </c>
      <c r="M186" s="137" t="str">
        <f>IF(ISERROR(VLOOKUP(C186,'[1]خريطة الحسابات'!_xlnm.Print_Area,4,FALSE))," ",(VLOOKUP(C186,'[1]خريطة الحسابات'!_xlnm.Print_Area,4,FALSE)))</f>
        <v xml:space="preserve">أصول متداوله -النقدية ومافي حكمها </v>
      </c>
      <c r="N186" s="138" t="str">
        <f>IF(ISERROR(VLOOKUP(C186,'[1]خريطة الحسابات'!_xlnm.Print_Area,5,FALSE))," ",(VLOOKUP(C186,'[1]خريطة الحسابات'!_xlnm.Print_Area,5,FALSE)))</f>
        <v>الاصول</v>
      </c>
      <c r="O186" s="84" t="s">
        <v>1366</v>
      </c>
      <c r="P186" s="139" t="s">
        <v>1342</v>
      </c>
    </row>
    <row r="187" spans="1:16">
      <c r="A187" s="104">
        <v>11</v>
      </c>
      <c r="B187" s="131">
        <v>46032</v>
      </c>
      <c r="C187" s="141">
        <v>4052</v>
      </c>
      <c r="D187" s="140" t="str">
        <f>IF(ISERROR(VLOOKUP(C187,'[1]خريطة الحسابات'!_xlnm.Print_Area,3,FALSE))," ",(VLOOKUP(C187,'[1]خريطة الحسابات'!_xlnm.Print_Area,3,FALSE)))</f>
        <v>عرباوي الشروق</v>
      </c>
      <c r="E187" s="132"/>
      <c r="F187" s="133">
        <v>8160</v>
      </c>
      <c r="G187" s="133"/>
      <c r="H187" s="134">
        <f t="shared" si="6"/>
        <v>8160</v>
      </c>
      <c r="I187" s="134">
        <f t="shared" si="6"/>
        <v>0</v>
      </c>
      <c r="J187" s="134">
        <f t="shared" si="7"/>
        <v>8160</v>
      </c>
      <c r="K187" s="135"/>
      <c r="L187" s="136" t="str">
        <f t="shared" si="8"/>
        <v>مدين</v>
      </c>
      <c r="M187" s="137" t="str">
        <f>IF(ISERROR(VLOOKUP(C187,'[1]خريطة الحسابات'!_xlnm.Print_Area,4,FALSE))," ",(VLOOKUP(C187,'[1]خريطة الحسابات'!_xlnm.Print_Area,4,FALSE)))</f>
        <v>موردين</v>
      </c>
      <c r="N187" s="138" t="str">
        <f>IF(ISERROR(VLOOKUP(C187,'[1]خريطة الحسابات'!_xlnm.Print_Area,5,FALSE))," ",(VLOOKUP(C187,'[1]خريطة الحسابات'!_xlnm.Print_Area,5,FALSE)))</f>
        <v xml:space="preserve">الدائنون والأرصدة الدائنة الأخرى </v>
      </c>
      <c r="O187" s="84" t="s">
        <v>1367</v>
      </c>
      <c r="P187" s="139" t="s">
        <v>1290</v>
      </c>
    </row>
    <row r="188" spans="1:16">
      <c r="A188" s="104">
        <v>11</v>
      </c>
      <c r="B188" s="131">
        <v>46032</v>
      </c>
      <c r="C188" s="141">
        <v>4052</v>
      </c>
      <c r="D188" s="140" t="str">
        <f>IF(ISERROR(VLOOKUP(C188,'[1]خريطة الحسابات'!_xlnm.Print_Area,3,FALSE))," ",(VLOOKUP(C188,'[1]خريطة الحسابات'!_xlnm.Print_Area,3,FALSE)))</f>
        <v>عرباوي الشروق</v>
      </c>
      <c r="E188" s="132"/>
      <c r="F188" s="133">
        <v>3485</v>
      </c>
      <c r="G188" s="133"/>
      <c r="H188" s="134">
        <f t="shared" si="6"/>
        <v>3485</v>
      </c>
      <c r="I188" s="134">
        <f t="shared" si="6"/>
        <v>0</v>
      </c>
      <c r="J188" s="134">
        <f t="shared" si="7"/>
        <v>3485</v>
      </c>
      <c r="K188" s="135"/>
      <c r="L188" s="136" t="str">
        <f t="shared" si="8"/>
        <v>مدين</v>
      </c>
      <c r="M188" s="137" t="str">
        <f>IF(ISERROR(VLOOKUP(C188,'[1]خريطة الحسابات'!_xlnm.Print_Area,4,FALSE))," ",(VLOOKUP(C188,'[1]خريطة الحسابات'!_xlnm.Print_Area,4,FALSE)))</f>
        <v>موردين</v>
      </c>
      <c r="N188" s="138" t="str">
        <f>IF(ISERROR(VLOOKUP(C188,'[1]خريطة الحسابات'!_xlnm.Print_Area,5,FALSE))," ",(VLOOKUP(C188,'[1]خريطة الحسابات'!_xlnm.Print_Area,5,FALSE)))</f>
        <v xml:space="preserve">الدائنون والأرصدة الدائنة الأخرى </v>
      </c>
      <c r="O188" s="84" t="s">
        <v>1368</v>
      </c>
      <c r="P188" s="139" t="s">
        <v>1369</v>
      </c>
    </row>
    <row r="189" spans="1:16">
      <c r="A189" s="104">
        <v>11</v>
      </c>
      <c r="B189" s="131">
        <v>46032</v>
      </c>
      <c r="C189" s="141">
        <v>4052</v>
      </c>
      <c r="D189" s="140" t="str">
        <f>IF(ISERROR(VLOOKUP(C189,'[1]خريطة الحسابات'!_xlnm.Print_Area,3,FALSE))," ",(VLOOKUP(C189,'[1]خريطة الحسابات'!_xlnm.Print_Area,3,FALSE)))</f>
        <v>عرباوي الشروق</v>
      </c>
      <c r="E189" s="132"/>
      <c r="F189" s="133">
        <v>21510</v>
      </c>
      <c r="G189" s="133"/>
      <c r="H189" s="134">
        <f t="shared" si="6"/>
        <v>21510</v>
      </c>
      <c r="I189" s="134">
        <f t="shared" si="6"/>
        <v>0</v>
      </c>
      <c r="J189" s="134">
        <f t="shared" si="7"/>
        <v>21510</v>
      </c>
      <c r="K189" s="135"/>
      <c r="L189" s="136" t="str">
        <f t="shared" si="8"/>
        <v>مدين</v>
      </c>
      <c r="M189" s="137" t="str">
        <f>IF(ISERROR(VLOOKUP(C189,'[1]خريطة الحسابات'!_xlnm.Print_Area,4,FALSE))," ",(VLOOKUP(C189,'[1]خريطة الحسابات'!_xlnm.Print_Area,4,FALSE)))</f>
        <v>موردين</v>
      </c>
      <c r="N189" s="138" t="str">
        <f>IF(ISERROR(VLOOKUP(C189,'[1]خريطة الحسابات'!_xlnm.Print_Area,5,FALSE))," ",(VLOOKUP(C189,'[1]خريطة الحسابات'!_xlnm.Print_Area,5,FALSE)))</f>
        <v xml:space="preserve">الدائنون والأرصدة الدائنة الأخرى </v>
      </c>
      <c r="O189" s="84" t="s">
        <v>1370</v>
      </c>
      <c r="P189" s="139" t="s">
        <v>1290</v>
      </c>
    </row>
    <row r="190" spans="1:16">
      <c r="A190" s="104">
        <v>11</v>
      </c>
      <c r="B190" s="131">
        <v>46032</v>
      </c>
      <c r="C190" s="141">
        <v>4052</v>
      </c>
      <c r="D190" s="140" t="str">
        <f>IF(ISERROR(VLOOKUP(C190,'[1]خريطة الحسابات'!_xlnm.Print_Area,3,FALSE))," ",(VLOOKUP(C190,'[1]خريطة الحسابات'!_xlnm.Print_Area,3,FALSE)))</f>
        <v>عرباوي الشروق</v>
      </c>
      <c r="E190" s="132"/>
      <c r="F190" s="133">
        <v>1435</v>
      </c>
      <c r="G190" s="133"/>
      <c r="H190" s="134">
        <f t="shared" si="6"/>
        <v>1435</v>
      </c>
      <c r="I190" s="134">
        <f t="shared" si="6"/>
        <v>0</v>
      </c>
      <c r="J190" s="134">
        <f t="shared" si="7"/>
        <v>1435</v>
      </c>
      <c r="K190" s="135"/>
      <c r="L190" s="136" t="str">
        <f t="shared" si="8"/>
        <v>مدين</v>
      </c>
      <c r="M190" s="137" t="str">
        <f>IF(ISERROR(VLOOKUP(C190,'[1]خريطة الحسابات'!_xlnm.Print_Area,4,FALSE))," ",(VLOOKUP(C190,'[1]خريطة الحسابات'!_xlnm.Print_Area,4,FALSE)))</f>
        <v>موردين</v>
      </c>
      <c r="N190" s="138" t="str">
        <f>IF(ISERROR(VLOOKUP(C190,'[1]خريطة الحسابات'!_xlnm.Print_Area,5,FALSE))," ",(VLOOKUP(C190,'[1]خريطة الحسابات'!_xlnm.Print_Area,5,FALSE)))</f>
        <v xml:space="preserve">الدائنون والأرصدة الدائنة الأخرى </v>
      </c>
      <c r="O190" s="84" t="s">
        <v>1371</v>
      </c>
      <c r="P190" s="139" t="s">
        <v>1369</v>
      </c>
    </row>
    <row r="191" spans="1:16">
      <c r="A191" s="104">
        <v>11</v>
      </c>
      <c r="B191" s="131">
        <v>46093</v>
      </c>
      <c r="C191" s="141">
        <v>4052</v>
      </c>
      <c r="D191" s="140" t="str">
        <f>IF(ISERROR(VLOOKUP(C191,'[1]خريطة الحسابات'!_xlnm.Print_Area,3,FALSE))," ",(VLOOKUP(C191,'[1]خريطة الحسابات'!_xlnm.Print_Area,3,FALSE)))</f>
        <v>عرباوي الشروق</v>
      </c>
      <c r="E191" s="132"/>
      <c r="F191" s="133">
        <v>20020</v>
      </c>
      <c r="G191" s="133"/>
      <c r="H191" s="134">
        <f t="shared" si="6"/>
        <v>20020</v>
      </c>
      <c r="I191" s="134">
        <f t="shared" si="6"/>
        <v>0</v>
      </c>
      <c r="J191" s="134">
        <f t="shared" si="7"/>
        <v>20020</v>
      </c>
      <c r="K191" s="135"/>
      <c r="L191" s="136" t="str">
        <f t="shared" si="8"/>
        <v>مدين</v>
      </c>
      <c r="M191" s="137" t="str">
        <f>IF(ISERROR(VLOOKUP(C191,'[1]خريطة الحسابات'!_xlnm.Print_Area,4,FALSE))," ",(VLOOKUP(C191,'[1]خريطة الحسابات'!_xlnm.Print_Area,4,FALSE)))</f>
        <v>موردين</v>
      </c>
      <c r="N191" s="138" t="str">
        <f>IF(ISERROR(VLOOKUP(C191,'[1]خريطة الحسابات'!_xlnm.Print_Area,5,FALSE))," ",(VLOOKUP(C191,'[1]خريطة الحسابات'!_xlnm.Print_Area,5,FALSE)))</f>
        <v xml:space="preserve">الدائنون والأرصدة الدائنة الأخرى </v>
      </c>
      <c r="O191" s="84" t="s">
        <v>1372</v>
      </c>
      <c r="P191" s="139" t="s">
        <v>1315</v>
      </c>
    </row>
    <row r="192" spans="1:16">
      <c r="A192" s="104">
        <v>11</v>
      </c>
      <c r="B192" s="131">
        <v>46099</v>
      </c>
      <c r="C192" s="141">
        <v>4052</v>
      </c>
      <c r="D192" s="140" t="str">
        <f>IF(ISERROR(VLOOKUP(C192,'[1]خريطة الحسابات'!_xlnm.Print_Area,3,FALSE))," ",(VLOOKUP(C192,'[1]خريطة الحسابات'!_xlnm.Print_Area,3,FALSE)))</f>
        <v>عرباوي الشروق</v>
      </c>
      <c r="E192" s="132"/>
      <c r="F192" s="133">
        <v>10010</v>
      </c>
      <c r="G192" s="133"/>
      <c r="H192" s="134">
        <f t="shared" si="6"/>
        <v>10010</v>
      </c>
      <c r="I192" s="134">
        <f t="shared" si="6"/>
        <v>0</v>
      </c>
      <c r="J192" s="134">
        <f t="shared" si="7"/>
        <v>10010</v>
      </c>
      <c r="K192" s="135"/>
      <c r="L192" s="136" t="str">
        <f t="shared" si="8"/>
        <v>مدين</v>
      </c>
      <c r="M192" s="137" t="str">
        <f>IF(ISERROR(VLOOKUP(C192,'[1]خريطة الحسابات'!_xlnm.Print_Area,4,FALSE))," ",(VLOOKUP(C192,'[1]خريطة الحسابات'!_xlnm.Print_Area,4,FALSE)))</f>
        <v>موردين</v>
      </c>
      <c r="N192" s="138" t="str">
        <f>IF(ISERROR(VLOOKUP(C192,'[1]خريطة الحسابات'!_xlnm.Print_Area,5,FALSE))," ",(VLOOKUP(C192,'[1]خريطة الحسابات'!_xlnm.Print_Area,5,FALSE)))</f>
        <v xml:space="preserve">الدائنون والأرصدة الدائنة الأخرى </v>
      </c>
      <c r="O192" s="84" t="s">
        <v>1373</v>
      </c>
      <c r="P192" s="139" t="s">
        <v>1342</v>
      </c>
    </row>
    <row r="193" spans="1:16">
      <c r="A193" s="104">
        <v>11</v>
      </c>
      <c r="B193" s="131">
        <v>46123</v>
      </c>
      <c r="C193" s="141">
        <v>4052</v>
      </c>
      <c r="D193" s="140" t="str">
        <f>IF(ISERROR(VLOOKUP(C193,'[1]خريطة الحسابات'!_xlnm.Print_Area,3,FALSE))," ",(VLOOKUP(C193,'[1]خريطة الحسابات'!_xlnm.Print_Area,3,FALSE)))</f>
        <v>عرباوي الشروق</v>
      </c>
      <c r="E193" s="132"/>
      <c r="F193" s="133">
        <v>8000</v>
      </c>
      <c r="G193" s="133"/>
      <c r="H193" s="134">
        <f t="shared" si="6"/>
        <v>8000</v>
      </c>
      <c r="I193" s="134">
        <f t="shared" si="6"/>
        <v>0</v>
      </c>
      <c r="J193" s="134">
        <f t="shared" si="7"/>
        <v>8000</v>
      </c>
      <c r="K193" s="135"/>
      <c r="L193" s="136" t="str">
        <f t="shared" si="8"/>
        <v>مدين</v>
      </c>
      <c r="M193" s="137" t="str">
        <f>IF(ISERROR(VLOOKUP(C193,'[1]خريطة الحسابات'!_xlnm.Print_Area,4,FALSE))," ",(VLOOKUP(C193,'[1]خريطة الحسابات'!_xlnm.Print_Area,4,FALSE)))</f>
        <v>موردين</v>
      </c>
      <c r="N193" s="138" t="str">
        <f>IF(ISERROR(VLOOKUP(C193,'[1]خريطة الحسابات'!_xlnm.Print_Area,5,FALSE))," ",(VLOOKUP(C193,'[1]خريطة الحسابات'!_xlnm.Print_Area,5,FALSE)))</f>
        <v xml:space="preserve">الدائنون والأرصدة الدائنة الأخرى </v>
      </c>
      <c r="O193" s="84" t="s">
        <v>1374</v>
      </c>
      <c r="P193" s="139" t="s">
        <v>1342</v>
      </c>
    </row>
    <row r="194" spans="1:16">
      <c r="A194" s="104">
        <v>11</v>
      </c>
      <c r="B194" s="131">
        <v>46135</v>
      </c>
      <c r="C194" s="141">
        <v>4052</v>
      </c>
      <c r="D194" s="140" t="str">
        <f>IF(ISERROR(VLOOKUP(C194,'[1]خريطة الحسابات'!_xlnm.Print_Area,3,FALSE))," ",(VLOOKUP(C194,'[1]خريطة الحسابات'!_xlnm.Print_Area,3,FALSE)))</f>
        <v>عرباوي الشروق</v>
      </c>
      <c r="E194" s="132"/>
      <c r="F194" s="133">
        <v>9848</v>
      </c>
      <c r="G194" s="133"/>
      <c r="H194" s="134">
        <f t="shared" si="6"/>
        <v>9848</v>
      </c>
      <c r="I194" s="134">
        <f t="shared" si="6"/>
        <v>0</v>
      </c>
      <c r="J194" s="134">
        <f t="shared" si="7"/>
        <v>9848</v>
      </c>
      <c r="K194" s="135"/>
      <c r="L194" s="136" t="str">
        <f t="shared" si="8"/>
        <v>مدين</v>
      </c>
      <c r="M194" s="137" t="str">
        <f>IF(ISERROR(VLOOKUP(C194,'[1]خريطة الحسابات'!_xlnm.Print_Area,4,FALSE))," ",(VLOOKUP(C194,'[1]خريطة الحسابات'!_xlnm.Print_Area,4,FALSE)))</f>
        <v>موردين</v>
      </c>
      <c r="N194" s="138" t="str">
        <f>IF(ISERROR(VLOOKUP(C194,'[1]خريطة الحسابات'!_xlnm.Print_Area,5,FALSE))," ",(VLOOKUP(C194,'[1]خريطة الحسابات'!_xlnm.Print_Area,5,FALSE)))</f>
        <v xml:space="preserve">الدائنون والأرصدة الدائنة الأخرى </v>
      </c>
      <c r="O194" s="84" t="s">
        <v>1375</v>
      </c>
      <c r="P194" s="139" t="s">
        <v>1342</v>
      </c>
    </row>
    <row r="195" spans="1:16">
      <c r="A195" s="104">
        <v>11</v>
      </c>
      <c r="B195" s="131">
        <v>46032</v>
      </c>
      <c r="C195" s="141">
        <v>20</v>
      </c>
      <c r="D195" s="140" t="str">
        <f>IF(ISERROR(VLOOKUP(C195,'[1]خريطة الحسابات'!_xlnm.Print_Area,3,FALSE))," ",(VLOOKUP(C195,'[1]خريطة الحسابات'!_xlnm.Print_Area,3,FALSE)))</f>
        <v xml:space="preserve">الخزينة </v>
      </c>
      <c r="E195" s="132"/>
      <c r="F195" s="133"/>
      <c r="G195" s="133">
        <v>8160</v>
      </c>
      <c r="H195" s="134">
        <f t="shared" si="6"/>
        <v>0</v>
      </c>
      <c r="I195" s="134">
        <f t="shared" si="6"/>
        <v>8160</v>
      </c>
      <c r="J195" s="134">
        <f t="shared" si="7"/>
        <v>-8160</v>
      </c>
      <c r="K195" s="135"/>
      <c r="L195" s="136" t="str">
        <f t="shared" si="8"/>
        <v>دائن</v>
      </c>
      <c r="M195" s="137" t="str">
        <f>IF(ISERROR(VLOOKUP(C195,'[1]خريطة الحسابات'!_xlnm.Print_Area,4,FALSE))," ",(VLOOKUP(C195,'[1]خريطة الحسابات'!_xlnm.Print_Area,4,FALSE)))</f>
        <v xml:space="preserve">أصول متداوله -النقدية ومافي حكمها </v>
      </c>
      <c r="N195" s="138" t="str">
        <f>IF(ISERROR(VLOOKUP(C195,'[1]خريطة الحسابات'!_xlnm.Print_Area,5,FALSE))," ",(VLOOKUP(C195,'[1]خريطة الحسابات'!_xlnm.Print_Area,5,FALSE)))</f>
        <v>الاصول</v>
      </c>
      <c r="O195" s="84" t="s">
        <v>1367</v>
      </c>
      <c r="P195" s="139" t="s">
        <v>1290</v>
      </c>
    </row>
    <row r="196" spans="1:16">
      <c r="A196" s="104">
        <v>11</v>
      </c>
      <c r="B196" s="131">
        <v>46032</v>
      </c>
      <c r="C196" s="141">
        <v>20</v>
      </c>
      <c r="D196" s="140" t="str">
        <f>IF(ISERROR(VLOOKUP(C196,'[1]خريطة الحسابات'!_xlnm.Print_Area,3,FALSE))," ",(VLOOKUP(C196,'[1]خريطة الحسابات'!_xlnm.Print_Area,3,FALSE)))</f>
        <v xml:space="preserve">الخزينة </v>
      </c>
      <c r="E196" s="132"/>
      <c r="F196" s="133"/>
      <c r="G196" s="133">
        <v>3485</v>
      </c>
      <c r="H196" s="134">
        <f t="shared" si="6"/>
        <v>0</v>
      </c>
      <c r="I196" s="134">
        <f t="shared" si="6"/>
        <v>3485</v>
      </c>
      <c r="J196" s="134">
        <f t="shared" si="7"/>
        <v>-3485</v>
      </c>
      <c r="K196" s="135"/>
      <c r="L196" s="136" t="str">
        <f t="shared" si="8"/>
        <v>دائن</v>
      </c>
      <c r="M196" s="137" t="str">
        <f>IF(ISERROR(VLOOKUP(C196,'[1]خريطة الحسابات'!_xlnm.Print_Area,4,FALSE))," ",(VLOOKUP(C196,'[1]خريطة الحسابات'!_xlnm.Print_Area,4,FALSE)))</f>
        <v xml:space="preserve">أصول متداوله -النقدية ومافي حكمها </v>
      </c>
      <c r="N196" s="138" t="str">
        <f>IF(ISERROR(VLOOKUP(C196,'[1]خريطة الحسابات'!_xlnm.Print_Area,5,FALSE))," ",(VLOOKUP(C196,'[1]خريطة الحسابات'!_xlnm.Print_Area,5,FALSE)))</f>
        <v>الاصول</v>
      </c>
      <c r="O196" s="84" t="s">
        <v>1368</v>
      </c>
      <c r="P196" s="139" t="s">
        <v>1369</v>
      </c>
    </row>
    <row r="197" spans="1:16">
      <c r="A197" s="104">
        <v>11</v>
      </c>
      <c r="B197" s="131">
        <v>46032</v>
      </c>
      <c r="C197" s="141">
        <v>20</v>
      </c>
      <c r="D197" s="140" t="str">
        <f>IF(ISERROR(VLOOKUP(C197,'[1]خريطة الحسابات'!_xlnm.Print_Area,3,FALSE))," ",(VLOOKUP(C197,'[1]خريطة الحسابات'!_xlnm.Print_Area,3,FALSE)))</f>
        <v xml:space="preserve">الخزينة </v>
      </c>
      <c r="E197" s="132"/>
      <c r="F197" s="133"/>
      <c r="G197" s="133">
        <v>21510</v>
      </c>
      <c r="H197" s="134">
        <f t="shared" si="6"/>
        <v>0</v>
      </c>
      <c r="I197" s="134">
        <f t="shared" si="6"/>
        <v>21510</v>
      </c>
      <c r="J197" s="134">
        <f t="shared" si="7"/>
        <v>-21510</v>
      </c>
      <c r="K197" s="135"/>
      <c r="L197" s="136" t="str">
        <f t="shared" si="8"/>
        <v>دائن</v>
      </c>
      <c r="M197" s="137" t="str">
        <f>IF(ISERROR(VLOOKUP(C197,'[1]خريطة الحسابات'!_xlnm.Print_Area,4,FALSE))," ",(VLOOKUP(C197,'[1]خريطة الحسابات'!_xlnm.Print_Area,4,FALSE)))</f>
        <v xml:space="preserve">أصول متداوله -النقدية ومافي حكمها </v>
      </c>
      <c r="N197" s="138" t="str">
        <f>IF(ISERROR(VLOOKUP(C197,'[1]خريطة الحسابات'!_xlnm.Print_Area,5,FALSE))," ",(VLOOKUP(C197,'[1]خريطة الحسابات'!_xlnm.Print_Area,5,FALSE)))</f>
        <v>الاصول</v>
      </c>
      <c r="O197" s="84" t="s">
        <v>1370</v>
      </c>
      <c r="P197" s="139" t="s">
        <v>1290</v>
      </c>
    </row>
    <row r="198" spans="1:16">
      <c r="A198" s="104">
        <v>11</v>
      </c>
      <c r="B198" s="131">
        <v>46032</v>
      </c>
      <c r="C198" s="141">
        <v>20</v>
      </c>
      <c r="D198" s="140" t="str">
        <f>IF(ISERROR(VLOOKUP(C198,'[1]خريطة الحسابات'!_xlnm.Print_Area,3,FALSE))," ",(VLOOKUP(C198,'[1]خريطة الحسابات'!_xlnm.Print_Area,3,FALSE)))</f>
        <v xml:space="preserve">الخزينة </v>
      </c>
      <c r="E198" s="132"/>
      <c r="F198" s="133"/>
      <c r="G198" s="133">
        <v>1435</v>
      </c>
      <c r="H198" s="134">
        <f t="shared" si="6"/>
        <v>0</v>
      </c>
      <c r="I198" s="134">
        <f t="shared" si="6"/>
        <v>1435</v>
      </c>
      <c r="J198" s="134">
        <f t="shared" si="7"/>
        <v>-1435</v>
      </c>
      <c r="K198" s="135"/>
      <c r="L198" s="136" t="str">
        <f t="shared" si="8"/>
        <v>دائن</v>
      </c>
      <c r="M198" s="137" t="str">
        <f>IF(ISERROR(VLOOKUP(C198,'[1]خريطة الحسابات'!_xlnm.Print_Area,4,FALSE))," ",(VLOOKUP(C198,'[1]خريطة الحسابات'!_xlnm.Print_Area,4,FALSE)))</f>
        <v xml:space="preserve">أصول متداوله -النقدية ومافي حكمها </v>
      </c>
      <c r="N198" s="138" t="str">
        <f>IF(ISERROR(VLOOKUP(C198,'[1]خريطة الحسابات'!_xlnm.Print_Area,5,FALSE))," ",(VLOOKUP(C198,'[1]خريطة الحسابات'!_xlnm.Print_Area,5,FALSE)))</f>
        <v>الاصول</v>
      </c>
      <c r="O198" s="84" t="s">
        <v>1371</v>
      </c>
      <c r="P198" s="139" t="s">
        <v>1369</v>
      </c>
    </row>
    <row r="199" spans="1:16">
      <c r="A199" s="104">
        <v>11</v>
      </c>
      <c r="B199" s="131">
        <v>46093</v>
      </c>
      <c r="C199" s="141">
        <v>20</v>
      </c>
      <c r="D199" s="140" t="str">
        <f>IF(ISERROR(VLOOKUP(C199,'[1]خريطة الحسابات'!_xlnm.Print_Area,3,FALSE))," ",(VLOOKUP(C199,'[1]خريطة الحسابات'!_xlnm.Print_Area,3,FALSE)))</f>
        <v xml:space="preserve">الخزينة </v>
      </c>
      <c r="E199" s="132"/>
      <c r="F199" s="133"/>
      <c r="G199" s="133">
        <v>20020</v>
      </c>
      <c r="H199" s="134">
        <f t="shared" si="6"/>
        <v>0</v>
      </c>
      <c r="I199" s="134">
        <f t="shared" si="6"/>
        <v>20020</v>
      </c>
      <c r="J199" s="134">
        <f t="shared" si="7"/>
        <v>-20020</v>
      </c>
      <c r="K199" s="135"/>
      <c r="L199" s="136" t="str">
        <f t="shared" si="8"/>
        <v>دائن</v>
      </c>
      <c r="M199" s="137" t="str">
        <f>IF(ISERROR(VLOOKUP(C199,'[1]خريطة الحسابات'!_xlnm.Print_Area,4,FALSE))," ",(VLOOKUP(C199,'[1]خريطة الحسابات'!_xlnm.Print_Area,4,FALSE)))</f>
        <v xml:space="preserve">أصول متداوله -النقدية ومافي حكمها </v>
      </c>
      <c r="N199" s="138" t="str">
        <f>IF(ISERROR(VLOOKUP(C199,'[1]خريطة الحسابات'!_xlnm.Print_Area,5,FALSE))," ",(VLOOKUP(C199,'[1]خريطة الحسابات'!_xlnm.Print_Area,5,FALSE)))</f>
        <v>الاصول</v>
      </c>
      <c r="O199" s="84" t="s">
        <v>1372</v>
      </c>
      <c r="P199" s="139" t="s">
        <v>1315</v>
      </c>
    </row>
    <row r="200" spans="1:16">
      <c r="A200" s="104">
        <v>11</v>
      </c>
      <c r="B200" s="131">
        <v>46099</v>
      </c>
      <c r="C200" s="141">
        <v>20</v>
      </c>
      <c r="D200" s="140" t="str">
        <f>IF(ISERROR(VLOOKUP(C200,'[1]خريطة الحسابات'!_xlnm.Print_Area,3,FALSE))," ",(VLOOKUP(C200,'[1]خريطة الحسابات'!_xlnm.Print_Area,3,FALSE)))</f>
        <v xml:space="preserve">الخزينة </v>
      </c>
      <c r="E200" s="132"/>
      <c r="F200" s="133"/>
      <c r="G200" s="133">
        <v>10010</v>
      </c>
      <c r="H200" s="134">
        <f t="shared" si="6"/>
        <v>0</v>
      </c>
      <c r="I200" s="134">
        <f t="shared" si="6"/>
        <v>10010</v>
      </c>
      <c r="J200" s="134">
        <f t="shared" si="7"/>
        <v>-10010</v>
      </c>
      <c r="K200" s="135"/>
      <c r="L200" s="136" t="str">
        <f t="shared" si="8"/>
        <v>دائن</v>
      </c>
      <c r="M200" s="137" t="str">
        <f>IF(ISERROR(VLOOKUP(C200,'[1]خريطة الحسابات'!_xlnm.Print_Area,4,FALSE))," ",(VLOOKUP(C200,'[1]خريطة الحسابات'!_xlnm.Print_Area,4,FALSE)))</f>
        <v xml:space="preserve">أصول متداوله -النقدية ومافي حكمها </v>
      </c>
      <c r="N200" s="138" t="str">
        <f>IF(ISERROR(VLOOKUP(C200,'[1]خريطة الحسابات'!_xlnm.Print_Area,5,FALSE))," ",(VLOOKUP(C200,'[1]خريطة الحسابات'!_xlnm.Print_Area,5,FALSE)))</f>
        <v>الاصول</v>
      </c>
      <c r="O200" s="84" t="s">
        <v>1373</v>
      </c>
      <c r="P200" s="139" t="s">
        <v>1342</v>
      </c>
    </row>
    <row r="201" spans="1:16">
      <c r="A201" s="104">
        <v>11</v>
      </c>
      <c r="B201" s="131">
        <v>46123</v>
      </c>
      <c r="C201" s="141">
        <v>20</v>
      </c>
      <c r="D201" s="140" t="str">
        <f>IF(ISERROR(VLOOKUP(C201,'[1]خريطة الحسابات'!_xlnm.Print_Area,3,FALSE))," ",(VLOOKUP(C201,'[1]خريطة الحسابات'!_xlnm.Print_Area,3,FALSE)))</f>
        <v xml:space="preserve">الخزينة </v>
      </c>
      <c r="E201" s="132"/>
      <c r="F201" s="133"/>
      <c r="G201" s="133">
        <v>8000</v>
      </c>
      <c r="H201" s="134">
        <f t="shared" si="6"/>
        <v>0</v>
      </c>
      <c r="I201" s="134">
        <f t="shared" si="6"/>
        <v>8000</v>
      </c>
      <c r="J201" s="134">
        <f t="shared" si="7"/>
        <v>-8000</v>
      </c>
      <c r="K201" s="135"/>
      <c r="L201" s="136" t="str">
        <f t="shared" si="8"/>
        <v>دائن</v>
      </c>
      <c r="M201" s="137" t="str">
        <f>IF(ISERROR(VLOOKUP(C201,'[1]خريطة الحسابات'!_xlnm.Print_Area,4,FALSE))," ",(VLOOKUP(C201,'[1]خريطة الحسابات'!_xlnm.Print_Area,4,FALSE)))</f>
        <v xml:space="preserve">أصول متداوله -النقدية ومافي حكمها </v>
      </c>
      <c r="N201" s="138" t="str">
        <f>IF(ISERROR(VLOOKUP(C201,'[1]خريطة الحسابات'!_xlnm.Print_Area,5,FALSE))," ",(VLOOKUP(C201,'[1]خريطة الحسابات'!_xlnm.Print_Area,5,FALSE)))</f>
        <v>الاصول</v>
      </c>
      <c r="O201" s="84" t="s">
        <v>1374</v>
      </c>
      <c r="P201" s="139" t="s">
        <v>1342</v>
      </c>
    </row>
    <row r="202" spans="1:16">
      <c r="A202" s="104">
        <v>11</v>
      </c>
      <c r="B202" s="131">
        <v>46135</v>
      </c>
      <c r="C202" s="141">
        <v>20</v>
      </c>
      <c r="D202" s="140" t="str">
        <f>IF(ISERROR(VLOOKUP(C202,'[1]خريطة الحسابات'!_xlnm.Print_Area,3,FALSE))," ",(VLOOKUP(C202,'[1]خريطة الحسابات'!_xlnm.Print_Area,3,FALSE)))</f>
        <v xml:space="preserve">الخزينة </v>
      </c>
      <c r="E202" s="132"/>
      <c r="F202" s="133"/>
      <c r="G202" s="133">
        <v>9848</v>
      </c>
      <c r="H202" s="134">
        <f t="shared" si="6"/>
        <v>0</v>
      </c>
      <c r="I202" s="134">
        <f t="shared" si="6"/>
        <v>9848</v>
      </c>
      <c r="J202" s="134">
        <f t="shared" si="7"/>
        <v>-9848</v>
      </c>
      <c r="K202" s="135"/>
      <c r="L202" s="136" t="str">
        <f t="shared" si="8"/>
        <v>دائن</v>
      </c>
      <c r="M202" s="137" t="str">
        <f>IF(ISERROR(VLOOKUP(C202,'[1]خريطة الحسابات'!_xlnm.Print_Area,4,FALSE))," ",(VLOOKUP(C202,'[1]خريطة الحسابات'!_xlnm.Print_Area,4,FALSE)))</f>
        <v xml:space="preserve">أصول متداوله -النقدية ومافي حكمها </v>
      </c>
      <c r="N202" s="138" t="str">
        <f>IF(ISERROR(VLOOKUP(C202,'[1]خريطة الحسابات'!_xlnm.Print_Area,5,FALSE))," ",(VLOOKUP(C202,'[1]خريطة الحسابات'!_xlnm.Print_Area,5,FALSE)))</f>
        <v>الاصول</v>
      </c>
      <c r="O202" s="84" t="s">
        <v>1375</v>
      </c>
      <c r="P202" s="139" t="s">
        <v>1342</v>
      </c>
    </row>
    <row r="203" spans="1:16">
      <c r="A203" s="104">
        <v>12</v>
      </c>
      <c r="B203" s="131">
        <v>46043</v>
      </c>
      <c r="C203" s="141">
        <v>4066</v>
      </c>
      <c r="D203" s="140" t="str">
        <f>IF(ISERROR(VLOOKUP(C203,'[1]خريطة الحسابات'!_xlnm.Print_Area,3,FALSE))," ",(VLOOKUP(C203,'[1]خريطة الحسابات'!_xlnm.Print_Area,3,FALSE)))</f>
        <v>بن للاحواض</v>
      </c>
      <c r="E203" s="132"/>
      <c r="F203" s="133">
        <v>16016</v>
      </c>
      <c r="G203" s="133"/>
      <c r="H203" s="134">
        <f t="shared" si="6"/>
        <v>16016</v>
      </c>
      <c r="I203" s="134">
        <f t="shared" si="6"/>
        <v>0</v>
      </c>
      <c r="J203" s="134">
        <f t="shared" si="7"/>
        <v>16016</v>
      </c>
      <c r="K203" s="135"/>
      <c r="L203" s="136" t="str">
        <f t="shared" si="8"/>
        <v>مدين</v>
      </c>
      <c r="M203" s="137" t="str">
        <f>IF(ISERROR(VLOOKUP(C203,'[1]خريطة الحسابات'!_xlnm.Print_Area,4,FALSE))," ",(VLOOKUP(C203,'[1]خريطة الحسابات'!_xlnm.Print_Area,4,FALSE)))</f>
        <v>موردين</v>
      </c>
      <c r="N203" s="138" t="str">
        <f>IF(ISERROR(VLOOKUP(C203,'[1]خريطة الحسابات'!_xlnm.Print_Area,5,FALSE))," ",(VLOOKUP(C203,'[1]خريطة الحسابات'!_xlnm.Print_Area,5,FALSE)))</f>
        <v xml:space="preserve">الدائنون والأرصدة الدائنة الأخرى </v>
      </c>
      <c r="O203" s="84" t="s">
        <v>1376</v>
      </c>
      <c r="P203" s="139" t="s">
        <v>1325</v>
      </c>
    </row>
    <row r="204" spans="1:16">
      <c r="A204" s="104">
        <v>12</v>
      </c>
      <c r="B204" s="131">
        <v>46077</v>
      </c>
      <c r="C204" s="141">
        <v>4066</v>
      </c>
      <c r="D204" s="140" t="str">
        <f>IF(ISERROR(VLOOKUP(C204,'[1]خريطة الحسابات'!_xlnm.Print_Area,3,FALSE))," ",(VLOOKUP(C204,'[1]خريطة الحسابات'!_xlnm.Print_Area,3,FALSE)))</f>
        <v>بن للاحواض</v>
      </c>
      <c r="E204" s="132"/>
      <c r="F204" s="133">
        <v>9000</v>
      </c>
      <c r="G204" s="133"/>
      <c r="H204" s="134">
        <f t="shared" si="6"/>
        <v>9000</v>
      </c>
      <c r="I204" s="134">
        <f t="shared" si="6"/>
        <v>0</v>
      </c>
      <c r="J204" s="134">
        <f t="shared" si="7"/>
        <v>9000</v>
      </c>
      <c r="K204" s="135"/>
      <c r="L204" s="136" t="str">
        <f t="shared" si="8"/>
        <v>مدين</v>
      </c>
      <c r="M204" s="137" t="str">
        <f>IF(ISERROR(VLOOKUP(C204,'[1]خريطة الحسابات'!_xlnm.Print_Area,4,FALSE))," ",(VLOOKUP(C204,'[1]خريطة الحسابات'!_xlnm.Print_Area,4,FALSE)))</f>
        <v>موردين</v>
      </c>
      <c r="N204" s="138" t="str">
        <f>IF(ISERROR(VLOOKUP(C204,'[1]خريطة الحسابات'!_xlnm.Print_Area,5,FALSE))," ",(VLOOKUP(C204,'[1]خريطة الحسابات'!_xlnm.Print_Area,5,FALSE)))</f>
        <v xml:space="preserve">الدائنون والأرصدة الدائنة الأخرى </v>
      </c>
      <c r="O204" s="84" t="s">
        <v>1377</v>
      </c>
      <c r="P204" s="139" t="s">
        <v>1292</v>
      </c>
    </row>
    <row r="205" spans="1:16">
      <c r="A205" s="104">
        <v>12</v>
      </c>
      <c r="B205" s="131">
        <v>46086</v>
      </c>
      <c r="C205" s="141">
        <v>4066</v>
      </c>
      <c r="D205" s="140" t="str">
        <f>IF(ISERROR(VLOOKUP(C205,'[1]خريطة الحسابات'!_xlnm.Print_Area,3,FALSE))," ",(VLOOKUP(C205,'[1]خريطة الحسابات'!_xlnm.Print_Area,3,FALSE)))</f>
        <v>بن للاحواض</v>
      </c>
      <c r="E205" s="132"/>
      <c r="F205" s="133">
        <v>15015</v>
      </c>
      <c r="G205" s="133"/>
      <c r="H205" s="134">
        <f t="shared" si="6"/>
        <v>15015</v>
      </c>
      <c r="I205" s="134">
        <f t="shared" si="6"/>
        <v>0</v>
      </c>
      <c r="J205" s="134">
        <f t="shared" si="7"/>
        <v>15015</v>
      </c>
      <c r="K205" s="135"/>
      <c r="L205" s="136" t="str">
        <f t="shared" si="8"/>
        <v>مدين</v>
      </c>
      <c r="M205" s="137" t="str">
        <f>IF(ISERROR(VLOOKUP(C205,'[1]خريطة الحسابات'!_xlnm.Print_Area,4,FALSE))," ",(VLOOKUP(C205,'[1]خريطة الحسابات'!_xlnm.Print_Area,4,FALSE)))</f>
        <v>موردين</v>
      </c>
      <c r="N205" s="138" t="str">
        <f>IF(ISERROR(VLOOKUP(C205,'[1]خريطة الحسابات'!_xlnm.Print_Area,5,FALSE))," ",(VLOOKUP(C205,'[1]خريطة الحسابات'!_xlnm.Print_Area,5,FALSE)))</f>
        <v xml:space="preserve">الدائنون والأرصدة الدائنة الأخرى </v>
      </c>
      <c r="O205" s="84" t="s">
        <v>1378</v>
      </c>
      <c r="P205" s="139" t="s">
        <v>1292</v>
      </c>
    </row>
    <row r="206" spans="1:16">
      <c r="A206" s="104">
        <v>12</v>
      </c>
      <c r="B206" s="131">
        <v>46135</v>
      </c>
      <c r="C206" s="141">
        <v>4066</v>
      </c>
      <c r="D206" s="140" t="str">
        <f>IF(ISERROR(VLOOKUP(C206,'[1]خريطة الحسابات'!_xlnm.Print_Area,3,FALSE))," ",(VLOOKUP(C206,'[1]خريطة الحسابات'!_xlnm.Print_Area,3,FALSE)))</f>
        <v>بن للاحواض</v>
      </c>
      <c r="E206" s="132"/>
      <c r="F206" s="133">
        <v>4755</v>
      </c>
      <c r="G206" s="133"/>
      <c r="H206" s="134">
        <f t="shared" si="6"/>
        <v>4755</v>
      </c>
      <c r="I206" s="134">
        <f t="shared" si="6"/>
        <v>0</v>
      </c>
      <c r="J206" s="134">
        <f t="shared" si="7"/>
        <v>4755</v>
      </c>
      <c r="K206" s="135"/>
      <c r="L206" s="136" t="str">
        <f t="shared" si="8"/>
        <v>مدين</v>
      </c>
      <c r="M206" s="137" t="str">
        <f>IF(ISERROR(VLOOKUP(C206,'[1]خريطة الحسابات'!_xlnm.Print_Area,4,FALSE))," ",(VLOOKUP(C206,'[1]خريطة الحسابات'!_xlnm.Print_Area,4,FALSE)))</f>
        <v>موردين</v>
      </c>
      <c r="N206" s="138" t="str">
        <f>IF(ISERROR(VLOOKUP(C206,'[1]خريطة الحسابات'!_xlnm.Print_Area,5,FALSE))," ",(VLOOKUP(C206,'[1]خريطة الحسابات'!_xlnm.Print_Area,5,FALSE)))</f>
        <v xml:space="preserve">الدائنون والأرصدة الدائنة الأخرى </v>
      </c>
      <c r="O206" s="84" t="s">
        <v>1379</v>
      </c>
      <c r="P206" s="139" t="s">
        <v>1315</v>
      </c>
    </row>
    <row r="207" spans="1:16">
      <c r="A207" s="104">
        <v>12</v>
      </c>
      <c r="B207" s="131">
        <v>46163</v>
      </c>
      <c r="C207" s="141">
        <v>4066</v>
      </c>
      <c r="D207" s="140" t="str">
        <f>IF(ISERROR(VLOOKUP(C207,'[1]خريطة الحسابات'!_xlnm.Print_Area,3,FALSE))," ",(VLOOKUP(C207,'[1]خريطة الحسابات'!_xlnm.Print_Area,3,FALSE)))</f>
        <v>بن للاحواض</v>
      </c>
      <c r="E207" s="132"/>
      <c r="F207" s="133">
        <v>4750</v>
      </c>
      <c r="G207" s="133"/>
      <c r="H207" s="134">
        <f t="shared" si="6"/>
        <v>4750</v>
      </c>
      <c r="I207" s="134">
        <f t="shared" si="6"/>
        <v>0</v>
      </c>
      <c r="J207" s="134">
        <f t="shared" si="7"/>
        <v>4750</v>
      </c>
      <c r="K207" s="135"/>
      <c r="L207" s="136" t="str">
        <f t="shared" si="8"/>
        <v>مدين</v>
      </c>
      <c r="M207" s="137" t="str">
        <f>IF(ISERROR(VLOOKUP(C207,'[1]خريطة الحسابات'!_xlnm.Print_Area,4,FALSE))," ",(VLOOKUP(C207,'[1]خريطة الحسابات'!_xlnm.Print_Area,4,FALSE)))</f>
        <v>موردين</v>
      </c>
      <c r="N207" s="138" t="str">
        <f>IF(ISERROR(VLOOKUP(C207,'[1]خريطة الحسابات'!_xlnm.Print_Area,5,FALSE))," ",(VLOOKUP(C207,'[1]خريطة الحسابات'!_xlnm.Print_Area,5,FALSE)))</f>
        <v xml:space="preserve">الدائنون والأرصدة الدائنة الأخرى </v>
      </c>
      <c r="O207" s="84" t="s">
        <v>1380</v>
      </c>
      <c r="P207" s="139" t="s">
        <v>1315</v>
      </c>
    </row>
    <row r="208" spans="1:16">
      <c r="A208" s="104">
        <v>12</v>
      </c>
      <c r="B208" s="131">
        <v>46043</v>
      </c>
      <c r="C208" s="141">
        <v>20</v>
      </c>
      <c r="D208" s="140" t="str">
        <f>IF(ISERROR(VLOOKUP(C208,'[1]خريطة الحسابات'!_xlnm.Print_Area,3,FALSE))," ",(VLOOKUP(C208,'[1]خريطة الحسابات'!_xlnm.Print_Area,3,FALSE)))</f>
        <v xml:space="preserve">الخزينة </v>
      </c>
      <c r="E208" s="132"/>
      <c r="F208" s="133"/>
      <c r="G208" s="133">
        <v>16016</v>
      </c>
      <c r="H208" s="134">
        <f t="shared" si="6"/>
        <v>0</v>
      </c>
      <c r="I208" s="134">
        <f t="shared" si="6"/>
        <v>16016</v>
      </c>
      <c r="J208" s="134">
        <f t="shared" si="7"/>
        <v>-16016</v>
      </c>
      <c r="K208" s="135"/>
      <c r="L208" s="136" t="str">
        <f t="shared" si="8"/>
        <v>دائن</v>
      </c>
      <c r="M208" s="137" t="str">
        <f>IF(ISERROR(VLOOKUP(C208,'[1]خريطة الحسابات'!_xlnm.Print_Area,4,FALSE))," ",(VLOOKUP(C208,'[1]خريطة الحسابات'!_xlnm.Print_Area,4,FALSE)))</f>
        <v xml:space="preserve">أصول متداوله -النقدية ومافي حكمها </v>
      </c>
      <c r="N208" s="138" t="str">
        <f>IF(ISERROR(VLOOKUP(C208,'[1]خريطة الحسابات'!_xlnm.Print_Area,5,FALSE))," ",(VLOOKUP(C208,'[1]خريطة الحسابات'!_xlnm.Print_Area,5,FALSE)))</f>
        <v>الاصول</v>
      </c>
      <c r="O208" s="84" t="s">
        <v>1376</v>
      </c>
      <c r="P208" s="139" t="s">
        <v>1325</v>
      </c>
    </row>
    <row r="209" spans="1:16">
      <c r="A209" s="104">
        <v>12</v>
      </c>
      <c r="B209" s="131">
        <v>46077</v>
      </c>
      <c r="C209" s="141">
        <v>20</v>
      </c>
      <c r="D209" s="140" t="str">
        <f>IF(ISERROR(VLOOKUP(C209,'[1]خريطة الحسابات'!_xlnm.Print_Area,3,FALSE))," ",(VLOOKUP(C209,'[1]خريطة الحسابات'!_xlnm.Print_Area,3,FALSE)))</f>
        <v xml:space="preserve">الخزينة </v>
      </c>
      <c r="E209" s="132"/>
      <c r="F209" s="133"/>
      <c r="G209" s="133">
        <v>9000</v>
      </c>
      <c r="H209" s="134">
        <f t="shared" si="6"/>
        <v>0</v>
      </c>
      <c r="I209" s="134">
        <f t="shared" si="6"/>
        <v>9000</v>
      </c>
      <c r="J209" s="134">
        <f t="shared" si="7"/>
        <v>-9000</v>
      </c>
      <c r="K209" s="135"/>
      <c r="L209" s="136" t="str">
        <f t="shared" si="8"/>
        <v>دائن</v>
      </c>
      <c r="M209" s="137" t="str">
        <f>IF(ISERROR(VLOOKUP(C209,'[1]خريطة الحسابات'!_xlnm.Print_Area,4,FALSE))," ",(VLOOKUP(C209,'[1]خريطة الحسابات'!_xlnm.Print_Area,4,FALSE)))</f>
        <v xml:space="preserve">أصول متداوله -النقدية ومافي حكمها </v>
      </c>
      <c r="N209" s="138" t="str">
        <f>IF(ISERROR(VLOOKUP(C209,'[1]خريطة الحسابات'!_xlnm.Print_Area,5,FALSE))," ",(VLOOKUP(C209,'[1]خريطة الحسابات'!_xlnm.Print_Area,5,FALSE)))</f>
        <v>الاصول</v>
      </c>
      <c r="O209" s="84" t="s">
        <v>1377</v>
      </c>
      <c r="P209" s="139" t="s">
        <v>1292</v>
      </c>
    </row>
    <row r="210" spans="1:16">
      <c r="A210" s="104">
        <v>12</v>
      </c>
      <c r="B210" s="131">
        <v>46086</v>
      </c>
      <c r="C210" s="141">
        <v>20</v>
      </c>
      <c r="D210" s="140" t="str">
        <f>IF(ISERROR(VLOOKUP(C210,'[1]خريطة الحسابات'!_xlnm.Print_Area,3,FALSE))," ",(VLOOKUP(C210,'[1]خريطة الحسابات'!_xlnm.Print_Area,3,FALSE)))</f>
        <v xml:space="preserve">الخزينة </v>
      </c>
      <c r="E210" s="132"/>
      <c r="F210" s="133"/>
      <c r="G210" s="133">
        <v>15015</v>
      </c>
      <c r="H210" s="134">
        <f t="shared" si="6"/>
        <v>0</v>
      </c>
      <c r="I210" s="134">
        <f t="shared" si="6"/>
        <v>15015</v>
      </c>
      <c r="J210" s="134">
        <f t="shared" si="7"/>
        <v>-15015</v>
      </c>
      <c r="K210" s="135"/>
      <c r="L210" s="136" t="str">
        <f t="shared" si="8"/>
        <v>دائن</v>
      </c>
      <c r="M210" s="137" t="str">
        <f>IF(ISERROR(VLOOKUP(C210,'[1]خريطة الحسابات'!_xlnm.Print_Area,4,FALSE))," ",(VLOOKUP(C210,'[1]خريطة الحسابات'!_xlnm.Print_Area,4,FALSE)))</f>
        <v xml:space="preserve">أصول متداوله -النقدية ومافي حكمها </v>
      </c>
      <c r="N210" s="138" t="str">
        <f>IF(ISERROR(VLOOKUP(C210,'[1]خريطة الحسابات'!_xlnm.Print_Area,5,FALSE))," ",(VLOOKUP(C210,'[1]خريطة الحسابات'!_xlnm.Print_Area,5,FALSE)))</f>
        <v>الاصول</v>
      </c>
      <c r="O210" s="84" t="s">
        <v>1378</v>
      </c>
      <c r="P210" s="139" t="s">
        <v>1292</v>
      </c>
    </row>
    <row r="211" spans="1:16">
      <c r="A211" s="104">
        <v>12</v>
      </c>
      <c r="B211" s="131">
        <v>46135</v>
      </c>
      <c r="C211" s="141">
        <v>20</v>
      </c>
      <c r="D211" s="140" t="str">
        <f>IF(ISERROR(VLOOKUP(C211,'[1]خريطة الحسابات'!_xlnm.Print_Area,3,FALSE))," ",(VLOOKUP(C211,'[1]خريطة الحسابات'!_xlnm.Print_Area,3,FALSE)))</f>
        <v xml:space="preserve">الخزينة </v>
      </c>
      <c r="E211" s="132"/>
      <c r="F211" s="133"/>
      <c r="G211" s="133">
        <v>4755</v>
      </c>
      <c r="H211" s="134">
        <f t="shared" si="6"/>
        <v>0</v>
      </c>
      <c r="I211" s="134">
        <f t="shared" si="6"/>
        <v>4755</v>
      </c>
      <c r="J211" s="134">
        <f t="shared" si="7"/>
        <v>-4755</v>
      </c>
      <c r="K211" s="135"/>
      <c r="L211" s="136" t="str">
        <f t="shared" si="8"/>
        <v>دائن</v>
      </c>
      <c r="M211" s="137" t="str">
        <f>IF(ISERROR(VLOOKUP(C211,'[1]خريطة الحسابات'!_xlnm.Print_Area,4,FALSE))," ",(VLOOKUP(C211,'[1]خريطة الحسابات'!_xlnm.Print_Area,4,FALSE)))</f>
        <v xml:space="preserve">أصول متداوله -النقدية ومافي حكمها </v>
      </c>
      <c r="N211" s="138" t="str">
        <f>IF(ISERROR(VLOOKUP(C211,'[1]خريطة الحسابات'!_xlnm.Print_Area,5,FALSE))," ",(VLOOKUP(C211,'[1]خريطة الحسابات'!_xlnm.Print_Area,5,FALSE)))</f>
        <v>الاصول</v>
      </c>
      <c r="O211" s="84" t="s">
        <v>1379</v>
      </c>
      <c r="P211" s="139" t="s">
        <v>1315</v>
      </c>
    </row>
    <row r="212" spans="1:16">
      <c r="A212" s="104">
        <v>12</v>
      </c>
      <c r="B212" s="131">
        <v>46163</v>
      </c>
      <c r="C212" s="141">
        <v>20</v>
      </c>
      <c r="D212" s="140" t="str">
        <f>IF(ISERROR(VLOOKUP(C212,'[1]خريطة الحسابات'!_xlnm.Print_Area,3,FALSE))," ",(VLOOKUP(C212,'[1]خريطة الحسابات'!_xlnm.Print_Area,3,FALSE)))</f>
        <v xml:space="preserve">الخزينة </v>
      </c>
      <c r="E212" s="132"/>
      <c r="F212" s="133"/>
      <c r="G212" s="133">
        <v>4750</v>
      </c>
      <c r="H212" s="134">
        <f t="shared" si="6"/>
        <v>0</v>
      </c>
      <c r="I212" s="134">
        <f t="shared" si="6"/>
        <v>4750</v>
      </c>
      <c r="J212" s="134">
        <f t="shared" si="7"/>
        <v>-4750</v>
      </c>
      <c r="K212" s="135"/>
      <c r="L212" s="136" t="str">
        <f t="shared" si="8"/>
        <v>دائن</v>
      </c>
      <c r="M212" s="137" t="str">
        <f>IF(ISERROR(VLOOKUP(C212,'[1]خريطة الحسابات'!_xlnm.Print_Area,4,FALSE))," ",(VLOOKUP(C212,'[1]خريطة الحسابات'!_xlnm.Print_Area,4,FALSE)))</f>
        <v xml:space="preserve">أصول متداوله -النقدية ومافي حكمها </v>
      </c>
      <c r="N212" s="138" t="str">
        <f>IF(ISERROR(VLOOKUP(C212,'[1]خريطة الحسابات'!_xlnm.Print_Area,5,FALSE))," ",(VLOOKUP(C212,'[1]خريطة الحسابات'!_xlnm.Print_Area,5,FALSE)))</f>
        <v>الاصول</v>
      </c>
      <c r="O212" s="84" t="s">
        <v>1380</v>
      </c>
      <c r="P212" s="139" t="s">
        <v>1315</v>
      </c>
    </row>
    <row r="213" spans="1:16">
      <c r="A213" s="104">
        <v>13</v>
      </c>
      <c r="B213" s="131">
        <v>46051</v>
      </c>
      <c r="C213" s="141">
        <v>4055</v>
      </c>
      <c r="D213" s="140" t="str">
        <f>IF(ISERROR(VLOOKUP(C213,'[1]خريطة الحسابات'!_xlnm.Print_Area,3,FALSE))," ",(VLOOKUP(C213,'[1]خريطة الحسابات'!_xlnm.Print_Area,3,FALSE)))</f>
        <v>بيت الخامة</v>
      </c>
      <c r="E213" s="132"/>
      <c r="F213" s="133">
        <v>15615</v>
      </c>
      <c r="G213" s="133"/>
      <c r="H213" s="134">
        <f t="shared" si="6"/>
        <v>15615</v>
      </c>
      <c r="I213" s="134">
        <f t="shared" si="6"/>
        <v>0</v>
      </c>
      <c r="J213" s="134">
        <f t="shared" si="7"/>
        <v>15615</v>
      </c>
      <c r="K213" s="135"/>
      <c r="L213" s="136" t="str">
        <f t="shared" si="8"/>
        <v>مدين</v>
      </c>
      <c r="M213" s="137" t="str">
        <f>IF(ISERROR(VLOOKUP(C213,'[1]خريطة الحسابات'!_xlnm.Print_Area,4,FALSE))," ",(VLOOKUP(C213,'[1]خريطة الحسابات'!_xlnm.Print_Area,4,FALSE)))</f>
        <v>موردين</v>
      </c>
      <c r="N213" s="138" t="str">
        <f>IF(ISERROR(VLOOKUP(C213,'[1]خريطة الحسابات'!_xlnm.Print_Area,5,FALSE))," ",(VLOOKUP(C213,'[1]خريطة الحسابات'!_xlnm.Print_Area,5,FALSE)))</f>
        <v xml:space="preserve">الدائنون والأرصدة الدائنة الأخرى </v>
      </c>
      <c r="O213" s="84" t="s">
        <v>1381</v>
      </c>
      <c r="P213" s="139" t="s">
        <v>1290</v>
      </c>
    </row>
    <row r="214" spans="1:16">
      <c r="A214" s="104">
        <v>13</v>
      </c>
      <c r="B214" s="131">
        <v>46093</v>
      </c>
      <c r="C214" s="141">
        <v>4055</v>
      </c>
      <c r="D214" s="140" t="str">
        <f>IF(ISERROR(VLOOKUP(C214,'[1]خريطة الحسابات'!_xlnm.Print_Area,3,FALSE))," ",(VLOOKUP(C214,'[1]خريطة الحسابات'!_xlnm.Print_Area,3,FALSE)))</f>
        <v>بيت الخامة</v>
      </c>
      <c r="E214" s="132"/>
      <c r="F214" s="133">
        <v>56636</v>
      </c>
      <c r="G214" s="133"/>
      <c r="H214" s="134">
        <f t="shared" si="6"/>
        <v>56636</v>
      </c>
      <c r="I214" s="134">
        <f t="shared" si="6"/>
        <v>0</v>
      </c>
      <c r="J214" s="134">
        <f t="shared" si="7"/>
        <v>56636</v>
      </c>
      <c r="K214" s="135"/>
      <c r="L214" s="136" t="str">
        <f t="shared" si="8"/>
        <v>مدين</v>
      </c>
      <c r="M214" s="137" t="str">
        <f>IF(ISERROR(VLOOKUP(C214,'[1]خريطة الحسابات'!_xlnm.Print_Area,4,FALSE))," ",(VLOOKUP(C214,'[1]خريطة الحسابات'!_xlnm.Print_Area,4,FALSE)))</f>
        <v>موردين</v>
      </c>
      <c r="N214" s="138" t="str">
        <f>IF(ISERROR(VLOOKUP(C214,'[1]خريطة الحسابات'!_xlnm.Print_Area,5,FALSE))," ",(VLOOKUP(C214,'[1]خريطة الحسابات'!_xlnm.Print_Area,5,FALSE)))</f>
        <v xml:space="preserve">الدائنون والأرصدة الدائنة الأخرى </v>
      </c>
      <c r="O214" s="84" t="s">
        <v>1382</v>
      </c>
      <c r="P214" s="139" t="s">
        <v>1383</v>
      </c>
    </row>
    <row r="215" spans="1:16">
      <c r="A215" s="104">
        <v>13</v>
      </c>
      <c r="B215" s="131">
        <v>46051</v>
      </c>
      <c r="C215" s="141">
        <v>20</v>
      </c>
      <c r="D215" s="140" t="str">
        <f>IF(ISERROR(VLOOKUP(C215,'[1]خريطة الحسابات'!_xlnm.Print_Area,3,FALSE))," ",(VLOOKUP(C215,'[1]خريطة الحسابات'!_xlnm.Print_Area,3,FALSE)))</f>
        <v xml:space="preserve">الخزينة </v>
      </c>
      <c r="E215" s="132"/>
      <c r="F215" s="133"/>
      <c r="G215" s="133">
        <v>15615</v>
      </c>
      <c r="H215" s="134">
        <f t="shared" si="6"/>
        <v>0</v>
      </c>
      <c r="I215" s="134">
        <f t="shared" si="6"/>
        <v>15615</v>
      </c>
      <c r="J215" s="134">
        <f t="shared" si="7"/>
        <v>-15615</v>
      </c>
      <c r="K215" s="135"/>
      <c r="L215" s="136" t="str">
        <f t="shared" si="8"/>
        <v>دائن</v>
      </c>
      <c r="M215" s="137" t="str">
        <f>IF(ISERROR(VLOOKUP(C215,'[1]خريطة الحسابات'!_xlnm.Print_Area,4,FALSE))," ",(VLOOKUP(C215,'[1]خريطة الحسابات'!_xlnm.Print_Area,4,FALSE)))</f>
        <v xml:space="preserve">أصول متداوله -النقدية ومافي حكمها </v>
      </c>
      <c r="N215" s="138" t="str">
        <f>IF(ISERROR(VLOOKUP(C215,'[1]خريطة الحسابات'!_xlnm.Print_Area,5,FALSE))," ",(VLOOKUP(C215,'[1]خريطة الحسابات'!_xlnm.Print_Area,5,FALSE)))</f>
        <v>الاصول</v>
      </c>
      <c r="O215" s="84" t="s">
        <v>1381</v>
      </c>
      <c r="P215" s="139" t="s">
        <v>1290</v>
      </c>
    </row>
    <row r="216" spans="1:16">
      <c r="A216" s="104">
        <v>13</v>
      </c>
      <c r="B216" s="131">
        <v>46093</v>
      </c>
      <c r="C216" s="141">
        <v>20</v>
      </c>
      <c r="D216" s="140" t="str">
        <f>IF(ISERROR(VLOOKUP(C216,'[1]خريطة الحسابات'!_xlnm.Print_Area,3,FALSE))," ",(VLOOKUP(C216,'[1]خريطة الحسابات'!_xlnm.Print_Area,3,FALSE)))</f>
        <v xml:space="preserve">الخزينة </v>
      </c>
      <c r="E216" s="132"/>
      <c r="F216" s="133"/>
      <c r="G216" s="133">
        <v>56636</v>
      </c>
      <c r="H216" s="134">
        <f t="shared" ref="H216:I279" si="9">IF($E216=2,F216*3.465,F216)</f>
        <v>0</v>
      </c>
      <c r="I216" s="134">
        <f t="shared" si="9"/>
        <v>56636</v>
      </c>
      <c r="J216" s="134">
        <f t="shared" ref="J216:J279" si="10">H216-I216</f>
        <v>-56636</v>
      </c>
      <c r="K216" s="135"/>
      <c r="L216" s="136" t="str">
        <f t="shared" si="8"/>
        <v>دائن</v>
      </c>
      <c r="M216" s="137" t="str">
        <f>IF(ISERROR(VLOOKUP(C216,'[1]خريطة الحسابات'!_xlnm.Print_Area,4,FALSE))," ",(VLOOKUP(C216,'[1]خريطة الحسابات'!_xlnm.Print_Area,4,FALSE)))</f>
        <v xml:space="preserve">أصول متداوله -النقدية ومافي حكمها </v>
      </c>
      <c r="N216" s="138" t="str">
        <f>IF(ISERROR(VLOOKUP(C216,'[1]خريطة الحسابات'!_xlnm.Print_Area,5,FALSE))," ",(VLOOKUP(C216,'[1]خريطة الحسابات'!_xlnm.Print_Area,5,FALSE)))</f>
        <v>الاصول</v>
      </c>
      <c r="O216" s="84" t="s">
        <v>1382</v>
      </c>
      <c r="P216" s="139" t="s">
        <v>1383</v>
      </c>
    </row>
    <row r="217" spans="1:16">
      <c r="A217" s="104">
        <v>14</v>
      </c>
      <c r="B217" s="131">
        <v>46033</v>
      </c>
      <c r="C217" s="141">
        <v>4062</v>
      </c>
      <c r="D217" s="140" t="str">
        <f>IF(ISERROR(VLOOKUP(C217,'[1]خريطة الحسابات'!_xlnm.Print_Area,3,FALSE))," ",(VLOOKUP(C217,'[1]خريطة الحسابات'!_xlnm.Print_Area,3,FALSE)))</f>
        <v>جنرال للتكيفيات جيسيك</v>
      </c>
      <c r="E217" s="132"/>
      <c r="F217" s="133">
        <v>200000</v>
      </c>
      <c r="G217" s="133"/>
      <c r="H217" s="134">
        <f t="shared" si="9"/>
        <v>200000</v>
      </c>
      <c r="I217" s="134">
        <f t="shared" si="9"/>
        <v>0</v>
      </c>
      <c r="J217" s="134">
        <f t="shared" si="10"/>
        <v>200000</v>
      </c>
      <c r="K217" s="135"/>
      <c r="L217" s="136" t="str">
        <f t="shared" si="8"/>
        <v>مدين</v>
      </c>
      <c r="M217" s="137" t="str">
        <f>IF(ISERROR(VLOOKUP(C217,'[1]خريطة الحسابات'!_xlnm.Print_Area,4,FALSE))," ",(VLOOKUP(C217,'[1]خريطة الحسابات'!_xlnm.Print_Area,4,FALSE)))</f>
        <v>موردين</v>
      </c>
      <c r="N217" s="138" t="str">
        <f>IF(ISERROR(VLOOKUP(C217,'[1]خريطة الحسابات'!_xlnm.Print_Area,5,FALSE))," ",(VLOOKUP(C217,'[1]خريطة الحسابات'!_xlnm.Print_Area,5,FALSE)))</f>
        <v xml:space="preserve">الدائنون والأرصدة الدائنة الأخرى </v>
      </c>
      <c r="O217" s="84" t="s">
        <v>1384</v>
      </c>
      <c r="P217" s="139" t="s">
        <v>1290</v>
      </c>
    </row>
    <row r="218" spans="1:16">
      <c r="A218" s="104">
        <v>14</v>
      </c>
      <c r="B218" s="131">
        <v>46053</v>
      </c>
      <c r="C218" s="141">
        <v>4062</v>
      </c>
      <c r="D218" s="140" t="str">
        <f>IF(ISERROR(VLOOKUP(C218,'[1]خريطة الحسابات'!_xlnm.Print_Area,3,FALSE))," ",(VLOOKUP(C218,'[1]خريطة الحسابات'!_xlnm.Print_Area,3,FALSE)))</f>
        <v>جنرال للتكيفيات جيسيك</v>
      </c>
      <c r="E218" s="132"/>
      <c r="F218" s="133">
        <v>46975</v>
      </c>
      <c r="G218" s="133"/>
      <c r="H218" s="134">
        <f t="shared" si="9"/>
        <v>46975</v>
      </c>
      <c r="I218" s="134">
        <f t="shared" si="9"/>
        <v>0</v>
      </c>
      <c r="J218" s="134">
        <f t="shared" si="10"/>
        <v>46975</v>
      </c>
      <c r="K218" s="135"/>
      <c r="L218" s="136" t="str">
        <f t="shared" ref="L218:L281" si="11">IF(J218&lt;0,"دائن",IF(J218&gt;0,"مدين",""))</f>
        <v>مدين</v>
      </c>
      <c r="M218" s="137" t="str">
        <f>IF(ISERROR(VLOOKUP(C218,'[1]خريطة الحسابات'!_xlnm.Print_Area,4,FALSE))," ",(VLOOKUP(C218,'[1]خريطة الحسابات'!_xlnm.Print_Area,4,FALSE)))</f>
        <v>موردين</v>
      </c>
      <c r="N218" s="138" t="str">
        <f>IF(ISERROR(VLOOKUP(C218,'[1]خريطة الحسابات'!_xlnm.Print_Area,5,FALSE))," ",(VLOOKUP(C218,'[1]خريطة الحسابات'!_xlnm.Print_Area,5,FALSE)))</f>
        <v xml:space="preserve">الدائنون والأرصدة الدائنة الأخرى </v>
      </c>
      <c r="O218" s="84" t="s">
        <v>1385</v>
      </c>
      <c r="P218" s="139" t="s">
        <v>1315</v>
      </c>
    </row>
    <row r="219" spans="1:16">
      <c r="A219" s="104">
        <v>14</v>
      </c>
      <c r="B219" s="131">
        <v>46053</v>
      </c>
      <c r="C219" s="141">
        <v>4062</v>
      </c>
      <c r="D219" s="140" t="str">
        <f>IF(ISERROR(VLOOKUP(C219,'[1]خريطة الحسابات'!_xlnm.Print_Area,3,FALSE))," ",(VLOOKUP(C219,'[1]خريطة الحسابات'!_xlnm.Print_Area,3,FALSE)))</f>
        <v>جنرال للتكيفيات جيسيك</v>
      </c>
      <c r="E219" s="132"/>
      <c r="F219" s="133">
        <v>3025</v>
      </c>
      <c r="G219" s="133"/>
      <c r="H219" s="134">
        <f t="shared" si="9"/>
        <v>3025</v>
      </c>
      <c r="I219" s="134">
        <f t="shared" si="9"/>
        <v>0</v>
      </c>
      <c r="J219" s="134">
        <f t="shared" si="10"/>
        <v>3025</v>
      </c>
      <c r="K219" s="135"/>
      <c r="L219" s="136" t="str">
        <f t="shared" si="11"/>
        <v>مدين</v>
      </c>
      <c r="M219" s="137" t="str">
        <f>IF(ISERROR(VLOOKUP(C219,'[1]خريطة الحسابات'!_xlnm.Print_Area,4,FALSE))," ",(VLOOKUP(C219,'[1]خريطة الحسابات'!_xlnm.Print_Area,4,FALSE)))</f>
        <v>موردين</v>
      </c>
      <c r="N219" s="138" t="str">
        <f>IF(ISERROR(VLOOKUP(C219,'[1]خريطة الحسابات'!_xlnm.Print_Area,5,FALSE))," ",(VLOOKUP(C219,'[1]خريطة الحسابات'!_xlnm.Print_Area,5,FALSE)))</f>
        <v xml:space="preserve">الدائنون والأرصدة الدائنة الأخرى </v>
      </c>
      <c r="O219" s="84" t="s">
        <v>1386</v>
      </c>
      <c r="P219" s="139" t="s">
        <v>1290</v>
      </c>
    </row>
    <row r="220" spans="1:16">
      <c r="A220" s="104">
        <v>14</v>
      </c>
      <c r="B220" s="131">
        <v>46064</v>
      </c>
      <c r="C220" s="141">
        <v>4062</v>
      </c>
      <c r="D220" s="140" t="str">
        <f>IF(ISERROR(VLOOKUP(C220,'[1]خريطة الحسابات'!_xlnm.Print_Area,3,FALSE))," ",(VLOOKUP(C220,'[1]خريطة الحسابات'!_xlnm.Print_Area,3,FALSE)))</f>
        <v>جنرال للتكيفيات جيسيك</v>
      </c>
      <c r="E220" s="132"/>
      <c r="F220" s="133">
        <v>12000</v>
      </c>
      <c r="G220" s="133"/>
      <c r="H220" s="134">
        <f t="shared" si="9"/>
        <v>12000</v>
      </c>
      <c r="I220" s="134">
        <f t="shared" si="9"/>
        <v>0</v>
      </c>
      <c r="J220" s="134">
        <f t="shared" si="10"/>
        <v>12000</v>
      </c>
      <c r="K220" s="135"/>
      <c r="L220" s="136" t="str">
        <f t="shared" si="11"/>
        <v>مدين</v>
      </c>
      <c r="M220" s="137" t="str">
        <f>IF(ISERROR(VLOOKUP(C220,'[1]خريطة الحسابات'!_xlnm.Print_Area,4,FALSE))," ",(VLOOKUP(C220,'[1]خريطة الحسابات'!_xlnm.Print_Area,4,FALSE)))</f>
        <v>موردين</v>
      </c>
      <c r="N220" s="138" t="str">
        <f>IF(ISERROR(VLOOKUP(C220,'[1]خريطة الحسابات'!_xlnm.Print_Area,5,FALSE))," ",(VLOOKUP(C220,'[1]خريطة الحسابات'!_xlnm.Print_Area,5,FALSE)))</f>
        <v xml:space="preserve">الدائنون والأرصدة الدائنة الأخرى </v>
      </c>
      <c r="O220" s="84" t="s">
        <v>1387</v>
      </c>
      <c r="P220" s="139" t="s">
        <v>1290</v>
      </c>
    </row>
    <row r="221" spans="1:16">
      <c r="A221" s="104">
        <v>14</v>
      </c>
      <c r="B221" s="131">
        <v>46064</v>
      </c>
      <c r="C221" s="141">
        <v>4062</v>
      </c>
      <c r="D221" s="140" t="str">
        <f>IF(ISERROR(VLOOKUP(C221,'[1]خريطة الحسابات'!_xlnm.Print_Area,3,FALSE))," ",(VLOOKUP(C221,'[1]خريطة الحسابات'!_xlnm.Print_Area,3,FALSE)))</f>
        <v>جنرال للتكيفيات جيسيك</v>
      </c>
      <c r="E221" s="132"/>
      <c r="F221" s="133">
        <v>23020</v>
      </c>
      <c r="G221" s="133"/>
      <c r="H221" s="134">
        <f t="shared" si="9"/>
        <v>23020</v>
      </c>
      <c r="I221" s="134">
        <f t="shared" si="9"/>
        <v>0</v>
      </c>
      <c r="J221" s="134">
        <f t="shared" si="10"/>
        <v>23020</v>
      </c>
      <c r="K221" s="135"/>
      <c r="L221" s="136" t="str">
        <f t="shared" si="11"/>
        <v>مدين</v>
      </c>
      <c r="M221" s="137" t="str">
        <f>IF(ISERROR(VLOOKUP(C221,'[1]خريطة الحسابات'!_xlnm.Print_Area,4,FALSE))," ",(VLOOKUP(C221,'[1]خريطة الحسابات'!_xlnm.Print_Area,4,FALSE)))</f>
        <v>موردين</v>
      </c>
      <c r="N221" s="138" t="str">
        <f>IF(ISERROR(VLOOKUP(C221,'[1]خريطة الحسابات'!_xlnm.Print_Area,5,FALSE))," ",(VLOOKUP(C221,'[1]خريطة الحسابات'!_xlnm.Print_Area,5,FALSE)))</f>
        <v xml:space="preserve">الدائنون والأرصدة الدائنة الأخرى </v>
      </c>
      <c r="O221" s="84" t="s">
        <v>1388</v>
      </c>
      <c r="P221" s="139" t="s">
        <v>1290</v>
      </c>
    </row>
    <row r="222" spans="1:16">
      <c r="A222" s="104">
        <v>14</v>
      </c>
      <c r="B222" s="131">
        <v>46135</v>
      </c>
      <c r="C222" s="141">
        <v>4062</v>
      </c>
      <c r="D222" s="140" t="str">
        <f>IF(ISERROR(VLOOKUP(C222,'[1]خريطة الحسابات'!_xlnm.Print_Area,3,FALSE))," ",(VLOOKUP(C222,'[1]خريطة الحسابات'!_xlnm.Print_Area,3,FALSE)))</f>
        <v>جنرال للتكيفيات جيسيك</v>
      </c>
      <c r="E222" s="132"/>
      <c r="F222" s="133">
        <v>20020</v>
      </c>
      <c r="G222" s="133"/>
      <c r="H222" s="134">
        <f t="shared" si="9"/>
        <v>20020</v>
      </c>
      <c r="I222" s="134">
        <f t="shared" si="9"/>
        <v>0</v>
      </c>
      <c r="J222" s="134">
        <f t="shared" si="10"/>
        <v>20020</v>
      </c>
      <c r="K222" s="135"/>
      <c r="L222" s="136" t="str">
        <f t="shared" si="11"/>
        <v>مدين</v>
      </c>
      <c r="M222" s="137" t="str">
        <f>IF(ISERROR(VLOOKUP(C222,'[1]خريطة الحسابات'!_xlnm.Print_Area,4,FALSE))," ",(VLOOKUP(C222,'[1]خريطة الحسابات'!_xlnm.Print_Area,4,FALSE)))</f>
        <v>موردين</v>
      </c>
      <c r="N222" s="138" t="str">
        <f>IF(ISERROR(VLOOKUP(C222,'[1]خريطة الحسابات'!_xlnm.Print_Area,5,FALSE))," ",(VLOOKUP(C222,'[1]خريطة الحسابات'!_xlnm.Print_Area,5,FALSE)))</f>
        <v xml:space="preserve">الدائنون والأرصدة الدائنة الأخرى </v>
      </c>
      <c r="O222" s="84" t="s">
        <v>1389</v>
      </c>
      <c r="P222" s="139" t="s">
        <v>1383</v>
      </c>
    </row>
    <row r="223" spans="1:16">
      <c r="A223" s="104">
        <v>14</v>
      </c>
      <c r="B223" s="131">
        <v>46135</v>
      </c>
      <c r="C223" s="141">
        <v>4062</v>
      </c>
      <c r="D223" s="140" t="str">
        <f>IF(ISERROR(VLOOKUP(C223,'[1]خريطة الحسابات'!_xlnm.Print_Area,3,FALSE))," ",(VLOOKUP(C223,'[1]خريطة الحسابات'!_xlnm.Print_Area,3,FALSE)))</f>
        <v>جنرال للتكيفيات جيسيك</v>
      </c>
      <c r="E223" s="132"/>
      <c r="F223" s="133">
        <v>13500</v>
      </c>
      <c r="G223" s="133"/>
      <c r="H223" s="134">
        <f t="shared" si="9"/>
        <v>13500</v>
      </c>
      <c r="I223" s="134">
        <f t="shared" si="9"/>
        <v>0</v>
      </c>
      <c r="J223" s="134">
        <f t="shared" si="10"/>
        <v>13500</v>
      </c>
      <c r="K223" s="135"/>
      <c r="L223" s="136" t="str">
        <f t="shared" si="11"/>
        <v>مدين</v>
      </c>
      <c r="M223" s="137" t="str">
        <f>IF(ISERROR(VLOOKUP(C223,'[1]خريطة الحسابات'!_xlnm.Print_Area,4,FALSE))," ",(VLOOKUP(C223,'[1]خريطة الحسابات'!_xlnm.Print_Area,4,FALSE)))</f>
        <v>موردين</v>
      </c>
      <c r="N223" s="138" t="str">
        <f>IF(ISERROR(VLOOKUP(C223,'[1]خريطة الحسابات'!_xlnm.Print_Area,5,FALSE))," ",(VLOOKUP(C223,'[1]خريطة الحسابات'!_xlnm.Print_Area,5,FALSE)))</f>
        <v xml:space="preserve">الدائنون والأرصدة الدائنة الأخرى </v>
      </c>
      <c r="O223" s="84" t="s">
        <v>1390</v>
      </c>
      <c r="P223" s="139" t="s">
        <v>1383</v>
      </c>
    </row>
    <row r="224" spans="1:16">
      <c r="A224" s="104">
        <v>14</v>
      </c>
      <c r="B224" s="131">
        <v>46135</v>
      </c>
      <c r="C224" s="141">
        <v>4062</v>
      </c>
      <c r="D224" s="140" t="str">
        <f>IF(ISERROR(VLOOKUP(C224,'[1]خريطة الحسابات'!_xlnm.Print_Area,3,FALSE))," ",(VLOOKUP(C224,'[1]خريطة الحسابات'!_xlnm.Print_Area,3,FALSE)))</f>
        <v>جنرال للتكيفيات جيسيك</v>
      </c>
      <c r="E224" s="132"/>
      <c r="F224" s="133">
        <v>4000</v>
      </c>
      <c r="G224" s="133"/>
      <c r="H224" s="134">
        <f t="shared" si="9"/>
        <v>4000</v>
      </c>
      <c r="I224" s="134">
        <f t="shared" si="9"/>
        <v>0</v>
      </c>
      <c r="J224" s="134">
        <f t="shared" si="10"/>
        <v>4000</v>
      </c>
      <c r="K224" s="135"/>
      <c r="L224" s="136" t="str">
        <f t="shared" si="11"/>
        <v>مدين</v>
      </c>
      <c r="M224" s="137" t="str">
        <f>IF(ISERROR(VLOOKUP(C224,'[1]خريطة الحسابات'!_xlnm.Print_Area,4,FALSE))," ",(VLOOKUP(C224,'[1]خريطة الحسابات'!_xlnm.Print_Area,4,FALSE)))</f>
        <v>موردين</v>
      </c>
      <c r="N224" s="138" t="str">
        <f>IF(ISERROR(VLOOKUP(C224,'[1]خريطة الحسابات'!_xlnm.Print_Area,5,FALSE))," ",(VLOOKUP(C224,'[1]خريطة الحسابات'!_xlnm.Print_Area,5,FALSE)))</f>
        <v xml:space="preserve">الدائنون والأرصدة الدائنة الأخرى </v>
      </c>
      <c r="O224" s="84" t="s">
        <v>1391</v>
      </c>
      <c r="P224" s="139" t="s">
        <v>1290</v>
      </c>
    </row>
    <row r="225" spans="1:16">
      <c r="A225" s="104">
        <v>14</v>
      </c>
      <c r="B225" s="131">
        <v>46147</v>
      </c>
      <c r="C225" s="141">
        <v>4062</v>
      </c>
      <c r="D225" s="140" t="str">
        <f>IF(ISERROR(VLOOKUP(C225,'[1]خريطة الحسابات'!_xlnm.Print_Area,3,FALSE))," ",(VLOOKUP(C225,'[1]خريطة الحسابات'!_xlnm.Print_Area,3,FALSE)))</f>
        <v>جنرال للتكيفيات جيسيك</v>
      </c>
      <c r="E225" s="132"/>
      <c r="F225" s="133">
        <v>53000</v>
      </c>
      <c r="G225" s="133"/>
      <c r="H225" s="134">
        <f t="shared" si="9"/>
        <v>53000</v>
      </c>
      <c r="I225" s="134">
        <f t="shared" si="9"/>
        <v>0</v>
      </c>
      <c r="J225" s="134">
        <f t="shared" si="10"/>
        <v>53000</v>
      </c>
      <c r="K225" s="135"/>
      <c r="L225" s="136" t="str">
        <f t="shared" si="11"/>
        <v>مدين</v>
      </c>
      <c r="M225" s="137" t="str">
        <f>IF(ISERROR(VLOOKUP(C225,'[1]خريطة الحسابات'!_xlnm.Print_Area,4,FALSE))," ",(VLOOKUP(C225,'[1]خريطة الحسابات'!_xlnm.Print_Area,4,FALSE)))</f>
        <v>موردين</v>
      </c>
      <c r="N225" s="138" t="str">
        <f>IF(ISERROR(VLOOKUP(C225,'[1]خريطة الحسابات'!_xlnm.Print_Area,5,FALSE))," ",(VLOOKUP(C225,'[1]خريطة الحسابات'!_xlnm.Print_Area,5,FALSE)))</f>
        <v xml:space="preserve">الدائنون والأرصدة الدائنة الأخرى </v>
      </c>
      <c r="O225" s="84" t="s">
        <v>1392</v>
      </c>
      <c r="P225" s="139" t="s">
        <v>1393</v>
      </c>
    </row>
    <row r="226" spans="1:16">
      <c r="A226" s="104">
        <v>14</v>
      </c>
      <c r="B226" s="131">
        <v>46147</v>
      </c>
      <c r="C226" s="141">
        <v>4062</v>
      </c>
      <c r="D226" s="140" t="str">
        <f>IF(ISERROR(VLOOKUP(C226,'[1]خريطة الحسابات'!_xlnm.Print_Area,3,FALSE))," ",(VLOOKUP(C226,'[1]خريطة الحسابات'!_xlnm.Print_Area,3,FALSE)))</f>
        <v>جنرال للتكيفيات جيسيك</v>
      </c>
      <c r="E226" s="132"/>
      <c r="F226" s="133">
        <v>52000</v>
      </c>
      <c r="G226" s="133"/>
      <c r="H226" s="134">
        <f t="shared" si="9"/>
        <v>52000</v>
      </c>
      <c r="I226" s="134">
        <f t="shared" si="9"/>
        <v>0</v>
      </c>
      <c r="J226" s="134">
        <f t="shared" si="10"/>
        <v>52000</v>
      </c>
      <c r="K226" s="135"/>
      <c r="L226" s="136" t="str">
        <f t="shared" si="11"/>
        <v>مدين</v>
      </c>
      <c r="M226" s="137" t="str">
        <f>IF(ISERROR(VLOOKUP(C226,'[1]خريطة الحسابات'!_xlnm.Print_Area,4,FALSE))," ",(VLOOKUP(C226,'[1]خريطة الحسابات'!_xlnm.Print_Area,4,FALSE)))</f>
        <v>موردين</v>
      </c>
      <c r="N226" s="138" t="str">
        <f>IF(ISERROR(VLOOKUP(C226,'[1]خريطة الحسابات'!_xlnm.Print_Area,5,FALSE))," ",(VLOOKUP(C226,'[1]خريطة الحسابات'!_xlnm.Print_Area,5,FALSE)))</f>
        <v xml:space="preserve">الدائنون والأرصدة الدائنة الأخرى </v>
      </c>
      <c r="O226" s="84" t="s">
        <v>1394</v>
      </c>
      <c r="P226" s="139" t="s">
        <v>1395</v>
      </c>
    </row>
    <row r="227" spans="1:16">
      <c r="A227" s="104">
        <v>14</v>
      </c>
      <c r="B227" s="131">
        <v>46147</v>
      </c>
      <c r="C227" s="141">
        <v>4062</v>
      </c>
      <c r="D227" s="140" t="str">
        <f>IF(ISERROR(VLOOKUP(C227,'[1]خريطة الحسابات'!_xlnm.Print_Area,3,FALSE))," ",(VLOOKUP(C227,'[1]خريطة الحسابات'!_xlnm.Print_Area,3,FALSE)))</f>
        <v>جنرال للتكيفيات جيسيك</v>
      </c>
      <c r="E227" s="132"/>
      <c r="F227" s="133">
        <v>35000</v>
      </c>
      <c r="G227" s="133"/>
      <c r="H227" s="134">
        <f t="shared" si="9"/>
        <v>35000</v>
      </c>
      <c r="I227" s="134">
        <f t="shared" si="9"/>
        <v>0</v>
      </c>
      <c r="J227" s="134">
        <f t="shared" si="10"/>
        <v>35000</v>
      </c>
      <c r="K227" s="135"/>
      <c r="L227" s="136" t="str">
        <f t="shared" si="11"/>
        <v>مدين</v>
      </c>
      <c r="M227" s="137" t="str">
        <f>IF(ISERROR(VLOOKUP(C227,'[1]خريطة الحسابات'!_xlnm.Print_Area,4,FALSE))," ",(VLOOKUP(C227,'[1]خريطة الحسابات'!_xlnm.Print_Area,4,FALSE)))</f>
        <v>موردين</v>
      </c>
      <c r="N227" s="138" t="str">
        <f>IF(ISERROR(VLOOKUP(C227,'[1]خريطة الحسابات'!_xlnm.Print_Area,5,FALSE))," ",(VLOOKUP(C227,'[1]خريطة الحسابات'!_xlnm.Print_Area,5,FALSE)))</f>
        <v xml:space="preserve">الدائنون والأرصدة الدائنة الأخرى </v>
      </c>
      <c r="O227" s="84" t="s">
        <v>1396</v>
      </c>
      <c r="P227" s="139" t="s">
        <v>1292</v>
      </c>
    </row>
    <row r="228" spans="1:16">
      <c r="A228" s="104">
        <v>14</v>
      </c>
      <c r="B228" s="131">
        <v>46147</v>
      </c>
      <c r="C228" s="141">
        <v>4062</v>
      </c>
      <c r="D228" s="140" t="str">
        <f>IF(ISERROR(VLOOKUP(C228,'[1]خريطة الحسابات'!_xlnm.Print_Area,3,FALSE))," ",(VLOOKUP(C228,'[1]خريطة الحسابات'!_xlnm.Print_Area,3,FALSE)))</f>
        <v>جنرال للتكيفيات جيسيك</v>
      </c>
      <c r="E228" s="132"/>
      <c r="F228" s="133">
        <v>6000</v>
      </c>
      <c r="G228" s="133"/>
      <c r="H228" s="134">
        <f t="shared" si="9"/>
        <v>6000</v>
      </c>
      <c r="I228" s="134">
        <f t="shared" si="9"/>
        <v>0</v>
      </c>
      <c r="J228" s="134">
        <f t="shared" si="10"/>
        <v>6000</v>
      </c>
      <c r="K228" s="135"/>
      <c r="L228" s="136" t="str">
        <f t="shared" si="11"/>
        <v>مدين</v>
      </c>
      <c r="M228" s="137" t="str">
        <f>IF(ISERROR(VLOOKUP(C228,'[1]خريطة الحسابات'!_xlnm.Print_Area,4,FALSE))," ",(VLOOKUP(C228,'[1]خريطة الحسابات'!_xlnm.Print_Area,4,FALSE)))</f>
        <v>موردين</v>
      </c>
      <c r="N228" s="138" t="str">
        <f>IF(ISERROR(VLOOKUP(C228,'[1]خريطة الحسابات'!_xlnm.Print_Area,5,FALSE))," ",(VLOOKUP(C228,'[1]خريطة الحسابات'!_xlnm.Print_Area,5,FALSE)))</f>
        <v xml:space="preserve">الدائنون والأرصدة الدائنة الأخرى </v>
      </c>
      <c r="O228" s="84" t="s">
        <v>1397</v>
      </c>
      <c r="P228" s="139" t="s">
        <v>1315</v>
      </c>
    </row>
    <row r="229" spans="1:16">
      <c r="A229" s="104">
        <v>14</v>
      </c>
      <c r="B229" s="131">
        <v>46147</v>
      </c>
      <c r="C229" s="141">
        <v>4062</v>
      </c>
      <c r="D229" s="140" t="str">
        <f>IF(ISERROR(VLOOKUP(C229,'[1]خريطة الحسابات'!_xlnm.Print_Area,3,FALSE))," ",(VLOOKUP(C229,'[1]خريطة الحسابات'!_xlnm.Print_Area,3,FALSE)))</f>
        <v>جنرال للتكيفيات جيسيك</v>
      </c>
      <c r="E229" s="132"/>
      <c r="F229" s="133">
        <v>5000</v>
      </c>
      <c r="G229" s="133"/>
      <c r="H229" s="134">
        <f t="shared" si="9"/>
        <v>5000</v>
      </c>
      <c r="I229" s="134">
        <f t="shared" si="9"/>
        <v>0</v>
      </c>
      <c r="J229" s="134">
        <f t="shared" si="10"/>
        <v>5000</v>
      </c>
      <c r="K229" s="135"/>
      <c r="L229" s="136" t="str">
        <f t="shared" si="11"/>
        <v>مدين</v>
      </c>
      <c r="M229" s="137" t="str">
        <f>IF(ISERROR(VLOOKUP(C229,'[1]خريطة الحسابات'!_xlnm.Print_Area,4,FALSE))," ",(VLOOKUP(C229,'[1]خريطة الحسابات'!_xlnm.Print_Area,4,FALSE)))</f>
        <v>موردين</v>
      </c>
      <c r="N229" s="138" t="str">
        <f>IF(ISERROR(VLOOKUP(C229,'[1]خريطة الحسابات'!_xlnm.Print_Area,5,FALSE))," ",(VLOOKUP(C229,'[1]خريطة الحسابات'!_xlnm.Print_Area,5,FALSE)))</f>
        <v xml:space="preserve">الدائنون والأرصدة الدائنة الأخرى </v>
      </c>
      <c r="O229" s="84" t="s">
        <v>1398</v>
      </c>
      <c r="P229" s="139" t="s">
        <v>1383</v>
      </c>
    </row>
    <row r="230" spans="1:16">
      <c r="A230" s="104">
        <v>14</v>
      </c>
      <c r="B230" s="131">
        <v>46151</v>
      </c>
      <c r="C230" s="141">
        <v>4062</v>
      </c>
      <c r="D230" s="140" t="str">
        <f>IF(ISERROR(VLOOKUP(C230,'[1]خريطة الحسابات'!_xlnm.Print_Area,3,FALSE))," ",(VLOOKUP(C230,'[1]خريطة الحسابات'!_xlnm.Print_Area,3,FALSE)))</f>
        <v>جنرال للتكيفيات جيسيك</v>
      </c>
      <c r="E230" s="132"/>
      <c r="F230" s="133">
        <v>600</v>
      </c>
      <c r="G230" s="133"/>
      <c r="H230" s="134">
        <f t="shared" si="9"/>
        <v>600</v>
      </c>
      <c r="I230" s="134">
        <f t="shared" si="9"/>
        <v>0</v>
      </c>
      <c r="J230" s="134">
        <f t="shared" si="10"/>
        <v>600</v>
      </c>
      <c r="K230" s="135"/>
      <c r="L230" s="136" t="str">
        <f t="shared" si="11"/>
        <v>مدين</v>
      </c>
      <c r="M230" s="137" t="str">
        <f>IF(ISERROR(VLOOKUP(C230,'[1]خريطة الحسابات'!_xlnm.Print_Area,4,FALSE))," ",(VLOOKUP(C230,'[1]خريطة الحسابات'!_xlnm.Print_Area,4,FALSE)))</f>
        <v>موردين</v>
      </c>
      <c r="N230" s="138" t="str">
        <f>IF(ISERROR(VLOOKUP(C230,'[1]خريطة الحسابات'!_xlnm.Print_Area,5,FALSE))," ",(VLOOKUP(C230,'[1]خريطة الحسابات'!_xlnm.Print_Area,5,FALSE)))</f>
        <v xml:space="preserve">الدائنون والأرصدة الدائنة الأخرى </v>
      </c>
      <c r="O230" s="84" t="s">
        <v>1399</v>
      </c>
      <c r="P230" s="139" t="s">
        <v>1315</v>
      </c>
    </row>
    <row r="231" spans="1:16">
      <c r="A231" s="104">
        <v>14</v>
      </c>
      <c r="B231" s="131">
        <v>46159</v>
      </c>
      <c r="C231" s="141">
        <v>4062</v>
      </c>
      <c r="D231" s="140" t="str">
        <f>IF(ISERROR(VLOOKUP(C231,'[1]خريطة الحسابات'!_xlnm.Print_Area,3,FALSE))," ",(VLOOKUP(C231,'[1]خريطة الحسابات'!_xlnm.Print_Area,3,FALSE)))</f>
        <v>جنرال للتكيفيات جيسيك</v>
      </c>
      <c r="E231" s="132"/>
      <c r="F231" s="133">
        <v>16000</v>
      </c>
      <c r="G231" s="133"/>
      <c r="H231" s="134">
        <f t="shared" si="9"/>
        <v>16000</v>
      </c>
      <c r="I231" s="134">
        <f t="shared" si="9"/>
        <v>0</v>
      </c>
      <c r="J231" s="134">
        <f t="shared" si="10"/>
        <v>16000</v>
      </c>
      <c r="K231" s="135"/>
      <c r="L231" s="136" t="str">
        <f t="shared" si="11"/>
        <v>مدين</v>
      </c>
      <c r="M231" s="137" t="str">
        <f>IF(ISERROR(VLOOKUP(C231,'[1]خريطة الحسابات'!_xlnm.Print_Area,4,FALSE))," ",(VLOOKUP(C231,'[1]خريطة الحسابات'!_xlnm.Print_Area,4,FALSE)))</f>
        <v>موردين</v>
      </c>
      <c r="N231" s="138" t="str">
        <f>IF(ISERROR(VLOOKUP(C231,'[1]خريطة الحسابات'!_xlnm.Print_Area,5,FALSE))," ",(VLOOKUP(C231,'[1]خريطة الحسابات'!_xlnm.Print_Area,5,FALSE)))</f>
        <v xml:space="preserve">الدائنون والأرصدة الدائنة الأخرى </v>
      </c>
      <c r="O231" s="84" t="s">
        <v>1400</v>
      </c>
      <c r="P231" s="139" t="s">
        <v>1393</v>
      </c>
    </row>
    <row r="232" spans="1:16">
      <c r="A232" s="104">
        <v>14</v>
      </c>
      <c r="B232" s="131">
        <v>46160</v>
      </c>
      <c r="C232" s="141">
        <v>4062</v>
      </c>
      <c r="D232" s="140" t="str">
        <f>IF(ISERROR(VLOOKUP(C232,'[1]خريطة الحسابات'!_xlnm.Print_Area,3,FALSE))," ",(VLOOKUP(C232,'[1]خريطة الحسابات'!_xlnm.Print_Area,3,FALSE)))</f>
        <v>جنرال للتكيفيات جيسيك</v>
      </c>
      <c r="E232" s="132"/>
      <c r="F232" s="133">
        <v>7150</v>
      </c>
      <c r="G232" s="133"/>
      <c r="H232" s="134">
        <f t="shared" si="9"/>
        <v>7150</v>
      </c>
      <c r="I232" s="134">
        <f t="shared" si="9"/>
        <v>0</v>
      </c>
      <c r="J232" s="134">
        <f t="shared" si="10"/>
        <v>7150</v>
      </c>
      <c r="K232" s="135"/>
      <c r="L232" s="136" t="str">
        <f t="shared" si="11"/>
        <v>مدين</v>
      </c>
      <c r="M232" s="137" t="str">
        <f>IF(ISERROR(VLOOKUP(C232,'[1]خريطة الحسابات'!_xlnm.Print_Area,4,FALSE))," ",(VLOOKUP(C232,'[1]خريطة الحسابات'!_xlnm.Print_Area,4,FALSE)))</f>
        <v>موردين</v>
      </c>
      <c r="N232" s="138" t="str">
        <f>IF(ISERROR(VLOOKUP(C232,'[1]خريطة الحسابات'!_xlnm.Print_Area,5,FALSE))," ",(VLOOKUP(C232,'[1]خريطة الحسابات'!_xlnm.Print_Area,5,FALSE)))</f>
        <v xml:space="preserve">الدائنون والأرصدة الدائنة الأخرى </v>
      </c>
      <c r="O232" s="84" t="s">
        <v>1401</v>
      </c>
      <c r="P232" s="139" t="s">
        <v>1395</v>
      </c>
    </row>
    <row r="233" spans="1:16">
      <c r="A233" s="104">
        <v>14</v>
      </c>
      <c r="B233" s="131">
        <v>46160</v>
      </c>
      <c r="C233" s="141">
        <v>4062</v>
      </c>
      <c r="D233" s="140" t="str">
        <f>IF(ISERROR(VLOOKUP(C233,'[1]خريطة الحسابات'!_xlnm.Print_Area,3,FALSE))," ",(VLOOKUP(C233,'[1]خريطة الحسابات'!_xlnm.Print_Area,3,FALSE)))</f>
        <v>جنرال للتكيفيات جيسيك</v>
      </c>
      <c r="E233" s="132"/>
      <c r="F233" s="133">
        <v>8850</v>
      </c>
      <c r="G233" s="133"/>
      <c r="H233" s="134">
        <f t="shared" si="9"/>
        <v>8850</v>
      </c>
      <c r="I233" s="134">
        <f t="shared" si="9"/>
        <v>0</v>
      </c>
      <c r="J233" s="134">
        <f t="shared" si="10"/>
        <v>8850</v>
      </c>
      <c r="K233" s="135"/>
      <c r="L233" s="136" t="str">
        <f t="shared" si="11"/>
        <v>مدين</v>
      </c>
      <c r="M233" s="137" t="str">
        <f>IF(ISERROR(VLOOKUP(C233,'[1]خريطة الحسابات'!_xlnm.Print_Area,4,FALSE))," ",(VLOOKUP(C233,'[1]خريطة الحسابات'!_xlnm.Print_Area,4,FALSE)))</f>
        <v>موردين</v>
      </c>
      <c r="N233" s="138" t="str">
        <f>IF(ISERROR(VLOOKUP(C233,'[1]خريطة الحسابات'!_xlnm.Print_Area,5,FALSE))," ",(VLOOKUP(C233,'[1]خريطة الحسابات'!_xlnm.Print_Area,5,FALSE)))</f>
        <v xml:space="preserve">الدائنون والأرصدة الدائنة الأخرى </v>
      </c>
      <c r="O233" s="84" t="s">
        <v>1402</v>
      </c>
      <c r="P233" s="139" t="s">
        <v>1393</v>
      </c>
    </row>
    <row r="234" spans="1:16">
      <c r="A234" s="104">
        <v>14</v>
      </c>
      <c r="B234" s="131">
        <v>46160</v>
      </c>
      <c r="C234" s="141">
        <v>4062</v>
      </c>
      <c r="D234" s="140" t="str">
        <f>IF(ISERROR(VLOOKUP(C234,'[1]خريطة الحسابات'!_xlnm.Print_Area,3,FALSE))," ",(VLOOKUP(C234,'[1]خريطة الحسابات'!_xlnm.Print_Area,3,FALSE)))</f>
        <v>جنرال للتكيفيات جيسيك</v>
      </c>
      <c r="E234" s="132"/>
      <c r="F234" s="133">
        <v>36000</v>
      </c>
      <c r="G234" s="133"/>
      <c r="H234" s="134">
        <f t="shared" si="9"/>
        <v>36000</v>
      </c>
      <c r="I234" s="134">
        <f t="shared" si="9"/>
        <v>0</v>
      </c>
      <c r="J234" s="134">
        <f t="shared" si="10"/>
        <v>36000</v>
      </c>
      <c r="K234" s="135"/>
      <c r="L234" s="136" t="str">
        <f t="shared" si="11"/>
        <v>مدين</v>
      </c>
      <c r="M234" s="137" t="str">
        <f>IF(ISERROR(VLOOKUP(C234,'[1]خريطة الحسابات'!_xlnm.Print_Area,4,FALSE))," ",(VLOOKUP(C234,'[1]خريطة الحسابات'!_xlnm.Print_Area,4,FALSE)))</f>
        <v>موردين</v>
      </c>
      <c r="N234" s="138" t="str">
        <f>IF(ISERROR(VLOOKUP(C234,'[1]خريطة الحسابات'!_xlnm.Print_Area,5,FALSE))," ",(VLOOKUP(C234,'[1]خريطة الحسابات'!_xlnm.Print_Area,5,FALSE)))</f>
        <v xml:space="preserve">الدائنون والأرصدة الدائنة الأخرى </v>
      </c>
      <c r="O234" s="84" t="s">
        <v>1403</v>
      </c>
      <c r="P234" s="139" t="s">
        <v>1345</v>
      </c>
    </row>
    <row r="235" spans="1:16">
      <c r="A235" s="104">
        <v>14</v>
      </c>
      <c r="B235" s="131">
        <v>46033</v>
      </c>
      <c r="C235" s="141">
        <v>20</v>
      </c>
      <c r="D235" s="140" t="str">
        <f>IF(ISERROR(VLOOKUP(C235,'[1]خريطة الحسابات'!_xlnm.Print_Area,3,FALSE))," ",(VLOOKUP(C235,'[1]خريطة الحسابات'!_xlnm.Print_Area,3,FALSE)))</f>
        <v xml:space="preserve">الخزينة </v>
      </c>
      <c r="E235" s="132"/>
      <c r="F235" s="133"/>
      <c r="G235" s="133">
        <v>200000</v>
      </c>
      <c r="H235" s="134">
        <f t="shared" si="9"/>
        <v>0</v>
      </c>
      <c r="I235" s="134">
        <f t="shared" si="9"/>
        <v>200000</v>
      </c>
      <c r="J235" s="134">
        <f t="shared" si="10"/>
        <v>-200000</v>
      </c>
      <c r="K235" s="135"/>
      <c r="L235" s="136" t="str">
        <f t="shared" si="11"/>
        <v>دائن</v>
      </c>
      <c r="M235" s="137" t="str">
        <f>IF(ISERROR(VLOOKUP(C235,'[1]خريطة الحسابات'!_xlnm.Print_Area,4,FALSE))," ",(VLOOKUP(C235,'[1]خريطة الحسابات'!_xlnm.Print_Area,4,FALSE)))</f>
        <v xml:space="preserve">أصول متداوله -النقدية ومافي حكمها </v>
      </c>
      <c r="N235" s="138" t="str">
        <f>IF(ISERROR(VLOOKUP(C235,'[1]خريطة الحسابات'!_xlnm.Print_Area,5,FALSE))," ",(VLOOKUP(C235,'[1]خريطة الحسابات'!_xlnm.Print_Area,5,FALSE)))</f>
        <v>الاصول</v>
      </c>
      <c r="O235" s="84" t="s">
        <v>1384</v>
      </c>
      <c r="P235" s="139" t="s">
        <v>1290</v>
      </c>
    </row>
    <row r="236" spans="1:16">
      <c r="A236" s="104">
        <v>14</v>
      </c>
      <c r="B236" s="131">
        <v>46053</v>
      </c>
      <c r="C236" s="141">
        <v>20</v>
      </c>
      <c r="D236" s="140" t="str">
        <f>IF(ISERROR(VLOOKUP(C236,'[1]خريطة الحسابات'!_xlnm.Print_Area,3,FALSE))," ",(VLOOKUP(C236,'[1]خريطة الحسابات'!_xlnm.Print_Area,3,FALSE)))</f>
        <v xml:space="preserve">الخزينة </v>
      </c>
      <c r="E236" s="132"/>
      <c r="F236" s="133"/>
      <c r="G236" s="133">
        <v>46975</v>
      </c>
      <c r="H236" s="134">
        <f t="shared" si="9"/>
        <v>0</v>
      </c>
      <c r="I236" s="134">
        <f t="shared" si="9"/>
        <v>46975</v>
      </c>
      <c r="J236" s="134">
        <f t="shared" si="10"/>
        <v>-46975</v>
      </c>
      <c r="K236" s="135"/>
      <c r="L236" s="136" t="str">
        <f t="shared" si="11"/>
        <v>دائن</v>
      </c>
      <c r="M236" s="137" t="str">
        <f>IF(ISERROR(VLOOKUP(C236,'[1]خريطة الحسابات'!_xlnm.Print_Area,4,FALSE))," ",(VLOOKUP(C236,'[1]خريطة الحسابات'!_xlnm.Print_Area,4,FALSE)))</f>
        <v xml:space="preserve">أصول متداوله -النقدية ومافي حكمها </v>
      </c>
      <c r="N236" s="138" t="str">
        <f>IF(ISERROR(VLOOKUP(C236,'[1]خريطة الحسابات'!_xlnm.Print_Area,5,FALSE))," ",(VLOOKUP(C236,'[1]خريطة الحسابات'!_xlnm.Print_Area,5,FALSE)))</f>
        <v>الاصول</v>
      </c>
      <c r="O236" s="84" t="s">
        <v>1385</v>
      </c>
      <c r="P236" s="139" t="s">
        <v>1315</v>
      </c>
    </row>
    <row r="237" spans="1:16">
      <c r="A237" s="104">
        <v>14</v>
      </c>
      <c r="B237" s="131">
        <v>46053</v>
      </c>
      <c r="C237" s="141">
        <v>20</v>
      </c>
      <c r="D237" s="140" t="str">
        <f>IF(ISERROR(VLOOKUP(C237,'[1]خريطة الحسابات'!_xlnm.Print_Area,3,FALSE))," ",(VLOOKUP(C237,'[1]خريطة الحسابات'!_xlnm.Print_Area,3,FALSE)))</f>
        <v xml:space="preserve">الخزينة </v>
      </c>
      <c r="E237" s="132"/>
      <c r="F237" s="133"/>
      <c r="G237" s="133">
        <v>3025</v>
      </c>
      <c r="H237" s="134">
        <f t="shared" si="9"/>
        <v>0</v>
      </c>
      <c r="I237" s="134">
        <f t="shared" si="9"/>
        <v>3025</v>
      </c>
      <c r="J237" s="134">
        <f t="shared" si="10"/>
        <v>-3025</v>
      </c>
      <c r="K237" s="135"/>
      <c r="L237" s="136" t="str">
        <f t="shared" si="11"/>
        <v>دائن</v>
      </c>
      <c r="M237" s="137" t="str">
        <f>IF(ISERROR(VLOOKUP(C237,'[1]خريطة الحسابات'!_xlnm.Print_Area,4,FALSE))," ",(VLOOKUP(C237,'[1]خريطة الحسابات'!_xlnm.Print_Area,4,FALSE)))</f>
        <v xml:space="preserve">أصول متداوله -النقدية ومافي حكمها </v>
      </c>
      <c r="N237" s="138" t="str">
        <f>IF(ISERROR(VLOOKUP(C237,'[1]خريطة الحسابات'!_xlnm.Print_Area,5,FALSE))," ",(VLOOKUP(C237,'[1]خريطة الحسابات'!_xlnm.Print_Area,5,FALSE)))</f>
        <v>الاصول</v>
      </c>
      <c r="O237" s="84" t="s">
        <v>1386</v>
      </c>
      <c r="P237" s="139" t="s">
        <v>1290</v>
      </c>
    </row>
    <row r="238" spans="1:16">
      <c r="A238" s="104">
        <v>14</v>
      </c>
      <c r="B238" s="131">
        <v>46064</v>
      </c>
      <c r="C238" s="141">
        <v>20</v>
      </c>
      <c r="D238" s="140" t="str">
        <f>IF(ISERROR(VLOOKUP(C238,'[1]خريطة الحسابات'!_xlnm.Print_Area,3,FALSE))," ",(VLOOKUP(C238,'[1]خريطة الحسابات'!_xlnm.Print_Area,3,FALSE)))</f>
        <v xml:space="preserve">الخزينة </v>
      </c>
      <c r="E238" s="132"/>
      <c r="F238" s="133"/>
      <c r="G238" s="133">
        <v>12000</v>
      </c>
      <c r="H238" s="134">
        <f t="shared" si="9"/>
        <v>0</v>
      </c>
      <c r="I238" s="134">
        <f t="shared" si="9"/>
        <v>12000</v>
      </c>
      <c r="J238" s="134">
        <f t="shared" si="10"/>
        <v>-12000</v>
      </c>
      <c r="K238" s="135"/>
      <c r="L238" s="136" t="str">
        <f t="shared" si="11"/>
        <v>دائن</v>
      </c>
      <c r="M238" s="137" t="str">
        <f>IF(ISERROR(VLOOKUP(C238,'[1]خريطة الحسابات'!_xlnm.Print_Area,4,FALSE))," ",(VLOOKUP(C238,'[1]خريطة الحسابات'!_xlnm.Print_Area,4,FALSE)))</f>
        <v xml:space="preserve">أصول متداوله -النقدية ومافي حكمها </v>
      </c>
      <c r="N238" s="138" t="str">
        <f>IF(ISERROR(VLOOKUP(C238,'[1]خريطة الحسابات'!_xlnm.Print_Area,5,FALSE))," ",(VLOOKUP(C238,'[1]خريطة الحسابات'!_xlnm.Print_Area,5,FALSE)))</f>
        <v>الاصول</v>
      </c>
      <c r="O238" s="84" t="s">
        <v>1387</v>
      </c>
      <c r="P238" s="139" t="s">
        <v>1290</v>
      </c>
    </row>
    <row r="239" spans="1:16">
      <c r="A239" s="104">
        <v>14</v>
      </c>
      <c r="B239" s="131">
        <v>46064</v>
      </c>
      <c r="C239" s="141">
        <v>20</v>
      </c>
      <c r="D239" s="140" t="str">
        <f>IF(ISERROR(VLOOKUP(C239,'[1]خريطة الحسابات'!_xlnm.Print_Area,3,FALSE))," ",(VLOOKUP(C239,'[1]خريطة الحسابات'!_xlnm.Print_Area,3,FALSE)))</f>
        <v xml:space="preserve">الخزينة </v>
      </c>
      <c r="E239" s="132"/>
      <c r="F239" s="133"/>
      <c r="G239" s="133">
        <v>23020</v>
      </c>
      <c r="H239" s="134">
        <f t="shared" si="9"/>
        <v>0</v>
      </c>
      <c r="I239" s="134">
        <f t="shared" si="9"/>
        <v>23020</v>
      </c>
      <c r="J239" s="134">
        <f t="shared" si="10"/>
        <v>-23020</v>
      </c>
      <c r="K239" s="135"/>
      <c r="L239" s="136" t="str">
        <f t="shared" si="11"/>
        <v>دائن</v>
      </c>
      <c r="M239" s="137" t="str">
        <f>IF(ISERROR(VLOOKUP(C239,'[1]خريطة الحسابات'!_xlnm.Print_Area,4,FALSE))," ",(VLOOKUP(C239,'[1]خريطة الحسابات'!_xlnm.Print_Area,4,FALSE)))</f>
        <v xml:space="preserve">أصول متداوله -النقدية ومافي حكمها </v>
      </c>
      <c r="N239" s="138" t="str">
        <f>IF(ISERROR(VLOOKUP(C239,'[1]خريطة الحسابات'!_xlnm.Print_Area,5,FALSE))," ",(VLOOKUP(C239,'[1]خريطة الحسابات'!_xlnm.Print_Area,5,FALSE)))</f>
        <v>الاصول</v>
      </c>
      <c r="O239" s="84" t="s">
        <v>1388</v>
      </c>
      <c r="P239" s="139" t="s">
        <v>1290</v>
      </c>
    </row>
    <row r="240" spans="1:16">
      <c r="A240" s="104">
        <v>14</v>
      </c>
      <c r="B240" s="131">
        <v>46135</v>
      </c>
      <c r="C240" s="141">
        <v>20</v>
      </c>
      <c r="D240" s="140" t="str">
        <f>IF(ISERROR(VLOOKUP(C240,'[1]خريطة الحسابات'!_xlnm.Print_Area,3,FALSE))," ",(VLOOKUP(C240,'[1]خريطة الحسابات'!_xlnm.Print_Area,3,FALSE)))</f>
        <v xml:space="preserve">الخزينة </v>
      </c>
      <c r="E240" s="132"/>
      <c r="F240" s="133"/>
      <c r="G240" s="133">
        <v>20020</v>
      </c>
      <c r="H240" s="134">
        <f t="shared" si="9"/>
        <v>0</v>
      </c>
      <c r="I240" s="134">
        <f t="shared" si="9"/>
        <v>20020</v>
      </c>
      <c r="J240" s="134">
        <f t="shared" si="10"/>
        <v>-20020</v>
      </c>
      <c r="K240" s="135"/>
      <c r="L240" s="136" t="str">
        <f t="shared" si="11"/>
        <v>دائن</v>
      </c>
      <c r="M240" s="137" t="str">
        <f>IF(ISERROR(VLOOKUP(C240,'[1]خريطة الحسابات'!_xlnm.Print_Area,4,FALSE))," ",(VLOOKUP(C240,'[1]خريطة الحسابات'!_xlnm.Print_Area,4,FALSE)))</f>
        <v xml:space="preserve">أصول متداوله -النقدية ومافي حكمها </v>
      </c>
      <c r="N240" s="138" t="str">
        <f>IF(ISERROR(VLOOKUP(C240,'[1]خريطة الحسابات'!_xlnm.Print_Area,5,FALSE))," ",(VLOOKUP(C240,'[1]خريطة الحسابات'!_xlnm.Print_Area,5,FALSE)))</f>
        <v>الاصول</v>
      </c>
      <c r="O240" s="84" t="s">
        <v>1389</v>
      </c>
      <c r="P240" s="139" t="s">
        <v>1383</v>
      </c>
    </row>
    <row r="241" spans="1:16">
      <c r="A241" s="104">
        <v>14</v>
      </c>
      <c r="B241" s="131">
        <v>46135</v>
      </c>
      <c r="C241" s="141">
        <v>20</v>
      </c>
      <c r="D241" s="140" t="str">
        <f>IF(ISERROR(VLOOKUP(C241,'[1]خريطة الحسابات'!_xlnm.Print_Area,3,FALSE))," ",(VLOOKUP(C241,'[1]خريطة الحسابات'!_xlnm.Print_Area,3,FALSE)))</f>
        <v xml:space="preserve">الخزينة </v>
      </c>
      <c r="E241" s="132"/>
      <c r="F241" s="133"/>
      <c r="G241" s="133">
        <v>13500</v>
      </c>
      <c r="H241" s="134">
        <f t="shared" si="9"/>
        <v>0</v>
      </c>
      <c r="I241" s="134">
        <f t="shared" si="9"/>
        <v>13500</v>
      </c>
      <c r="J241" s="134">
        <f t="shared" si="10"/>
        <v>-13500</v>
      </c>
      <c r="K241" s="135"/>
      <c r="L241" s="136" t="str">
        <f t="shared" si="11"/>
        <v>دائن</v>
      </c>
      <c r="M241" s="137" t="str">
        <f>IF(ISERROR(VLOOKUP(C241,'[1]خريطة الحسابات'!_xlnm.Print_Area,4,FALSE))," ",(VLOOKUP(C241,'[1]خريطة الحسابات'!_xlnm.Print_Area,4,FALSE)))</f>
        <v xml:space="preserve">أصول متداوله -النقدية ومافي حكمها </v>
      </c>
      <c r="N241" s="138" t="str">
        <f>IF(ISERROR(VLOOKUP(C241,'[1]خريطة الحسابات'!_xlnm.Print_Area,5,FALSE))," ",(VLOOKUP(C241,'[1]خريطة الحسابات'!_xlnm.Print_Area,5,FALSE)))</f>
        <v>الاصول</v>
      </c>
      <c r="O241" s="84" t="s">
        <v>1390</v>
      </c>
      <c r="P241" s="139" t="s">
        <v>1383</v>
      </c>
    </row>
    <row r="242" spans="1:16">
      <c r="A242" s="104">
        <v>14</v>
      </c>
      <c r="B242" s="131">
        <v>46135</v>
      </c>
      <c r="C242" s="141">
        <v>20</v>
      </c>
      <c r="D242" s="140" t="str">
        <f>IF(ISERROR(VLOOKUP(C242,'[1]خريطة الحسابات'!_xlnm.Print_Area,3,FALSE))," ",(VLOOKUP(C242,'[1]خريطة الحسابات'!_xlnm.Print_Area,3,FALSE)))</f>
        <v xml:space="preserve">الخزينة </v>
      </c>
      <c r="E242" s="132"/>
      <c r="F242" s="133"/>
      <c r="G242" s="133">
        <v>4000</v>
      </c>
      <c r="H242" s="134">
        <f t="shared" si="9"/>
        <v>0</v>
      </c>
      <c r="I242" s="134">
        <f t="shared" si="9"/>
        <v>4000</v>
      </c>
      <c r="J242" s="134">
        <f t="shared" si="10"/>
        <v>-4000</v>
      </c>
      <c r="K242" s="135"/>
      <c r="L242" s="136" t="str">
        <f t="shared" si="11"/>
        <v>دائن</v>
      </c>
      <c r="M242" s="137" t="str">
        <f>IF(ISERROR(VLOOKUP(C242,'[1]خريطة الحسابات'!_xlnm.Print_Area,4,FALSE))," ",(VLOOKUP(C242,'[1]خريطة الحسابات'!_xlnm.Print_Area,4,FALSE)))</f>
        <v xml:space="preserve">أصول متداوله -النقدية ومافي حكمها </v>
      </c>
      <c r="N242" s="138" t="str">
        <f>IF(ISERROR(VLOOKUP(C242,'[1]خريطة الحسابات'!_xlnm.Print_Area,5,FALSE))," ",(VLOOKUP(C242,'[1]خريطة الحسابات'!_xlnm.Print_Area,5,FALSE)))</f>
        <v>الاصول</v>
      </c>
      <c r="O242" s="84" t="s">
        <v>1391</v>
      </c>
      <c r="P242" s="139" t="s">
        <v>1290</v>
      </c>
    </row>
    <row r="243" spans="1:16">
      <c r="A243" s="104">
        <v>14</v>
      </c>
      <c r="B243" s="131">
        <v>46147</v>
      </c>
      <c r="C243" s="141">
        <v>20</v>
      </c>
      <c r="D243" s="140" t="str">
        <f>IF(ISERROR(VLOOKUP(C243,'[1]خريطة الحسابات'!_xlnm.Print_Area,3,FALSE))," ",(VLOOKUP(C243,'[1]خريطة الحسابات'!_xlnm.Print_Area,3,FALSE)))</f>
        <v xml:space="preserve">الخزينة </v>
      </c>
      <c r="E243" s="132"/>
      <c r="F243" s="133"/>
      <c r="G243" s="133">
        <v>53000</v>
      </c>
      <c r="H243" s="134">
        <f t="shared" si="9"/>
        <v>0</v>
      </c>
      <c r="I243" s="134">
        <f t="shared" si="9"/>
        <v>53000</v>
      </c>
      <c r="J243" s="134">
        <f t="shared" si="10"/>
        <v>-53000</v>
      </c>
      <c r="K243" s="135"/>
      <c r="L243" s="136" t="str">
        <f t="shared" si="11"/>
        <v>دائن</v>
      </c>
      <c r="M243" s="137" t="str">
        <f>IF(ISERROR(VLOOKUP(C243,'[1]خريطة الحسابات'!_xlnm.Print_Area,4,FALSE))," ",(VLOOKUP(C243,'[1]خريطة الحسابات'!_xlnm.Print_Area,4,FALSE)))</f>
        <v xml:space="preserve">أصول متداوله -النقدية ومافي حكمها </v>
      </c>
      <c r="N243" s="138" t="str">
        <f>IF(ISERROR(VLOOKUP(C243,'[1]خريطة الحسابات'!_xlnm.Print_Area,5,FALSE))," ",(VLOOKUP(C243,'[1]خريطة الحسابات'!_xlnm.Print_Area,5,FALSE)))</f>
        <v>الاصول</v>
      </c>
      <c r="O243" s="84" t="s">
        <v>1392</v>
      </c>
      <c r="P243" s="139" t="s">
        <v>1393</v>
      </c>
    </row>
    <row r="244" spans="1:16">
      <c r="A244" s="104">
        <v>14</v>
      </c>
      <c r="B244" s="131">
        <v>46147</v>
      </c>
      <c r="C244" s="141">
        <v>20</v>
      </c>
      <c r="D244" s="140" t="str">
        <f>IF(ISERROR(VLOOKUP(C244,'[1]خريطة الحسابات'!_xlnm.Print_Area,3,FALSE))," ",(VLOOKUP(C244,'[1]خريطة الحسابات'!_xlnm.Print_Area,3,FALSE)))</f>
        <v xml:space="preserve">الخزينة </v>
      </c>
      <c r="E244" s="132"/>
      <c r="F244" s="133"/>
      <c r="G244" s="133">
        <v>52000</v>
      </c>
      <c r="H244" s="134">
        <f t="shared" si="9"/>
        <v>0</v>
      </c>
      <c r="I244" s="134">
        <f t="shared" si="9"/>
        <v>52000</v>
      </c>
      <c r="J244" s="134">
        <f t="shared" si="10"/>
        <v>-52000</v>
      </c>
      <c r="K244" s="135"/>
      <c r="L244" s="136" t="str">
        <f t="shared" si="11"/>
        <v>دائن</v>
      </c>
      <c r="M244" s="137" t="str">
        <f>IF(ISERROR(VLOOKUP(C244,'[1]خريطة الحسابات'!_xlnm.Print_Area,4,FALSE))," ",(VLOOKUP(C244,'[1]خريطة الحسابات'!_xlnm.Print_Area,4,FALSE)))</f>
        <v xml:space="preserve">أصول متداوله -النقدية ومافي حكمها </v>
      </c>
      <c r="N244" s="138" t="str">
        <f>IF(ISERROR(VLOOKUP(C244,'[1]خريطة الحسابات'!_xlnm.Print_Area,5,FALSE))," ",(VLOOKUP(C244,'[1]خريطة الحسابات'!_xlnm.Print_Area,5,FALSE)))</f>
        <v>الاصول</v>
      </c>
      <c r="O244" s="84" t="s">
        <v>1394</v>
      </c>
      <c r="P244" s="139" t="s">
        <v>1395</v>
      </c>
    </row>
    <row r="245" spans="1:16">
      <c r="A245" s="104">
        <v>14</v>
      </c>
      <c r="B245" s="131">
        <v>46147</v>
      </c>
      <c r="C245" s="141">
        <v>20</v>
      </c>
      <c r="D245" s="140" t="str">
        <f>IF(ISERROR(VLOOKUP(C245,'[1]خريطة الحسابات'!_xlnm.Print_Area,3,FALSE))," ",(VLOOKUP(C245,'[1]خريطة الحسابات'!_xlnm.Print_Area,3,FALSE)))</f>
        <v xml:space="preserve">الخزينة </v>
      </c>
      <c r="E245" s="132"/>
      <c r="F245" s="133"/>
      <c r="G245" s="133">
        <v>35000</v>
      </c>
      <c r="H245" s="134">
        <f t="shared" si="9"/>
        <v>0</v>
      </c>
      <c r="I245" s="134">
        <f t="shared" si="9"/>
        <v>35000</v>
      </c>
      <c r="J245" s="134">
        <f t="shared" si="10"/>
        <v>-35000</v>
      </c>
      <c r="K245" s="135"/>
      <c r="L245" s="136" t="str">
        <f t="shared" si="11"/>
        <v>دائن</v>
      </c>
      <c r="M245" s="137" t="str">
        <f>IF(ISERROR(VLOOKUP(C245,'[1]خريطة الحسابات'!_xlnm.Print_Area,4,FALSE))," ",(VLOOKUP(C245,'[1]خريطة الحسابات'!_xlnm.Print_Area,4,FALSE)))</f>
        <v xml:space="preserve">أصول متداوله -النقدية ومافي حكمها </v>
      </c>
      <c r="N245" s="138" t="str">
        <f>IF(ISERROR(VLOOKUP(C245,'[1]خريطة الحسابات'!_xlnm.Print_Area,5,FALSE))," ",(VLOOKUP(C245,'[1]خريطة الحسابات'!_xlnm.Print_Area,5,FALSE)))</f>
        <v>الاصول</v>
      </c>
      <c r="O245" s="84" t="s">
        <v>1396</v>
      </c>
      <c r="P245" s="139" t="s">
        <v>1292</v>
      </c>
    </row>
    <row r="246" spans="1:16">
      <c r="A246" s="104">
        <v>14</v>
      </c>
      <c r="B246" s="131">
        <v>46147</v>
      </c>
      <c r="C246" s="141">
        <v>20</v>
      </c>
      <c r="D246" s="140" t="str">
        <f>IF(ISERROR(VLOOKUP(C246,'[1]خريطة الحسابات'!_xlnm.Print_Area,3,FALSE))," ",(VLOOKUP(C246,'[1]خريطة الحسابات'!_xlnm.Print_Area,3,FALSE)))</f>
        <v xml:space="preserve">الخزينة </v>
      </c>
      <c r="E246" s="132"/>
      <c r="F246" s="133"/>
      <c r="G246" s="133">
        <v>6000</v>
      </c>
      <c r="H246" s="134">
        <f t="shared" si="9"/>
        <v>0</v>
      </c>
      <c r="I246" s="134">
        <f t="shared" si="9"/>
        <v>6000</v>
      </c>
      <c r="J246" s="134">
        <f t="shared" si="10"/>
        <v>-6000</v>
      </c>
      <c r="K246" s="135"/>
      <c r="L246" s="136" t="str">
        <f t="shared" si="11"/>
        <v>دائن</v>
      </c>
      <c r="M246" s="137" t="str">
        <f>IF(ISERROR(VLOOKUP(C246,'[1]خريطة الحسابات'!_xlnm.Print_Area,4,FALSE))," ",(VLOOKUP(C246,'[1]خريطة الحسابات'!_xlnm.Print_Area,4,FALSE)))</f>
        <v xml:space="preserve">أصول متداوله -النقدية ومافي حكمها </v>
      </c>
      <c r="N246" s="138" t="str">
        <f>IF(ISERROR(VLOOKUP(C246,'[1]خريطة الحسابات'!_xlnm.Print_Area,5,FALSE))," ",(VLOOKUP(C246,'[1]خريطة الحسابات'!_xlnm.Print_Area,5,FALSE)))</f>
        <v>الاصول</v>
      </c>
      <c r="O246" s="84" t="s">
        <v>1397</v>
      </c>
      <c r="P246" s="139" t="s">
        <v>1315</v>
      </c>
    </row>
    <row r="247" spans="1:16">
      <c r="A247" s="104">
        <v>14</v>
      </c>
      <c r="B247" s="131">
        <v>46147</v>
      </c>
      <c r="C247" s="141">
        <v>20</v>
      </c>
      <c r="D247" s="140" t="str">
        <f>IF(ISERROR(VLOOKUP(C247,'[1]خريطة الحسابات'!_xlnm.Print_Area,3,FALSE))," ",(VLOOKUP(C247,'[1]خريطة الحسابات'!_xlnm.Print_Area,3,FALSE)))</f>
        <v xml:space="preserve">الخزينة </v>
      </c>
      <c r="E247" s="132"/>
      <c r="F247" s="133"/>
      <c r="G247" s="133">
        <v>5000</v>
      </c>
      <c r="H247" s="134">
        <f t="shared" si="9"/>
        <v>0</v>
      </c>
      <c r="I247" s="134">
        <f t="shared" si="9"/>
        <v>5000</v>
      </c>
      <c r="J247" s="134">
        <f t="shared" si="10"/>
        <v>-5000</v>
      </c>
      <c r="K247" s="135"/>
      <c r="L247" s="136" t="str">
        <f t="shared" si="11"/>
        <v>دائن</v>
      </c>
      <c r="M247" s="137" t="str">
        <f>IF(ISERROR(VLOOKUP(C247,'[1]خريطة الحسابات'!_xlnm.Print_Area,4,FALSE))," ",(VLOOKUP(C247,'[1]خريطة الحسابات'!_xlnm.Print_Area,4,FALSE)))</f>
        <v xml:space="preserve">أصول متداوله -النقدية ومافي حكمها </v>
      </c>
      <c r="N247" s="138" t="str">
        <f>IF(ISERROR(VLOOKUP(C247,'[1]خريطة الحسابات'!_xlnm.Print_Area,5,FALSE))," ",(VLOOKUP(C247,'[1]خريطة الحسابات'!_xlnm.Print_Area,5,FALSE)))</f>
        <v>الاصول</v>
      </c>
      <c r="O247" s="84" t="s">
        <v>1398</v>
      </c>
      <c r="P247" s="139" t="s">
        <v>1383</v>
      </c>
    </row>
    <row r="248" spans="1:16">
      <c r="A248" s="104">
        <v>14</v>
      </c>
      <c r="B248" s="131">
        <v>46151</v>
      </c>
      <c r="C248" s="141">
        <v>20</v>
      </c>
      <c r="D248" s="140" t="str">
        <f>IF(ISERROR(VLOOKUP(C248,'[1]خريطة الحسابات'!_xlnm.Print_Area,3,FALSE))," ",(VLOOKUP(C248,'[1]خريطة الحسابات'!_xlnm.Print_Area,3,FALSE)))</f>
        <v xml:space="preserve">الخزينة </v>
      </c>
      <c r="E248" s="132"/>
      <c r="F248" s="133"/>
      <c r="G248" s="133">
        <v>600</v>
      </c>
      <c r="H248" s="134">
        <f t="shared" si="9"/>
        <v>0</v>
      </c>
      <c r="I248" s="134">
        <f t="shared" si="9"/>
        <v>600</v>
      </c>
      <c r="J248" s="134">
        <f t="shared" si="10"/>
        <v>-600</v>
      </c>
      <c r="K248" s="135"/>
      <c r="L248" s="136" t="str">
        <f t="shared" si="11"/>
        <v>دائن</v>
      </c>
      <c r="M248" s="137" t="str">
        <f>IF(ISERROR(VLOOKUP(C248,'[1]خريطة الحسابات'!_xlnm.Print_Area,4,FALSE))," ",(VLOOKUP(C248,'[1]خريطة الحسابات'!_xlnm.Print_Area,4,FALSE)))</f>
        <v xml:space="preserve">أصول متداوله -النقدية ومافي حكمها </v>
      </c>
      <c r="N248" s="138" t="str">
        <f>IF(ISERROR(VLOOKUP(C248,'[1]خريطة الحسابات'!_xlnm.Print_Area,5,FALSE))," ",(VLOOKUP(C248,'[1]خريطة الحسابات'!_xlnm.Print_Area,5,FALSE)))</f>
        <v>الاصول</v>
      </c>
      <c r="O248" s="84" t="s">
        <v>1399</v>
      </c>
      <c r="P248" s="139" t="s">
        <v>1315</v>
      </c>
    </row>
    <row r="249" spans="1:16">
      <c r="A249" s="104">
        <v>14</v>
      </c>
      <c r="B249" s="131">
        <v>46159</v>
      </c>
      <c r="C249" s="141">
        <v>20</v>
      </c>
      <c r="D249" s="140" t="str">
        <f>IF(ISERROR(VLOOKUP(C249,'[1]خريطة الحسابات'!_xlnm.Print_Area,3,FALSE))," ",(VLOOKUP(C249,'[1]خريطة الحسابات'!_xlnm.Print_Area,3,FALSE)))</f>
        <v xml:space="preserve">الخزينة </v>
      </c>
      <c r="E249" s="132"/>
      <c r="F249" s="133"/>
      <c r="G249" s="133">
        <v>16000</v>
      </c>
      <c r="H249" s="134">
        <f t="shared" si="9"/>
        <v>0</v>
      </c>
      <c r="I249" s="134">
        <f t="shared" si="9"/>
        <v>16000</v>
      </c>
      <c r="J249" s="134">
        <f t="shared" si="10"/>
        <v>-16000</v>
      </c>
      <c r="K249" s="135"/>
      <c r="L249" s="136" t="str">
        <f t="shared" si="11"/>
        <v>دائن</v>
      </c>
      <c r="M249" s="137" t="str">
        <f>IF(ISERROR(VLOOKUP(C249,'[1]خريطة الحسابات'!_xlnm.Print_Area,4,FALSE))," ",(VLOOKUP(C249,'[1]خريطة الحسابات'!_xlnm.Print_Area,4,FALSE)))</f>
        <v xml:space="preserve">أصول متداوله -النقدية ومافي حكمها </v>
      </c>
      <c r="N249" s="138" t="str">
        <f>IF(ISERROR(VLOOKUP(C249,'[1]خريطة الحسابات'!_xlnm.Print_Area,5,FALSE))," ",(VLOOKUP(C249,'[1]خريطة الحسابات'!_xlnm.Print_Area,5,FALSE)))</f>
        <v>الاصول</v>
      </c>
      <c r="O249" s="84" t="s">
        <v>1400</v>
      </c>
      <c r="P249" s="139" t="s">
        <v>1393</v>
      </c>
    </row>
    <row r="250" spans="1:16">
      <c r="A250" s="104">
        <v>14</v>
      </c>
      <c r="B250" s="131">
        <v>46160</v>
      </c>
      <c r="C250" s="141">
        <v>20</v>
      </c>
      <c r="D250" s="140" t="str">
        <f>IF(ISERROR(VLOOKUP(C250,'[1]خريطة الحسابات'!_xlnm.Print_Area,3,FALSE))," ",(VLOOKUP(C250,'[1]خريطة الحسابات'!_xlnm.Print_Area,3,FALSE)))</f>
        <v xml:space="preserve">الخزينة </v>
      </c>
      <c r="E250" s="132"/>
      <c r="F250" s="133"/>
      <c r="G250" s="133">
        <v>7150</v>
      </c>
      <c r="H250" s="134">
        <f t="shared" si="9"/>
        <v>0</v>
      </c>
      <c r="I250" s="134">
        <f t="shared" si="9"/>
        <v>7150</v>
      </c>
      <c r="J250" s="134">
        <f t="shared" si="10"/>
        <v>-7150</v>
      </c>
      <c r="K250" s="135"/>
      <c r="L250" s="136" t="str">
        <f t="shared" si="11"/>
        <v>دائن</v>
      </c>
      <c r="M250" s="137" t="str">
        <f>IF(ISERROR(VLOOKUP(C250,'[1]خريطة الحسابات'!_xlnm.Print_Area,4,FALSE))," ",(VLOOKUP(C250,'[1]خريطة الحسابات'!_xlnm.Print_Area,4,FALSE)))</f>
        <v xml:space="preserve">أصول متداوله -النقدية ومافي حكمها </v>
      </c>
      <c r="N250" s="138" t="str">
        <f>IF(ISERROR(VLOOKUP(C250,'[1]خريطة الحسابات'!_xlnm.Print_Area,5,FALSE))," ",(VLOOKUP(C250,'[1]خريطة الحسابات'!_xlnm.Print_Area,5,FALSE)))</f>
        <v>الاصول</v>
      </c>
      <c r="O250" s="84" t="s">
        <v>1401</v>
      </c>
      <c r="P250" s="139" t="s">
        <v>1395</v>
      </c>
    </row>
    <row r="251" spans="1:16">
      <c r="A251" s="104">
        <v>14</v>
      </c>
      <c r="B251" s="131">
        <v>46160</v>
      </c>
      <c r="C251" s="141">
        <v>20</v>
      </c>
      <c r="D251" s="140" t="str">
        <f>IF(ISERROR(VLOOKUP(C251,'[1]خريطة الحسابات'!_xlnm.Print_Area,3,FALSE))," ",(VLOOKUP(C251,'[1]خريطة الحسابات'!_xlnm.Print_Area,3,FALSE)))</f>
        <v xml:space="preserve">الخزينة </v>
      </c>
      <c r="E251" s="132"/>
      <c r="F251" s="133"/>
      <c r="G251" s="133">
        <v>8850</v>
      </c>
      <c r="H251" s="134">
        <f t="shared" si="9"/>
        <v>0</v>
      </c>
      <c r="I251" s="134">
        <f t="shared" si="9"/>
        <v>8850</v>
      </c>
      <c r="J251" s="134">
        <f t="shared" si="10"/>
        <v>-8850</v>
      </c>
      <c r="K251" s="135"/>
      <c r="L251" s="136" t="str">
        <f t="shared" si="11"/>
        <v>دائن</v>
      </c>
      <c r="M251" s="137" t="str">
        <f>IF(ISERROR(VLOOKUP(C251,'[1]خريطة الحسابات'!_xlnm.Print_Area,4,FALSE))," ",(VLOOKUP(C251,'[1]خريطة الحسابات'!_xlnm.Print_Area,4,FALSE)))</f>
        <v xml:space="preserve">أصول متداوله -النقدية ومافي حكمها </v>
      </c>
      <c r="N251" s="138" t="str">
        <f>IF(ISERROR(VLOOKUP(C251,'[1]خريطة الحسابات'!_xlnm.Print_Area,5,FALSE))," ",(VLOOKUP(C251,'[1]خريطة الحسابات'!_xlnm.Print_Area,5,FALSE)))</f>
        <v>الاصول</v>
      </c>
      <c r="O251" s="84" t="s">
        <v>1402</v>
      </c>
      <c r="P251" s="139" t="s">
        <v>1393</v>
      </c>
    </row>
    <row r="252" spans="1:16">
      <c r="A252" s="104">
        <v>14</v>
      </c>
      <c r="B252" s="131">
        <v>46160</v>
      </c>
      <c r="C252" s="141">
        <v>20</v>
      </c>
      <c r="D252" s="140" t="str">
        <f>IF(ISERROR(VLOOKUP(C252,'[1]خريطة الحسابات'!_xlnm.Print_Area,3,FALSE))," ",(VLOOKUP(C252,'[1]خريطة الحسابات'!_xlnm.Print_Area,3,FALSE)))</f>
        <v xml:space="preserve">الخزينة </v>
      </c>
      <c r="E252" s="132"/>
      <c r="F252" s="133"/>
      <c r="G252" s="133">
        <v>36000</v>
      </c>
      <c r="H252" s="134">
        <f t="shared" si="9"/>
        <v>0</v>
      </c>
      <c r="I252" s="134">
        <f t="shared" si="9"/>
        <v>36000</v>
      </c>
      <c r="J252" s="134">
        <f t="shared" si="10"/>
        <v>-36000</v>
      </c>
      <c r="K252" s="135"/>
      <c r="L252" s="136" t="str">
        <f t="shared" si="11"/>
        <v>دائن</v>
      </c>
      <c r="M252" s="137" t="str">
        <f>IF(ISERROR(VLOOKUP(C252,'[1]خريطة الحسابات'!_xlnm.Print_Area,4,FALSE))," ",(VLOOKUP(C252,'[1]خريطة الحسابات'!_xlnm.Print_Area,4,FALSE)))</f>
        <v xml:space="preserve">أصول متداوله -النقدية ومافي حكمها </v>
      </c>
      <c r="N252" s="138" t="str">
        <f>IF(ISERROR(VLOOKUP(C252,'[1]خريطة الحسابات'!_xlnm.Print_Area,5,FALSE))," ",(VLOOKUP(C252,'[1]خريطة الحسابات'!_xlnm.Print_Area,5,FALSE)))</f>
        <v>الاصول</v>
      </c>
      <c r="O252" s="84" t="s">
        <v>1403</v>
      </c>
      <c r="P252" s="139" t="s">
        <v>1345</v>
      </c>
    </row>
    <row r="253" spans="1:16">
      <c r="A253" s="104">
        <v>15</v>
      </c>
      <c r="B253" s="131">
        <v>46029</v>
      </c>
      <c r="C253" s="54">
        <v>4006</v>
      </c>
      <c r="D253" s="140" t="str">
        <f>IF(ISERROR(VLOOKUP(C253,'[1]خريطة الحسابات'!_xlnm.Print_Area,3,FALSE))," ",(VLOOKUP(C253,'[1]خريطة الحسابات'!_xlnm.Print_Area,3,FALSE)))</f>
        <v>جورج الكهربائي</v>
      </c>
      <c r="E253" s="132"/>
      <c r="F253" s="133">
        <v>3003</v>
      </c>
      <c r="G253" s="133"/>
      <c r="H253" s="134">
        <f t="shared" si="9"/>
        <v>3003</v>
      </c>
      <c r="I253" s="134">
        <f t="shared" si="9"/>
        <v>0</v>
      </c>
      <c r="J253" s="134">
        <f t="shared" si="10"/>
        <v>3003</v>
      </c>
      <c r="K253" s="135"/>
      <c r="L253" s="136" t="str">
        <f t="shared" si="11"/>
        <v>مدين</v>
      </c>
      <c r="M253" s="137" t="str">
        <f>IF(ISERROR(VLOOKUP(C253,'[1]خريطة الحسابات'!_xlnm.Print_Area,4,FALSE))," ",(VLOOKUP(C253,'[1]خريطة الحسابات'!_xlnm.Print_Area,4,FALSE)))</f>
        <v xml:space="preserve">مقاولين </v>
      </c>
      <c r="N253" s="138" t="str">
        <f>IF(ISERROR(VLOOKUP(C253,'[1]خريطة الحسابات'!_xlnm.Print_Area,5,FALSE))," ",(VLOOKUP(C253,'[1]خريطة الحسابات'!_xlnm.Print_Area,5,FALSE)))</f>
        <v xml:space="preserve">الدائنون والأرصدة الدائنة الأخرى </v>
      </c>
      <c r="O253" s="139" t="s">
        <v>1404</v>
      </c>
      <c r="P253" s="139" t="s">
        <v>1405</v>
      </c>
    </row>
    <row r="254" spans="1:16">
      <c r="A254" s="104">
        <v>15</v>
      </c>
      <c r="B254" s="131">
        <v>46086</v>
      </c>
      <c r="C254" s="54">
        <v>4006</v>
      </c>
      <c r="D254" s="140" t="str">
        <f>IF(ISERROR(VLOOKUP(C254,'[1]خريطة الحسابات'!_xlnm.Print_Area,3,FALSE))," ",(VLOOKUP(C254,'[1]خريطة الحسابات'!_xlnm.Print_Area,3,FALSE)))</f>
        <v>جورج الكهربائي</v>
      </c>
      <c r="E254" s="132"/>
      <c r="F254" s="133">
        <v>1500</v>
      </c>
      <c r="G254" s="133"/>
      <c r="H254" s="134">
        <f t="shared" si="9"/>
        <v>1500</v>
      </c>
      <c r="I254" s="134">
        <f t="shared" si="9"/>
        <v>0</v>
      </c>
      <c r="J254" s="134">
        <f t="shared" si="10"/>
        <v>1500</v>
      </c>
      <c r="K254" s="135"/>
      <c r="L254" s="136" t="str">
        <f t="shared" si="11"/>
        <v>مدين</v>
      </c>
      <c r="M254" s="137" t="str">
        <f>IF(ISERROR(VLOOKUP(C254,'[1]خريطة الحسابات'!_xlnm.Print_Area,4,FALSE))," ",(VLOOKUP(C254,'[1]خريطة الحسابات'!_xlnm.Print_Area,4,FALSE)))</f>
        <v xml:space="preserve">مقاولين </v>
      </c>
      <c r="N254" s="138" t="str">
        <f>IF(ISERROR(VLOOKUP(C254,'[1]خريطة الحسابات'!_xlnm.Print_Area,5,FALSE))," ",(VLOOKUP(C254,'[1]خريطة الحسابات'!_xlnm.Print_Area,5,FALSE)))</f>
        <v xml:space="preserve">الدائنون والأرصدة الدائنة الأخرى </v>
      </c>
      <c r="O254" s="139" t="s">
        <v>1406</v>
      </c>
      <c r="P254" s="139" t="s">
        <v>1405</v>
      </c>
    </row>
    <row r="255" spans="1:16">
      <c r="A255" s="104">
        <v>15</v>
      </c>
      <c r="B255" s="131">
        <v>46135</v>
      </c>
      <c r="C255" s="54">
        <v>4006</v>
      </c>
      <c r="D255" s="140" t="str">
        <f>IF(ISERROR(VLOOKUP(C255,'[1]خريطة الحسابات'!_xlnm.Print_Area,3,FALSE))," ",(VLOOKUP(C255,'[1]خريطة الحسابات'!_xlnm.Print_Area,3,FALSE)))</f>
        <v>جورج الكهربائي</v>
      </c>
      <c r="E255" s="132"/>
      <c r="F255" s="133">
        <v>1200</v>
      </c>
      <c r="G255" s="133"/>
      <c r="H255" s="134">
        <f t="shared" si="9"/>
        <v>1200</v>
      </c>
      <c r="I255" s="134">
        <f t="shared" si="9"/>
        <v>0</v>
      </c>
      <c r="J255" s="134">
        <f t="shared" si="10"/>
        <v>1200</v>
      </c>
      <c r="K255" s="135"/>
      <c r="L255" s="136" t="str">
        <f t="shared" si="11"/>
        <v>مدين</v>
      </c>
      <c r="M255" s="137" t="str">
        <f>IF(ISERROR(VLOOKUP(C255,'[1]خريطة الحسابات'!_xlnm.Print_Area,4,FALSE))," ",(VLOOKUP(C255,'[1]خريطة الحسابات'!_xlnm.Print_Area,4,FALSE)))</f>
        <v xml:space="preserve">مقاولين </v>
      </c>
      <c r="N255" s="138" t="str">
        <f>IF(ISERROR(VLOOKUP(C255,'[1]خريطة الحسابات'!_xlnm.Print_Area,5,FALSE))," ",(VLOOKUP(C255,'[1]خريطة الحسابات'!_xlnm.Print_Area,5,FALSE)))</f>
        <v xml:space="preserve">الدائنون والأرصدة الدائنة الأخرى </v>
      </c>
      <c r="O255" s="139" t="s">
        <v>1407</v>
      </c>
      <c r="P255" s="139" t="s">
        <v>1327</v>
      </c>
    </row>
    <row r="256" spans="1:16">
      <c r="A256" s="104">
        <v>15</v>
      </c>
      <c r="B256" s="131">
        <v>46029</v>
      </c>
      <c r="C256" s="141">
        <v>20</v>
      </c>
      <c r="D256" s="140" t="str">
        <f>IF(ISERROR(VLOOKUP(C256,'[1]خريطة الحسابات'!_xlnm.Print_Area,3,FALSE))," ",(VLOOKUP(C256,'[1]خريطة الحسابات'!_xlnm.Print_Area,3,FALSE)))</f>
        <v xml:space="preserve">الخزينة </v>
      </c>
      <c r="E256" s="132"/>
      <c r="F256" s="133"/>
      <c r="G256" s="133">
        <v>3003</v>
      </c>
      <c r="H256" s="134">
        <f t="shared" si="9"/>
        <v>0</v>
      </c>
      <c r="I256" s="134">
        <f t="shared" si="9"/>
        <v>3003</v>
      </c>
      <c r="J256" s="134">
        <f t="shared" si="10"/>
        <v>-3003</v>
      </c>
      <c r="K256" s="135"/>
      <c r="L256" s="136" t="str">
        <f t="shared" si="11"/>
        <v>دائن</v>
      </c>
      <c r="M256" s="137" t="str">
        <f>IF(ISERROR(VLOOKUP(C256,'[1]خريطة الحسابات'!_xlnm.Print_Area,4,FALSE))," ",(VLOOKUP(C256,'[1]خريطة الحسابات'!_xlnm.Print_Area,4,FALSE)))</f>
        <v xml:space="preserve">أصول متداوله -النقدية ومافي حكمها </v>
      </c>
      <c r="N256" s="138" t="str">
        <f>IF(ISERROR(VLOOKUP(C256,'[1]خريطة الحسابات'!_xlnm.Print_Area,5,FALSE))," ",(VLOOKUP(C256,'[1]خريطة الحسابات'!_xlnm.Print_Area,5,FALSE)))</f>
        <v>الاصول</v>
      </c>
      <c r="O256" s="139" t="s">
        <v>1404</v>
      </c>
      <c r="P256" s="139" t="s">
        <v>1405</v>
      </c>
    </row>
    <row r="257" spans="1:16">
      <c r="A257" s="104">
        <v>15</v>
      </c>
      <c r="B257" s="131">
        <v>46086</v>
      </c>
      <c r="C257" s="141">
        <v>20</v>
      </c>
      <c r="D257" s="140" t="str">
        <f>IF(ISERROR(VLOOKUP(C257,'[1]خريطة الحسابات'!_xlnm.Print_Area,3,FALSE))," ",(VLOOKUP(C257,'[1]خريطة الحسابات'!_xlnm.Print_Area,3,FALSE)))</f>
        <v xml:space="preserve">الخزينة </v>
      </c>
      <c r="E257" s="132"/>
      <c r="F257" s="133"/>
      <c r="G257" s="133">
        <v>1500</v>
      </c>
      <c r="H257" s="134">
        <f t="shared" si="9"/>
        <v>0</v>
      </c>
      <c r="I257" s="134">
        <f t="shared" si="9"/>
        <v>1500</v>
      </c>
      <c r="J257" s="134">
        <f t="shared" si="10"/>
        <v>-1500</v>
      </c>
      <c r="K257" s="135"/>
      <c r="L257" s="136" t="str">
        <f t="shared" si="11"/>
        <v>دائن</v>
      </c>
      <c r="M257" s="137" t="str">
        <f>IF(ISERROR(VLOOKUP(C257,'[1]خريطة الحسابات'!_xlnm.Print_Area,4,FALSE))," ",(VLOOKUP(C257,'[1]خريطة الحسابات'!_xlnm.Print_Area,4,FALSE)))</f>
        <v xml:space="preserve">أصول متداوله -النقدية ومافي حكمها </v>
      </c>
      <c r="N257" s="138" t="str">
        <f>IF(ISERROR(VLOOKUP(C257,'[1]خريطة الحسابات'!_xlnm.Print_Area,5,FALSE))," ",(VLOOKUP(C257,'[1]خريطة الحسابات'!_xlnm.Print_Area,5,FALSE)))</f>
        <v>الاصول</v>
      </c>
      <c r="O257" s="139" t="s">
        <v>1406</v>
      </c>
      <c r="P257" s="139" t="s">
        <v>1405</v>
      </c>
    </row>
    <row r="258" spans="1:16">
      <c r="A258" s="104">
        <v>15</v>
      </c>
      <c r="B258" s="131">
        <v>46135</v>
      </c>
      <c r="C258" s="141">
        <v>20</v>
      </c>
      <c r="D258" s="140" t="str">
        <f>IF(ISERROR(VLOOKUP(C258,'[1]خريطة الحسابات'!_xlnm.Print_Area,3,FALSE))," ",(VLOOKUP(C258,'[1]خريطة الحسابات'!_xlnm.Print_Area,3,FALSE)))</f>
        <v xml:space="preserve">الخزينة </v>
      </c>
      <c r="E258" s="132"/>
      <c r="F258" s="133"/>
      <c r="G258" s="133">
        <v>1200</v>
      </c>
      <c r="H258" s="134">
        <f t="shared" si="9"/>
        <v>0</v>
      </c>
      <c r="I258" s="134">
        <f t="shared" si="9"/>
        <v>1200</v>
      </c>
      <c r="J258" s="134">
        <f t="shared" si="10"/>
        <v>-1200</v>
      </c>
      <c r="K258" s="135"/>
      <c r="L258" s="136" t="str">
        <f t="shared" si="11"/>
        <v>دائن</v>
      </c>
      <c r="M258" s="137" t="str">
        <f>IF(ISERROR(VLOOKUP(C258,'[1]خريطة الحسابات'!_xlnm.Print_Area,4,FALSE))," ",(VLOOKUP(C258,'[1]خريطة الحسابات'!_xlnm.Print_Area,4,FALSE)))</f>
        <v xml:space="preserve">أصول متداوله -النقدية ومافي حكمها </v>
      </c>
      <c r="N258" s="138" t="str">
        <f>IF(ISERROR(VLOOKUP(C258,'[1]خريطة الحسابات'!_xlnm.Print_Area,5,FALSE))," ",(VLOOKUP(C258,'[1]خريطة الحسابات'!_xlnm.Print_Area,5,FALSE)))</f>
        <v>الاصول</v>
      </c>
      <c r="O258" s="139" t="s">
        <v>1407</v>
      </c>
      <c r="P258" s="139" t="s">
        <v>1327</v>
      </c>
    </row>
    <row r="259" spans="1:16">
      <c r="A259" s="104">
        <v>16</v>
      </c>
      <c r="B259" s="131">
        <v>46060</v>
      </c>
      <c r="C259" s="141">
        <v>4007</v>
      </c>
      <c r="D259" s="140" t="str">
        <f>IF(ISERROR(VLOOKUP(C259,'[1]خريطة الحسابات'!_xlnm.Print_Area,3,FALSE))," ",(VLOOKUP(C259,'[1]خريطة الحسابات'!_xlnm.Print_Area,3,FALSE)))</f>
        <v>حاتم سيراميك</v>
      </c>
      <c r="E259" s="132"/>
      <c r="F259" s="133">
        <v>6807</v>
      </c>
      <c r="G259" s="133"/>
      <c r="H259" s="134">
        <f t="shared" si="9"/>
        <v>6807</v>
      </c>
      <c r="I259" s="134">
        <f t="shared" si="9"/>
        <v>0</v>
      </c>
      <c r="J259" s="134">
        <f t="shared" si="10"/>
        <v>6807</v>
      </c>
      <c r="K259" s="135"/>
      <c r="L259" s="136" t="str">
        <f t="shared" si="11"/>
        <v>مدين</v>
      </c>
      <c r="M259" s="137" t="str">
        <f>IF(ISERROR(VLOOKUP(C259,'[1]خريطة الحسابات'!_xlnm.Print_Area,4,FALSE))," ",(VLOOKUP(C259,'[1]خريطة الحسابات'!_xlnm.Print_Area,4,FALSE)))</f>
        <v xml:space="preserve">مقاولين </v>
      </c>
      <c r="N259" s="138" t="str">
        <f>IF(ISERROR(VLOOKUP(C259,'[1]خريطة الحسابات'!_xlnm.Print_Area,5,FALSE))," ",(VLOOKUP(C259,'[1]خريطة الحسابات'!_xlnm.Print_Area,5,FALSE)))</f>
        <v xml:space="preserve">الدائنون والأرصدة الدائنة الأخرى </v>
      </c>
      <c r="O259" s="139" t="s">
        <v>1408</v>
      </c>
      <c r="P259" s="139" t="s">
        <v>1340</v>
      </c>
    </row>
    <row r="260" spans="1:16">
      <c r="A260" s="104">
        <v>16</v>
      </c>
      <c r="B260" s="131">
        <v>46067</v>
      </c>
      <c r="C260" s="141">
        <v>4007</v>
      </c>
      <c r="D260" s="140" t="str">
        <f>IF(ISERROR(VLOOKUP(C260,'[1]خريطة الحسابات'!_xlnm.Print_Area,3,FALSE))," ",(VLOOKUP(C260,'[1]خريطة الحسابات'!_xlnm.Print_Area,3,FALSE)))</f>
        <v>حاتم سيراميك</v>
      </c>
      <c r="E260" s="132"/>
      <c r="F260" s="133">
        <v>10010</v>
      </c>
      <c r="G260" s="133"/>
      <c r="H260" s="134">
        <f t="shared" si="9"/>
        <v>10010</v>
      </c>
      <c r="I260" s="134">
        <f t="shared" si="9"/>
        <v>0</v>
      </c>
      <c r="J260" s="134">
        <f t="shared" si="10"/>
        <v>10010</v>
      </c>
      <c r="K260" s="135"/>
      <c r="L260" s="136" t="str">
        <f t="shared" si="11"/>
        <v>مدين</v>
      </c>
      <c r="M260" s="137" t="str">
        <f>IF(ISERROR(VLOOKUP(C260,'[1]خريطة الحسابات'!_xlnm.Print_Area,4,FALSE))," ",(VLOOKUP(C260,'[1]خريطة الحسابات'!_xlnm.Print_Area,4,FALSE)))</f>
        <v xml:space="preserve">مقاولين </v>
      </c>
      <c r="N260" s="138" t="str">
        <f>IF(ISERROR(VLOOKUP(C260,'[1]خريطة الحسابات'!_xlnm.Print_Area,5,FALSE))," ",(VLOOKUP(C260,'[1]خريطة الحسابات'!_xlnm.Print_Area,5,FALSE)))</f>
        <v xml:space="preserve">الدائنون والأرصدة الدائنة الأخرى </v>
      </c>
      <c r="O260" s="139" t="s">
        <v>1408</v>
      </c>
      <c r="P260" s="139" t="s">
        <v>1340</v>
      </c>
    </row>
    <row r="261" spans="1:16">
      <c r="A261" s="104">
        <v>16</v>
      </c>
      <c r="B261" s="131">
        <v>46070</v>
      </c>
      <c r="C261" s="141">
        <v>4007</v>
      </c>
      <c r="D261" s="140" t="str">
        <f>IF(ISERROR(VLOOKUP(C261,'[1]خريطة الحسابات'!_xlnm.Print_Area,3,FALSE))," ",(VLOOKUP(C261,'[1]خريطة الحسابات'!_xlnm.Print_Area,3,FALSE)))</f>
        <v>حاتم سيراميك</v>
      </c>
      <c r="E261" s="132"/>
      <c r="F261" s="133">
        <v>12900</v>
      </c>
      <c r="G261" s="133"/>
      <c r="H261" s="134">
        <f t="shared" si="9"/>
        <v>12900</v>
      </c>
      <c r="I261" s="134">
        <f t="shared" si="9"/>
        <v>0</v>
      </c>
      <c r="J261" s="134">
        <f t="shared" si="10"/>
        <v>12900</v>
      </c>
      <c r="K261" s="135"/>
      <c r="L261" s="136" t="str">
        <f t="shared" si="11"/>
        <v>مدين</v>
      </c>
      <c r="M261" s="137" t="str">
        <f>IF(ISERROR(VLOOKUP(C261,'[1]خريطة الحسابات'!_xlnm.Print_Area,4,FALSE))," ",(VLOOKUP(C261,'[1]خريطة الحسابات'!_xlnm.Print_Area,4,FALSE)))</f>
        <v xml:space="preserve">مقاولين </v>
      </c>
      <c r="N261" s="138" t="str">
        <f>IF(ISERROR(VLOOKUP(C261,'[1]خريطة الحسابات'!_xlnm.Print_Area,5,FALSE))," ",(VLOOKUP(C261,'[1]خريطة الحسابات'!_xlnm.Print_Area,5,FALSE)))</f>
        <v xml:space="preserve">الدائنون والأرصدة الدائنة الأخرى </v>
      </c>
      <c r="O261" s="139" t="s">
        <v>1409</v>
      </c>
      <c r="P261" s="139" t="s">
        <v>1340</v>
      </c>
    </row>
    <row r="262" spans="1:16">
      <c r="A262" s="104">
        <v>16</v>
      </c>
      <c r="B262" s="131">
        <v>46082</v>
      </c>
      <c r="C262" s="141">
        <v>4007</v>
      </c>
      <c r="D262" s="140" t="str">
        <f>IF(ISERROR(VLOOKUP(C262,'[1]خريطة الحسابات'!_xlnm.Print_Area,3,FALSE))," ",(VLOOKUP(C262,'[1]خريطة الحسابات'!_xlnm.Print_Area,3,FALSE)))</f>
        <v>حاتم سيراميك</v>
      </c>
      <c r="E262" s="132"/>
      <c r="F262" s="133">
        <v>4004</v>
      </c>
      <c r="G262" s="133"/>
      <c r="H262" s="134">
        <f t="shared" si="9"/>
        <v>4004</v>
      </c>
      <c r="I262" s="134">
        <f t="shared" si="9"/>
        <v>0</v>
      </c>
      <c r="J262" s="134">
        <f t="shared" si="10"/>
        <v>4004</v>
      </c>
      <c r="K262" s="135"/>
      <c r="L262" s="136" t="str">
        <f t="shared" si="11"/>
        <v>مدين</v>
      </c>
      <c r="M262" s="137" t="str">
        <f>IF(ISERROR(VLOOKUP(C262,'[1]خريطة الحسابات'!_xlnm.Print_Area,4,FALSE))," ",(VLOOKUP(C262,'[1]خريطة الحسابات'!_xlnm.Print_Area,4,FALSE)))</f>
        <v xml:space="preserve">مقاولين </v>
      </c>
      <c r="N262" s="138" t="str">
        <f>IF(ISERROR(VLOOKUP(C262,'[1]خريطة الحسابات'!_xlnm.Print_Area,5,FALSE))," ",(VLOOKUP(C262,'[1]خريطة الحسابات'!_xlnm.Print_Area,5,FALSE)))</f>
        <v xml:space="preserve">الدائنون والأرصدة الدائنة الأخرى </v>
      </c>
      <c r="O262" s="139" t="s">
        <v>1410</v>
      </c>
      <c r="P262" s="139" t="s">
        <v>1340</v>
      </c>
    </row>
    <row r="263" spans="1:16">
      <c r="A263" s="104">
        <v>16</v>
      </c>
      <c r="B263" s="131">
        <v>46086</v>
      </c>
      <c r="C263" s="141">
        <v>4007</v>
      </c>
      <c r="D263" s="140" t="str">
        <f>IF(ISERROR(VLOOKUP(C263,'[1]خريطة الحسابات'!_xlnm.Print_Area,3,FALSE))," ",(VLOOKUP(C263,'[1]خريطة الحسابات'!_xlnm.Print_Area,3,FALSE)))</f>
        <v>حاتم سيراميك</v>
      </c>
      <c r="E263" s="132"/>
      <c r="F263" s="133">
        <v>10010</v>
      </c>
      <c r="G263" s="133"/>
      <c r="H263" s="134">
        <f t="shared" si="9"/>
        <v>10010</v>
      </c>
      <c r="I263" s="134">
        <f t="shared" si="9"/>
        <v>0</v>
      </c>
      <c r="J263" s="134">
        <f t="shared" si="10"/>
        <v>10010</v>
      </c>
      <c r="K263" s="135"/>
      <c r="L263" s="136" t="str">
        <f t="shared" si="11"/>
        <v>مدين</v>
      </c>
      <c r="M263" s="137" t="str">
        <f>IF(ISERROR(VLOOKUP(C263,'[1]خريطة الحسابات'!_xlnm.Print_Area,4,FALSE))," ",(VLOOKUP(C263,'[1]خريطة الحسابات'!_xlnm.Print_Area,4,FALSE)))</f>
        <v xml:space="preserve">مقاولين </v>
      </c>
      <c r="N263" s="138" t="str">
        <f>IF(ISERROR(VLOOKUP(C263,'[1]خريطة الحسابات'!_xlnm.Print_Area,5,FALSE))," ",(VLOOKUP(C263,'[1]خريطة الحسابات'!_xlnm.Print_Area,5,FALSE)))</f>
        <v xml:space="preserve">الدائنون والأرصدة الدائنة الأخرى </v>
      </c>
      <c r="O263" s="139" t="s">
        <v>1411</v>
      </c>
      <c r="P263" s="139" t="s">
        <v>1340</v>
      </c>
    </row>
    <row r="264" spans="1:16">
      <c r="A264" s="104">
        <v>16</v>
      </c>
      <c r="B264" s="131">
        <v>46093</v>
      </c>
      <c r="C264" s="141">
        <v>4007</v>
      </c>
      <c r="D264" s="140" t="str">
        <f>IF(ISERROR(VLOOKUP(C264,'[1]خريطة الحسابات'!_xlnm.Print_Area,3,FALSE))," ",(VLOOKUP(C264,'[1]خريطة الحسابات'!_xlnm.Print_Area,3,FALSE)))</f>
        <v>حاتم سيراميك</v>
      </c>
      <c r="E264" s="132"/>
      <c r="F264" s="133">
        <v>7007</v>
      </c>
      <c r="G264" s="133"/>
      <c r="H264" s="134">
        <f t="shared" si="9"/>
        <v>7007</v>
      </c>
      <c r="I264" s="134">
        <f t="shared" si="9"/>
        <v>0</v>
      </c>
      <c r="J264" s="134">
        <f t="shared" si="10"/>
        <v>7007</v>
      </c>
      <c r="K264" s="135"/>
      <c r="L264" s="136" t="str">
        <f t="shared" si="11"/>
        <v>مدين</v>
      </c>
      <c r="M264" s="137" t="str">
        <f>IF(ISERROR(VLOOKUP(C264,'[1]خريطة الحسابات'!_xlnm.Print_Area,4,FALSE))," ",(VLOOKUP(C264,'[1]خريطة الحسابات'!_xlnm.Print_Area,4,FALSE)))</f>
        <v xml:space="preserve">مقاولين </v>
      </c>
      <c r="N264" s="138" t="str">
        <f>IF(ISERROR(VLOOKUP(C264,'[1]خريطة الحسابات'!_xlnm.Print_Area,5,FALSE))," ",(VLOOKUP(C264,'[1]خريطة الحسابات'!_xlnm.Print_Area,5,FALSE)))</f>
        <v xml:space="preserve">الدائنون والأرصدة الدائنة الأخرى </v>
      </c>
      <c r="O264" s="139" t="s">
        <v>1408</v>
      </c>
      <c r="P264" s="139" t="s">
        <v>1340</v>
      </c>
    </row>
    <row r="265" spans="1:16">
      <c r="A265" s="104">
        <v>16</v>
      </c>
      <c r="B265" s="131">
        <v>46117</v>
      </c>
      <c r="C265" s="141">
        <v>4007</v>
      </c>
      <c r="D265" s="140" t="str">
        <f>IF(ISERROR(VLOOKUP(C265,'[1]خريطة الحسابات'!_xlnm.Print_Area,3,FALSE))," ",(VLOOKUP(C265,'[1]خريطة الحسابات'!_xlnm.Print_Area,3,FALSE)))</f>
        <v>حاتم سيراميك</v>
      </c>
      <c r="E265" s="132"/>
      <c r="F265" s="133">
        <v>1502</v>
      </c>
      <c r="G265" s="133"/>
      <c r="H265" s="134">
        <f t="shared" si="9"/>
        <v>1502</v>
      </c>
      <c r="I265" s="134">
        <f t="shared" si="9"/>
        <v>0</v>
      </c>
      <c r="J265" s="134">
        <f t="shared" si="10"/>
        <v>1502</v>
      </c>
      <c r="K265" s="135"/>
      <c r="L265" s="136" t="str">
        <f t="shared" si="11"/>
        <v>مدين</v>
      </c>
      <c r="M265" s="137" t="str">
        <f>IF(ISERROR(VLOOKUP(C265,'[1]خريطة الحسابات'!_xlnm.Print_Area,4,FALSE))," ",(VLOOKUP(C265,'[1]خريطة الحسابات'!_xlnm.Print_Area,4,FALSE)))</f>
        <v xml:space="preserve">مقاولين </v>
      </c>
      <c r="N265" s="138" t="str">
        <f>IF(ISERROR(VLOOKUP(C265,'[1]خريطة الحسابات'!_xlnm.Print_Area,5,FALSE))," ",(VLOOKUP(C265,'[1]خريطة الحسابات'!_xlnm.Print_Area,5,FALSE)))</f>
        <v xml:space="preserve">الدائنون والأرصدة الدائنة الأخرى </v>
      </c>
      <c r="O265" s="139" t="s">
        <v>1412</v>
      </c>
      <c r="P265" s="139" t="s">
        <v>1327</v>
      </c>
    </row>
    <row r="266" spans="1:16">
      <c r="A266" s="104">
        <v>16</v>
      </c>
      <c r="B266" s="131">
        <v>46135</v>
      </c>
      <c r="C266" s="141">
        <v>4007</v>
      </c>
      <c r="D266" s="140" t="str">
        <f>IF(ISERROR(VLOOKUP(C266,'[1]خريطة الحسابات'!_xlnm.Print_Area,3,FALSE))," ",(VLOOKUP(C266,'[1]خريطة الحسابات'!_xlnm.Print_Area,3,FALSE)))</f>
        <v>حاتم سيراميك</v>
      </c>
      <c r="E266" s="132"/>
      <c r="F266" s="133">
        <v>1200</v>
      </c>
      <c r="G266" s="133"/>
      <c r="H266" s="134">
        <f t="shared" si="9"/>
        <v>1200</v>
      </c>
      <c r="I266" s="134">
        <f t="shared" si="9"/>
        <v>0</v>
      </c>
      <c r="J266" s="134">
        <f t="shared" si="10"/>
        <v>1200</v>
      </c>
      <c r="K266" s="135"/>
      <c r="L266" s="136" t="str">
        <f t="shared" si="11"/>
        <v>مدين</v>
      </c>
      <c r="M266" s="137" t="str">
        <f>IF(ISERROR(VLOOKUP(C266,'[1]خريطة الحسابات'!_xlnm.Print_Area,4,FALSE))," ",(VLOOKUP(C266,'[1]خريطة الحسابات'!_xlnm.Print_Area,4,FALSE)))</f>
        <v xml:space="preserve">مقاولين </v>
      </c>
      <c r="N266" s="138" t="str">
        <f>IF(ISERROR(VLOOKUP(C266,'[1]خريطة الحسابات'!_xlnm.Print_Area,5,FALSE))," ",(VLOOKUP(C266,'[1]خريطة الحسابات'!_xlnm.Print_Area,5,FALSE)))</f>
        <v xml:space="preserve">الدائنون والأرصدة الدائنة الأخرى </v>
      </c>
      <c r="O266" s="139" t="s">
        <v>1412</v>
      </c>
      <c r="P266" s="139" t="s">
        <v>1327</v>
      </c>
    </row>
    <row r="267" spans="1:16">
      <c r="A267" s="104">
        <v>16</v>
      </c>
      <c r="B267" s="131">
        <v>46135</v>
      </c>
      <c r="C267" s="141">
        <v>4007</v>
      </c>
      <c r="D267" s="140" t="str">
        <f>IF(ISERROR(VLOOKUP(C267,'[1]خريطة الحسابات'!_xlnm.Print_Area,3,FALSE))," ",(VLOOKUP(C267,'[1]خريطة الحسابات'!_xlnm.Print_Area,3,FALSE)))</f>
        <v>حاتم سيراميك</v>
      </c>
      <c r="E267" s="132"/>
      <c r="F267" s="133">
        <v>1400</v>
      </c>
      <c r="G267" s="133"/>
      <c r="H267" s="134">
        <f t="shared" si="9"/>
        <v>1400</v>
      </c>
      <c r="I267" s="134">
        <f t="shared" si="9"/>
        <v>0</v>
      </c>
      <c r="J267" s="134">
        <f t="shared" si="10"/>
        <v>1400</v>
      </c>
      <c r="K267" s="135"/>
      <c r="L267" s="136" t="str">
        <f t="shared" si="11"/>
        <v>مدين</v>
      </c>
      <c r="M267" s="137" t="str">
        <f>IF(ISERROR(VLOOKUP(C267,'[1]خريطة الحسابات'!_xlnm.Print_Area,4,FALSE))," ",(VLOOKUP(C267,'[1]خريطة الحسابات'!_xlnm.Print_Area,4,FALSE)))</f>
        <v xml:space="preserve">مقاولين </v>
      </c>
      <c r="N267" s="138" t="str">
        <f>IF(ISERROR(VLOOKUP(C267,'[1]خريطة الحسابات'!_xlnm.Print_Area,5,FALSE))," ",(VLOOKUP(C267,'[1]خريطة الحسابات'!_xlnm.Print_Area,5,FALSE)))</f>
        <v xml:space="preserve">الدائنون والأرصدة الدائنة الأخرى </v>
      </c>
      <c r="O267" s="139" t="s">
        <v>1413</v>
      </c>
      <c r="P267" s="139" t="s">
        <v>1295</v>
      </c>
    </row>
    <row r="268" spans="1:16">
      <c r="A268" s="104">
        <v>16</v>
      </c>
      <c r="B268" s="131">
        <v>46135</v>
      </c>
      <c r="C268" s="141">
        <v>4007</v>
      </c>
      <c r="D268" s="140" t="str">
        <f>IF(ISERROR(VLOOKUP(C268,'[1]خريطة الحسابات'!_xlnm.Print_Area,3,FALSE))," ",(VLOOKUP(C268,'[1]خريطة الحسابات'!_xlnm.Print_Area,3,FALSE)))</f>
        <v>حاتم سيراميك</v>
      </c>
      <c r="E268" s="132"/>
      <c r="F268" s="133">
        <v>1400</v>
      </c>
      <c r="G268" s="133"/>
      <c r="H268" s="134">
        <f t="shared" si="9"/>
        <v>1400</v>
      </c>
      <c r="I268" s="134">
        <f t="shared" si="9"/>
        <v>0</v>
      </c>
      <c r="J268" s="134">
        <f t="shared" si="10"/>
        <v>1400</v>
      </c>
      <c r="K268" s="135"/>
      <c r="L268" s="136" t="str">
        <f t="shared" si="11"/>
        <v>مدين</v>
      </c>
      <c r="M268" s="137" t="str">
        <f>IF(ISERROR(VLOOKUP(C268,'[1]خريطة الحسابات'!_xlnm.Print_Area,4,FALSE))," ",(VLOOKUP(C268,'[1]خريطة الحسابات'!_xlnm.Print_Area,4,FALSE)))</f>
        <v xml:space="preserve">مقاولين </v>
      </c>
      <c r="N268" s="138" t="str">
        <f>IF(ISERROR(VLOOKUP(C268,'[1]خريطة الحسابات'!_xlnm.Print_Area,5,FALSE))," ",(VLOOKUP(C268,'[1]خريطة الحسابات'!_xlnm.Print_Area,5,FALSE)))</f>
        <v xml:space="preserve">الدائنون والأرصدة الدائنة الأخرى </v>
      </c>
      <c r="O268" s="139" t="s">
        <v>1414</v>
      </c>
      <c r="P268" s="139" t="s">
        <v>1415</v>
      </c>
    </row>
    <row r="269" spans="1:16">
      <c r="A269" s="104">
        <v>16</v>
      </c>
      <c r="B269" s="131">
        <v>46060</v>
      </c>
      <c r="C269" s="141">
        <v>20</v>
      </c>
      <c r="D269" s="140" t="str">
        <f>IF(ISERROR(VLOOKUP(C269,'[1]خريطة الحسابات'!_xlnm.Print_Area,3,FALSE))," ",(VLOOKUP(C269,'[1]خريطة الحسابات'!_xlnm.Print_Area,3,FALSE)))</f>
        <v xml:space="preserve">الخزينة </v>
      </c>
      <c r="E269" s="132"/>
      <c r="F269" s="133"/>
      <c r="G269" s="133">
        <v>6807</v>
      </c>
      <c r="H269" s="134">
        <f t="shared" si="9"/>
        <v>0</v>
      </c>
      <c r="I269" s="134">
        <f t="shared" si="9"/>
        <v>6807</v>
      </c>
      <c r="J269" s="134">
        <f t="shared" si="10"/>
        <v>-6807</v>
      </c>
      <c r="K269" s="135"/>
      <c r="L269" s="136" t="str">
        <f t="shared" si="11"/>
        <v>دائن</v>
      </c>
      <c r="M269" s="137" t="str">
        <f>IF(ISERROR(VLOOKUP(C269,'[1]خريطة الحسابات'!_xlnm.Print_Area,4,FALSE))," ",(VLOOKUP(C269,'[1]خريطة الحسابات'!_xlnm.Print_Area,4,FALSE)))</f>
        <v xml:space="preserve">أصول متداوله -النقدية ومافي حكمها </v>
      </c>
      <c r="N269" s="138" t="str">
        <f>IF(ISERROR(VLOOKUP(C269,'[1]خريطة الحسابات'!_xlnm.Print_Area,5,FALSE))," ",(VLOOKUP(C269,'[1]خريطة الحسابات'!_xlnm.Print_Area,5,FALSE)))</f>
        <v>الاصول</v>
      </c>
      <c r="O269" s="139" t="s">
        <v>1408</v>
      </c>
      <c r="P269" s="139" t="s">
        <v>1340</v>
      </c>
    </row>
    <row r="270" spans="1:16">
      <c r="A270" s="104">
        <v>16</v>
      </c>
      <c r="B270" s="131">
        <v>46067</v>
      </c>
      <c r="C270" s="141">
        <v>20</v>
      </c>
      <c r="D270" s="140" t="str">
        <f>IF(ISERROR(VLOOKUP(C270,'[1]خريطة الحسابات'!_xlnm.Print_Area,3,FALSE))," ",(VLOOKUP(C270,'[1]خريطة الحسابات'!_xlnm.Print_Area,3,FALSE)))</f>
        <v xml:space="preserve">الخزينة </v>
      </c>
      <c r="E270" s="132"/>
      <c r="F270" s="133"/>
      <c r="G270" s="133">
        <v>10010</v>
      </c>
      <c r="H270" s="134">
        <f t="shared" si="9"/>
        <v>0</v>
      </c>
      <c r="I270" s="134">
        <f t="shared" si="9"/>
        <v>10010</v>
      </c>
      <c r="J270" s="134">
        <f t="shared" si="10"/>
        <v>-10010</v>
      </c>
      <c r="K270" s="135"/>
      <c r="L270" s="136" t="str">
        <f t="shared" si="11"/>
        <v>دائن</v>
      </c>
      <c r="M270" s="137" t="str">
        <f>IF(ISERROR(VLOOKUP(C270,'[1]خريطة الحسابات'!_xlnm.Print_Area,4,FALSE))," ",(VLOOKUP(C270,'[1]خريطة الحسابات'!_xlnm.Print_Area,4,FALSE)))</f>
        <v xml:space="preserve">أصول متداوله -النقدية ومافي حكمها </v>
      </c>
      <c r="N270" s="138" t="str">
        <f>IF(ISERROR(VLOOKUP(C270,'[1]خريطة الحسابات'!_xlnm.Print_Area,5,FALSE))," ",(VLOOKUP(C270,'[1]خريطة الحسابات'!_xlnm.Print_Area,5,FALSE)))</f>
        <v>الاصول</v>
      </c>
      <c r="O270" s="139" t="s">
        <v>1408</v>
      </c>
      <c r="P270" s="139" t="s">
        <v>1340</v>
      </c>
    </row>
    <row r="271" spans="1:16">
      <c r="A271" s="104">
        <v>16</v>
      </c>
      <c r="B271" s="131">
        <v>46070</v>
      </c>
      <c r="C271" s="141">
        <v>20</v>
      </c>
      <c r="D271" s="140" t="str">
        <f>IF(ISERROR(VLOOKUP(C271,'[1]خريطة الحسابات'!_xlnm.Print_Area,3,FALSE))," ",(VLOOKUP(C271,'[1]خريطة الحسابات'!_xlnm.Print_Area,3,FALSE)))</f>
        <v xml:space="preserve">الخزينة </v>
      </c>
      <c r="E271" s="132"/>
      <c r="F271" s="133"/>
      <c r="G271" s="133">
        <v>12900</v>
      </c>
      <c r="H271" s="134">
        <f t="shared" si="9"/>
        <v>0</v>
      </c>
      <c r="I271" s="134">
        <f t="shared" si="9"/>
        <v>12900</v>
      </c>
      <c r="J271" s="134">
        <f t="shared" si="10"/>
        <v>-12900</v>
      </c>
      <c r="K271" s="135"/>
      <c r="L271" s="136" t="str">
        <f t="shared" si="11"/>
        <v>دائن</v>
      </c>
      <c r="M271" s="137" t="str">
        <f>IF(ISERROR(VLOOKUP(C271,'[1]خريطة الحسابات'!_xlnm.Print_Area,4,FALSE))," ",(VLOOKUP(C271,'[1]خريطة الحسابات'!_xlnm.Print_Area,4,FALSE)))</f>
        <v xml:space="preserve">أصول متداوله -النقدية ومافي حكمها </v>
      </c>
      <c r="N271" s="138" t="str">
        <f>IF(ISERROR(VLOOKUP(C271,'[1]خريطة الحسابات'!_xlnm.Print_Area,5,FALSE))," ",(VLOOKUP(C271,'[1]خريطة الحسابات'!_xlnm.Print_Area,5,FALSE)))</f>
        <v>الاصول</v>
      </c>
      <c r="O271" s="139" t="s">
        <v>1409</v>
      </c>
      <c r="P271" s="139" t="s">
        <v>1340</v>
      </c>
    </row>
    <row r="272" spans="1:16">
      <c r="A272" s="104">
        <v>16</v>
      </c>
      <c r="B272" s="131">
        <v>46082</v>
      </c>
      <c r="C272" s="141">
        <v>20</v>
      </c>
      <c r="D272" s="140" t="str">
        <f>IF(ISERROR(VLOOKUP(C272,'[1]خريطة الحسابات'!_xlnm.Print_Area,3,FALSE))," ",(VLOOKUP(C272,'[1]خريطة الحسابات'!_xlnm.Print_Area,3,FALSE)))</f>
        <v xml:space="preserve">الخزينة </v>
      </c>
      <c r="E272" s="142"/>
      <c r="F272" s="133"/>
      <c r="G272" s="133">
        <v>4004</v>
      </c>
      <c r="H272" s="134">
        <f t="shared" si="9"/>
        <v>0</v>
      </c>
      <c r="I272" s="134">
        <f t="shared" si="9"/>
        <v>4004</v>
      </c>
      <c r="J272" s="134">
        <f t="shared" si="10"/>
        <v>-4004</v>
      </c>
      <c r="K272" s="135"/>
      <c r="L272" s="136" t="str">
        <f t="shared" si="11"/>
        <v>دائن</v>
      </c>
      <c r="M272" s="137" t="str">
        <f>IF(ISERROR(VLOOKUP(C272,'[1]خريطة الحسابات'!_xlnm.Print_Area,4,FALSE))," ",(VLOOKUP(C272,'[1]خريطة الحسابات'!_xlnm.Print_Area,4,FALSE)))</f>
        <v xml:space="preserve">أصول متداوله -النقدية ومافي حكمها </v>
      </c>
      <c r="N272" s="138" t="str">
        <f>IF(ISERROR(VLOOKUP(C272,'[1]خريطة الحسابات'!_xlnm.Print_Area,5,FALSE))," ",(VLOOKUP(C272,'[1]خريطة الحسابات'!_xlnm.Print_Area,5,FALSE)))</f>
        <v>الاصول</v>
      </c>
      <c r="O272" s="139" t="s">
        <v>1410</v>
      </c>
      <c r="P272" s="139" t="s">
        <v>1340</v>
      </c>
    </row>
    <row r="273" spans="1:16">
      <c r="A273" s="104">
        <v>16</v>
      </c>
      <c r="B273" s="131">
        <v>46086</v>
      </c>
      <c r="C273" s="141">
        <v>20</v>
      </c>
      <c r="D273" s="140" t="str">
        <f>IF(ISERROR(VLOOKUP(C273,'[1]خريطة الحسابات'!_xlnm.Print_Area,3,FALSE))," ",(VLOOKUP(C273,'[1]خريطة الحسابات'!_xlnm.Print_Area,3,FALSE)))</f>
        <v xml:space="preserve">الخزينة </v>
      </c>
      <c r="E273" s="132"/>
      <c r="F273" s="133"/>
      <c r="G273" s="133">
        <v>10010</v>
      </c>
      <c r="H273" s="134">
        <f t="shared" si="9"/>
        <v>0</v>
      </c>
      <c r="I273" s="134">
        <f t="shared" si="9"/>
        <v>10010</v>
      </c>
      <c r="J273" s="134">
        <f t="shared" si="10"/>
        <v>-10010</v>
      </c>
      <c r="K273" s="135"/>
      <c r="L273" s="136" t="str">
        <f t="shared" si="11"/>
        <v>دائن</v>
      </c>
      <c r="M273" s="137" t="str">
        <f>IF(ISERROR(VLOOKUP(C273,'[1]خريطة الحسابات'!_xlnm.Print_Area,4,FALSE))," ",(VLOOKUP(C273,'[1]خريطة الحسابات'!_xlnm.Print_Area,4,FALSE)))</f>
        <v xml:space="preserve">أصول متداوله -النقدية ومافي حكمها </v>
      </c>
      <c r="N273" s="138" t="str">
        <f>IF(ISERROR(VLOOKUP(C273,'[1]خريطة الحسابات'!_xlnm.Print_Area,5,FALSE))," ",(VLOOKUP(C273,'[1]خريطة الحسابات'!_xlnm.Print_Area,5,FALSE)))</f>
        <v>الاصول</v>
      </c>
      <c r="O273" s="139" t="s">
        <v>1411</v>
      </c>
      <c r="P273" s="139" t="s">
        <v>1340</v>
      </c>
    </row>
    <row r="274" spans="1:16">
      <c r="A274" s="104">
        <v>16</v>
      </c>
      <c r="B274" s="131">
        <v>46093</v>
      </c>
      <c r="C274" s="141">
        <v>20</v>
      </c>
      <c r="D274" s="140" t="str">
        <f>IF(ISERROR(VLOOKUP(C274,'[1]خريطة الحسابات'!_xlnm.Print_Area,3,FALSE))," ",(VLOOKUP(C274,'[1]خريطة الحسابات'!_xlnm.Print_Area,3,FALSE)))</f>
        <v xml:space="preserve">الخزينة </v>
      </c>
      <c r="E274" s="132"/>
      <c r="F274" s="133"/>
      <c r="G274" s="133">
        <v>7007</v>
      </c>
      <c r="H274" s="134">
        <f t="shared" si="9"/>
        <v>0</v>
      </c>
      <c r="I274" s="134">
        <f t="shared" si="9"/>
        <v>7007</v>
      </c>
      <c r="J274" s="134">
        <f t="shared" si="10"/>
        <v>-7007</v>
      </c>
      <c r="K274" s="135"/>
      <c r="L274" s="136" t="str">
        <f t="shared" si="11"/>
        <v>دائن</v>
      </c>
      <c r="M274" s="137" t="str">
        <f>IF(ISERROR(VLOOKUP(C274,'[1]خريطة الحسابات'!_xlnm.Print_Area,4,FALSE))," ",(VLOOKUP(C274,'[1]خريطة الحسابات'!_xlnm.Print_Area,4,FALSE)))</f>
        <v xml:space="preserve">أصول متداوله -النقدية ومافي حكمها </v>
      </c>
      <c r="N274" s="138" t="str">
        <f>IF(ISERROR(VLOOKUP(C274,'[1]خريطة الحسابات'!_xlnm.Print_Area,5,FALSE))," ",(VLOOKUP(C274,'[1]خريطة الحسابات'!_xlnm.Print_Area,5,FALSE)))</f>
        <v>الاصول</v>
      </c>
      <c r="O274" s="139" t="s">
        <v>1408</v>
      </c>
      <c r="P274" s="139" t="s">
        <v>1340</v>
      </c>
    </row>
    <row r="275" spans="1:16">
      <c r="A275" s="104">
        <v>16</v>
      </c>
      <c r="B275" s="131">
        <v>46117</v>
      </c>
      <c r="C275" s="141">
        <v>20</v>
      </c>
      <c r="D275" s="140" t="str">
        <f>IF(ISERROR(VLOOKUP(C275,'[1]خريطة الحسابات'!_xlnm.Print_Area,3,FALSE))," ",(VLOOKUP(C275,'[1]خريطة الحسابات'!_xlnm.Print_Area,3,FALSE)))</f>
        <v xml:space="preserve">الخزينة </v>
      </c>
      <c r="E275" s="132"/>
      <c r="F275" s="133"/>
      <c r="G275" s="133">
        <v>1502</v>
      </c>
      <c r="H275" s="134">
        <f t="shared" si="9"/>
        <v>0</v>
      </c>
      <c r="I275" s="134">
        <f t="shared" si="9"/>
        <v>1502</v>
      </c>
      <c r="J275" s="134">
        <f t="shared" si="10"/>
        <v>-1502</v>
      </c>
      <c r="K275" s="135"/>
      <c r="L275" s="136" t="str">
        <f t="shared" si="11"/>
        <v>دائن</v>
      </c>
      <c r="M275" s="137" t="str">
        <f>IF(ISERROR(VLOOKUP(C275,'[1]خريطة الحسابات'!_xlnm.Print_Area,4,FALSE))," ",(VLOOKUP(C275,'[1]خريطة الحسابات'!_xlnm.Print_Area,4,FALSE)))</f>
        <v xml:space="preserve">أصول متداوله -النقدية ومافي حكمها </v>
      </c>
      <c r="N275" s="138" t="str">
        <f>IF(ISERROR(VLOOKUP(C275,'[1]خريطة الحسابات'!_xlnm.Print_Area,5,FALSE))," ",(VLOOKUP(C275,'[1]خريطة الحسابات'!_xlnm.Print_Area,5,FALSE)))</f>
        <v>الاصول</v>
      </c>
      <c r="O275" s="139" t="s">
        <v>1412</v>
      </c>
      <c r="P275" s="139" t="s">
        <v>1327</v>
      </c>
    </row>
    <row r="276" spans="1:16">
      <c r="A276" s="104">
        <v>16</v>
      </c>
      <c r="B276" s="131">
        <v>46135</v>
      </c>
      <c r="C276" s="141">
        <v>20</v>
      </c>
      <c r="D276" s="140" t="str">
        <f>IF(ISERROR(VLOOKUP(C276,'[1]خريطة الحسابات'!_xlnm.Print_Area,3,FALSE))," ",(VLOOKUP(C276,'[1]خريطة الحسابات'!_xlnm.Print_Area,3,FALSE)))</f>
        <v xml:space="preserve">الخزينة </v>
      </c>
      <c r="E276" s="132"/>
      <c r="F276" s="133"/>
      <c r="G276" s="133">
        <v>1200</v>
      </c>
      <c r="H276" s="134">
        <f t="shared" si="9"/>
        <v>0</v>
      </c>
      <c r="I276" s="134">
        <f t="shared" si="9"/>
        <v>1200</v>
      </c>
      <c r="J276" s="134">
        <f t="shared" si="10"/>
        <v>-1200</v>
      </c>
      <c r="K276" s="135"/>
      <c r="L276" s="136" t="str">
        <f t="shared" si="11"/>
        <v>دائن</v>
      </c>
      <c r="M276" s="137" t="str">
        <f>IF(ISERROR(VLOOKUP(C276,'[1]خريطة الحسابات'!_xlnm.Print_Area,4,FALSE))," ",(VLOOKUP(C276,'[1]خريطة الحسابات'!_xlnm.Print_Area,4,FALSE)))</f>
        <v xml:space="preserve">أصول متداوله -النقدية ومافي حكمها </v>
      </c>
      <c r="N276" s="138" t="str">
        <f>IF(ISERROR(VLOOKUP(C276,'[1]خريطة الحسابات'!_xlnm.Print_Area,5,FALSE))," ",(VLOOKUP(C276,'[1]خريطة الحسابات'!_xlnm.Print_Area,5,FALSE)))</f>
        <v>الاصول</v>
      </c>
      <c r="O276" s="139" t="s">
        <v>1412</v>
      </c>
      <c r="P276" s="139" t="s">
        <v>1327</v>
      </c>
    </row>
    <row r="277" spans="1:16">
      <c r="A277" s="104">
        <v>16</v>
      </c>
      <c r="B277" s="131">
        <v>46135</v>
      </c>
      <c r="C277" s="141">
        <v>20</v>
      </c>
      <c r="D277" s="140" t="str">
        <f>IF(ISERROR(VLOOKUP(C277,'[1]خريطة الحسابات'!_xlnm.Print_Area,3,FALSE))," ",(VLOOKUP(C277,'[1]خريطة الحسابات'!_xlnm.Print_Area,3,FALSE)))</f>
        <v xml:space="preserve">الخزينة </v>
      </c>
      <c r="E277" s="132"/>
      <c r="F277" s="133"/>
      <c r="G277" s="133">
        <v>1400</v>
      </c>
      <c r="H277" s="134">
        <f t="shared" si="9"/>
        <v>0</v>
      </c>
      <c r="I277" s="134">
        <f t="shared" si="9"/>
        <v>1400</v>
      </c>
      <c r="J277" s="134">
        <f t="shared" si="10"/>
        <v>-1400</v>
      </c>
      <c r="K277" s="135"/>
      <c r="L277" s="136" t="str">
        <f t="shared" si="11"/>
        <v>دائن</v>
      </c>
      <c r="M277" s="137" t="str">
        <f>IF(ISERROR(VLOOKUP(C277,'[1]خريطة الحسابات'!_xlnm.Print_Area,4,FALSE))," ",(VLOOKUP(C277,'[1]خريطة الحسابات'!_xlnm.Print_Area,4,FALSE)))</f>
        <v xml:space="preserve">أصول متداوله -النقدية ومافي حكمها </v>
      </c>
      <c r="N277" s="138" t="str">
        <f>IF(ISERROR(VLOOKUP(C277,'[1]خريطة الحسابات'!_xlnm.Print_Area,5,FALSE))," ",(VLOOKUP(C277,'[1]خريطة الحسابات'!_xlnm.Print_Area,5,FALSE)))</f>
        <v>الاصول</v>
      </c>
      <c r="O277" s="139" t="s">
        <v>1413</v>
      </c>
      <c r="P277" s="139" t="s">
        <v>1295</v>
      </c>
    </row>
    <row r="278" spans="1:16">
      <c r="A278" s="104">
        <v>16</v>
      </c>
      <c r="B278" s="131">
        <v>46135</v>
      </c>
      <c r="C278" s="141">
        <v>20</v>
      </c>
      <c r="D278" s="140" t="str">
        <f>IF(ISERROR(VLOOKUP(C278,'[1]خريطة الحسابات'!_xlnm.Print_Area,3,FALSE))," ",(VLOOKUP(C278,'[1]خريطة الحسابات'!_xlnm.Print_Area,3,FALSE)))</f>
        <v xml:space="preserve">الخزينة </v>
      </c>
      <c r="E278" s="132"/>
      <c r="F278" s="133"/>
      <c r="G278" s="133">
        <v>1400</v>
      </c>
      <c r="H278" s="134">
        <f t="shared" si="9"/>
        <v>0</v>
      </c>
      <c r="I278" s="134">
        <f t="shared" si="9"/>
        <v>1400</v>
      </c>
      <c r="J278" s="134">
        <f t="shared" si="10"/>
        <v>-1400</v>
      </c>
      <c r="K278" s="135"/>
      <c r="L278" s="136" t="str">
        <f t="shared" si="11"/>
        <v>دائن</v>
      </c>
      <c r="M278" s="137" t="str">
        <f>IF(ISERROR(VLOOKUP(C278,'[1]خريطة الحسابات'!_xlnm.Print_Area,4,FALSE))," ",(VLOOKUP(C278,'[1]خريطة الحسابات'!_xlnm.Print_Area,4,FALSE)))</f>
        <v xml:space="preserve">أصول متداوله -النقدية ومافي حكمها </v>
      </c>
      <c r="N278" s="138" t="str">
        <f>IF(ISERROR(VLOOKUP(C278,'[1]خريطة الحسابات'!_xlnm.Print_Area,5,FALSE))," ",(VLOOKUP(C278,'[1]خريطة الحسابات'!_xlnm.Print_Area,5,FALSE)))</f>
        <v>الاصول</v>
      </c>
      <c r="O278" s="139" t="s">
        <v>1414</v>
      </c>
      <c r="P278" s="139" t="s">
        <v>1415</v>
      </c>
    </row>
    <row r="279" spans="1:16">
      <c r="A279" s="104">
        <v>17</v>
      </c>
      <c r="B279" s="131">
        <v>46029</v>
      </c>
      <c r="C279" s="141">
        <v>4008</v>
      </c>
      <c r="D279" s="140" t="str">
        <f>IF(ISERROR(VLOOKUP(C279,'[1]خريطة الحسابات'!_xlnm.Print_Area,3,FALSE))," ",(VLOOKUP(C279,'[1]خريطة الحسابات'!_xlnm.Print_Area,3,FALSE)))</f>
        <v>حامد النقاش</v>
      </c>
      <c r="E279" s="132"/>
      <c r="F279" s="133">
        <v>8008</v>
      </c>
      <c r="G279" s="133"/>
      <c r="H279" s="134">
        <f t="shared" si="9"/>
        <v>8008</v>
      </c>
      <c r="I279" s="134">
        <f t="shared" si="9"/>
        <v>0</v>
      </c>
      <c r="J279" s="134">
        <f t="shared" si="10"/>
        <v>8008</v>
      </c>
      <c r="K279" s="135"/>
      <c r="L279" s="136" t="str">
        <f t="shared" si="11"/>
        <v>مدين</v>
      </c>
      <c r="M279" s="137" t="str">
        <f>IF(ISERROR(VLOOKUP(C279,'[1]خريطة الحسابات'!_xlnm.Print_Area,4,FALSE))," ",(VLOOKUP(C279,'[1]خريطة الحسابات'!_xlnm.Print_Area,4,FALSE)))</f>
        <v xml:space="preserve">مقاولين </v>
      </c>
      <c r="N279" s="138" t="str">
        <f>IF(ISERROR(VLOOKUP(C279,'[1]خريطة الحسابات'!_xlnm.Print_Area,5,FALSE))," ",(VLOOKUP(C279,'[1]خريطة الحسابات'!_xlnm.Print_Area,5,FALSE)))</f>
        <v xml:space="preserve">الدائنون والأرصدة الدائنة الأخرى </v>
      </c>
      <c r="O279" s="139" t="s">
        <v>1416</v>
      </c>
      <c r="P279" s="139" t="s">
        <v>1325</v>
      </c>
    </row>
    <row r="280" spans="1:16">
      <c r="A280" s="104">
        <v>17</v>
      </c>
      <c r="B280" s="131">
        <v>46036</v>
      </c>
      <c r="C280" s="141">
        <v>4008</v>
      </c>
      <c r="D280" s="140" t="str">
        <f>IF(ISERROR(VLOOKUP(C280,'[1]خريطة الحسابات'!_xlnm.Print_Area,3,FALSE))," ",(VLOOKUP(C280,'[1]خريطة الحسابات'!_xlnm.Print_Area,3,FALSE)))</f>
        <v>حامد النقاش</v>
      </c>
      <c r="E280" s="132"/>
      <c r="F280" s="133">
        <v>400</v>
      </c>
      <c r="G280" s="133"/>
      <c r="H280" s="134">
        <f t="shared" ref="H280:I343" si="12">IF($E280=2,F280*3.465,F280)</f>
        <v>400</v>
      </c>
      <c r="I280" s="134">
        <f t="shared" si="12"/>
        <v>0</v>
      </c>
      <c r="J280" s="134">
        <f t="shared" ref="J280:J343" si="13">H280-I280</f>
        <v>400</v>
      </c>
      <c r="K280" s="135"/>
      <c r="L280" s="136" t="str">
        <f t="shared" si="11"/>
        <v>مدين</v>
      </c>
      <c r="M280" s="137" t="str">
        <f>IF(ISERROR(VLOOKUP(C280,'[1]خريطة الحسابات'!_xlnm.Print_Area,4,FALSE))," ",(VLOOKUP(C280,'[1]خريطة الحسابات'!_xlnm.Print_Area,4,FALSE)))</f>
        <v xml:space="preserve">مقاولين </v>
      </c>
      <c r="N280" s="138" t="str">
        <f>IF(ISERROR(VLOOKUP(C280,'[1]خريطة الحسابات'!_xlnm.Print_Area,5,FALSE))," ",(VLOOKUP(C280,'[1]خريطة الحسابات'!_xlnm.Print_Area,5,FALSE)))</f>
        <v xml:space="preserve">الدائنون والأرصدة الدائنة الأخرى </v>
      </c>
      <c r="O280" s="139" t="s">
        <v>1417</v>
      </c>
      <c r="P280" s="139" t="s">
        <v>1327</v>
      </c>
    </row>
    <row r="281" spans="1:16">
      <c r="A281" s="104">
        <v>17</v>
      </c>
      <c r="B281" s="131">
        <v>46054</v>
      </c>
      <c r="C281" s="141">
        <v>4008</v>
      </c>
      <c r="D281" s="140" t="str">
        <f>IF(ISERROR(VLOOKUP(C281,'[1]خريطة الحسابات'!_xlnm.Print_Area,3,FALSE))," ",(VLOOKUP(C281,'[1]خريطة الحسابات'!_xlnm.Print_Area,3,FALSE)))</f>
        <v>حامد النقاش</v>
      </c>
      <c r="E281" s="132"/>
      <c r="F281" s="133">
        <v>5005</v>
      </c>
      <c r="G281" s="133"/>
      <c r="H281" s="134">
        <f t="shared" si="12"/>
        <v>5005</v>
      </c>
      <c r="I281" s="134">
        <f t="shared" si="12"/>
        <v>0</v>
      </c>
      <c r="J281" s="134">
        <f t="shared" si="13"/>
        <v>5005</v>
      </c>
      <c r="K281" s="135"/>
      <c r="L281" s="136" t="str">
        <f t="shared" si="11"/>
        <v>مدين</v>
      </c>
      <c r="M281" s="137" t="str">
        <f>IF(ISERROR(VLOOKUP(C281,'[1]خريطة الحسابات'!_xlnm.Print_Area,4,FALSE))," ",(VLOOKUP(C281,'[1]خريطة الحسابات'!_xlnm.Print_Area,4,FALSE)))</f>
        <v xml:space="preserve">مقاولين </v>
      </c>
      <c r="N281" s="138" t="str">
        <f>IF(ISERROR(VLOOKUP(C281,'[1]خريطة الحسابات'!_xlnm.Print_Area,5,FALSE))," ",(VLOOKUP(C281,'[1]خريطة الحسابات'!_xlnm.Print_Area,5,FALSE)))</f>
        <v xml:space="preserve">الدائنون والأرصدة الدائنة الأخرى </v>
      </c>
      <c r="O281" s="139" t="s">
        <v>1418</v>
      </c>
      <c r="P281" s="139" t="s">
        <v>1299</v>
      </c>
    </row>
    <row r="282" spans="1:16">
      <c r="A282" s="104">
        <v>17</v>
      </c>
      <c r="B282" s="131">
        <v>46058</v>
      </c>
      <c r="C282" s="141">
        <v>4008</v>
      </c>
      <c r="D282" s="140" t="str">
        <f>IF(ISERROR(VLOOKUP(C282,'[1]خريطة الحسابات'!_xlnm.Print_Area,3,FALSE))," ",(VLOOKUP(C282,'[1]خريطة الحسابات'!_xlnm.Print_Area,3,FALSE)))</f>
        <v>حامد النقاش</v>
      </c>
      <c r="E282" s="132"/>
      <c r="F282" s="133">
        <v>10010</v>
      </c>
      <c r="G282" s="133"/>
      <c r="H282" s="134">
        <f t="shared" si="12"/>
        <v>10010</v>
      </c>
      <c r="I282" s="134">
        <f t="shared" si="12"/>
        <v>0</v>
      </c>
      <c r="J282" s="134">
        <f t="shared" si="13"/>
        <v>10010</v>
      </c>
      <c r="K282" s="135"/>
      <c r="L282" s="136" t="str">
        <f t="shared" ref="L282:L345" si="14">IF(J282&lt;0,"دائن",IF(J282&gt;0,"مدين",""))</f>
        <v>مدين</v>
      </c>
      <c r="M282" s="137" t="str">
        <f>IF(ISERROR(VLOOKUP(C282,'[1]خريطة الحسابات'!_xlnm.Print_Area,4,FALSE))," ",(VLOOKUP(C282,'[1]خريطة الحسابات'!_xlnm.Print_Area,4,FALSE)))</f>
        <v xml:space="preserve">مقاولين </v>
      </c>
      <c r="N282" s="138" t="str">
        <f>IF(ISERROR(VLOOKUP(C282,'[1]خريطة الحسابات'!_xlnm.Print_Area,5,FALSE))," ",(VLOOKUP(C282,'[1]خريطة الحسابات'!_xlnm.Print_Area,5,FALSE)))</f>
        <v xml:space="preserve">الدائنون والأرصدة الدائنة الأخرى </v>
      </c>
      <c r="O282" s="139" t="s">
        <v>1419</v>
      </c>
      <c r="P282" s="139" t="s">
        <v>1299</v>
      </c>
    </row>
    <row r="283" spans="1:16">
      <c r="A283" s="104">
        <v>17</v>
      </c>
      <c r="B283" s="131">
        <v>46065</v>
      </c>
      <c r="C283" s="141">
        <v>4008</v>
      </c>
      <c r="D283" s="140" t="str">
        <f>IF(ISERROR(VLOOKUP(C283,'[1]خريطة الحسابات'!_xlnm.Print_Area,3,FALSE))," ",(VLOOKUP(C283,'[1]خريطة الحسابات'!_xlnm.Print_Area,3,FALSE)))</f>
        <v>حامد النقاش</v>
      </c>
      <c r="E283" s="132"/>
      <c r="F283" s="133">
        <v>7007</v>
      </c>
      <c r="G283" s="133"/>
      <c r="H283" s="134">
        <f t="shared" si="12"/>
        <v>7007</v>
      </c>
      <c r="I283" s="134">
        <f t="shared" si="12"/>
        <v>0</v>
      </c>
      <c r="J283" s="134">
        <f t="shared" si="13"/>
        <v>7007</v>
      </c>
      <c r="K283" s="135"/>
      <c r="L283" s="136" t="str">
        <f t="shared" si="14"/>
        <v>مدين</v>
      </c>
      <c r="M283" s="137" t="str">
        <f>IF(ISERROR(VLOOKUP(C283,'[1]خريطة الحسابات'!_xlnm.Print_Area,4,FALSE))," ",(VLOOKUP(C283,'[1]خريطة الحسابات'!_xlnm.Print_Area,4,FALSE)))</f>
        <v xml:space="preserve">مقاولين </v>
      </c>
      <c r="N283" s="138" t="str">
        <f>IF(ISERROR(VLOOKUP(C283,'[1]خريطة الحسابات'!_xlnm.Print_Area,5,FALSE))," ",(VLOOKUP(C283,'[1]خريطة الحسابات'!_xlnm.Print_Area,5,FALSE)))</f>
        <v xml:space="preserve">الدائنون والأرصدة الدائنة الأخرى </v>
      </c>
      <c r="O283" s="139" t="s">
        <v>1420</v>
      </c>
      <c r="P283" s="139" t="s">
        <v>1325</v>
      </c>
    </row>
    <row r="284" spans="1:16">
      <c r="A284" s="104">
        <v>17</v>
      </c>
      <c r="B284" s="131">
        <v>46065</v>
      </c>
      <c r="C284" s="141">
        <v>4008</v>
      </c>
      <c r="D284" s="140" t="str">
        <f>IF(ISERROR(VLOOKUP(C284,'[1]خريطة الحسابات'!_xlnm.Print_Area,3,FALSE))," ",(VLOOKUP(C284,'[1]خريطة الحسابات'!_xlnm.Print_Area,3,FALSE)))</f>
        <v>حامد النقاش</v>
      </c>
      <c r="E284" s="132"/>
      <c r="F284" s="133">
        <v>13313</v>
      </c>
      <c r="G284" s="133"/>
      <c r="H284" s="134">
        <f t="shared" si="12"/>
        <v>13313</v>
      </c>
      <c r="I284" s="134">
        <f t="shared" si="12"/>
        <v>0</v>
      </c>
      <c r="J284" s="134">
        <f t="shared" si="13"/>
        <v>13313</v>
      </c>
      <c r="K284" s="135"/>
      <c r="L284" s="136" t="str">
        <f t="shared" si="14"/>
        <v>مدين</v>
      </c>
      <c r="M284" s="137" t="str">
        <f>IF(ISERROR(VLOOKUP(C284,'[1]خريطة الحسابات'!_xlnm.Print_Area,4,FALSE))," ",(VLOOKUP(C284,'[1]خريطة الحسابات'!_xlnm.Print_Area,4,FALSE)))</f>
        <v xml:space="preserve">مقاولين </v>
      </c>
      <c r="N284" s="138" t="str">
        <f>IF(ISERROR(VLOOKUP(C284,'[1]خريطة الحسابات'!_xlnm.Print_Area,5,FALSE))," ",(VLOOKUP(C284,'[1]خريطة الحسابات'!_xlnm.Print_Area,5,FALSE)))</f>
        <v xml:space="preserve">الدائنون والأرصدة الدائنة الأخرى </v>
      </c>
      <c r="O284" s="139" t="s">
        <v>1421</v>
      </c>
      <c r="P284" s="139" t="s">
        <v>1299</v>
      </c>
    </row>
    <row r="285" spans="1:16">
      <c r="A285" s="104">
        <v>17</v>
      </c>
      <c r="B285" s="131">
        <v>46071</v>
      </c>
      <c r="C285" s="141">
        <v>4008</v>
      </c>
      <c r="D285" s="140" t="str">
        <f>IF(ISERROR(VLOOKUP(C285,'[1]خريطة الحسابات'!_xlnm.Print_Area,3,FALSE))," ",(VLOOKUP(C285,'[1]خريطة الحسابات'!_xlnm.Print_Area,3,FALSE)))</f>
        <v>حامد النقاش</v>
      </c>
      <c r="E285" s="132"/>
      <c r="F285" s="133">
        <v>16016</v>
      </c>
      <c r="G285" s="133"/>
      <c r="H285" s="134">
        <f t="shared" si="12"/>
        <v>16016</v>
      </c>
      <c r="I285" s="134">
        <f t="shared" si="12"/>
        <v>0</v>
      </c>
      <c r="J285" s="134">
        <f t="shared" si="13"/>
        <v>16016</v>
      </c>
      <c r="K285" s="135"/>
      <c r="L285" s="136" t="str">
        <f t="shared" si="14"/>
        <v>مدين</v>
      </c>
      <c r="M285" s="137" t="str">
        <f>IF(ISERROR(VLOOKUP(C285,'[1]خريطة الحسابات'!_xlnm.Print_Area,4,FALSE))," ",(VLOOKUP(C285,'[1]خريطة الحسابات'!_xlnm.Print_Area,4,FALSE)))</f>
        <v xml:space="preserve">مقاولين </v>
      </c>
      <c r="N285" s="138" t="str">
        <f>IF(ISERROR(VLOOKUP(C285,'[1]خريطة الحسابات'!_xlnm.Print_Area,5,FALSE))," ",(VLOOKUP(C285,'[1]خريطة الحسابات'!_xlnm.Print_Area,5,FALSE)))</f>
        <v xml:space="preserve">الدائنون والأرصدة الدائنة الأخرى </v>
      </c>
      <c r="O285" s="139" t="s">
        <v>1422</v>
      </c>
      <c r="P285" s="139" t="s">
        <v>1325</v>
      </c>
    </row>
    <row r="286" spans="1:16">
      <c r="A286" s="104">
        <v>17</v>
      </c>
      <c r="B286" s="131">
        <v>46086</v>
      </c>
      <c r="C286" s="141">
        <v>4008</v>
      </c>
      <c r="D286" s="140" t="str">
        <f>IF(ISERROR(VLOOKUP(C286,'[1]خريطة الحسابات'!_xlnm.Print_Area,3,FALSE))," ",(VLOOKUP(C286,'[1]خريطة الحسابات'!_xlnm.Print_Area,3,FALSE)))</f>
        <v>حامد النقاش</v>
      </c>
      <c r="E286" s="132"/>
      <c r="F286" s="133">
        <v>5565</v>
      </c>
      <c r="G286" s="133"/>
      <c r="H286" s="134">
        <f t="shared" si="12"/>
        <v>5565</v>
      </c>
      <c r="I286" s="134">
        <f t="shared" si="12"/>
        <v>0</v>
      </c>
      <c r="J286" s="134">
        <f t="shared" si="13"/>
        <v>5565</v>
      </c>
      <c r="K286" s="135"/>
      <c r="L286" s="136" t="str">
        <f t="shared" si="14"/>
        <v>مدين</v>
      </c>
      <c r="M286" s="137" t="str">
        <f>IF(ISERROR(VLOOKUP(C286,'[1]خريطة الحسابات'!_xlnm.Print_Area,4,FALSE))," ",(VLOOKUP(C286,'[1]خريطة الحسابات'!_xlnm.Print_Area,4,FALSE)))</f>
        <v xml:space="preserve">مقاولين </v>
      </c>
      <c r="N286" s="138" t="str">
        <f>IF(ISERROR(VLOOKUP(C286,'[1]خريطة الحسابات'!_xlnm.Print_Area,5,FALSE))," ",(VLOOKUP(C286,'[1]خريطة الحسابات'!_xlnm.Print_Area,5,FALSE)))</f>
        <v xml:space="preserve">الدائنون والأرصدة الدائنة الأخرى </v>
      </c>
      <c r="O286" s="139" t="s">
        <v>1423</v>
      </c>
      <c r="P286" s="139" t="s">
        <v>1327</v>
      </c>
    </row>
    <row r="287" spans="1:16">
      <c r="A287" s="104">
        <v>17</v>
      </c>
      <c r="B287" s="131">
        <v>46086</v>
      </c>
      <c r="C287" s="141">
        <v>4008</v>
      </c>
      <c r="D287" s="140" t="str">
        <f>IF(ISERROR(VLOOKUP(C287,'[1]خريطة الحسابات'!_xlnm.Print_Area,3,FALSE))," ",(VLOOKUP(C287,'[1]خريطة الحسابات'!_xlnm.Print_Area,3,FALSE)))</f>
        <v>حامد النقاش</v>
      </c>
      <c r="E287" s="132"/>
      <c r="F287" s="133">
        <v>8008</v>
      </c>
      <c r="G287" s="133"/>
      <c r="H287" s="134">
        <f t="shared" si="12"/>
        <v>8008</v>
      </c>
      <c r="I287" s="134">
        <f t="shared" si="12"/>
        <v>0</v>
      </c>
      <c r="J287" s="134">
        <f t="shared" si="13"/>
        <v>8008</v>
      </c>
      <c r="K287" s="135"/>
      <c r="L287" s="136" t="str">
        <f t="shared" si="14"/>
        <v>مدين</v>
      </c>
      <c r="M287" s="137" t="str">
        <f>IF(ISERROR(VLOOKUP(C287,'[1]خريطة الحسابات'!_xlnm.Print_Area,4,FALSE))," ",(VLOOKUP(C287,'[1]خريطة الحسابات'!_xlnm.Print_Area,4,FALSE)))</f>
        <v xml:space="preserve">مقاولين </v>
      </c>
      <c r="N287" s="138" t="str">
        <f>IF(ISERROR(VLOOKUP(C287,'[1]خريطة الحسابات'!_xlnm.Print_Area,5,FALSE))," ",(VLOOKUP(C287,'[1]خريطة الحسابات'!_xlnm.Print_Area,5,FALSE)))</f>
        <v xml:space="preserve">الدائنون والأرصدة الدائنة الأخرى </v>
      </c>
      <c r="O287" s="139" t="s">
        <v>1424</v>
      </c>
      <c r="P287" s="139" t="s">
        <v>1325</v>
      </c>
    </row>
    <row r="288" spans="1:16">
      <c r="A288" s="104">
        <v>17</v>
      </c>
      <c r="B288" s="131">
        <v>46093</v>
      </c>
      <c r="C288" s="141">
        <v>4008</v>
      </c>
      <c r="D288" s="140" t="str">
        <f>IF(ISERROR(VLOOKUP(C288,'[1]خريطة الحسابات'!_xlnm.Print_Area,3,FALSE))," ",(VLOOKUP(C288,'[1]خريطة الحسابات'!_xlnm.Print_Area,3,FALSE)))</f>
        <v>حامد النقاش</v>
      </c>
      <c r="E288" s="132"/>
      <c r="F288" s="133">
        <v>4505</v>
      </c>
      <c r="G288" s="133"/>
      <c r="H288" s="134">
        <f t="shared" si="12"/>
        <v>4505</v>
      </c>
      <c r="I288" s="134">
        <f t="shared" si="12"/>
        <v>0</v>
      </c>
      <c r="J288" s="134">
        <f t="shared" si="13"/>
        <v>4505</v>
      </c>
      <c r="K288" s="135"/>
      <c r="L288" s="136" t="str">
        <f t="shared" si="14"/>
        <v>مدين</v>
      </c>
      <c r="M288" s="137" t="str">
        <f>IF(ISERROR(VLOOKUP(C288,'[1]خريطة الحسابات'!_xlnm.Print_Area,4,FALSE))," ",(VLOOKUP(C288,'[1]خريطة الحسابات'!_xlnm.Print_Area,4,FALSE)))</f>
        <v xml:space="preserve">مقاولين </v>
      </c>
      <c r="N288" s="138" t="str">
        <f>IF(ISERROR(VLOOKUP(C288,'[1]خريطة الحسابات'!_xlnm.Print_Area,5,FALSE))," ",(VLOOKUP(C288,'[1]خريطة الحسابات'!_xlnm.Print_Area,5,FALSE)))</f>
        <v xml:space="preserve">الدائنون والأرصدة الدائنة الأخرى </v>
      </c>
      <c r="O288" s="139" t="s">
        <v>1425</v>
      </c>
      <c r="P288" s="139" t="s">
        <v>1327</v>
      </c>
    </row>
    <row r="289" spans="1:16">
      <c r="A289" s="104">
        <v>17</v>
      </c>
      <c r="B289" s="131">
        <v>46099</v>
      </c>
      <c r="C289" s="141">
        <v>4008</v>
      </c>
      <c r="D289" s="140" t="str">
        <f>IF(ISERROR(VLOOKUP(C289,'[1]خريطة الحسابات'!_xlnm.Print_Area,3,FALSE))," ",(VLOOKUP(C289,'[1]خريطة الحسابات'!_xlnm.Print_Area,3,FALSE)))</f>
        <v>حامد النقاش</v>
      </c>
      <c r="E289" s="132"/>
      <c r="F289" s="133">
        <v>1000</v>
      </c>
      <c r="G289" s="133"/>
      <c r="H289" s="134">
        <f t="shared" si="12"/>
        <v>1000</v>
      </c>
      <c r="I289" s="134">
        <f t="shared" si="12"/>
        <v>0</v>
      </c>
      <c r="J289" s="134">
        <f t="shared" si="13"/>
        <v>1000</v>
      </c>
      <c r="K289" s="135"/>
      <c r="L289" s="136" t="str">
        <f t="shared" si="14"/>
        <v>مدين</v>
      </c>
      <c r="M289" s="137" t="str">
        <f>IF(ISERROR(VLOOKUP(C289,'[1]خريطة الحسابات'!_xlnm.Print_Area,4,FALSE))," ",(VLOOKUP(C289,'[1]خريطة الحسابات'!_xlnm.Print_Area,4,FALSE)))</f>
        <v xml:space="preserve">مقاولين </v>
      </c>
      <c r="N289" s="138" t="str">
        <f>IF(ISERROR(VLOOKUP(C289,'[1]خريطة الحسابات'!_xlnm.Print_Area,5,FALSE))," ",(VLOOKUP(C289,'[1]خريطة الحسابات'!_xlnm.Print_Area,5,FALSE)))</f>
        <v xml:space="preserve">الدائنون والأرصدة الدائنة الأخرى </v>
      </c>
      <c r="O289" s="139" t="s">
        <v>1426</v>
      </c>
      <c r="P289" s="139" t="s">
        <v>1325</v>
      </c>
    </row>
    <row r="290" spans="1:16">
      <c r="A290" s="104">
        <v>17</v>
      </c>
      <c r="B290" s="131">
        <v>46099</v>
      </c>
      <c r="C290" s="141">
        <v>4008</v>
      </c>
      <c r="D290" s="140" t="str">
        <f>IF(ISERROR(VLOOKUP(C290,'[1]خريطة الحسابات'!_xlnm.Print_Area,3,FALSE))," ",(VLOOKUP(C290,'[1]خريطة الحسابات'!_xlnm.Print_Area,3,FALSE)))</f>
        <v>حامد النقاش</v>
      </c>
      <c r="E290" s="132"/>
      <c r="F290" s="133">
        <v>4005</v>
      </c>
      <c r="G290" s="133"/>
      <c r="H290" s="134">
        <f t="shared" si="12"/>
        <v>4005</v>
      </c>
      <c r="I290" s="134">
        <f t="shared" si="12"/>
        <v>0</v>
      </c>
      <c r="J290" s="134">
        <f t="shared" si="13"/>
        <v>4005</v>
      </c>
      <c r="K290" s="135"/>
      <c r="L290" s="136" t="str">
        <f t="shared" si="14"/>
        <v>مدين</v>
      </c>
      <c r="M290" s="137" t="str">
        <f>IF(ISERROR(VLOOKUP(C290,'[1]خريطة الحسابات'!_xlnm.Print_Area,4,FALSE))," ",(VLOOKUP(C290,'[1]خريطة الحسابات'!_xlnm.Print_Area,4,FALSE)))</f>
        <v xml:space="preserve">مقاولين </v>
      </c>
      <c r="N290" s="138" t="str">
        <f>IF(ISERROR(VLOOKUP(C290,'[1]خريطة الحسابات'!_xlnm.Print_Area,5,FALSE))," ",(VLOOKUP(C290,'[1]خريطة الحسابات'!_xlnm.Print_Area,5,FALSE)))</f>
        <v xml:space="preserve">الدائنون والأرصدة الدائنة الأخرى </v>
      </c>
      <c r="O290" s="139" t="s">
        <v>1427</v>
      </c>
      <c r="P290" s="139" t="s">
        <v>1327</v>
      </c>
    </row>
    <row r="291" spans="1:16">
      <c r="A291" s="104">
        <v>17</v>
      </c>
      <c r="B291" s="131">
        <v>46029</v>
      </c>
      <c r="C291" s="141">
        <v>20</v>
      </c>
      <c r="D291" s="140" t="str">
        <f>IF(ISERROR(VLOOKUP(C291,'[1]خريطة الحسابات'!_xlnm.Print_Area,3,FALSE))," ",(VLOOKUP(C291,'[1]خريطة الحسابات'!_xlnm.Print_Area,3,FALSE)))</f>
        <v xml:space="preserve">الخزينة </v>
      </c>
      <c r="E291" s="132"/>
      <c r="F291" s="133"/>
      <c r="G291" s="133">
        <v>8008</v>
      </c>
      <c r="H291" s="134">
        <f t="shared" si="12"/>
        <v>0</v>
      </c>
      <c r="I291" s="134">
        <f t="shared" si="12"/>
        <v>8008</v>
      </c>
      <c r="J291" s="134">
        <f t="shared" si="13"/>
        <v>-8008</v>
      </c>
      <c r="K291" s="135"/>
      <c r="L291" s="136" t="str">
        <f t="shared" si="14"/>
        <v>دائن</v>
      </c>
      <c r="M291" s="137" t="str">
        <f>IF(ISERROR(VLOOKUP(C291,'[1]خريطة الحسابات'!_xlnm.Print_Area,4,FALSE))," ",(VLOOKUP(C291,'[1]خريطة الحسابات'!_xlnm.Print_Area,4,FALSE)))</f>
        <v xml:space="preserve">أصول متداوله -النقدية ومافي حكمها </v>
      </c>
      <c r="N291" s="138" t="str">
        <f>IF(ISERROR(VLOOKUP(C291,'[1]خريطة الحسابات'!_xlnm.Print_Area,5,FALSE))," ",(VLOOKUP(C291,'[1]خريطة الحسابات'!_xlnm.Print_Area,5,FALSE)))</f>
        <v>الاصول</v>
      </c>
      <c r="O291" s="139" t="s">
        <v>1416</v>
      </c>
      <c r="P291" s="139" t="s">
        <v>1325</v>
      </c>
    </row>
    <row r="292" spans="1:16">
      <c r="A292" s="104">
        <v>17</v>
      </c>
      <c r="B292" s="131">
        <v>46036</v>
      </c>
      <c r="C292" s="141">
        <v>20</v>
      </c>
      <c r="D292" s="140" t="str">
        <f>IF(ISERROR(VLOOKUP(C292,'[1]خريطة الحسابات'!_xlnm.Print_Area,3,FALSE))," ",(VLOOKUP(C292,'[1]خريطة الحسابات'!_xlnm.Print_Area,3,FALSE)))</f>
        <v xml:space="preserve">الخزينة </v>
      </c>
      <c r="E292" s="132"/>
      <c r="F292" s="133"/>
      <c r="G292" s="133">
        <v>400</v>
      </c>
      <c r="H292" s="134">
        <f t="shared" si="12"/>
        <v>0</v>
      </c>
      <c r="I292" s="134">
        <f t="shared" si="12"/>
        <v>400</v>
      </c>
      <c r="J292" s="134">
        <f t="shared" si="13"/>
        <v>-400</v>
      </c>
      <c r="K292" s="135"/>
      <c r="L292" s="136" t="str">
        <f t="shared" si="14"/>
        <v>دائن</v>
      </c>
      <c r="M292" s="137" t="str">
        <f>IF(ISERROR(VLOOKUP(C292,'[1]خريطة الحسابات'!_xlnm.Print_Area,4,FALSE))," ",(VLOOKUP(C292,'[1]خريطة الحسابات'!_xlnm.Print_Area,4,FALSE)))</f>
        <v xml:space="preserve">أصول متداوله -النقدية ومافي حكمها </v>
      </c>
      <c r="N292" s="138" t="str">
        <f>IF(ISERROR(VLOOKUP(C292,'[1]خريطة الحسابات'!_xlnm.Print_Area,5,FALSE))," ",(VLOOKUP(C292,'[1]خريطة الحسابات'!_xlnm.Print_Area,5,FALSE)))</f>
        <v>الاصول</v>
      </c>
      <c r="O292" s="139" t="s">
        <v>1417</v>
      </c>
      <c r="P292" s="139" t="s">
        <v>1327</v>
      </c>
    </row>
    <row r="293" spans="1:16">
      <c r="A293" s="104">
        <v>17</v>
      </c>
      <c r="B293" s="131">
        <v>46054</v>
      </c>
      <c r="C293" s="141">
        <v>20</v>
      </c>
      <c r="D293" s="140" t="str">
        <f>IF(ISERROR(VLOOKUP(C293,'[1]خريطة الحسابات'!_xlnm.Print_Area,3,FALSE))," ",(VLOOKUP(C293,'[1]خريطة الحسابات'!_xlnm.Print_Area,3,FALSE)))</f>
        <v xml:space="preserve">الخزينة </v>
      </c>
      <c r="E293" s="132"/>
      <c r="F293" s="133"/>
      <c r="G293" s="133">
        <v>5005</v>
      </c>
      <c r="H293" s="134">
        <f t="shared" si="12"/>
        <v>0</v>
      </c>
      <c r="I293" s="134">
        <f t="shared" si="12"/>
        <v>5005</v>
      </c>
      <c r="J293" s="134">
        <f t="shared" si="13"/>
        <v>-5005</v>
      </c>
      <c r="K293" s="135"/>
      <c r="L293" s="136" t="str">
        <f t="shared" si="14"/>
        <v>دائن</v>
      </c>
      <c r="M293" s="137" t="str">
        <f>IF(ISERROR(VLOOKUP(C293,'[1]خريطة الحسابات'!_xlnm.Print_Area,4,FALSE))," ",(VLOOKUP(C293,'[1]خريطة الحسابات'!_xlnm.Print_Area,4,FALSE)))</f>
        <v xml:space="preserve">أصول متداوله -النقدية ومافي حكمها </v>
      </c>
      <c r="N293" s="138" t="str">
        <f>IF(ISERROR(VLOOKUP(C293,'[1]خريطة الحسابات'!_xlnm.Print_Area,5,FALSE))," ",(VLOOKUP(C293,'[1]خريطة الحسابات'!_xlnm.Print_Area,5,FALSE)))</f>
        <v>الاصول</v>
      </c>
      <c r="O293" s="139" t="s">
        <v>1418</v>
      </c>
      <c r="P293" s="139" t="s">
        <v>1299</v>
      </c>
    </row>
    <row r="294" spans="1:16">
      <c r="A294" s="104">
        <v>17</v>
      </c>
      <c r="B294" s="131">
        <v>46058</v>
      </c>
      <c r="C294" s="141">
        <v>20</v>
      </c>
      <c r="D294" s="140" t="str">
        <f>IF(ISERROR(VLOOKUP(C294,'[1]خريطة الحسابات'!_xlnm.Print_Area,3,FALSE))," ",(VLOOKUP(C294,'[1]خريطة الحسابات'!_xlnm.Print_Area,3,FALSE)))</f>
        <v xml:space="preserve">الخزينة </v>
      </c>
      <c r="E294" s="132"/>
      <c r="F294" s="133"/>
      <c r="G294" s="133">
        <v>10010</v>
      </c>
      <c r="H294" s="134">
        <f t="shared" si="12"/>
        <v>0</v>
      </c>
      <c r="I294" s="134">
        <f t="shared" si="12"/>
        <v>10010</v>
      </c>
      <c r="J294" s="134">
        <f t="shared" si="13"/>
        <v>-10010</v>
      </c>
      <c r="K294" s="135"/>
      <c r="L294" s="136" t="str">
        <f t="shared" si="14"/>
        <v>دائن</v>
      </c>
      <c r="M294" s="137" t="str">
        <f>IF(ISERROR(VLOOKUP(C294,'[1]خريطة الحسابات'!_xlnm.Print_Area,4,FALSE))," ",(VLOOKUP(C294,'[1]خريطة الحسابات'!_xlnm.Print_Area,4,FALSE)))</f>
        <v xml:space="preserve">أصول متداوله -النقدية ومافي حكمها </v>
      </c>
      <c r="N294" s="138" t="str">
        <f>IF(ISERROR(VLOOKUP(C294,'[1]خريطة الحسابات'!_xlnm.Print_Area,5,FALSE))," ",(VLOOKUP(C294,'[1]خريطة الحسابات'!_xlnm.Print_Area,5,FALSE)))</f>
        <v>الاصول</v>
      </c>
      <c r="O294" s="139" t="s">
        <v>1419</v>
      </c>
      <c r="P294" s="139" t="s">
        <v>1299</v>
      </c>
    </row>
    <row r="295" spans="1:16">
      <c r="A295" s="104">
        <v>17</v>
      </c>
      <c r="B295" s="131">
        <v>46065</v>
      </c>
      <c r="C295" s="141">
        <v>20</v>
      </c>
      <c r="D295" s="140" t="str">
        <f>IF(ISERROR(VLOOKUP(C295,'[1]خريطة الحسابات'!_xlnm.Print_Area,3,FALSE))," ",(VLOOKUP(C295,'[1]خريطة الحسابات'!_xlnm.Print_Area,3,FALSE)))</f>
        <v xml:space="preserve">الخزينة </v>
      </c>
      <c r="E295" s="132"/>
      <c r="F295" s="133"/>
      <c r="G295" s="133">
        <v>7007</v>
      </c>
      <c r="H295" s="134">
        <f t="shared" si="12"/>
        <v>0</v>
      </c>
      <c r="I295" s="134">
        <f t="shared" si="12"/>
        <v>7007</v>
      </c>
      <c r="J295" s="134">
        <f t="shared" si="13"/>
        <v>-7007</v>
      </c>
      <c r="K295" s="135"/>
      <c r="L295" s="136" t="str">
        <f t="shared" si="14"/>
        <v>دائن</v>
      </c>
      <c r="M295" s="137" t="str">
        <f>IF(ISERROR(VLOOKUP(C295,'[1]خريطة الحسابات'!_xlnm.Print_Area,4,FALSE))," ",(VLOOKUP(C295,'[1]خريطة الحسابات'!_xlnm.Print_Area,4,FALSE)))</f>
        <v xml:space="preserve">أصول متداوله -النقدية ومافي حكمها </v>
      </c>
      <c r="N295" s="138" t="str">
        <f>IF(ISERROR(VLOOKUP(C295,'[1]خريطة الحسابات'!_xlnm.Print_Area,5,FALSE))," ",(VLOOKUP(C295,'[1]خريطة الحسابات'!_xlnm.Print_Area,5,FALSE)))</f>
        <v>الاصول</v>
      </c>
      <c r="O295" s="139" t="s">
        <v>1420</v>
      </c>
      <c r="P295" s="139" t="s">
        <v>1325</v>
      </c>
    </row>
    <row r="296" spans="1:16">
      <c r="A296" s="104">
        <v>17</v>
      </c>
      <c r="B296" s="131">
        <v>46065</v>
      </c>
      <c r="C296" s="141">
        <v>20</v>
      </c>
      <c r="D296" s="140" t="str">
        <f>IF(ISERROR(VLOOKUP(C296,'[1]خريطة الحسابات'!_xlnm.Print_Area,3,FALSE))," ",(VLOOKUP(C296,'[1]خريطة الحسابات'!_xlnm.Print_Area,3,FALSE)))</f>
        <v xml:space="preserve">الخزينة </v>
      </c>
      <c r="E296" s="132"/>
      <c r="F296" s="133"/>
      <c r="G296" s="133">
        <v>13313</v>
      </c>
      <c r="H296" s="134">
        <f t="shared" si="12"/>
        <v>0</v>
      </c>
      <c r="I296" s="134">
        <f t="shared" si="12"/>
        <v>13313</v>
      </c>
      <c r="J296" s="134">
        <f t="shared" si="13"/>
        <v>-13313</v>
      </c>
      <c r="K296" s="135"/>
      <c r="L296" s="136" t="str">
        <f t="shared" si="14"/>
        <v>دائن</v>
      </c>
      <c r="M296" s="137" t="str">
        <f>IF(ISERROR(VLOOKUP(C296,'[1]خريطة الحسابات'!_xlnm.Print_Area,4,FALSE))," ",(VLOOKUP(C296,'[1]خريطة الحسابات'!_xlnm.Print_Area,4,FALSE)))</f>
        <v xml:space="preserve">أصول متداوله -النقدية ومافي حكمها </v>
      </c>
      <c r="N296" s="138" t="str">
        <f>IF(ISERROR(VLOOKUP(C296,'[1]خريطة الحسابات'!_xlnm.Print_Area,5,FALSE))," ",(VLOOKUP(C296,'[1]خريطة الحسابات'!_xlnm.Print_Area,5,FALSE)))</f>
        <v>الاصول</v>
      </c>
      <c r="O296" s="139" t="s">
        <v>1421</v>
      </c>
      <c r="P296" s="139" t="s">
        <v>1299</v>
      </c>
    </row>
    <row r="297" spans="1:16">
      <c r="A297" s="104">
        <v>17</v>
      </c>
      <c r="B297" s="131">
        <v>46071</v>
      </c>
      <c r="C297" s="141">
        <v>20</v>
      </c>
      <c r="D297" s="140" t="str">
        <f>IF(ISERROR(VLOOKUP(C297,'[1]خريطة الحسابات'!_xlnm.Print_Area,3,FALSE))," ",(VLOOKUP(C297,'[1]خريطة الحسابات'!_xlnm.Print_Area,3,FALSE)))</f>
        <v xml:space="preserve">الخزينة </v>
      </c>
      <c r="E297" s="132"/>
      <c r="F297" s="133"/>
      <c r="G297" s="133">
        <v>16016</v>
      </c>
      <c r="H297" s="134">
        <f t="shared" si="12"/>
        <v>0</v>
      </c>
      <c r="I297" s="134">
        <f t="shared" si="12"/>
        <v>16016</v>
      </c>
      <c r="J297" s="134">
        <f t="shared" si="13"/>
        <v>-16016</v>
      </c>
      <c r="K297" s="135"/>
      <c r="L297" s="136" t="str">
        <f t="shared" si="14"/>
        <v>دائن</v>
      </c>
      <c r="M297" s="137" t="str">
        <f>IF(ISERROR(VLOOKUP(C297,'[1]خريطة الحسابات'!_xlnm.Print_Area,4,FALSE))," ",(VLOOKUP(C297,'[1]خريطة الحسابات'!_xlnm.Print_Area,4,FALSE)))</f>
        <v xml:space="preserve">أصول متداوله -النقدية ومافي حكمها </v>
      </c>
      <c r="N297" s="138" t="str">
        <f>IF(ISERROR(VLOOKUP(C297,'[1]خريطة الحسابات'!_xlnm.Print_Area,5,FALSE))," ",(VLOOKUP(C297,'[1]خريطة الحسابات'!_xlnm.Print_Area,5,FALSE)))</f>
        <v>الاصول</v>
      </c>
      <c r="O297" s="139" t="s">
        <v>1422</v>
      </c>
      <c r="P297" s="139" t="s">
        <v>1325</v>
      </c>
    </row>
    <row r="298" spans="1:16">
      <c r="A298" s="104">
        <v>17</v>
      </c>
      <c r="B298" s="131">
        <v>46086</v>
      </c>
      <c r="C298" s="141">
        <v>20</v>
      </c>
      <c r="D298" s="140" t="str">
        <f>IF(ISERROR(VLOOKUP(C298,'[1]خريطة الحسابات'!_xlnm.Print_Area,3,FALSE))," ",(VLOOKUP(C298,'[1]خريطة الحسابات'!_xlnm.Print_Area,3,FALSE)))</f>
        <v xml:space="preserve">الخزينة </v>
      </c>
      <c r="E298" s="132"/>
      <c r="F298" s="133"/>
      <c r="G298" s="133">
        <v>5565</v>
      </c>
      <c r="H298" s="134">
        <f t="shared" si="12"/>
        <v>0</v>
      </c>
      <c r="I298" s="134">
        <f t="shared" si="12"/>
        <v>5565</v>
      </c>
      <c r="J298" s="134">
        <f t="shared" si="13"/>
        <v>-5565</v>
      </c>
      <c r="K298" s="135"/>
      <c r="L298" s="136" t="str">
        <f t="shared" si="14"/>
        <v>دائن</v>
      </c>
      <c r="M298" s="137" t="str">
        <f>IF(ISERROR(VLOOKUP(C298,'[1]خريطة الحسابات'!_xlnm.Print_Area,4,FALSE))," ",(VLOOKUP(C298,'[1]خريطة الحسابات'!_xlnm.Print_Area,4,FALSE)))</f>
        <v xml:space="preserve">أصول متداوله -النقدية ومافي حكمها </v>
      </c>
      <c r="N298" s="138" t="str">
        <f>IF(ISERROR(VLOOKUP(C298,'[1]خريطة الحسابات'!_xlnm.Print_Area,5,FALSE))," ",(VLOOKUP(C298,'[1]خريطة الحسابات'!_xlnm.Print_Area,5,FALSE)))</f>
        <v>الاصول</v>
      </c>
      <c r="O298" s="139" t="s">
        <v>1423</v>
      </c>
      <c r="P298" s="139" t="s">
        <v>1327</v>
      </c>
    </row>
    <row r="299" spans="1:16">
      <c r="A299" s="104">
        <v>17</v>
      </c>
      <c r="B299" s="131">
        <v>46086</v>
      </c>
      <c r="C299" s="141">
        <v>20</v>
      </c>
      <c r="D299" s="140" t="str">
        <f>IF(ISERROR(VLOOKUP(C299,'[1]خريطة الحسابات'!_xlnm.Print_Area,3,FALSE))," ",(VLOOKUP(C299,'[1]خريطة الحسابات'!_xlnm.Print_Area,3,FALSE)))</f>
        <v xml:space="preserve">الخزينة </v>
      </c>
      <c r="E299" s="132"/>
      <c r="F299" s="133"/>
      <c r="G299" s="133">
        <v>8008</v>
      </c>
      <c r="H299" s="134">
        <f t="shared" si="12"/>
        <v>0</v>
      </c>
      <c r="I299" s="134">
        <f t="shared" si="12"/>
        <v>8008</v>
      </c>
      <c r="J299" s="134">
        <f t="shared" si="13"/>
        <v>-8008</v>
      </c>
      <c r="K299" s="135"/>
      <c r="L299" s="136" t="str">
        <f t="shared" si="14"/>
        <v>دائن</v>
      </c>
      <c r="M299" s="137" t="str">
        <f>IF(ISERROR(VLOOKUP(C299,'[1]خريطة الحسابات'!_xlnm.Print_Area,4,FALSE))," ",(VLOOKUP(C299,'[1]خريطة الحسابات'!_xlnm.Print_Area,4,FALSE)))</f>
        <v xml:space="preserve">أصول متداوله -النقدية ومافي حكمها </v>
      </c>
      <c r="N299" s="138" t="str">
        <f>IF(ISERROR(VLOOKUP(C299,'[1]خريطة الحسابات'!_xlnm.Print_Area,5,FALSE))," ",(VLOOKUP(C299,'[1]خريطة الحسابات'!_xlnm.Print_Area,5,FALSE)))</f>
        <v>الاصول</v>
      </c>
      <c r="O299" s="139" t="s">
        <v>1424</v>
      </c>
      <c r="P299" s="139" t="s">
        <v>1325</v>
      </c>
    </row>
    <row r="300" spans="1:16">
      <c r="A300" s="104">
        <v>17</v>
      </c>
      <c r="B300" s="131">
        <v>46093</v>
      </c>
      <c r="C300" s="141">
        <v>20</v>
      </c>
      <c r="D300" s="140" t="str">
        <f>IF(ISERROR(VLOOKUP(C300,'[1]خريطة الحسابات'!_xlnm.Print_Area,3,FALSE))," ",(VLOOKUP(C300,'[1]خريطة الحسابات'!_xlnm.Print_Area,3,FALSE)))</f>
        <v xml:space="preserve">الخزينة </v>
      </c>
      <c r="E300" s="132"/>
      <c r="F300" s="133"/>
      <c r="G300" s="133">
        <v>4505</v>
      </c>
      <c r="H300" s="134">
        <f t="shared" si="12"/>
        <v>0</v>
      </c>
      <c r="I300" s="134">
        <f t="shared" si="12"/>
        <v>4505</v>
      </c>
      <c r="J300" s="134">
        <f t="shared" si="13"/>
        <v>-4505</v>
      </c>
      <c r="K300" s="135"/>
      <c r="L300" s="136" t="str">
        <f t="shared" si="14"/>
        <v>دائن</v>
      </c>
      <c r="M300" s="137" t="str">
        <f>IF(ISERROR(VLOOKUP(C300,'[1]خريطة الحسابات'!_xlnm.Print_Area,4,FALSE))," ",(VLOOKUP(C300,'[1]خريطة الحسابات'!_xlnm.Print_Area,4,FALSE)))</f>
        <v xml:space="preserve">أصول متداوله -النقدية ومافي حكمها </v>
      </c>
      <c r="N300" s="138" t="str">
        <f>IF(ISERROR(VLOOKUP(C300,'[1]خريطة الحسابات'!_xlnm.Print_Area,5,FALSE))," ",(VLOOKUP(C300,'[1]خريطة الحسابات'!_xlnm.Print_Area,5,FALSE)))</f>
        <v>الاصول</v>
      </c>
      <c r="O300" s="139" t="s">
        <v>1425</v>
      </c>
      <c r="P300" s="139" t="s">
        <v>1327</v>
      </c>
    </row>
    <row r="301" spans="1:16">
      <c r="A301" s="104">
        <v>17</v>
      </c>
      <c r="B301" s="131">
        <v>46099</v>
      </c>
      <c r="C301" s="141">
        <v>20</v>
      </c>
      <c r="D301" s="140" t="str">
        <f>IF(ISERROR(VLOOKUP(C301,'[1]خريطة الحسابات'!_xlnm.Print_Area,3,FALSE))," ",(VLOOKUP(C301,'[1]خريطة الحسابات'!_xlnm.Print_Area,3,FALSE)))</f>
        <v xml:space="preserve">الخزينة </v>
      </c>
      <c r="E301" s="132"/>
      <c r="F301" s="133"/>
      <c r="G301" s="133">
        <v>1000</v>
      </c>
      <c r="H301" s="134">
        <f t="shared" si="12"/>
        <v>0</v>
      </c>
      <c r="I301" s="134">
        <f t="shared" si="12"/>
        <v>1000</v>
      </c>
      <c r="J301" s="134">
        <f t="shared" si="13"/>
        <v>-1000</v>
      </c>
      <c r="K301" s="135"/>
      <c r="L301" s="136" t="str">
        <f t="shared" si="14"/>
        <v>دائن</v>
      </c>
      <c r="M301" s="137" t="str">
        <f>IF(ISERROR(VLOOKUP(C301,'[1]خريطة الحسابات'!_xlnm.Print_Area,4,FALSE))," ",(VLOOKUP(C301,'[1]خريطة الحسابات'!_xlnm.Print_Area,4,FALSE)))</f>
        <v xml:space="preserve">أصول متداوله -النقدية ومافي حكمها </v>
      </c>
      <c r="N301" s="138" t="str">
        <f>IF(ISERROR(VLOOKUP(C301,'[1]خريطة الحسابات'!_xlnm.Print_Area,5,FALSE))," ",(VLOOKUP(C301,'[1]خريطة الحسابات'!_xlnm.Print_Area,5,FALSE)))</f>
        <v>الاصول</v>
      </c>
      <c r="O301" s="139" t="s">
        <v>1426</v>
      </c>
      <c r="P301" s="139" t="s">
        <v>1325</v>
      </c>
    </row>
    <row r="302" spans="1:16">
      <c r="A302" s="104">
        <v>17</v>
      </c>
      <c r="B302" s="131">
        <v>46099</v>
      </c>
      <c r="C302" s="141">
        <v>20</v>
      </c>
      <c r="D302" s="140" t="str">
        <f>IF(ISERROR(VLOOKUP(C302,'[1]خريطة الحسابات'!_xlnm.Print_Area,3,FALSE))," ",(VLOOKUP(C302,'[1]خريطة الحسابات'!_xlnm.Print_Area,3,FALSE)))</f>
        <v xml:space="preserve">الخزينة </v>
      </c>
      <c r="E302" s="132"/>
      <c r="F302" s="133"/>
      <c r="G302" s="133">
        <v>4005</v>
      </c>
      <c r="H302" s="134">
        <f t="shared" si="12"/>
        <v>0</v>
      </c>
      <c r="I302" s="134">
        <f t="shared" si="12"/>
        <v>4005</v>
      </c>
      <c r="J302" s="134">
        <f t="shared" si="13"/>
        <v>-4005</v>
      </c>
      <c r="K302" s="135"/>
      <c r="L302" s="136" t="str">
        <f t="shared" si="14"/>
        <v>دائن</v>
      </c>
      <c r="M302" s="137" t="str">
        <f>IF(ISERROR(VLOOKUP(C302,'[1]خريطة الحسابات'!_xlnm.Print_Area,4,FALSE))," ",(VLOOKUP(C302,'[1]خريطة الحسابات'!_xlnm.Print_Area,4,FALSE)))</f>
        <v xml:space="preserve">أصول متداوله -النقدية ومافي حكمها </v>
      </c>
      <c r="N302" s="138" t="str">
        <f>IF(ISERROR(VLOOKUP(C302,'[1]خريطة الحسابات'!_xlnm.Print_Area,5,FALSE))," ",(VLOOKUP(C302,'[1]خريطة الحسابات'!_xlnm.Print_Area,5,FALSE)))</f>
        <v>الاصول</v>
      </c>
      <c r="O302" s="139" t="s">
        <v>1427</v>
      </c>
      <c r="P302" s="139" t="s">
        <v>1327</v>
      </c>
    </row>
    <row r="303" spans="1:16">
      <c r="A303" s="104">
        <v>18</v>
      </c>
      <c r="B303" s="131">
        <v>46163</v>
      </c>
      <c r="C303" s="141">
        <v>4039</v>
      </c>
      <c r="D303" s="140" t="str">
        <f>IF(ISERROR(VLOOKUP(C303,'[1]خريطة الحسابات'!_xlnm.Print_Area,3,FALSE))," ",(VLOOKUP(C303,'[1]خريطة الحسابات'!_xlnm.Print_Area,3,FALSE)))</f>
        <v>سباك القرنفل</v>
      </c>
      <c r="E303" s="132"/>
      <c r="F303" s="133">
        <v>9150</v>
      </c>
      <c r="G303" s="133"/>
      <c r="H303" s="134">
        <f t="shared" si="12"/>
        <v>9150</v>
      </c>
      <c r="I303" s="134">
        <f t="shared" si="12"/>
        <v>0</v>
      </c>
      <c r="J303" s="134">
        <f t="shared" si="13"/>
        <v>9150</v>
      </c>
      <c r="K303" s="135"/>
      <c r="L303" s="136" t="str">
        <f t="shared" si="14"/>
        <v>مدين</v>
      </c>
      <c r="M303" s="137" t="str">
        <f>IF(ISERROR(VLOOKUP(C303,'[1]خريطة الحسابات'!_xlnm.Print_Area,4,FALSE))," ",(VLOOKUP(C303,'[1]خريطة الحسابات'!_xlnm.Print_Area,4,FALSE)))</f>
        <v xml:space="preserve">مقاولين </v>
      </c>
      <c r="N303" s="138" t="str">
        <f>IF(ISERROR(VLOOKUP(C303,'[1]خريطة الحسابات'!_xlnm.Print_Area,5,FALSE))," ",(VLOOKUP(C303,'[1]خريطة الحسابات'!_xlnm.Print_Area,5,FALSE)))</f>
        <v xml:space="preserve">الدائنون والأرصدة الدائنة الأخرى </v>
      </c>
      <c r="O303" s="139" t="s">
        <v>1428</v>
      </c>
      <c r="P303" s="139" t="s">
        <v>1393</v>
      </c>
    </row>
    <row r="304" spans="1:16">
      <c r="A304" s="104">
        <v>18</v>
      </c>
      <c r="B304" s="131">
        <v>46174</v>
      </c>
      <c r="C304" s="141">
        <v>4039</v>
      </c>
      <c r="D304" s="140" t="str">
        <f>IF(ISERROR(VLOOKUP(C304,'[1]خريطة الحسابات'!_xlnm.Print_Area,3,FALSE))," ",(VLOOKUP(C304,'[1]خريطة الحسابات'!_xlnm.Print_Area,3,FALSE)))</f>
        <v>سباك القرنفل</v>
      </c>
      <c r="E304" s="132"/>
      <c r="F304" s="133">
        <v>7007</v>
      </c>
      <c r="G304" s="133"/>
      <c r="H304" s="134">
        <f t="shared" si="12"/>
        <v>7007</v>
      </c>
      <c r="I304" s="134">
        <f t="shared" si="12"/>
        <v>0</v>
      </c>
      <c r="J304" s="134">
        <f t="shared" si="13"/>
        <v>7007</v>
      </c>
      <c r="K304" s="135"/>
      <c r="L304" s="136" t="str">
        <f t="shared" si="14"/>
        <v>مدين</v>
      </c>
      <c r="M304" s="137" t="str">
        <f>IF(ISERROR(VLOOKUP(C304,'[1]خريطة الحسابات'!_xlnm.Print_Area,4,FALSE))," ",(VLOOKUP(C304,'[1]خريطة الحسابات'!_xlnm.Print_Area,4,FALSE)))</f>
        <v xml:space="preserve">مقاولين </v>
      </c>
      <c r="N304" s="138" t="str">
        <f>IF(ISERROR(VLOOKUP(C304,'[1]خريطة الحسابات'!_xlnm.Print_Area,5,FALSE))," ",(VLOOKUP(C304,'[1]خريطة الحسابات'!_xlnm.Print_Area,5,FALSE)))</f>
        <v xml:space="preserve">الدائنون والأرصدة الدائنة الأخرى </v>
      </c>
      <c r="O304" s="139" t="s">
        <v>1429</v>
      </c>
      <c r="P304" s="139" t="s">
        <v>1393</v>
      </c>
    </row>
    <row r="305" spans="1:16">
      <c r="A305" s="104">
        <v>18</v>
      </c>
      <c r="B305" s="131">
        <v>46184</v>
      </c>
      <c r="C305" s="141">
        <v>4039</v>
      </c>
      <c r="D305" s="140" t="str">
        <f>IF(ISERROR(VLOOKUP(C305,'[1]خريطة الحسابات'!_xlnm.Print_Area,3,FALSE))," ",(VLOOKUP(C305,'[1]خريطة الحسابات'!_xlnm.Print_Area,3,FALSE)))</f>
        <v>سباك القرنفل</v>
      </c>
      <c r="E305" s="132"/>
      <c r="F305" s="133">
        <v>8500</v>
      </c>
      <c r="G305" s="133"/>
      <c r="H305" s="134">
        <f t="shared" si="12"/>
        <v>8500</v>
      </c>
      <c r="I305" s="134">
        <f t="shared" si="12"/>
        <v>0</v>
      </c>
      <c r="J305" s="134">
        <f t="shared" si="13"/>
        <v>8500</v>
      </c>
      <c r="K305" s="135"/>
      <c r="L305" s="136" t="str">
        <f t="shared" si="14"/>
        <v>مدين</v>
      </c>
      <c r="M305" s="137" t="str">
        <f>IF(ISERROR(VLOOKUP(C305,'[1]خريطة الحسابات'!_xlnm.Print_Area,4,FALSE))," ",(VLOOKUP(C305,'[1]خريطة الحسابات'!_xlnm.Print_Area,4,FALSE)))</f>
        <v xml:space="preserve">مقاولين </v>
      </c>
      <c r="N305" s="138" t="str">
        <f>IF(ISERROR(VLOOKUP(C305,'[1]خريطة الحسابات'!_xlnm.Print_Area,5,FALSE))," ",(VLOOKUP(C305,'[1]خريطة الحسابات'!_xlnm.Print_Area,5,FALSE)))</f>
        <v xml:space="preserve">الدائنون والأرصدة الدائنة الأخرى </v>
      </c>
      <c r="O305" s="139" t="s">
        <v>1430</v>
      </c>
      <c r="P305" s="139" t="s">
        <v>1393</v>
      </c>
    </row>
    <row r="306" spans="1:16">
      <c r="A306" s="104">
        <v>18</v>
      </c>
      <c r="B306" s="131">
        <v>46163</v>
      </c>
      <c r="C306" s="141">
        <v>20</v>
      </c>
      <c r="D306" s="140" t="str">
        <f>IF(ISERROR(VLOOKUP(C306,'[1]خريطة الحسابات'!_xlnm.Print_Area,3,FALSE))," ",(VLOOKUP(C306,'[1]خريطة الحسابات'!_xlnm.Print_Area,3,FALSE)))</f>
        <v xml:space="preserve">الخزينة </v>
      </c>
      <c r="E306" s="132"/>
      <c r="F306" s="133"/>
      <c r="G306" s="133">
        <v>9150</v>
      </c>
      <c r="H306" s="134">
        <f t="shared" si="12"/>
        <v>0</v>
      </c>
      <c r="I306" s="134">
        <f t="shared" si="12"/>
        <v>9150</v>
      </c>
      <c r="J306" s="134">
        <f t="shared" si="13"/>
        <v>-9150</v>
      </c>
      <c r="K306" s="135"/>
      <c r="L306" s="136" t="str">
        <f t="shared" si="14"/>
        <v>دائن</v>
      </c>
      <c r="M306" s="137" t="str">
        <f>IF(ISERROR(VLOOKUP(C306,'[1]خريطة الحسابات'!_xlnm.Print_Area,4,FALSE))," ",(VLOOKUP(C306,'[1]خريطة الحسابات'!_xlnm.Print_Area,4,FALSE)))</f>
        <v xml:space="preserve">أصول متداوله -النقدية ومافي حكمها </v>
      </c>
      <c r="N306" s="138" t="str">
        <f>IF(ISERROR(VLOOKUP(C306,'[1]خريطة الحسابات'!_xlnm.Print_Area,5,FALSE))," ",(VLOOKUP(C306,'[1]خريطة الحسابات'!_xlnm.Print_Area,5,FALSE)))</f>
        <v>الاصول</v>
      </c>
      <c r="O306" s="139" t="s">
        <v>1428</v>
      </c>
      <c r="P306" s="139" t="s">
        <v>1393</v>
      </c>
    </row>
    <row r="307" spans="1:16">
      <c r="A307" s="104">
        <v>18</v>
      </c>
      <c r="B307" s="131">
        <v>46174</v>
      </c>
      <c r="C307" s="141">
        <v>20</v>
      </c>
      <c r="D307" s="140" t="str">
        <f>IF(ISERROR(VLOOKUP(C307,'[1]خريطة الحسابات'!_xlnm.Print_Area,3,FALSE))," ",(VLOOKUP(C307,'[1]خريطة الحسابات'!_xlnm.Print_Area,3,FALSE)))</f>
        <v xml:space="preserve">الخزينة </v>
      </c>
      <c r="E307" s="132"/>
      <c r="F307" s="133"/>
      <c r="G307" s="133">
        <v>7007</v>
      </c>
      <c r="H307" s="134">
        <f t="shared" si="12"/>
        <v>0</v>
      </c>
      <c r="I307" s="134">
        <f t="shared" si="12"/>
        <v>7007</v>
      </c>
      <c r="J307" s="134">
        <f t="shared" si="13"/>
        <v>-7007</v>
      </c>
      <c r="K307" s="135"/>
      <c r="L307" s="136" t="str">
        <f t="shared" si="14"/>
        <v>دائن</v>
      </c>
      <c r="M307" s="137" t="str">
        <f>IF(ISERROR(VLOOKUP(C307,'[1]خريطة الحسابات'!_xlnm.Print_Area,4,FALSE))," ",(VLOOKUP(C307,'[1]خريطة الحسابات'!_xlnm.Print_Area,4,FALSE)))</f>
        <v xml:space="preserve">أصول متداوله -النقدية ومافي حكمها </v>
      </c>
      <c r="N307" s="138" t="str">
        <f>IF(ISERROR(VLOOKUP(C307,'[1]خريطة الحسابات'!_xlnm.Print_Area,5,FALSE))," ",(VLOOKUP(C307,'[1]خريطة الحسابات'!_xlnm.Print_Area,5,FALSE)))</f>
        <v>الاصول</v>
      </c>
      <c r="O307" s="139" t="s">
        <v>1429</v>
      </c>
      <c r="P307" s="139" t="s">
        <v>1393</v>
      </c>
    </row>
    <row r="308" spans="1:16">
      <c r="A308" s="104">
        <v>18</v>
      </c>
      <c r="B308" s="131">
        <v>46184</v>
      </c>
      <c r="C308" s="141">
        <v>20</v>
      </c>
      <c r="D308" s="140" t="str">
        <f>IF(ISERROR(VLOOKUP(C308,'[1]خريطة الحسابات'!_xlnm.Print_Area,3,FALSE))," ",(VLOOKUP(C308,'[1]خريطة الحسابات'!_xlnm.Print_Area,3,FALSE)))</f>
        <v xml:space="preserve">الخزينة </v>
      </c>
      <c r="E308" s="132"/>
      <c r="F308" s="133"/>
      <c r="G308" s="133">
        <v>8500</v>
      </c>
      <c r="H308" s="134">
        <f t="shared" si="12"/>
        <v>0</v>
      </c>
      <c r="I308" s="134">
        <f t="shared" si="12"/>
        <v>8500</v>
      </c>
      <c r="J308" s="134">
        <f t="shared" si="13"/>
        <v>-8500</v>
      </c>
      <c r="K308" s="135"/>
      <c r="L308" s="136" t="str">
        <f t="shared" si="14"/>
        <v>دائن</v>
      </c>
      <c r="M308" s="137" t="str">
        <f>IF(ISERROR(VLOOKUP(C308,'[1]خريطة الحسابات'!_xlnm.Print_Area,4,FALSE))," ",(VLOOKUP(C308,'[1]خريطة الحسابات'!_xlnm.Print_Area,4,FALSE)))</f>
        <v xml:space="preserve">أصول متداوله -النقدية ومافي حكمها </v>
      </c>
      <c r="N308" s="138" t="str">
        <f>IF(ISERROR(VLOOKUP(C308,'[1]خريطة الحسابات'!_xlnm.Print_Area,5,FALSE))," ",(VLOOKUP(C308,'[1]خريطة الحسابات'!_xlnm.Print_Area,5,FALSE)))</f>
        <v>الاصول</v>
      </c>
      <c r="O308" s="139" t="s">
        <v>1430</v>
      </c>
      <c r="P308" s="139" t="s">
        <v>1393</v>
      </c>
    </row>
    <row r="309" spans="1:16" ht="15.6">
      <c r="A309" s="104">
        <v>19</v>
      </c>
      <c r="B309" s="131">
        <v>46138</v>
      </c>
      <c r="C309" s="141">
        <v>4040</v>
      </c>
      <c r="D309" s="140" t="str">
        <f>IF(ISERROR(VLOOKUP(C309,'[1]خريطة الحسابات'!_xlnm.Print_Area,3,FALSE))," ",(VLOOKUP(C309,'[1]خريطة الحسابات'!_xlnm.Print_Area,3,FALSE)))</f>
        <v>حسان luxery</v>
      </c>
      <c r="E309" s="132"/>
      <c r="F309" s="133">
        <v>8008</v>
      </c>
      <c r="G309" s="133"/>
      <c r="H309" s="134">
        <f t="shared" si="12"/>
        <v>8008</v>
      </c>
      <c r="I309" s="134">
        <f t="shared" si="12"/>
        <v>0</v>
      </c>
      <c r="J309" s="134">
        <f t="shared" si="13"/>
        <v>8008</v>
      </c>
      <c r="K309" s="135"/>
      <c r="L309" s="136" t="str">
        <f t="shared" si="14"/>
        <v>مدين</v>
      </c>
      <c r="M309" s="137" t="str">
        <f>IF(ISERROR(VLOOKUP(C309,'[1]خريطة الحسابات'!_xlnm.Print_Area,4,FALSE))," ",(VLOOKUP(C309,'[1]خريطة الحسابات'!_xlnm.Print_Area,4,FALSE)))</f>
        <v xml:space="preserve">مقاولين </v>
      </c>
      <c r="N309" s="138" t="str">
        <f>IF(ISERROR(VLOOKUP(C309,'[1]خريطة الحسابات'!_xlnm.Print_Area,5,FALSE))," ",(VLOOKUP(C309,'[1]خريطة الحسابات'!_xlnm.Print_Area,5,FALSE)))</f>
        <v xml:space="preserve">الدائنون والأرصدة الدائنة الأخرى </v>
      </c>
      <c r="O309" s="129" t="s">
        <v>1431</v>
      </c>
      <c r="P309" s="128" t="s">
        <v>1327</v>
      </c>
    </row>
    <row r="310" spans="1:16" ht="15.6">
      <c r="A310" s="104">
        <v>19</v>
      </c>
      <c r="B310" s="131">
        <v>46138</v>
      </c>
      <c r="C310" s="141">
        <v>20</v>
      </c>
      <c r="D310" s="140" t="str">
        <f>IF(ISERROR(VLOOKUP(C310,'[1]خريطة الحسابات'!_xlnm.Print_Area,3,FALSE))," ",(VLOOKUP(C310,'[1]خريطة الحسابات'!_xlnm.Print_Area,3,FALSE)))</f>
        <v xml:space="preserve">الخزينة </v>
      </c>
      <c r="E310" s="132"/>
      <c r="F310" s="133"/>
      <c r="G310" s="133">
        <v>8008</v>
      </c>
      <c r="H310" s="134">
        <f t="shared" si="12"/>
        <v>0</v>
      </c>
      <c r="I310" s="134">
        <f t="shared" si="12"/>
        <v>8008</v>
      </c>
      <c r="J310" s="134">
        <f t="shared" si="13"/>
        <v>-8008</v>
      </c>
      <c r="K310" s="135"/>
      <c r="L310" s="136" t="str">
        <f t="shared" si="14"/>
        <v>دائن</v>
      </c>
      <c r="M310" s="137" t="str">
        <f>IF(ISERROR(VLOOKUP(C310,'[1]خريطة الحسابات'!_xlnm.Print_Area,4,FALSE))," ",(VLOOKUP(C310,'[1]خريطة الحسابات'!_xlnm.Print_Area,4,FALSE)))</f>
        <v xml:space="preserve">أصول متداوله -النقدية ومافي حكمها </v>
      </c>
      <c r="N310" s="138" t="str">
        <f>IF(ISERROR(VLOOKUP(C310,'[1]خريطة الحسابات'!_xlnm.Print_Area,5,FALSE))," ",(VLOOKUP(C310,'[1]خريطة الحسابات'!_xlnm.Print_Area,5,FALSE)))</f>
        <v>الاصول</v>
      </c>
      <c r="O310" s="129" t="s">
        <v>1431</v>
      </c>
      <c r="P310" s="128" t="s">
        <v>1327</v>
      </c>
    </row>
    <row r="311" spans="1:16" ht="15.6">
      <c r="A311" s="104">
        <v>20</v>
      </c>
      <c r="B311" s="131">
        <v>46151</v>
      </c>
      <c r="C311" s="141">
        <v>4040</v>
      </c>
      <c r="D311" s="140" t="str">
        <f>IF(ISERROR(VLOOKUP(C311,'[1]خريطة الحسابات'!_xlnm.Print_Area,3,FALSE))," ",(VLOOKUP(C311,'[1]خريطة الحسابات'!_xlnm.Print_Area,3,FALSE)))</f>
        <v>حسان luxery</v>
      </c>
      <c r="E311" s="132"/>
      <c r="F311" s="133">
        <v>500000</v>
      </c>
      <c r="G311" s="133"/>
      <c r="H311" s="134">
        <f t="shared" si="12"/>
        <v>500000</v>
      </c>
      <c r="I311" s="134">
        <f t="shared" si="12"/>
        <v>0</v>
      </c>
      <c r="J311" s="134">
        <f t="shared" si="13"/>
        <v>500000</v>
      </c>
      <c r="K311" s="135"/>
      <c r="L311" s="136" t="str">
        <f t="shared" si="14"/>
        <v>مدين</v>
      </c>
      <c r="M311" s="137" t="str">
        <f>IF(ISERROR(VLOOKUP(C311,'[1]خريطة الحسابات'!_xlnm.Print_Area,4,FALSE))," ",(VLOOKUP(C311,'[1]خريطة الحسابات'!_xlnm.Print_Area,4,FALSE)))</f>
        <v xml:space="preserve">مقاولين </v>
      </c>
      <c r="N311" s="138" t="str">
        <f>IF(ISERROR(VLOOKUP(C311,'[1]خريطة الحسابات'!_xlnm.Print_Area,5,FALSE))," ",(VLOOKUP(C311,'[1]خريطة الحسابات'!_xlnm.Print_Area,5,FALSE)))</f>
        <v xml:space="preserve">الدائنون والأرصدة الدائنة الأخرى </v>
      </c>
      <c r="O311" s="129" t="s">
        <v>1432</v>
      </c>
      <c r="P311" s="128" t="s">
        <v>1290</v>
      </c>
    </row>
    <row r="312" spans="1:16" ht="15.6">
      <c r="A312" s="104">
        <v>20</v>
      </c>
      <c r="B312" s="131">
        <v>46184</v>
      </c>
      <c r="C312" s="141">
        <v>4040</v>
      </c>
      <c r="D312" s="140" t="str">
        <f>IF(ISERROR(VLOOKUP(C312,'[1]خريطة الحسابات'!_xlnm.Print_Area,3,FALSE))," ",(VLOOKUP(C312,'[1]خريطة الحسابات'!_xlnm.Print_Area,3,FALSE)))</f>
        <v>حسان luxery</v>
      </c>
      <c r="E312" s="132"/>
      <c r="F312" s="133">
        <v>200000</v>
      </c>
      <c r="G312" s="133"/>
      <c r="H312" s="134">
        <f t="shared" si="12"/>
        <v>200000</v>
      </c>
      <c r="I312" s="134">
        <f t="shared" si="12"/>
        <v>0</v>
      </c>
      <c r="J312" s="134">
        <f t="shared" si="13"/>
        <v>200000</v>
      </c>
      <c r="K312" s="135"/>
      <c r="L312" s="136" t="str">
        <f t="shared" si="14"/>
        <v>مدين</v>
      </c>
      <c r="M312" s="137" t="str">
        <f>IF(ISERROR(VLOOKUP(C312,'[1]خريطة الحسابات'!_xlnm.Print_Area,4,FALSE))," ",(VLOOKUP(C312,'[1]خريطة الحسابات'!_xlnm.Print_Area,4,FALSE)))</f>
        <v xml:space="preserve">مقاولين </v>
      </c>
      <c r="N312" s="138" t="str">
        <f>IF(ISERROR(VLOOKUP(C312,'[1]خريطة الحسابات'!_xlnm.Print_Area,5,FALSE))," ",(VLOOKUP(C312,'[1]خريطة الحسابات'!_xlnm.Print_Area,5,FALSE)))</f>
        <v xml:space="preserve">الدائنون والأرصدة الدائنة الأخرى </v>
      </c>
      <c r="O312" s="129" t="s">
        <v>1433</v>
      </c>
      <c r="P312" s="128" t="s">
        <v>1290</v>
      </c>
    </row>
    <row r="313" spans="1:16" ht="15.6">
      <c r="A313" s="104">
        <v>20</v>
      </c>
      <c r="B313" s="131">
        <v>46151</v>
      </c>
      <c r="C313" s="141">
        <v>20</v>
      </c>
      <c r="D313" s="140" t="str">
        <f>IF(ISERROR(VLOOKUP(C313,'[1]خريطة الحسابات'!_xlnm.Print_Area,3,FALSE))," ",(VLOOKUP(C313,'[1]خريطة الحسابات'!_xlnm.Print_Area,3,FALSE)))</f>
        <v xml:space="preserve">الخزينة </v>
      </c>
      <c r="E313" s="132"/>
      <c r="F313" s="133"/>
      <c r="G313" s="133">
        <v>500000</v>
      </c>
      <c r="H313" s="134">
        <f t="shared" si="12"/>
        <v>0</v>
      </c>
      <c r="I313" s="134">
        <f t="shared" si="12"/>
        <v>500000</v>
      </c>
      <c r="J313" s="134">
        <f t="shared" si="13"/>
        <v>-500000</v>
      </c>
      <c r="K313" s="135"/>
      <c r="L313" s="136" t="str">
        <f t="shared" si="14"/>
        <v>دائن</v>
      </c>
      <c r="M313" s="137" t="str">
        <f>IF(ISERROR(VLOOKUP(C313,'[1]خريطة الحسابات'!_xlnm.Print_Area,4,FALSE))," ",(VLOOKUP(C313,'[1]خريطة الحسابات'!_xlnm.Print_Area,4,FALSE)))</f>
        <v xml:space="preserve">أصول متداوله -النقدية ومافي حكمها </v>
      </c>
      <c r="N313" s="138" t="str">
        <f>IF(ISERROR(VLOOKUP(C313,'[1]خريطة الحسابات'!_xlnm.Print_Area,5,FALSE))," ",(VLOOKUP(C313,'[1]خريطة الحسابات'!_xlnm.Print_Area,5,FALSE)))</f>
        <v>الاصول</v>
      </c>
      <c r="O313" s="129" t="s">
        <v>1432</v>
      </c>
      <c r="P313" s="128" t="s">
        <v>1290</v>
      </c>
    </row>
    <row r="314" spans="1:16" ht="15.6">
      <c r="A314" s="104">
        <v>20</v>
      </c>
      <c r="B314" s="131">
        <v>46184</v>
      </c>
      <c r="C314" s="141">
        <v>20</v>
      </c>
      <c r="D314" s="140" t="str">
        <f>IF(ISERROR(VLOOKUP(C314,'[1]خريطة الحسابات'!_xlnm.Print_Area,3,FALSE))," ",(VLOOKUP(C314,'[1]خريطة الحسابات'!_xlnm.Print_Area,3,FALSE)))</f>
        <v xml:space="preserve">الخزينة </v>
      </c>
      <c r="E314" s="132"/>
      <c r="F314" s="133"/>
      <c r="G314" s="133">
        <v>200000</v>
      </c>
      <c r="H314" s="134">
        <f t="shared" si="12"/>
        <v>0</v>
      </c>
      <c r="I314" s="134">
        <f t="shared" si="12"/>
        <v>200000</v>
      </c>
      <c r="J314" s="134">
        <f t="shared" si="13"/>
        <v>-200000</v>
      </c>
      <c r="K314" s="135"/>
      <c r="L314" s="136" t="str">
        <f t="shared" si="14"/>
        <v>دائن</v>
      </c>
      <c r="M314" s="137" t="str">
        <f>IF(ISERROR(VLOOKUP(C314,'[1]خريطة الحسابات'!_xlnm.Print_Area,4,FALSE))," ",(VLOOKUP(C314,'[1]خريطة الحسابات'!_xlnm.Print_Area,4,FALSE)))</f>
        <v xml:space="preserve">أصول متداوله -النقدية ومافي حكمها </v>
      </c>
      <c r="N314" s="138" t="str">
        <f>IF(ISERROR(VLOOKUP(C314,'[1]خريطة الحسابات'!_xlnm.Print_Area,5,FALSE))," ",(VLOOKUP(C314,'[1]خريطة الحسابات'!_xlnm.Print_Area,5,FALSE)))</f>
        <v>الاصول</v>
      </c>
      <c r="O314" s="129" t="s">
        <v>1433</v>
      </c>
      <c r="P314" s="128" t="s">
        <v>1290</v>
      </c>
    </row>
    <row r="315" spans="1:16">
      <c r="A315" s="104">
        <v>21</v>
      </c>
      <c r="B315" s="131">
        <v>46036</v>
      </c>
      <c r="C315" s="141">
        <v>4009</v>
      </c>
      <c r="D315" s="140" t="str">
        <f>IF(ISERROR(VLOOKUP(C315,'[1]خريطة الحسابات'!_xlnm.Print_Area,3,FALSE))," ",(VLOOKUP(C315,'[1]خريطة الحسابات'!_xlnm.Print_Area,3,FALSE)))</f>
        <v>خالد المحارة</v>
      </c>
      <c r="E315" s="132"/>
      <c r="F315" s="133">
        <v>7155</v>
      </c>
      <c r="G315" s="133"/>
      <c r="H315" s="134">
        <f t="shared" si="12"/>
        <v>7155</v>
      </c>
      <c r="I315" s="134">
        <f t="shared" si="12"/>
        <v>0</v>
      </c>
      <c r="J315" s="134">
        <f t="shared" si="13"/>
        <v>7155</v>
      </c>
      <c r="K315" s="135"/>
      <c r="L315" s="136" t="str">
        <f t="shared" si="14"/>
        <v>مدين</v>
      </c>
      <c r="M315" s="137" t="str">
        <f>IF(ISERROR(VLOOKUP(C315,'[1]خريطة الحسابات'!_xlnm.Print_Area,4,FALSE))," ",(VLOOKUP(C315,'[1]خريطة الحسابات'!_xlnm.Print_Area,4,FALSE)))</f>
        <v xml:space="preserve">مقاولين </v>
      </c>
      <c r="N315" s="138" t="str">
        <f>IF(ISERROR(VLOOKUP(C315,'[1]خريطة الحسابات'!_xlnm.Print_Area,5,FALSE))," ",(VLOOKUP(C315,'[1]خريطة الحسابات'!_xlnm.Print_Area,5,FALSE)))</f>
        <v xml:space="preserve">الدائنون والأرصدة الدائنة الأخرى </v>
      </c>
      <c r="O315" s="139" t="s">
        <v>1434</v>
      </c>
      <c r="P315" s="139" t="s">
        <v>1315</v>
      </c>
    </row>
    <row r="316" spans="1:16">
      <c r="A316" s="104">
        <v>21</v>
      </c>
      <c r="B316" s="131">
        <v>46065</v>
      </c>
      <c r="C316" s="141">
        <v>4009</v>
      </c>
      <c r="D316" s="140" t="str">
        <f>IF(ISERROR(VLOOKUP(C316,'[1]خريطة الحسابات'!_xlnm.Print_Area,3,FALSE))," ",(VLOOKUP(C316,'[1]خريطة الحسابات'!_xlnm.Print_Area,3,FALSE)))</f>
        <v>خالد المحارة</v>
      </c>
      <c r="E316" s="132"/>
      <c r="F316" s="133">
        <v>10010</v>
      </c>
      <c r="G316" s="133"/>
      <c r="H316" s="134">
        <f t="shared" si="12"/>
        <v>10010</v>
      </c>
      <c r="I316" s="134">
        <f t="shared" si="12"/>
        <v>0</v>
      </c>
      <c r="J316" s="134">
        <f t="shared" si="13"/>
        <v>10010</v>
      </c>
      <c r="K316" s="135"/>
      <c r="L316" s="136" t="str">
        <f t="shared" si="14"/>
        <v>مدين</v>
      </c>
      <c r="M316" s="137" t="str">
        <f>IF(ISERROR(VLOOKUP(C316,'[1]خريطة الحسابات'!_xlnm.Print_Area,4,FALSE))," ",(VLOOKUP(C316,'[1]خريطة الحسابات'!_xlnm.Print_Area,4,FALSE)))</f>
        <v xml:space="preserve">مقاولين </v>
      </c>
      <c r="N316" s="138" t="str">
        <f>IF(ISERROR(VLOOKUP(C316,'[1]خريطة الحسابات'!_xlnm.Print_Area,5,FALSE))," ",(VLOOKUP(C316,'[1]خريطة الحسابات'!_xlnm.Print_Area,5,FALSE)))</f>
        <v xml:space="preserve">الدائنون والأرصدة الدائنة الأخرى </v>
      </c>
      <c r="O316" s="139" t="s">
        <v>1435</v>
      </c>
      <c r="P316" s="139" t="s">
        <v>1315</v>
      </c>
    </row>
    <row r="317" spans="1:16">
      <c r="A317" s="104">
        <v>21</v>
      </c>
      <c r="B317" s="131">
        <v>46086</v>
      </c>
      <c r="C317" s="141">
        <v>4009</v>
      </c>
      <c r="D317" s="140" t="str">
        <f>IF(ISERROR(VLOOKUP(C317,'[1]خريطة الحسابات'!_xlnm.Print_Area,3,FALSE))," ",(VLOOKUP(C317,'[1]خريطة الحسابات'!_xlnm.Print_Area,3,FALSE)))</f>
        <v>خالد المحارة</v>
      </c>
      <c r="E317" s="132"/>
      <c r="F317" s="133">
        <v>8000</v>
      </c>
      <c r="G317" s="133"/>
      <c r="H317" s="134">
        <f t="shared" si="12"/>
        <v>8000</v>
      </c>
      <c r="I317" s="134">
        <f t="shared" si="12"/>
        <v>0</v>
      </c>
      <c r="J317" s="134">
        <f t="shared" si="13"/>
        <v>8000</v>
      </c>
      <c r="K317" s="135"/>
      <c r="L317" s="136" t="str">
        <f t="shared" si="14"/>
        <v>مدين</v>
      </c>
      <c r="M317" s="137" t="str">
        <f>IF(ISERROR(VLOOKUP(C317,'[1]خريطة الحسابات'!_xlnm.Print_Area,4,FALSE))," ",(VLOOKUP(C317,'[1]خريطة الحسابات'!_xlnm.Print_Area,4,FALSE)))</f>
        <v xml:space="preserve">مقاولين </v>
      </c>
      <c r="N317" s="138" t="str">
        <f>IF(ISERROR(VLOOKUP(C317,'[1]خريطة الحسابات'!_xlnm.Print_Area,5,FALSE))," ",(VLOOKUP(C317,'[1]خريطة الحسابات'!_xlnm.Print_Area,5,FALSE)))</f>
        <v xml:space="preserve">الدائنون والأرصدة الدائنة الأخرى </v>
      </c>
      <c r="O317" s="139" t="s">
        <v>1436</v>
      </c>
      <c r="P317" s="139" t="s">
        <v>1315</v>
      </c>
    </row>
    <row r="318" spans="1:16">
      <c r="A318" s="104">
        <v>21</v>
      </c>
      <c r="B318" s="131">
        <v>46098</v>
      </c>
      <c r="C318" s="141">
        <v>4009</v>
      </c>
      <c r="D318" s="140" t="str">
        <f>IF(ISERROR(VLOOKUP(C318,'[1]خريطة الحسابات'!_xlnm.Print_Area,3,FALSE))," ",(VLOOKUP(C318,'[1]خريطة الحسابات'!_xlnm.Print_Area,3,FALSE)))</f>
        <v>خالد المحارة</v>
      </c>
      <c r="E318" s="132"/>
      <c r="F318" s="133">
        <v>3003</v>
      </c>
      <c r="G318" s="133"/>
      <c r="H318" s="134">
        <f t="shared" si="12"/>
        <v>3003</v>
      </c>
      <c r="I318" s="134">
        <f t="shared" si="12"/>
        <v>0</v>
      </c>
      <c r="J318" s="134">
        <f t="shared" si="13"/>
        <v>3003</v>
      </c>
      <c r="K318" s="135"/>
      <c r="L318" s="136" t="str">
        <f t="shared" si="14"/>
        <v>مدين</v>
      </c>
      <c r="M318" s="137" t="str">
        <f>IF(ISERROR(VLOOKUP(C318,'[1]خريطة الحسابات'!_xlnm.Print_Area,4,FALSE))," ",(VLOOKUP(C318,'[1]خريطة الحسابات'!_xlnm.Print_Area,4,FALSE)))</f>
        <v xml:space="preserve">مقاولين </v>
      </c>
      <c r="N318" s="138" t="str">
        <f>IF(ISERROR(VLOOKUP(C318,'[1]خريطة الحسابات'!_xlnm.Print_Area,5,FALSE))," ",(VLOOKUP(C318,'[1]خريطة الحسابات'!_xlnm.Print_Area,5,FALSE)))</f>
        <v xml:space="preserve">الدائنون والأرصدة الدائنة الأخرى </v>
      </c>
      <c r="O318" s="139" t="s">
        <v>1437</v>
      </c>
      <c r="P318" s="139" t="s">
        <v>1315</v>
      </c>
    </row>
    <row r="319" spans="1:16">
      <c r="A319" s="104">
        <v>21</v>
      </c>
      <c r="B319" s="131">
        <v>46036</v>
      </c>
      <c r="C319" s="141">
        <v>20</v>
      </c>
      <c r="D319" s="140" t="str">
        <f>IF(ISERROR(VLOOKUP(C319,'[1]خريطة الحسابات'!_xlnm.Print_Area,3,FALSE))," ",(VLOOKUP(C319,'[1]خريطة الحسابات'!_xlnm.Print_Area,3,FALSE)))</f>
        <v xml:space="preserve">الخزينة </v>
      </c>
      <c r="E319" s="132"/>
      <c r="F319" s="133"/>
      <c r="G319" s="133">
        <v>7155</v>
      </c>
      <c r="H319" s="134">
        <f t="shared" si="12"/>
        <v>0</v>
      </c>
      <c r="I319" s="134">
        <f t="shared" si="12"/>
        <v>7155</v>
      </c>
      <c r="J319" s="134">
        <f t="shared" si="13"/>
        <v>-7155</v>
      </c>
      <c r="K319" s="135"/>
      <c r="L319" s="136" t="str">
        <f t="shared" si="14"/>
        <v>دائن</v>
      </c>
      <c r="M319" s="137" t="str">
        <f>IF(ISERROR(VLOOKUP(C319,'[1]خريطة الحسابات'!_xlnm.Print_Area,4,FALSE))," ",(VLOOKUP(C319,'[1]خريطة الحسابات'!_xlnm.Print_Area,4,FALSE)))</f>
        <v xml:space="preserve">أصول متداوله -النقدية ومافي حكمها </v>
      </c>
      <c r="N319" s="138" t="str">
        <f>IF(ISERROR(VLOOKUP(C319,'[1]خريطة الحسابات'!_xlnm.Print_Area,5,FALSE))," ",(VLOOKUP(C319,'[1]خريطة الحسابات'!_xlnm.Print_Area,5,FALSE)))</f>
        <v>الاصول</v>
      </c>
      <c r="O319" s="139" t="s">
        <v>1434</v>
      </c>
      <c r="P319" s="139" t="s">
        <v>1315</v>
      </c>
    </row>
    <row r="320" spans="1:16">
      <c r="A320" s="104">
        <v>21</v>
      </c>
      <c r="B320" s="131">
        <v>46065</v>
      </c>
      <c r="C320" s="141">
        <v>20</v>
      </c>
      <c r="D320" s="140" t="str">
        <f>IF(ISERROR(VLOOKUP(C320,'[1]خريطة الحسابات'!_xlnm.Print_Area,3,FALSE))," ",(VLOOKUP(C320,'[1]خريطة الحسابات'!_xlnm.Print_Area,3,FALSE)))</f>
        <v xml:space="preserve">الخزينة </v>
      </c>
      <c r="E320" s="132"/>
      <c r="F320" s="133"/>
      <c r="G320" s="133">
        <v>10010</v>
      </c>
      <c r="H320" s="134">
        <f t="shared" si="12"/>
        <v>0</v>
      </c>
      <c r="I320" s="134">
        <f t="shared" si="12"/>
        <v>10010</v>
      </c>
      <c r="J320" s="134">
        <f t="shared" si="13"/>
        <v>-10010</v>
      </c>
      <c r="K320" s="135"/>
      <c r="L320" s="136" t="str">
        <f t="shared" si="14"/>
        <v>دائن</v>
      </c>
      <c r="M320" s="137" t="str">
        <f>IF(ISERROR(VLOOKUP(C320,'[1]خريطة الحسابات'!_xlnm.Print_Area,4,FALSE))," ",(VLOOKUP(C320,'[1]خريطة الحسابات'!_xlnm.Print_Area,4,FALSE)))</f>
        <v xml:space="preserve">أصول متداوله -النقدية ومافي حكمها </v>
      </c>
      <c r="N320" s="138" t="str">
        <f>IF(ISERROR(VLOOKUP(C320,'[1]خريطة الحسابات'!_xlnm.Print_Area,5,FALSE))," ",(VLOOKUP(C320,'[1]خريطة الحسابات'!_xlnm.Print_Area,5,FALSE)))</f>
        <v>الاصول</v>
      </c>
      <c r="O320" s="139" t="s">
        <v>1435</v>
      </c>
      <c r="P320" s="139" t="s">
        <v>1315</v>
      </c>
    </row>
    <row r="321" spans="1:16">
      <c r="A321" s="104">
        <v>21</v>
      </c>
      <c r="B321" s="131">
        <v>46086</v>
      </c>
      <c r="C321" s="141">
        <v>20</v>
      </c>
      <c r="D321" s="140" t="str">
        <f>IF(ISERROR(VLOOKUP(C321,'[1]خريطة الحسابات'!_xlnm.Print_Area,3,FALSE))," ",(VLOOKUP(C321,'[1]خريطة الحسابات'!_xlnm.Print_Area,3,FALSE)))</f>
        <v xml:space="preserve">الخزينة </v>
      </c>
      <c r="E321" s="132"/>
      <c r="F321" s="133"/>
      <c r="G321" s="133">
        <v>8000</v>
      </c>
      <c r="H321" s="134">
        <f t="shared" si="12"/>
        <v>0</v>
      </c>
      <c r="I321" s="134">
        <f t="shared" si="12"/>
        <v>8000</v>
      </c>
      <c r="J321" s="134">
        <f t="shared" si="13"/>
        <v>-8000</v>
      </c>
      <c r="K321" s="135"/>
      <c r="L321" s="136" t="str">
        <f t="shared" si="14"/>
        <v>دائن</v>
      </c>
      <c r="M321" s="137" t="str">
        <f>IF(ISERROR(VLOOKUP(C321,'[1]خريطة الحسابات'!_xlnm.Print_Area,4,FALSE))," ",(VLOOKUP(C321,'[1]خريطة الحسابات'!_xlnm.Print_Area,4,FALSE)))</f>
        <v xml:space="preserve">أصول متداوله -النقدية ومافي حكمها </v>
      </c>
      <c r="N321" s="138" t="str">
        <f>IF(ISERROR(VLOOKUP(C321,'[1]خريطة الحسابات'!_xlnm.Print_Area,5,FALSE))," ",(VLOOKUP(C321,'[1]خريطة الحسابات'!_xlnm.Print_Area,5,FALSE)))</f>
        <v>الاصول</v>
      </c>
      <c r="O321" s="139" t="s">
        <v>1436</v>
      </c>
      <c r="P321" s="139" t="s">
        <v>1315</v>
      </c>
    </row>
    <row r="322" spans="1:16">
      <c r="A322" s="104">
        <v>21</v>
      </c>
      <c r="B322" s="131">
        <v>46098</v>
      </c>
      <c r="C322" s="141">
        <v>20</v>
      </c>
      <c r="D322" s="140" t="str">
        <f>IF(ISERROR(VLOOKUP(C322,'[1]خريطة الحسابات'!_xlnm.Print_Area,3,FALSE))," ",(VLOOKUP(C322,'[1]خريطة الحسابات'!_xlnm.Print_Area,3,FALSE)))</f>
        <v xml:space="preserve">الخزينة </v>
      </c>
      <c r="E322" s="132"/>
      <c r="F322" s="133"/>
      <c r="G322" s="133">
        <v>3003</v>
      </c>
      <c r="H322" s="134">
        <f t="shared" si="12"/>
        <v>0</v>
      </c>
      <c r="I322" s="134">
        <f t="shared" si="12"/>
        <v>3003</v>
      </c>
      <c r="J322" s="134">
        <f t="shared" si="13"/>
        <v>-3003</v>
      </c>
      <c r="K322" s="135"/>
      <c r="L322" s="136" t="str">
        <f t="shared" si="14"/>
        <v>دائن</v>
      </c>
      <c r="M322" s="137" t="str">
        <f>IF(ISERROR(VLOOKUP(C322,'[1]خريطة الحسابات'!_xlnm.Print_Area,4,FALSE))," ",(VLOOKUP(C322,'[1]خريطة الحسابات'!_xlnm.Print_Area,4,FALSE)))</f>
        <v xml:space="preserve">أصول متداوله -النقدية ومافي حكمها </v>
      </c>
      <c r="N322" s="138" t="str">
        <f>IF(ISERROR(VLOOKUP(C322,'[1]خريطة الحسابات'!_xlnm.Print_Area,5,FALSE))," ",(VLOOKUP(C322,'[1]خريطة الحسابات'!_xlnm.Print_Area,5,FALSE)))</f>
        <v>الاصول</v>
      </c>
      <c r="O322" s="139" t="s">
        <v>1437</v>
      </c>
      <c r="P322" s="139" t="s">
        <v>1315</v>
      </c>
    </row>
    <row r="323" spans="1:16">
      <c r="A323" s="104">
        <v>22</v>
      </c>
      <c r="B323" s="131">
        <v>46050</v>
      </c>
      <c r="C323" s="141">
        <v>4010</v>
      </c>
      <c r="D323" s="140" t="str">
        <f>IF(ISERROR(VLOOKUP(C323,'[1]خريطة الحسابات'!_xlnm.Print_Area,3,FALSE))," ",(VLOOKUP(C323,'[1]خريطة الحسابات'!_xlnm.Print_Area,3,FALSE)))</f>
        <v>شاهين سيراميك</v>
      </c>
      <c r="E323" s="132"/>
      <c r="F323" s="133">
        <v>8508</v>
      </c>
      <c r="G323" s="133"/>
      <c r="H323" s="134">
        <f t="shared" si="12"/>
        <v>8508</v>
      </c>
      <c r="I323" s="134">
        <f t="shared" si="12"/>
        <v>0</v>
      </c>
      <c r="J323" s="134">
        <f t="shared" si="13"/>
        <v>8508</v>
      </c>
      <c r="K323" s="135"/>
      <c r="L323" s="136" t="str">
        <f t="shared" si="14"/>
        <v>مدين</v>
      </c>
      <c r="M323" s="137" t="str">
        <f>IF(ISERROR(VLOOKUP(C323,'[1]خريطة الحسابات'!_xlnm.Print_Area,4,FALSE))," ",(VLOOKUP(C323,'[1]خريطة الحسابات'!_xlnm.Print_Area,4,FALSE)))</f>
        <v xml:space="preserve">مقاولين </v>
      </c>
      <c r="N323" s="138" t="str">
        <f>IF(ISERROR(VLOOKUP(C323,'[1]خريطة الحسابات'!_xlnm.Print_Area,5,FALSE))," ",(VLOOKUP(C323,'[1]خريطة الحسابات'!_xlnm.Print_Area,5,FALSE)))</f>
        <v xml:space="preserve">الدائنون والأرصدة الدائنة الأخرى </v>
      </c>
      <c r="O323" s="139" t="s">
        <v>1408</v>
      </c>
      <c r="P323" s="139" t="s">
        <v>1292</v>
      </c>
    </row>
    <row r="324" spans="1:16">
      <c r="A324" s="104">
        <v>22</v>
      </c>
      <c r="B324" s="131">
        <v>46058</v>
      </c>
      <c r="C324" s="141">
        <v>4010</v>
      </c>
      <c r="D324" s="140" t="str">
        <f>IF(ISERROR(VLOOKUP(C324,'[1]خريطة الحسابات'!_xlnm.Print_Area,3,FALSE))," ",(VLOOKUP(C324,'[1]خريطة الحسابات'!_xlnm.Print_Area,3,FALSE)))</f>
        <v>شاهين سيراميك</v>
      </c>
      <c r="E324" s="132"/>
      <c r="F324" s="133">
        <v>3403</v>
      </c>
      <c r="G324" s="133"/>
      <c r="H324" s="134">
        <f t="shared" si="12"/>
        <v>3403</v>
      </c>
      <c r="I324" s="134">
        <f t="shared" si="12"/>
        <v>0</v>
      </c>
      <c r="J324" s="134">
        <f t="shared" si="13"/>
        <v>3403</v>
      </c>
      <c r="K324" s="135"/>
      <c r="L324" s="136" t="str">
        <f t="shared" si="14"/>
        <v>مدين</v>
      </c>
      <c r="M324" s="137" t="str">
        <f>IF(ISERROR(VLOOKUP(C324,'[1]خريطة الحسابات'!_xlnm.Print_Area,4,FALSE))," ",(VLOOKUP(C324,'[1]خريطة الحسابات'!_xlnm.Print_Area,4,FALSE)))</f>
        <v xml:space="preserve">مقاولين </v>
      </c>
      <c r="N324" s="138" t="str">
        <f>IF(ISERROR(VLOOKUP(C324,'[1]خريطة الحسابات'!_xlnm.Print_Area,5,FALSE))," ",(VLOOKUP(C324,'[1]خريطة الحسابات'!_xlnm.Print_Area,5,FALSE)))</f>
        <v xml:space="preserve">الدائنون والأرصدة الدائنة الأخرى </v>
      </c>
      <c r="O324" s="139" t="s">
        <v>1438</v>
      </c>
      <c r="P324" s="139" t="s">
        <v>1299</v>
      </c>
    </row>
    <row r="325" spans="1:16">
      <c r="A325" s="104">
        <v>22</v>
      </c>
      <c r="B325" s="131">
        <v>46058</v>
      </c>
      <c r="C325" s="141">
        <v>4010</v>
      </c>
      <c r="D325" s="140" t="str">
        <f>IF(ISERROR(VLOOKUP(C325,'[1]خريطة الحسابات'!_xlnm.Print_Area,3,FALSE))," ",(VLOOKUP(C325,'[1]خريطة الحسابات'!_xlnm.Print_Area,3,FALSE)))</f>
        <v>شاهين سيراميك</v>
      </c>
      <c r="E325" s="132"/>
      <c r="F325" s="133">
        <v>10010</v>
      </c>
      <c r="G325" s="133"/>
      <c r="H325" s="134">
        <f t="shared" si="12"/>
        <v>10010</v>
      </c>
      <c r="I325" s="134">
        <f t="shared" si="12"/>
        <v>0</v>
      </c>
      <c r="J325" s="134">
        <f t="shared" si="13"/>
        <v>10010</v>
      </c>
      <c r="K325" s="135"/>
      <c r="L325" s="136" t="str">
        <f t="shared" si="14"/>
        <v>مدين</v>
      </c>
      <c r="M325" s="137" t="str">
        <f>IF(ISERROR(VLOOKUP(C325,'[1]خريطة الحسابات'!_xlnm.Print_Area,4,FALSE))," ",(VLOOKUP(C325,'[1]خريطة الحسابات'!_xlnm.Print_Area,4,FALSE)))</f>
        <v xml:space="preserve">مقاولين </v>
      </c>
      <c r="N325" s="138" t="str">
        <f>IF(ISERROR(VLOOKUP(C325,'[1]خريطة الحسابات'!_xlnm.Print_Area,5,FALSE))," ",(VLOOKUP(C325,'[1]خريطة الحسابات'!_xlnm.Print_Area,5,FALSE)))</f>
        <v xml:space="preserve">الدائنون والأرصدة الدائنة الأخرى </v>
      </c>
      <c r="O325" s="139" t="s">
        <v>1439</v>
      </c>
      <c r="P325" s="139" t="s">
        <v>1292</v>
      </c>
    </row>
    <row r="326" spans="1:16">
      <c r="A326" s="104">
        <v>22</v>
      </c>
      <c r="B326" s="131">
        <v>46065</v>
      </c>
      <c r="C326" s="141">
        <v>4010</v>
      </c>
      <c r="D326" s="140" t="str">
        <f>IF(ISERROR(VLOOKUP(C326,'[1]خريطة الحسابات'!_xlnm.Print_Area,3,FALSE))," ",(VLOOKUP(C326,'[1]خريطة الحسابات'!_xlnm.Print_Area,3,FALSE)))</f>
        <v>شاهين سيراميك</v>
      </c>
      <c r="E326" s="132"/>
      <c r="F326" s="133">
        <v>15015</v>
      </c>
      <c r="G326" s="133"/>
      <c r="H326" s="134">
        <f t="shared" si="12"/>
        <v>15015</v>
      </c>
      <c r="I326" s="134">
        <f t="shared" si="12"/>
        <v>0</v>
      </c>
      <c r="J326" s="134">
        <f t="shared" si="13"/>
        <v>15015</v>
      </c>
      <c r="K326" s="135"/>
      <c r="L326" s="136" t="str">
        <f t="shared" si="14"/>
        <v>مدين</v>
      </c>
      <c r="M326" s="137" t="str">
        <f>IF(ISERROR(VLOOKUP(C326,'[1]خريطة الحسابات'!_xlnm.Print_Area,4,FALSE))," ",(VLOOKUP(C326,'[1]خريطة الحسابات'!_xlnm.Print_Area,4,FALSE)))</f>
        <v xml:space="preserve">مقاولين </v>
      </c>
      <c r="N326" s="138" t="str">
        <f>IF(ISERROR(VLOOKUP(C326,'[1]خريطة الحسابات'!_xlnm.Print_Area,5,FALSE))," ",(VLOOKUP(C326,'[1]خريطة الحسابات'!_xlnm.Print_Area,5,FALSE)))</f>
        <v xml:space="preserve">الدائنون والأرصدة الدائنة الأخرى </v>
      </c>
      <c r="O326" s="139" t="s">
        <v>1440</v>
      </c>
      <c r="P326" s="139" t="s">
        <v>1292</v>
      </c>
    </row>
    <row r="327" spans="1:16">
      <c r="A327" s="104">
        <v>22</v>
      </c>
      <c r="B327" s="131">
        <v>46082</v>
      </c>
      <c r="C327" s="141">
        <v>4010</v>
      </c>
      <c r="D327" s="140" t="str">
        <f>IF(ISERROR(VLOOKUP(C327,'[1]خريطة الحسابات'!_xlnm.Print_Area,3,FALSE))," ",(VLOOKUP(C327,'[1]خريطة الحسابات'!_xlnm.Print_Area,3,FALSE)))</f>
        <v>شاهين سيراميك</v>
      </c>
      <c r="E327" s="132"/>
      <c r="F327" s="133">
        <v>2002</v>
      </c>
      <c r="G327" s="133"/>
      <c r="H327" s="134">
        <f t="shared" si="12"/>
        <v>2002</v>
      </c>
      <c r="I327" s="134">
        <f t="shared" si="12"/>
        <v>0</v>
      </c>
      <c r="J327" s="134">
        <f t="shared" si="13"/>
        <v>2002</v>
      </c>
      <c r="K327" s="135"/>
      <c r="L327" s="136" t="str">
        <f t="shared" si="14"/>
        <v>مدين</v>
      </c>
      <c r="M327" s="137" t="str">
        <f>IF(ISERROR(VLOOKUP(C327,'[1]خريطة الحسابات'!_xlnm.Print_Area,4,FALSE))," ",(VLOOKUP(C327,'[1]خريطة الحسابات'!_xlnm.Print_Area,4,FALSE)))</f>
        <v xml:space="preserve">مقاولين </v>
      </c>
      <c r="N327" s="138" t="str">
        <f>IF(ISERROR(VLOOKUP(C327,'[1]خريطة الحسابات'!_xlnm.Print_Area,5,FALSE))," ",(VLOOKUP(C327,'[1]خريطة الحسابات'!_xlnm.Print_Area,5,FALSE)))</f>
        <v xml:space="preserve">الدائنون والأرصدة الدائنة الأخرى </v>
      </c>
      <c r="O327" s="139" t="s">
        <v>1441</v>
      </c>
      <c r="P327" s="139" t="s">
        <v>1292</v>
      </c>
    </row>
    <row r="328" spans="1:16">
      <c r="A328" s="104">
        <v>22</v>
      </c>
      <c r="B328" s="131">
        <v>46086</v>
      </c>
      <c r="C328" s="141">
        <v>4010</v>
      </c>
      <c r="D328" s="140" t="str">
        <f>IF(ISERROR(VLOOKUP(C328,'[1]خريطة الحسابات'!_xlnm.Print_Area,3,FALSE))," ",(VLOOKUP(C328,'[1]خريطة الحسابات'!_xlnm.Print_Area,3,FALSE)))</f>
        <v>شاهين سيراميك</v>
      </c>
      <c r="E328" s="132"/>
      <c r="F328" s="133">
        <v>6455</v>
      </c>
      <c r="G328" s="133"/>
      <c r="H328" s="134">
        <f t="shared" si="12"/>
        <v>6455</v>
      </c>
      <c r="I328" s="134">
        <f t="shared" si="12"/>
        <v>0</v>
      </c>
      <c r="J328" s="134">
        <f t="shared" si="13"/>
        <v>6455</v>
      </c>
      <c r="K328" s="135"/>
      <c r="L328" s="136" t="str">
        <f t="shared" si="14"/>
        <v>مدين</v>
      </c>
      <c r="M328" s="137" t="str">
        <f>IF(ISERROR(VLOOKUP(C328,'[1]خريطة الحسابات'!_xlnm.Print_Area,4,FALSE))," ",(VLOOKUP(C328,'[1]خريطة الحسابات'!_xlnm.Print_Area,4,FALSE)))</f>
        <v xml:space="preserve">مقاولين </v>
      </c>
      <c r="N328" s="138" t="str">
        <f>IF(ISERROR(VLOOKUP(C328,'[1]خريطة الحسابات'!_xlnm.Print_Area,5,FALSE))," ",(VLOOKUP(C328,'[1]خريطة الحسابات'!_xlnm.Print_Area,5,FALSE)))</f>
        <v xml:space="preserve">الدائنون والأرصدة الدائنة الأخرى </v>
      </c>
      <c r="O328" s="139" t="s">
        <v>1442</v>
      </c>
      <c r="P328" s="139" t="s">
        <v>1292</v>
      </c>
    </row>
    <row r="329" spans="1:16">
      <c r="A329" s="104">
        <v>22</v>
      </c>
      <c r="B329" s="131">
        <v>46099</v>
      </c>
      <c r="C329" s="141">
        <v>4010</v>
      </c>
      <c r="D329" s="140" t="str">
        <f>IF(ISERROR(VLOOKUP(C329,'[1]خريطة الحسابات'!_xlnm.Print_Area,3,FALSE))," ",(VLOOKUP(C329,'[1]خريطة الحسابات'!_xlnm.Print_Area,3,FALSE)))</f>
        <v>شاهين سيراميك</v>
      </c>
      <c r="E329" s="132"/>
      <c r="F329" s="133">
        <v>28790</v>
      </c>
      <c r="G329" s="133"/>
      <c r="H329" s="134">
        <f t="shared" si="12"/>
        <v>28790</v>
      </c>
      <c r="I329" s="134">
        <f t="shared" si="12"/>
        <v>0</v>
      </c>
      <c r="J329" s="134">
        <f t="shared" si="13"/>
        <v>28790</v>
      </c>
      <c r="K329" s="135"/>
      <c r="L329" s="136" t="str">
        <f t="shared" si="14"/>
        <v>مدين</v>
      </c>
      <c r="M329" s="137" t="str">
        <f>IF(ISERROR(VLOOKUP(C329,'[1]خريطة الحسابات'!_xlnm.Print_Area,4,FALSE))," ",(VLOOKUP(C329,'[1]خريطة الحسابات'!_xlnm.Print_Area,4,FALSE)))</f>
        <v xml:space="preserve">مقاولين </v>
      </c>
      <c r="N329" s="138" t="str">
        <f>IF(ISERROR(VLOOKUP(C329,'[1]خريطة الحسابات'!_xlnm.Print_Area,5,FALSE))," ",(VLOOKUP(C329,'[1]خريطة الحسابات'!_xlnm.Print_Area,5,FALSE)))</f>
        <v xml:space="preserve">الدائنون والأرصدة الدائنة الأخرى </v>
      </c>
      <c r="O329" s="139" t="s">
        <v>1443</v>
      </c>
      <c r="P329" s="139" t="s">
        <v>1315</v>
      </c>
    </row>
    <row r="330" spans="1:16">
      <c r="A330" s="104">
        <v>22</v>
      </c>
      <c r="B330" s="131">
        <v>46121</v>
      </c>
      <c r="C330" s="141">
        <v>4010</v>
      </c>
      <c r="D330" s="140" t="str">
        <f>IF(ISERROR(VLOOKUP(C330,'[1]خريطة الحسابات'!_xlnm.Print_Area,3,FALSE))," ",(VLOOKUP(C330,'[1]خريطة الحسابات'!_xlnm.Print_Area,3,FALSE)))</f>
        <v>شاهين سيراميك</v>
      </c>
      <c r="E330" s="132"/>
      <c r="F330" s="133">
        <v>4005</v>
      </c>
      <c r="G330" s="133"/>
      <c r="H330" s="134">
        <f t="shared" si="12"/>
        <v>4005</v>
      </c>
      <c r="I330" s="134">
        <f t="shared" si="12"/>
        <v>0</v>
      </c>
      <c r="J330" s="134">
        <f t="shared" si="13"/>
        <v>4005</v>
      </c>
      <c r="K330" s="135"/>
      <c r="L330" s="136" t="str">
        <f t="shared" si="14"/>
        <v>مدين</v>
      </c>
      <c r="M330" s="137" t="str">
        <f>IF(ISERROR(VLOOKUP(C330,'[1]خريطة الحسابات'!_xlnm.Print_Area,4,FALSE))," ",(VLOOKUP(C330,'[1]خريطة الحسابات'!_xlnm.Print_Area,4,FALSE)))</f>
        <v xml:space="preserve">مقاولين </v>
      </c>
      <c r="N330" s="138" t="str">
        <f>IF(ISERROR(VLOOKUP(C330,'[1]خريطة الحسابات'!_xlnm.Print_Area,5,FALSE))," ",(VLOOKUP(C330,'[1]خريطة الحسابات'!_xlnm.Print_Area,5,FALSE)))</f>
        <v xml:space="preserve">الدائنون والأرصدة الدائنة الأخرى </v>
      </c>
      <c r="O330" s="139" t="s">
        <v>1444</v>
      </c>
      <c r="P330" s="139" t="s">
        <v>1315</v>
      </c>
    </row>
    <row r="331" spans="1:16">
      <c r="A331" s="104">
        <v>22</v>
      </c>
      <c r="B331" s="131">
        <v>46128</v>
      </c>
      <c r="C331" s="141">
        <v>4010</v>
      </c>
      <c r="D331" s="140" t="str">
        <f>IF(ISERROR(VLOOKUP(C331,'[1]خريطة الحسابات'!_xlnm.Print_Area,3,FALSE))," ",(VLOOKUP(C331,'[1]خريطة الحسابات'!_xlnm.Print_Area,3,FALSE)))</f>
        <v>شاهين سيراميك</v>
      </c>
      <c r="E331" s="132"/>
      <c r="F331" s="133">
        <v>4004</v>
      </c>
      <c r="G331" s="133"/>
      <c r="H331" s="134">
        <f t="shared" si="12"/>
        <v>4004</v>
      </c>
      <c r="I331" s="134">
        <f t="shared" si="12"/>
        <v>0</v>
      </c>
      <c r="J331" s="134">
        <f t="shared" si="13"/>
        <v>4004</v>
      </c>
      <c r="K331" s="135"/>
      <c r="L331" s="136" t="str">
        <f t="shared" si="14"/>
        <v>مدين</v>
      </c>
      <c r="M331" s="137" t="str">
        <f>IF(ISERROR(VLOOKUP(C331,'[1]خريطة الحسابات'!_xlnm.Print_Area,4,FALSE))," ",(VLOOKUP(C331,'[1]خريطة الحسابات'!_xlnm.Print_Area,4,FALSE)))</f>
        <v xml:space="preserve">مقاولين </v>
      </c>
      <c r="N331" s="138" t="str">
        <f>IF(ISERROR(VLOOKUP(C331,'[1]خريطة الحسابات'!_xlnm.Print_Area,5,FALSE))," ",(VLOOKUP(C331,'[1]خريطة الحسابات'!_xlnm.Print_Area,5,FALSE)))</f>
        <v xml:space="preserve">الدائنون والأرصدة الدائنة الأخرى </v>
      </c>
      <c r="O331" s="139" t="s">
        <v>1445</v>
      </c>
      <c r="P331" s="139" t="s">
        <v>1315</v>
      </c>
    </row>
    <row r="332" spans="1:16">
      <c r="A332" s="104">
        <v>22</v>
      </c>
      <c r="B332" s="131">
        <v>46135</v>
      </c>
      <c r="C332" s="141">
        <v>4010</v>
      </c>
      <c r="D332" s="140" t="str">
        <f>IF(ISERROR(VLOOKUP(C332,'[1]خريطة الحسابات'!_xlnm.Print_Area,3,FALSE))," ",(VLOOKUP(C332,'[1]خريطة الحسابات'!_xlnm.Print_Area,3,FALSE)))</f>
        <v>شاهين سيراميك</v>
      </c>
      <c r="E332" s="132"/>
      <c r="F332" s="133">
        <v>1300</v>
      </c>
      <c r="G332" s="133"/>
      <c r="H332" s="134">
        <f t="shared" si="12"/>
        <v>1300</v>
      </c>
      <c r="I332" s="134">
        <f t="shared" si="12"/>
        <v>0</v>
      </c>
      <c r="J332" s="134">
        <f t="shared" si="13"/>
        <v>1300</v>
      </c>
      <c r="K332" s="135"/>
      <c r="L332" s="136" t="str">
        <f t="shared" si="14"/>
        <v>مدين</v>
      </c>
      <c r="M332" s="137" t="str">
        <f>IF(ISERROR(VLOOKUP(C332,'[1]خريطة الحسابات'!_xlnm.Print_Area,4,FALSE))," ",(VLOOKUP(C332,'[1]خريطة الحسابات'!_xlnm.Print_Area,4,FALSE)))</f>
        <v xml:space="preserve">مقاولين </v>
      </c>
      <c r="N332" s="138" t="str">
        <f>IF(ISERROR(VLOOKUP(C332,'[1]خريطة الحسابات'!_xlnm.Print_Area,5,FALSE))," ",(VLOOKUP(C332,'[1]خريطة الحسابات'!_xlnm.Print_Area,5,FALSE)))</f>
        <v xml:space="preserve">الدائنون والأرصدة الدائنة الأخرى </v>
      </c>
      <c r="O332" s="139" t="s">
        <v>1446</v>
      </c>
      <c r="P332" s="139" t="s">
        <v>1290</v>
      </c>
    </row>
    <row r="333" spans="1:16">
      <c r="A333" s="104">
        <v>22</v>
      </c>
      <c r="B333" s="131">
        <v>46050</v>
      </c>
      <c r="C333" s="141">
        <v>20</v>
      </c>
      <c r="D333" s="140" t="str">
        <f>IF(ISERROR(VLOOKUP(C333,'[1]خريطة الحسابات'!_xlnm.Print_Area,3,FALSE))," ",(VLOOKUP(C333,'[1]خريطة الحسابات'!_xlnm.Print_Area,3,FALSE)))</f>
        <v xml:space="preserve">الخزينة </v>
      </c>
      <c r="E333" s="132"/>
      <c r="F333" s="133"/>
      <c r="G333" s="133">
        <v>8508</v>
      </c>
      <c r="H333" s="134">
        <f t="shared" si="12"/>
        <v>0</v>
      </c>
      <c r="I333" s="134">
        <f t="shared" si="12"/>
        <v>8508</v>
      </c>
      <c r="J333" s="134">
        <f t="shared" si="13"/>
        <v>-8508</v>
      </c>
      <c r="K333" s="135"/>
      <c r="L333" s="136" t="str">
        <f t="shared" si="14"/>
        <v>دائن</v>
      </c>
      <c r="M333" s="137" t="str">
        <f>IF(ISERROR(VLOOKUP(C333,'[1]خريطة الحسابات'!_xlnm.Print_Area,4,FALSE))," ",(VLOOKUP(C333,'[1]خريطة الحسابات'!_xlnm.Print_Area,4,FALSE)))</f>
        <v xml:space="preserve">أصول متداوله -النقدية ومافي حكمها </v>
      </c>
      <c r="N333" s="138" t="str">
        <f>IF(ISERROR(VLOOKUP(C333,'[1]خريطة الحسابات'!_xlnm.Print_Area,5,FALSE))," ",(VLOOKUP(C333,'[1]خريطة الحسابات'!_xlnm.Print_Area,5,FALSE)))</f>
        <v>الاصول</v>
      </c>
      <c r="O333" s="139" t="s">
        <v>1408</v>
      </c>
      <c r="P333" s="139" t="s">
        <v>1292</v>
      </c>
    </row>
    <row r="334" spans="1:16">
      <c r="A334" s="104">
        <v>22</v>
      </c>
      <c r="B334" s="131">
        <v>46058</v>
      </c>
      <c r="C334" s="141">
        <v>20</v>
      </c>
      <c r="D334" s="140" t="str">
        <f>IF(ISERROR(VLOOKUP(C334,'[1]خريطة الحسابات'!_xlnm.Print_Area,3,FALSE))," ",(VLOOKUP(C334,'[1]خريطة الحسابات'!_xlnm.Print_Area,3,FALSE)))</f>
        <v xml:space="preserve">الخزينة </v>
      </c>
      <c r="E334" s="132"/>
      <c r="F334" s="133"/>
      <c r="G334" s="133">
        <v>3403</v>
      </c>
      <c r="H334" s="134">
        <f t="shared" si="12"/>
        <v>0</v>
      </c>
      <c r="I334" s="134">
        <f t="shared" si="12"/>
        <v>3403</v>
      </c>
      <c r="J334" s="134">
        <f t="shared" si="13"/>
        <v>-3403</v>
      </c>
      <c r="K334" s="135"/>
      <c r="L334" s="136" t="str">
        <f t="shared" si="14"/>
        <v>دائن</v>
      </c>
      <c r="M334" s="137" t="str">
        <f>IF(ISERROR(VLOOKUP(C334,'[1]خريطة الحسابات'!_xlnm.Print_Area,4,FALSE))," ",(VLOOKUP(C334,'[1]خريطة الحسابات'!_xlnm.Print_Area,4,FALSE)))</f>
        <v xml:space="preserve">أصول متداوله -النقدية ومافي حكمها </v>
      </c>
      <c r="N334" s="138" t="str">
        <f>IF(ISERROR(VLOOKUP(C334,'[1]خريطة الحسابات'!_xlnm.Print_Area,5,FALSE))," ",(VLOOKUP(C334,'[1]خريطة الحسابات'!_xlnm.Print_Area,5,FALSE)))</f>
        <v>الاصول</v>
      </c>
      <c r="O334" s="139" t="s">
        <v>1438</v>
      </c>
      <c r="P334" s="139" t="s">
        <v>1299</v>
      </c>
    </row>
    <row r="335" spans="1:16">
      <c r="A335" s="104">
        <v>22</v>
      </c>
      <c r="B335" s="131">
        <v>46058</v>
      </c>
      <c r="C335" s="141">
        <v>20</v>
      </c>
      <c r="D335" s="140" t="str">
        <f>IF(ISERROR(VLOOKUP(C335,'[1]خريطة الحسابات'!_xlnm.Print_Area,3,FALSE))," ",(VLOOKUP(C335,'[1]خريطة الحسابات'!_xlnm.Print_Area,3,FALSE)))</f>
        <v xml:space="preserve">الخزينة </v>
      </c>
      <c r="E335" s="132"/>
      <c r="F335" s="133"/>
      <c r="G335" s="133">
        <v>10010</v>
      </c>
      <c r="H335" s="134">
        <f t="shared" si="12"/>
        <v>0</v>
      </c>
      <c r="I335" s="134">
        <f t="shared" si="12"/>
        <v>10010</v>
      </c>
      <c r="J335" s="134">
        <f t="shared" si="13"/>
        <v>-10010</v>
      </c>
      <c r="K335" s="135"/>
      <c r="L335" s="136" t="str">
        <f t="shared" si="14"/>
        <v>دائن</v>
      </c>
      <c r="M335" s="137" t="str">
        <f>IF(ISERROR(VLOOKUP(C335,'[1]خريطة الحسابات'!_xlnm.Print_Area,4,FALSE))," ",(VLOOKUP(C335,'[1]خريطة الحسابات'!_xlnm.Print_Area,4,FALSE)))</f>
        <v xml:space="preserve">أصول متداوله -النقدية ومافي حكمها </v>
      </c>
      <c r="N335" s="138" t="str">
        <f>IF(ISERROR(VLOOKUP(C335,'[1]خريطة الحسابات'!_xlnm.Print_Area,5,FALSE))," ",(VLOOKUP(C335,'[1]خريطة الحسابات'!_xlnm.Print_Area,5,FALSE)))</f>
        <v>الاصول</v>
      </c>
      <c r="O335" s="139" t="s">
        <v>1439</v>
      </c>
      <c r="P335" s="139" t="s">
        <v>1292</v>
      </c>
    </row>
    <row r="336" spans="1:16">
      <c r="A336" s="104">
        <v>22</v>
      </c>
      <c r="B336" s="131">
        <v>46065</v>
      </c>
      <c r="C336" s="141">
        <v>20</v>
      </c>
      <c r="D336" s="140" t="str">
        <f>IF(ISERROR(VLOOKUP(C336,'[1]خريطة الحسابات'!_xlnm.Print_Area,3,FALSE))," ",(VLOOKUP(C336,'[1]خريطة الحسابات'!_xlnm.Print_Area,3,FALSE)))</f>
        <v xml:space="preserve">الخزينة </v>
      </c>
      <c r="E336" s="132"/>
      <c r="F336" s="133"/>
      <c r="G336" s="133">
        <v>15015</v>
      </c>
      <c r="H336" s="134">
        <f t="shared" si="12"/>
        <v>0</v>
      </c>
      <c r="I336" s="134">
        <f t="shared" si="12"/>
        <v>15015</v>
      </c>
      <c r="J336" s="134">
        <f t="shared" si="13"/>
        <v>-15015</v>
      </c>
      <c r="K336" s="135"/>
      <c r="L336" s="136" t="str">
        <f t="shared" si="14"/>
        <v>دائن</v>
      </c>
      <c r="M336" s="137" t="str">
        <f>IF(ISERROR(VLOOKUP(C336,'[1]خريطة الحسابات'!_xlnm.Print_Area,4,FALSE))," ",(VLOOKUP(C336,'[1]خريطة الحسابات'!_xlnm.Print_Area,4,FALSE)))</f>
        <v xml:space="preserve">أصول متداوله -النقدية ومافي حكمها </v>
      </c>
      <c r="N336" s="138" t="str">
        <f>IF(ISERROR(VLOOKUP(C336,'[1]خريطة الحسابات'!_xlnm.Print_Area,5,FALSE))," ",(VLOOKUP(C336,'[1]خريطة الحسابات'!_xlnm.Print_Area,5,FALSE)))</f>
        <v>الاصول</v>
      </c>
      <c r="O336" s="139" t="s">
        <v>1440</v>
      </c>
      <c r="P336" s="139" t="s">
        <v>1292</v>
      </c>
    </row>
    <row r="337" spans="1:16">
      <c r="A337" s="104">
        <v>22</v>
      </c>
      <c r="B337" s="131">
        <v>46082</v>
      </c>
      <c r="C337" s="141">
        <v>20</v>
      </c>
      <c r="D337" s="140" t="str">
        <f>IF(ISERROR(VLOOKUP(C337,'[1]خريطة الحسابات'!_xlnm.Print_Area,3,FALSE))," ",(VLOOKUP(C337,'[1]خريطة الحسابات'!_xlnm.Print_Area,3,FALSE)))</f>
        <v xml:space="preserve">الخزينة </v>
      </c>
      <c r="E337" s="132"/>
      <c r="F337" s="133"/>
      <c r="G337" s="133">
        <v>2002</v>
      </c>
      <c r="H337" s="134">
        <f t="shared" si="12"/>
        <v>0</v>
      </c>
      <c r="I337" s="134">
        <f t="shared" si="12"/>
        <v>2002</v>
      </c>
      <c r="J337" s="134">
        <f t="shared" si="13"/>
        <v>-2002</v>
      </c>
      <c r="K337" s="135"/>
      <c r="L337" s="136" t="str">
        <f t="shared" si="14"/>
        <v>دائن</v>
      </c>
      <c r="M337" s="137" t="str">
        <f>IF(ISERROR(VLOOKUP(C337,'[1]خريطة الحسابات'!_xlnm.Print_Area,4,FALSE))," ",(VLOOKUP(C337,'[1]خريطة الحسابات'!_xlnm.Print_Area,4,FALSE)))</f>
        <v xml:space="preserve">أصول متداوله -النقدية ومافي حكمها </v>
      </c>
      <c r="N337" s="138" t="str">
        <f>IF(ISERROR(VLOOKUP(C337,'[1]خريطة الحسابات'!_xlnm.Print_Area,5,FALSE))," ",(VLOOKUP(C337,'[1]خريطة الحسابات'!_xlnm.Print_Area,5,FALSE)))</f>
        <v>الاصول</v>
      </c>
      <c r="O337" s="139" t="s">
        <v>1441</v>
      </c>
      <c r="P337" s="139" t="s">
        <v>1292</v>
      </c>
    </row>
    <row r="338" spans="1:16">
      <c r="A338" s="104">
        <v>22</v>
      </c>
      <c r="B338" s="131">
        <v>46086</v>
      </c>
      <c r="C338" s="141">
        <v>20</v>
      </c>
      <c r="D338" s="140" t="str">
        <f>IF(ISERROR(VLOOKUP(C338,'[1]خريطة الحسابات'!_xlnm.Print_Area,3,FALSE))," ",(VLOOKUP(C338,'[1]خريطة الحسابات'!_xlnm.Print_Area,3,FALSE)))</f>
        <v xml:space="preserve">الخزينة </v>
      </c>
      <c r="E338" s="132"/>
      <c r="F338" s="133"/>
      <c r="G338" s="133">
        <v>6455</v>
      </c>
      <c r="H338" s="134">
        <f t="shared" si="12"/>
        <v>0</v>
      </c>
      <c r="I338" s="134">
        <f t="shared" si="12"/>
        <v>6455</v>
      </c>
      <c r="J338" s="134">
        <f t="shared" si="13"/>
        <v>-6455</v>
      </c>
      <c r="K338" s="135"/>
      <c r="L338" s="136" t="str">
        <f t="shared" si="14"/>
        <v>دائن</v>
      </c>
      <c r="M338" s="137" t="str">
        <f>IF(ISERROR(VLOOKUP(C338,'[1]خريطة الحسابات'!_xlnm.Print_Area,4,FALSE))," ",(VLOOKUP(C338,'[1]خريطة الحسابات'!_xlnm.Print_Area,4,FALSE)))</f>
        <v xml:space="preserve">أصول متداوله -النقدية ومافي حكمها </v>
      </c>
      <c r="N338" s="138" t="str">
        <f>IF(ISERROR(VLOOKUP(C338,'[1]خريطة الحسابات'!_xlnm.Print_Area,5,FALSE))," ",(VLOOKUP(C338,'[1]خريطة الحسابات'!_xlnm.Print_Area,5,FALSE)))</f>
        <v>الاصول</v>
      </c>
      <c r="O338" s="139" t="s">
        <v>1442</v>
      </c>
      <c r="P338" s="139" t="s">
        <v>1292</v>
      </c>
    </row>
    <row r="339" spans="1:16">
      <c r="A339" s="104">
        <v>22</v>
      </c>
      <c r="B339" s="131">
        <v>46099</v>
      </c>
      <c r="C339" s="141">
        <v>20</v>
      </c>
      <c r="D339" s="140" t="str">
        <f>IF(ISERROR(VLOOKUP(C339,'[1]خريطة الحسابات'!_xlnm.Print_Area,3,FALSE))," ",(VLOOKUP(C339,'[1]خريطة الحسابات'!_xlnm.Print_Area,3,FALSE)))</f>
        <v xml:space="preserve">الخزينة </v>
      </c>
      <c r="E339" s="132"/>
      <c r="F339" s="133"/>
      <c r="G339" s="133">
        <v>28790</v>
      </c>
      <c r="H339" s="134">
        <f t="shared" si="12"/>
        <v>0</v>
      </c>
      <c r="I339" s="134">
        <f t="shared" si="12"/>
        <v>28790</v>
      </c>
      <c r="J339" s="134">
        <f t="shared" si="13"/>
        <v>-28790</v>
      </c>
      <c r="K339" s="135"/>
      <c r="L339" s="136" t="str">
        <f t="shared" si="14"/>
        <v>دائن</v>
      </c>
      <c r="M339" s="137" t="str">
        <f>IF(ISERROR(VLOOKUP(C339,'[1]خريطة الحسابات'!_xlnm.Print_Area,4,FALSE))," ",(VLOOKUP(C339,'[1]خريطة الحسابات'!_xlnm.Print_Area,4,FALSE)))</f>
        <v xml:space="preserve">أصول متداوله -النقدية ومافي حكمها </v>
      </c>
      <c r="N339" s="138" t="str">
        <f>IF(ISERROR(VLOOKUP(C339,'[1]خريطة الحسابات'!_xlnm.Print_Area,5,FALSE))," ",(VLOOKUP(C339,'[1]خريطة الحسابات'!_xlnm.Print_Area,5,FALSE)))</f>
        <v>الاصول</v>
      </c>
      <c r="O339" s="139" t="s">
        <v>1443</v>
      </c>
      <c r="P339" s="139" t="s">
        <v>1315</v>
      </c>
    </row>
    <row r="340" spans="1:16">
      <c r="A340" s="104">
        <v>22</v>
      </c>
      <c r="B340" s="131">
        <v>46121</v>
      </c>
      <c r="C340" s="141">
        <v>20</v>
      </c>
      <c r="D340" s="140" t="str">
        <f>IF(ISERROR(VLOOKUP(C340,'[1]خريطة الحسابات'!_xlnm.Print_Area,3,FALSE))," ",(VLOOKUP(C340,'[1]خريطة الحسابات'!_xlnm.Print_Area,3,FALSE)))</f>
        <v xml:space="preserve">الخزينة </v>
      </c>
      <c r="E340" s="132"/>
      <c r="F340" s="133"/>
      <c r="G340" s="133">
        <v>4005</v>
      </c>
      <c r="H340" s="134">
        <f t="shared" si="12"/>
        <v>0</v>
      </c>
      <c r="I340" s="134">
        <f t="shared" si="12"/>
        <v>4005</v>
      </c>
      <c r="J340" s="134">
        <f t="shared" si="13"/>
        <v>-4005</v>
      </c>
      <c r="K340" s="135"/>
      <c r="L340" s="136" t="str">
        <f t="shared" si="14"/>
        <v>دائن</v>
      </c>
      <c r="M340" s="137" t="str">
        <f>IF(ISERROR(VLOOKUP(C340,'[1]خريطة الحسابات'!_xlnm.Print_Area,4,FALSE))," ",(VLOOKUP(C340,'[1]خريطة الحسابات'!_xlnm.Print_Area,4,FALSE)))</f>
        <v xml:space="preserve">أصول متداوله -النقدية ومافي حكمها </v>
      </c>
      <c r="N340" s="138" t="str">
        <f>IF(ISERROR(VLOOKUP(C340,'[1]خريطة الحسابات'!_xlnm.Print_Area,5,FALSE))," ",(VLOOKUP(C340,'[1]خريطة الحسابات'!_xlnm.Print_Area,5,FALSE)))</f>
        <v>الاصول</v>
      </c>
      <c r="O340" s="139" t="s">
        <v>1444</v>
      </c>
      <c r="P340" s="139" t="s">
        <v>1315</v>
      </c>
    </row>
    <row r="341" spans="1:16">
      <c r="A341" s="104">
        <v>22</v>
      </c>
      <c r="B341" s="131">
        <v>46128</v>
      </c>
      <c r="C341" s="141">
        <v>20</v>
      </c>
      <c r="D341" s="140" t="str">
        <f>IF(ISERROR(VLOOKUP(C341,'[1]خريطة الحسابات'!_xlnm.Print_Area,3,FALSE))," ",(VLOOKUP(C341,'[1]خريطة الحسابات'!_xlnm.Print_Area,3,FALSE)))</f>
        <v xml:space="preserve">الخزينة </v>
      </c>
      <c r="E341" s="132"/>
      <c r="F341" s="133"/>
      <c r="G341" s="133">
        <v>4004</v>
      </c>
      <c r="H341" s="134">
        <f t="shared" si="12"/>
        <v>0</v>
      </c>
      <c r="I341" s="134">
        <f t="shared" si="12"/>
        <v>4004</v>
      </c>
      <c r="J341" s="134">
        <f t="shared" si="13"/>
        <v>-4004</v>
      </c>
      <c r="K341" s="135"/>
      <c r="L341" s="136" t="str">
        <f t="shared" si="14"/>
        <v>دائن</v>
      </c>
      <c r="M341" s="137" t="str">
        <f>IF(ISERROR(VLOOKUP(C341,'[1]خريطة الحسابات'!_xlnm.Print_Area,4,FALSE))," ",(VLOOKUP(C341,'[1]خريطة الحسابات'!_xlnm.Print_Area,4,FALSE)))</f>
        <v xml:space="preserve">أصول متداوله -النقدية ومافي حكمها </v>
      </c>
      <c r="N341" s="138" t="str">
        <f>IF(ISERROR(VLOOKUP(C341,'[1]خريطة الحسابات'!_xlnm.Print_Area,5,FALSE))," ",(VLOOKUP(C341,'[1]خريطة الحسابات'!_xlnm.Print_Area,5,FALSE)))</f>
        <v>الاصول</v>
      </c>
      <c r="O341" s="139" t="s">
        <v>1445</v>
      </c>
      <c r="P341" s="139" t="s">
        <v>1315</v>
      </c>
    </row>
    <row r="342" spans="1:16">
      <c r="A342" s="104">
        <v>22</v>
      </c>
      <c r="B342" s="131">
        <v>46135</v>
      </c>
      <c r="C342" s="141">
        <v>20</v>
      </c>
      <c r="D342" s="140" t="str">
        <f>IF(ISERROR(VLOOKUP(C342,'[1]خريطة الحسابات'!_xlnm.Print_Area,3,FALSE))," ",(VLOOKUP(C342,'[1]خريطة الحسابات'!_xlnm.Print_Area,3,FALSE)))</f>
        <v xml:space="preserve">الخزينة </v>
      </c>
      <c r="E342" s="132"/>
      <c r="F342" s="133"/>
      <c r="G342" s="133">
        <v>1300</v>
      </c>
      <c r="H342" s="134">
        <f t="shared" si="12"/>
        <v>0</v>
      </c>
      <c r="I342" s="134">
        <f t="shared" si="12"/>
        <v>1300</v>
      </c>
      <c r="J342" s="134">
        <f t="shared" si="13"/>
        <v>-1300</v>
      </c>
      <c r="K342" s="135"/>
      <c r="L342" s="136" t="str">
        <f t="shared" si="14"/>
        <v>دائن</v>
      </c>
      <c r="M342" s="137" t="str">
        <f>IF(ISERROR(VLOOKUP(C342,'[1]خريطة الحسابات'!_xlnm.Print_Area,4,FALSE))," ",(VLOOKUP(C342,'[1]خريطة الحسابات'!_xlnm.Print_Area,4,FALSE)))</f>
        <v xml:space="preserve">أصول متداوله -النقدية ومافي حكمها </v>
      </c>
      <c r="N342" s="138" t="str">
        <f>IF(ISERROR(VLOOKUP(C342,'[1]خريطة الحسابات'!_xlnm.Print_Area,5,FALSE))," ",(VLOOKUP(C342,'[1]خريطة الحسابات'!_xlnm.Print_Area,5,FALSE)))</f>
        <v>الاصول</v>
      </c>
      <c r="O342" s="139" t="s">
        <v>1446</v>
      </c>
      <c r="P342" s="139" t="s">
        <v>1290</v>
      </c>
    </row>
    <row r="343" spans="1:16">
      <c r="A343" s="104">
        <v>23</v>
      </c>
      <c r="B343" s="131">
        <v>46117</v>
      </c>
      <c r="C343" s="141">
        <v>4058</v>
      </c>
      <c r="D343" s="140" t="str">
        <f>IF(ISERROR(VLOOKUP(C343,'[1]خريطة الحسابات'!_xlnm.Print_Area,3,FALSE))," ",(VLOOKUP(C343,'[1]خريطة الحسابات'!_xlnm.Print_Area,3,FALSE)))</f>
        <v>شريف تنجيد</v>
      </c>
      <c r="E343" s="132"/>
      <c r="F343" s="133">
        <v>150000</v>
      </c>
      <c r="G343" s="133"/>
      <c r="H343" s="134">
        <f t="shared" si="12"/>
        <v>150000</v>
      </c>
      <c r="I343" s="134">
        <f t="shared" si="12"/>
        <v>0</v>
      </c>
      <c r="J343" s="134">
        <f t="shared" si="13"/>
        <v>150000</v>
      </c>
      <c r="K343" s="135"/>
      <c r="L343" s="136" t="str">
        <f t="shared" si="14"/>
        <v>مدين</v>
      </c>
      <c r="M343" s="137" t="str">
        <f>IF(ISERROR(VLOOKUP(C343,'[1]خريطة الحسابات'!_xlnm.Print_Area,4,FALSE))," ",(VLOOKUP(C343,'[1]خريطة الحسابات'!_xlnm.Print_Area,4,FALSE)))</f>
        <v>موردين</v>
      </c>
      <c r="N343" s="138" t="str">
        <f>IF(ISERROR(VLOOKUP(C343,'[1]خريطة الحسابات'!_xlnm.Print_Area,5,FALSE))," ",(VLOOKUP(C343,'[1]خريطة الحسابات'!_xlnm.Print_Area,5,FALSE)))</f>
        <v xml:space="preserve">الدائنون والأرصدة الدائنة الأخرى </v>
      </c>
      <c r="O343" s="139" t="s">
        <v>1447</v>
      </c>
      <c r="P343" s="139" t="s">
        <v>1290</v>
      </c>
    </row>
    <row r="344" spans="1:16">
      <c r="A344" s="104">
        <v>23</v>
      </c>
      <c r="B344" s="131">
        <v>46144</v>
      </c>
      <c r="C344" s="141">
        <v>4058</v>
      </c>
      <c r="D344" s="140" t="str">
        <f>IF(ISERROR(VLOOKUP(C344,'[1]خريطة الحسابات'!_xlnm.Print_Area,3,FALSE))," ",(VLOOKUP(C344,'[1]خريطة الحسابات'!_xlnm.Print_Area,3,FALSE)))</f>
        <v>شريف تنجيد</v>
      </c>
      <c r="E344" s="132"/>
      <c r="F344" s="133">
        <v>70000</v>
      </c>
      <c r="G344" s="133"/>
      <c r="H344" s="134">
        <f t="shared" ref="H344:I407" si="15">IF($E344=2,F344*3.465,F344)</f>
        <v>70000</v>
      </c>
      <c r="I344" s="134">
        <f t="shared" si="15"/>
        <v>0</v>
      </c>
      <c r="J344" s="134">
        <f t="shared" ref="J344:J407" si="16">H344-I344</f>
        <v>70000</v>
      </c>
      <c r="K344" s="135"/>
      <c r="L344" s="136" t="str">
        <f t="shared" si="14"/>
        <v>مدين</v>
      </c>
      <c r="M344" s="137" t="str">
        <f>IF(ISERROR(VLOOKUP(C344,'[1]خريطة الحسابات'!_xlnm.Print_Area,4,FALSE))," ",(VLOOKUP(C344,'[1]خريطة الحسابات'!_xlnm.Print_Area,4,FALSE)))</f>
        <v>موردين</v>
      </c>
      <c r="N344" s="138" t="str">
        <f>IF(ISERROR(VLOOKUP(C344,'[1]خريطة الحسابات'!_xlnm.Print_Area,5,FALSE))," ",(VLOOKUP(C344,'[1]خريطة الحسابات'!_xlnm.Print_Area,5,FALSE)))</f>
        <v xml:space="preserve">الدائنون والأرصدة الدائنة الأخرى </v>
      </c>
      <c r="O344" s="139" t="s">
        <v>1448</v>
      </c>
      <c r="P344" s="139" t="s">
        <v>1290</v>
      </c>
    </row>
    <row r="345" spans="1:16">
      <c r="A345" s="104">
        <v>23</v>
      </c>
      <c r="B345" s="131">
        <v>46151</v>
      </c>
      <c r="C345" s="141">
        <v>4058</v>
      </c>
      <c r="D345" s="140" t="str">
        <f>IF(ISERROR(VLOOKUP(C345,'[1]خريطة الحسابات'!_xlnm.Print_Area,3,FALSE))," ",(VLOOKUP(C345,'[1]خريطة الحسابات'!_xlnm.Print_Area,3,FALSE)))</f>
        <v>شريف تنجيد</v>
      </c>
      <c r="E345" s="132"/>
      <c r="F345" s="133">
        <v>35000</v>
      </c>
      <c r="G345" s="133"/>
      <c r="H345" s="134">
        <f t="shared" si="15"/>
        <v>35000</v>
      </c>
      <c r="I345" s="134">
        <f t="shared" si="15"/>
        <v>0</v>
      </c>
      <c r="J345" s="134">
        <f t="shared" si="16"/>
        <v>35000</v>
      </c>
      <c r="K345" s="135"/>
      <c r="L345" s="136" t="str">
        <f t="shared" si="14"/>
        <v>مدين</v>
      </c>
      <c r="M345" s="137" t="str">
        <f>IF(ISERROR(VLOOKUP(C345,'[1]خريطة الحسابات'!_xlnm.Print_Area,4,FALSE))," ",(VLOOKUP(C345,'[1]خريطة الحسابات'!_xlnm.Print_Area,4,FALSE)))</f>
        <v>موردين</v>
      </c>
      <c r="N345" s="138" t="str">
        <f>IF(ISERROR(VLOOKUP(C345,'[1]خريطة الحسابات'!_xlnm.Print_Area,5,FALSE))," ",(VLOOKUP(C345,'[1]خريطة الحسابات'!_xlnm.Print_Area,5,FALSE)))</f>
        <v xml:space="preserve">الدائنون والأرصدة الدائنة الأخرى </v>
      </c>
      <c r="O345" s="139" t="s">
        <v>1449</v>
      </c>
      <c r="P345" s="139" t="s">
        <v>1315</v>
      </c>
    </row>
    <row r="346" spans="1:16">
      <c r="A346" s="104">
        <v>23</v>
      </c>
      <c r="B346" s="131">
        <v>46163</v>
      </c>
      <c r="C346" s="141">
        <v>4058</v>
      </c>
      <c r="D346" s="140" t="str">
        <f>IF(ISERROR(VLOOKUP(C346,'[1]خريطة الحسابات'!_xlnm.Print_Area,3,FALSE))," ",(VLOOKUP(C346,'[1]خريطة الحسابات'!_xlnm.Print_Area,3,FALSE)))</f>
        <v>شريف تنجيد</v>
      </c>
      <c r="E346" s="132"/>
      <c r="F346" s="133">
        <v>50000</v>
      </c>
      <c r="G346" s="133"/>
      <c r="H346" s="134">
        <f t="shared" si="15"/>
        <v>50000</v>
      </c>
      <c r="I346" s="134">
        <f t="shared" si="15"/>
        <v>0</v>
      </c>
      <c r="J346" s="134">
        <f t="shared" si="16"/>
        <v>50000</v>
      </c>
      <c r="K346" s="135"/>
      <c r="L346" s="136" t="str">
        <f t="shared" ref="L346:L409" si="17">IF(J346&lt;0,"دائن",IF(J346&gt;0,"مدين",""))</f>
        <v>مدين</v>
      </c>
      <c r="M346" s="137" t="str">
        <f>IF(ISERROR(VLOOKUP(C346,'[1]خريطة الحسابات'!_xlnm.Print_Area,4,FALSE))," ",(VLOOKUP(C346,'[1]خريطة الحسابات'!_xlnm.Print_Area,4,FALSE)))</f>
        <v>موردين</v>
      </c>
      <c r="N346" s="138" t="str">
        <f>IF(ISERROR(VLOOKUP(C346,'[1]خريطة الحسابات'!_xlnm.Print_Area,5,FALSE))," ",(VLOOKUP(C346,'[1]خريطة الحسابات'!_xlnm.Print_Area,5,FALSE)))</f>
        <v xml:space="preserve">الدائنون والأرصدة الدائنة الأخرى </v>
      </c>
      <c r="O346" s="139" t="s">
        <v>1448</v>
      </c>
      <c r="P346" s="139" t="s">
        <v>1290</v>
      </c>
    </row>
    <row r="347" spans="1:16">
      <c r="A347" s="104">
        <v>23</v>
      </c>
      <c r="B347" s="131">
        <v>46117</v>
      </c>
      <c r="C347" s="141">
        <v>20</v>
      </c>
      <c r="D347" s="140" t="str">
        <f>IF(ISERROR(VLOOKUP(C347,'[1]خريطة الحسابات'!_xlnm.Print_Area,3,FALSE))," ",(VLOOKUP(C347,'[1]خريطة الحسابات'!_xlnm.Print_Area,3,FALSE)))</f>
        <v xml:space="preserve">الخزينة </v>
      </c>
      <c r="E347" s="132"/>
      <c r="F347" s="133"/>
      <c r="G347" s="133">
        <v>150000</v>
      </c>
      <c r="H347" s="134">
        <f t="shared" si="15"/>
        <v>0</v>
      </c>
      <c r="I347" s="134">
        <f t="shared" si="15"/>
        <v>150000</v>
      </c>
      <c r="J347" s="134">
        <f t="shared" si="16"/>
        <v>-150000</v>
      </c>
      <c r="K347" s="135"/>
      <c r="L347" s="136" t="str">
        <f t="shared" si="17"/>
        <v>دائن</v>
      </c>
      <c r="M347" s="137" t="str">
        <f>IF(ISERROR(VLOOKUP(C347,'[1]خريطة الحسابات'!_xlnm.Print_Area,4,FALSE))," ",(VLOOKUP(C347,'[1]خريطة الحسابات'!_xlnm.Print_Area,4,FALSE)))</f>
        <v xml:space="preserve">أصول متداوله -النقدية ومافي حكمها </v>
      </c>
      <c r="N347" s="138" t="str">
        <f>IF(ISERROR(VLOOKUP(C347,'[1]خريطة الحسابات'!_xlnm.Print_Area,5,FALSE))," ",(VLOOKUP(C347,'[1]خريطة الحسابات'!_xlnm.Print_Area,5,FALSE)))</f>
        <v>الاصول</v>
      </c>
      <c r="O347" s="139" t="s">
        <v>1447</v>
      </c>
      <c r="P347" s="139" t="s">
        <v>1290</v>
      </c>
    </row>
    <row r="348" spans="1:16">
      <c r="A348" s="104">
        <v>23</v>
      </c>
      <c r="B348" s="131">
        <v>46144</v>
      </c>
      <c r="C348" s="141">
        <v>20</v>
      </c>
      <c r="D348" s="140" t="str">
        <f>IF(ISERROR(VLOOKUP(C348,'[1]خريطة الحسابات'!_xlnm.Print_Area,3,FALSE))," ",(VLOOKUP(C348,'[1]خريطة الحسابات'!_xlnm.Print_Area,3,FALSE)))</f>
        <v xml:space="preserve">الخزينة </v>
      </c>
      <c r="E348" s="132"/>
      <c r="F348" s="133"/>
      <c r="G348" s="133">
        <v>70000</v>
      </c>
      <c r="H348" s="134">
        <f t="shared" si="15"/>
        <v>0</v>
      </c>
      <c r="I348" s="134">
        <f t="shared" si="15"/>
        <v>70000</v>
      </c>
      <c r="J348" s="134">
        <f t="shared" si="16"/>
        <v>-70000</v>
      </c>
      <c r="K348" s="135"/>
      <c r="L348" s="136" t="str">
        <f t="shared" si="17"/>
        <v>دائن</v>
      </c>
      <c r="M348" s="137" t="str">
        <f>IF(ISERROR(VLOOKUP(C348,'[1]خريطة الحسابات'!_xlnm.Print_Area,4,FALSE))," ",(VLOOKUP(C348,'[1]خريطة الحسابات'!_xlnm.Print_Area,4,FALSE)))</f>
        <v xml:space="preserve">أصول متداوله -النقدية ومافي حكمها </v>
      </c>
      <c r="N348" s="138" t="str">
        <f>IF(ISERROR(VLOOKUP(C348,'[1]خريطة الحسابات'!_xlnm.Print_Area,5,FALSE))," ",(VLOOKUP(C348,'[1]خريطة الحسابات'!_xlnm.Print_Area,5,FALSE)))</f>
        <v>الاصول</v>
      </c>
      <c r="O348" s="139" t="s">
        <v>1448</v>
      </c>
      <c r="P348" s="139" t="s">
        <v>1290</v>
      </c>
    </row>
    <row r="349" spans="1:16">
      <c r="A349" s="104">
        <v>23</v>
      </c>
      <c r="B349" s="131">
        <v>46151</v>
      </c>
      <c r="C349" s="141">
        <v>20</v>
      </c>
      <c r="D349" s="140" t="str">
        <f>IF(ISERROR(VLOOKUP(C349,'[1]خريطة الحسابات'!_xlnm.Print_Area,3,FALSE))," ",(VLOOKUP(C349,'[1]خريطة الحسابات'!_xlnm.Print_Area,3,FALSE)))</f>
        <v xml:space="preserve">الخزينة </v>
      </c>
      <c r="E349" s="132"/>
      <c r="F349" s="133"/>
      <c r="G349" s="133">
        <v>35000</v>
      </c>
      <c r="H349" s="134">
        <f t="shared" si="15"/>
        <v>0</v>
      </c>
      <c r="I349" s="134">
        <f t="shared" si="15"/>
        <v>35000</v>
      </c>
      <c r="J349" s="134">
        <f t="shared" si="16"/>
        <v>-35000</v>
      </c>
      <c r="K349" s="135"/>
      <c r="L349" s="136" t="str">
        <f t="shared" si="17"/>
        <v>دائن</v>
      </c>
      <c r="M349" s="137" t="str">
        <f>IF(ISERROR(VLOOKUP(C349,'[1]خريطة الحسابات'!_xlnm.Print_Area,4,FALSE))," ",(VLOOKUP(C349,'[1]خريطة الحسابات'!_xlnm.Print_Area,4,FALSE)))</f>
        <v xml:space="preserve">أصول متداوله -النقدية ومافي حكمها </v>
      </c>
      <c r="N349" s="138" t="str">
        <f>IF(ISERROR(VLOOKUP(C349,'[1]خريطة الحسابات'!_xlnm.Print_Area,5,FALSE))," ",(VLOOKUP(C349,'[1]خريطة الحسابات'!_xlnm.Print_Area,5,FALSE)))</f>
        <v>الاصول</v>
      </c>
      <c r="O349" s="139" t="s">
        <v>1449</v>
      </c>
      <c r="P349" s="139" t="s">
        <v>1315</v>
      </c>
    </row>
    <row r="350" spans="1:16">
      <c r="A350" s="104">
        <v>23</v>
      </c>
      <c r="B350" s="131">
        <v>46163</v>
      </c>
      <c r="C350" s="141">
        <v>20</v>
      </c>
      <c r="D350" s="140" t="str">
        <f>IF(ISERROR(VLOOKUP(C350,'[1]خريطة الحسابات'!_xlnm.Print_Area,3,FALSE))," ",(VLOOKUP(C350,'[1]خريطة الحسابات'!_xlnm.Print_Area,3,FALSE)))</f>
        <v xml:space="preserve">الخزينة </v>
      </c>
      <c r="E350" s="132"/>
      <c r="F350" s="133"/>
      <c r="G350" s="133">
        <v>50000</v>
      </c>
      <c r="H350" s="134">
        <f t="shared" si="15"/>
        <v>0</v>
      </c>
      <c r="I350" s="134">
        <f t="shared" si="15"/>
        <v>50000</v>
      </c>
      <c r="J350" s="134">
        <f t="shared" si="16"/>
        <v>-50000</v>
      </c>
      <c r="K350" s="135"/>
      <c r="L350" s="136" t="str">
        <f t="shared" si="17"/>
        <v>دائن</v>
      </c>
      <c r="M350" s="137" t="str">
        <f>IF(ISERROR(VLOOKUP(C350,'[1]خريطة الحسابات'!_xlnm.Print_Area,4,FALSE))," ",(VLOOKUP(C350,'[1]خريطة الحسابات'!_xlnm.Print_Area,4,FALSE)))</f>
        <v xml:space="preserve">أصول متداوله -النقدية ومافي حكمها </v>
      </c>
      <c r="N350" s="138" t="str">
        <f>IF(ISERROR(VLOOKUP(C350,'[1]خريطة الحسابات'!_xlnm.Print_Area,5,FALSE))," ",(VLOOKUP(C350,'[1]خريطة الحسابات'!_xlnm.Print_Area,5,FALSE)))</f>
        <v>الاصول</v>
      </c>
      <c r="O350" s="139" t="s">
        <v>1448</v>
      </c>
      <c r="P350" s="139" t="s">
        <v>1290</v>
      </c>
    </row>
    <row r="351" spans="1:16">
      <c r="A351" s="104">
        <v>24</v>
      </c>
      <c r="B351" s="131">
        <v>46061</v>
      </c>
      <c r="C351" s="141">
        <v>4011</v>
      </c>
      <c r="D351" s="140" t="str">
        <f>IF(ISERROR(VLOOKUP(C351,'[1]خريطة الحسابات'!_xlnm.Print_Area,3,FALSE))," ",(VLOOKUP(C351,'[1]خريطة الحسابات'!_xlnm.Print_Area,3,FALSE)))</f>
        <v>صابر الكهربائي</v>
      </c>
      <c r="E351" s="132"/>
      <c r="F351" s="133">
        <v>8008</v>
      </c>
      <c r="G351" s="133"/>
      <c r="H351" s="134">
        <f t="shared" si="15"/>
        <v>8008</v>
      </c>
      <c r="I351" s="134">
        <f t="shared" si="15"/>
        <v>0</v>
      </c>
      <c r="J351" s="134">
        <f t="shared" si="16"/>
        <v>8008</v>
      </c>
      <c r="K351" s="135"/>
      <c r="L351" s="136" t="str">
        <f t="shared" si="17"/>
        <v>مدين</v>
      </c>
      <c r="M351" s="137" t="str">
        <f>IF(ISERROR(VLOOKUP(C351,'[1]خريطة الحسابات'!_xlnm.Print_Area,4,FALSE))," ",(VLOOKUP(C351,'[1]خريطة الحسابات'!_xlnm.Print_Area,4,FALSE)))</f>
        <v xml:space="preserve">مقاولين </v>
      </c>
      <c r="N351" s="138" t="str">
        <f>IF(ISERROR(VLOOKUP(C351,'[1]خريطة الحسابات'!_xlnm.Print_Area,5,FALSE))," ",(VLOOKUP(C351,'[1]خريطة الحسابات'!_xlnm.Print_Area,5,FALSE)))</f>
        <v xml:space="preserve">الدائنون والأرصدة الدائنة الأخرى </v>
      </c>
      <c r="O351" s="139" t="s">
        <v>1450</v>
      </c>
      <c r="P351" s="139" t="s">
        <v>1290</v>
      </c>
    </row>
    <row r="352" spans="1:16">
      <c r="A352" s="104">
        <v>24</v>
      </c>
      <c r="B352" s="131">
        <v>46065</v>
      </c>
      <c r="C352" s="141">
        <v>4011</v>
      </c>
      <c r="D352" s="140" t="str">
        <f>IF(ISERROR(VLOOKUP(C352,'[1]خريطة الحسابات'!_xlnm.Print_Area,3,FALSE))," ",(VLOOKUP(C352,'[1]خريطة الحسابات'!_xlnm.Print_Area,3,FALSE)))</f>
        <v>صابر الكهربائي</v>
      </c>
      <c r="E352" s="132"/>
      <c r="F352" s="133">
        <v>12012</v>
      </c>
      <c r="G352" s="133"/>
      <c r="H352" s="134">
        <f t="shared" si="15"/>
        <v>12012</v>
      </c>
      <c r="I352" s="134">
        <f t="shared" si="15"/>
        <v>0</v>
      </c>
      <c r="J352" s="134">
        <f t="shared" si="16"/>
        <v>12012</v>
      </c>
      <c r="K352" s="135"/>
      <c r="L352" s="136" t="str">
        <f t="shared" si="17"/>
        <v>مدين</v>
      </c>
      <c r="M352" s="137" t="str">
        <f>IF(ISERROR(VLOOKUP(C352,'[1]خريطة الحسابات'!_xlnm.Print_Area,4,FALSE))," ",(VLOOKUP(C352,'[1]خريطة الحسابات'!_xlnm.Print_Area,4,FALSE)))</f>
        <v xml:space="preserve">مقاولين </v>
      </c>
      <c r="N352" s="138" t="str">
        <f>IF(ISERROR(VLOOKUP(C352,'[1]خريطة الحسابات'!_xlnm.Print_Area,5,FALSE))," ",(VLOOKUP(C352,'[1]خريطة الحسابات'!_xlnm.Print_Area,5,FALSE)))</f>
        <v xml:space="preserve">الدائنون والأرصدة الدائنة الأخرى </v>
      </c>
      <c r="O352" s="139" t="s">
        <v>1451</v>
      </c>
      <c r="P352" s="139" t="s">
        <v>1290</v>
      </c>
    </row>
    <row r="353" spans="1:16">
      <c r="A353" s="104">
        <v>24</v>
      </c>
      <c r="B353" s="131">
        <v>46082</v>
      </c>
      <c r="C353" s="141">
        <v>4011</v>
      </c>
      <c r="D353" s="140" t="str">
        <f>IF(ISERROR(VLOOKUP(C353,'[1]خريطة الحسابات'!_xlnm.Print_Area,3,FALSE))," ",(VLOOKUP(C353,'[1]خريطة الحسابات'!_xlnm.Print_Area,3,FALSE)))</f>
        <v>صابر الكهربائي</v>
      </c>
      <c r="E353" s="132"/>
      <c r="F353" s="133">
        <v>3003</v>
      </c>
      <c r="G353" s="133"/>
      <c r="H353" s="134">
        <f t="shared" si="15"/>
        <v>3003</v>
      </c>
      <c r="I353" s="134">
        <f t="shared" si="15"/>
        <v>0</v>
      </c>
      <c r="J353" s="134">
        <f t="shared" si="16"/>
        <v>3003</v>
      </c>
      <c r="K353" s="135"/>
      <c r="L353" s="136" t="str">
        <f t="shared" si="17"/>
        <v>مدين</v>
      </c>
      <c r="M353" s="137" t="str">
        <f>IF(ISERROR(VLOOKUP(C353,'[1]خريطة الحسابات'!_xlnm.Print_Area,4,FALSE))," ",(VLOOKUP(C353,'[1]خريطة الحسابات'!_xlnm.Print_Area,4,FALSE)))</f>
        <v xml:space="preserve">مقاولين </v>
      </c>
      <c r="N353" s="138" t="str">
        <f>IF(ISERROR(VLOOKUP(C353,'[1]خريطة الحسابات'!_xlnm.Print_Area,5,FALSE))," ",(VLOOKUP(C353,'[1]خريطة الحسابات'!_xlnm.Print_Area,5,FALSE)))</f>
        <v xml:space="preserve">الدائنون والأرصدة الدائنة الأخرى </v>
      </c>
      <c r="O353" s="139" t="s">
        <v>1452</v>
      </c>
      <c r="P353" s="139" t="s">
        <v>1290</v>
      </c>
    </row>
    <row r="354" spans="1:16">
      <c r="A354" s="104">
        <v>24</v>
      </c>
      <c r="B354" s="131">
        <v>46135</v>
      </c>
      <c r="C354" s="141">
        <v>4011</v>
      </c>
      <c r="D354" s="140" t="str">
        <f>IF(ISERROR(VLOOKUP(C354,'[1]خريطة الحسابات'!_xlnm.Print_Area,3,FALSE))," ",(VLOOKUP(C354,'[1]خريطة الحسابات'!_xlnm.Print_Area,3,FALSE)))</f>
        <v>صابر الكهربائي</v>
      </c>
      <c r="E354" s="132"/>
      <c r="F354" s="133">
        <v>20020</v>
      </c>
      <c r="G354" s="133"/>
      <c r="H354" s="134">
        <f t="shared" si="15"/>
        <v>20020</v>
      </c>
      <c r="I354" s="134">
        <f t="shared" si="15"/>
        <v>0</v>
      </c>
      <c r="J354" s="134">
        <f t="shared" si="16"/>
        <v>20020</v>
      </c>
      <c r="K354" s="135"/>
      <c r="L354" s="136" t="str">
        <f t="shared" si="17"/>
        <v>مدين</v>
      </c>
      <c r="M354" s="137" t="str">
        <f>IF(ISERROR(VLOOKUP(C354,'[1]خريطة الحسابات'!_xlnm.Print_Area,4,FALSE))," ",(VLOOKUP(C354,'[1]خريطة الحسابات'!_xlnm.Print_Area,4,FALSE)))</f>
        <v xml:space="preserve">مقاولين </v>
      </c>
      <c r="N354" s="138" t="str">
        <f>IF(ISERROR(VLOOKUP(C354,'[1]خريطة الحسابات'!_xlnm.Print_Area,5,FALSE))," ",(VLOOKUP(C354,'[1]خريطة الحسابات'!_xlnm.Print_Area,5,FALSE)))</f>
        <v xml:space="preserve">الدائنون والأرصدة الدائنة الأخرى </v>
      </c>
      <c r="O354" s="139" t="s">
        <v>1453</v>
      </c>
      <c r="P354" s="139" t="s">
        <v>1290</v>
      </c>
    </row>
    <row r="355" spans="1:16">
      <c r="A355" s="104">
        <v>24</v>
      </c>
      <c r="B355" s="131">
        <v>46142</v>
      </c>
      <c r="C355" s="141">
        <v>4011</v>
      </c>
      <c r="D355" s="140" t="str">
        <f>IF(ISERROR(VLOOKUP(C355,'[1]خريطة الحسابات'!_xlnm.Print_Area,3,FALSE))," ",(VLOOKUP(C355,'[1]خريطة الحسابات'!_xlnm.Print_Area,3,FALSE)))</f>
        <v>صابر الكهربائي</v>
      </c>
      <c r="E355" s="132"/>
      <c r="F355" s="133">
        <v>8000</v>
      </c>
      <c r="G355" s="133"/>
      <c r="H355" s="134">
        <f t="shared" si="15"/>
        <v>8000</v>
      </c>
      <c r="I355" s="134">
        <f t="shared" si="15"/>
        <v>0</v>
      </c>
      <c r="J355" s="134">
        <f t="shared" si="16"/>
        <v>8000</v>
      </c>
      <c r="K355" s="135"/>
      <c r="L355" s="136" t="str">
        <f t="shared" si="17"/>
        <v>مدين</v>
      </c>
      <c r="M355" s="137" t="str">
        <f>IF(ISERROR(VLOOKUP(C355,'[1]خريطة الحسابات'!_xlnm.Print_Area,4,FALSE))," ",(VLOOKUP(C355,'[1]خريطة الحسابات'!_xlnm.Print_Area,4,FALSE)))</f>
        <v xml:space="preserve">مقاولين </v>
      </c>
      <c r="N355" s="138" t="str">
        <f>IF(ISERROR(VLOOKUP(C355,'[1]خريطة الحسابات'!_xlnm.Print_Area,5,FALSE))," ",(VLOOKUP(C355,'[1]خريطة الحسابات'!_xlnm.Print_Area,5,FALSE)))</f>
        <v xml:space="preserve">الدائنون والأرصدة الدائنة الأخرى </v>
      </c>
      <c r="O355" s="139" t="s">
        <v>1454</v>
      </c>
      <c r="P355" s="139" t="s">
        <v>1290</v>
      </c>
    </row>
    <row r="356" spans="1:16">
      <c r="A356" s="104">
        <v>24</v>
      </c>
      <c r="B356" s="131">
        <v>46148</v>
      </c>
      <c r="C356" s="141">
        <v>4011</v>
      </c>
      <c r="D356" s="140" t="str">
        <f>IF(ISERROR(VLOOKUP(C356,'[1]خريطة الحسابات'!_xlnm.Print_Area,3,FALSE))," ",(VLOOKUP(C356,'[1]خريطة الحسابات'!_xlnm.Print_Area,3,FALSE)))</f>
        <v>صابر الكهربائي</v>
      </c>
      <c r="E356" s="132"/>
      <c r="F356" s="133">
        <v>10000</v>
      </c>
      <c r="G356" s="133"/>
      <c r="H356" s="134">
        <f t="shared" si="15"/>
        <v>10000</v>
      </c>
      <c r="I356" s="134">
        <f t="shared" si="15"/>
        <v>0</v>
      </c>
      <c r="J356" s="134">
        <f t="shared" si="16"/>
        <v>10000</v>
      </c>
      <c r="K356" s="135"/>
      <c r="L356" s="136" t="str">
        <f t="shared" si="17"/>
        <v>مدين</v>
      </c>
      <c r="M356" s="137" t="str">
        <f>IF(ISERROR(VLOOKUP(C356,'[1]خريطة الحسابات'!_xlnm.Print_Area,4,FALSE))," ",(VLOOKUP(C356,'[1]خريطة الحسابات'!_xlnm.Print_Area,4,FALSE)))</f>
        <v xml:space="preserve">مقاولين </v>
      </c>
      <c r="N356" s="138" t="str">
        <f>IF(ISERROR(VLOOKUP(C356,'[1]خريطة الحسابات'!_xlnm.Print_Area,5,FALSE))," ",(VLOOKUP(C356,'[1]خريطة الحسابات'!_xlnm.Print_Area,5,FALSE)))</f>
        <v xml:space="preserve">الدائنون والأرصدة الدائنة الأخرى </v>
      </c>
      <c r="O356" s="139" t="s">
        <v>1455</v>
      </c>
      <c r="P356" s="139" t="s">
        <v>1290</v>
      </c>
    </row>
    <row r="357" spans="1:16">
      <c r="A357" s="104">
        <v>24</v>
      </c>
      <c r="B357" s="131">
        <v>46163</v>
      </c>
      <c r="C357" s="141">
        <v>4011</v>
      </c>
      <c r="D357" s="140" t="str">
        <f>IF(ISERROR(VLOOKUP(C357,'[1]خريطة الحسابات'!_xlnm.Print_Area,3,FALSE))," ",(VLOOKUP(C357,'[1]خريطة الحسابات'!_xlnm.Print_Area,3,FALSE)))</f>
        <v>صابر الكهربائي</v>
      </c>
      <c r="E357" s="132"/>
      <c r="F357" s="133">
        <v>6500</v>
      </c>
      <c r="G357" s="133"/>
      <c r="H357" s="134">
        <f t="shared" si="15"/>
        <v>6500</v>
      </c>
      <c r="I357" s="134">
        <f t="shared" si="15"/>
        <v>0</v>
      </c>
      <c r="J357" s="134">
        <f t="shared" si="16"/>
        <v>6500</v>
      </c>
      <c r="K357" s="135"/>
      <c r="L357" s="136" t="str">
        <f t="shared" si="17"/>
        <v>مدين</v>
      </c>
      <c r="M357" s="137" t="str">
        <f>IF(ISERROR(VLOOKUP(C357,'[1]خريطة الحسابات'!_xlnm.Print_Area,4,FALSE))," ",(VLOOKUP(C357,'[1]خريطة الحسابات'!_xlnm.Print_Area,4,FALSE)))</f>
        <v xml:space="preserve">مقاولين </v>
      </c>
      <c r="N357" s="138" t="str">
        <f>IF(ISERROR(VLOOKUP(C357,'[1]خريطة الحسابات'!_xlnm.Print_Area,5,FALSE))," ",(VLOOKUP(C357,'[1]خريطة الحسابات'!_xlnm.Print_Area,5,FALSE)))</f>
        <v xml:space="preserve">الدائنون والأرصدة الدائنة الأخرى </v>
      </c>
      <c r="O357" s="139" t="s">
        <v>1456</v>
      </c>
      <c r="P357" s="139" t="s">
        <v>1290</v>
      </c>
    </row>
    <row r="358" spans="1:16">
      <c r="A358" s="104">
        <v>24</v>
      </c>
      <c r="B358" s="131">
        <v>46061</v>
      </c>
      <c r="C358" s="141">
        <v>20</v>
      </c>
      <c r="D358" s="140" t="str">
        <f>IF(ISERROR(VLOOKUP(C358,'[1]خريطة الحسابات'!_xlnm.Print_Area,3,FALSE))," ",(VLOOKUP(C358,'[1]خريطة الحسابات'!_xlnm.Print_Area,3,FALSE)))</f>
        <v xml:space="preserve">الخزينة </v>
      </c>
      <c r="E358" s="132"/>
      <c r="F358" s="133"/>
      <c r="G358" s="133">
        <v>8008</v>
      </c>
      <c r="H358" s="134">
        <f t="shared" si="15"/>
        <v>0</v>
      </c>
      <c r="I358" s="134">
        <f t="shared" si="15"/>
        <v>8008</v>
      </c>
      <c r="J358" s="134">
        <f t="shared" si="16"/>
        <v>-8008</v>
      </c>
      <c r="K358" s="135"/>
      <c r="L358" s="136" t="str">
        <f t="shared" si="17"/>
        <v>دائن</v>
      </c>
      <c r="M358" s="137" t="str">
        <f>IF(ISERROR(VLOOKUP(C358,'[1]خريطة الحسابات'!_xlnm.Print_Area,4,FALSE))," ",(VLOOKUP(C358,'[1]خريطة الحسابات'!_xlnm.Print_Area,4,FALSE)))</f>
        <v xml:space="preserve">أصول متداوله -النقدية ومافي حكمها </v>
      </c>
      <c r="N358" s="138" t="str">
        <f>IF(ISERROR(VLOOKUP(C358,'[1]خريطة الحسابات'!_xlnm.Print_Area,5,FALSE))," ",(VLOOKUP(C358,'[1]خريطة الحسابات'!_xlnm.Print_Area,5,FALSE)))</f>
        <v>الاصول</v>
      </c>
      <c r="O358" s="139" t="s">
        <v>1450</v>
      </c>
      <c r="P358" s="139" t="s">
        <v>1290</v>
      </c>
    </row>
    <row r="359" spans="1:16">
      <c r="A359" s="104">
        <v>24</v>
      </c>
      <c r="B359" s="131">
        <v>46065</v>
      </c>
      <c r="C359" s="141">
        <v>20</v>
      </c>
      <c r="D359" s="140" t="str">
        <f>IF(ISERROR(VLOOKUP(C359,'[1]خريطة الحسابات'!_xlnm.Print_Area,3,FALSE))," ",(VLOOKUP(C359,'[1]خريطة الحسابات'!_xlnm.Print_Area,3,FALSE)))</f>
        <v xml:space="preserve">الخزينة </v>
      </c>
      <c r="E359" s="132"/>
      <c r="F359" s="133"/>
      <c r="G359" s="133">
        <v>12012</v>
      </c>
      <c r="H359" s="134">
        <f t="shared" si="15"/>
        <v>0</v>
      </c>
      <c r="I359" s="134">
        <f t="shared" si="15"/>
        <v>12012</v>
      </c>
      <c r="J359" s="134">
        <f t="shared" si="16"/>
        <v>-12012</v>
      </c>
      <c r="K359" s="135"/>
      <c r="L359" s="136" t="str">
        <f t="shared" si="17"/>
        <v>دائن</v>
      </c>
      <c r="M359" s="137" t="str">
        <f>IF(ISERROR(VLOOKUP(C359,'[1]خريطة الحسابات'!_xlnm.Print_Area,4,FALSE))," ",(VLOOKUP(C359,'[1]خريطة الحسابات'!_xlnm.Print_Area,4,FALSE)))</f>
        <v xml:space="preserve">أصول متداوله -النقدية ومافي حكمها </v>
      </c>
      <c r="N359" s="138" t="str">
        <f>IF(ISERROR(VLOOKUP(C359,'[1]خريطة الحسابات'!_xlnm.Print_Area,5,FALSE))," ",(VLOOKUP(C359,'[1]خريطة الحسابات'!_xlnm.Print_Area,5,FALSE)))</f>
        <v>الاصول</v>
      </c>
      <c r="O359" s="139" t="s">
        <v>1451</v>
      </c>
      <c r="P359" s="139" t="s">
        <v>1290</v>
      </c>
    </row>
    <row r="360" spans="1:16">
      <c r="A360" s="104">
        <v>24</v>
      </c>
      <c r="B360" s="131">
        <v>46082</v>
      </c>
      <c r="C360" s="141">
        <v>20</v>
      </c>
      <c r="D360" s="140" t="str">
        <f>IF(ISERROR(VLOOKUP(C360,'[1]خريطة الحسابات'!_xlnm.Print_Area,3,FALSE))," ",(VLOOKUP(C360,'[1]خريطة الحسابات'!_xlnm.Print_Area,3,FALSE)))</f>
        <v xml:space="preserve">الخزينة </v>
      </c>
      <c r="E360" s="132"/>
      <c r="F360" s="133"/>
      <c r="G360" s="133">
        <v>3003</v>
      </c>
      <c r="H360" s="134">
        <f t="shared" si="15"/>
        <v>0</v>
      </c>
      <c r="I360" s="134">
        <f t="shared" si="15"/>
        <v>3003</v>
      </c>
      <c r="J360" s="134">
        <f t="shared" si="16"/>
        <v>-3003</v>
      </c>
      <c r="K360" s="135"/>
      <c r="L360" s="136" t="str">
        <f t="shared" si="17"/>
        <v>دائن</v>
      </c>
      <c r="M360" s="137" t="str">
        <f>IF(ISERROR(VLOOKUP(C360,'[1]خريطة الحسابات'!_xlnm.Print_Area,4,FALSE))," ",(VLOOKUP(C360,'[1]خريطة الحسابات'!_xlnm.Print_Area,4,FALSE)))</f>
        <v xml:space="preserve">أصول متداوله -النقدية ومافي حكمها </v>
      </c>
      <c r="N360" s="138" t="str">
        <f>IF(ISERROR(VLOOKUP(C360,'[1]خريطة الحسابات'!_xlnm.Print_Area,5,FALSE))," ",(VLOOKUP(C360,'[1]خريطة الحسابات'!_xlnm.Print_Area,5,FALSE)))</f>
        <v>الاصول</v>
      </c>
      <c r="O360" s="139" t="s">
        <v>1452</v>
      </c>
      <c r="P360" s="139" t="s">
        <v>1290</v>
      </c>
    </row>
    <row r="361" spans="1:16">
      <c r="A361" s="104">
        <v>24</v>
      </c>
      <c r="B361" s="131">
        <v>46135</v>
      </c>
      <c r="C361" s="141">
        <v>20</v>
      </c>
      <c r="D361" s="140" t="str">
        <f>IF(ISERROR(VLOOKUP(C361,'[1]خريطة الحسابات'!_xlnm.Print_Area,3,FALSE))," ",(VLOOKUP(C361,'[1]خريطة الحسابات'!_xlnm.Print_Area,3,FALSE)))</f>
        <v xml:space="preserve">الخزينة </v>
      </c>
      <c r="E361" s="132"/>
      <c r="F361" s="133"/>
      <c r="G361" s="133">
        <v>20020</v>
      </c>
      <c r="H361" s="134">
        <f t="shared" si="15"/>
        <v>0</v>
      </c>
      <c r="I361" s="134">
        <f t="shared" si="15"/>
        <v>20020</v>
      </c>
      <c r="J361" s="134">
        <f t="shared" si="16"/>
        <v>-20020</v>
      </c>
      <c r="K361" s="135"/>
      <c r="L361" s="136" t="str">
        <f t="shared" si="17"/>
        <v>دائن</v>
      </c>
      <c r="M361" s="137" t="str">
        <f>IF(ISERROR(VLOOKUP(C361,'[1]خريطة الحسابات'!_xlnm.Print_Area,4,FALSE))," ",(VLOOKUP(C361,'[1]خريطة الحسابات'!_xlnm.Print_Area,4,FALSE)))</f>
        <v xml:space="preserve">أصول متداوله -النقدية ومافي حكمها </v>
      </c>
      <c r="N361" s="138" t="str">
        <f>IF(ISERROR(VLOOKUP(C361,'[1]خريطة الحسابات'!_xlnm.Print_Area,5,FALSE))," ",(VLOOKUP(C361,'[1]خريطة الحسابات'!_xlnm.Print_Area,5,FALSE)))</f>
        <v>الاصول</v>
      </c>
      <c r="O361" s="139" t="s">
        <v>1453</v>
      </c>
      <c r="P361" s="139" t="s">
        <v>1290</v>
      </c>
    </row>
    <row r="362" spans="1:16">
      <c r="A362" s="104">
        <v>24</v>
      </c>
      <c r="B362" s="131">
        <v>46142</v>
      </c>
      <c r="C362" s="141">
        <v>20</v>
      </c>
      <c r="D362" s="140" t="str">
        <f>IF(ISERROR(VLOOKUP(C362,'[1]خريطة الحسابات'!_xlnm.Print_Area,3,FALSE))," ",(VLOOKUP(C362,'[1]خريطة الحسابات'!_xlnm.Print_Area,3,FALSE)))</f>
        <v xml:space="preserve">الخزينة </v>
      </c>
      <c r="E362" s="132"/>
      <c r="F362" s="133"/>
      <c r="G362" s="133">
        <v>8000</v>
      </c>
      <c r="H362" s="134">
        <f t="shared" si="15"/>
        <v>0</v>
      </c>
      <c r="I362" s="134">
        <f t="shared" si="15"/>
        <v>8000</v>
      </c>
      <c r="J362" s="134">
        <f t="shared" si="16"/>
        <v>-8000</v>
      </c>
      <c r="K362" s="135"/>
      <c r="L362" s="136" t="str">
        <f t="shared" si="17"/>
        <v>دائن</v>
      </c>
      <c r="M362" s="137" t="str">
        <f>IF(ISERROR(VLOOKUP(C362,'[1]خريطة الحسابات'!_xlnm.Print_Area,4,FALSE))," ",(VLOOKUP(C362,'[1]خريطة الحسابات'!_xlnm.Print_Area,4,FALSE)))</f>
        <v xml:space="preserve">أصول متداوله -النقدية ومافي حكمها </v>
      </c>
      <c r="N362" s="138" t="str">
        <f>IF(ISERROR(VLOOKUP(C362,'[1]خريطة الحسابات'!_xlnm.Print_Area,5,FALSE))," ",(VLOOKUP(C362,'[1]خريطة الحسابات'!_xlnm.Print_Area,5,FALSE)))</f>
        <v>الاصول</v>
      </c>
      <c r="O362" s="139" t="s">
        <v>1454</v>
      </c>
      <c r="P362" s="139" t="s">
        <v>1290</v>
      </c>
    </row>
    <row r="363" spans="1:16">
      <c r="A363" s="104">
        <v>24</v>
      </c>
      <c r="B363" s="131">
        <v>46148</v>
      </c>
      <c r="C363" s="141">
        <v>20</v>
      </c>
      <c r="D363" s="140" t="str">
        <f>IF(ISERROR(VLOOKUP(C363,'[1]خريطة الحسابات'!_xlnm.Print_Area,3,FALSE))," ",(VLOOKUP(C363,'[1]خريطة الحسابات'!_xlnm.Print_Area,3,FALSE)))</f>
        <v xml:space="preserve">الخزينة </v>
      </c>
      <c r="E363" s="132"/>
      <c r="F363" s="133"/>
      <c r="G363" s="133">
        <v>10000</v>
      </c>
      <c r="H363" s="134">
        <f t="shared" si="15"/>
        <v>0</v>
      </c>
      <c r="I363" s="134">
        <f t="shared" si="15"/>
        <v>10000</v>
      </c>
      <c r="J363" s="134">
        <f t="shared" si="16"/>
        <v>-10000</v>
      </c>
      <c r="K363" s="135"/>
      <c r="L363" s="136" t="str">
        <f t="shared" si="17"/>
        <v>دائن</v>
      </c>
      <c r="M363" s="137" t="str">
        <f>IF(ISERROR(VLOOKUP(C363,'[1]خريطة الحسابات'!_xlnm.Print_Area,4,FALSE))," ",(VLOOKUP(C363,'[1]خريطة الحسابات'!_xlnm.Print_Area,4,FALSE)))</f>
        <v xml:space="preserve">أصول متداوله -النقدية ومافي حكمها </v>
      </c>
      <c r="N363" s="138" t="str">
        <f>IF(ISERROR(VLOOKUP(C363,'[1]خريطة الحسابات'!_xlnm.Print_Area,5,FALSE))," ",(VLOOKUP(C363,'[1]خريطة الحسابات'!_xlnm.Print_Area,5,FALSE)))</f>
        <v>الاصول</v>
      </c>
      <c r="O363" s="139" t="s">
        <v>1455</v>
      </c>
      <c r="P363" s="139" t="s">
        <v>1290</v>
      </c>
    </row>
    <row r="364" spans="1:16">
      <c r="A364" s="104">
        <v>24</v>
      </c>
      <c r="B364" s="131">
        <v>46163</v>
      </c>
      <c r="C364" s="141">
        <v>20</v>
      </c>
      <c r="D364" s="140" t="str">
        <f>IF(ISERROR(VLOOKUP(C364,'[1]خريطة الحسابات'!_xlnm.Print_Area,3,FALSE))," ",(VLOOKUP(C364,'[1]خريطة الحسابات'!_xlnm.Print_Area,3,FALSE)))</f>
        <v xml:space="preserve">الخزينة </v>
      </c>
      <c r="E364" s="132"/>
      <c r="F364" s="133"/>
      <c r="G364" s="133">
        <v>6500</v>
      </c>
      <c r="H364" s="134">
        <f t="shared" si="15"/>
        <v>0</v>
      </c>
      <c r="I364" s="134">
        <f t="shared" si="15"/>
        <v>6500</v>
      </c>
      <c r="J364" s="134">
        <f t="shared" si="16"/>
        <v>-6500</v>
      </c>
      <c r="K364" s="135"/>
      <c r="L364" s="136" t="str">
        <f t="shared" si="17"/>
        <v>دائن</v>
      </c>
      <c r="M364" s="137" t="str">
        <f>IF(ISERROR(VLOOKUP(C364,'[1]خريطة الحسابات'!_xlnm.Print_Area,4,FALSE))," ",(VLOOKUP(C364,'[1]خريطة الحسابات'!_xlnm.Print_Area,4,FALSE)))</f>
        <v xml:space="preserve">أصول متداوله -النقدية ومافي حكمها </v>
      </c>
      <c r="N364" s="138" t="str">
        <f>IF(ISERROR(VLOOKUP(C364,'[1]خريطة الحسابات'!_xlnm.Print_Area,5,FALSE))," ",(VLOOKUP(C364,'[1]خريطة الحسابات'!_xlnm.Print_Area,5,FALSE)))</f>
        <v>الاصول</v>
      </c>
      <c r="O364" s="139" t="s">
        <v>1456</v>
      </c>
      <c r="P364" s="139" t="s">
        <v>1290</v>
      </c>
    </row>
    <row r="365" spans="1:16">
      <c r="A365" s="104">
        <v>25</v>
      </c>
      <c r="B365" s="131">
        <v>46156</v>
      </c>
      <c r="C365" s="141">
        <v>4041</v>
      </c>
      <c r="D365" s="140" t="str">
        <f>IF(ISERROR(VLOOKUP(C365,'[1]خريطة الحسابات'!_xlnm.Print_Area,3,FALSE))," ",(VLOOKUP(C365,'[1]خريطة الحسابات'!_xlnm.Print_Area,3,FALSE)))</f>
        <v>عادل معماري</v>
      </c>
      <c r="E365" s="132"/>
      <c r="F365" s="133">
        <v>12010</v>
      </c>
      <c r="G365" s="133"/>
      <c r="H365" s="134">
        <f t="shared" si="15"/>
        <v>12010</v>
      </c>
      <c r="I365" s="134">
        <f t="shared" si="15"/>
        <v>0</v>
      </c>
      <c r="J365" s="134">
        <f t="shared" si="16"/>
        <v>12010</v>
      </c>
      <c r="K365" s="135"/>
      <c r="L365" s="136" t="str">
        <f t="shared" si="17"/>
        <v>مدين</v>
      </c>
      <c r="M365" s="137" t="str">
        <f>IF(ISERROR(VLOOKUP(C365,'[1]خريطة الحسابات'!_xlnm.Print_Area,4,FALSE))," ",(VLOOKUP(C365,'[1]خريطة الحسابات'!_xlnm.Print_Area,4,FALSE)))</f>
        <v xml:space="preserve">مقاولين </v>
      </c>
      <c r="N365" s="138" t="str">
        <f>IF(ISERROR(VLOOKUP(C365,'[1]خريطة الحسابات'!_xlnm.Print_Area,5,FALSE))," ",(VLOOKUP(C365,'[1]خريطة الحسابات'!_xlnm.Print_Area,5,FALSE)))</f>
        <v xml:space="preserve">الدائنون والأرصدة الدائنة الأخرى </v>
      </c>
      <c r="O365" s="139" t="s">
        <v>1457</v>
      </c>
      <c r="P365" s="139" t="s">
        <v>1317</v>
      </c>
    </row>
    <row r="366" spans="1:16">
      <c r="A366" s="104">
        <v>25</v>
      </c>
      <c r="B366" s="131">
        <v>46163</v>
      </c>
      <c r="C366" s="141">
        <v>4041</v>
      </c>
      <c r="D366" s="140" t="str">
        <f>IF(ISERROR(VLOOKUP(C366,'[1]خريطة الحسابات'!_xlnm.Print_Area,3,FALSE))," ",(VLOOKUP(C366,'[1]خريطة الحسابات'!_xlnm.Print_Area,3,FALSE)))</f>
        <v>عادل معماري</v>
      </c>
      <c r="E366" s="132"/>
      <c r="F366" s="133">
        <v>13000</v>
      </c>
      <c r="G366" s="133"/>
      <c r="H366" s="134">
        <f t="shared" si="15"/>
        <v>13000</v>
      </c>
      <c r="I366" s="134">
        <f t="shared" si="15"/>
        <v>0</v>
      </c>
      <c r="J366" s="134">
        <f t="shared" si="16"/>
        <v>13000</v>
      </c>
      <c r="K366" s="135"/>
      <c r="L366" s="136" t="str">
        <f t="shared" si="17"/>
        <v>مدين</v>
      </c>
      <c r="M366" s="137" t="str">
        <f>IF(ISERROR(VLOOKUP(C366,'[1]خريطة الحسابات'!_xlnm.Print_Area,4,FALSE))," ",(VLOOKUP(C366,'[1]خريطة الحسابات'!_xlnm.Print_Area,4,FALSE)))</f>
        <v xml:space="preserve">مقاولين </v>
      </c>
      <c r="N366" s="138" t="str">
        <f>IF(ISERROR(VLOOKUP(C366,'[1]خريطة الحسابات'!_xlnm.Print_Area,5,FALSE))," ",(VLOOKUP(C366,'[1]خريطة الحسابات'!_xlnm.Print_Area,5,FALSE)))</f>
        <v xml:space="preserve">الدائنون والأرصدة الدائنة الأخرى </v>
      </c>
      <c r="O366" s="139" t="s">
        <v>1458</v>
      </c>
      <c r="P366" s="139" t="s">
        <v>1317</v>
      </c>
    </row>
    <row r="367" spans="1:16">
      <c r="A367" s="104">
        <v>25</v>
      </c>
      <c r="B367" s="131">
        <v>46175</v>
      </c>
      <c r="C367" s="141">
        <v>4041</v>
      </c>
      <c r="D367" s="140" t="str">
        <f>IF(ISERROR(VLOOKUP(C367,'[1]خريطة الحسابات'!_xlnm.Print_Area,3,FALSE))," ",(VLOOKUP(C367,'[1]خريطة الحسابات'!_xlnm.Print_Area,3,FALSE)))</f>
        <v>عادل معماري</v>
      </c>
      <c r="E367" s="132"/>
      <c r="F367" s="133">
        <v>3003</v>
      </c>
      <c r="G367" s="133"/>
      <c r="H367" s="134">
        <f t="shared" si="15"/>
        <v>3003</v>
      </c>
      <c r="I367" s="134">
        <f t="shared" si="15"/>
        <v>0</v>
      </c>
      <c r="J367" s="134">
        <f t="shared" si="16"/>
        <v>3003</v>
      </c>
      <c r="K367" s="135"/>
      <c r="L367" s="136" t="str">
        <f t="shared" si="17"/>
        <v>مدين</v>
      </c>
      <c r="M367" s="137" t="str">
        <f>IF(ISERROR(VLOOKUP(C367,'[1]خريطة الحسابات'!_xlnm.Print_Area,4,FALSE))," ",(VLOOKUP(C367,'[1]خريطة الحسابات'!_xlnm.Print_Area,4,FALSE)))</f>
        <v xml:space="preserve">مقاولين </v>
      </c>
      <c r="N367" s="138" t="str">
        <f>IF(ISERROR(VLOOKUP(C367,'[1]خريطة الحسابات'!_xlnm.Print_Area,5,FALSE))," ",(VLOOKUP(C367,'[1]خريطة الحسابات'!_xlnm.Print_Area,5,FALSE)))</f>
        <v xml:space="preserve">الدائنون والأرصدة الدائنة الأخرى </v>
      </c>
      <c r="O367" s="139" t="s">
        <v>1459</v>
      </c>
      <c r="P367" s="139" t="s">
        <v>1317</v>
      </c>
    </row>
    <row r="368" spans="1:16">
      <c r="A368" s="104">
        <v>25</v>
      </c>
      <c r="B368" s="131">
        <v>46156</v>
      </c>
      <c r="C368" s="141">
        <v>20</v>
      </c>
      <c r="D368" s="140" t="str">
        <f>IF(ISERROR(VLOOKUP(C368,'[1]خريطة الحسابات'!_xlnm.Print_Area,3,FALSE))," ",(VLOOKUP(C368,'[1]خريطة الحسابات'!_xlnm.Print_Area,3,FALSE)))</f>
        <v xml:space="preserve">الخزينة </v>
      </c>
      <c r="E368" s="132"/>
      <c r="F368" s="133"/>
      <c r="G368" s="133">
        <v>12010</v>
      </c>
      <c r="H368" s="134">
        <f t="shared" si="15"/>
        <v>0</v>
      </c>
      <c r="I368" s="134">
        <f t="shared" si="15"/>
        <v>12010</v>
      </c>
      <c r="J368" s="134">
        <f t="shared" si="16"/>
        <v>-12010</v>
      </c>
      <c r="K368" s="135"/>
      <c r="L368" s="136" t="str">
        <f t="shared" si="17"/>
        <v>دائن</v>
      </c>
      <c r="M368" s="137" t="str">
        <f>IF(ISERROR(VLOOKUP(C368,'[1]خريطة الحسابات'!_xlnm.Print_Area,4,FALSE))," ",(VLOOKUP(C368,'[1]خريطة الحسابات'!_xlnm.Print_Area,4,FALSE)))</f>
        <v xml:space="preserve">أصول متداوله -النقدية ومافي حكمها </v>
      </c>
      <c r="N368" s="138" t="str">
        <f>IF(ISERROR(VLOOKUP(C368,'[1]خريطة الحسابات'!_xlnm.Print_Area,5,FALSE))," ",(VLOOKUP(C368,'[1]خريطة الحسابات'!_xlnm.Print_Area,5,FALSE)))</f>
        <v>الاصول</v>
      </c>
      <c r="O368" s="139" t="s">
        <v>1457</v>
      </c>
      <c r="P368" s="139" t="s">
        <v>1317</v>
      </c>
    </row>
    <row r="369" spans="1:16">
      <c r="A369" s="104">
        <v>25</v>
      </c>
      <c r="B369" s="131">
        <v>46163</v>
      </c>
      <c r="C369" s="141">
        <v>20</v>
      </c>
      <c r="D369" s="140" t="str">
        <f>IF(ISERROR(VLOOKUP(C369,'[1]خريطة الحسابات'!_xlnm.Print_Area,3,FALSE))," ",(VLOOKUP(C369,'[1]خريطة الحسابات'!_xlnm.Print_Area,3,FALSE)))</f>
        <v xml:space="preserve">الخزينة </v>
      </c>
      <c r="E369" s="132"/>
      <c r="F369" s="133"/>
      <c r="G369" s="133">
        <v>13000</v>
      </c>
      <c r="H369" s="134">
        <f t="shared" si="15"/>
        <v>0</v>
      </c>
      <c r="I369" s="134">
        <f t="shared" si="15"/>
        <v>13000</v>
      </c>
      <c r="J369" s="134">
        <f t="shared" si="16"/>
        <v>-13000</v>
      </c>
      <c r="K369" s="135"/>
      <c r="L369" s="136" t="str">
        <f t="shared" si="17"/>
        <v>دائن</v>
      </c>
      <c r="M369" s="137" t="str">
        <f>IF(ISERROR(VLOOKUP(C369,'[1]خريطة الحسابات'!_xlnm.Print_Area,4,FALSE))," ",(VLOOKUP(C369,'[1]خريطة الحسابات'!_xlnm.Print_Area,4,FALSE)))</f>
        <v xml:space="preserve">أصول متداوله -النقدية ومافي حكمها </v>
      </c>
      <c r="N369" s="138" t="str">
        <f>IF(ISERROR(VLOOKUP(C369,'[1]خريطة الحسابات'!_xlnm.Print_Area,5,FALSE))," ",(VLOOKUP(C369,'[1]خريطة الحسابات'!_xlnm.Print_Area,5,FALSE)))</f>
        <v>الاصول</v>
      </c>
      <c r="O369" s="139" t="s">
        <v>1458</v>
      </c>
      <c r="P369" s="139" t="s">
        <v>1317</v>
      </c>
    </row>
    <row r="370" spans="1:16">
      <c r="A370" s="104">
        <v>25</v>
      </c>
      <c r="B370" s="131">
        <v>46175</v>
      </c>
      <c r="C370" s="141">
        <v>20</v>
      </c>
      <c r="D370" s="140" t="str">
        <f>IF(ISERROR(VLOOKUP(C370,'[1]خريطة الحسابات'!_xlnm.Print_Area,3,FALSE))," ",(VLOOKUP(C370,'[1]خريطة الحسابات'!_xlnm.Print_Area,3,FALSE)))</f>
        <v xml:space="preserve">الخزينة </v>
      </c>
      <c r="E370" s="132"/>
      <c r="F370" s="133"/>
      <c r="G370" s="133">
        <v>3003</v>
      </c>
      <c r="H370" s="134">
        <f t="shared" si="15"/>
        <v>0</v>
      </c>
      <c r="I370" s="134">
        <f t="shared" si="15"/>
        <v>3003</v>
      </c>
      <c r="J370" s="134">
        <f t="shared" si="16"/>
        <v>-3003</v>
      </c>
      <c r="K370" s="135"/>
      <c r="L370" s="136" t="str">
        <f t="shared" si="17"/>
        <v>دائن</v>
      </c>
      <c r="M370" s="137" t="str">
        <f>IF(ISERROR(VLOOKUP(C370,'[1]خريطة الحسابات'!_xlnm.Print_Area,4,FALSE))," ",(VLOOKUP(C370,'[1]خريطة الحسابات'!_xlnm.Print_Area,4,FALSE)))</f>
        <v xml:space="preserve">أصول متداوله -النقدية ومافي حكمها </v>
      </c>
      <c r="N370" s="138" t="str">
        <f>IF(ISERROR(VLOOKUP(C370,'[1]خريطة الحسابات'!_xlnm.Print_Area,5,FALSE))," ",(VLOOKUP(C370,'[1]خريطة الحسابات'!_xlnm.Print_Area,5,FALSE)))</f>
        <v>الاصول</v>
      </c>
      <c r="O370" s="139" t="s">
        <v>1459</v>
      </c>
      <c r="P370" s="139" t="s">
        <v>1317</v>
      </c>
    </row>
    <row r="371" spans="1:16">
      <c r="A371" s="104">
        <v>26</v>
      </c>
      <c r="B371" s="131">
        <v>46063</v>
      </c>
      <c r="C371" s="141">
        <v>4021</v>
      </c>
      <c r="D371" s="140" t="str">
        <f>IF(ISERROR(VLOOKUP(C371,'[1]خريطة الحسابات'!_xlnm.Print_Area,3,FALSE))," ",(VLOOKUP(C371,'[1]خريطة الحسابات'!_xlnm.Print_Area,3,FALSE)))</f>
        <v>عبدالرحيم استنالس</v>
      </c>
      <c r="E371" s="132"/>
      <c r="F371" s="133">
        <v>12012</v>
      </c>
      <c r="G371" s="133"/>
      <c r="H371" s="134">
        <f t="shared" si="15"/>
        <v>12012</v>
      </c>
      <c r="I371" s="134">
        <f t="shared" si="15"/>
        <v>0</v>
      </c>
      <c r="J371" s="134">
        <f t="shared" si="16"/>
        <v>12012</v>
      </c>
      <c r="K371" s="135"/>
      <c r="L371" s="136" t="str">
        <f t="shared" si="17"/>
        <v>مدين</v>
      </c>
      <c r="M371" s="137" t="str">
        <f>IF(ISERROR(VLOOKUP(C371,'[1]خريطة الحسابات'!_xlnm.Print_Area,4,FALSE))," ",(VLOOKUP(C371,'[1]خريطة الحسابات'!_xlnm.Print_Area,4,FALSE)))</f>
        <v xml:space="preserve">مقاولين </v>
      </c>
      <c r="N371" s="138" t="str">
        <f>IF(ISERROR(VLOOKUP(C371,'[1]خريطة الحسابات'!_xlnm.Print_Area,5,FALSE))," ",(VLOOKUP(C371,'[1]خريطة الحسابات'!_xlnm.Print_Area,5,FALSE)))</f>
        <v xml:space="preserve">الدائنون والأرصدة الدائنة الأخرى </v>
      </c>
      <c r="O371" s="139" t="s">
        <v>1460</v>
      </c>
      <c r="P371" s="139" t="s">
        <v>1292</v>
      </c>
    </row>
    <row r="372" spans="1:16">
      <c r="A372" s="104">
        <v>26</v>
      </c>
      <c r="B372" s="131">
        <v>46089</v>
      </c>
      <c r="C372" s="141">
        <v>4021</v>
      </c>
      <c r="D372" s="140" t="str">
        <f>IF(ISERROR(VLOOKUP(C372,'[1]خريطة الحسابات'!_xlnm.Print_Area,3,FALSE))," ",(VLOOKUP(C372,'[1]خريطة الحسابات'!_xlnm.Print_Area,3,FALSE)))</f>
        <v>عبدالرحيم استنالس</v>
      </c>
      <c r="E372" s="132"/>
      <c r="F372" s="133">
        <v>90000</v>
      </c>
      <c r="G372" s="133"/>
      <c r="H372" s="134">
        <f t="shared" si="15"/>
        <v>90000</v>
      </c>
      <c r="I372" s="134">
        <f t="shared" si="15"/>
        <v>0</v>
      </c>
      <c r="J372" s="134">
        <f t="shared" si="16"/>
        <v>90000</v>
      </c>
      <c r="K372" s="135"/>
      <c r="L372" s="136" t="str">
        <f t="shared" si="17"/>
        <v>مدين</v>
      </c>
      <c r="M372" s="137" t="str">
        <f>IF(ISERROR(VLOOKUP(C372,'[1]خريطة الحسابات'!_xlnm.Print_Area,4,FALSE))," ",(VLOOKUP(C372,'[1]خريطة الحسابات'!_xlnm.Print_Area,4,FALSE)))</f>
        <v xml:space="preserve">مقاولين </v>
      </c>
      <c r="N372" s="138" t="str">
        <f>IF(ISERROR(VLOOKUP(C372,'[1]خريطة الحسابات'!_xlnm.Print_Area,5,FALSE))," ",(VLOOKUP(C372,'[1]خريطة الحسابات'!_xlnm.Print_Area,5,FALSE)))</f>
        <v xml:space="preserve">الدائنون والأرصدة الدائنة الأخرى </v>
      </c>
      <c r="O372" s="139" t="s">
        <v>1461</v>
      </c>
      <c r="P372" s="139" t="s">
        <v>1290</v>
      </c>
    </row>
    <row r="373" spans="1:16">
      <c r="A373" s="104">
        <v>26</v>
      </c>
      <c r="B373" s="131">
        <v>46144</v>
      </c>
      <c r="C373" s="141">
        <v>4021</v>
      </c>
      <c r="D373" s="140" t="str">
        <f>IF(ISERROR(VLOOKUP(C373,'[1]خريطة الحسابات'!_xlnm.Print_Area,3,FALSE))," ",(VLOOKUP(C373,'[1]خريطة الحسابات'!_xlnm.Print_Area,3,FALSE)))</f>
        <v>عبدالرحيم استنالس</v>
      </c>
      <c r="E373" s="132"/>
      <c r="F373" s="133">
        <v>3750</v>
      </c>
      <c r="G373" s="133"/>
      <c r="H373" s="134">
        <f t="shared" si="15"/>
        <v>3750</v>
      </c>
      <c r="I373" s="134">
        <f t="shared" si="15"/>
        <v>0</v>
      </c>
      <c r="J373" s="134">
        <f t="shared" si="16"/>
        <v>3750</v>
      </c>
      <c r="K373" s="135"/>
      <c r="L373" s="136" t="str">
        <f t="shared" si="17"/>
        <v>مدين</v>
      </c>
      <c r="M373" s="137" t="str">
        <f>IF(ISERROR(VLOOKUP(C373,'[1]خريطة الحسابات'!_xlnm.Print_Area,4,FALSE))," ",(VLOOKUP(C373,'[1]خريطة الحسابات'!_xlnm.Print_Area,4,FALSE)))</f>
        <v xml:space="preserve">مقاولين </v>
      </c>
      <c r="N373" s="138" t="str">
        <f>IF(ISERROR(VLOOKUP(C373,'[1]خريطة الحسابات'!_xlnm.Print_Area,5,FALSE))," ",(VLOOKUP(C373,'[1]خريطة الحسابات'!_xlnm.Print_Area,5,FALSE)))</f>
        <v xml:space="preserve">الدائنون والأرصدة الدائنة الأخرى </v>
      </c>
      <c r="O373" s="139" t="s">
        <v>1462</v>
      </c>
      <c r="P373" s="139" t="s">
        <v>1292</v>
      </c>
    </row>
    <row r="374" spans="1:16">
      <c r="A374" s="104">
        <v>26</v>
      </c>
      <c r="B374" s="131">
        <v>46144</v>
      </c>
      <c r="C374" s="141">
        <v>4021</v>
      </c>
      <c r="D374" s="140" t="str">
        <f>IF(ISERROR(VLOOKUP(C374,'[1]خريطة الحسابات'!_xlnm.Print_Area,3,FALSE))," ",(VLOOKUP(C374,'[1]خريطة الحسابات'!_xlnm.Print_Area,3,FALSE)))</f>
        <v>عبدالرحيم استنالس</v>
      </c>
      <c r="E374" s="132"/>
      <c r="F374" s="133">
        <v>10000</v>
      </c>
      <c r="G374" s="133"/>
      <c r="H374" s="134">
        <f t="shared" si="15"/>
        <v>10000</v>
      </c>
      <c r="I374" s="134">
        <f t="shared" si="15"/>
        <v>0</v>
      </c>
      <c r="J374" s="134">
        <f t="shared" si="16"/>
        <v>10000</v>
      </c>
      <c r="K374" s="135"/>
      <c r="L374" s="136" t="str">
        <f t="shared" si="17"/>
        <v>مدين</v>
      </c>
      <c r="M374" s="137" t="str">
        <f>IF(ISERROR(VLOOKUP(C374,'[1]خريطة الحسابات'!_xlnm.Print_Area,4,FALSE))," ",(VLOOKUP(C374,'[1]خريطة الحسابات'!_xlnm.Print_Area,4,FALSE)))</f>
        <v xml:space="preserve">مقاولين </v>
      </c>
      <c r="N374" s="138" t="str">
        <f>IF(ISERROR(VLOOKUP(C374,'[1]خريطة الحسابات'!_xlnm.Print_Area,5,FALSE))," ",(VLOOKUP(C374,'[1]خريطة الحسابات'!_xlnm.Print_Area,5,FALSE)))</f>
        <v xml:space="preserve">الدائنون والأرصدة الدائنة الأخرى </v>
      </c>
      <c r="O374" s="139" t="s">
        <v>1463</v>
      </c>
      <c r="P374" s="139" t="s">
        <v>1290</v>
      </c>
    </row>
    <row r="375" spans="1:16">
      <c r="A375" s="104">
        <v>26</v>
      </c>
      <c r="B375" s="131">
        <v>46146</v>
      </c>
      <c r="C375" s="141">
        <v>4021</v>
      </c>
      <c r="D375" s="140" t="str">
        <f>IF(ISERROR(VLOOKUP(C375,'[1]خريطة الحسابات'!_xlnm.Print_Area,3,FALSE))," ",(VLOOKUP(C375,'[1]خريطة الحسابات'!_xlnm.Print_Area,3,FALSE)))</f>
        <v>عبدالرحيم استنالس</v>
      </c>
      <c r="E375" s="132"/>
      <c r="F375" s="133">
        <v>44000</v>
      </c>
      <c r="G375" s="133"/>
      <c r="H375" s="134">
        <f t="shared" si="15"/>
        <v>44000</v>
      </c>
      <c r="I375" s="134">
        <f t="shared" si="15"/>
        <v>0</v>
      </c>
      <c r="J375" s="134">
        <f t="shared" si="16"/>
        <v>44000</v>
      </c>
      <c r="K375" s="135"/>
      <c r="L375" s="136" t="str">
        <f t="shared" si="17"/>
        <v>مدين</v>
      </c>
      <c r="M375" s="137" t="str">
        <f>IF(ISERROR(VLOOKUP(C375,'[1]خريطة الحسابات'!_xlnm.Print_Area,4,FALSE))," ",(VLOOKUP(C375,'[1]خريطة الحسابات'!_xlnm.Print_Area,4,FALSE)))</f>
        <v xml:space="preserve">مقاولين </v>
      </c>
      <c r="N375" s="138" t="str">
        <f>IF(ISERROR(VLOOKUP(C375,'[1]خريطة الحسابات'!_xlnm.Print_Area,5,FALSE))," ",(VLOOKUP(C375,'[1]خريطة الحسابات'!_xlnm.Print_Area,5,FALSE)))</f>
        <v xml:space="preserve">الدائنون والأرصدة الدائنة الأخرى </v>
      </c>
      <c r="O375" s="139" t="s">
        <v>1464</v>
      </c>
      <c r="P375" s="139" t="s">
        <v>1292</v>
      </c>
    </row>
    <row r="376" spans="1:16">
      <c r="A376" s="104">
        <v>26</v>
      </c>
      <c r="B376" s="131">
        <v>46148</v>
      </c>
      <c r="C376" s="141">
        <v>4021</v>
      </c>
      <c r="D376" s="140" t="str">
        <f>IF(ISERROR(VLOOKUP(C376,'[1]خريطة الحسابات'!_xlnm.Print_Area,3,FALSE))," ",(VLOOKUP(C376,'[1]خريطة الحسابات'!_xlnm.Print_Area,3,FALSE)))</f>
        <v>عبدالرحيم استنالس</v>
      </c>
      <c r="E376" s="132"/>
      <c r="F376" s="133">
        <v>27000</v>
      </c>
      <c r="G376" s="133"/>
      <c r="H376" s="134">
        <f t="shared" si="15"/>
        <v>27000</v>
      </c>
      <c r="I376" s="134">
        <f t="shared" si="15"/>
        <v>0</v>
      </c>
      <c r="J376" s="134">
        <f t="shared" si="16"/>
        <v>27000</v>
      </c>
      <c r="K376" s="135"/>
      <c r="L376" s="136" t="str">
        <f t="shared" si="17"/>
        <v>مدين</v>
      </c>
      <c r="M376" s="137" t="str">
        <f>IF(ISERROR(VLOOKUP(C376,'[1]خريطة الحسابات'!_xlnm.Print_Area,4,FALSE))," ",(VLOOKUP(C376,'[1]خريطة الحسابات'!_xlnm.Print_Area,4,FALSE)))</f>
        <v xml:space="preserve">مقاولين </v>
      </c>
      <c r="N376" s="138" t="str">
        <f>IF(ISERROR(VLOOKUP(C376,'[1]خريطة الحسابات'!_xlnm.Print_Area,5,FALSE))," ",(VLOOKUP(C376,'[1]خريطة الحسابات'!_xlnm.Print_Area,5,FALSE)))</f>
        <v xml:space="preserve">الدائنون والأرصدة الدائنة الأخرى </v>
      </c>
      <c r="O376" s="139" t="s">
        <v>1465</v>
      </c>
      <c r="P376" s="139" t="s">
        <v>1290</v>
      </c>
    </row>
    <row r="377" spans="1:16">
      <c r="A377" s="104">
        <v>26</v>
      </c>
      <c r="B377" s="131">
        <v>46166</v>
      </c>
      <c r="C377" s="141">
        <v>4021</v>
      </c>
      <c r="D377" s="140" t="str">
        <f>IF(ISERROR(VLOOKUP(C377,'[1]خريطة الحسابات'!_xlnm.Print_Area,3,FALSE))," ",(VLOOKUP(C377,'[1]خريطة الحسابات'!_xlnm.Print_Area,3,FALSE)))</f>
        <v>عبدالرحيم استنالس</v>
      </c>
      <c r="E377" s="132"/>
      <c r="F377" s="133">
        <v>10000</v>
      </c>
      <c r="G377" s="133"/>
      <c r="H377" s="134">
        <f t="shared" si="15"/>
        <v>10000</v>
      </c>
      <c r="I377" s="134">
        <f t="shared" si="15"/>
        <v>0</v>
      </c>
      <c r="J377" s="134">
        <f t="shared" si="16"/>
        <v>10000</v>
      </c>
      <c r="K377" s="135"/>
      <c r="L377" s="136" t="str">
        <f t="shared" si="17"/>
        <v>مدين</v>
      </c>
      <c r="M377" s="137" t="str">
        <f>IF(ISERROR(VLOOKUP(C377,'[1]خريطة الحسابات'!_xlnm.Print_Area,4,FALSE))," ",(VLOOKUP(C377,'[1]خريطة الحسابات'!_xlnm.Print_Area,4,FALSE)))</f>
        <v xml:space="preserve">مقاولين </v>
      </c>
      <c r="N377" s="138" t="str">
        <f>IF(ISERROR(VLOOKUP(C377,'[1]خريطة الحسابات'!_xlnm.Print_Area,5,FALSE))," ",(VLOOKUP(C377,'[1]خريطة الحسابات'!_xlnm.Print_Area,5,FALSE)))</f>
        <v xml:space="preserve">الدائنون والأرصدة الدائنة الأخرى </v>
      </c>
      <c r="O377" s="139" t="s">
        <v>1463</v>
      </c>
      <c r="P377" s="139" t="s">
        <v>1290</v>
      </c>
    </row>
    <row r="378" spans="1:16">
      <c r="A378" s="104">
        <v>26</v>
      </c>
      <c r="B378" s="131">
        <v>46166</v>
      </c>
      <c r="C378" s="141">
        <v>4021</v>
      </c>
      <c r="D378" s="140" t="str">
        <f>IF(ISERROR(VLOOKUP(C378,'[1]خريطة الحسابات'!_xlnm.Print_Area,3,FALSE))," ",(VLOOKUP(C378,'[1]خريطة الحسابات'!_xlnm.Print_Area,3,FALSE)))</f>
        <v>عبدالرحيم استنالس</v>
      </c>
      <c r="E378" s="132"/>
      <c r="F378" s="133">
        <v>15000</v>
      </c>
      <c r="G378" s="133"/>
      <c r="H378" s="134">
        <f t="shared" si="15"/>
        <v>15000</v>
      </c>
      <c r="I378" s="134">
        <f t="shared" si="15"/>
        <v>0</v>
      </c>
      <c r="J378" s="134">
        <f t="shared" si="16"/>
        <v>15000</v>
      </c>
      <c r="K378" s="135"/>
      <c r="L378" s="136" t="str">
        <f t="shared" si="17"/>
        <v>مدين</v>
      </c>
      <c r="M378" s="137" t="str">
        <f>IF(ISERROR(VLOOKUP(C378,'[1]خريطة الحسابات'!_xlnm.Print_Area,4,FALSE))," ",(VLOOKUP(C378,'[1]خريطة الحسابات'!_xlnm.Print_Area,4,FALSE)))</f>
        <v xml:space="preserve">مقاولين </v>
      </c>
      <c r="N378" s="138" t="str">
        <f>IF(ISERROR(VLOOKUP(C378,'[1]خريطة الحسابات'!_xlnm.Print_Area,5,FALSE))," ",(VLOOKUP(C378,'[1]خريطة الحسابات'!_xlnm.Print_Area,5,FALSE)))</f>
        <v xml:space="preserve">الدائنون والأرصدة الدائنة الأخرى </v>
      </c>
      <c r="O378" s="139" t="s">
        <v>1466</v>
      </c>
      <c r="P378" s="139" t="s">
        <v>1292</v>
      </c>
    </row>
    <row r="379" spans="1:16">
      <c r="A379" s="104">
        <v>26</v>
      </c>
      <c r="B379" s="131">
        <v>46063</v>
      </c>
      <c r="C379" s="141">
        <v>20</v>
      </c>
      <c r="D379" s="140" t="str">
        <f>IF(ISERROR(VLOOKUP(C379,'[1]خريطة الحسابات'!_xlnm.Print_Area,3,FALSE))," ",(VLOOKUP(C379,'[1]خريطة الحسابات'!_xlnm.Print_Area,3,FALSE)))</f>
        <v xml:space="preserve">الخزينة </v>
      </c>
      <c r="E379" s="132"/>
      <c r="F379" s="133"/>
      <c r="G379" s="133">
        <v>12012</v>
      </c>
      <c r="H379" s="134">
        <f t="shared" si="15"/>
        <v>0</v>
      </c>
      <c r="I379" s="134">
        <f t="shared" si="15"/>
        <v>12012</v>
      </c>
      <c r="J379" s="134">
        <f t="shared" si="16"/>
        <v>-12012</v>
      </c>
      <c r="K379" s="135"/>
      <c r="L379" s="136" t="str">
        <f t="shared" si="17"/>
        <v>دائن</v>
      </c>
      <c r="M379" s="137" t="str">
        <f>IF(ISERROR(VLOOKUP(C379,'[1]خريطة الحسابات'!_xlnm.Print_Area,4,FALSE))," ",(VLOOKUP(C379,'[1]خريطة الحسابات'!_xlnm.Print_Area,4,FALSE)))</f>
        <v xml:space="preserve">أصول متداوله -النقدية ومافي حكمها </v>
      </c>
      <c r="N379" s="138" t="str">
        <f>IF(ISERROR(VLOOKUP(C379,'[1]خريطة الحسابات'!_xlnm.Print_Area,5,FALSE))," ",(VLOOKUP(C379,'[1]خريطة الحسابات'!_xlnm.Print_Area,5,FALSE)))</f>
        <v>الاصول</v>
      </c>
      <c r="O379" s="139" t="s">
        <v>1460</v>
      </c>
      <c r="P379" s="139" t="s">
        <v>1292</v>
      </c>
    </row>
    <row r="380" spans="1:16">
      <c r="A380" s="104">
        <v>26</v>
      </c>
      <c r="B380" s="131">
        <v>46089</v>
      </c>
      <c r="C380" s="141">
        <v>20</v>
      </c>
      <c r="D380" s="140" t="str">
        <f>IF(ISERROR(VLOOKUP(C380,'[1]خريطة الحسابات'!_xlnm.Print_Area,3,FALSE))," ",(VLOOKUP(C380,'[1]خريطة الحسابات'!_xlnm.Print_Area,3,FALSE)))</f>
        <v xml:space="preserve">الخزينة </v>
      </c>
      <c r="E380" s="132"/>
      <c r="F380" s="133"/>
      <c r="G380" s="133">
        <v>90000</v>
      </c>
      <c r="H380" s="134">
        <f t="shared" si="15"/>
        <v>0</v>
      </c>
      <c r="I380" s="134">
        <f t="shared" si="15"/>
        <v>90000</v>
      </c>
      <c r="J380" s="134">
        <f t="shared" si="16"/>
        <v>-90000</v>
      </c>
      <c r="K380" s="135"/>
      <c r="L380" s="136" t="str">
        <f t="shared" si="17"/>
        <v>دائن</v>
      </c>
      <c r="M380" s="137" t="str">
        <f>IF(ISERROR(VLOOKUP(C380,'[1]خريطة الحسابات'!_xlnm.Print_Area,4,FALSE))," ",(VLOOKUP(C380,'[1]خريطة الحسابات'!_xlnm.Print_Area,4,FALSE)))</f>
        <v xml:space="preserve">أصول متداوله -النقدية ومافي حكمها </v>
      </c>
      <c r="N380" s="138" t="str">
        <f>IF(ISERROR(VLOOKUP(C380,'[1]خريطة الحسابات'!_xlnm.Print_Area,5,FALSE))," ",(VLOOKUP(C380,'[1]خريطة الحسابات'!_xlnm.Print_Area,5,FALSE)))</f>
        <v>الاصول</v>
      </c>
      <c r="O380" s="139" t="s">
        <v>1461</v>
      </c>
      <c r="P380" s="139" t="s">
        <v>1290</v>
      </c>
    </row>
    <row r="381" spans="1:16">
      <c r="A381" s="104">
        <v>26</v>
      </c>
      <c r="B381" s="131">
        <v>46144</v>
      </c>
      <c r="C381" s="141">
        <v>20</v>
      </c>
      <c r="D381" s="140" t="str">
        <f>IF(ISERROR(VLOOKUP(C381,'[1]خريطة الحسابات'!_xlnm.Print_Area,3,FALSE))," ",(VLOOKUP(C381,'[1]خريطة الحسابات'!_xlnm.Print_Area,3,FALSE)))</f>
        <v xml:space="preserve">الخزينة </v>
      </c>
      <c r="E381" s="132"/>
      <c r="F381" s="133"/>
      <c r="G381" s="133">
        <v>3750</v>
      </c>
      <c r="H381" s="134">
        <f t="shared" si="15"/>
        <v>0</v>
      </c>
      <c r="I381" s="134">
        <f t="shared" si="15"/>
        <v>3750</v>
      </c>
      <c r="J381" s="134">
        <f t="shared" si="16"/>
        <v>-3750</v>
      </c>
      <c r="K381" s="135"/>
      <c r="L381" s="136" t="str">
        <f t="shared" si="17"/>
        <v>دائن</v>
      </c>
      <c r="M381" s="137" t="str">
        <f>IF(ISERROR(VLOOKUP(C381,'[1]خريطة الحسابات'!_xlnm.Print_Area,4,FALSE))," ",(VLOOKUP(C381,'[1]خريطة الحسابات'!_xlnm.Print_Area,4,FALSE)))</f>
        <v xml:space="preserve">أصول متداوله -النقدية ومافي حكمها </v>
      </c>
      <c r="N381" s="138" t="str">
        <f>IF(ISERROR(VLOOKUP(C381,'[1]خريطة الحسابات'!_xlnm.Print_Area,5,FALSE))," ",(VLOOKUP(C381,'[1]خريطة الحسابات'!_xlnm.Print_Area,5,FALSE)))</f>
        <v>الاصول</v>
      </c>
      <c r="O381" s="139" t="s">
        <v>1462</v>
      </c>
      <c r="P381" s="139" t="s">
        <v>1292</v>
      </c>
    </row>
    <row r="382" spans="1:16">
      <c r="A382" s="104">
        <v>26</v>
      </c>
      <c r="B382" s="131">
        <v>46144</v>
      </c>
      <c r="C382" s="141">
        <v>20</v>
      </c>
      <c r="D382" s="140" t="str">
        <f>IF(ISERROR(VLOOKUP(C382,'[1]خريطة الحسابات'!_xlnm.Print_Area,3,FALSE))," ",(VLOOKUP(C382,'[1]خريطة الحسابات'!_xlnm.Print_Area,3,FALSE)))</f>
        <v xml:space="preserve">الخزينة </v>
      </c>
      <c r="E382" s="132"/>
      <c r="F382" s="133"/>
      <c r="G382" s="133">
        <v>10000</v>
      </c>
      <c r="H382" s="134">
        <f t="shared" si="15"/>
        <v>0</v>
      </c>
      <c r="I382" s="134">
        <f t="shared" si="15"/>
        <v>10000</v>
      </c>
      <c r="J382" s="134">
        <f t="shared" si="16"/>
        <v>-10000</v>
      </c>
      <c r="K382" s="135"/>
      <c r="L382" s="136" t="str">
        <f t="shared" si="17"/>
        <v>دائن</v>
      </c>
      <c r="M382" s="137" t="str">
        <f>IF(ISERROR(VLOOKUP(C382,'[1]خريطة الحسابات'!_xlnm.Print_Area,4,FALSE))," ",(VLOOKUP(C382,'[1]خريطة الحسابات'!_xlnm.Print_Area,4,FALSE)))</f>
        <v xml:space="preserve">أصول متداوله -النقدية ومافي حكمها </v>
      </c>
      <c r="N382" s="138" t="str">
        <f>IF(ISERROR(VLOOKUP(C382,'[1]خريطة الحسابات'!_xlnm.Print_Area,5,FALSE))," ",(VLOOKUP(C382,'[1]خريطة الحسابات'!_xlnm.Print_Area,5,FALSE)))</f>
        <v>الاصول</v>
      </c>
      <c r="O382" s="139" t="s">
        <v>1463</v>
      </c>
      <c r="P382" s="139" t="s">
        <v>1290</v>
      </c>
    </row>
    <row r="383" spans="1:16">
      <c r="A383" s="104">
        <v>26</v>
      </c>
      <c r="B383" s="131">
        <v>46146</v>
      </c>
      <c r="C383" s="141">
        <v>20</v>
      </c>
      <c r="D383" s="140" t="str">
        <f>IF(ISERROR(VLOOKUP(C383,'[1]خريطة الحسابات'!_xlnm.Print_Area,3,FALSE))," ",(VLOOKUP(C383,'[1]خريطة الحسابات'!_xlnm.Print_Area,3,FALSE)))</f>
        <v xml:space="preserve">الخزينة </v>
      </c>
      <c r="E383" s="132"/>
      <c r="F383" s="133"/>
      <c r="G383" s="133">
        <v>44000</v>
      </c>
      <c r="H383" s="134">
        <f t="shared" si="15"/>
        <v>0</v>
      </c>
      <c r="I383" s="134">
        <f t="shared" si="15"/>
        <v>44000</v>
      </c>
      <c r="J383" s="134">
        <f t="shared" si="16"/>
        <v>-44000</v>
      </c>
      <c r="K383" s="135"/>
      <c r="L383" s="136" t="str">
        <f t="shared" si="17"/>
        <v>دائن</v>
      </c>
      <c r="M383" s="137" t="str">
        <f>IF(ISERROR(VLOOKUP(C383,'[1]خريطة الحسابات'!_xlnm.Print_Area,4,FALSE))," ",(VLOOKUP(C383,'[1]خريطة الحسابات'!_xlnm.Print_Area,4,FALSE)))</f>
        <v xml:space="preserve">أصول متداوله -النقدية ومافي حكمها </v>
      </c>
      <c r="N383" s="138" t="str">
        <f>IF(ISERROR(VLOOKUP(C383,'[1]خريطة الحسابات'!_xlnm.Print_Area,5,FALSE))," ",(VLOOKUP(C383,'[1]خريطة الحسابات'!_xlnm.Print_Area,5,FALSE)))</f>
        <v>الاصول</v>
      </c>
      <c r="O383" s="139" t="s">
        <v>1464</v>
      </c>
      <c r="P383" s="139" t="s">
        <v>1292</v>
      </c>
    </row>
    <row r="384" spans="1:16">
      <c r="A384" s="104">
        <v>26</v>
      </c>
      <c r="B384" s="131">
        <v>46148</v>
      </c>
      <c r="C384" s="141">
        <v>20</v>
      </c>
      <c r="D384" s="140" t="str">
        <f>IF(ISERROR(VLOOKUP(C384,'[1]خريطة الحسابات'!_xlnm.Print_Area,3,FALSE))," ",(VLOOKUP(C384,'[1]خريطة الحسابات'!_xlnm.Print_Area,3,FALSE)))</f>
        <v xml:space="preserve">الخزينة </v>
      </c>
      <c r="E384" s="132"/>
      <c r="F384" s="133"/>
      <c r="G384" s="133">
        <v>27000</v>
      </c>
      <c r="H384" s="134">
        <f t="shared" si="15"/>
        <v>0</v>
      </c>
      <c r="I384" s="134">
        <f t="shared" si="15"/>
        <v>27000</v>
      </c>
      <c r="J384" s="134">
        <f t="shared" si="16"/>
        <v>-27000</v>
      </c>
      <c r="K384" s="135"/>
      <c r="L384" s="136" t="str">
        <f t="shared" si="17"/>
        <v>دائن</v>
      </c>
      <c r="M384" s="137" t="str">
        <f>IF(ISERROR(VLOOKUP(C384,'[1]خريطة الحسابات'!_xlnm.Print_Area,4,FALSE))," ",(VLOOKUP(C384,'[1]خريطة الحسابات'!_xlnm.Print_Area,4,FALSE)))</f>
        <v xml:space="preserve">أصول متداوله -النقدية ومافي حكمها </v>
      </c>
      <c r="N384" s="138" t="str">
        <f>IF(ISERROR(VLOOKUP(C384,'[1]خريطة الحسابات'!_xlnm.Print_Area,5,FALSE))," ",(VLOOKUP(C384,'[1]خريطة الحسابات'!_xlnm.Print_Area,5,FALSE)))</f>
        <v>الاصول</v>
      </c>
      <c r="O384" s="139" t="s">
        <v>1465</v>
      </c>
      <c r="P384" s="139" t="s">
        <v>1290</v>
      </c>
    </row>
    <row r="385" spans="1:16">
      <c r="A385" s="104">
        <v>26</v>
      </c>
      <c r="B385" s="131">
        <v>46166</v>
      </c>
      <c r="C385" s="141">
        <v>20</v>
      </c>
      <c r="D385" s="140" t="str">
        <f>IF(ISERROR(VLOOKUP(C385,'[1]خريطة الحسابات'!_xlnm.Print_Area,3,FALSE))," ",(VLOOKUP(C385,'[1]خريطة الحسابات'!_xlnm.Print_Area,3,FALSE)))</f>
        <v xml:space="preserve">الخزينة </v>
      </c>
      <c r="E385" s="132"/>
      <c r="F385" s="133"/>
      <c r="G385" s="133">
        <v>10000</v>
      </c>
      <c r="H385" s="134">
        <f t="shared" si="15"/>
        <v>0</v>
      </c>
      <c r="I385" s="134">
        <f t="shared" si="15"/>
        <v>10000</v>
      </c>
      <c r="J385" s="134">
        <f t="shared" si="16"/>
        <v>-10000</v>
      </c>
      <c r="K385" s="135"/>
      <c r="L385" s="136" t="str">
        <f t="shared" si="17"/>
        <v>دائن</v>
      </c>
      <c r="M385" s="137" t="str">
        <f>IF(ISERROR(VLOOKUP(C385,'[1]خريطة الحسابات'!_xlnm.Print_Area,4,FALSE))," ",(VLOOKUP(C385,'[1]خريطة الحسابات'!_xlnm.Print_Area,4,FALSE)))</f>
        <v xml:space="preserve">أصول متداوله -النقدية ومافي حكمها </v>
      </c>
      <c r="N385" s="138" t="str">
        <f>IF(ISERROR(VLOOKUP(C385,'[1]خريطة الحسابات'!_xlnm.Print_Area,5,FALSE))," ",(VLOOKUP(C385,'[1]خريطة الحسابات'!_xlnm.Print_Area,5,FALSE)))</f>
        <v>الاصول</v>
      </c>
      <c r="O385" s="139" t="s">
        <v>1463</v>
      </c>
      <c r="P385" s="139" t="s">
        <v>1290</v>
      </c>
    </row>
    <row r="386" spans="1:16">
      <c r="A386" s="104">
        <v>26</v>
      </c>
      <c r="B386" s="131">
        <v>46166</v>
      </c>
      <c r="C386" s="141">
        <v>20</v>
      </c>
      <c r="D386" s="140" t="str">
        <f>IF(ISERROR(VLOOKUP(C386,'[1]خريطة الحسابات'!_xlnm.Print_Area,3,FALSE))," ",(VLOOKUP(C386,'[1]خريطة الحسابات'!_xlnm.Print_Area,3,FALSE)))</f>
        <v xml:space="preserve">الخزينة </v>
      </c>
      <c r="E386" s="132"/>
      <c r="F386" s="133"/>
      <c r="G386" s="133">
        <v>15000</v>
      </c>
      <c r="H386" s="134">
        <f t="shared" si="15"/>
        <v>0</v>
      </c>
      <c r="I386" s="134">
        <f t="shared" si="15"/>
        <v>15000</v>
      </c>
      <c r="J386" s="134">
        <f t="shared" si="16"/>
        <v>-15000</v>
      </c>
      <c r="K386" s="135"/>
      <c r="L386" s="136" t="str">
        <f t="shared" si="17"/>
        <v>دائن</v>
      </c>
      <c r="M386" s="137" t="str">
        <f>IF(ISERROR(VLOOKUP(C386,'[1]خريطة الحسابات'!_xlnm.Print_Area,4,FALSE))," ",(VLOOKUP(C386,'[1]خريطة الحسابات'!_xlnm.Print_Area,4,FALSE)))</f>
        <v xml:space="preserve">أصول متداوله -النقدية ومافي حكمها </v>
      </c>
      <c r="N386" s="138" t="str">
        <f>IF(ISERROR(VLOOKUP(C386,'[1]خريطة الحسابات'!_xlnm.Print_Area,5,FALSE))," ",(VLOOKUP(C386,'[1]خريطة الحسابات'!_xlnm.Print_Area,5,FALSE)))</f>
        <v>الاصول</v>
      </c>
      <c r="O386" s="139" t="s">
        <v>1466</v>
      </c>
      <c r="P386" s="139" t="s">
        <v>1292</v>
      </c>
    </row>
    <row r="387" spans="1:16">
      <c r="A387" s="104">
        <v>27</v>
      </c>
      <c r="B387" s="131">
        <v>46030</v>
      </c>
      <c r="C387" s="141">
        <v>4001</v>
      </c>
      <c r="D387" s="140" t="str">
        <f>IF(ISERROR(VLOOKUP(C387,'[1]خريطة الحسابات'!_xlnm.Print_Area,3,FALSE))," ",(VLOOKUP(C387,'[1]خريطة الحسابات'!_xlnm.Print_Area,3,FALSE)))</f>
        <v>عبدالشكور محارة</v>
      </c>
      <c r="E387" s="132"/>
      <c r="F387" s="133">
        <v>5005</v>
      </c>
      <c r="G387" s="133"/>
      <c r="H387" s="134">
        <f t="shared" si="15"/>
        <v>5005</v>
      </c>
      <c r="I387" s="134">
        <f t="shared" si="15"/>
        <v>0</v>
      </c>
      <c r="J387" s="134">
        <f t="shared" si="16"/>
        <v>5005</v>
      </c>
      <c r="K387" s="135"/>
      <c r="L387" s="136" t="str">
        <f t="shared" si="17"/>
        <v>مدين</v>
      </c>
      <c r="M387" s="137" t="str">
        <f>IF(ISERROR(VLOOKUP(C387,'[1]خريطة الحسابات'!_xlnm.Print_Area,4,FALSE))," ",(VLOOKUP(C387,'[1]خريطة الحسابات'!_xlnm.Print_Area,4,FALSE)))</f>
        <v xml:space="preserve">مقاولين </v>
      </c>
      <c r="N387" s="138" t="str">
        <f>IF(ISERROR(VLOOKUP(C387,'[1]خريطة الحسابات'!_xlnm.Print_Area,5,FALSE))," ",(VLOOKUP(C387,'[1]خريطة الحسابات'!_xlnm.Print_Area,5,FALSE)))</f>
        <v xml:space="preserve">الدائنون والأرصدة الدائنة الأخرى </v>
      </c>
      <c r="O387" s="139" t="s">
        <v>1467</v>
      </c>
      <c r="P387" s="139" t="s">
        <v>1468</v>
      </c>
    </row>
    <row r="388" spans="1:16">
      <c r="A388" s="104">
        <v>27</v>
      </c>
      <c r="B388" s="131">
        <v>46030</v>
      </c>
      <c r="C388" s="141">
        <v>4001</v>
      </c>
      <c r="D388" s="140" t="str">
        <f>IF(ISERROR(VLOOKUP(C388,'[1]خريطة الحسابات'!_xlnm.Print_Area,3,FALSE))," ",(VLOOKUP(C388,'[1]خريطة الحسابات'!_xlnm.Print_Area,3,FALSE)))</f>
        <v>عبدالشكور محارة</v>
      </c>
      <c r="E388" s="132"/>
      <c r="F388" s="133">
        <v>15015</v>
      </c>
      <c r="G388" s="133"/>
      <c r="H388" s="134">
        <f t="shared" si="15"/>
        <v>15015</v>
      </c>
      <c r="I388" s="134">
        <f t="shared" si="15"/>
        <v>0</v>
      </c>
      <c r="J388" s="134">
        <f t="shared" si="16"/>
        <v>15015</v>
      </c>
      <c r="K388" s="135"/>
      <c r="L388" s="136" t="str">
        <f t="shared" si="17"/>
        <v>مدين</v>
      </c>
      <c r="M388" s="137" t="str">
        <f>IF(ISERROR(VLOOKUP(C388,'[1]خريطة الحسابات'!_xlnm.Print_Area,4,FALSE))," ",(VLOOKUP(C388,'[1]خريطة الحسابات'!_xlnm.Print_Area,4,FALSE)))</f>
        <v xml:space="preserve">مقاولين </v>
      </c>
      <c r="N388" s="138" t="str">
        <f>IF(ISERROR(VLOOKUP(C388,'[1]خريطة الحسابات'!_xlnm.Print_Area,5,FALSE))," ",(VLOOKUP(C388,'[1]خريطة الحسابات'!_xlnm.Print_Area,5,FALSE)))</f>
        <v xml:space="preserve">الدائنون والأرصدة الدائنة الأخرى </v>
      </c>
      <c r="O388" s="139" t="s">
        <v>1469</v>
      </c>
      <c r="P388" s="139" t="s">
        <v>1290</v>
      </c>
    </row>
    <row r="389" spans="1:16">
      <c r="A389" s="104">
        <v>27</v>
      </c>
      <c r="B389" s="131">
        <v>46044</v>
      </c>
      <c r="C389" s="141">
        <v>4001</v>
      </c>
      <c r="D389" s="140" t="str">
        <f>IF(ISERROR(VLOOKUP(C389,'[1]خريطة الحسابات'!_xlnm.Print_Area,3,FALSE))," ",(VLOOKUP(C389,'[1]خريطة الحسابات'!_xlnm.Print_Area,3,FALSE)))</f>
        <v>عبدالشكور محارة</v>
      </c>
      <c r="E389" s="132"/>
      <c r="F389" s="133">
        <v>25025</v>
      </c>
      <c r="G389" s="133"/>
      <c r="H389" s="134">
        <f t="shared" si="15"/>
        <v>25025</v>
      </c>
      <c r="I389" s="134">
        <f t="shared" si="15"/>
        <v>0</v>
      </c>
      <c r="J389" s="134">
        <f t="shared" si="16"/>
        <v>25025</v>
      </c>
      <c r="K389" s="135"/>
      <c r="L389" s="136" t="str">
        <f t="shared" si="17"/>
        <v>مدين</v>
      </c>
      <c r="M389" s="137" t="str">
        <f>IF(ISERROR(VLOOKUP(C389,'[1]خريطة الحسابات'!_xlnm.Print_Area,4,FALSE))," ",(VLOOKUP(C389,'[1]خريطة الحسابات'!_xlnm.Print_Area,4,FALSE)))</f>
        <v xml:space="preserve">مقاولين </v>
      </c>
      <c r="N389" s="138" t="str">
        <f>IF(ISERROR(VLOOKUP(C389,'[1]خريطة الحسابات'!_xlnm.Print_Area,5,FALSE))," ",(VLOOKUP(C389,'[1]خريطة الحسابات'!_xlnm.Print_Area,5,FALSE)))</f>
        <v xml:space="preserve">الدائنون والأرصدة الدائنة الأخرى </v>
      </c>
      <c r="O389" s="139" t="s">
        <v>1470</v>
      </c>
      <c r="P389" s="139" t="s">
        <v>1292</v>
      </c>
    </row>
    <row r="390" spans="1:16">
      <c r="A390" s="104">
        <v>27</v>
      </c>
      <c r="B390" s="131">
        <v>46058</v>
      </c>
      <c r="C390" s="141">
        <v>4001</v>
      </c>
      <c r="D390" s="140" t="str">
        <f>IF(ISERROR(VLOOKUP(C390,'[1]خريطة الحسابات'!_xlnm.Print_Area,3,FALSE))," ",(VLOOKUP(C390,'[1]خريطة الحسابات'!_xlnm.Print_Area,3,FALSE)))</f>
        <v>عبدالشكور محارة</v>
      </c>
      <c r="E390" s="132"/>
      <c r="F390" s="133">
        <v>10010</v>
      </c>
      <c r="G390" s="133"/>
      <c r="H390" s="134">
        <f t="shared" si="15"/>
        <v>10010</v>
      </c>
      <c r="I390" s="134">
        <f t="shared" si="15"/>
        <v>0</v>
      </c>
      <c r="J390" s="134">
        <f t="shared" si="16"/>
        <v>10010</v>
      </c>
      <c r="K390" s="135"/>
      <c r="L390" s="136" t="str">
        <f t="shared" si="17"/>
        <v>مدين</v>
      </c>
      <c r="M390" s="137" t="str">
        <f>IF(ISERROR(VLOOKUP(C390,'[1]خريطة الحسابات'!_xlnm.Print_Area,4,FALSE))," ",(VLOOKUP(C390,'[1]خريطة الحسابات'!_xlnm.Print_Area,4,FALSE)))</f>
        <v xml:space="preserve">مقاولين </v>
      </c>
      <c r="N390" s="138" t="str">
        <f>IF(ISERROR(VLOOKUP(C390,'[1]خريطة الحسابات'!_xlnm.Print_Area,5,FALSE))," ",(VLOOKUP(C390,'[1]خريطة الحسابات'!_xlnm.Print_Area,5,FALSE)))</f>
        <v xml:space="preserve">الدائنون والأرصدة الدائنة الأخرى </v>
      </c>
      <c r="O390" s="139" t="s">
        <v>1471</v>
      </c>
      <c r="P390" s="139" t="s">
        <v>1290</v>
      </c>
    </row>
    <row r="391" spans="1:16">
      <c r="A391" s="104">
        <v>27</v>
      </c>
      <c r="B391" s="131">
        <v>46071</v>
      </c>
      <c r="C391" s="141">
        <v>4001</v>
      </c>
      <c r="D391" s="140" t="str">
        <f>IF(ISERROR(VLOOKUP(C391,'[1]خريطة الحسابات'!_xlnm.Print_Area,3,FALSE))," ",(VLOOKUP(C391,'[1]خريطة الحسابات'!_xlnm.Print_Area,3,FALSE)))</f>
        <v>عبدالشكور محارة</v>
      </c>
      <c r="E391" s="132"/>
      <c r="F391" s="133">
        <v>18850</v>
      </c>
      <c r="G391" s="133"/>
      <c r="H391" s="134">
        <f t="shared" si="15"/>
        <v>18850</v>
      </c>
      <c r="I391" s="134">
        <f t="shared" si="15"/>
        <v>0</v>
      </c>
      <c r="J391" s="134">
        <f t="shared" si="16"/>
        <v>18850</v>
      </c>
      <c r="K391" s="135"/>
      <c r="L391" s="136" t="str">
        <f t="shared" si="17"/>
        <v>مدين</v>
      </c>
      <c r="M391" s="137" t="str">
        <f>IF(ISERROR(VLOOKUP(C391,'[1]خريطة الحسابات'!_xlnm.Print_Area,4,FALSE))," ",(VLOOKUP(C391,'[1]خريطة الحسابات'!_xlnm.Print_Area,4,FALSE)))</f>
        <v xml:space="preserve">مقاولين </v>
      </c>
      <c r="N391" s="138" t="str">
        <f>IF(ISERROR(VLOOKUP(C391,'[1]خريطة الحسابات'!_xlnm.Print_Area,5,FALSE))," ",(VLOOKUP(C391,'[1]خريطة الحسابات'!_xlnm.Print_Area,5,FALSE)))</f>
        <v xml:space="preserve">الدائنون والأرصدة الدائنة الأخرى </v>
      </c>
      <c r="O391" s="139" t="s">
        <v>1472</v>
      </c>
      <c r="P391" s="139" t="s">
        <v>1290</v>
      </c>
    </row>
    <row r="392" spans="1:16">
      <c r="A392" s="104">
        <v>27</v>
      </c>
      <c r="B392" s="131">
        <v>46071</v>
      </c>
      <c r="C392" s="141">
        <v>4001</v>
      </c>
      <c r="D392" s="140" t="str">
        <f>IF(ISERROR(VLOOKUP(C392,'[1]خريطة الحسابات'!_xlnm.Print_Area,3,FALSE))," ",(VLOOKUP(C392,'[1]خريطة الحسابات'!_xlnm.Print_Area,3,FALSE)))</f>
        <v>عبدالشكور محارة</v>
      </c>
      <c r="E392" s="132"/>
      <c r="F392" s="133">
        <v>6150</v>
      </c>
      <c r="G392" s="133"/>
      <c r="H392" s="134">
        <f t="shared" si="15"/>
        <v>6150</v>
      </c>
      <c r="I392" s="134">
        <f t="shared" si="15"/>
        <v>0</v>
      </c>
      <c r="J392" s="134">
        <f t="shared" si="16"/>
        <v>6150</v>
      </c>
      <c r="K392" s="135"/>
      <c r="L392" s="136" t="str">
        <f t="shared" si="17"/>
        <v>مدين</v>
      </c>
      <c r="M392" s="137" t="str">
        <f>IF(ISERROR(VLOOKUP(C392,'[1]خريطة الحسابات'!_xlnm.Print_Area,4,FALSE))," ",(VLOOKUP(C392,'[1]خريطة الحسابات'!_xlnm.Print_Area,4,FALSE)))</f>
        <v xml:space="preserve">مقاولين </v>
      </c>
      <c r="N392" s="138" t="str">
        <f>IF(ISERROR(VLOOKUP(C392,'[1]خريطة الحسابات'!_xlnm.Print_Area,5,FALSE))," ",(VLOOKUP(C392,'[1]خريطة الحسابات'!_xlnm.Print_Area,5,FALSE)))</f>
        <v xml:space="preserve">الدائنون والأرصدة الدائنة الأخرى </v>
      </c>
      <c r="O392" s="139" t="s">
        <v>1469</v>
      </c>
      <c r="P392" s="139" t="s">
        <v>1340</v>
      </c>
    </row>
    <row r="393" spans="1:16">
      <c r="A393" s="104">
        <v>27</v>
      </c>
      <c r="B393" s="131">
        <v>46086</v>
      </c>
      <c r="C393" s="141">
        <v>4001</v>
      </c>
      <c r="D393" s="140" t="str">
        <f>IF(ISERROR(VLOOKUP(C393,'[1]خريطة الحسابات'!_xlnm.Print_Area,3,FALSE))," ",(VLOOKUP(C393,'[1]خريطة الحسابات'!_xlnm.Print_Area,3,FALSE)))</f>
        <v>عبدالشكور محارة</v>
      </c>
      <c r="E393" s="132"/>
      <c r="F393" s="133">
        <v>10010</v>
      </c>
      <c r="G393" s="133"/>
      <c r="H393" s="134">
        <f t="shared" si="15"/>
        <v>10010</v>
      </c>
      <c r="I393" s="134">
        <f t="shared" si="15"/>
        <v>0</v>
      </c>
      <c r="J393" s="134">
        <f t="shared" si="16"/>
        <v>10010</v>
      </c>
      <c r="K393" s="135"/>
      <c r="L393" s="136" t="str">
        <f t="shared" si="17"/>
        <v>مدين</v>
      </c>
      <c r="M393" s="137" t="str">
        <f>IF(ISERROR(VLOOKUP(C393,'[1]خريطة الحسابات'!_xlnm.Print_Area,4,FALSE))," ",(VLOOKUP(C393,'[1]خريطة الحسابات'!_xlnm.Print_Area,4,FALSE)))</f>
        <v xml:space="preserve">مقاولين </v>
      </c>
      <c r="N393" s="138" t="str">
        <f>IF(ISERROR(VLOOKUP(C393,'[1]خريطة الحسابات'!_xlnm.Print_Area,5,FALSE))," ",(VLOOKUP(C393,'[1]خريطة الحسابات'!_xlnm.Print_Area,5,FALSE)))</f>
        <v xml:space="preserve">الدائنون والأرصدة الدائنة الأخرى </v>
      </c>
      <c r="O393" s="139" t="s">
        <v>1470</v>
      </c>
      <c r="P393" s="139" t="s">
        <v>1292</v>
      </c>
    </row>
    <row r="394" spans="1:16">
      <c r="A394" s="104">
        <v>27</v>
      </c>
      <c r="B394" s="131">
        <v>46086</v>
      </c>
      <c r="C394" s="141">
        <v>4001</v>
      </c>
      <c r="D394" s="140" t="str">
        <f>IF(ISERROR(VLOOKUP(C394,'[1]خريطة الحسابات'!_xlnm.Print_Area,3,FALSE))," ",(VLOOKUP(C394,'[1]خريطة الحسابات'!_xlnm.Print_Area,3,FALSE)))</f>
        <v>عبدالشكور محارة</v>
      </c>
      <c r="E394" s="132"/>
      <c r="F394" s="133">
        <v>800</v>
      </c>
      <c r="G394" s="133"/>
      <c r="H394" s="134">
        <f t="shared" si="15"/>
        <v>800</v>
      </c>
      <c r="I394" s="134">
        <f t="shared" si="15"/>
        <v>0</v>
      </c>
      <c r="J394" s="134">
        <f t="shared" si="16"/>
        <v>800</v>
      </c>
      <c r="K394" s="135"/>
      <c r="L394" s="136" t="str">
        <f t="shared" si="17"/>
        <v>مدين</v>
      </c>
      <c r="M394" s="137" t="str">
        <f>IF(ISERROR(VLOOKUP(C394,'[1]خريطة الحسابات'!_xlnm.Print_Area,4,FALSE))," ",(VLOOKUP(C394,'[1]خريطة الحسابات'!_xlnm.Print_Area,4,FALSE)))</f>
        <v xml:space="preserve">مقاولين </v>
      </c>
      <c r="N394" s="138" t="str">
        <f>IF(ISERROR(VLOOKUP(C394,'[1]خريطة الحسابات'!_xlnm.Print_Area,5,FALSE))," ",(VLOOKUP(C394,'[1]خريطة الحسابات'!_xlnm.Print_Area,5,FALSE)))</f>
        <v xml:space="preserve">الدائنون والأرصدة الدائنة الأخرى </v>
      </c>
      <c r="O394" s="139" t="s">
        <v>1473</v>
      </c>
      <c r="P394" s="139" t="s">
        <v>1295</v>
      </c>
    </row>
    <row r="395" spans="1:16">
      <c r="A395" s="104">
        <v>27</v>
      </c>
      <c r="B395" s="131">
        <v>46093</v>
      </c>
      <c r="C395" s="141">
        <v>4001</v>
      </c>
      <c r="D395" s="140" t="str">
        <f>IF(ISERROR(VLOOKUP(C395,'[1]خريطة الحسابات'!_xlnm.Print_Area,3,FALSE))," ",(VLOOKUP(C395,'[1]خريطة الحسابات'!_xlnm.Print_Area,3,FALSE)))</f>
        <v>عبدالشكور محارة</v>
      </c>
      <c r="E395" s="132"/>
      <c r="F395" s="133">
        <v>13013</v>
      </c>
      <c r="G395" s="133"/>
      <c r="H395" s="134">
        <f t="shared" si="15"/>
        <v>13013</v>
      </c>
      <c r="I395" s="134">
        <f t="shared" si="15"/>
        <v>0</v>
      </c>
      <c r="J395" s="134">
        <f t="shared" si="16"/>
        <v>13013</v>
      </c>
      <c r="K395" s="135"/>
      <c r="L395" s="136" t="str">
        <f t="shared" si="17"/>
        <v>مدين</v>
      </c>
      <c r="M395" s="137" t="str">
        <f>IF(ISERROR(VLOOKUP(C395,'[1]خريطة الحسابات'!_xlnm.Print_Area,4,FALSE))," ",(VLOOKUP(C395,'[1]خريطة الحسابات'!_xlnm.Print_Area,4,FALSE)))</f>
        <v xml:space="preserve">مقاولين </v>
      </c>
      <c r="N395" s="138" t="str">
        <f>IF(ISERROR(VLOOKUP(C395,'[1]خريطة الحسابات'!_xlnm.Print_Area,5,FALSE))," ",(VLOOKUP(C395,'[1]خريطة الحسابات'!_xlnm.Print_Area,5,FALSE)))</f>
        <v xml:space="preserve">الدائنون والأرصدة الدائنة الأخرى </v>
      </c>
      <c r="O395" s="139" t="s">
        <v>1474</v>
      </c>
      <c r="P395" s="139" t="s">
        <v>1315</v>
      </c>
    </row>
    <row r="396" spans="1:16">
      <c r="A396" s="104">
        <v>27</v>
      </c>
      <c r="B396" s="131">
        <v>46099</v>
      </c>
      <c r="C396" s="141">
        <v>4001</v>
      </c>
      <c r="D396" s="140" t="str">
        <f>IF(ISERROR(VLOOKUP(C396,'[1]خريطة الحسابات'!_xlnm.Print_Area,3,FALSE))," ",(VLOOKUP(C396,'[1]خريطة الحسابات'!_xlnm.Print_Area,3,FALSE)))</f>
        <v>عبدالشكور محارة</v>
      </c>
      <c r="E396" s="132"/>
      <c r="F396" s="133">
        <v>5005</v>
      </c>
      <c r="G396" s="133"/>
      <c r="H396" s="134">
        <f t="shared" si="15"/>
        <v>5005</v>
      </c>
      <c r="I396" s="134">
        <f t="shared" si="15"/>
        <v>0</v>
      </c>
      <c r="J396" s="134">
        <f t="shared" si="16"/>
        <v>5005</v>
      </c>
      <c r="K396" s="135"/>
      <c r="L396" s="136" t="str">
        <f t="shared" si="17"/>
        <v>مدين</v>
      </c>
      <c r="M396" s="137" t="str">
        <f>IF(ISERROR(VLOOKUP(C396,'[1]خريطة الحسابات'!_xlnm.Print_Area,4,FALSE))," ",(VLOOKUP(C396,'[1]خريطة الحسابات'!_xlnm.Print_Area,4,FALSE)))</f>
        <v xml:space="preserve">مقاولين </v>
      </c>
      <c r="N396" s="138" t="str">
        <f>IF(ISERROR(VLOOKUP(C396,'[1]خريطة الحسابات'!_xlnm.Print_Area,5,FALSE))," ",(VLOOKUP(C396,'[1]خريطة الحسابات'!_xlnm.Print_Area,5,FALSE)))</f>
        <v xml:space="preserve">الدائنون والأرصدة الدائنة الأخرى </v>
      </c>
      <c r="O396" s="139" t="s">
        <v>1475</v>
      </c>
      <c r="P396" s="139" t="s">
        <v>1340</v>
      </c>
    </row>
    <row r="397" spans="1:16">
      <c r="A397" s="104">
        <v>27</v>
      </c>
      <c r="B397" s="131">
        <v>46099</v>
      </c>
      <c r="C397" s="141">
        <v>4001</v>
      </c>
      <c r="D397" s="140" t="str">
        <f>IF(ISERROR(VLOOKUP(C397,'[1]خريطة الحسابات'!_xlnm.Print_Area,3,FALSE))," ",(VLOOKUP(C397,'[1]خريطة الحسابات'!_xlnm.Print_Area,3,FALSE)))</f>
        <v>عبدالشكور محارة</v>
      </c>
      <c r="E397" s="132"/>
      <c r="F397" s="133">
        <v>7007</v>
      </c>
      <c r="G397" s="133"/>
      <c r="H397" s="134">
        <f t="shared" si="15"/>
        <v>7007</v>
      </c>
      <c r="I397" s="134">
        <f t="shared" si="15"/>
        <v>0</v>
      </c>
      <c r="J397" s="134">
        <f t="shared" si="16"/>
        <v>7007</v>
      </c>
      <c r="K397" s="135"/>
      <c r="L397" s="136" t="str">
        <f t="shared" si="17"/>
        <v>مدين</v>
      </c>
      <c r="M397" s="137" t="str">
        <f>IF(ISERROR(VLOOKUP(C397,'[1]خريطة الحسابات'!_xlnm.Print_Area,4,FALSE))," ",(VLOOKUP(C397,'[1]خريطة الحسابات'!_xlnm.Print_Area,4,FALSE)))</f>
        <v xml:space="preserve">مقاولين </v>
      </c>
      <c r="N397" s="138" t="str">
        <f>IF(ISERROR(VLOOKUP(C397,'[1]خريطة الحسابات'!_xlnm.Print_Area,5,FALSE))," ",(VLOOKUP(C397,'[1]خريطة الحسابات'!_xlnm.Print_Area,5,FALSE)))</f>
        <v xml:space="preserve">الدائنون والأرصدة الدائنة الأخرى </v>
      </c>
      <c r="O397" s="139" t="s">
        <v>1476</v>
      </c>
      <c r="P397" s="139" t="s">
        <v>1292</v>
      </c>
    </row>
    <row r="398" spans="1:16">
      <c r="A398" s="104">
        <v>27</v>
      </c>
      <c r="B398" s="131">
        <v>46099</v>
      </c>
      <c r="C398" s="141">
        <v>4001</v>
      </c>
      <c r="D398" s="140" t="str">
        <f>IF(ISERROR(VLOOKUP(C398,'[1]خريطة الحسابات'!_xlnm.Print_Area,3,FALSE))," ",(VLOOKUP(C398,'[1]خريطة الحسابات'!_xlnm.Print_Area,3,FALSE)))</f>
        <v>عبدالشكور محارة</v>
      </c>
      <c r="E398" s="132"/>
      <c r="F398" s="133">
        <v>6006</v>
      </c>
      <c r="G398" s="133"/>
      <c r="H398" s="134">
        <f t="shared" si="15"/>
        <v>6006</v>
      </c>
      <c r="I398" s="134">
        <f t="shared" si="15"/>
        <v>0</v>
      </c>
      <c r="J398" s="134">
        <f t="shared" si="16"/>
        <v>6006</v>
      </c>
      <c r="K398" s="135"/>
      <c r="L398" s="136" t="str">
        <f t="shared" si="17"/>
        <v>مدين</v>
      </c>
      <c r="M398" s="137" t="str">
        <f>IF(ISERROR(VLOOKUP(C398,'[1]خريطة الحسابات'!_xlnm.Print_Area,4,FALSE))," ",(VLOOKUP(C398,'[1]خريطة الحسابات'!_xlnm.Print_Area,4,FALSE)))</f>
        <v xml:space="preserve">مقاولين </v>
      </c>
      <c r="N398" s="138" t="str">
        <f>IF(ISERROR(VLOOKUP(C398,'[1]خريطة الحسابات'!_xlnm.Print_Area,5,FALSE))," ",(VLOOKUP(C398,'[1]خريطة الحسابات'!_xlnm.Print_Area,5,FALSE)))</f>
        <v xml:space="preserve">الدائنون والأرصدة الدائنة الأخرى </v>
      </c>
      <c r="O398" s="139" t="s">
        <v>1477</v>
      </c>
      <c r="P398" s="139" t="s">
        <v>1395</v>
      </c>
    </row>
    <row r="399" spans="1:16">
      <c r="A399" s="104">
        <v>27</v>
      </c>
      <c r="B399" s="131">
        <v>46099</v>
      </c>
      <c r="C399" s="141">
        <v>4001</v>
      </c>
      <c r="D399" s="140" t="str">
        <f>IF(ISERROR(VLOOKUP(C399,'[1]خريطة الحسابات'!_xlnm.Print_Area,3,FALSE))," ",(VLOOKUP(C399,'[1]خريطة الحسابات'!_xlnm.Print_Area,3,FALSE)))</f>
        <v>عبدالشكور محارة</v>
      </c>
      <c r="E399" s="132"/>
      <c r="F399" s="133">
        <v>7007</v>
      </c>
      <c r="G399" s="133"/>
      <c r="H399" s="134">
        <f t="shared" si="15"/>
        <v>7007</v>
      </c>
      <c r="I399" s="134">
        <f t="shared" si="15"/>
        <v>0</v>
      </c>
      <c r="J399" s="134">
        <f t="shared" si="16"/>
        <v>7007</v>
      </c>
      <c r="K399" s="135"/>
      <c r="L399" s="136" t="str">
        <f t="shared" si="17"/>
        <v>مدين</v>
      </c>
      <c r="M399" s="137" t="str">
        <f>IF(ISERROR(VLOOKUP(C399,'[1]خريطة الحسابات'!_xlnm.Print_Area,4,FALSE))," ",(VLOOKUP(C399,'[1]خريطة الحسابات'!_xlnm.Print_Area,4,FALSE)))</f>
        <v xml:space="preserve">مقاولين </v>
      </c>
      <c r="N399" s="138" t="str">
        <f>IF(ISERROR(VLOOKUP(C399,'[1]خريطة الحسابات'!_xlnm.Print_Area,5,FALSE))," ",(VLOOKUP(C399,'[1]خريطة الحسابات'!_xlnm.Print_Area,5,FALSE)))</f>
        <v xml:space="preserve">الدائنون والأرصدة الدائنة الأخرى </v>
      </c>
      <c r="O399" s="139" t="s">
        <v>1478</v>
      </c>
      <c r="P399" s="139" t="s">
        <v>1393</v>
      </c>
    </row>
    <row r="400" spans="1:16">
      <c r="A400" s="104">
        <v>27</v>
      </c>
      <c r="B400" s="131">
        <v>46121</v>
      </c>
      <c r="C400" s="141">
        <v>4001</v>
      </c>
      <c r="D400" s="140" t="str">
        <f>IF(ISERROR(VLOOKUP(C400,'[1]خريطة الحسابات'!_xlnm.Print_Area,3,FALSE))," ",(VLOOKUP(C400,'[1]خريطة الحسابات'!_xlnm.Print_Area,3,FALSE)))</f>
        <v>عبدالشكور محارة</v>
      </c>
      <c r="E400" s="132"/>
      <c r="F400" s="133">
        <v>20000</v>
      </c>
      <c r="G400" s="133"/>
      <c r="H400" s="134">
        <f t="shared" si="15"/>
        <v>20000</v>
      </c>
      <c r="I400" s="134">
        <f t="shared" si="15"/>
        <v>0</v>
      </c>
      <c r="J400" s="134">
        <f t="shared" si="16"/>
        <v>20000</v>
      </c>
      <c r="K400" s="135"/>
      <c r="L400" s="136" t="str">
        <f t="shared" si="17"/>
        <v>مدين</v>
      </c>
      <c r="M400" s="137" t="str">
        <f>IF(ISERROR(VLOOKUP(C400,'[1]خريطة الحسابات'!_xlnm.Print_Area,4,FALSE))," ",(VLOOKUP(C400,'[1]خريطة الحسابات'!_xlnm.Print_Area,4,FALSE)))</f>
        <v xml:space="preserve">مقاولين </v>
      </c>
      <c r="N400" s="138" t="str">
        <f>IF(ISERROR(VLOOKUP(C400,'[1]خريطة الحسابات'!_xlnm.Print_Area,5,FALSE))," ",(VLOOKUP(C400,'[1]خريطة الحسابات'!_xlnm.Print_Area,5,FALSE)))</f>
        <v xml:space="preserve">الدائنون والأرصدة الدائنة الأخرى </v>
      </c>
      <c r="O400" s="139" t="s">
        <v>1479</v>
      </c>
      <c r="P400" s="139" t="s">
        <v>1480</v>
      </c>
    </row>
    <row r="401" spans="1:16">
      <c r="A401" s="104">
        <v>27</v>
      </c>
      <c r="B401" s="131">
        <v>46128</v>
      </c>
      <c r="C401" s="141">
        <v>4001</v>
      </c>
      <c r="D401" s="140" t="str">
        <f>IF(ISERROR(VLOOKUP(C401,'[1]خريطة الحسابات'!_xlnm.Print_Area,3,FALSE))," ",(VLOOKUP(C401,'[1]خريطة الحسابات'!_xlnm.Print_Area,3,FALSE)))</f>
        <v>عبدالشكور محارة</v>
      </c>
      <c r="E401" s="132"/>
      <c r="F401" s="133">
        <v>2052</v>
      </c>
      <c r="G401" s="133"/>
      <c r="H401" s="134">
        <f t="shared" si="15"/>
        <v>2052</v>
      </c>
      <c r="I401" s="134">
        <f t="shared" si="15"/>
        <v>0</v>
      </c>
      <c r="J401" s="134">
        <f t="shared" si="16"/>
        <v>2052</v>
      </c>
      <c r="K401" s="135"/>
      <c r="L401" s="136" t="str">
        <f t="shared" si="17"/>
        <v>مدين</v>
      </c>
      <c r="M401" s="137" t="str">
        <f>IF(ISERROR(VLOOKUP(C401,'[1]خريطة الحسابات'!_xlnm.Print_Area,4,FALSE))," ",(VLOOKUP(C401,'[1]خريطة الحسابات'!_xlnm.Print_Area,4,FALSE)))</f>
        <v xml:space="preserve">مقاولين </v>
      </c>
      <c r="N401" s="138" t="str">
        <f>IF(ISERROR(VLOOKUP(C401,'[1]خريطة الحسابات'!_xlnm.Print_Area,5,FALSE))," ",(VLOOKUP(C401,'[1]خريطة الحسابات'!_xlnm.Print_Area,5,FALSE)))</f>
        <v xml:space="preserve">الدائنون والأرصدة الدائنة الأخرى </v>
      </c>
      <c r="O401" s="139" t="s">
        <v>1481</v>
      </c>
      <c r="P401" s="139" t="s">
        <v>1327</v>
      </c>
    </row>
    <row r="402" spans="1:16">
      <c r="A402" s="104">
        <v>27</v>
      </c>
      <c r="B402" s="131">
        <v>46135</v>
      </c>
      <c r="C402" s="141">
        <v>4001</v>
      </c>
      <c r="D402" s="140" t="str">
        <f>IF(ISERROR(VLOOKUP(C402,'[1]خريطة الحسابات'!_xlnm.Print_Area,3,FALSE))," ",(VLOOKUP(C402,'[1]خريطة الحسابات'!_xlnm.Print_Area,3,FALSE)))</f>
        <v>عبدالشكور محارة</v>
      </c>
      <c r="E402" s="132"/>
      <c r="F402" s="133">
        <v>2100</v>
      </c>
      <c r="G402" s="133"/>
      <c r="H402" s="134">
        <f t="shared" si="15"/>
        <v>2100</v>
      </c>
      <c r="I402" s="134">
        <f t="shared" si="15"/>
        <v>0</v>
      </c>
      <c r="J402" s="134">
        <f t="shared" si="16"/>
        <v>2100</v>
      </c>
      <c r="K402" s="135"/>
      <c r="L402" s="136" t="str">
        <f t="shared" si="17"/>
        <v>مدين</v>
      </c>
      <c r="M402" s="137" t="str">
        <f>IF(ISERROR(VLOOKUP(C402,'[1]خريطة الحسابات'!_xlnm.Print_Area,4,FALSE))," ",(VLOOKUP(C402,'[1]خريطة الحسابات'!_xlnm.Print_Area,4,FALSE)))</f>
        <v xml:space="preserve">مقاولين </v>
      </c>
      <c r="N402" s="138" t="str">
        <f>IF(ISERROR(VLOOKUP(C402,'[1]خريطة الحسابات'!_xlnm.Print_Area,5,FALSE))," ",(VLOOKUP(C402,'[1]خريطة الحسابات'!_xlnm.Print_Area,5,FALSE)))</f>
        <v xml:space="preserve">الدائنون والأرصدة الدائنة الأخرى </v>
      </c>
      <c r="O402" s="139" t="s">
        <v>1482</v>
      </c>
      <c r="P402" s="139" t="s">
        <v>1327</v>
      </c>
    </row>
    <row r="403" spans="1:16">
      <c r="A403" s="104">
        <v>27</v>
      </c>
      <c r="B403" s="131">
        <v>46135</v>
      </c>
      <c r="C403" s="141">
        <v>4001</v>
      </c>
      <c r="D403" s="140" t="str">
        <f>IF(ISERROR(VLOOKUP(C403,'[1]خريطة الحسابات'!_xlnm.Print_Area,3,FALSE))," ",(VLOOKUP(C403,'[1]خريطة الحسابات'!_xlnm.Print_Area,3,FALSE)))</f>
        <v>عبدالشكور محارة</v>
      </c>
      <c r="E403" s="132"/>
      <c r="F403" s="133">
        <v>4006</v>
      </c>
      <c r="G403" s="133"/>
      <c r="H403" s="134">
        <f t="shared" si="15"/>
        <v>4006</v>
      </c>
      <c r="I403" s="134">
        <f t="shared" si="15"/>
        <v>0</v>
      </c>
      <c r="J403" s="134">
        <f t="shared" si="16"/>
        <v>4006</v>
      </c>
      <c r="K403" s="135"/>
      <c r="L403" s="136" t="str">
        <f t="shared" si="17"/>
        <v>مدين</v>
      </c>
      <c r="M403" s="137" t="str">
        <f>IF(ISERROR(VLOOKUP(C403,'[1]خريطة الحسابات'!_xlnm.Print_Area,4,FALSE))," ",(VLOOKUP(C403,'[1]خريطة الحسابات'!_xlnm.Print_Area,4,FALSE)))</f>
        <v xml:space="preserve">مقاولين </v>
      </c>
      <c r="N403" s="138" t="str">
        <f>IF(ISERROR(VLOOKUP(C403,'[1]خريطة الحسابات'!_xlnm.Print_Area,5,FALSE))," ",(VLOOKUP(C403,'[1]خريطة الحسابات'!_xlnm.Print_Area,5,FALSE)))</f>
        <v xml:space="preserve">الدائنون والأرصدة الدائنة الأخرى </v>
      </c>
      <c r="O403" s="139" t="s">
        <v>1483</v>
      </c>
      <c r="P403" s="139" t="s">
        <v>1383</v>
      </c>
    </row>
    <row r="404" spans="1:16">
      <c r="A404" s="104">
        <v>27</v>
      </c>
      <c r="B404" s="131">
        <v>46142</v>
      </c>
      <c r="C404" s="141">
        <v>4001</v>
      </c>
      <c r="D404" s="140" t="str">
        <f>IF(ISERROR(VLOOKUP(C404,'[1]خريطة الحسابات'!_xlnm.Print_Area,3,FALSE))," ",(VLOOKUP(C404,'[1]خريطة الحسابات'!_xlnm.Print_Area,3,FALSE)))</f>
        <v>عبدالشكور محارة</v>
      </c>
      <c r="E404" s="132"/>
      <c r="F404" s="133">
        <v>7000</v>
      </c>
      <c r="G404" s="133"/>
      <c r="H404" s="134">
        <f t="shared" si="15"/>
        <v>7000</v>
      </c>
      <c r="I404" s="134">
        <f t="shared" si="15"/>
        <v>0</v>
      </c>
      <c r="J404" s="134">
        <f t="shared" si="16"/>
        <v>7000</v>
      </c>
      <c r="K404" s="135"/>
      <c r="L404" s="136" t="str">
        <f t="shared" si="17"/>
        <v>مدين</v>
      </c>
      <c r="M404" s="137" t="str">
        <f>IF(ISERROR(VLOOKUP(C404,'[1]خريطة الحسابات'!_xlnm.Print_Area,4,FALSE))," ",(VLOOKUP(C404,'[1]خريطة الحسابات'!_xlnm.Print_Area,4,FALSE)))</f>
        <v xml:space="preserve">مقاولين </v>
      </c>
      <c r="N404" s="138" t="str">
        <f>IF(ISERROR(VLOOKUP(C404,'[1]خريطة الحسابات'!_xlnm.Print_Area,5,FALSE))," ",(VLOOKUP(C404,'[1]خريطة الحسابات'!_xlnm.Print_Area,5,FALSE)))</f>
        <v xml:space="preserve">الدائنون والأرصدة الدائنة الأخرى </v>
      </c>
      <c r="O404" s="139" t="s">
        <v>1484</v>
      </c>
      <c r="P404" s="139" t="s">
        <v>1292</v>
      </c>
    </row>
    <row r="405" spans="1:16">
      <c r="A405" s="104">
        <v>27</v>
      </c>
      <c r="B405" s="131">
        <v>46148</v>
      </c>
      <c r="C405" s="141">
        <v>4001</v>
      </c>
      <c r="D405" s="140" t="str">
        <f>IF(ISERROR(VLOOKUP(C405,'[1]خريطة الحسابات'!_xlnm.Print_Area,3,FALSE))," ",(VLOOKUP(C405,'[1]خريطة الحسابات'!_xlnm.Print_Area,3,FALSE)))</f>
        <v>عبدالشكور محارة</v>
      </c>
      <c r="E405" s="132"/>
      <c r="F405" s="133">
        <v>7007</v>
      </c>
      <c r="G405" s="133"/>
      <c r="H405" s="134">
        <f t="shared" si="15"/>
        <v>7007</v>
      </c>
      <c r="I405" s="134">
        <f t="shared" si="15"/>
        <v>0</v>
      </c>
      <c r="J405" s="134">
        <f t="shared" si="16"/>
        <v>7007</v>
      </c>
      <c r="K405" s="135"/>
      <c r="L405" s="136" t="str">
        <f t="shared" si="17"/>
        <v>مدين</v>
      </c>
      <c r="M405" s="137" t="str">
        <f>IF(ISERROR(VLOOKUP(C405,'[1]خريطة الحسابات'!_xlnm.Print_Area,4,FALSE))," ",(VLOOKUP(C405,'[1]خريطة الحسابات'!_xlnm.Print_Area,4,FALSE)))</f>
        <v xml:space="preserve">مقاولين </v>
      </c>
      <c r="N405" s="138" t="str">
        <f>IF(ISERROR(VLOOKUP(C405,'[1]خريطة الحسابات'!_xlnm.Print_Area,5,FALSE))," ",(VLOOKUP(C405,'[1]خريطة الحسابات'!_xlnm.Print_Area,5,FALSE)))</f>
        <v xml:space="preserve">الدائنون والأرصدة الدائنة الأخرى </v>
      </c>
      <c r="O405" s="139" t="s">
        <v>1483</v>
      </c>
      <c r="P405" s="139" t="s">
        <v>1383</v>
      </c>
    </row>
    <row r="406" spans="1:16">
      <c r="A406" s="104">
        <v>27</v>
      </c>
      <c r="B406" s="131">
        <v>46148</v>
      </c>
      <c r="C406" s="141">
        <v>4001</v>
      </c>
      <c r="D406" s="140" t="str">
        <f>IF(ISERROR(VLOOKUP(C406,'[1]خريطة الحسابات'!_xlnm.Print_Area,3,FALSE))," ",(VLOOKUP(C406,'[1]خريطة الحسابات'!_xlnm.Print_Area,3,FALSE)))</f>
        <v>عبدالشكور محارة</v>
      </c>
      <c r="E406" s="132"/>
      <c r="F406" s="133">
        <v>850</v>
      </c>
      <c r="G406" s="133"/>
      <c r="H406" s="134">
        <f t="shared" si="15"/>
        <v>850</v>
      </c>
      <c r="I406" s="134">
        <f t="shared" si="15"/>
        <v>0</v>
      </c>
      <c r="J406" s="134">
        <f t="shared" si="16"/>
        <v>850</v>
      </c>
      <c r="K406" s="135"/>
      <c r="L406" s="136" t="str">
        <f t="shared" si="17"/>
        <v>مدين</v>
      </c>
      <c r="M406" s="137" t="str">
        <f>IF(ISERROR(VLOOKUP(C406,'[1]خريطة الحسابات'!_xlnm.Print_Area,4,FALSE))," ",(VLOOKUP(C406,'[1]خريطة الحسابات'!_xlnm.Print_Area,4,FALSE)))</f>
        <v xml:space="preserve">مقاولين </v>
      </c>
      <c r="N406" s="138" t="str">
        <f>IF(ISERROR(VLOOKUP(C406,'[1]خريطة الحسابات'!_xlnm.Print_Area,5,FALSE))," ",(VLOOKUP(C406,'[1]خريطة الحسابات'!_xlnm.Print_Area,5,FALSE)))</f>
        <v xml:space="preserve">الدائنون والأرصدة الدائنة الأخرى </v>
      </c>
      <c r="O406" s="139" t="s">
        <v>1485</v>
      </c>
      <c r="P406" s="139" t="s">
        <v>1290</v>
      </c>
    </row>
    <row r="407" spans="1:16">
      <c r="A407" s="104">
        <v>27</v>
      </c>
      <c r="B407" s="131">
        <v>46161</v>
      </c>
      <c r="C407" s="141">
        <v>4001</v>
      </c>
      <c r="D407" s="140" t="str">
        <f>IF(ISERROR(VLOOKUP(C407,'[1]خريطة الحسابات'!_xlnm.Print_Area,3,FALSE))," ",(VLOOKUP(C407,'[1]خريطة الحسابات'!_xlnm.Print_Area,3,FALSE)))</f>
        <v>عبدالشكور محارة</v>
      </c>
      <c r="E407" s="132"/>
      <c r="F407" s="133">
        <v>6000</v>
      </c>
      <c r="G407" s="133"/>
      <c r="H407" s="134">
        <f t="shared" si="15"/>
        <v>6000</v>
      </c>
      <c r="I407" s="134">
        <f t="shared" si="15"/>
        <v>0</v>
      </c>
      <c r="J407" s="134">
        <f t="shared" si="16"/>
        <v>6000</v>
      </c>
      <c r="K407" s="135"/>
      <c r="L407" s="136" t="str">
        <f t="shared" si="17"/>
        <v>مدين</v>
      </c>
      <c r="M407" s="137" t="str">
        <f>IF(ISERROR(VLOOKUP(C407,'[1]خريطة الحسابات'!_xlnm.Print_Area,4,FALSE))," ",(VLOOKUP(C407,'[1]خريطة الحسابات'!_xlnm.Print_Area,4,FALSE)))</f>
        <v xml:space="preserve">مقاولين </v>
      </c>
      <c r="N407" s="138" t="str">
        <f>IF(ISERROR(VLOOKUP(C407,'[1]خريطة الحسابات'!_xlnm.Print_Area,5,FALSE))," ",(VLOOKUP(C407,'[1]خريطة الحسابات'!_xlnm.Print_Area,5,FALSE)))</f>
        <v xml:space="preserve">الدائنون والأرصدة الدائنة الأخرى </v>
      </c>
      <c r="O407" s="139" t="s">
        <v>1486</v>
      </c>
      <c r="P407" s="139" t="s">
        <v>1292</v>
      </c>
    </row>
    <row r="408" spans="1:16">
      <c r="A408" s="104">
        <v>27</v>
      </c>
      <c r="B408" s="131">
        <v>46163</v>
      </c>
      <c r="C408" s="141">
        <v>4001</v>
      </c>
      <c r="D408" s="140" t="str">
        <f>IF(ISERROR(VLOOKUP(C408,'[1]خريطة الحسابات'!_xlnm.Print_Area,3,FALSE))," ",(VLOOKUP(C408,'[1]خريطة الحسابات'!_xlnm.Print_Area,3,FALSE)))</f>
        <v>عبدالشكور محارة</v>
      </c>
      <c r="E408" s="132"/>
      <c r="F408" s="133">
        <v>4004</v>
      </c>
      <c r="G408" s="133"/>
      <c r="H408" s="134">
        <f t="shared" ref="H408:I471" si="18">IF($E408=2,F408*3.465,F408)</f>
        <v>4004</v>
      </c>
      <c r="I408" s="134">
        <f t="shared" si="18"/>
        <v>0</v>
      </c>
      <c r="J408" s="134">
        <f t="shared" ref="J408:J471" si="19">H408-I408</f>
        <v>4004</v>
      </c>
      <c r="K408" s="135"/>
      <c r="L408" s="136" t="str">
        <f t="shared" si="17"/>
        <v>مدين</v>
      </c>
      <c r="M408" s="137" t="str">
        <f>IF(ISERROR(VLOOKUP(C408,'[1]خريطة الحسابات'!_xlnm.Print_Area,4,FALSE))," ",(VLOOKUP(C408,'[1]خريطة الحسابات'!_xlnm.Print_Area,4,FALSE)))</f>
        <v xml:space="preserve">مقاولين </v>
      </c>
      <c r="N408" s="138" t="str">
        <f>IF(ISERROR(VLOOKUP(C408,'[1]خريطة الحسابات'!_xlnm.Print_Area,5,FALSE))," ",(VLOOKUP(C408,'[1]خريطة الحسابات'!_xlnm.Print_Area,5,FALSE)))</f>
        <v xml:space="preserve">الدائنون والأرصدة الدائنة الأخرى </v>
      </c>
      <c r="O408" s="139" t="s">
        <v>1487</v>
      </c>
      <c r="P408" s="139" t="s">
        <v>1290</v>
      </c>
    </row>
    <row r="409" spans="1:16">
      <c r="A409" s="104">
        <v>27</v>
      </c>
      <c r="B409" s="131">
        <v>46166</v>
      </c>
      <c r="C409" s="141">
        <v>4001</v>
      </c>
      <c r="D409" s="140" t="str">
        <f>IF(ISERROR(VLOOKUP(C409,'[1]خريطة الحسابات'!_xlnm.Print_Area,3,FALSE))," ",(VLOOKUP(C409,'[1]خريطة الحسابات'!_xlnm.Print_Area,3,FALSE)))</f>
        <v>عبدالشكور محارة</v>
      </c>
      <c r="E409" s="132"/>
      <c r="F409" s="133">
        <v>5000</v>
      </c>
      <c r="G409" s="133"/>
      <c r="H409" s="134">
        <f t="shared" si="18"/>
        <v>5000</v>
      </c>
      <c r="I409" s="134">
        <f t="shared" si="18"/>
        <v>0</v>
      </c>
      <c r="J409" s="134">
        <f t="shared" si="19"/>
        <v>5000</v>
      </c>
      <c r="K409" s="135"/>
      <c r="L409" s="136" t="str">
        <f t="shared" si="17"/>
        <v>مدين</v>
      </c>
      <c r="M409" s="137" t="str">
        <f>IF(ISERROR(VLOOKUP(C409,'[1]خريطة الحسابات'!_xlnm.Print_Area,4,FALSE))," ",(VLOOKUP(C409,'[1]خريطة الحسابات'!_xlnm.Print_Area,4,FALSE)))</f>
        <v xml:space="preserve">مقاولين </v>
      </c>
      <c r="N409" s="138" t="str">
        <f>IF(ISERROR(VLOOKUP(C409,'[1]خريطة الحسابات'!_xlnm.Print_Area,5,FALSE))," ",(VLOOKUP(C409,'[1]خريطة الحسابات'!_xlnm.Print_Area,5,FALSE)))</f>
        <v xml:space="preserve">الدائنون والأرصدة الدائنة الأخرى </v>
      </c>
      <c r="O409" s="139" t="s">
        <v>1488</v>
      </c>
      <c r="P409" s="139" t="s">
        <v>1489</v>
      </c>
    </row>
    <row r="410" spans="1:16">
      <c r="A410" s="104">
        <v>27</v>
      </c>
      <c r="B410" s="131">
        <v>46166</v>
      </c>
      <c r="C410" s="141">
        <v>4001</v>
      </c>
      <c r="D410" s="140" t="str">
        <f>IF(ISERROR(VLOOKUP(C410,'[1]خريطة الحسابات'!_xlnm.Print_Area,3,FALSE))," ",(VLOOKUP(C410,'[1]خريطة الحسابات'!_xlnm.Print_Area,3,FALSE)))</f>
        <v>عبدالشكور محارة</v>
      </c>
      <c r="E410" s="132"/>
      <c r="F410" s="133">
        <v>5000</v>
      </c>
      <c r="G410" s="133"/>
      <c r="H410" s="134">
        <f t="shared" si="18"/>
        <v>5000</v>
      </c>
      <c r="I410" s="134">
        <f t="shared" si="18"/>
        <v>0</v>
      </c>
      <c r="J410" s="134">
        <f t="shared" si="19"/>
        <v>5000</v>
      </c>
      <c r="K410" s="135"/>
      <c r="L410" s="136" t="str">
        <f t="shared" ref="L410:L473" si="20">IF(J410&lt;0,"دائن",IF(J410&gt;0,"مدين",""))</f>
        <v>مدين</v>
      </c>
      <c r="M410" s="137" t="str">
        <f>IF(ISERROR(VLOOKUP(C410,'[1]خريطة الحسابات'!_xlnm.Print_Area,4,FALSE))," ",(VLOOKUP(C410,'[1]خريطة الحسابات'!_xlnm.Print_Area,4,FALSE)))</f>
        <v xml:space="preserve">مقاولين </v>
      </c>
      <c r="N410" s="138" t="str">
        <f>IF(ISERROR(VLOOKUP(C410,'[1]خريطة الحسابات'!_xlnm.Print_Area,5,FALSE))," ",(VLOOKUP(C410,'[1]خريطة الحسابات'!_xlnm.Print_Area,5,FALSE)))</f>
        <v xml:space="preserve">الدائنون والأرصدة الدائنة الأخرى </v>
      </c>
      <c r="O410" s="139" t="s">
        <v>1490</v>
      </c>
      <c r="P410" s="139" t="s">
        <v>1292</v>
      </c>
    </row>
    <row r="411" spans="1:16">
      <c r="A411" s="104">
        <v>27</v>
      </c>
      <c r="B411" s="131">
        <v>46166</v>
      </c>
      <c r="C411" s="141">
        <v>4001</v>
      </c>
      <c r="D411" s="140" t="str">
        <f>IF(ISERROR(VLOOKUP(C411,'[1]خريطة الحسابات'!_xlnm.Print_Area,3,FALSE))," ",(VLOOKUP(C411,'[1]خريطة الحسابات'!_xlnm.Print_Area,3,FALSE)))</f>
        <v>عبدالشكور محارة</v>
      </c>
      <c r="E411" s="132"/>
      <c r="F411" s="133">
        <v>10000</v>
      </c>
      <c r="G411" s="133"/>
      <c r="H411" s="134">
        <f t="shared" si="18"/>
        <v>10000</v>
      </c>
      <c r="I411" s="134">
        <f t="shared" si="18"/>
        <v>0</v>
      </c>
      <c r="J411" s="134">
        <f t="shared" si="19"/>
        <v>10000</v>
      </c>
      <c r="K411" s="135"/>
      <c r="L411" s="136" t="str">
        <f t="shared" si="20"/>
        <v>مدين</v>
      </c>
      <c r="M411" s="137" t="str">
        <f>IF(ISERROR(VLOOKUP(C411,'[1]خريطة الحسابات'!_xlnm.Print_Area,4,FALSE))," ",(VLOOKUP(C411,'[1]خريطة الحسابات'!_xlnm.Print_Area,4,FALSE)))</f>
        <v xml:space="preserve">مقاولين </v>
      </c>
      <c r="N411" s="138" t="str">
        <f>IF(ISERROR(VLOOKUP(C411,'[1]خريطة الحسابات'!_xlnm.Print_Area,5,FALSE))," ",(VLOOKUP(C411,'[1]خريطة الحسابات'!_xlnm.Print_Area,5,FALSE)))</f>
        <v xml:space="preserve">الدائنون والأرصدة الدائنة الأخرى </v>
      </c>
      <c r="O411" s="139" t="s">
        <v>1488</v>
      </c>
      <c r="P411" s="139" t="s">
        <v>1383</v>
      </c>
    </row>
    <row r="412" spans="1:16">
      <c r="A412" s="104">
        <v>27</v>
      </c>
      <c r="B412" s="131">
        <v>46177</v>
      </c>
      <c r="C412" s="141">
        <v>4001</v>
      </c>
      <c r="D412" s="140" t="str">
        <f>IF(ISERROR(VLOOKUP(C412,'[1]خريطة الحسابات'!_xlnm.Print_Area,3,FALSE))," ",(VLOOKUP(C412,'[1]خريطة الحسابات'!_xlnm.Print_Area,3,FALSE)))</f>
        <v>عبدالشكور محارة</v>
      </c>
      <c r="E412" s="132"/>
      <c r="F412" s="133">
        <v>5000</v>
      </c>
      <c r="G412" s="133"/>
      <c r="H412" s="134">
        <f t="shared" si="18"/>
        <v>5000</v>
      </c>
      <c r="I412" s="134">
        <f t="shared" si="18"/>
        <v>0</v>
      </c>
      <c r="J412" s="134">
        <f t="shared" si="19"/>
        <v>5000</v>
      </c>
      <c r="K412" s="135"/>
      <c r="L412" s="136" t="str">
        <f t="shared" si="20"/>
        <v>مدين</v>
      </c>
      <c r="M412" s="137" t="str">
        <f>IF(ISERROR(VLOOKUP(C412,'[1]خريطة الحسابات'!_xlnm.Print_Area,4,FALSE))," ",(VLOOKUP(C412,'[1]خريطة الحسابات'!_xlnm.Print_Area,4,FALSE)))</f>
        <v xml:space="preserve">مقاولين </v>
      </c>
      <c r="N412" s="138" t="str">
        <f>IF(ISERROR(VLOOKUP(C412,'[1]خريطة الحسابات'!_xlnm.Print_Area,5,FALSE))," ",(VLOOKUP(C412,'[1]خريطة الحسابات'!_xlnm.Print_Area,5,FALSE)))</f>
        <v xml:space="preserve">الدائنون والأرصدة الدائنة الأخرى </v>
      </c>
      <c r="O412" s="139" t="s">
        <v>1488</v>
      </c>
      <c r="P412" s="139" t="s">
        <v>1345</v>
      </c>
    </row>
    <row r="413" spans="1:16">
      <c r="A413" s="104">
        <v>27</v>
      </c>
      <c r="B413" s="131">
        <v>46184</v>
      </c>
      <c r="C413" s="141">
        <v>4001</v>
      </c>
      <c r="D413" s="140" t="str">
        <f>IF(ISERROR(VLOOKUP(C413,'[1]خريطة الحسابات'!_xlnm.Print_Area,3,FALSE))," ",(VLOOKUP(C413,'[1]خريطة الحسابات'!_xlnm.Print_Area,3,FALSE)))</f>
        <v>عبدالشكور محارة</v>
      </c>
      <c r="E413" s="132"/>
      <c r="F413" s="133">
        <v>5505</v>
      </c>
      <c r="G413" s="133"/>
      <c r="H413" s="134">
        <f t="shared" si="18"/>
        <v>5505</v>
      </c>
      <c r="I413" s="134">
        <f t="shared" si="18"/>
        <v>0</v>
      </c>
      <c r="J413" s="134">
        <f t="shared" si="19"/>
        <v>5505</v>
      </c>
      <c r="K413" s="135"/>
      <c r="L413" s="136" t="str">
        <f t="shared" si="20"/>
        <v>مدين</v>
      </c>
      <c r="M413" s="137" t="str">
        <f>IF(ISERROR(VLOOKUP(C413,'[1]خريطة الحسابات'!_xlnm.Print_Area,4,FALSE))," ",(VLOOKUP(C413,'[1]خريطة الحسابات'!_xlnm.Print_Area,4,FALSE)))</f>
        <v xml:space="preserve">مقاولين </v>
      </c>
      <c r="N413" s="138" t="str">
        <f>IF(ISERROR(VLOOKUP(C413,'[1]خريطة الحسابات'!_xlnm.Print_Area,5,FALSE))," ",(VLOOKUP(C413,'[1]خريطة الحسابات'!_xlnm.Print_Area,5,FALSE)))</f>
        <v xml:space="preserve">الدائنون والأرصدة الدائنة الأخرى </v>
      </c>
      <c r="O413" s="139" t="s">
        <v>1491</v>
      </c>
      <c r="P413" s="139" t="s">
        <v>1290</v>
      </c>
    </row>
    <row r="414" spans="1:16">
      <c r="A414" s="104">
        <v>27</v>
      </c>
      <c r="B414" s="131">
        <v>46030</v>
      </c>
      <c r="C414" s="141">
        <v>20</v>
      </c>
      <c r="D414" s="140" t="str">
        <f>IF(ISERROR(VLOOKUP(C414,'[1]خريطة الحسابات'!_xlnm.Print_Area,3,FALSE))," ",(VLOOKUP(C414,'[1]خريطة الحسابات'!_xlnm.Print_Area,3,FALSE)))</f>
        <v xml:space="preserve">الخزينة </v>
      </c>
      <c r="E414" s="132"/>
      <c r="F414" s="133"/>
      <c r="G414" s="133">
        <v>5005</v>
      </c>
      <c r="H414" s="134">
        <f t="shared" si="18"/>
        <v>0</v>
      </c>
      <c r="I414" s="134">
        <f t="shared" si="18"/>
        <v>5005</v>
      </c>
      <c r="J414" s="134">
        <f t="shared" si="19"/>
        <v>-5005</v>
      </c>
      <c r="K414" s="135"/>
      <c r="L414" s="136" t="str">
        <f t="shared" si="20"/>
        <v>دائن</v>
      </c>
      <c r="M414" s="137" t="str">
        <f>IF(ISERROR(VLOOKUP(C414,'[1]خريطة الحسابات'!_xlnm.Print_Area,4,FALSE))," ",(VLOOKUP(C414,'[1]خريطة الحسابات'!_xlnm.Print_Area,4,FALSE)))</f>
        <v xml:space="preserve">أصول متداوله -النقدية ومافي حكمها </v>
      </c>
      <c r="N414" s="138" t="str">
        <f>IF(ISERROR(VLOOKUP(C414,'[1]خريطة الحسابات'!_xlnm.Print_Area,5,FALSE))," ",(VLOOKUP(C414,'[1]خريطة الحسابات'!_xlnm.Print_Area,5,FALSE)))</f>
        <v>الاصول</v>
      </c>
      <c r="O414" s="139" t="s">
        <v>1467</v>
      </c>
      <c r="P414" s="139" t="s">
        <v>1468</v>
      </c>
    </row>
    <row r="415" spans="1:16">
      <c r="A415" s="104">
        <v>27</v>
      </c>
      <c r="B415" s="131">
        <v>46030</v>
      </c>
      <c r="C415" s="141">
        <v>20</v>
      </c>
      <c r="D415" s="140" t="str">
        <f>IF(ISERROR(VLOOKUP(C415,'[1]خريطة الحسابات'!_xlnm.Print_Area,3,FALSE))," ",(VLOOKUP(C415,'[1]خريطة الحسابات'!_xlnm.Print_Area,3,FALSE)))</f>
        <v xml:space="preserve">الخزينة </v>
      </c>
      <c r="E415" s="132"/>
      <c r="F415" s="133"/>
      <c r="G415" s="133">
        <v>15015</v>
      </c>
      <c r="H415" s="134">
        <f t="shared" si="18"/>
        <v>0</v>
      </c>
      <c r="I415" s="134">
        <f t="shared" si="18"/>
        <v>15015</v>
      </c>
      <c r="J415" s="134">
        <f t="shared" si="19"/>
        <v>-15015</v>
      </c>
      <c r="K415" s="135"/>
      <c r="L415" s="136" t="str">
        <f t="shared" si="20"/>
        <v>دائن</v>
      </c>
      <c r="M415" s="137" t="str">
        <f>IF(ISERROR(VLOOKUP(C415,'[1]خريطة الحسابات'!_xlnm.Print_Area,4,FALSE))," ",(VLOOKUP(C415,'[1]خريطة الحسابات'!_xlnm.Print_Area,4,FALSE)))</f>
        <v xml:space="preserve">أصول متداوله -النقدية ومافي حكمها </v>
      </c>
      <c r="N415" s="138" t="str">
        <f>IF(ISERROR(VLOOKUP(C415,'[1]خريطة الحسابات'!_xlnm.Print_Area,5,FALSE))," ",(VLOOKUP(C415,'[1]خريطة الحسابات'!_xlnm.Print_Area,5,FALSE)))</f>
        <v>الاصول</v>
      </c>
      <c r="O415" s="139" t="s">
        <v>1469</v>
      </c>
      <c r="P415" s="139" t="s">
        <v>1290</v>
      </c>
    </row>
    <row r="416" spans="1:16">
      <c r="A416" s="104">
        <v>27</v>
      </c>
      <c r="B416" s="131">
        <v>46044</v>
      </c>
      <c r="C416" s="141">
        <v>20</v>
      </c>
      <c r="D416" s="140" t="str">
        <f>IF(ISERROR(VLOOKUP(C416,'[1]خريطة الحسابات'!_xlnm.Print_Area,3,FALSE))," ",(VLOOKUP(C416,'[1]خريطة الحسابات'!_xlnm.Print_Area,3,FALSE)))</f>
        <v xml:space="preserve">الخزينة </v>
      </c>
      <c r="E416" s="132"/>
      <c r="F416" s="133"/>
      <c r="G416" s="133">
        <v>25025</v>
      </c>
      <c r="H416" s="134">
        <f t="shared" si="18"/>
        <v>0</v>
      </c>
      <c r="I416" s="134">
        <f t="shared" si="18"/>
        <v>25025</v>
      </c>
      <c r="J416" s="134">
        <f t="shared" si="19"/>
        <v>-25025</v>
      </c>
      <c r="K416" s="135"/>
      <c r="L416" s="136" t="str">
        <f t="shared" si="20"/>
        <v>دائن</v>
      </c>
      <c r="M416" s="137" t="str">
        <f>IF(ISERROR(VLOOKUP(C416,'[1]خريطة الحسابات'!_xlnm.Print_Area,4,FALSE))," ",(VLOOKUP(C416,'[1]خريطة الحسابات'!_xlnm.Print_Area,4,FALSE)))</f>
        <v xml:space="preserve">أصول متداوله -النقدية ومافي حكمها </v>
      </c>
      <c r="N416" s="138" t="str">
        <f>IF(ISERROR(VLOOKUP(C416,'[1]خريطة الحسابات'!_xlnm.Print_Area,5,FALSE))," ",(VLOOKUP(C416,'[1]خريطة الحسابات'!_xlnm.Print_Area,5,FALSE)))</f>
        <v>الاصول</v>
      </c>
      <c r="O416" s="139" t="s">
        <v>1470</v>
      </c>
      <c r="P416" s="139" t="s">
        <v>1292</v>
      </c>
    </row>
    <row r="417" spans="1:16">
      <c r="A417" s="104">
        <v>27</v>
      </c>
      <c r="B417" s="131">
        <v>46058</v>
      </c>
      <c r="C417" s="141">
        <v>20</v>
      </c>
      <c r="D417" s="140" t="str">
        <f>IF(ISERROR(VLOOKUP(C417,'[1]خريطة الحسابات'!_xlnm.Print_Area,3,FALSE))," ",(VLOOKUP(C417,'[1]خريطة الحسابات'!_xlnm.Print_Area,3,FALSE)))</f>
        <v xml:space="preserve">الخزينة </v>
      </c>
      <c r="E417" s="132"/>
      <c r="F417" s="133"/>
      <c r="G417" s="133">
        <v>10010</v>
      </c>
      <c r="H417" s="134">
        <f t="shared" si="18"/>
        <v>0</v>
      </c>
      <c r="I417" s="134">
        <f t="shared" si="18"/>
        <v>10010</v>
      </c>
      <c r="J417" s="134">
        <f t="shared" si="19"/>
        <v>-10010</v>
      </c>
      <c r="K417" s="135"/>
      <c r="L417" s="136" t="str">
        <f t="shared" si="20"/>
        <v>دائن</v>
      </c>
      <c r="M417" s="137" t="str">
        <f>IF(ISERROR(VLOOKUP(C417,'[1]خريطة الحسابات'!_xlnm.Print_Area,4,FALSE))," ",(VLOOKUP(C417,'[1]خريطة الحسابات'!_xlnm.Print_Area,4,FALSE)))</f>
        <v xml:space="preserve">أصول متداوله -النقدية ومافي حكمها </v>
      </c>
      <c r="N417" s="138" t="str">
        <f>IF(ISERROR(VLOOKUP(C417,'[1]خريطة الحسابات'!_xlnm.Print_Area,5,FALSE))," ",(VLOOKUP(C417,'[1]خريطة الحسابات'!_xlnm.Print_Area,5,FALSE)))</f>
        <v>الاصول</v>
      </c>
      <c r="O417" s="139" t="s">
        <v>1471</v>
      </c>
      <c r="P417" s="139" t="s">
        <v>1290</v>
      </c>
    </row>
    <row r="418" spans="1:16">
      <c r="A418" s="104">
        <v>27</v>
      </c>
      <c r="B418" s="131">
        <v>46071</v>
      </c>
      <c r="C418" s="141">
        <v>20</v>
      </c>
      <c r="D418" s="140" t="str">
        <f>IF(ISERROR(VLOOKUP(C418,'[1]خريطة الحسابات'!_xlnm.Print_Area,3,FALSE))," ",(VLOOKUP(C418,'[1]خريطة الحسابات'!_xlnm.Print_Area,3,FALSE)))</f>
        <v xml:space="preserve">الخزينة </v>
      </c>
      <c r="E418" s="132"/>
      <c r="F418" s="133"/>
      <c r="G418" s="133">
        <v>18850</v>
      </c>
      <c r="H418" s="134">
        <f t="shared" si="18"/>
        <v>0</v>
      </c>
      <c r="I418" s="134">
        <f t="shared" si="18"/>
        <v>18850</v>
      </c>
      <c r="J418" s="134">
        <f t="shared" si="19"/>
        <v>-18850</v>
      </c>
      <c r="K418" s="135"/>
      <c r="L418" s="136" t="str">
        <f t="shared" si="20"/>
        <v>دائن</v>
      </c>
      <c r="M418" s="137" t="str">
        <f>IF(ISERROR(VLOOKUP(C418,'[1]خريطة الحسابات'!_xlnm.Print_Area,4,FALSE))," ",(VLOOKUP(C418,'[1]خريطة الحسابات'!_xlnm.Print_Area,4,FALSE)))</f>
        <v xml:space="preserve">أصول متداوله -النقدية ومافي حكمها </v>
      </c>
      <c r="N418" s="138" t="str">
        <f>IF(ISERROR(VLOOKUP(C418,'[1]خريطة الحسابات'!_xlnm.Print_Area,5,FALSE))," ",(VLOOKUP(C418,'[1]خريطة الحسابات'!_xlnm.Print_Area,5,FALSE)))</f>
        <v>الاصول</v>
      </c>
      <c r="O418" s="139" t="s">
        <v>1472</v>
      </c>
      <c r="P418" s="139" t="s">
        <v>1290</v>
      </c>
    </row>
    <row r="419" spans="1:16">
      <c r="A419" s="104">
        <v>27</v>
      </c>
      <c r="B419" s="131">
        <v>46071</v>
      </c>
      <c r="C419" s="141">
        <v>20</v>
      </c>
      <c r="D419" s="140" t="str">
        <f>IF(ISERROR(VLOOKUP(C419,'[1]خريطة الحسابات'!_xlnm.Print_Area,3,FALSE))," ",(VLOOKUP(C419,'[1]خريطة الحسابات'!_xlnm.Print_Area,3,FALSE)))</f>
        <v xml:space="preserve">الخزينة </v>
      </c>
      <c r="E419" s="132"/>
      <c r="F419" s="133"/>
      <c r="G419" s="133">
        <v>6150</v>
      </c>
      <c r="H419" s="134">
        <f t="shared" si="18"/>
        <v>0</v>
      </c>
      <c r="I419" s="134">
        <f t="shared" si="18"/>
        <v>6150</v>
      </c>
      <c r="J419" s="134">
        <f t="shared" si="19"/>
        <v>-6150</v>
      </c>
      <c r="K419" s="135"/>
      <c r="L419" s="136" t="str">
        <f t="shared" si="20"/>
        <v>دائن</v>
      </c>
      <c r="M419" s="137" t="str">
        <f>IF(ISERROR(VLOOKUP(C419,'[1]خريطة الحسابات'!_xlnm.Print_Area,4,FALSE))," ",(VLOOKUP(C419,'[1]خريطة الحسابات'!_xlnm.Print_Area,4,FALSE)))</f>
        <v xml:space="preserve">أصول متداوله -النقدية ومافي حكمها </v>
      </c>
      <c r="N419" s="138" t="str">
        <f>IF(ISERROR(VLOOKUP(C419,'[1]خريطة الحسابات'!_xlnm.Print_Area,5,FALSE))," ",(VLOOKUP(C419,'[1]خريطة الحسابات'!_xlnm.Print_Area,5,FALSE)))</f>
        <v>الاصول</v>
      </c>
      <c r="O419" s="139" t="s">
        <v>1469</v>
      </c>
      <c r="P419" s="139" t="s">
        <v>1340</v>
      </c>
    </row>
    <row r="420" spans="1:16">
      <c r="A420" s="104">
        <v>27</v>
      </c>
      <c r="B420" s="131">
        <v>46086</v>
      </c>
      <c r="C420" s="141">
        <v>20</v>
      </c>
      <c r="D420" s="140" t="str">
        <f>IF(ISERROR(VLOOKUP(C420,'[1]خريطة الحسابات'!_xlnm.Print_Area,3,FALSE))," ",(VLOOKUP(C420,'[1]خريطة الحسابات'!_xlnm.Print_Area,3,FALSE)))</f>
        <v xml:space="preserve">الخزينة </v>
      </c>
      <c r="E420" s="132"/>
      <c r="F420" s="133"/>
      <c r="G420" s="133">
        <v>10010</v>
      </c>
      <c r="H420" s="134">
        <f t="shared" si="18"/>
        <v>0</v>
      </c>
      <c r="I420" s="134">
        <f t="shared" si="18"/>
        <v>10010</v>
      </c>
      <c r="J420" s="134">
        <f t="shared" si="19"/>
        <v>-10010</v>
      </c>
      <c r="K420" s="135"/>
      <c r="L420" s="136" t="str">
        <f t="shared" si="20"/>
        <v>دائن</v>
      </c>
      <c r="M420" s="137" t="str">
        <f>IF(ISERROR(VLOOKUP(C420,'[1]خريطة الحسابات'!_xlnm.Print_Area,4,FALSE))," ",(VLOOKUP(C420,'[1]خريطة الحسابات'!_xlnm.Print_Area,4,FALSE)))</f>
        <v xml:space="preserve">أصول متداوله -النقدية ومافي حكمها </v>
      </c>
      <c r="N420" s="138" t="str">
        <f>IF(ISERROR(VLOOKUP(C420,'[1]خريطة الحسابات'!_xlnm.Print_Area,5,FALSE))," ",(VLOOKUP(C420,'[1]خريطة الحسابات'!_xlnm.Print_Area,5,FALSE)))</f>
        <v>الاصول</v>
      </c>
      <c r="O420" s="139" t="s">
        <v>1470</v>
      </c>
      <c r="P420" s="139" t="s">
        <v>1292</v>
      </c>
    </row>
    <row r="421" spans="1:16">
      <c r="A421" s="104">
        <v>27</v>
      </c>
      <c r="B421" s="131">
        <v>46086</v>
      </c>
      <c r="C421" s="141">
        <v>20</v>
      </c>
      <c r="D421" s="140" t="str">
        <f>IF(ISERROR(VLOOKUP(C421,'[1]خريطة الحسابات'!_xlnm.Print_Area,3,FALSE))," ",(VLOOKUP(C421,'[1]خريطة الحسابات'!_xlnm.Print_Area,3,FALSE)))</f>
        <v xml:space="preserve">الخزينة </v>
      </c>
      <c r="E421" s="132"/>
      <c r="F421" s="133"/>
      <c r="G421" s="133">
        <v>800</v>
      </c>
      <c r="H421" s="134">
        <f t="shared" si="18"/>
        <v>0</v>
      </c>
      <c r="I421" s="134">
        <f t="shared" si="18"/>
        <v>800</v>
      </c>
      <c r="J421" s="134">
        <f t="shared" si="19"/>
        <v>-800</v>
      </c>
      <c r="K421" s="135"/>
      <c r="L421" s="136" t="str">
        <f t="shared" si="20"/>
        <v>دائن</v>
      </c>
      <c r="M421" s="137" t="str">
        <f>IF(ISERROR(VLOOKUP(C421,'[1]خريطة الحسابات'!_xlnm.Print_Area,4,FALSE))," ",(VLOOKUP(C421,'[1]خريطة الحسابات'!_xlnm.Print_Area,4,FALSE)))</f>
        <v xml:space="preserve">أصول متداوله -النقدية ومافي حكمها </v>
      </c>
      <c r="N421" s="138" t="str">
        <f>IF(ISERROR(VLOOKUP(C421,'[1]خريطة الحسابات'!_xlnm.Print_Area,5,FALSE))," ",(VLOOKUP(C421,'[1]خريطة الحسابات'!_xlnm.Print_Area,5,FALSE)))</f>
        <v>الاصول</v>
      </c>
      <c r="O421" s="139" t="s">
        <v>1473</v>
      </c>
      <c r="P421" s="139" t="s">
        <v>1295</v>
      </c>
    </row>
    <row r="422" spans="1:16">
      <c r="A422" s="104">
        <v>27</v>
      </c>
      <c r="B422" s="131">
        <v>46093</v>
      </c>
      <c r="C422" s="141">
        <v>20</v>
      </c>
      <c r="D422" s="140" t="str">
        <f>IF(ISERROR(VLOOKUP(C422,'[1]خريطة الحسابات'!_xlnm.Print_Area,3,FALSE))," ",(VLOOKUP(C422,'[1]خريطة الحسابات'!_xlnm.Print_Area,3,FALSE)))</f>
        <v xml:space="preserve">الخزينة </v>
      </c>
      <c r="E422" s="132"/>
      <c r="F422" s="133"/>
      <c r="G422" s="133">
        <v>13013</v>
      </c>
      <c r="H422" s="134">
        <f t="shared" si="18"/>
        <v>0</v>
      </c>
      <c r="I422" s="134">
        <f t="shared" si="18"/>
        <v>13013</v>
      </c>
      <c r="J422" s="134">
        <f t="shared" si="19"/>
        <v>-13013</v>
      </c>
      <c r="K422" s="135"/>
      <c r="L422" s="136" t="str">
        <f t="shared" si="20"/>
        <v>دائن</v>
      </c>
      <c r="M422" s="137" t="str">
        <f>IF(ISERROR(VLOOKUP(C422,'[1]خريطة الحسابات'!_xlnm.Print_Area,4,FALSE))," ",(VLOOKUP(C422,'[1]خريطة الحسابات'!_xlnm.Print_Area,4,FALSE)))</f>
        <v xml:space="preserve">أصول متداوله -النقدية ومافي حكمها </v>
      </c>
      <c r="N422" s="138" t="str">
        <f>IF(ISERROR(VLOOKUP(C422,'[1]خريطة الحسابات'!_xlnm.Print_Area,5,FALSE))," ",(VLOOKUP(C422,'[1]خريطة الحسابات'!_xlnm.Print_Area,5,FALSE)))</f>
        <v>الاصول</v>
      </c>
      <c r="O422" s="139" t="s">
        <v>1474</v>
      </c>
      <c r="P422" s="139" t="s">
        <v>1315</v>
      </c>
    </row>
    <row r="423" spans="1:16">
      <c r="A423" s="104">
        <v>27</v>
      </c>
      <c r="B423" s="131">
        <v>46099</v>
      </c>
      <c r="C423" s="141">
        <v>20</v>
      </c>
      <c r="D423" s="140" t="str">
        <f>IF(ISERROR(VLOOKUP(C423,'[1]خريطة الحسابات'!_xlnm.Print_Area,3,FALSE))," ",(VLOOKUP(C423,'[1]خريطة الحسابات'!_xlnm.Print_Area,3,FALSE)))</f>
        <v xml:space="preserve">الخزينة </v>
      </c>
      <c r="E423" s="132"/>
      <c r="F423" s="133"/>
      <c r="G423" s="133">
        <v>5005</v>
      </c>
      <c r="H423" s="134">
        <f t="shared" si="18"/>
        <v>0</v>
      </c>
      <c r="I423" s="134">
        <f t="shared" si="18"/>
        <v>5005</v>
      </c>
      <c r="J423" s="134">
        <f t="shared" si="19"/>
        <v>-5005</v>
      </c>
      <c r="K423" s="135"/>
      <c r="L423" s="136" t="str">
        <f t="shared" si="20"/>
        <v>دائن</v>
      </c>
      <c r="M423" s="137" t="str">
        <f>IF(ISERROR(VLOOKUP(C423,'[1]خريطة الحسابات'!_xlnm.Print_Area,4,FALSE))," ",(VLOOKUP(C423,'[1]خريطة الحسابات'!_xlnm.Print_Area,4,FALSE)))</f>
        <v xml:space="preserve">أصول متداوله -النقدية ومافي حكمها </v>
      </c>
      <c r="N423" s="138" t="str">
        <f>IF(ISERROR(VLOOKUP(C423,'[1]خريطة الحسابات'!_xlnm.Print_Area,5,FALSE))," ",(VLOOKUP(C423,'[1]خريطة الحسابات'!_xlnm.Print_Area,5,FALSE)))</f>
        <v>الاصول</v>
      </c>
      <c r="O423" s="139" t="s">
        <v>1475</v>
      </c>
      <c r="P423" s="139" t="s">
        <v>1340</v>
      </c>
    </row>
    <row r="424" spans="1:16">
      <c r="A424" s="104">
        <v>27</v>
      </c>
      <c r="B424" s="131">
        <v>46099</v>
      </c>
      <c r="C424" s="141">
        <v>20</v>
      </c>
      <c r="D424" s="140" t="str">
        <f>IF(ISERROR(VLOOKUP(C424,'[1]خريطة الحسابات'!_xlnm.Print_Area,3,FALSE))," ",(VLOOKUP(C424,'[1]خريطة الحسابات'!_xlnm.Print_Area,3,FALSE)))</f>
        <v xml:space="preserve">الخزينة </v>
      </c>
      <c r="E424" s="132"/>
      <c r="F424" s="133"/>
      <c r="G424" s="133">
        <v>7007</v>
      </c>
      <c r="H424" s="134">
        <f t="shared" si="18"/>
        <v>0</v>
      </c>
      <c r="I424" s="134">
        <f t="shared" si="18"/>
        <v>7007</v>
      </c>
      <c r="J424" s="134">
        <f t="shared" si="19"/>
        <v>-7007</v>
      </c>
      <c r="K424" s="135"/>
      <c r="L424" s="136" t="str">
        <f t="shared" si="20"/>
        <v>دائن</v>
      </c>
      <c r="M424" s="137" t="str">
        <f>IF(ISERROR(VLOOKUP(C424,'[1]خريطة الحسابات'!_xlnm.Print_Area,4,FALSE))," ",(VLOOKUP(C424,'[1]خريطة الحسابات'!_xlnm.Print_Area,4,FALSE)))</f>
        <v xml:space="preserve">أصول متداوله -النقدية ومافي حكمها </v>
      </c>
      <c r="N424" s="138" t="str">
        <f>IF(ISERROR(VLOOKUP(C424,'[1]خريطة الحسابات'!_xlnm.Print_Area,5,FALSE))," ",(VLOOKUP(C424,'[1]خريطة الحسابات'!_xlnm.Print_Area,5,FALSE)))</f>
        <v>الاصول</v>
      </c>
      <c r="O424" s="139" t="s">
        <v>1476</v>
      </c>
      <c r="P424" s="139" t="s">
        <v>1292</v>
      </c>
    </row>
    <row r="425" spans="1:16">
      <c r="A425" s="104">
        <v>27</v>
      </c>
      <c r="B425" s="131">
        <v>46099</v>
      </c>
      <c r="C425" s="141">
        <v>20</v>
      </c>
      <c r="D425" s="140" t="str">
        <f>IF(ISERROR(VLOOKUP(C425,'[1]خريطة الحسابات'!_xlnm.Print_Area,3,FALSE))," ",(VLOOKUP(C425,'[1]خريطة الحسابات'!_xlnm.Print_Area,3,FALSE)))</f>
        <v xml:space="preserve">الخزينة </v>
      </c>
      <c r="E425" s="132"/>
      <c r="F425" s="133"/>
      <c r="G425" s="133">
        <v>6006</v>
      </c>
      <c r="H425" s="134">
        <f t="shared" si="18"/>
        <v>0</v>
      </c>
      <c r="I425" s="134">
        <f t="shared" si="18"/>
        <v>6006</v>
      </c>
      <c r="J425" s="134">
        <f t="shared" si="19"/>
        <v>-6006</v>
      </c>
      <c r="K425" s="135"/>
      <c r="L425" s="136" t="str">
        <f t="shared" si="20"/>
        <v>دائن</v>
      </c>
      <c r="M425" s="137" t="str">
        <f>IF(ISERROR(VLOOKUP(C425,'[1]خريطة الحسابات'!_xlnm.Print_Area,4,FALSE))," ",(VLOOKUP(C425,'[1]خريطة الحسابات'!_xlnm.Print_Area,4,FALSE)))</f>
        <v xml:space="preserve">أصول متداوله -النقدية ومافي حكمها </v>
      </c>
      <c r="N425" s="138" t="str">
        <f>IF(ISERROR(VLOOKUP(C425,'[1]خريطة الحسابات'!_xlnm.Print_Area,5,FALSE))," ",(VLOOKUP(C425,'[1]خريطة الحسابات'!_xlnm.Print_Area,5,FALSE)))</f>
        <v>الاصول</v>
      </c>
      <c r="O425" s="139" t="s">
        <v>1477</v>
      </c>
      <c r="P425" s="139" t="s">
        <v>1395</v>
      </c>
    </row>
    <row r="426" spans="1:16">
      <c r="A426" s="104">
        <v>27</v>
      </c>
      <c r="B426" s="131">
        <v>46099</v>
      </c>
      <c r="C426" s="141">
        <v>20</v>
      </c>
      <c r="D426" s="140" t="str">
        <f>IF(ISERROR(VLOOKUP(C426,'[1]خريطة الحسابات'!_xlnm.Print_Area,3,FALSE))," ",(VLOOKUP(C426,'[1]خريطة الحسابات'!_xlnm.Print_Area,3,FALSE)))</f>
        <v xml:space="preserve">الخزينة </v>
      </c>
      <c r="E426" s="132"/>
      <c r="F426" s="133"/>
      <c r="G426" s="133">
        <v>7007</v>
      </c>
      <c r="H426" s="134">
        <f t="shared" si="18"/>
        <v>0</v>
      </c>
      <c r="I426" s="134">
        <f t="shared" si="18"/>
        <v>7007</v>
      </c>
      <c r="J426" s="134">
        <f t="shared" si="19"/>
        <v>-7007</v>
      </c>
      <c r="K426" s="135"/>
      <c r="L426" s="136" t="str">
        <f t="shared" si="20"/>
        <v>دائن</v>
      </c>
      <c r="M426" s="137" t="str">
        <f>IF(ISERROR(VLOOKUP(C426,'[1]خريطة الحسابات'!_xlnm.Print_Area,4,FALSE))," ",(VLOOKUP(C426,'[1]خريطة الحسابات'!_xlnm.Print_Area,4,FALSE)))</f>
        <v xml:space="preserve">أصول متداوله -النقدية ومافي حكمها </v>
      </c>
      <c r="N426" s="138" t="str">
        <f>IF(ISERROR(VLOOKUP(C426,'[1]خريطة الحسابات'!_xlnm.Print_Area,5,FALSE))," ",(VLOOKUP(C426,'[1]خريطة الحسابات'!_xlnm.Print_Area,5,FALSE)))</f>
        <v>الاصول</v>
      </c>
      <c r="O426" s="139" t="s">
        <v>1478</v>
      </c>
      <c r="P426" s="139" t="s">
        <v>1393</v>
      </c>
    </row>
    <row r="427" spans="1:16">
      <c r="A427" s="104">
        <v>27</v>
      </c>
      <c r="B427" s="131">
        <v>46121</v>
      </c>
      <c r="C427" s="141">
        <v>20</v>
      </c>
      <c r="D427" s="140" t="str">
        <f>IF(ISERROR(VLOOKUP(C427,'[1]خريطة الحسابات'!_xlnm.Print_Area,3,FALSE))," ",(VLOOKUP(C427,'[1]خريطة الحسابات'!_xlnm.Print_Area,3,FALSE)))</f>
        <v xml:space="preserve">الخزينة </v>
      </c>
      <c r="E427" s="132"/>
      <c r="F427" s="133"/>
      <c r="G427" s="133">
        <v>20000</v>
      </c>
      <c r="H427" s="134">
        <f t="shared" si="18"/>
        <v>0</v>
      </c>
      <c r="I427" s="134">
        <f t="shared" si="18"/>
        <v>20000</v>
      </c>
      <c r="J427" s="134">
        <f t="shared" si="19"/>
        <v>-20000</v>
      </c>
      <c r="K427" s="135"/>
      <c r="L427" s="136" t="str">
        <f t="shared" si="20"/>
        <v>دائن</v>
      </c>
      <c r="M427" s="137" t="str">
        <f>IF(ISERROR(VLOOKUP(C427,'[1]خريطة الحسابات'!_xlnm.Print_Area,4,FALSE))," ",(VLOOKUP(C427,'[1]خريطة الحسابات'!_xlnm.Print_Area,4,FALSE)))</f>
        <v xml:space="preserve">أصول متداوله -النقدية ومافي حكمها </v>
      </c>
      <c r="N427" s="138" t="str">
        <f>IF(ISERROR(VLOOKUP(C427,'[1]خريطة الحسابات'!_xlnm.Print_Area,5,FALSE))," ",(VLOOKUP(C427,'[1]خريطة الحسابات'!_xlnm.Print_Area,5,FALSE)))</f>
        <v>الاصول</v>
      </c>
      <c r="O427" s="139" t="s">
        <v>1479</v>
      </c>
      <c r="P427" s="139" t="s">
        <v>1480</v>
      </c>
    </row>
    <row r="428" spans="1:16">
      <c r="A428" s="104">
        <v>27</v>
      </c>
      <c r="B428" s="131">
        <v>46128</v>
      </c>
      <c r="C428" s="141">
        <v>20</v>
      </c>
      <c r="D428" s="140" t="str">
        <f>IF(ISERROR(VLOOKUP(C428,'[1]خريطة الحسابات'!_xlnm.Print_Area,3,FALSE))," ",(VLOOKUP(C428,'[1]خريطة الحسابات'!_xlnm.Print_Area,3,FALSE)))</f>
        <v xml:space="preserve">الخزينة </v>
      </c>
      <c r="E428" s="132"/>
      <c r="F428" s="133"/>
      <c r="G428" s="133">
        <v>2052</v>
      </c>
      <c r="H428" s="134">
        <f t="shared" si="18"/>
        <v>0</v>
      </c>
      <c r="I428" s="134">
        <f t="shared" si="18"/>
        <v>2052</v>
      </c>
      <c r="J428" s="134">
        <f t="shared" si="19"/>
        <v>-2052</v>
      </c>
      <c r="K428" s="135"/>
      <c r="L428" s="136" t="str">
        <f t="shared" si="20"/>
        <v>دائن</v>
      </c>
      <c r="M428" s="137" t="str">
        <f>IF(ISERROR(VLOOKUP(C428,'[1]خريطة الحسابات'!_xlnm.Print_Area,4,FALSE))," ",(VLOOKUP(C428,'[1]خريطة الحسابات'!_xlnm.Print_Area,4,FALSE)))</f>
        <v xml:space="preserve">أصول متداوله -النقدية ومافي حكمها </v>
      </c>
      <c r="N428" s="138" t="str">
        <f>IF(ISERROR(VLOOKUP(C428,'[1]خريطة الحسابات'!_xlnm.Print_Area,5,FALSE))," ",(VLOOKUP(C428,'[1]خريطة الحسابات'!_xlnm.Print_Area,5,FALSE)))</f>
        <v>الاصول</v>
      </c>
      <c r="O428" s="139" t="s">
        <v>1481</v>
      </c>
      <c r="P428" s="139" t="s">
        <v>1327</v>
      </c>
    </row>
    <row r="429" spans="1:16">
      <c r="A429" s="104">
        <v>27</v>
      </c>
      <c r="B429" s="131">
        <v>46135</v>
      </c>
      <c r="C429" s="141">
        <v>20</v>
      </c>
      <c r="D429" s="140" t="str">
        <f>IF(ISERROR(VLOOKUP(C429,'[1]خريطة الحسابات'!_xlnm.Print_Area,3,FALSE))," ",(VLOOKUP(C429,'[1]خريطة الحسابات'!_xlnm.Print_Area,3,FALSE)))</f>
        <v xml:space="preserve">الخزينة </v>
      </c>
      <c r="E429" s="132"/>
      <c r="F429" s="133"/>
      <c r="G429" s="133">
        <v>2100</v>
      </c>
      <c r="H429" s="134">
        <f t="shared" si="18"/>
        <v>0</v>
      </c>
      <c r="I429" s="134">
        <f t="shared" si="18"/>
        <v>2100</v>
      </c>
      <c r="J429" s="134">
        <f t="shared" si="19"/>
        <v>-2100</v>
      </c>
      <c r="K429" s="135"/>
      <c r="L429" s="136" t="str">
        <f t="shared" si="20"/>
        <v>دائن</v>
      </c>
      <c r="M429" s="137" t="str">
        <f>IF(ISERROR(VLOOKUP(C429,'[1]خريطة الحسابات'!_xlnm.Print_Area,4,FALSE))," ",(VLOOKUP(C429,'[1]خريطة الحسابات'!_xlnm.Print_Area,4,FALSE)))</f>
        <v xml:space="preserve">أصول متداوله -النقدية ومافي حكمها </v>
      </c>
      <c r="N429" s="138" t="str">
        <f>IF(ISERROR(VLOOKUP(C429,'[1]خريطة الحسابات'!_xlnm.Print_Area,5,FALSE))," ",(VLOOKUP(C429,'[1]خريطة الحسابات'!_xlnm.Print_Area,5,FALSE)))</f>
        <v>الاصول</v>
      </c>
      <c r="O429" s="139" t="s">
        <v>1482</v>
      </c>
      <c r="P429" s="139" t="s">
        <v>1327</v>
      </c>
    </row>
    <row r="430" spans="1:16">
      <c r="A430" s="104">
        <v>27</v>
      </c>
      <c r="B430" s="131">
        <v>46135</v>
      </c>
      <c r="C430" s="141">
        <v>20</v>
      </c>
      <c r="D430" s="140" t="str">
        <f>IF(ISERROR(VLOOKUP(C430,'[1]خريطة الحسابات'!_xlnm.Print_Area,3,FALSE))," ",(VLOOKUP(C430,'[1]خريطة الحسابات'!_xlnm.Print_Area,3,FALSE)))</f>
        <v xml:space="preserve">الخزينة </v>
      </c>
      <c r="E430" s="132"/>
      <c r="F430" s="133"/>
      <c r="G430" s="133">
        <v>4006</v>
      </c>
      <c r="H430" s="134">
        <f t="shared" si="18"/>
        <v>0</v>
      </c>
      <c r="I430" s="134">
        <f t="shared" si="18"/>
        <v>4006</v>
      </c>
      <c r="J430" s="134">
        <f t="shared" si="19"/>
        <v>-4006</v>
      </c>
      <c r="K430" s="135"/>
      <c r="L430" s="136" t="str">
        <f t="shared" si="20"/>
        <v>دائن</v>
      </c>
      <c r="M430" s="137" t="str">
        <f>IF(ISERROR(VLOOKUP(C430,'[1]خريطة الحسابات'!_xlnm.Print_Area,4,FALSE))," ",(VLOOKUP(C430,'[1]خريطة الحسابات'!_xlnm.Print_Area,4,FALSE)))</f>
        <v xml:space="preserve">أصول متداوله -النقدية ومافي حكمها </v>
      </c>
      <c r="N430" s="138" t="str">
        <f>IF(ISERROR(VLOOKUP(C430,'[1]خريطة الحسابات'!_xlnm.Print_Area,5,FALSE))," ",(VLOOKUP(C430,'[1]خريطة الحسابات'!_xlnm.Print_Area,5,FALSE)))</f>
        <v>الاصول</v>
      </c>
      <c r="O430" s="139" t="s">
        <v>1483</v>
      </c>
      <c r="P430" s="139" t="s">
        <v>1383</v>
      </c>
    </row>
    <row r="431" spans="1:16">
      <c r="A431" s="104">
        <v>27</v>
      </c>
      <c r="B431" s="131">
        <v>46142</v>
      </c>
      <c r="C431" s="141">
        <v>20</v>
      </c>
      <c r="D431" s="140" t="str">
        <f>IF(ISERROR(VLOOKUP(C431,'[1]خريطة الحسابات'!_xlnm.Print_Area,3,FALSE))," ",(VLOOKUP(C431,'[1]خريطة الحسابات'!_xlnm.Print_Area,3,FALSE)))</f>
        <v xml:space="preserve">الخزينة </v>
      </c>
      <c r="E431" s="132"/>
      <c r="F431" s="133"/>
      <c r="G431" s="133">
        <v>7000</v>
      </c>
      <c r="H431" s="134">
        <f t="shared" si="18"/>
        <v>0</v>
      </c>
      <c r="I431" s="134">
        <f t="shared" si="18"/>
        <v>7000</v>
      </c>
      <c r="J431" s="134">
        <f t="shared" si="19"/>
        <v>-7000</v>
      </c>
      <c r="K431" s="135"/>
      <c r="L431" s="136" t="str">
        <f t="shared" si="20"/>
        <v>دائن</v>
      </c>
      <c r="M431" s="137" t="str">
        <f>IF(ISERROR(VLOOKUP(C431,'[1]خريطة الحسابات'!_xlnm.Print_Area,4,FALSE))," ",(VLOOKUP(C431,'[1]خريطة الحسابات'!_xlnm.Print_Area,4,FALSE)))</f>
        <v xml:space="preserve">أصول متداوله -النقدية ومافي حكمها </v>
      </c>
      <c r="N431" s="138" t="str">
        <f>IF(ISERROR(VLOOKUP(C431,'[1]خريطة الحسابات'!_xlnm.Print_Area,5,FALSE))," ",(VLOOKUP(C431,'[1]خريطة الحسابات'!_xlnm.Print_Area,5,FALSE)))</f>
        <v>الاصول</v>
      </c>
      <c r="O431" s="139" t="s">
        <v>1484</v>
      </c>
      <c r="P431" s="139" t="s">
        <v>1292</v>
      </c>
    </row>
    <row r="432" spans="1:16">
      <c r="A432" s="104">
        <v>27</v>
      </c>
      <c r="B432" s="131">
        <v>46148</v>
      </c>
      <c r="C432" s="141">
        <v>20</v>
      </c>
      <c r="D432" s="140" t="str">
        <f>IF(ISERROR(VLOOKUP(C432,'[1]خريطة الحسابات'!_xlnm.Print_Area,3,FALSE))," ",(VLOOKUP(C432,'[1]خريطة الحسابات'!_xlnm.Print_Area,3,FALSE)))</f>
        <v xml:space="preserve">الخزينة </v>
      </c>
      <c r="E432" s="132"/>
      <c r="F432" s="133"/>
      <c r="G432" s="133">
        <v>7007</v>
      </c>
      <c r="H432" s="134">
        <f t="shared" si="18"/>
        <v>0</v>
      </c>
      <c r="I432" s="134">
        <f t="shared" si="18"/>
        <v>7007</v>
      </c>
      <c r="J432" s="134">
        <f t="shared" si="19"/>
        <v>-7007</v>
      </c>
      <c r="K432" s="135"/>
      <c r="L432" s="136" t="str">
        <f t="shared" si="20"/>
        <v>دائن</v>
      </c>
      <c r="M432" s="137" t="str">
        <f>IF(ISERROR(VLOOKUP(C432,'[1]خريطة الحسابات'!_xlnm.Print_Area,4,FALSE))," ",(VLOOKUP(C432,'[1]خريطة الحسابات'!_xlnm.Print_Area,4,FALSE)))</f>
        <v xml:space="preserve">أصول متداوله -النقدية ومافي حكمها </v>
      </c>
      <c r="N432" s="138" t="str">
        <f>IF(ISERROR(VLOOKUP(C432,'[1]خريطة الحسابات'!_xlnm.Print_Area,5,FALSE))," ",(VLOOKUP(C432,'[1]خريطة الحسابات'!_xlnm.Print_Area,5,FALSE)))</f>
        <v>الاصول</v>
      </c>
      <c r="O432" s="139" t="s">
        <v>1483</v>
      </c>
      <c r="P432" s="139" t="s">
        <v>1383</v>
      </c>
    </row>
    <row r="433" spans="1:16">
      <c r="A433" s="104">
        <v>27</v>
      </c>
      <c r="B433" s="131">
        <v>46148</v>
      </c>
      <c r="C433" s="141">
        <v>20</v>
      </c>
      <c r="D433" s="140" t="str">
        <f>IF(ISERROR(VLOOKUP(C433,'[1]خريطة الحسابات'!_xlnm.Print_Area,3,FALSE))," ",(VLOOKUP(C433,'[1]خريطة الحسابات'!_xlnm.Print_Area,3,FALSE)))</f>
        <v xml:space="preserve">الخزينة </v>
      </c>
      <c r="E433" s="132"/>
      <c r="F433" s="133"/>
      <c r="G433" s="133">
        <v>850</v>
      </c>
      <c r="H433" s="134">
        <f t="shared" si="18"/>
        <v>0</v>
      </c>
      <c r="I433" s="134">
        <f t="shared" si="18"/>
        <v>850</v>
      </c>
      <c r="J433" s="134">
        <f t="shared" si="19"/>
        <v>-850</v>
      </c>
      <c r="K433" s="135"/>
      <c r="L433" s="136" t="str">
        <f t="shared" si="20"/>
        <v>دائن</v>
      </c>
      <c r="M433" s="137" t="str">
        <f>IF(ISERROR(VLOOKUP(C433,'[1]خريطة الحسابات'!_xlnm.Print_Area,4,FALSE))," ",(VLOOKUP(C433,'[1]خريطة الحسابات'!_xlnm.Print_Area,4,FALSE)))</f>
        <v xml:space="preserve">أصول متداوله -النقدية ومافي حكمها </v>
      </c>
      <c r="N433" s="138" t="str">
        <f>IF(ISERROR(VLOOKUP(C433,'[1]خريطة الحسابات'!_xlnm.Print_Area,5,FALSE))," ",(VLOOKUP(C433,'[1]خريطة الحسابات'!_xlnm.Print_Area,5,FALSE)))</f>
        <v>الاصول</v>
      </c>
      <c r="O433" s="139" t="s">
        <v>1485</v>
      </c>
      <c r="P433" s="139" t="s">
        <v>1290</v>
      </c>
    </row>
    <row r="434" spans="1:16">
      <c r="A434" s="104">
        <v>27</v>
      </c>
      <c r="B434" s="131">
        <v>46161</v>
      </c>
      <c r="C434" s="141">
        <v>20</v>
      </c>
      <c r="D434" s="140" t="str">
        <f>IF(ISERROR(VLOOKUP(C434,'[1]خريطة الحسابات'!_xlnm.Print_Area,3,FALSE))," ",(VLOOKUP(C434,'[1]خريطة الحسابات'!_xlnm.Print_Area,3,FALSE)))</f>
        <v xml:space="preserve">الخزينة </v>
      </c>
      <c r="E434" s="132"/>
      <c r="F434" s="133"/>
      <c r="G434" s="133">
        <v>6000</v>
      </c>
      <c r="H434" s="134">
        <f t="shared" si="18"/>
        <v>0</v>
      </c>
      <c r="I434" s="134">
        <f t="shared" si="18"/>
        <v>6000</v>
      </c>
      <c r="J434" s="134">
        <f t="shared" si="19"/>
        <v>-6000</v>
      </c>
      <c r="K434" s="135"/>
      <c r="L434" s="136" t="str">
        <f t="shared" si="20"/>
        <v>دائن</v>
      </c>
      <c r="M434" s="137" t="str">
        <f>IF(ISERROR(VLOOKUP(C434,'[1]خريطة الحسابات'!_xlnm.Print_Area,4,FALSE))," ",(VLOOKUP(C434,'[1]خريطة الحسابات'!_xlnm.Print_Area,4,FALSE)))</f>
        <v xml:space="preserve">أصول متداوله -النقدية ومافي حكمها </v>
      </c>
      <c r="N434" s="138" t="str">
        <f>IF(ISERROR(VLOOKUP(C434,'[1]خريطة الحسابات'!_xlnm.Print_Area,5,FALSE))," ",(VLOOKUP(C434,'[1]خريطة الحسابات'!_xlnm.Print_Area,5,FALSE)))</f>
        <v>الاصول</v>
      </c>
      <c r="O434" s="139" t="s">
        <v>1486</v>
      </c>
      <c r="P434" s="139" t="s">
        <v>1292</v>
      </c>
    </row>
    <row r="435" spans="1:16">
      <c r="A435" s="104">
        <v>27</v>
      </c>
      <c r="B435" s="131">
        <v>46163</v>
      </c>
      <c r="C435" s="141">
        <v>20</v>
      </c>
      <c r="D435" s="140" t="str">
        <f>IF(ISERROR(VLOOKUP(C435,'[1]خريطة الحسابات'!_xlnm.Print_Area,3,FALSE))," ",(VLOOKUP(C435,'[1]خريطة الحسابات'!_xlnm.Print_Area,3,FALSE)))</f>
        <v xml:space="preserve">الخزينة </v>
      </c>
      <c r="E435" s="132"/>
      <c r="F435" s="133"/>
      <c r="G435" s="133">
        <v>4004</v>
      </c>
      <c r="H435" s="134">
        <f t="shared" si="18"/>
        <v>0</v>
      </c>
      <c r="I435" s="134">
        <f t="shared" si="18"/>
        <v>4004</v>
      </c>
      <c r="J435" s="134">
        <f t="shared" si="19"/>
        <v>-4004</v>
      </c>
      <c r="K435" s="135"/>
      <c r="L435" s="136" t="str">
        <f t="shared" si="20"/>
        <v>دائن</v>
      </c>
      <c r="M435" s="137" t="str">
        <f>IF(ISERROR(VLOOKUP(C435,'[1]خريطة الحسابات'!_xlnm.Print_Area,4,FALSE))," ",(VLOOKUP(C435,'[1]خريطة الحسابات'!_xlnm.Print_Area,4,FALSE)))</f>
        <v xml:space="preserve">أصول متداوله -النقدية ومافي حكمها </v>
      </c>
      <c r="N435" s="138" t="str">
        <f>IF(ISERROR(VLOOKUP(C435,'[1]خريطة الحسابات'!_xlnm.Print_Area,5,FALSE))," ",(VLOOKUP(C435,'[1]خريطة الحسابات'!_xlnm.Print_Area,5,FALSE)))</f>
        <v>الاصول</v>
      </c>
      <c r="O435" s="139" t="s">
        <v>1487</v>
      </c>
      <c r="P435" s="139" t="s">
        <v>1290</v>
      </c>
    </row>
    <row r="436" spans="1:16">
      <c r="A436" s="104">
        <v>27</v>
      </c>
      <c r="B436" s="131">
        <v>46166</v>
      </c>
      <c r="C436" s="141">
        <v>20</v>
      </c>
      <c r="D436" s="140" t="str">
        <f>IF(ISERROR(VLOOKUP(C436,'[1]خريطة الحسابات'!_xlnm.Print_Area,3,FALSE))," ",(VLOOKUP(C436,'[1]خريطة الحسابات'!_xlnm.Print_Area,3,FALSE)))</f>
        <v xml:space="preserve">الخزينة </v>
      </c>
      <c r="E436" s="132"/>
      <c r="F436" s="133"/>
      <c r="G436" s="133">
        <v>5000</v>
      </c>
      <c r="H436" s="134">
        <f t="shared" si="18"/>
        <v>0</v>
      </c>
      <c r="I436" s="134">
        <f t="shared" si="18"/>
        <v>5000</v>
      </c>
      <c r="J436" s="134">
        <f t="shared" si="19"/>
        <v>-5000</v>
      </c>
      <c r="K436" s="135"/>
      <c r="L436" s="136" t="str">
        <f t="shared" si="20"/>
        <v>دائن</v>
      </c>
      <c r="M436" s="137" t="str">
        <f>IF(ISERROR(VLOOKUP(C436,'[1]خريطة الحسابات'!_xlnm.Print_Area,4,FALSE))," ",(VLOOKUP(C436,'[1]خريطة الحسابات'!_xlnm.Print_Area,4,FALSE)))</f>
        <v xml:space="preserve">أصول متداوله -النقدية ومافي حكمها </v>
      </c>
      <c r="N436" s="138" t="str">
        <f>IF(ISERROR(VLOOKUP(C436,'[1]خريطة الحسابات'!_xlnm.Print_Area,5,FALSE))," ",(VLOOKUP(C436,'[1]خريطة الحسابات'!_xlnm.Print_Area,5,FALSE)))</f>
        <v>الاصول</v>
      </c>
      <c r="O436" s="139" t="s">
        <v>1488</v>
      </c>
      <c r="P436" s="139" t="s">
        <v>1489</v>
      </c>
    </row>
    <row r="437" spans="1:16">
      <c r="A437" s="104">
        <v>27</v>
      </c>
      <c r="B437" s="131">
        <v>46166</v>
      </c>
      <c r="C437" s="141">
        <v>20</v>
      </c>
      <c r="D437" s="140" t="str">
        <f>IF(ISERROR(VLOOKUP(C437,'[1]خريطة الحسابات'!_xlnm.Print_Area,3,FALSE))," ",(VLOOKUP(C437,'[1]خريطة الحسابات'!_xlnm.Print_Area,3,FALSE)))</f>
        <v xml:space="preserve">الخزينة </v>
      </c>
      <c r="E437" s="132"/>
      <c r="F437" s="133"/>
      <c r="G437" s="133">
        <v>5000</v>
      </c>
      <c r="H437" s="134">
        <f t="shared" si="18"/>
        <v>0</v>
      </c>
      <c r="I437" s="134">
        <f t="shared" si="18"/>
        <v>5000</v>
      </c>
      <c r="J437" s="134">
        <f t="shared" si="19"/>
        <v>-5000</v>
      </c>
      <c r="K437" s="135"/>
      <c r="L437" s="136" t="str">
        <f t="shared" si="20"/>
        <v>دائن</v>
      </c>
      <c r="M437" s="137" t="str">
        <f>IF(ISERROR(VLOOKUP(C437,'[1]خريطة الحسابات'!_xlnm.Print_Area,4,FALSE))," ",(VLOOKUP(C437,'[1]خريطة الحسابات'!_xlnm.Print_Area,4,FALSE)))</f>
        <v xml:space="preserve">أصول متداوله -النقدية ومافي حكمها </v>
      </c>
      <c r="N437" s="138" t="str">
        <f>IF(ISERROR(VLOOKUP(C437,'[1]خريطة الحسابات'!_xlnm.Print_Area,5,FALSE))," ",(VLOOKUP(C437,'[1]خريطة الحسابات'!_xlnm.Print_Area,5,FALSE)))</f>
        <v>الاصول</v>
      </c>
      <c r="O437" s="139" t="s">
        <v>1490</v>
      </c>
      <c r="P437" s="139" t="s">
        <v>1292</v>
      </c>
    </row>
    <row r="438" spans="1:16">
      <c r="A438" s="104">
        <v>27</v>
      </c>
      <c r="B438" s="131">
        <v>46166</v>
      </c>
      <c r="C438" s="141">
        <v>20</v>
      </c>
      <c r="D438" s="140" t="str">
        <f>IF(ISERROR(VLOOKUP(C438,'[1]خريطة الحسابات'!_xlnm.Print_Area,3,FALSE))," ",(VLOOKUP(C438,'[1]خريطة الحسابات'!_xlnm.Print_Area,3,FALSE)))</f>
        <v xml:space="preserve">الخزينة </v>
      </c>
      <c r="E438" s="132"/>
      <c r="F438" s="133"/>
      <c r="G438" s="133">
        <v>10000</v>
      </c>
      <c r="H438" s="134">
        <f t="shared" si="18"/>
        <v>0</v>
      </c>
      <c r="I438" s="134">
        <f t="shared" si="18"/>
        <v>10000</v>
      </c>
      <c r="J438" s="134">
        <f t="shared" si="19"/>
        <v>-10000</v>
      </c>
      <c r="K438" s="135"/>
      <c r="L438" s="136" t="str">
        <f t="shared" si="20"/>
        <v>دائن</v>
      </c>
      <c r="M438" s="137" t="str">
        <f>IF(ISERROR(VLOOKUP(C438,'[1]خريطة الحسابات'!_xlnm.Print_Area,4,FALSE))," ",(VLOOKUP(C438,'[1]خريطة الحسابات'!_xlnm.Print_Area,4,FALSE)))</f>
        <v xml:space="preserve">أصول متداوله -النقدية ومافي حكمها </v>
      </c>
      <c r="N438" s="138" t="str">
        <f>IF(ISERROR(VLOOKUP(C438,'[1]خريطة الحسابات'!_xlnm.Print_Area,5,FALSE))," ",(VLOOKUP(C438,'[1]خريطة الحسابات'!_xlnm.Print_Area,5,FALSE)))</f>
        <v>الاصول</v>
      </c>
      <c r="O438" s="139" t="s">
        <v>1488</v>
      </c>
      <c r="P438" s="139" t="s">
        <v>1383</v>
      </c>
    </row>
    <row r="439" spans="1:16">
      <c r="A439" s="104">
        <v>27</v>
      </c>
      <c r="B439" s="131">
        <v>46177</v>
      </c>
      <c r="C439" s="141">
        <v>20</v>
      </c>
      <c r="D439" s="140" t="str">
        <f>IF(ISERROR(VLOOKUP(C439,'[1]خريطة الحسابات'!_xlnm.Print_Area,3,FALSE))," ",(VLOOKUP(C439,'[1]خريطة الحسابات'!_xlnm.Print_Area,3,FALSE)))</f>
        <v xml:space="preserve">الخزينة </v>
      </c>
      <c r="E439" s="132"/>
      <c r="F439" s="133"/>
      <c r="G439" s="133">
        <v>5000</v>
      </c>
      <c r="H439" s="134">
        <f t="shared" si="18"/>
        <v>0</v>
      </c>
      <c r="I439" s="134">
        <f t="shared" si="18"/>
        <v>5000</v>
      </c>
      <c r="J439" s="134">
        <f t="shared" si="19"/>
        <v>-5000</v>
      </c>
      <c r="K439" s="135"/>
      <c r="L439" s="136" t="str">
        <f t="shared" si="20"/>
        <v>دائن</v>
      </c>
      <c r="M439" s="137" t="str">
        <f>IF(ISERROR(VLOOKUP(C439,'[1]خريطة الحسابات'!_xlnm.Print_Area,4,FALSE))," ",(VLOOKUP(C439,'[1]خريطة الحسابات'!_xlnm.Print_Area,4,FALSE)))</f>
        <v xml:space="preserve">أصول متداوله -النقدية ومافي حكمها </v>
      </c>
      <c r="N439" s="138" t="str">
        <f>IF(ISERROR(VLOOKUP(C439,'[1]خريطة الحسابات'!_xlnm.Print_Area,5,FALSE))," ",(VLOOKUP(C439,'[1]خريطة الحسابات'!_xlnm.Print_Area,5,FALSE)))</f>
        <v>الاصول</v>
      </c>
      <c r="O439" s="139" t="s">
        <v>1488</v>
      </c>
      <c r="P439" s="139" t="s">
        <v>1345</v>
      </c>
    </row>
    <row r="440" spans="1:16">
      <c r="A440" s="104">
        <v>27</v>
      </c>
      <c r="B440" s="131">
        <v>46184</v>
      </c>
      <c r="C440" s="141">
        <v>20</v>
      </c>
      <c r="D440" s="140" t="str">
        <f>IF(ISERROR(VLOOKUP(C440,'[1]خريطة الحسابات'!_xlnm.Print_Area,3,FALSE))," ",(VLOOKUP(C440,'[1]خريطة الحسابات'!_xlnm.Print_Area,3,FALSE)))</f>
        <v xml:space="preserve">الخزينة </v>
      </c>
      <c r="E440" s="132"/>
      <c r="F440" s="133"/>
      <c r="G440" s="133">
        <v>5505</v>
      </c>
      <c r="H440" s="134">
        <f t="shared" si="18"/>
        <v>0</v>
      </c>
      <c r="I440" s="134">
        <f t="shared" si="18"/>
        <v>5505</v>
      </c>
      <c r="J440" s="134">
        <f t="shared" si="19"/>
        <v>-5505</v>
      </c>
      <c r="K440" s="135"/>
      <c r="L440" s="136" t="str">
        <f t="shared" si="20"/>
        <v>دائن</v>
      </c>
      <c r="M440" s="137" t="str">
        <f>IF(ISERROR(VLOOKUP(C440,'[1]خريطة الحسابات'!_xlnm.Print_Area,4,FALSE))," ",(VLOOKUP(C440,'[1]خريطة الحسابات'!_xlnm.Print_Area,4,FALSE)))</f>
        <v xml:space="preserve">أصول متداوله -النقدية ومافي حكمها </v>
      </c>
      <c r="N440" s="138" t="str">
        <f>IF(ISERROR(VLOOKUP(C440,'[1]خريطة الحسابات'!_xlnm.Print_Area,5,FALSE))," ",(VLOOKUP(C440,'[1]خريطة الحسابات'!_xlnm.Print_Area,5,FALSE)))</f>
        <v>الاصول</v>
      </c>
      <c r="O440" s="139" t="s">
        <v>1491</v>
      </c>
      <c r="P440" s="139" t="s">
        <v>1290</v>
      </c>
    </row>
    <row r="441" spans="1:16">
      <c r="A441" s="104">
        <v>28</v>
      </c>
      <c r="B441" s="131">
        <v>46063</v>
      </c>
      <c r="C441" s="141">
        <v>4017</v>
      </c>
      <c r="D441" s="140" t="str">
        <f>IF(ISERROR(VLOOKUP(C441,'[1]خريطة الحسابات'!_xlnm.Print_Area,3,FALSE))," ",(VLOOKUP(C441,'[1]خريطة الحسابات'!_xlnm.Print_Area,3,FALSE)))</f>
        <v>مقاول بوابة رأس الحكمة</v>
      </c>
      <c r="E441" s="132"/>
      <c r="F441" s="133">
        <v>6006</v>
      </c>
      <c r="G441" s="133"/>
      <c r="H441" s="134">
        <f t="shared" si="18"/>
        <v>6006</v>
      </c>
      <c r="I441" s="134">
        <f t="shared" si="18"/>
        <v>0</v>
      </c>
      <c r="J441" s="134">
        <f t="shared" si="19"/>
        <v>6006</v>
      </c>
      <c r="K441" s="135"/>
      <c r="L441" s="136" t="str">
        <f t="shared" si="20"/>
        <v>مدين</v>
      </c>
      <c r="M441" s="137" t="str">
        <f>IF(ISERROR(VLOOKUP(C441,'[1]خريطة الحسابات'!_xlnm.Print_Area,4,FALSE))," ",(VLOOKUP(C441,'[1]خريطة الحسابات'!_xlnm.Print_Area,4,FALSE)))</f>
        <v xml:space="preserve">مقاولين </v>
      </c>
      <c r="N441" s="138" t="str">
        <f>IF(ISERROR(VLOOKUP(C441,'[1]خريطة الحسابات'!_xlnm.Print_Area,5,FALSE))," ",(VLOOKUP(C441,'[1]خريطة الحسابات'!_xlnm.Print_Area,5,FALSE)))</f>
        <v xml:space="preserve">الدائنون والأرصدة الدائنة الأخرى </v>
      </c>
      <c r="O441" s="139" t="s">
        <v>1492</v>
      </c>
      <c r="P441" s="139" t="s">
        <v>1493</v>
      </c>
    </row>
    <row r="442" spans="1:16">
      <c r="A442" s="104">
        <v>28</v>
      </c>
      <c r="B442" s="131">
        <v>46070</v>
      </c>
      <c r="C442" s="141">
        <v>4017</v>
      </c>
      <c r="D442" s="140" t="str">
        <f>IF(ISERROR(VLOOKUP(C442,'[1]خريطة الحسابات'!_xlnm.Print_Area,3,FALSE))," ",(VLOOKUP(C442,'[1]خريطة الحسابات'!_xlnm.Print_Area,3,FALSE)))</f>
        <v>مقاول بوابة رأس الحكمة</v>
      </c>
      <c r="E442" s="132"/>
      <c r="F442" s="133">
        <v>7000</v>
      </c>
      <c r="G442" s="133"/>
      <c r="H442" s="134">
        <f t="shared" si="18"/>
        <v>7000</v>
      </c>
      <c r="I442" s="134">
        <f t="shared" si="18"/>
        <v>0</v>
      </c>
      <c r="J442" s="134">
        <f t="shared" si="19"/>
        <v>7000</v>
      </c>
      <c r="K442" s="135"/>
      <c r="L442" s="136" t="str">
        <f t="shared" si="20"/>
        <v>مدين</v>
      </c>
      <c r="M442" s="137" t="str">
        <f>IF(ISERROR(VLOOKUP(C442,'[1]خريطة الحسابات'!_xlnm.Print_Area,4,FALSE))," ",(VLOOKUP(C442,'[1]خريطة الحسابات'!_xlnm.Print_Area,4,FALSE)))</f>
        <v xml:space="preserve">مقاولين </v>
      </c>
      <c r="N442" s="138" t="str">
        <f>IF(ISERROR(VLOOKUP(C442,'[1]خريطة الحسابات'!_xlnm.Print_Area,5,FALSE))," ",(VLOOKUP(C442,'[1]خريطة الحسابات'!_xlnm.Print_Area,5,FALSE)))</f>
        <v xml:space="preserve">الدائنون والأرصدة الدائنة الأخرى </v>
      </c>
      <c r="O442" s="139" t="s">
        <v>1494</v>
      </c>
      <c r="P442" s="139" t="s">
        <v>1493</v>
      </c>
    </row>
    <row r="443" spans="1:16">
      <c r="A443" s="104">
        <v>28</v>
      </c>
      <c r="B443" s="131">
        <v>46063</v>
      </c>
      <c r="C443" s="141">
        <v>20</v>
      </c>
      <c r="D443" s="140" t="str">
        <f>IF(ISERROR(VLOOKUP(C443,'[1]خريطة الحسابات'!_xlnm.Print_Area,3,FALSE))," ",(VLOOKUP(C443,'[1]خريطة الحسابات'!_xlnm.Print_Area,3,FALSE)))</f>
        <v xml:space="preserve">الخزينة </v>
      </c>
      <c r="E443" s="132"/>
      <c r="F443" s="133"/>
      <c r="G443" s="133">
        <v>6006</v>
      </c>
      <c r="H443" s="134">
        <f t="shared" si="18"/>
        <v>0</v>
      </c>
      <c r="I443" s="134">
        <f t="shared" si="18"/>
        <v>6006</v>
      </c>
      <c r="J443" s="134">
        <f t="shared" si="19"/>
        <v>-6006</v>
      </c>
      <c r="K443" s="135"/>
      <c r="L443" s="136" t="str">
        <f t="shared" si="20"/>
        <v>دائن</v>
      </c>
      <c r="M443" s="137" t="str">
        <f>IF(ISERROR(VLOOKUP(C443,'[1]خريطة الحسابات'!_xlnm.Print_Area,4,FALSE))," ",(VLOOKUP(C443,'[1]خريطة الحسابات'!_xlnm.Print_Area,4,FALSE)))</f>
        <v xml:space="preserve">أصول متداوله -النقدية ومافي حكمها </v>
      </c>
      <c r="N443" s="138" t="str">
        <f>IF(ISERROR(VLOOKUP(C443,'[1]خريطة الحسابات'!_xlnm.Print_Area,5,FALSE))," ",(VLOOKUP(C443,'[1]خريطة الحسابات'!_xlnm.Print_Area,5,FALSE)))</f>
        <v>الاصول</v>
      </c>
      <c r="O443" s="139" t="s">
        <v>1492</v>
      </c>
      <c r="P443" s="139" t="s">
        <v>1493</v>
      </c>
    </row>
    <row r="444" spans="1:16">
      <c r="A444" s="104">
        <v>28</v>
      </c>
      <c r="B444" s="131">
        <v>46070</v>
      </c>
      <c r="C444" s="141">
        <v>20</v>
      </c>
      <c r="D444" s="140" t="str">
        <f>IF(ISERROR(VLOOKUP(C444,'[1]خريطة الحسابات'!_xlnm.Print_Area,3,FALSE))," ",(VLOOKUP(C444,'[1]خريطة الحسابات'!_xlnm.Print_Area,3,FALSE)))</f>
        <v xml:space="preserve">الخزينة </v>
      </c>
      <c r="E444" s="132"/>
      <c r="F444" s="133"/>
      <c r="G444" s="133">
        <v>7000</v>
      </c>
      <c r="H444" s="134">
        <f t="shared" si="18"/>
        <v>0</v>
      </c>
      <c r="I444" s="134">
        <f t="shared" si="18"/>
        <v>7000</v>
      </c>
      <c r="J444" s="134">
        <f t="shared" si="19"/>
        <v>-7000</v>
      </c>
      <c r="K444" s="135"/>
      <c r="L444" s="136" t="str">
        <f t="shared" si="20"/>
        <v>دائن</v>
      </c>
      <c r="M444" s="137" t="str">
        <f>IF(ISERROR(VLOOKUP(C444,'[1]خريطة الحسابات'!_xlnm.Print_Area,4,FALSE))," ",(VLOOKUP(C444,'[1]خريطة الحسابات'!_xlnm.Print_Area,4,FALSE)))</f>
        <v xml:space="preserve">أصول متداوله -النقدية ومافي حكمها </v>
      </c>
      <c r="N444" s="138" t="str">
        <f>IF(ISERROR(VLOOKUP(C444,'[1]خريطة الحسابات'!_xlnm.Print_Area,5,FALSE))," ",(VLOOKUP(C444,'[1]خريطة الحسابات'!_xlnm.Print_Area,5,FALSE)))</f>
        <v>الاصول</v>
      </c>
      <c r="O444" s="139" t="s">
        <v>1494</v>
      </c>
      <c r="P444" s="139" t="s">
        <v>1493</v>
      </c>
    </row>
    <row r="445" spans="1:16">
      <c r="A445" s="104">
        <v>29</v>
      </c>
      <c r="B445" s="131">
        <v>46041</v>
      </c>
      <c r="C445" s="141">
        <v>4042</v>
      </c>
      <c r="D445" s="140" t="str">
        <f>IF(ISERROR(VLOOKUP(C445,'[1]خريطة الحسابات'!_xlnm.Print_Area,3,FALSE))," ",(VLOOKUP(C445,'[1]خريطة الحسابات'!_xlnm.Print_Area,3,FALSE)))</f>
        <v xml:space="preserve">عمر الحداد </v>
      </c>
      <c r="E445" s="132"/>
      <c r="F445" s="133">
        <v>900</v>
      </c>
      <c r="G445" s="133"/>
      <c r="H445" s="134">
        <f t="shared" si="18"/>
        <v>900</v>
      </c>
      <c r="I445" s="134">
        <f t="shared" si="18"/>
        <v>0</v>
      </c>
      <c r="J445" s="134">
        <f t="shared" si="19"/>
        <v>900</v>
      </c>
      <c r="K445" s="135"/>
      <c r="L445" s="136" t="str">
        <f t="shared" si="20"/>
        <v>مدين</v>
      </c>
      <c r="M445" s="137" t="str">
        <f>IF(ISERROR(VLOOKUP(C445,'[1]خريطة الحسابات'!_xlnm.Print_Area,4,FALSE))," ",(VLOOKUP(C445,'[1]خريطة الحسابات'!_xlnm.Print_Area,4,FALSE)))</f>
        <v xml:space="preserve">مقاولين </v>
      </c>
      <c r="N445" s="138" t="str">
        <f>IF(ISERROR(VLOOKUP(C445,'[1]خريطة الحسابات'!_xlnm.Print_Area,5,FALSE))," ",(VLOOKUP(C445,'[1]خريطة الحسابات'!_xlnm.Print_Area,5,FALSE)))</f>
        <v xml:space="preserve">الدائنون والأرصدة الدائنة الأخرى </v>
      </c>
      <c r="O445" s="139" t="s">
        <v>1495</v>
      </c>
      <c r="P445" s="139" t="s">
        <v>1292</v>
      </c>
    </row>
    <row r="446" spans="1:16">
      <c r="A446" s="104">
        <v>29</v>
      </c>
      <c r="B446" s="131">
        <v>46049</v>
      </c>
      <c r="C446" s="141">
        <v>4042</v>
      </c>
      <c r="D446" s="140" t="str">
        <f>IF(ISERROR(VLOOKUP(C446,'[1]خريطة الحسابات'!_xlnm.Print_Area,3,FALSE))," ",(VLOOKUP(C446,'[1]خريطة الحسابات'!_xlnm.Print_Area,3,FALSE)))</f>
        <v xml:space="preserve">عمر الحداد </v>
      </c>
      <c r="E446" s="132"/>
      <c r="F446" s="133">
        <v>900</v>
      </c>
      <c r="G446" s="133"/>
      <c r="H446" s="134">
        <f t="shared" si="18"/>
        <v>900</v>
      </c>
      <c r="I446" s="134">
        <f t="shared" si="18"/>
        <v>0</v>
      </c>
      <c r="J446" s="134">
        <f t="shared" si="19"/>
        <v>900</v>
      </c>
      <c r="K446" s="135"/>
      <c r="L446" s="136" t="str">
        <f t="shared" si="20"/>
        <v>مدين</v>
      </c>
      <c r="M446" s="137" t="str">
        <f>IF(ISERROR(VLOOKUP(C446,'[1]خريطة الحسابات'!_xlnm.Print_Area,4,FALSE))," ",(VLOOKUP(C446,'[1]خريطة الحسابات'!_xlnm.Print_Area,4,FALSE)))</f>
        <v xml:space="preserve">مقاولين </v>
      </c>
      <c r="N446" s="138" t="str">
        <f>IF(ISERROR(VLOOKUP(C446,'[1]خريطة الحسابات'!_xlnm.Print_Area,5,FALSE))," ",(VLOOKUP(C446,'[1]خريطة الحسابات'!_xlnm.Print_Area,5,FALSE)))</f>
        <v xml:space="preserve">الدائنون والأرصدة الدائنة الأخرى </v>
      </c>
      <c r="O446" s="139" t="s">
        <v>1496</v>
      </c>
      <c r="P446" s="139" t="s">
        <v>1292</v>
      </c>
    </row>
    <row r="447" spans="1:16">
      <c r="A447" s="104">
        <v>29</v>
      </c>
      <c r="B447" s="131">
        <v>46041</v>
      </c>
      <c r="C447" s="141">
        <v>20</v>
      </c>
      <c r="D447" s="140" t="str">
        <f>IF(ISERROR(VLOOKUP(C447,'[1]خريطة الحسابات'!_xlnm.Print_Area,3,FALSE))," ",(VLOOKUP(C447,'[1]خريطة الحسابات'!_xlnm.Print_Area,3,FALSE)))</f>
        <v xml:space="preserve">الخزينة </v>
      </c>
      <c r="E447" s="132"/>
      <c r="F447" s="133"/>
      <c r="G447" s="133">
        <v>900</v>
      </c>
      <c r="H447" s="134">
        <f t="shared" si="18"/>
        <v>0</v>
      </c>
      <c r="I447" s="134">
        <f t="shared" si="18"/>
        <v>900</v>
      </c>
      <c r="J447" s="134">
        <f t="shared" si="19"/>
        <v>-900</v>
      </c>
      <c r="K447" s="135"/>
      <c r="L447" s="136" t="str">
        <f t="shared" si="20"/>
        <v>دائن</v>
      </c>
      <c r="M447" s="137" t="str">
        <f>IF(ISERROR(VLOOKUP(C447,'[1]خريطة الحسابات'!_xlnm.Print_Area,4,FALSE))," ",(VLOOKUP(C447,'[1]خريطة الحسابات'!_xlnm.Print_Area,4,FALSE)))</f>
        <v xml:space="preserve">أصول متداوله -النقدية ومافي حكمها </v>
      </c>
      <c r="N447" s="138" t="str">
        <f>IF(ISERROR(VLOOKUP(C447,'[1]خريطة الحسابات'!_xlnm.Print_Area,5,FALSE))," ",(VLOOKUP(C447,'[1]خريطة الحسابات'!_xlnm.Print_Area,5,FALSE)))</f>
        <v>الاصول</v>
      </c>
      <c r="O447" s="139" t="s">
        <v>1495</v>
      </c>
      <c r="P447" s="139" t="s">
        <v>1292</v>
      </c>
    </row>
    <row r="448" spans="1:16">
      <c r="A448" s="104">
        <v>29</v>
      </c>
      <c r="B448" s="131">
        <v>46049</v>
      </c>
      <c r="C448" s="141">
        <v>20</v>
      </c>
      <c r="D448" s="140" t="str">
        <f>IF(ISERROR(VLOOKUP(C448,'[1]خريطة الحسابات'!_xlnm.Print_Area,3,FALSE))," ",(VLOOKUP(C448,'[1]خريطة الحسابات'!_xlnm.Print_Area,3,FALSE)))</f>
        <v xml:space="preserve">الخزينة </v>
      </c>
      <c r="E448" s="132"/>
      <c r="F448" s="133"/>
      <c r="G448" s="133">
        <v>900</v>
      </c>
      <c r="H448" s="134">
        <f t="shared" si="18"/>
        <v>0</v>
      </c>
      <c r="I448" s="134">
        <f t="shared" si="18"/>
        <v>900</v>
      </c>
      <c r="J448" s="134">
        <f t="shared" si="19"/>
        <v>-900</v>
      </c>
      <c r="K448" s="135"/>
      <c r="L448" s="136" t="str">
        <f t="shared" si="20"/>
        <v>دائن</v>
      </c>
      <c r="M448" s="137" t="str">
        <f>IF(ISERROR(VLOOKUP(C448,'[1]خريطة الحسابات'!_xlnm.Print_Area,4,FALSE))," ",(VLOOKUP(C448,'[1]خريطة الحسابات'!_xlnm.Print_Area,4,FALSE)))</f>
        <v xml:space="preserve">أصول متداوله -النقدية ومافي حكمها </v>
      </c>
      <c r="N448" s="138" t="str">
        <f>IF(ISERROR(VLOOKUP(C448,'[1]خريطة الحسابات'!_xlnm.Print_Area,5,FALSE))," ",(VLOOKUP(C448,'[1]خريطة الحسابات'!_xlnm.Print_Area,5,FALSE)))</f>
        <v>الاصول</v>
      </c>
      <c r="O448" s="139" t="s">
        <v>1496</v>
      </c>
      <c r="P448" s="139" t="s">
        <v>1292</v>
      </c>
    </row>
    <row r="449" spans="1:16">
      <c r="A449" s="104">
        <v>30</v>
      </c>
      <c r="B449" s="131">
        <v>46036</v>
      </c>
      <c r="C449" s="141">
        <v>4023</v>
      </c>
      <c r="D449" s="140" t="str">
        <f>IF(ISERROR(VLOOKUP(C449,'[1]خريطة الحسابات'!_xlnm.Print_Area,3,FALSE))," ",(VLOOKUP(C449,'[1]خريطة الحسابات'!_xlnm.Print_Area,3,FALSE)))</f>
        <v>عمرو السباك</v>
      </c>
      <c r="E449" s="132"/>
      <c r="F449" s="133">
        <v>1000</v>
      </c>
      <c r="G449" s="133"/>
      <c r="H449" s="134">
        <f t="shared" si="18"/>
        <v>1000</v>
      </c>
      <c r="I449" s="134">
        <f t="shared" si="18"/>
        <v>0</v>
      </c>
      <c r="J449" s="134">
        <f t="shared" si="19"/>
        <v>1000</v>
      </c>
      <c r="K449" s="135"/>
      <c r="L449" s="136" t="str">
        <f t="shared" si="20"/>
        <v>مدين</v>
      </c>
      <c r="M449" s="137" t="str">
        <f>IF(ISERROR(VLOOKUP(C449,'[1]خريطة الحسابات'!_xlnm.Print_Area,4,FALSE))," ",(VLOOKUP(C449,'[1]خريطة الحسابات'!_xlnm.Print_Area,4,FALSE)))</f>
        <v xml:space="preserve">مقاولين </v>
      </c>
      <c r="N449" s="138" t="str">
        <f>IF(ISERROR(VLOOKUP(C449,'[1]خريطة الحسابات'!_xlnm.Print_Area,5,FALSE))," ",(VLOOKUP(C449,'[1]خريطة الحسابات'!_xlnm.Print_Area,5,FALSE)))</f>
        <v xml:space="preserve">الدائنون والأرصدة الدائنة الأخرى </v>
      </c>
      <c r="O449" s="139" t="s">
        <v>1497</v>
      </c>
      <c r="P449" s="139" t="s">
        <v>1304</v>
      </c>
    </row>
    <row r="450" spans="1:16">
      <c r="A450" s="104">
        <v>30</v>
      </c>
      <c r="B450" s="131">
        <v>46050</v>
      </c>
      <c r="C450" s="141">
        <v>4023</v>
      </c>
      <c r="D450" s="140" t="str">
        <f>IF(ISERROR(VLOOKUP(C450,'[1]خريطة الحسابات'!_xlnm.Print_Area,3,FALSE))," ",(VLOOKUP(C450,'[1]خريطة الحسابات'!_xlnm.Print_Area,3,FALSE)))</f>
        <v>عمرو السباك</v>
      </c>
      <c r="E450" s="132"/>
      <c r="F450" s="133">
        <v>3003</v>
      </c>
      <c r="G450" s="133"/>
      <c r="H450" s="134">
        <f t="shared" si="18"/>
        <v>3003</v>
      </c>
      <c r="I450" s="134">
        <f t="shared" si="18"/>
        <v>0</v>
      </c>
      <c r="J450" s="134">
        <f t="shared" si="19"/>
        <v>3003</v>
      </c>
      <c r="K450" s="135"/>
      <c r="L450" s="136" t="str">
        <f t="shared" si="20"/>
        <v>مدين</v>
      </c>
      <c r="M450" s="137" t="str">
        <f>IF(ISERROR(VLOOKUP(C450,'[1]خريطة الحسابات'!_xlnm.Print_Area,4,FALSE))," ",(VLOOKUP(C450,'[1]خريطة الحسابات'!_xlnm.Print_Area,4,FALSE)))</f>
        <v xml:space="preserve">مقاولين </v>
      </c>
      <c r="N450" s="138" t="str">
        <f>IF(ISERROR(VLOOKUP(C450,'[1]خريطة الحسابات'!_xlnm.Print_Area,5,FALSE))," ",(VLOOKUP(C450,'[1]خريطة الحسابات'!_xlnm.Print_Area,5,FALSE)))</f>
        <v xml:space="preserve">الدائنون والأرصدة الدائنة الأخرى </v>
      </c>
      <c r="O450" s="139" t="s">
        <v>1498</v>
      </c>
      <c r="P450" s="139" t="s">
        <v>1299</v>
      </c>
    </row>
    <row r="451" spans="1:16">
      <c r="A451" s="104">
        <v>30</v>
      </c>
      <c r="B451" s="131">
        <v>46075</v>
      </c>
      <c r="C451" s="141">
        <v>4023</v>
      </c>
      <c r="D451" s="140" t="str">
        <f>IF(ISERROR(VLOOKUP(C451,'[1]خريطة الحسابات'!_xlnm.Print_Area,3,FALSE))," ",(VLOOKUP(C451,'[1]خريطة الحسابات'!_xlnm.Print_Area,3,FALSE)))</f>
        <v>عمرو السباك</v>
      </c>
      <c r="E451" s="132"/>
      <c r="F451" s="133">
        <v>450</v>
      </c>
      <c r="G451" s="133"/>
      <c r="H451" s="134">
        <f t="shared" si="18"/>
        <v>450</v>
      </c>
      <c r="I451" s="134">
        <f t="shared" si="18"/>
        <v>0</v>
      </c>
      <c r="J451" s="134">
        <f t="shared" si="19"/>
        <v>450</v>
      </c>
      <c r="K451" s="135"/>
      <c r="L451" s="136" t="str">
        <f t="shared" si="20"/>
        <v>مدين</v>
      </c>
      <c r="M451" s="137" t="str">
        <f>IF(ISERROR(VLOOKUP(C451,'[1]خريطة الحسابات'!_xlnm.Print_Area,4,FALSE))," ",(VLOOKUP(C451,'[1]خريطة الحسابات'!_xlnm.Print_Area,4,FALSE)))</f>
        <v xml:space="preserve">مقاولين </v>
      </c>
      <c r="N451" s="138" t="str">
        <f>IF(ISERROR(VLOOKUP(C451,'[1]خريطة الحسابات'!_xlnm.Print_Area,5,FALSE))," ",(VLOOKUP(C451,'[1]خريطة الحسابات'!_xlnm.Print_Area,5,FALSE)))</f>
        <v xml:space="preserve">الدائنون والأرصدة الدائنة الأخرى </v>
      </c>
      <c r="O451" s="139" t="s">
        <v>1499</v>
      </c>
      <c r="P451" s="139" t="s">
        <v>1325</v>
      </c>
    </row>
    <row r="452" spans="1:16">
      <c r="A452" s="104">
        <v>30</v>
      </c>
      <c r="B452" s="131">
        <v>46077</v>
      </c>
      <c r="C452" s="141">
        <v>4023</v>
      </c>
      <c r="D452" s="140" t="str">
        <f>IF(ISERROR(VLOOKUP(C452,'[1]خريطة الحسابات'!_xlnm.Print_Area,3,FALSE))," ",(VLOOKUP(C452,'[1]خريطة الحسابات'!_xlnm.Print_Area,3,FALSE)))</f>
        <v>عمرو السباك</v>
      </c>
      <c r="E452" s="132"/>
      <c r="F452" s="133">
        <v>550</v>
      </c>
      <c r="G452" s="133"/>
      <c r="H452" s="134">
        <f t="shared" si="18"/>
        <v>550</v>
      </c>
      <c r="I452" s="134">
        <f t="shared" si="18"/>
        <v>0</v>
      </c>
      <c r="J452" s="134">
        <f t="shared" si="19"/>
        <v>550</v>
      </c>
      <c r="K452" s="135"/>
      <c r="L452" s="136" t="str">
        <f t="shared" si="20"/>
        <v>مدين</v>
      </c>
      <c r="M452" s="137" t="str">
        <f>IF(ISERROR(VLOOKUP(C452,'[1]خريطة الحسابات'!_xlnm.Print_Area,4,FALSE))," ",(VLOOKUP(C452,'[1]خريطة الحسابات'!_xlnm.Print_Area,4,FALSE)))</f>
        <v xml:space="preserve">مقاولين </v>
      </c>
      <c r="N452" s="138" t="str">
        <f>IF(ISERROR(VLOOKUP(C452,'[1]خريطة الحسابات'!_xlnm.Print_Area,5,FALSE))," ",(VLOOKUP(C452,'[1]خريطة الحسابات'!_xlnm.Print_Area,5,FALSE)))</f>
        <v xml:space="preserve">الدائنون والأرصدة الدائنة الأخرى </v>
      </c>
      <c r="O452" s="139" t="s">
        <v>1500</v>
      </c>
      <c r="P452" s="139" t="s">
        <v>1325</v>
      </c>
    </row>
    <row r="453" spans="1:16">
      <c r="A453" s="104">
        <v>30</v>
      </c>
      <c r="B453" s="131">
        <v>46077</v>
      </c>
      <c r="C453" s="141">
        <v>4023</v>
      </c>
      <c r="D453" s="140" t="str">
        <f>IF(ISERROR(VLOOKUP(C453,'[1]خريطة الحسابات'!_xlnm.Print_Area,3,FALSE))," ",(VLOOKUP(C453,'[1]خريطة الحسابات'!_xlnm.Print_Area,3,FALSE)))</f>
        <v>عمرو السباك</v>
      </c>
      <c r="E453" s="132"/>
      <c r="F453" s="133">
        <v>6000</v>
      </c>
      <c r="G453" s="133"/>
      <c r="H453" s="134">
        <f t="shared" si="18"/>
        <v>6000</v>
      </c>
      <c r="I453" s="134">
        <f t="shared" si="18"/>
        <v>0</v>
      </c>
      <c r="J453" s="134">
        <f t="shared" si="19"/>
        <v>6000</v>
      </c>
      <c r="K453" s="135"/>
      <c r="L453" s="136" t="str">
        <f t="shared" si="20"/>
        <v>مدين</v>
      </c>
      <c r="M453" s="137" t="str">
        <f>IF(ISERROR(VLOOKUP(C453,'[1]خريطة الحسابات'!_xlnm.Print_Area,4,FALSE))," ",(VLOOKUP(C453,'[1]خريطة الحسابات'!_xlnm.Print_Area,4,FALSE)))</f>
        <v xml:space="preserve">مقاولين </v>
      </c>
      <c r="N453" s="138" t="str">
        <f>IF(ISERROR(VLOOKUP(C453,'[1]خريطة الحسابات'!_xlnm.Print_Area,5,FALSE))," ",(VLOOKUP(C453,'[1]خريطة الحسابات'!_xlnm.Print_Area,5,FALSE)))</f>
        <v xml:space="preserve">الدائنون والأرصدة الدائنة الأخرى </v>
      </c>
      <c r="O453" s="139" t="s">
        <v>1501</v>
      </c>
      <c r="P453" s="139" t="s">
        <v>1325</v>
      </c>
    </row>
    <row r="454" spans="1:16">
      <c r="A454" s="104">
        <v>30</v>
      </c>
      <c r="B454" s="131">
        <v>46086</v>
      </c>
      <c r="C454" s="141">
        <v>4023</v>
      </c>
      <c r="D454" s="140" t="str">
        <f>IF(ISERROR(VLOOKUP(C454,'[1]خريطة الحسابات'!_xlnm.Print_Area,3,FALSE))," ",(VLOOKUP(C454,'[1]خريطة الحسابات'!_xlnm.Print_Area,3,FALSE)))</f>
        <v>عمرو السباك</v>
      </c>
      <c r="E454" s="132"/>
      <c r="F454" s="133">
        <v>2000</v>
      </c>
      <c r="G454" s="133"/>
      <c r="H454" s="134">
        <f t="shared" si="18"/>
        <v>2000</v>
      </c>
      <c r="I454" s="134">
        <f t="shared" si="18"/>
        <v>0</v>
      </c>
      <c r="J454" s="134">
        <f t="shared" si="19"/>
        <v>2000</v>
      </c>
      <c r="K454" s="135"/>
      <c r="L454" s="136" t="str">
        <f t="shared" si="20"/>
        <v>مدين</v>
      </c>
      <c r="M454" s="137" t="str">
        <f>IF(ISERROR(VLOOKUP(C454,'[1]خريطة الحسابات'!_xlnm.Print_Area,4,FALSE))," ",(VLOOKUP(C454,'[1]خريطة الحسابات'!_xlnm.Print_Area,4,FALSE)))</f>
        <v xml:space="preserve">مقاولين </v>
      </c>
      <c r="N454" s="138" t="str">
        <f>IF(ISERROR(VLOOKUP(C454,'[1]خريطة الحسابات'!_xlnm.Print_Area,5,FALSE))," ",(VLOOKUP(C454,'[1]خريطة الحسابات'!_xlnm.Print_Area,5,FALSE)))</f>
        <v xml:space="preserve">الدائنون والأرصدة الدائنة الأخرى </v>
      </c>
      <c r="O454" s="139" t="s">
        <v>1502</v>
      </c>
      <c r="P454" s="139" t="s">
        <v>1325</v>
      </c>
    </row>
    <row r="455" spans="1:16">
      <c r="A455" s="104">
        <v>30</v>
      </c>
      <c r="B455" s="131">
        <v>46086</v>
      </c>
      <c r="C455" s="141">
        <v>4023</v>
      </c>
      <c r="D455" s="140" t="str">
        <f>IF(ISERROR(VLOOKUP(C455,'[1]خريطة الحسابات'!_xlnm.Print_Area,3,FALSE))," ",(VLOOKUP(C455,'[1]خريطة الحسابات'!_xlnm.Print_Area,3,FALSE)))</f>
        <v>عمرو السباك</v>
      </c>
      <c r="E455" s="132"/>
      <c r="F455" s="133">
        <v>2950</v>
      </c>
      <c r="G455" s="133"/>
      <c r="H455" s="134">
        <f t="shared" si="18"/>
        <v>2950</v>
      </c>
      <c r="I455" s="134">
        <f t="shared" si="18"/>
        <v>0</v>
      </c>
      <c r="J455" s="134">
        <f t="shared" si="19"/>
        <v>2950</v>
      </c>
      <c r="K455" s="135"/>
      <c r="L455" s="136" t="str">
        <f t="shared" si="20"/>
        <v>مدين</v>
      </c>
      <c r="M455" s="137" t="str">
        <f>IF(ISERROR(VLOOKUP(C455,'[1]خريطة الحسابات'!_xlnm.Print_Area,4,FALSE))," ",(VLOOKUP(C455,'[1]خريطة الحسابات'!_xlnm.Print_Area,4,FALSE)))</f>
        <v xml:space="preserve">مقاولين </v>
      </c>
      <c r="N455" s="138" t="str">
        <f>IF(ISERROR(VLOOKUP(C455,'[1]خريطة الحسابات'!_xlnm.Print_Area,5,FALSE))," ",(VLOOKUP(C455,'[1]خريطة الحسابات'!_xlnm.Print_Area,5,FALSE)))</f>
        <v xml:space="preserve">الدائنون والأرصدة الدائنة الأخرى </v>
      </c>
      <c r="O455" s="139" t="s">
        <v>1503</v>
      </c>
      <c r="P455" s="139" t="s">
        <v>1299</v>
      </c>
    </row>
    <row r="456" spans="1:16">
      <c r="A456" s="104">
        <v>30</v>
      </c>
      <c r="B456" s="131">
        <v>46036</v>
      </c>
      <c r="C456" s="141">
        <v>20</v>
      </c>
      <c r="D456" s="140" t="str">
        <f>IF(ISERROR(VLOOKUP(C456,'[1]خريطة الحسابات'!_xlnm.Print_Area,3,FALSE))," ",(VLOOKUP(C456,'[1]خريطة الحسابات'!_xlnm.Print_Area,3,FALSE)))</f>
        <v xml:space="preserve">الخزينة </v>
      </c>
      <c r="E456" s="132"/>
      <c r="F456" s="133"/>
      <c r="G456" s="133">
        <v>1000</v>
      </c>
      <c r="H456" s="134">
        <f t="shared" si="18"/>
        <v>0</v>
      </c>
      <c r="I456" s="134">
        <f t="shared" si="18"/>
        <v>1000</v>
      </c>
      <c r="J456" s="134">
        <f t="shared" si="19"/>
        <v>-1000</v>
      </c>
      <c r="K456" s="135"/>
      <c r="L456" s="136" t="str">
        <f t="shared" si="20"/>
        <v>دائن</v>
      </c>
      <c r="M456" s="137" t="str">
        <f>IF(ISERROR(VLOOKUP(C456,'[1]خريطة الحسابات'!_xlnm.Print_Area,4,FALSE))," ",(VLOOKUP(C456,'[1]خريطة الحسابات'!_xlnm.Print_Area,4,FALSE)))</f>
        <v xml:space="preserve">أصول متداوله -النقدية ومافي حكمها </v>
      </c>
      <c r="N456" s="138" t="str">
        <f>IF(ISERROR(VLOOKUP(C456,'[1]خريطة الحسابات'!_xlnm.Print_Area,5,FALSE))," ",(VLOOKUP(C456,'[1]خريطة الحسابات'!_xlnm.Print_Area,5,FALSE)))</f>
        <v>الاصول</v>
      </c>
      <c r="O456" s="139" t="s">
        <v>1497</v>
      </c>
      <c r="P456" s="139" t="s">
        <v>1304</v>
      </c>
    </row>
    <row r="457" spans="1:16">
      <c r="A457" s="104">
        <v>30</v>
      </c>
      <c r="B457" s="131">
        <v>46050</v>
      </c>
      <c r="C457" s="141">
        <v>20</v>
      </c>
      <c r="D457" s="140" t="str">
        <f>IF(ISERROR(VLOOKUP(C457,'[1]خريطة الحسابات'!_xlnm.Print_Area,3,FALSE))," ",(VLOOKUP(C457,'[1]خريطة الحسابات'!_xlnm.Print_Area,3,FALSE)))</f>
        <v xml:space="preserve">الخزينة </v>
      </c>
      <c r="E457" s="132"/>
      <c r="F457" s="133"/>
      <c r="G457" s="133">
        <v>3003</v>
      </c>
      <c r="H457" s="134">
        <f t="shared" si="18"/>
        <v>0</v>
      </c>
      <c r="I457" s="134">
        <f t="shared" si="18"/>
        <v>3003</v>
      </c>
      <c r="J457" s="134">
        <f t="shared" si="19"/>
        <v>-3003</v>
      </c>
      <c r="K457" s="135"/>
      <c r="L457" s="136" t="str">
        <f t="shared" si="20"/>
        <v>دائن</v>
      </c>
      <c r="M457" s="137" t="str">
        <f>IF(ISERROR(VLOOKUP(C457,'[1]خريطة الحسابات'!_xlnm.Print_Area,4,FALSE))," ",(VLOOKUP(C457,'[1]خريطة الحسابات'!_xlnm.Print_Area,4,FALSE)))</f>
        <v xml:space="preserve">أصول متداوله -النقدية ومافي حكمها </v>
      </c>
      <c r="N457" s="138" t="str">
        <f>IF(ISERROR(VLOOKUP(C457,'[1]خريطة الحسابات'!_xlnm.Print_Area,5,FALSE))," ",(VLOOKUP(C457,'[1]خريطة الحسابات'!_xlnm.Print_Area,5,FALSE)))</f>
        <v>الاصول</v>
      </c>
      <c r="O457" s="139" t="s">
        <v>1498</v>
      </c>
      <c r="P457" s="139" t="s">
        <v>1299</v>
      </c>
    </row>
    <row r="458" spans="1:16">
      <c r="A458" s="104">
        <v>30</v>
      </c>
      <c r="B458" s="131">
        <v>46075</v>
      </c>
      <c r="C458" s="141">
        <v>20</v>
      </c>
      <c r="D458" s="140" t="str">
        <f>IF(ISERROR(VLOOKUP(C458,'[1]خريطة الحسابات'!_xlnm.Print_Area,3,FALSE))," ",(VLOOKUP(C458,'[1]خريطة الحسابات'!_xlnm.Print_Area,3,FALSE)))</f>
        <v xml:space="preserve">الخزينة </v>
      </c>
      <c r="E458" s="132"/>
      <c r="F458" s="133"/>
      <c r="G458" s="133">
        <v>450</v>
      </c>
      <c r="H458" s="134">
        <f t="shared" si="18"/>
        <v>0</v>
      </c>
      <c r="I458" s="134">
        <f t="shared" si="18"/>
        <v>450</v>
      </c>
      <c r="J458" s="134">
        <f t="shared" si="19"/>
        <v>-450</v>
      </c>
      <c r="K458" s="135"/>
      <c r="L458" s="136" t="str">
        <f t="shared" si="20"/>
        <v>دائن</v>
      </c>
      <c r="M458" s="137" t="str">
        <f>IF(ISERROR(VLOOKUP(C458,'[1]خريطة الحسابات'!_xlnm.Print_Area,4,FALSE))," ",(VLOOKUP(C458,'[1]خريطة الحسابات'!_xlnm.Print_Area,4,FALSE)))</f>
        <v xml:space="preserve">أصول متداوله -النقدية ومافي حكمها </v>
      </c>
      <c r="N458" s="138" t="str">
        <f>IF(ISERROR(VLOOKUP(C458,'[1]خريطة الحسابات'!_xlnm.Print_Area,5,FALSE))," ",(VLOOKUP(C458,'[1]خريطة الحسابات'!_xlnm.Print_Area,5,FALSE)))</f>
        <v>الاصول</v>
      </c>
      <c r="O458" s="139" t="s">
        <v>1499</v>
      </c>
      <c r="P458" s="139" t="s">
        <v>1325</v>
      </c>
    </row>
    <row r="459" spans="1:16">
      <c r="A459" s="104">
        <v>30</v>
      </c>
      <c r="B459" s="131">
        <v>46077</v>
      </c>
      <c r="C459" s="141">
        <v>20</v>
      </c>
      <c r="D459" s="140" t="str">
        <f>IF(ISERROR(VLOOKUP(C459,'[1]خريطة الحسابات'!_xlnm.Print_Area,3,FALSE))," ",(VLOOKUP(C459,'[1]خريطة الحسابات'!_xlnm.Print_Area,3,FALSE)))</f>
        <v xml:space="preserve">الخزينة </v>
      </c>
      <c r="E459" s="132"/>
      <c r="F459" s="133"/>
      <c r="G459" s="133">
        <v>550</v>
      </c>
      <c r="H459" s="134">
        <f t="shared" si="18"/>
        <v>0</v>
      </c>
      <c r="I459" s="134">
        <f t="shared" si="18"/>
        <v>550</v>
      </c>
      <c r="J459" s="134">
        <f t="shared" si="19"/>
        <v>-550</v>
      </c>
      <c r="K459" s="135"/>
      <c r="L459" s="136" t="str">
        <f t="shared" si="20"/>
        <v>دائن</v>
      </c>
      <c r="M459" s="137" t="str">
        <f>IF(ISERROR(VLOOKUP(C459,'[1]خريطة الحسابات'!_xlnm.Print_Area,4,FALSE))," ",(VLOOKUP(C459,'[1]خريطة الحسابات'!_xlnm.Print_Area,4,FALSE)))</f>
        <v xml:space="preserve">أصول متداوله -النقدية ومافي حكمها </v>
      </c>
      <c r="N459" s="138" t="str">
        <f>IF(ISERROR(VLOOKUP(C459,'[1]خريطة الحسابات'!_xlnm.Print_Area,5,FALSE))," ",(VLOOKUP(C459,'[1]خريطة الحسابات'!_xlnm.Print_Area,5,FALSE)))</f>
        <v>الاصول</v>
      </c>
      <c r="O459" s="139" t="s">
        <v>1500</v>
      </c>
      <c r="P459" s="139" t="s">
        <v>1325</v>
      </c>
    </row>
    <row r="460" spans="1:16">
      <c r="A460" s="104">
        <v>30</v>
      </c>
      <c r="B460" s="131">
        <v>46077</v>
      </c>
      <c r="C460" s="141">
        <v>20</v>
      </c>
      <c r="D460" s="140" t="str">
        <f>IF(ISERROR(VLOOKUP(C460,'[1]خريطة الحسابات'!_xlnm.Print_Area,3,FALSE))," ",(VLOOKUP(C460,'[1]خريطة الحسابات'!_xlnm.Print_Area,3,FALSE)))</f>
        <v xml:space="preserve">الخزينة </v>
      </c>
      <c r="E460" s="132"/>
      <c r="F460" s="133"/>
      <c r="G460" s="133">
        <v>6000</v>
      </c>
      <c r="H460" s="134">
        <f t="shared" si="18"/>
        <v>0</v>
      </c>
      <c r="I460" s="134">
        <f t="shared" si="18"/>
        <v>6000</v>
      </c>
      <c r="J460" s="134">
        <f t="shared" si="19"/>
        <v>-6000</v>
      </c>
      <c r="K460" s="135"/>
      <c r="L460" s="136" t="str">
        <f t="shared" si="20"/>
        <v>دائن</v>
      </c>
      <c r="M460" s="137" t="str">
        <f>IF(ISERROR(VLOOKUP(C460,'[1]خريطة الحسابات'!_xlnm.Print_Area,4,FALSE))," ",(VLOOKUP(C460,'[1]خريطة الحسابات'!_xlnm.Print_Area,4,FALSE)))</f>
        <v xml:space="preserve">أصول متداوله -النقدية ومافي حكمها </v>
      </c>
      <c r="N460" s="138" t="str">
        <f>IF(ISERROR(VLOOKUP(C460,'[1]خريطة الحسابات'!_xlnm.Print_Area,5,FALSE))," ",(VLOOKUP(C460,'[1]خريطة الحسابات'!_xlnm.Print_Area,5,FALSE)))</f>
        <v>الاصول</v>
      </c>
      <c r="O460" s="139" t="s">
        <v>1501</v>
      </c>
      <c r="P460" s="139" t="s">
        <v>1325</v>
      </c>
    </row>
    <row r="461" spans="1:16">
      <c r="A461" s="104">
        <v>30</v>
      </c>
      <c r="B461" s="131">
        <v>46086</v>
      </c>
      <c r="C461" s="141">
        <v>20</v>
      </c>
      <c r="D461" s="140" t="str">
        <f>IF(ISERROR(VLOOKUP(C461,'[1]خريطة الحسابات'!_xlnm.Print_Area,3,FALSE))," ",(VLOOKUP(C461,'[1]خريطة الحسابات'!_xlnm.Print_Area,3,FALSE)))</f>
        <v xml:space="preserve">الخزينة </v>
      </c>
      <c r="E461" s="132"/>
      <c r="F461" s="133"/>
      <c r="G461" s="133">
        <v>2000</v>
      </c>
      <c r="H461" s="134">
        <f t="shared" si="18"/>
        <v>0</v>
      </c>
      <c r="I461" s="134">
        <f t="shared" si="18"/>
        <v>2000</v>
      </c>
      <c r="J461" s="134">
        <f t="shared" si="19"/>
        <v>-2000</v>
      </c>
      <c r="K461" s="135"/>
      <c r="L461" s="136" t="str">
        <f t="shared" si="20"/>
        <v>دائن</v>
      </c>
      <c r="M461" s="137" t="str">
        <f>IF(ISERROR(VLOOKUP(C461,'[1]خريطة الحسابات'!_xlnm.Print_Area,4,FALSE))," ",(VLOOKUP(C461,'[1]خريطة الحسابات'!_xlnm.Print_Area,4,FALSE)))</f>
        <v xml:space="preserve">أصول متداوله -النقدية ومافي حكمها </v>
      </c>
      <c r="N461" s="138" t="str">
        <f>IF(ISERROR(VLOOKUP(C461,'[1]خريطة الحسابات'!_xlnm.Print_Area,5,FALSE))," ",(VLOOKUP(C461,'[1]خريطة الحسابات'!_xlnm.Print_Area,5,FALSE)))</f>
        <v>الاصول</v>
      </c>
      <c r="O461" s="139" t="s">
        <v>1502</v>
      </c>
      <c r="P461" s="139" t="s">
        <v>1325</v>
      </c>
    </row>
    <row r="462" spans="1:16">
      <c r="A462" s="104">
        <v>30</v>
      </c>
      <c r="B462" s="131">
        <v>46086</v>
      </c>
      <c r="C462" s="141">
        <v>20</v>
      </c>
      <c r="D462" s="140" t="str">
        <f>IF(ISERROR(VLOOKUP(C462,'[1]خريطة الحسابات'!_xlnm.Print_Area,3,FALSE))," ",(VLOOKUP(C462,'[1]خريطة الحسابات'!_xlnm.Print_Area,3,FALSE)))</f>
        <v xml:space="preserve">الخزينة </v>
      </c>
      <c r="E462" s="132"/>
      <c r="F462" s="133"/>
      <c r="G462" s="133">
        <v>2950</v>
      </c>
      <c r="H462" s="134">
        <f t="shared" si="18"/>
        <v>0</v>
      </c>
      <c r="I462" s="134">
        <f t="shared" si="18"/>
        <v>2950</v>
      </c>
      <c r="J462" s="134">
        <f t="shared" si="19"/>
        <v>-2950</v>
      </c>
      <c r="K462" s="135"/>
      <c r="L462" s="136" t="str">
        <f t="shared" si="20"/>
        <v>دائن</v>
      </c>
      <c r="M462" s="137" t="str">
        <f>IF(ISERROR(VLOOKUP(C462,'[1]خريطة الحسابات'!_xlnm.Print_Area,4,FALSE))," ",(VLOOKUP(C462,'[1]خريطة الحسابات'!_xlnm.Print_Area,4,FALSE)))</f>
        <v xml:space="preserve">أصول متداوله -النقدية ومافي حكمها </v>
      </c>
      <c r="N462" s="138" t="str">
        <f>IF(ISERROR(VLOOKUP(C462,'[1]خريطة الحسابات'!_xlnm.Print_Area,5,FALSE))," ",(VLOOKUP(C462,'[1]خريطة الحسابات'!_xlnm.Print_Area,5,FALSE)))</f>
        <v>الاصول</v>
      </c>
      <c r="O462" s="139" t="s">
        <v>1503</v>
      </c>
      <c r="P462" s="139" t="s">
        <v>1299</v>
      </c>
    </row>
    <row r="463" spans="1:16">
      <c r="A463" s="104">
        <v>31</v>
      </c>
      <c r="B463" s="131">
        <v>46151</v>
      </c>
      <c r="C463" s="141">
        <v>4043</v>
      </c>
      <c r="D463" s="140" t="str">
        <f>IF(ISERROR(VLOOKUP(C463,'[1]خريطة الحسابات'!_xlnm.Print_Area,3,FALSE))," ",(VLOOKUP(C463,'[1]خريطة الحسابات'!_xlnm.Print_Area,3,FALSE)))</f>
        <v>علي معماري</v>
      </c>
      <c r="E463" s="132"/>
      <c r="F463" s="133">
        <v>6006</v>
      </c>
      <c r="G463" s="133"/>
      <c r="H463" s="134">
        <f t="shared" si="18"/>
        <v>6006</v>
      </c>
      <c r="I463" s="134">
        <f t="shared" si="18"/>
        <v>0</v>
      </c>
      <c r="J463" s="134">
        <f t="shared" si="19"/>
        <v>6006</v>
      </c>
      <c r="K463" s="135"/>
      <c r="L463" s="136" t="str">
        <f t="shared" si="20"/>
        <v>مدين</v>
      </c>
      <c r="M463" s="137" t="str">
        <f>IF(ISERROR(VLOOKUP(C463,'[1]خريطة الحسابات'!_xlnm.Print_Area,4,FALSE))," ",(VLOOKUP(C463,'[1]خريطة الحسابات'!_xlnm.Print_Area,4,FALSE)))</f>
        <v xml:space="preserve">مقاولين </v>
      </c>
      <c r="N463" s="138" t="str">
        <f>IF(ISERROR(VLOOKUP(C463,'[1]خريطة الحسابات'!_xlnm.Print_Area,5,FALSE))," ",(VLOOKUP(C463,'[1]خريطة الحسابات'!_xlnm.Print_Area,5,FALSE)))</f>
        <v xml:space="preserve">الدائنون والأرصدة الدائنة الأخرى </v>
      </c>
      <c r="O463" s="139" t="s">
        <v>1504</v>
      </c>
      <c r="P463" s="139" t="s">
        <v>1317</v>
      </c>
    </row>
    <row r="464" spans="1:16">
      <c r="A464" s="104">
        <v>31</v>
      </c>
      <c r="B464" s="131">
        <v>46153</v>
      </c>
      <c r="C464" s="141">
        <v>4043</v>
      </c>
      <c r="D464" s="140" t="str">
        <f>IF(ISERROR(VLOOKUP(C464,'[1]خريطة الحسابات'!_xlnm.Print_Area,3,FALSE))," ",(VLOOKUP(C464,'[1]خريطة الحسابات'!_xlnm.Print_Area,3,FALSE)))</f>
        <v>علي معماري</v>
      </c>
      <c r="E464" s="132"/>
      <c r="F464" s="133">
        <v>5000</v>
      </c>
      <c r="G464" s="133"/>
      <c r="H464" s="134">
        <f t="shared" si="18"/>
        <v>5000</v>
      </c>
      <c r="I464" s="134">
        <f t="shared" si="18"/>
        <v>0</v>
      </c>
      <c r="J464" s="134">
        <f t="shared" si="19"/>
        <v>5000</v>
      </c>
      <c r="K464" s="135"/>
      <c r="L464" s="136" t="str">
        <f t="shared" si="20"/>
        <v>مدين</v>
      </c>
      <c r="M464" s="137" t="str">
        <f>IF(ISERROR(VLOOKUP(C464,'[1]خريطة الحسابات'!_xlnm.Print_Area,4,FALSE))," ",(VLOOKUP(C464,'[1]خريطة الحسابات'!_xlnm.Print_Area,4,FALSE)))</f>
        <v xml:space="preserve">مقاولين </v>
      </c>
      <c r="N464" s="138" t="str">
        <f>IF(ISERROR(VLOOKUP(C464,'[1]خريطة الحسابات'!_xlnm.Print_Area,5,FALSE))," ",(VLOOKUP(C464,'[1]خريطة الحسابات'!_xlnm.Print_Area,5,FALSE)))</f>
        <v xml:space="preserve">الدائنون والأرصدة الدائنة الأخرى </v>
      </c>
      <c r="O464" s="139" t="s">
        <v>1505</v>
      </c>
      <c r="P464" s="139" t="s">
        <v>1489</v>
      </c>
    </row>
    <row r="465" spans="1:16">
      <c r="A465" s="104">
        <v>31</v>
      </c>
      <c r="B465" s="131">
        <v>46156</v>
      </c>
      <c r="C465" s="141">
        <v>4043</v>
      </c>
      <c r="D465" s="140" t="str">
        <f>IF(ISERROR(VLOOKUP(C465,'[1]خريطة الحسابات'!_xlnm.Print_Area,3,FALSE))," ",(VLOOKUP(C465,'[1]خريطة الحسابات'!_xlnm.Print_Area,3,FALSE)))</f>
        <v>علي معماري</v>
      </c>
      <c r="E465" s="132"/>
      <c r="F465" s="133">
        <v>8608</v>
      </c>
      <c r="G465" s="133"/>
      <c r="H465" s="134">
        <f t="shared" si="18"/>
        <v>8608</v>
      </c>
      <c r="I465" s="134">
        <f t="shared" si="18"/>
        <v>0</v>
      </c>
      <c r="J465" s="134">
        <f t="shared" si="19"/>
        <v>8608</v>
      </c>
      <c r="K465" s="135"/>
      <c r="L465" s="136" t="str">
        <f t="shared" si="20"/>
        <v>مدين</v>
      </c>
      <c r="M465" s="137" t="str">
        <f>IF(ISERROR(VLOOKUP(C465,'[1]خريطة الحسابات'!_xlnm.Print_Area,4,FALSE))," ",(VLOOKUP(C465,'[1]خريطة الحسابات'!_xlnm.Print_Area,4,FALSE)))</f>
        <v xml:space="preserve">مقاولين </v>
      </c>
      <c r="N465" s="138" t="str">
        <f>IF(ISERROR(VLOOKUP(C465,'[1]خريطة الحسابات'!_xlnm.Print_Area,5,FALSE))," ",(VLOOKUP(C465,'[1]خريطة الحسابات'!_xlnm.Print_Area,5,FALSE)))</f>
        <v xml:space="preserve">الدائنون والأرصدة الدائنة الأخرى </v>
      </c>
      <c r="O465" s="139" t="s">
        <v>1506</v>
      </c>
      <c r="P465" s="139" t="s">
        <v>1489</v>
      </c>
    </row>
    <row r="466" spans="1:16">
      <c r="A466" s="104">
        <v>31</v>
      </c>
      <c r="B466" s="131">
        <v>46162</v>
      </c>
      <c r="C466" s="141">
        <v>4043</v>
      </c>
      <c r="D466" s="140" t="str">
        <f>IF(ISERROR(VLOOKUP(C466,'[1]خريطة الحسابات'!_xlnm.Print_Area,3,FALSE))," ",(VLOOKUP(C466,'[1]خريطة الحسابات'!_xlnm.Print_Area,3,FALSE)))</f>
        <v>علي معماري</v>
      </c>
      <c r="E466" s="132"/>
      <c r="F466" s="133">
        <v>7557</v>
      </c>
      <c r="G466" s="133"/>
      <c r="H466" s="134">
        <f t="shared" si="18"/>
        <v>7557</v>
      </c>
      <c r="I466" s="134">
        <f t="shared" si="18"/>
        <v>0</v>
      </c>
      <c r="J466" s="134">
        <f t="shared" si="19"/>
        <v>7557</v>
      </c>
      <c r="K466" s="135"/>
      <c r="L466" s="136" t="str">
        <f t="shared" si="20"/>
        <v>مدين</v>
      </c>
      <c r="M466" s="137" t="str">
        <f>IF(ISERROR(VLOOKUP(C466,'[1]خريطة الحسابات'!_xlnm.Print_Area,4,FALSE))," ",(VLOOKUP(C466,'[1]خريطة الحسابات'!_xlnm.Print_Area,4,FALSE)))</f>
        <v xml:space="preserve">مقاولين </v>
      </c>
      <c r="N466" s="138" t="str">
        <f>IF(ISERROR(VLOOKUP(C466,'[1]خريطة الحسابات'!_xlnm.Print_Area,5,FALSE))," ",(VLOOKUP(C466,'[1]خريطة الحسابات'!_xlnm.Print_Area,5,FALSE)))</f>
        <v xml:space="preserve">الدائنون والأرصدة الدائنة الأخرى </v>
      </c>
      <c r="O466" s="139" t="s">
        <v>1507</v>
      </c>
      <c r="P466" s="139" t="s">
        <v>1489</v>
      </c>
    </row>
    <row r="467" spans="1:16">
      <c r="A467" s="104">
        <v>31</v>
      </c>
      <c r="B467" s="131">
        <v>46163</v>
      </c>
      <c r="C467" s="141">
        <v>4043</v>
      </c>
      <c r="D467" s="140" t="str">
        <f>IF(ISERROR(VLOOKUP(C467,'[1]خريطة الحسابات'!_xlnm.Print_Area,3,FALSE))," ",(VLOOKUP(C467,'[1]خريطة الحسابات'!_xlnm.Print_Area,3,FALSE)))</f>
        <v>علي معماري</v>
      </c>
      <c r="E467" s="132"/>
      <c r="F467" s="133">
        <v>3455</v>
      </c>
      <c r="G467" s="133"/>
      <c r="H467" s="134">
        <f t="shared" si="18"/>
        <v>3455</v>
      </c>
      <c r="I467" s="134">
        <f t="shared" si="18"/>
        <v>0</v>
      </c>
      <c r="J467" s="134">
        <f t="shared" si="19"/>
        <v>3455</v>
      </c>
      <c r="K467" s="135"/>
      <c r="L467" s="136" t="str">
        <f t="shared" si="20"/>
        <v>مدين</v>
      </c>
      <c r="M467" s="137" t="str">
        <f>IF(ISERROR(VLOOKUP(C467,'[1]خريطة الحسابات'!_xlnm.Print_Area,4,FALSE))," ",(VLOOKUP(C467,'[1]خريطة الحسابات'!_xlnm.Print_Area,4,FALSE)))</f>
        <v xml:space="preserve">مقاولين </v>
      </c>
      <c r="N467" s="138" t="str">
        <f>IF(ISERROR(VLOOKUP(C467,'[1]خريطة الحسابات'!_xlnm.Print_Area,5,FALSE))," ",(VLOOKUP(C467,'[1]خريطة الحسابات'!_xlnm.Print_Area,5,FALSE)))</f>
        <v xml:space="preserve">الدائنون والأرصدة الدائنة الأخرى </v>
      </c>
      <c r="O467" s="139" t="s">
        <v>1508</v>
      </c>
      <c r="P467" s="139" t="s">
        <v>1489</v>
      </c>
    </row>
    <row r="468" spans="1:16">
      <c r="A468" s="104">
        <v>31</v>
      </c>
      <c r="B468" s="131">
        <v>46163</v>
      </c>
      <c r="C468" s="141">
        <v>4043</v>
      </c>
      <c r="D468" s="140" t="str">
        <f>IF(ISERROR(VLOOKUP(C468,'[1]خريطة الحسابات'!_xlnm.Print_Area,3,FALSE))," ",(VLOOKUP(C468,'[1]خريطة الحسابات'!_xlnm.Print_Area,3,FALSE)))</f>
        <v>علي معماري</v>
      </c>
      <c r="E468" s="132"/>
      <c r="F468" s="133">
        <v>4000</v>
      </c>
      <c r="G468" s="133"/>
      <c r="H468" s="134">
        <f t="shared" si="18"/>
        <v>4000</v>
      </c>
      <c r="I468" s="134">
        <f t="shared" si="18"/>
        <v>0</v>
      </c>
      <c r="J468" s="134">
        <f t="shared" si="19"/>
        <v>4000</v>
      </c>
      <c r="K468" s="135"/>
      <c r="L468" s="136" t="str">
        <f t="shared" si="20"/>
        <v>مدين</v>
      </c>
      <c r="M468" s="137" t="str">
        <f>IF(ISERROR(VLOOKUP(C468,'[1]خريطة الحسابات'!_xlnm.Print_Area,4,FALSE))," ",(VLOOKUP(C468,'[1]خريطة الحسابات'!_xlnm.Print_Area,4,FALSE)))</f>
        <v xml:space="preserve">مقاولين </v>
      </c>
      <c r="N468" s="138" t="str">
        <f>IF(ISERROR(VLOOKUP(C468,'[1]خريطة الحسابات'!_xlnm.Print_Area,5,FALSE))," ",(VLOOKUP(C468,'[1]خريطة الحسابات'!_xlnm.Print_Area,5,FALSE)))</f>
        <v xml:space="preserve">الدائنون والأرصدة الدائنة الأخرى </v>
      </c>
      <c r="O468" s="139" t="s">
        <v>1509</v>
      </c>
      <c r="P468" s="139" t="s">
        <v>1317</v>
      </c>
    </row>
    <row r="469" spans="1:16">
      <c r="A469" s="104">
        <v>31</v>
      </c>
      <c r="B469" s="131">
        <v>46151</v>
      </c>
      <c r="C469" s="141">
        <v>20</v>
      </c>
      <c r="D469" s="140" t="str">
        <f>IF(ISERROR(VLOOKUP(C469,'[1]خريطة الحسابات'!_xlnm.Print_Area,3,FALSE))," ",(VLOOKUP(C469,'[1]خريطة الحسابات'!_xlnm.Print_Area,3,FALSE)))</f>
        <v xml:space="preserve">الخزينة </v>
      </c>
      <c r="E469" s="132"/>
      <c r="F469" s="133"/>
      <c r="G469" s="133">
        <v>6006</v>
      </c>
      <c r="H469" s="134">
        <f t="shared" si="18"/>
        <v>0</v>
      </c>
      <c r="I469" s="134">
        <f t="shared" si="18"/>
        <v>6006</v>
      </c>
      <c r="J469" s="134">
        <f t="shared" si="19"/>
        <v>-6006</v>
      </c>
      <c r="K469" s="135"/>
      <c r="L469" s="136" t="str">
        <f t="shared" si="20"/>
        <v>دائن</v>
      </c>
      <c r="M469" s="137" t="str">
        <f>IF(ISERROR(VLOOKUP(C469,'[1]خريطة الحسابات'!_xlnm.Print_Area,4,FALSE))," ",(VLOOKUP(C469,'[1]خريطة الحسابات'!_xlnm.Print_Area,4,FALSE)))</f>
        <v xml:space="preserve">أصول متداوله -النقدية ومافي حكمها </v>
      </c>
      <c r="N469" s="138" t="str">
        <f>IF(ISERROR(VLOOKUP(C469,'[1]خريطة الحسابات'!_xlnm.Print_Area,5,FALSE))," ",(VLOOKUP(C469,'[1]خريطة الحسابات'!_xlnm.Print_Area,5,FALSE)))</f>
        <v>الاصول</v>
      </c>
      <c r="O469" s="139" t="s">
        <v>1504</v>
      </c>
      <c r="P469" s="139" t="s">
        <v>1317</v>
      </c>
    </row>
    <row r="470" spans="1:16">
      <c r="A470" s="104">
        <v>31</v>
      </c>
      <c r="B470" s="131">
        <v>46153</v>
      </c>
      <c r="C470" s="141">
        <v>20</v>
      </c>
      <c r="D470" s="140" t="str">
        <f>IF(ISERROR(VLOOKUP(C470,'[1]خريطة الحسابات'!_xlnm.Print_Area,3,FALSE))," ",(VLOOKUP(C470,'[1]خريطة الحسابات'!_xlnm.Print_Area,3,FALSE)))</f>
        <v xml:space="preserve">الخزينة </v>
      </c>
      <c r="E470" s="132"/>
      <c r="F470" s="133"/>
      <c r="G470" s="133">
        <v>5000</v>
      </c>
      <c r="H470" s="134">
        <f t="shared" si="18"/>
        <v>0</v>
      </c>
      <c r="I470" s="134">
        <f t="shared" si="18"/>
        <v>5000</v>
      </c>
      <c r="J470" s="134">
        <f t="shared" si="19"/>
        <v>-5000</v>
      </c>
      <c r="K470" s="135"/>
      <c r="L470" s="136" t="str">
        <f t="shared" si="20"/>
        <v>دائن</v>
      </c>
      <c r="M470" s="137" t="str">
        <f>IF(ISERROR(VLOOKUP(C470,'[1]خريطة الحسابات'!_xlnm.Print_Area,4,FALSE))," ",(VLOOKUP(C470,'[1]خريطة الحسابات'!_xlnm.Print_Area,4,FALSE)))</f>
        <v xml:space="preserve">أصول متداوله -النقدية ومافي حكمها </v>
      </c>
      <c r="N470" s="138" t="str">
        <f>IF(ISERROR(VLOOKUP(C470,'[1]خريطة الحسابات'!_xlnm.Print_Area,5,FALSE))," ",(VLOOKUP(C470,'[1]خريطة الحسابات'!_xlnm.Print_Area,5,FALSE)))</f>
        <v>الاصول</v>
      </c>
      <c r="O470" s="139" t="s">
        <v>1505</v>
      </c>
      <c r="P470" s="139" t="s">
        <v>1489</v>
      </c>
    </row>
    <row r="471" spans="1:16">
      <c r="A471" s="104">
        <v>31</v>
      </c>
      <c r="B471" s="131">
        <v>46156</v>
      </c>
      <c r="C471" s="141">
        <v>20</v>
      </c>
      <c r="D471" s="140" t="str">
        <f>IF(ISERROR(VLOOKUP(C471,'[1]خريطة الحسابات'!_xlnm.Print_Area,3,FALSE))," ",(VLOOKUP(C471,'[1]خريطة الحسابات'!_xlnm.Print_Area,3,FALSE)))</f>
        <v xml:space="preserve">الخزينة </v>
      </c>
      <c r="E471" s="132"/>
      <c r="F471" s="133"/>
      <c r="G471" s="133">
        <v>8608</v>
      </c>
      <c r="H471" s="134">
        <f t="shared" si="18"/>
        <v>0</v>
      </c>
      <c r="I471" s="134">
        <f t="shared" si="18"/>
        <v>8608</v>
      </c>
      <c r="J471" s="134">
        <f t="shared" si="19"/>
        <v>-8608</v>
      </c>
      <c r="K471" s="135"/>
      <c r="L471" s="136" t="str">
        <f t="shared" si="20"/>
        <v>دائن</v>
      </c>
      <c r="M471" s="137" t="str">
        <f>IF(ISERROR(VLOOKUP(C471,'[1]خريطة الحسابات'!_xlnm.Print_Area,4,FALSE))," ",(VLOOKUP(C471,'[1]خريطة الحسابات'!_xlnm.Print_Area,4,FALSE)))</f>
        <v xml:space="preserve">أصول متداوله -النقدية ومافي حكمها </v>
      </c>
      <c r="N471" s="138" t="str">
        <f>IF(ISERROR(VLOOKUP(C471,'[1]خريطة الحسابات'!_xlnm.Print_Area,5,FALSE))," ",(VLOOKUP(C471,'[1]خريطة الحسابات'!_xlnm.Print_Area,5,FALSE)))</f>
        <v>الاصول</v>
      </c>
      <c r="O471" s="139" t="s">
        <v>1506</v>
      </c>
      <c r="P471" s="139" t="s">
        <v>1489</v>
      </c>
    </row>
    <row r="472" spans="1:16">
      <c r="A472" s="104">
        <v>31</v>
      </c>
      <c r="B472" s="131">
        <v>46162</v>
      </c>
      <c r="C472" s="141">
        <v>20</v>
      </c>
      <c r="D472" s="140" t="str">
        <f>IF(ISERROR(VLOOKUP(C472,'[1]خريطة الحسابات'!_xlnm.Print_Area,3,FALSE))," ",(VLOOKUP(C472,'[1]خريطة الحسابات'!_xlnm.Print_Area,3,FALSE)))</f>
        <v xml:space="preserve">الخزينة </v>
      </c>
      <c r="E472" s="132"/>
      <c r="F472" s="133"/>
      <c r="G472" s="133">
        <v>7557</v>
      </c>
      <c r="H472" s="134">
        <f t="shared" ref="H472:I536" si="21">IF($E472=2,F472*3.465,F472)</f>
        <v>0</v>
      </c>
      <c r="I472" s="134">
        <f t="shared" si="21"/>
        <v>7557</v>
      </c>
      <c r="J472" s="134">
        <f t="shared" ref="J472:J535" si="22">H472-I472</f>
        <v>-7557</v>
      </c>
      <c r="K472" s="135"/>
      <c r="L472" s="136" t="str">
        <f t="shared" si="20"/>
        <v>دائن</v>
      </c>
      <c r="M472" s="137" t="str">
        <f>IF(ISERROR(VLOOKUP(C472,'[1]خريطة الحسابات'!_xlnm.Print_Area,4,FALSE))," ",(VLOOKUP(C472,'[1]خريطة الحسابات'!_xlnm.Print_Area,4,FALSE)))</f>
        <v xml:space="preserve">أصول متداوله -النقدية ومافي حكمها </v>
      </c>
      <c r="N472" s="138" t="str">
        <f>IF(ISERROR(VLOOKUP(C472,'[1]خريطة الحسابات'!_xlnm.Print_Area,5,FALSE))," ",(VLOOKUP(C472,'[1]خريطة الحسابات'!_xlnm.Print_Area,5,FALSE)))</f>
        <v>الاصول</v>
      </c>
      <c r="O472" s="139" t="s">
        <v>1507</v>
      </c>
      <c r="P472" s="139" t="s">
        <v>1489</v>
      </c>
    </row>
    <row r="473" spans="1:16">
      <c r="A473" s="104">
        <v>31</v>
      </c>
      <c r="B473" s="131">
        <v>46163</v>
      </c>
      <c r="C473" s="141">
        <v>20</v>
      </c>
      <c r="D473" s="140" t="str">
        <f>IF(ISERROR(VLOOKUP(C473,'[1]خريطة الحسابات'!_xlnm.Print_Area,3,FALSE))," ",(VLOOKUP(C473,'[1]خريطة الحسابات'!_xlnm.Print_Area,3,FALSE)))</f>
        <v xml:space="preserve">الخزينة </v>
      </c>
      <c r="E473" s="132"/>
      <c r="F473" s="133"/>
      <c r="G473" s="133">
        <v>3455</v>
      </c>
      <c r="H473" s="134">
        <f t="shared" si="21"/>
        <v>0</v>
      </c>
      <c r="I473" s="134">
        <f t="shared" si="21"/>
        <v>3455</v>
      </c>
      <c r="J473" s="134">
        <f t="shared" si="22"/>
        <v>-3455</v>
      </c>
      <c r="K473" s="135"/>
      <c r="L473" s="136" t="str">
        <f t="shared" si="20"/>
        <v>دائن</v>
      </c>
      <c r="M473" s="137" t="str">
        <f>IF(ISERROR(VLOOKUP(C473,'[1]خريطة الحسابات'!_xlnm.Print_Area,4,FALSE))," ",(VLOOKUP(C473,'[1]خريطة الحسابات'!_xlnm.Print_Area,4,FALSE)))</f>
        <v xml:space="preserve">أصول متداوله -النقدية ومافي حكمها </v>
      </c>
      <c r="N473" s="138" t="str">
        <f>IF(ISERROR(VLOOKUP(C473,'[1]خريطة الحسابات'!_xlnm.Print_Area,5,FALSE))," ",(VLOOKUP(C473,'[1]خريطة الحسابات'!_xlnm.Print_Area,5,FALSE)))</f>
        <v>الاصول</v>
      </c>
      <c r="O473" s="139" t="s">
        <v>1508</v>
      </c>
      <c r="P473" s="139" t="s">
        <v>1489</v>
      </c>
    </row>
    <row r="474" spans="1:16">
      <c r="A474" s="104">
        <v>31</v>
      </c>
      <c r="B474" s="131">
        <v>46163</v>
      </c>
      <c r="C474" s="141">
        <v>20</v>
      </c>
      <c r="D474" s="140" t="str">
        <f>IF(ISERROR(VLOOKUP(C474,'[1]خريطة الحسابات'!_xlnm.Print_Area,3,FALSE))," ",(VLOOKUP(C474,'[1]خريطة الحسابات'!_xlnm.Print_Area,3,FALSE)))</f>
        <v xml:space="preserve">الخزينة </v>
      </c>
      <c r="E474" s="132"/>
      <c r="F474" s="133"/>
      <c r="G474" s="133">
        <v>4000</v>
      </c>
      <c r="H474" s="134">
        <f t="shared" si="21"/>
        <v>0</v>
      </c>
      <c r="I474" s="134">
        <f t="shared" si="21"/>
        <v>4000</v>
      </c>
      <c r="J474" s="134">
        <f t="shared" si="22"/>
        <v>-4000</v>
      </c>
      <c r="K474" s="135"/>
      <c r="L474" s="136" t="str">
        <f t="shared" ref="L474:L538" si="23">IF(J474&lt;0,"دائن",IF(J474&gt;0,"مدين",""))</f>
        <v>دائن</v>
      </c>
      <c r="M474" s="137" t="str">
        <f>IF(ISERROR(VLOOKUP(C474,'[1]خريطة الحسابات'!_xlnm.Print_Area,4,FALSE))," ",(VLOOKUP(C474,'[1]خريطة الحسابات'!_xlnm.Print_Area,4,FALSE)))</f>
        <v xml:space="preserve">أصول متداوله -النقدية ومافي حكمها </v>
      </c>
      <c r="N474" s="138" t="str">
        <f>IF(ISERROR(VLOOKUP(C474,'[1]خريطة الحسابات'!_xlnm.Print_Area,5,FALSE))," ",(VLOOKUP(C474,'[1]خريطة الحسابات'!_xlnm.Print_Area,5,FALSE)))</f>
        <v>الاصول</v>
      </c>
      <c r="O474" s="139" t="s">
        <v>1509</v>
      </c>
      <c r="P474" s="139" t="s">
        <v>1317</v>
      </c>
    </row>
    <row r="475" spans="1:16">
      <c r="A475" s="104">
        <v>32</v>
      </c>
      <c r="B475" s="131">
        <v>46086</v>
      </c>
      <c r="C475" s="54">
        <v>4022</v>
      </c>
      <c r="D475" s="140" t="str">
        <f>IF(ISERROR(VLOOKUP(C475,'[1]خريطة الحسابات'!_xlnm.Print_Area,3,FALSE))," ",(VLOOKUP(C475,'[1]خريطة الحسابات'!_xlnm.Print_Area,3,FALSE)))</f>
        <v>عمرو النقاش</v>
      </c>
      <c r="E475" s="132"/>
      <c r="F475" s="133">
        <v>5000</v>
      </c>
      <c r="G475" s="133"/>
      <c r="H475" s="134">
        <f t="shared" si="21"/>
        <v>5000</v>
      </c>
      <c r="I475" s="134">
        <f t="shared" si="21"/>
        <v>0</v>
      </c>
      <c r="J475" s="134">
        <f t="shared" si="22"/>
        <v>5000</v>
      </c>
      <c r="K475" s="135"/>
      <c r="L475" s="136" t="str">
        <f t="shared" si="23"/>
        <v>مدين</v>
      </c>
      <c r="M475" s="137" t="str">
        <f>IF(ISERROR(VLOOKUP(C475,'[1]خريطة الحسابات'!_xlnm.Print_Area,4,FALSE))," ",(VLOOKUP(C475,'[1]خريطة الحسابات'!_xlnm.Print_Area,4,FALSE)))</f>
        <v xml:space="preserve">مقاولين </v>
      </c>
      <c r="N475" s="138" t="str">
        <f>IF(ISERROR(VLOOKUP(C475,'[1]خريطة الحسابات'!_xlnm.Print_Area,5,FALSE))," ",(VLOOKUP(C475,'[1]خريطة الحسابات'!_xlnm.Print_Area,5,FALSE)))</f>
        <v xml:space="preserve">الدائنون والأرصدة الدائنة الأخرى </v>
      </c>
      <c r="O475" s="139" t="s">
        <v>1510</v>
      </c>
      <c r="P475" s="139" t="s">
        <v>1292</v>
      </c>
    </row>
    <row r="476" spans="1:16">
      <c r="A476" s="104">
        <v>32</v>
      </c>
      <c r="B476" s="131">
        <v>46093</v>
      </c>
      <c r="C476" s="54">
        <v>4022</v>
      </c>
      <c r="D476" s="140" t="str">
        <f>IF(ISERROR(VLOOKUP(C476,'[1]خريطة الحسابات'!_xlnm.Print_Area,3,FALSE))," ",(VLOOKUP(C476,'[1]خريطة الحسابات'!_xlnm.Print_Area,3,FALSE)))</f>
        <v>عمرو النقاش</v>
      </c>
      <c r="E476" s="132"/>
      <c r="F476" s="133">
        <v>9009</v>
      </c>
      <c r="G476" s="133"/>
      <c r="H476" s="134">
        <f t="shared" si="21"/>
        <v>9009</v>
      </c>
      <c r="I476" s="134">
        <f t="shared" si="21"/>
        <v>0</v>
      </c>
      <c r="J476" s="134">
        <f t="shared" si="22"/>
        <v>9009</v>
      </c>
      <c r="K476" s="135"/>
      <c r="L476" s="136" t="str">
        <f t="shared" si="23"/>
        <v>مدين</v>
      </c>
      <c r="M476" s="137" t="str">
        <f>IF(ISERROR(VLOOKUP(C476,'[1]خريطة الحسابات'!_xlnm.Print_Area,4,FALSE))," ",(VLOOKUP(C476,'[1]خريطة الحسابات'!_xlnm.Print_Area,4,FALSE)))</f>
        <v xml:space="preserve">مقاولين </v>
      </c>
      <c r="N476" s="138" t="str">
        <f>IF(ISERROR(VLOOKUP(C476,'[1]خريطة الحسابات'!_xlnm.Print_Area,5,FALSE))," ",(VLOOKUP(C476,'[1]خريطة الحسابات'!_xlnm.Print_Area,5,FALSE)))</f>
        <v xml:space="preserve">الدائنون والأرصدة الدائنة الأخرى </v>
      </c>
      <c r="O476" s="139" t="s">
        <v>1511</v>
      </c>
      <c r="P476" s="139" t="s">
        <v>1292</v>
      </c>
    </row>
    <row r="477" spans="1:16">
      <c r="A477" s="104">
        <v>32</v>
      </c>
      <c r="B477" s="131">
        <v>46099</v>
      </c>
      <c r="C477" s="54">
        <v>4022</v>
      </c>
      <c r="D477" s="140" t="str">
        <f>IF(ISERROR(VLOOKUP(C477,'[1]خريطة الحسابات'!_xlnm.Print_Area,3,FALSE))," ",(VLOOKUP(C477,'[1]خريطة الحسابات'!_xlnm.Print_Area,3,FALSE)))</f>
        <v>عمرو النقاش</v>
      </c>
      <c r="E477" s="132"/>
      <c r="F477" s="133">
        <v>12012</v>
      </c>
      <c r="G477" s="133"/>
      <c r="H477" s="134">
        <f t="shared" si="21"/>
        <v>12012</v>
      </c>
      <c r="I477" s="134">
        <f t="shared" si="21"/>
        <v>0</v>
      </c>
      <c r="J477" s="134">
        <f t="shared" si="22"/>
        <v>12012</v>
      </c>
      <c r="K477" s="135"/>
      <c r="L477" s="136" t="str">
        <f t="shared" si="23"/>
        <v>مدين</v>
      </c>
      <c r="M477" s="137" t="str">
        <f>IF(ISERROR(VLOOKUP(C477,'[1]خريطة الحسابات'!_xlnm.Print_Area,4,FALSE))," ",(VLOOKUP(C477,'[1]خريطة الحسابات'!_xlnm.Print_Area,4,FALSE)))</f>
        <v xml:space="preserve">مقاولين </v>
      </c>
      <c r="N477" s="138" t="str">
        <f>IF(ISERROR(VLOOKUP(C477,'[1]خريطة الحسابات'!_xlnm.Print_Area,5,FALSE))," ",(VLOOKUP(C477,'[1]خريطة الحسابات'!_xlnm.Print_Area,5,FALSE)))</f>
        <v xml:space="preserve">الدائنون والأرصدة الدائنة الأخرى </v>
      </c>
      <c r="O477" s="139" t="s">
        <v>1512</v>
      </c>
      <c r="P477" s="139" t="s">
        <v>1292</v>
      </c>
    </row>
    <row r="478" spans="1:16">
      <c r="A478" s="104">
        <v>32</v>
      </c>
      <c r="B478" s="131">
        <v>46099</v>
      </c>
      <c r="C478" s="54">
        <v>4022</v>
      </c>
      <c r="D478" s="140" t="str">
        <f>IF(ISERROR(VLOOKUP(C478,'[1]خريطة الحسابات'!_xlnm.Print_Area,3,FALSE))," ",(VLOOKUP(C478,'[1]خريطة الحسابات'!_xlnm.Print_Area,3,FALSE)))</f>
        <v>عمرو النقاش</v>
      </c>
      <c r="E478" s="132"/>
      <c r="F478" s="133">
        <v>1500</v>
      </c>
      <c r="G478" s="133"/>
      <c r="H478" s="134">
        <f t="shared" si="21"/>
        <v>1500</v>
      </c>
      <c r="I478" s="134">
        <f t="shared" si="21"/>
        <v>0</v>
      </c>
      <c r="J478" s="134">
        <f t="shared" si="22"/>
        <v>1500</v>
      </c>
      <c r="K478" s="135"/>
      <c r="L478" s="136" t="str">
        <f t="shared" si="23"/>
        <v>مدين</v>
      </c>
      <c r="M478" s="137" t="str">
        <f>IF(ISERROR(VLOOKUP(C478,'[1]خريطة الحسابات'!_xlnm.Print_Area,4,FALSE))," ",(VLOOKUP(C478,'[1]خريطة الحسابات'!_xlnm.Print_Area,4,FALSE)))</f>
        <v xml:space="preserve">مقاولين </v>
      </c>
      <c r="N478" s="138" t="str">
        <f>IF(ISERROR(VLOOKUP(C478,'[1]خريطة الحسابات'!_xlnm.Print_Area,5,FALSE))," ",(VLOOKUP(C478,'[1]خريطة الحسابات'!_xlnm.Print_Area,5,FALSE)))</f>
        <v xml:space="preserve">الدائنون والأرصدة الدائنة الأخرى </v>
      </c>
      <c r="O478" s="139" t="s">
        <v>1513</v>
      </c>
      <c r="P478" s="139" t="s">
        <v>1304</v>
      </c>
    </row>
    <row r="479" spans="1:16">
      <c r="A479" s="104">
        <v>32</v>
      </c>
      <c r="B479" s="131">
        <v>46117</v>
      </c>
      <c r="C479" s="54">
        <v>4022</v>
      </c>
      <c r="D479" s="140" t="str">
        <f>IF(ISERROR(VLOOKUP(C479,'[1]خريطة الحسابات'!_xlnm.Print_Area,3,FALSE))," ",(VLOOKUP(C479,'[1]خريطة الحسابات'!_xlnm.Print_Area,3,FALSE)))</f>
        <v>عمرو النقاش</v>
      </c>
      <c r="E479" s="132"/>
      <c r="F479" s="133">
        <v>15015</v>
      </c>
      <c r="G479" s="133"/>
      <c r="H479" s="134">
        <f t="shared" si="21"/>
        <v>15015</v>
      </c>
      <c r="I479" s="134">
        <f t="shared" si="21"/>
        <v>0</v>
      </c>
      <c r="J479" s="134">
        <f t="shared" si="22"/>
        <v>15015</v>
      </c>
      <c r="K479" s="135"/>
      <c r="L479" s="136" t="str">
        <f t="shared" si="23"/>
        <v>مدين</v>
      </c>
      <c r="M479" s="137" t="str">
        <f>IF(ISERROR(VLOOKUP(C479,'[1]خريطة الحسابات'!_xlnm.Print_Area,4,FALSE))," ",(VLOOKUP(C479,'[1]خريطة الحسابات'!_xlnm.Print_Area,4,FALSE)))</f>
        <v xml:space="preserve">مقاولين </v>
      </c>
      <c r="N479" s="138" t="str">
        <f>IF(ISERROR(VLOOKUP(C479,'[1]خريطة الحسابات'!_xlnm.Print_Area,5,FALSE))," ",(VLOOKUP(C479,'[1]خريطة الحسابات'!_xlnm.Print_Area,5,FALSE)))</f>
        <v xml:space="preserve">الدائنون والأرصدة الدائنة الأخرى </v>
      </c>
      <c r="O479" s="139" t="s">
        <v>1514</v>
      </c>
      <c r="P479" s="139" t="s">
        <v>1292</v>
      </c>
    </row>
    <row r="480" spans="1:16">
      <c r="A480" s="104">
        <v>32</v>
      </c>
      <c r="B480" s="131">
        <v>46121</v>
      </c>
      <c r="C480" s="54">
        <v>4022</v>
      </c>
      <c r="D480" s="140" t="str">
        <f>IF(ISERROR(VLOOKUP(C480,'[1]خريطة الحسابات'!_xlnm.Print_Area,3,FALSE))," ",(VLOOKUP(C480,'[1]خريطة الحسابات'!_xlnm.Print_Area,3,FALSE)))</f>
        <v>عمرو النقاش</v>
      </c>
      <c r="E480" s="132"/>
      <c r="F480" s="133">
        <v>12010</v>
      </c>
      <c r="G480" s="133"/>
      <c r="H480" s="134">
        <f t="shared" si="21"/>
        <v>12010</v>
      </c>
      <c r="I480" s="134">
        <f t="shared" si="21"/>
        <v>0</v>
      </c>
      <c r="J480" s="134">
        <f t="shared" si="22"/>
        <v>12010</v>
      </c>
      <c r="K480" s="135"/>
      <c r="L480" s="136" t="str">
        <f t="shared" si="23"/>
        <v>مدين</v>
      </c>
      <c r="M480" s="137" t="str">
        <f>IF(ISERROR(VLOOKUP(C480,'[1]خريطة الحسابات'!_xlnm.Print_Area,4,FALSE))," ",(VLOOKUP(C480,'[1]خريطة الحسابات'!_xlnm.Print_Area,4,FALSE)))</f>
        <v xml:space="preserve">مقاولين </v>
      </c>
      <c r="N480" s="138" t="str">
        <f>IF(ISERROR(VLOOKUP(C480,'[1]خريطة الحسابات'!_xlnm.Print_Area,5,FALSE))," ",(VLOOKUP(C480,'[1]خريطة الحسابات'!_xlnm.Print_Area,5,FALSE)))</f>
        <v xml:space="preserve">الدائنون والأرصدة الدائنة الأخرى </v>
      </c>
      <c r="O480" s="139" t="s">
        <v>1515</v>
      </c>
      <c r="P480" s="139" t="s">
        <v>1315</v>
      </c>
    </row>
    <row r="481" spans="1:16">
      <c r="A481" s="104">
        <v>32</v>
      </c>
      <c r="B481" s="131">
        <v>46128</v>
      </c>
      <c r="C481" s="54">
        <v>4022</v>
      </c>
      <c r="D481" s="140" t="str">
        <f>IF(ISERROR(VLOOKUP(C481,'[1]خريطة الحسابات'!_xlnm.Print_Area,3,FALSE))," ",(VLOOKUP(C481,'[1]خريطة الحسابات'!_xlnm.Print_Area,3,FALSE)))</f>
        <v>عمرو النقاش</v>
      </c>
      <c r="E481" s="132"/>
      <c r="F481" s="133">
        <v>10010</v>
      </c>
      <c r="G481" s="133"/>
      <c r="H481" s="134">
        <f t="shared" si="21"/>
        <v>10010</v>
      </c>
      <c r="I481" s="134">
        <f t="shared" si="21"/>
        <v>0</v>
      </c>
      <c r="J481" s="134">
        <f t="shared" si="22"/>
        <v>10010</v>
      </c>
      <c r="K481" s="135"/>
      <c r="L481" s="136" t="str">
        <f t="shared" si="23"/>
        <v>مدين</v>
      </c>
      <c r="M481" s="137" t="str">
        <f>IF(ISERROR(VLOOKUP(C481,'[1]خريطة الحسابات'!_xlnm.Print_Area,4,FALSE))," ",(VLOOKUP(C481,'[1]خريطة الحسابات'!_xlnm.Print_Area,4,FALSE)))</f>
        <v xml:space="preserve">مقاولين </v>
      </c>
      <c r="N481" s="138" t="str">
        <f>IF(ISERROR(VLOOKUP(C481,'[1]خريطة الحسابات'!_xlnm.Print_Area,5,FALSE))," ",(VLOOKUP(C481,'[1]خريطة الحسابات'!_xlnm.Print_Area,5,FALSE)))</f>
        <v xml:space="preserve">الدائنون والأرصدة الدائنة الأخرى </v>
      </c>
      <c r="O481" s="139" t="s">
        <v>1515</v>
      </c>
      <c r="P481" s="139" t="s">
        <v>1315</v>
      </c>
    </row>
    <row r="482" spans="1:16">
      <c r="A482" s="104">
        <v>32</v>
      </c>
      <c r="B482" s="131">
        <v>46135</v>
      </c>
      <c r="C482" s="54">
        <v>4022</v>
      </c>
      <c r="D482" s="140" t="str">
        <f>IF(ISERROR(VLOOKUP(C482,'[1]خريطة الحسابات'!_xlnm.Print_Area,3,FALSE))," ",(VLOOKUP(C482,'[1]خريطة الحسابات'!_xlnm.Print_Area,3,FALSE)))</f>
        <v>عمرو النقاش</v>
      </c>
      <c r="E482" s="132"/>
      <c r="F482" s="133">
        <v>10010</v>
      </c>
      <c r="G482" s="133"/>
      <c r="H482" s="134">
        <f t="shared" si="21"/>
        <v>10010</v>
      </c>
      <c r="I482" s="134">
        <f t="shared" si="21"/>
        <v>0</v>
      </c>
      <c r="J482" s="134">
        <f t="shared" si="22"/>
        <v>10010</v>
      </c>
      <c r="K482" s="135"/>
      <c r="L482" s="136" t="str">
        <f t="shared" si="23"/>
        <v>مدين</v>
      </c>
      <c r="M482" s="137" t="str">
        <f>IF(ISERROR(VLOOKUP(C482,'[1]خريطة الحسابات'!_xlnm.Print_Area,4,FALSE))," ",(VLOOKUP(C482,'[1]خريطة الحسابات'!_xlnm.Print_Area,4,FALSE)))</f>
        <v xml:space="preserve">مقاولين </v>
      </c>
      <c r="N482" s="138" t="str">
        <f>IF(ISERROR(VLOOKUP(C482,'[1]خريطة الحسابات'!_xlnm.Print_Area,5,FALSE))," ",(VLOOKUP(C482,'[1]خريطة الحسابات'!_xlnm.Print_Area,5,FALSE)))</f>
        <v xml:space="preserve">الدائنون والأرصدة الدائنة الأخرى </v>
      </c>
      <c r="O482" s="139" t="s">
        <v>1515</v>
      </c>
      <c r="P482" s="139" t="s">
        <v>1315</v>
      </c>
    </row>
    <row r="483" spans="1:16">
      <c r="A483" s="104">
        <v>32</v>
      </c>
      <c r="B483" s="131">
        <v>46156</v>
      </c>
      <c r="C483" s="54">
        <v>4022</v>
      </c>
      <c r="D483" s="140" t="str">
        <f>IF(ISERROR(VLOOKUP(C483,'[1]خريطة الحسابات'!_xlnm.Print_Area,3,FALSE))," ",(VLOOKUP(C483,'[1]خريطة الحسابات'!_xlnm.Print_Area,3,FALSE)))</f>
        <v>عمرو النقاش</v>
      </c>
      <c r="E483" s="132"/>
      <c r="F483" s="133">
        <v>500</v>
      </c>
      <c r="G483" s="133"/>
      <c r="H483" s="134">
        <f t="shared" si="21"/>
        <v>500</v>
      </c>
      <c r="I483" s="134">
        <f t="shared" si="21"/>
        <v>0</v>
      </c>
      <c r="J483" s="134">
        <f t="shared" si="22"/>
        <v>500</v>
      </c>
      <c r="K483" s="135"/>
      <c r="L483" s="136" t="str">
        <f t="shared" si="23"/>
        <v>مدين</v>
      </c>
      <c r="M483" s="137" t="str">
        <f>IF(ISERROR(VLOOKUP(C483,'[1]خريطة الحسابات'!_xlnm.Print_Area,4,FALSE))," ",(VLOOKUP(C483,'[1]خريطة الحسابات'!_xlnm.Print_Area,4,FALSE)))</f>
        <v xml:space="preserve">مقاولين </v>
      </c>
      <c r="N483" s="138" t="str">
        <f>IF(ISERROR(VLOOKUP(C483,'[1]خريطة الحسابات'!_xlnm.Print_Area,5,FALSE))," ",(VLOOKUP(C483,'[1]خريطة الحسابات'!_xlnm.Print_Area,5,FALSE)))</f>
        <v xml:space="preserve">الدائنون والأرصدة الدائنة الأخرى </v>
      </c>
      <c r="O483" s="139" t="s">
        <v>1516</v>
      </c>
      <c r="P483" s="139" t="s">
        <v>1292</v>
      </c>
    </row>
    <row r="484" spans="1:16">
      <c r="A484" s="104">
        <v>32</v>
      </c>
      <c r="B484" s="131">
        <v>46156</v>
      </c>
      <c r="C484" s="54">
        <v>4022</v>
      </c>
      <c r="D484" s="140" t="str">
        <f>IF(ISERROR(VLOOKUP(C484,'[1]خريطة الحسابات'!_xlnm.Print_Area,3,FALSE))," ",(VLOOKUP(C484,'[1]خريطة الحسابات'!_xlnm.Print_Area,3,FALSE)))</f>
        <v>عمرو النقاش</v>
      </c>
      <c r="E484" s="132"/>
      <c r="F484" s="133">
        <v>500</v>
      </c>
      <c r="G484" s="133"/>
      <c r="H484" s="134">
        <f t="shared" si="21"/>
        <v>500</v>
      </c>
      <c r="I484" s="134">
        <f t="shared" si="21"/>
        <v>0</v>
      </c>
      <c r="J484" s="134">
        <f t="shared" si="22"/>
        <v>500</v>
      </c>
      <c r="K484" s="135"/>
      <c r="L484" s="136" t="str">
        <f t="shared" si="23"/>
        <v>مدين</v>
      </c>
      <c r="M484" s="137" t="str">
        <f>IF(ISERROR(VLOOKUP(C484,'[1]خريطة الحسابات'!_xlnm.Print_Area,4,FALSE))," ",(VLOOKUP(C484,'[1]خريطة الحسابات'!_xlnm.Print_Area,4,FALSE)))</f>
        <v xml:space="preserve">مقاولين </v>
      </c>
      <c r="N484" s="138" t="str">
        <f>IF(ISERROR(VLOOKUP(C484,'[1]خريطة الحسابات'!_xlnm.Print_Area,5,FALSE))," ",(VLOOKUP(C484,'[1]خريطة الحسابات'!_xlnm.Print_Area,5,FALSE)))</f>
        <v xml:space="preserve">الدائنون والأرصدة الدائنة الأخرى </v>
      </c>
      <c r="O484" s="139" t="s">
        <v>1517</v>
      </c>
      <c r="P484" s="139" t="s">
        <v>1317</v>
      </c>
    </row>
    <row r="485" spans="1:16">
      <c r="A485" s="104">
        <v>32</v>
      </c>
      <c r="B485" s="131">
        <v>46163</v>
      </c>
      <c r="C485" s="54">
        <v>4022</v>
      </c>
      <c r="D485" s="140" t="str">
        <f>IF(ISERROR(VLOOKUP(C485,'[1]خريطة الحسابات'!_xlnm.Print_Area,3,FALSE))," ",(VLOOKUP(C485,'[1]خريطة الحسابات'!_xlnm.Print_Area,3,FALSE)))</f>
        <v>عمرو النقاش</v>
      </c>
      <c r="E485" s="132"/>
      <c r="F485" s="133">
        <v>10000</v>
      </c>
      <c r="G485" s="133"/>
      <c r="H485" s="134">
        <f t="shared" si="21"/>
        <v>10000</v>
      </c>
      <c r="I485" s="134">
        <f t="shared" si="21"/>
        <v>0</v>
      </c>
      <c r="J485" s="134">
        <f t="shared" si="22"/>
        <v>10000</v>
      </c>
      <c r="K485" s="135"/>
      <c r="L485" s="136" t="str">
        <f t="shared" si="23"/>
        <v>مدين</v>
      </c>
      <c r="M485" s="137" t="str">
        <f>IF(ISERROR(VLOOKUP(C485,'[1]خريطة الحسابات'!_xlnm.Print_Area,4,FALSE))," ",(VLOOKUP(C485,'[1]خريطة الحسابات'!_xlnm.Print_Area,4,FALSE)))</f>
        <v xml:space="preserve">مقاولين </v>
      </c>
      <c r="N485" s="138" t="str">
        <f>IF(ISERROR(VLOOKUP(C485,'[1]خريطة الحسابات'!_xlnm.Print_Area,5,FALSE))," ",(VLOOKUP(C485,'[1]خريطة الحسابات'!_xlnm.Print_Area,5,FALSE)))</f>
        <v xml:space="preserve">الدائنون والأرصدة الدائنة الأخرى </v>
      </c>
      <c r="O485" s="139" t="s">
        <v>1515</v>
      </c>
      <c r="P485" s="139" t="s">
        <v>1315</v>
      </c>
    </row>
    <row r="486" spans="1:16">
      <c r="A486" s="104">
        <v>32</v>
      </c>
      <c r="B486" s="131">
        <v>46166</v>
      </c>
      <c r="C486" s="54">
        <v>4022</v>
      </c>
      <c r="D486" s="140" t="str">
        <f>IF(ISERROR(VLOOKUP(C486,'[1]خريطة الحسابات'!_xlnm.Print_Area,3,FALSE))," ",(VLOOKUP(C486,'[1]خريطة الحسابات'!_xlnm.Print_Area,3,FALSE)))</f>
        <v>عمرو النقاش</v>
      </c>
      <c r="E486" s="132"/>
      <c r="F486" s="133">
        <v>4000</v>
      </c>
      <c r="G486" s="133"/>
      <c r="H486" s="134">
        <f t="shared" si="21"/>
        <v>4000</v>
      </c>
      <c r="I486" s="134">
        <f t="shared" si="21"/>
        <v>0</v>
      </c>
      <c r="J486" s="134">
        <f t="shared" si="22"/>
        <v>4000</v>
      </c>
      <c r="K486" s="135"/>
      <c r="L486" s="136" t="str">
        <f t="shared" si="23"/>
        <v>مدين</v>
      </c>
      <c r="M486" s="137" t="str">
        <f>IF(ISERROR(VLOOKUP(C486,'[1]خريطة الحسابات'!_xlnm.Print_Area,4,FALSE))," ",(VLOOKUP(C486,'[1]خريطة الحسابات'!_xlnm.Print_Area,4,FALSE)))</f>
        <v xml:space="preserve">مقاولين </v>
      </c>
      <c r="N486" s="138" t="str">
        <f>IF(ISERROR(VLOOKUP(C486,'[1]خريطة الحسابات'!_xlnm.Print_Area,5,FALSE))," ",(VLOOKUP(C486,'[1]خريطة الحسابات'!_xlnm.Print_Area,5,FALSE)))</f>
        <v xml:space="preserve">الدائنون والأرصدة الدائنة الأخرى </v>
      </c>
      <c r="O486" s="139" t="s">
        <v>1518</v>
      </c>
      <c r="P486" s="139" t="s">
        <v>1315</v>
      </c>
    </row>
    <row r="487" spans="1:16">
      <c r="A487" s="104">
        <v>32</v>
      </c>
      <c r="B487" s="131">
        <v>46179</v>
      </c>
      <c r="C487" s="54">
        <v>4022</v>
      </c>
      <c r="D487" s="140" t="str">
        <f>IF(ISERROR(VLOOKUP(C487,'[1]خريطة الحسابات'!_xlnm.Print_Area,3,FALSE))," ",(VLOOKUP(C487,'[1]خريطة الحسابات'!_xlnm.Print_Area,3,FALSE)))</f>
        <v>عمرو النقاش</v>
      </c>
      <c r="E487" s="132"/>
      <c r="F487" s="133">
        <v>1500</v>
      </c>
      <c r="G487" s="133"/>
      <c r="H487" s="134">
        <f t="shared" si="21"/>
        <v>1500</v>
      </c>
      <c r="I487" s="134">
        <f t="shared" si="21"/>
        <v>0</v>
      </c>
      <c r="J487" s="134">
        <f t="shared" si="22"/>
        <v>1500</v>
      </c>
      <c r="K487" s="135"/>
      <c r="L487" s="136" t="str">
        <f t="shared" si="23"/>
        <v>مدين</v>
      </c>
      <c r="M487" s="137" t="str">
        <f>IF(ISERROR(VLOOKUP(C487,'[1]خريطة الحسابات'!_xlnm.Print_Area,4,FALSE))," ",(VLOOKUP(C487,'[1]خريطة الحسابات'!_xlnm.Print_Area,4,FALSE)))</f>
        <v xml:space="preserve">مقاولين </v>
      </c>
      <c r="N487" s="138" t="str">
        <f>IF(ISERROR(VLOOKUP(C487,'[1]خريطة الحسابات'!_xlnm.Print_Area,5,FALSE))," ",(VLOOKUP(C487,'[1]خريطة الحسابات'!_xlnm.Print_Area,5,FALSE)))</f>
        <v xml:space="preserve">الدائنون والأرصدة الدائنة الأخرى </v>
      </c>
      <c r="O487" s="139" t="s">
        <v>1519</v>
      </c>
      <c r="P487" s="139" t="s">
        <v>1304</v>
      </c>
    </row>
    <row r="488" spans="1:16">
      <c r="A488" s="104">
        <v>32</v>
      </c>
      <c r="B488" s="131">
        <v>46179</v>
      </c>
      <c r="C488" s="54">
        <v>4022</v>
      </c>
      <c r="D488" s="140" t="str">
        <f>IF(ISERROR(VLOOKUP(C488,'[1]خريطة الحسابات'!_xlnm.Print_Area,3,FALSE))," ",(VLOOKUP(C488,'[1]خريطة الحسابات'!_xlnm.Print_Area,3,FALSE)))</f>
        <v>عمرو النقاش</v>
      </c>
      <c r="E488" s="132"/>
      <c r="F488" s="133">
        <v>2500</v>
      </c>
      <c r="G488" s="133"/>
      <c r="H488" s="134">
        <f t="shared" si="21"/>
        <v>2500</v>
      </c>
      <c r="I488" s="134">
        <f t="shared" si="21"/>
        <v>0</v>
      </c>
      <c r="J488" s="134">
        <f t="shared" si="22"/>
        <v>2500</v>
      </c>
      <c r="K488" s="135"/>
      <c r="L488" s="136" t="str">
        <f t="shared" si="23"/>
        <v>مدين</v>
      </c>
      <c r="M488" s="137" t="str">
        <f>IF(ISERROR(VLOOKUP(C488,'[1]خريطة الحسابات'!_xlnm.Print_Area,4,FALSE))," ",(VLOOKUP(C488,'[1]خريطة الحسابات'!_xlnm.Print_Area,4,FALSE)))</f>
        <v xml:space="preserve">مقاولين </v>
      </c>
      <c r="N488" s="138" t="str">
        <f>IF(ISERROR(VLOOKUP(C488,'[1]خريطة الحسابات'!_xlnm.Print_Area,5,FALSE))," ",(VLOOKUP(C488,'[1]خريطة الحسابات'!_xlnm.Print_Area,5,FALSE)))</f>
        <v xml:space="preserve">الدائنون والأرصدة الدائنة الأخرى </v>
      </c>
      <c r="O488" s="84" t="s">
        <v>1520</v>
      </c>
      <c r="P488" s="84" t="s">
        <v>1297</v>
      </c>
    </row>
    <row r="489" spans="1:16">
      <c r="A489" s="104">
        <v>32</v>
      </c>
      <c r="B489" s="131">
        <v>46184</v>
      </c>
      <c r="C489" s="54">
        <v>4022</v>
      </c>
      <c r="D489" s="140" t="str">
        <f>IF(ISERROR(VLOOKUP(C489,'[1]خريطة الحسابات'!_xlnm.Print_Area,3,FALSE))," ",(VLOOKUP(C489,'[1]خريطة الحسابات'!_xlnm.Print_Area,3,FALSE)))</f>
        <v>عمرو النقاش</v>
      </c>
      <c r="E489" s="132"/>
      <c r="F489" s="133">
        <v>10000</v>
      </c>
      <c r="G489" s="133"/>
      <c r="H489" s="134">
        <f t="shared" si="21"/>
        <v>10000</v>
      </c>
      <c r="I489" s="134">
        <f t="shared" si="21"/>
        <v>0</v>
      </c>
      <c r="J489" s="134">
        <f t="shared" si="22"/>
        <v>10000</v>
      </c>
      <c r="K489" s="135"/>
      <c r="L489" s="136" t="str">
        <f t="shared" si="23"/>
        <v>مدين</v>
      </c>
      <c r="M489" s="137" t="str">
        <f>IF(ISERROR(VLOOKUP(C489,'[1]خريطة الحسابات'!_xlnm.Print_Area,4,FALSE))," ",(VLOOKUP(C489,'[1]خريطة الحسابات'!_xlnm.Print_Area,4,FALSE)))</f>
        <v xml:space="preserve">مقاولين </v>
      </c>
      <c r="N489" s="138" t="str">
        <f>IF(ISERROR(VLOOKUP(C489,'[1]خريطة الحسابات'!_xlnm.Print_Area,5,FALSE))," ",(VLOOKUP(C489,'[1]خريطة الحسابات'!_xlnm.Print_Area,5,FALSE)))</f>
        <v xml:space="preserve">الدائنون والأرصدة الدائنة الأخرى </v>
      </c>
      <c r="O489" s="84" t="s">
        <v>1515</v>
      </c>
      <c r="P489" s="84" t="s">
        <v>1315</v>
      </c>
    </row>
    <row r="490" spans="1:16">
      <c r="A490" s="104">
        <v>32</v>
      </c>
      <c r="B490" s="131">
        <v>46086</v>
      </c>
      <c r="C490" s="141">
        <v>20</v>
      </c>
      <c r="D490" s="140" t="str">
        <f>IF(ISERROR(VLOOKUP(C490,'[1]خريطة الحسابات'!_xlnm.Print_Area,3,FALSE))," ",(VLOOKUP(C490,'[1]خريطة الحسابات'!_xlnm.Print_Area,3,FALSE)))</f>
        <v xml:space="preserve">الخزينة </v>
      </c>
      <c r="E490" s="132"/>
      <c r="F490" s="133"/>
      <c r="G490" s="133">
        <v>5000</v>
      </c>
      <c r="H490" s="134">
        <f t="shared" si="21"/>
        <v>0</v>
      </c>
      <c r="I490" s="134">
        <f t="shared" si="21"/>
        <v>5000</v>
      </c>
      <c r="J490" s="134">
        <f t="shared" si="22"/>
        <v>-5000</v>
      </c>
      <c r="K490" s="135"/>
      <c r="L490" s="136" t="str">
        <f t="shared" si="23"/>
        <v>دائن</v>
      </c>
      <c r="M490" s="137" t="str">
        <f>IF(ISERROR(VLOOKUP(C490,'[1]خريطة الحسابات'!_xlnm.Print_Area,4,FALSE))," ",(VLOOKUP(C490,'[1]خريطة الحسابات'!_xlnm.Print_Area,4,FALSE)))</f>
        <v xml:space="preserve">أصول متداوله -النقدية ومافي حكمها </v>
      </c>
      <c r="N490" s="138" t="str">
        <f>IF(ISERROR(VLOOKUP(C490,'[1]خريطة الحسابات'!_xlnm.Print_Area,5,FALSE))," ",(VLOOKUP(C490,'[1]خريطة الحسابات'!_xlnm.Print_Area,5,FALSE)))</f>
        <v>الاصول</v>
      </c>
      <c r="O490" s="139" t="s">
        <v>1510</v>
      </c>
      <c r="P490" s="139" t="s">
        <v>1292</v>
      </c>
    </row>
    <row r="491" spans="1:16">
      <c r="A491" s="104">
        <v>32</v>
      </c>
      <c r="B491" s="131">
        <v>46093</v>
      </c>
      <c r="C491" s="141">
        <v>20</v>
      </c>
      <c r="D491" s="140" t="str">
        <f>IF(ISERROR(VLOOKUP(C491,'[1]خريطة الحسابات'!_xlnm.Print_Area,3,FALSE))," ",(VLOOKUP(C491,'[1]خريطة الحسابات'!_xlnm.Print_Area,3,FALSE)))</f>
        <v xml:space="preserve">الخزينة </v>
      </c>
      <c r="E491" s="132"/>
      <c r="F491" s="133"/>
      <c r="G491" s="133">
        <v>9009</v>
      </c>
      <c r="H491" s="134">
        <f t="shared" si="21"/>
        <v>0</v>
      </c>
      <c r="I491" s="134">
        <f t="shared" si="21"/>
        <v>9009</v>
      </c>
      <c r="J491" s="134">
        <f t="shared" si="22"/>
        <v>-9009</v>
      </c>
      <c r="K491" s="135"/>
      <c r="L491" s="136" t="str">
        <f t="shared" si="23"/>
        <v>دائن</v>
      </c>
      <c r="M491" s="137" t="str">
        <f>IF(ISERROR(VLOOKUP(C491,'[1]خريطة الحسابات'!_xlnm.Print_Area,4,FALSE))," ",(VLOOKUP(C491,'[1]خريطة الحسابات'!_xlnm.Print_Area,4,FALSE)))</f>
        <v xml:space="preserve">أصول متداوله -النقدية ومافي حكمها </v>
      </c>
      <c r="N491" s="138" t="str">
        <f>IF(ISERROR(VLOOKUP(C491,'[1]خريطة الحسابات'!_xlnm.Print_Area,5,FALSE))," ",(VLOOKUP(C491,'[1]خريطة الحسابات'!_xlnm.Print_Area,5,FALSE)))</f>
        <v>الاصول</v>
      </c>
      <c r="O491" s="139" t="s">
        <v>1511</v>
      </c>
      <c r="P491" s="139" t="s">
        <v>1292</v>
      </c>
    </row>
    <row r="492" spans="1:16">
      <c r="A492" s="104">
        <v>32</v>
      </c>
      <c r="B492" s="131">
        <v>46099</v>
      </c>
      <c r="C492" s="141">
        <v>20</v>
      </c>
      <c r="D492" s="140" t="str">
        <f>IF(ISERROR(VLOOKUP(C492,'[1]خريطة الحسابات'!_xlnm.Print_Area,3,FALSE))," ",(VLOOKUP(C492,'[1]خريطة الحسابات'!_xlnm.Print_Area,3,FALSE)))</f>
        <v xml:space="preserve">الخزينة </v>
      </c>
      <c r="E492" s="132"/>
      <c r="F492" s="133"/>
      <c r="G492" s="133">
        <v>12012</v>
      </c>
      <c r="H492" s="134">
        <f t="shared" si="21"/>
        <v>0</v>
      </c>
      <c r="I492" s="134">
        <f t="shared" si="21"/>
        <v>12012</v>
      </c>
      <c r="J492" s="134">
        <f t="shared" si="22"/>
        <v>-12012</v>
      </c>
      <c r="K492" s="135"/>
      <c r="L492" s="136" t="str">
        <f t="shared" si="23"/>
        <v>دائن</v>
      </c>
      <c r="M492" s="137" t="str">
        <f>IF(ISERROR(VLOOKUP(C492,'[1]خريطة الحسابات'!_xlnm.Print_Area,4,FALSE))," ",(VLOOKUP(C492,'[1]خريطة الحسابات'!_xlnm.Print_Area,4,FALSE)))</f>
        <v xml:space="preserve">أصول متداوله -النقدية ومافي حكمها </v>
      </c>
      <c r="N492" s="138" t="str">
        <f>IF(ISERROR(VLOOKUP(C492,'[1]خريطة الحسابات'!_xlnm.Print_Area,5,FALSE))," ",(VLOOKUP(C492,'[1]خريطة الحسابات'!_xlnm.Print_Area,5,FALSE)))</f>
        <v>الاصول</v>
      </c>
      <c r="O492" s="139" t="s">
        <v>1512</v>
      </c>
      <c r="P492" s="139" t="s">
        <v>1292</v>
      </c>
    </row>
    <row r="493" spans="1:16">
      <c r="A493" s="104">
        <v>32</v>
      </c>
      <c r="B493" s="131">
        <v>46099</v>
      </c>
      <c r="C493" s="141">
        <v>20</v>
      </c>
      <c r="D493" s="140" t="str">
        <f>IF(ISERROR(VLOOKUP(C493,'[1]خريطة الحسابات'!_xlnm.Print_Area,3,FALSE))," ",(VLOOKUP(C493,'[1]خريطة الحسابات'!_xlnm.Print_Area,3,FALSE)))</f>
        <v xml:space="preserve">الخزينة </v>
      </c>
      <c r="E493" s="132"/>
      <c r="F493" s="133"/>
      <c r="G493" s="133">
        <v>1500</v>
      </c>
      <c r="H493" s="134">
        <f t="shared" si="21"/>
        <v>0</v>
      </c>
      <c r="I493" s="134">
        <f t="shared" si="21"/>
        <v>1500</v>
      </c>
      <c r="J493" s="134">
        <f t="shared" si="22"/>
        <v>-1500</v>
      </c>
      <c r="K493" s="135"/>
      <c r="L493" s="136" t="str">
        <f t="shared" si="23"/>
        <v>دائن</v>
      </c>
      <c r="M493" s="137" t="str">
        <f>IF(ISERROR(VLOOKUP(C493,'[1]خريطة الحسابات'!_xlnm.Print_Area,4,FALSE))," ",(VLOOKUP(C493,'[1]خريطة الحسابات'!_xlnm.Print_Area,4,FALSE)))</f>
        <v xml:space="preserve">أصول متداوله -النقدية ومافي حكمها </v>
      </c>
      <c r="N493" s="138" t="str">
        <f>IF(ISERROR(VLOOKUP(C493,'[1]خريطة الحسابات'!_xlnm.Print_Area,5,FALSE))," ",(VLOOKUP(C493,'[1]خريطة الحسابات'!_xlnm.Print_Area,5,FALSE)))</f>
        <v>الاصول</v>
      </c>
      <c r="O493" s="139" t="s">
        <v>1513</v>
      </c>
      <c r="P493" s="139" t="s">
        <v>1304</v>
      </c>
    </row>
    <row r="494" spans="1:16">
      <c r="A494" s="104">
        <v>32</v>
      </c>
      <c r="B494" s="131">
        <v>46117</v>
      </c>
      <c r="C494" s="141">
        <v>20</v>
      </c>
      <c r="D494" s="140" t="str">
        <f>IF(ISERROR(VLOOKUP(C494,'[1]خريطة الحسابات'!_xlnm.Print_Area,3,FALSE))," ",(VLOOKUP(C494,'[1]خريطة الحسابات'!_xlnm.Print_Area,3,FALSE)))</f>
        <v xml:space="preserve">الخزينة </v>
      </c>
      <c r="E494" s="132"/>
      <c r="F494" s="133"/>
      <c r="G494" s="133">
        <v>15015</v>
      </c>
      <c r="H494" s="134">
        <f t="shared" si="21"/>
        <v>0</v>
      </c>
      <c r="I494" s="134">
        <f t="shared" si="21"/>
        <v>15015</v>
      </c>
      <c r="J494" s="134">
        <f t="shared" si="22"/>
        <v>-15015</v>
      </c>
      <c r="K494" s="135"/>
      <c r="L494" s="136" t="str">
        <f t="shared" si="23"/>
        <v>دائن</v>
      </c>
      <c r="M494" s="137" t="str">
        <f>IF(ISERROR(VLOOKUP(C494,'[1]خريطة الحسابات'!_xlnm.Print_Area,4,FALSE))," ",(VLOOKUP(C494,'[1]خريطة الحسابات'!_xlnm.Print_Area,4,FALSE)))</f>
        <v xml:space="preserve">أصول متداوله -النقدية ومافي حكمها </v>
      </c>
      <c r="N494" s="138" t="str">
        <f>IF(ISERROR(VLOOKUP(C494,'[1]خريطة الحسابات'!_xlnm.Print_Area,5,FALSE))," ",(VLOOKUP(C494,'[1]خريطة الحسابات'!_xlnm.Print_Area,5,FALSE)))</f>
        <v>الاصول</v>
      </c>
      <c r="O494" s="139" t="s">
        <v>1514</v>
      </c>
      <c r="P494" s="139" t="s">
        <v>1292</v>
      </c>
    </row>
    <row r="495" spans="1:16">
      <c r="A495" s="104">
        <v>32</v>
      </c>
      <c r="B495" s="131">
        <v>46121</v>
      </c>
      <c r="C495" s="141">
        <v>20</v>
      </c>
      <c r="D495" s="140" t="str">
        <f>IF(ISERROR(VLOOKUP(C495,'[1]خريطة الحسابات'!_xlnm.Print_Area,3,FALSE))," ",(VLOOKUP(C495,'[1]خريطة الحسابات'!_xlnm.Print_Area,3,FALSE)))</f>
        <v xml:space="preserve">الخزينة </v>
      </c>
      <c r="E495" s="132"/>
      <c r="F495" s="133"/>
      <c r="G495" s="133">
        <v>12010</v>
      </c>
      <c r="H495" s="134">
        <f t="shared" si="21"/>
        <v>0</v>
      </c>
      <c r="I495" s="134">
        <f t="shared" si="21"/>
        <v>12010</v>
      </c>
      <c r="J495" s="134">
        <f t="shared" si="22"/>
        <v>-12010</v>
      </c>
      <c r="K495" s="135"/>
      <c r="L495" s="136" t="str">
        <f t="shared" si="23"/>
        <v>دائن</v>
      </c>
      <c r="M495" s="137" t="str">
        <f>IF(ISERROR(VLOOKUP(C495,'[1]خريطة الحسابات'!_xlnm.Print_Area,4,FALSE))," ",(VLOOKUP(C495,'[1]خريطة الحسابات'!_xlnm.Print_Area,4,FALSE)))</f>
        <v xml:space="preserve">أصول متداوله -النقدية ومافي حكمها </v>
      </c>
      <c r="N495" s="138" t="str">
        <f>IF(ISERROR(VLOOKUP(C495,'[1]خريطة الحسابات'!_xlnm.Print_Area,5,FALSE))," ",(VLOOKUP(C495,'[1]خريطة الحسابات'!_xlnm.Print_Area,5,FALSE)))</f>
        <v>الاصول</v>
      </c>
      <c r="O495" s="139" t="s">
        <v>1515</v>
      </c>
      <c r="P495" s="139" t="s">
        <v>1315</v>
      </c>
    </row>
    <row r="496" spans="1:16">
      <c r="A496" s="104">
        <v>32</v>
      </c>
      <c r="B496" s="131">
        <v>46128</v>
      </c>
      <c r="C496" s="141">
        <v>20</v>
      </c>
      <c r="D496" s="140" t="str">
        <f>IF(ISERROR(VLOOKUP(C496,'[1]خريطة الحسابات'!_xlnm.Print_Area,3,FALSE))," ",(VLOOKUP(C496,'[1]خريطة الحسابات'!_xlnm.Print_Area,3,FALSE)))</f>
        <v xml:space="preserve">الخزينة </v>
      </c>
      <c r="E496" s="132"/>
      <c r="F496" s="133"/>
      <c r="G496" s="133">
        <v>10010</v>
      </c>
      <c r="H496" s="134">
        <f t="shared" si="21"/>
        <v>0</v>
      </c>
      <c r="I496" s="134">
        <f t="shared" si="21"/>
        <v>10010</v>
      </c>
      <c r="J496" s="134">
        <f t="shared" si="22"/>
        <v>-10010</v>
      </c>
      <c r="K496" s="135"/>
      <c r="L496" s="136" t="str">
        <f t="shared" si="23"/>
        <v>دائن</v>
      </c>
      <c r="M496" s="137" t="str">
        <f>IF(ISERROR(VLOOKUP(C496,'[1]خريطة الحسابات'!_xlnm.Print_Area,4,FALSE))," ",(VLOOKUP(C496,'[1]خريطة الحسابات'!_xlnm.Print_Area,4,FALSE)))</f>
        <v xml:space="preserve">أصول متداوله -النقدية ومافي حكمها </v>
      </c>
      <c r="N496" s="138" t="str">
        <f>IF(ISERROR(VLOOKUP(C496,'[1]خريطة الحسابات'!_xlnm.Print_Area,5,FALSE))," ",(VLOOKUP(C496,'[1]خريطة الحسابات'!_xlnm.Print_Area,5,FALSE)))</f>
        <v>الاصول</v>
      </c>
      <c r="O496" s="139" t="s">
        <v>1515</v>
      </c>
      <c r="P496" s="139" t="s">
        <v>1315</v>
      </c>
    </row>
    <row r="497" spans="1:16">
      <c r="A497" s="104">
        <v>32</v>
      </c>
      <c r="B497" s="131">
        <v>46135</v>
      </c>
      <c r="C497" s="141">
        <v>20</v>
      </c>
      <c r="D497" s="140" t="str">
        <f>IF(ISERROR(VLOOKUP(C497,'[1]خريطة الحسابات'!_xlnm.Print_Area,3,FALSE))," ",(VLOOKUP(C497,'[1]خريطة الحسابات'!_xlnm.Print_Area,3,FALSE)))</f>
        <v xml:space="preserve">الخزينة </v>
      </c>
      <c r="E497" s="132"/>
      <c r="F497" s="133"/>
      <c r="G497" s="133">
        <v>10010</v>
      </c>
      <c r="H497" s="134">
        <f t="shared" si="21"/>
        <v>0</v>
      </c>
      <c r="I497" s="134">
        <f t="shared" si="21"/>
        <v>10010</v>
      </c>
      <c r="J497" s="134">
        <f t="shared" si="22"/>
        <v>-10010</v>
      </c>
      <c r="K497" s="135"/>
      <c r="L497" s="136" t="str">
        <f t="shared" si="23"/>
        <v>دائن</v>
      </c>
      <c r="M497" s="137" t="str">
        <f>IF(ISERROR(VLOOKUP(C497,'[1]خريطة الحسابات'!_xlnm.Print_Area,4,FALSE))," ",(VLOOKUP(C497,'[1]خريطة الحسابات'!_xlnm.Print_Area,4,FALSE)))</f>
        <v xml:space="preserve">أصول متداوله -النقدية ومافي حكمها </v>
      </c>
      <c r="N497" s="138" t="str">
        <f>IF(ISERROR(VLOOKUP(C497,'[1]خريطة الحسابات'!_xlnm.Print_Area,5,FALSE))," ",(VLOOKUP(C497,'[1]خريطة الحسابات'!_xlnm.Print_Area,5,FALSE)))</f>
        <v>الاصول</v>
      </c>
      <c r="O497" s="139" t="s">
        <v>1515</v>
      </c>
      <c r="P497" s="139" t="s">
        <v>1315</v>
      </c>
    </row>
    <row r="498" spans="1:16">
      <c r="A498" s="104">
        <v>32</v>
      </c>
      <c r="B498" s="131">
        <v>46156</v>
      </c>
      <c r="C498" s="141">
        <v>20</v>
      </c>
      <c r="D498" s="140" t="str">
        <f>IF(ISERROR(VLOOKUP(C498,'[1]خريطة الحسابات'!_xlnm.Print_Area,3,FALSE))," ",(VLOOKUP(C498,'[1]خريطة الحسابات'!_xlnm.Print_Area,3,FALSE)))</f>
        <v xml:space="preserve">الخزينة </v>
      </c>
      <c r="E498" s="132"/>
      <c r="F498" s="133"/>
      <c r="G498" s="133">
        <v>500</v>
      </c>
      <c r="H498" s="134">
        <f t="shared" si="21"/>
        <v>0</v>
      </c>
      <c r="I498" s="134">
        <f t="shared" si="21"/>
        <v>500</v>
      </c>
      <c r="J498" s="134">
        <f t="shared" si="22"/>
        <v>-500</v>
      </c>
      <c r="K498" s="135"/>
      <c r="L498" s="136" t="str">
        <f t="shared" si="23"/>
        <v>دائن</v>
      </c>
      <c r="M498" s="137" t="str">
        <f>IF(ISERROR(VLOOKUP(C498,'[1]خريطة الحسابات'!_xlnm.Print_Area,4,FALSE))," ",(VLOOKUP(C498,'[1]خريطة الحسابات'!_xlnm.Print_Area,4,FALSE)))</f>
        <v xml:space="preserve">أصول متداوله -النقدية ومافي حكمها </v>
      </c>
      <c r="N498" s="138" t="str">
        <f>IF(ISERROR(VLOOKUP(C498,'[1]خريطة الحسابات'!_xlnm.Print_Area,5,FALSE))," ",(VLOOKUP(C498,'[1]خريطة الحسابات'!_xlnm.Print_Area,5,FALSE)))</f>
        <v>الاصول</v>
      </c>
      <c r="O498" s="139" t="s">
        <v>1516</v>
      </c>
      <c r="P498" s="139" t="s">
        <v>1292</v>
      </c>
    </row>
    <row r="499" spans="1:16">
      <c r="A499" s="104">
        <v>32</v>
      </c>
      <c r="B499" s="131">
        <v>46156</v>
      </c>
      <c r="C499" s="141">
        <v>20</v>
      </c>
      <c r="D499" s="140" t="str">
        <f>IF(ISERROR(VLOOKUP(C499,'[1]خريطة الحسابات'!_xlnm.Print_Area,3,FALSE))," ",(VLOOKUP(C499,'[1]خريطة الحسابات'!_xlnm.Print_Area,3,FALSE)))</f>
        <v xml:space="preserve">الخزينة </v>
      </c>
      <c r="E499" s="132"/>
      <c r="F499" s="133"/>
      <c r="G499" s="133">
        <v>500</v>
      </c>
      <c r="H499" s="134">
        <f t="shared" si="21"/>
        <v>0</v>
      </c>
      <c r="I499" s="134">
        <f t="shared" si="21"/>
        <v>500</v>
      </c>
      <c r="J499" s="134">
        <f t="shared" si="22"/>
        <v>-500</v>
      </c>
      <c r="K499" s="135"/>
      <c r="L499" s="136" t="str">
        <f t="shared" si="23"/>
        <v>دائن</v>
      </c>
      <c r="M499" s="137" t="str">
        <f>IF(ISERROR(VLOOKUP(C499,'[1]خريطة الحسابات'!_xlnm.Print_Area,4,FALSE))," ",(VLOOKUP(C499,'[1]خريطة الحسابات'!_xlnm.Print_Area,4,FALSE)))</f>
        <v xml:space="preserve">أصول متداوله -النقدية ومافي حكمها </v>
      </c>
      <c r="N499" s="138" t="str">
        <f>IF(ISERROR(VLOOKUP(C499,'[1]خريطة الحسابات'!_xlnm.Print_Area,5,FALSE))," ",(VLOOKUP(C499,'[1]خريطة الحسابات'!_xlnm.Print_Area,5,FALSE)))</f>
        <v>الاصول</v>
      </c>
      <c r="O499" s="139" t="s">
        <v>1517</v>
      </c>
      <c r="P499" s="139" t="s">
        <v>1317</v>
      </c>
    </row>
    <row r="500" spans="1:16">
      <c r="A500" s="104">
        <v>32</v>
      </c>
      <c r="B500" s="131">
        <v>46163</v>
      </c>
      <c r="C500" s="141">
        <v>20</v>
      </c>
      <c r="D500" s="140" t="str">
        <f>IF(ISERROR(VLOOKUP(C500,'[1]خريطة الحسابات'!_xlnm.Print_Area,3,FALSE))," ",(VLOOKUP(C500,'[1]خريطة الحسابات'!_xlnm.Print_Area,3,FALSE)))</f>
        <v xml:space="preserve">الخزينة </v>
      </c>
      <c r="E500" s="132"/>
      <c r="F500" s="133"/>
      <c r="G500" s="133">
        <v>10000</v>
      </c>
      <c r="H500" s="134">
        <f t="shared" si="21"/>
        <v>0</v>
      </c>
      <c r="I500" s="134">
        <f t="shared" si="21"/>
        <v>10000</v>
      </c>
      <c r="J500" s="134">
        <f t="shared" si="22"/>
        <v>-10000</v>
      </c>
      <c r="K500" s="135"/>
      <c r="L500" s="136" t="str">
        <f t="shared" si="23"/>
        <v>دائن</v>
      </c>
      <c r="M500" s="137" t="str">
        <f>IF(ISERROR(VLOOKUP(C500,'[1]خريطة الحسابات'!_xlnm.Print_Area,4,FALSE))," ",(VLOOKUP(C500,'[1]خريطة الحسابات'!_xlnm.Print_Area,4,FALSE)))</f>
        <v xml:space="preserve">أصول متداوله -النقدية ومافي حكمها </v>
      </c>
      <c r="N500" s="138" t="str">
        <f>IF(ISERROR(VLOOKUP(C500,'[1]خريطة الحسابات'!_xlnm.Print_Area,5,FALSE))," ",(VLOOKUP(C500,'[1]خريطة الحسابات'!_xlnm.Print_Area,5,FALSE)))</f>
        <v>الاصول</v>
      </c>
      <c r="O500" s="139" t="s">
        <v>1515</v>
      </c>
      <c r="P500" s="139" t="s">
        <v>1315</v>
      </c>
    </row>
    <row r="501" spans="1:16">
      <c r="A501" s="104">
        <v>32</v>
      </c>
      <c r="B501" s="131">
        <v>46166</v>
      </c>
      <c r="C501" s="141">
        <v>20</v>
      </c>
      <c r="D501" s="140" t="str">
        <f>IF(ISERROR(VLOOKUP(C501,'[1]خريطة الحسابات'!_xlnm.Print_Area,3,FALSE))," ",(VLOOKUP(C501,'[1]خريطة الحسابات'!_xlnm.Print_Area,3,FALSE)))</f>
        <v xml:space="preserve">الخزينة </v>
      </c>
      <c r="E501" s="132"/>
      <c r="F501" s="133"/>
      <c r="G501" s="133">
        <v>4000</v>
      </c>
      <c r="H501" s="134">
        <f t="shared" si="21"/>
        <v>0</v>
      </c>
      <c r="I501" s="134">
        <f t="shared" si="21"/>
        <v>4000</v>
      </c>
      <c r="J501" s="134">
        <f t="shared" si="22"/>
        <v>-4000</v>
      </c>
      <c r="K501" s="135"/>
      <c r="L501" s="136" t="str">
        <f t="shared" si="23"/>
        <v>دائن</v>
      </c>
      <c r="M501" s="137" t="str">
        <f>IF(ISERROR(VLOOKUP(C501,'[1]خريطة الحسابات'!_xlnm.Print_Area,4,FALSE))," ",(VLOOKUP(C501,'[1]خريطة الحسابات'!_xlnm.Print_Area,4,FALSE)))</f>
        <v xml:space="preserve">أصول متداوله -النقدية ومافي حكمها </v>
      </c>
      <c r="N501" s="138" t="str">
        <f>IF(ISERROR(VLOOKUP(C501,'[1]خريطة الحسابات'!_xlnm.Print_Area,5,FALSE))," ",(VLOOKUP(C501,'[1]خريطة الحسابات'!_xlnm.Print_Area,5,FALSE)))</f>
        <v>الاصول</v>
      </c>
      <c r="O501" s="139" t="s">
        <v>1518</v>
      </c>
      <c r="P501" s="139" t="s">
        <v>1315</v>
      </c>
    </row>
    <row r="502" spans="1:16">
      <c r="A502" s="104">
        <v>32</v>
      </c>
      <c r="B502" s="131">
        <v>46179</v>
      </c>
      <c r="C502" s="141">
        <v>20</v>
      </c>
      <c r="D502" s="140" t="str">
        <f>IF(ISERROR(VLOOKUP(C502,'[1]خريطة الحسابات'!_xlnm.Print_Area,3,FALSE))," ",(VLOOKUP(C502,'[1]خريطة الحسابات'!_xlnm.Print_Area,3,FALSE)))</f>
        <v xml:space="preserve">الخزينة </v>
      </c>
      <c r="E502" s="132"/>
      <c r="F502" s="133"/>
      <c r="G502" s="133">
        <v>1500</v>
      </c>
      <c r="H502" s="134">
        <f t="shared" si="21"/>
        <v>0</v>
      </c>
      <c r="I502" s="134">
        <f t="shared" si="21"/>
        <v>1500</v>
      </c>
      <c r="J502" s="134">
        <f t="shared" si="22"/>
        <v>-1500</v>
      </c>
      <c r="K502" s="135"/>
      <c r="L502" s="136" t="str">
        <f t="shared" si="23"/>
        <v>دائن</v>
      </c>
      <c r="M502" s="137" t="str">
        <f>IF(ISERROR(VLOOKUP(C502,'[1]خريطة الحسابات'!_xlnm.Print_Area,4,FALSE))," ",(VLOOKUP(C502,'[1]خريطة الحسابات'!_xlnm.Print_Area,4,FALSE)))</f>
        <v xml:space="preserve">أصول متداوله -النقدية ومافي حكمها </v>
      </c>
      <c r="N502" s="138" t="str">
        <f>IF(ISERROR(VLOOKUP(C502,'[1]خريطة الحسابات'!_xlnm.Print_Area,5,FALSE))," ",(VLOOKUP(C502,'[1]خريطة الحسابات'!_xlnm.Print_Area,5,FALSE)))</f>
        <v>الاصول</v>
      </c>
      <c r="O502" s="139" t="s">
        <v>1519</v>
      </c>
      <c r="P502" s="139" t="s">
        <v>1304</v>
      </c>
    </row>
    <row r="503" spans="1:16">
      <c r="A503" s="104">
        <v>32</v>
      </c>
      <c r="B503" s="131">
        <v>46179</v>
      </c>
      <c r="C503" s="141">
        <v>20</v>
      </c>
      <c r="D503" s="140" t="str">
        <f>IF(ISERROR(VLOOKUP(C503,'[1]خريطة الحسابات'!_xlnm.Print_Area,3,FALSE))," ",(VLOOKUP(C503,'[1]خريطة الحسابات'!_xlnm.Print_Area,3,FALSE)))</f>
        <v xml:space="preserve">الخزينة </v>
      </c>
      <c r="E503" s="132"/>
      <c r="F503" s="133"/>
      <c r="G503" s="133">
        <v>2500</v>
      </c>
      <c r="H503" s="134">
        <f t="shared" si="21"/>
        <v>0</v>
      </c>
      <c r="I503" s="134">
        <f t="shared" si="21"/>
        <v>2500</v>
      </c>
      <c r="J503" s="134">
        <f t="shared" si="22"/>
        <v>-2500</v>
      </c>
      <c r="K503" s="135"/>
      <c r="L503" s="136" t="str">
        <f t="shared" si="23"/>
        <v>دائن</v>
      </c>
      <c r="M503" s="137" t="str">
        <f>IF(ISERROR(VLOOKUP(C503,'[1]خريطة الحسابات'!_xlnm.Print_Area,4,FALSE))," ",(VLOOKUP(C503,'[1]خريطة الحسابات'!_xlnm.Print_Area,4,FALSE)))</f>
        <v xml:space="preserve">أصول متداوله -النقدية ومافي حكمها </v>
      </c>
      <c r="N503" s="138" t="str">
        <f>IF(ISERROR(VLOOKUP(C503,'[1]خريطة الحسابات'!_xlnm.Print_Area,5,FALSE))," ",(VLOOKUP(C503,'[1]خريطة الحسابات'!_xlnm.Print_Area,5,FALSE)))</f>
        <v>الاصول</v>
      </c>
      <c r="O503" s="84" t="s">
        <v>1520</v>
      </c>
      <c r="P503" s="84" t="s">
        <v>1297</v>
      </c>
    </row>
    <row r="504" spans="1:16">
      <c r="A504" s="104">
        <v>32</v>
      </c>
      <c r="B504" s="131">
        <v>46184</v>
      </c>
      <c r="C504" s="141">
        <v>20</v>
      </c>
      <c r="D504" s="140" t="str">
        <f>IF(ISERROR(VLOOKUP(C504,'[1]خريطة الحسابات'!_xlnm.Print_Area,3,FALSE))," ",(VLOOKUP(C504,'[1]خريطة الحسابات'!_xlnm.Print_Area,3,FALSE)))</f>
        <v xml:space="preserve">الخزينة </v>
      </c>
      <c r="E504" s="132"/>
      <c r="F504" s="133"/>
      <c r="G504" s="133">
        <v>10000</v>
      </c>
      <c r="H504" s="134">
        <f t="shared" si="21"/>
        <v>0</v>
      </c>
      <c r="I504" s="134">
        <f t="shared" si="21"/>
        <v>10000</v>
      </c>
      <c r="J504" s="134">
        <f t="shared" si="22"/>
        <v>-10000</v>
      </c>
      <c r="K504" s="135"/>
      <c r="L504" s="136" t="str">
        <f t="shared" si="23"/>
        <v>دائن</v>
      </c>
      <c r="M504" s="137" t="str">
        <f>IF(ISERROR(VLOOKUP(C504,'[1]خريطة الحسابات'!_xlnm.Print_Area,4,FALSE))," ",(VLOOKUP(C504,'[1]خريطة الحسابات'!_xlnm.Print_Area,4,FALSE)))</f>
        <v xml:space="preserve">أصول متداوله -النقدية ومافي حكمها </v>
      </c>
      <c r="N504" s="138" t="str">
        <f>IF(ISERROR(VLOOKUP(C504,'[1]خريطة الحسابات'!_xlnm.Print_Area,5,FALSE))," ",(VLOOKUP(C504,'[1]خريطة الحسابات'!_xlnm.Print_Area,5,FALSE)))</f>
        <v>الاصول</v>
      </c>
      <c r="O504" s="84" t="s">
        <v>1515</v>
      </c>
      <c r="P504" s="84" t="s">
        <v>1315</v>
      </c>
    </row>
    <row r="505" spans="1:16">
      <c r="A505" s="104">
        <v>33</v>
      </c>
      <c r="B505" s="131">
        <v>46029</v>
      </c>
      <c r="C505" s="141">
        <v>4012</v>
      </c>
      <c r="D505" s="140" t="str">
        <f>IF(ISERROR(VLOOKUP(C505,'[1]خريطة الحسابات'!_xlnm.Print_Area,3,FALSE))," ",(VLOOKUP(C505,'[1]خريطة الحسابات'!_xlnm.Print_Area,3,FALSE)))</f>
        <v>عمرو ريحان</v>
      </c>
      <c r="E505" s="132"/>
      <c r="F505" s="133">
        <v>20020</v>
      </c>
      <c r="G505" s="133"/>
      <c r="H505" s="134">
        <f t="shared" si="21"/>
        <v>20020</v>
      </c>
      <c r="I505" s="134">
        <f t="shared" si="21"/>
        <v>0</v>
      </c>
      <c r="J505" s="134">
        <f t="shared" si="22"/>
        <v>20020</v>
      </c>
      <c r="K505" s="135"/>
      <c r="L505" s="136" t="str">
        <f t="shared" si="23"/>
        <v>مدين</v>
      </c>
      <c r="M505" s="137" t="str">
        <f>IF(ISERROR(VLOOKUP(C505,'[1]خريطة الحسابات'!_xlnm.Print_Area,4,FALSE))," ",(VLOOKUP(C505,'[1]خريطة الحسابات'!_xlnm.Print_Area,4,FALSE)))</f>
        <v xml:space="preserve">مقاولين </v>
      </c>
      <c r="N505" s="138" t="str">
        <f>IF(ISERROR(VLOOKUP(C505,'[1]خريطة الحسابات'!_xlnm.Print_Area,5,FALSE))," ",(VLOOKUP(C505,'[1]خريطة الحسابات'!_xlnm.Print_Area,5,FALSE)))</f>
        <v xml:space="preserve">الدائنون والأرصدة الدائنة الأخرى </v>
      </c>
      <c r="O505" s="139" t="s">
        <v>1521</v>
      </c>
      <c r="P505" s="139" t="s">
        <v>1297</v>
      </c>
    </row>
    <row r="506" spans="1:16">
      <c r="A506" s="104">
        <v>33</v>
      </c>
      <c r="B506" s="131">
        <v>46036</v>
      </c>
      <c r="C506" s="141">
        <v>4012</v>
      </c>
      <c r="D506" s="140" t="str">
        <f>IF(ISERROR(VLOOKUP(C506,'[1]خريطة الحسابات'!_xlnm.Print_Area,3,FALSE))," ",(VLOOKUP(C506,'[1]خريطة الحسابات'!_xlnm.Print_Area,3,FALSE)))</f>
        <v>عمرو ريحان</v>
      </c>
      <c r="E506" s="132"/>
      <c r="F506" s="133">
        <v>4800</v>
      </c>
      <c r="G506" s="133"/>
      <c r="H506" s="134">
        <f t="shared" si="21"/>
        <v>4800</v>
      </c>
      <c r="I506" s="134">
        <f t="shared" si="21"/>
        <v>0</v>
      </c>
      <c r="J506" s="134">
        <f t="shared" si="22"/>
        <v>4800</v>
      </c>
      <c r="K506" s="135"/>
      <c r="L506" s="136" t="str">
        <f t="shared" si="23"/>
        <v>مدين</v>
      </c>
      <c r="M506" s="137" t="str">
        <f>IF(ISERROR(VLOOKUP(C506,'[1]خريطة الحسابات'!_xlnm.Print_Area,4,FALSE))," ",(VLOOKUP(C506,'[1]خريطة الحسابات'!_xlnm.Print_Area,4,FALSE)))</f>
        <v xml:space="preserve">مقاولين </v>
      </c>
      <c r="N506" s="138" t="str">
        <f>IF(ISERROR(VLOOKUP(C506,'[1]خريطة الحسابات'!_xlnm.Print_Area,5,FALSE))," ",(VLOOKUP(C506,'[1]خريطة الحسابات'!_xlnm.Print_Area,5,FALSE)))</f>
        <v xml:space="preserve">الدائنون والأرصدة الدائنة الأخرى </v>
      </c>
      <c r="O506" s="139" t="s">
        <v>1522</v>
      </c>
      <c r="P506" s="139" t="s">
        <v>1304</v>
      </c>
    </row>
    <row r="507" spans="1:16">
      <c r="A507" s="104">
        <v>33</v>
      </c>
      <c r="B507" s="131">
        <v>46058</v>
      </c>
      <c r="C507" s="141">
        <v>4012</v>
      </c>
      <c r="D507" s="140" t="str">
        <f>IF(ISERROR(VLOOKUP(C507,'[1]خريطة الحسابات'!_xlnm.Print_Area,3,FALSE))," ",(VLOOKUP(C507,'[1]خريطة الحسابات'!_xlnm.Print_Area,3,FALSE)))</f>
        <v>عمرو ريحان</v>
      </c>
      <c r="E507" s="132"/>
      <c r="F507" s="133">
        <v>600</v>
      </c>
      <c r="G507" s="133"/>
      <c r="H507" s="134">
        <f t="shared" si="21"/>
        <v>600</v>
      </c>
      <c r="I507" s="134">
        <f t="shared" si="21"/>
        <v>0</v>
      </c>
      <c r="J507" s="134">
        <f t="shared" si="22"/>
        <v>600</v>
      </c>
      <c r="K507" s="135"/>
      <c r="L507" s="136" t="str">
        <f t="shared" si="23"/>
        <v>مدين</v>
      </c>
      <c r="M507" s="137" t="str">
        <f>IF(ISERROR(VLOOKUP(C507,'[1]خريطة الحسابات'!_xlnm.Print_Area,4,FALSE))," ",(VLOOKUP(C507,'[1]خريطة الحسابات'!_xlnm.Print_Area,4,FALSE)))</f>
        <v xml:space="preserve">مقاولين </v>
      </c>
      <c r="N507" s="138" t="str">
        <f>IF(ISERROR(VLOOKUP(C507,'[1]خريطة الحسابات'!_xlnm.Print_Area,5,FALSE))," ",(VLOOKUP(C507,'[1]خريطة الحسابات'!_xlnm.Print_Area,5,FALSE)))</f>
        <v xml:space="preserve">الدائنون والأرصدة الدائنة الأخرى </v>
      </c>
      <c r="O507" s="139" t="s">
        <v>1523</v>
      </c>
      <c r="P507" s="139" t="s">
        <v>1304</v>
      </c>
    </row>
    <row r="508" spans="1:16">
      <c r="A508" s="104">
        <v>33</v>
      </c>
      <c r="B508" s="131">
        <v>46065</v>
      </c>
      <c r="C508" s="141">
        <v>4012</v>
      </c>
      <c r="D508" s="140" t="str">
        <f>IF(ISERROR(VLOOKUP(C508,'[1]خريطة الحسابات'!_xlnm.Print_Area,3,FALSE))," ",(VLOOKUP(C508,'[1]خريطة الحسابات'!_xlnm.Print_Area,3,FALSE)))</f>
        <v>عمرو ريحان</v>
      </c>
      <c r="E508" s="132"/>
      <c r="F508" s="133">
        <v>15015</v>
      </c>
      <c r="G508" s="133"/>
      <c r="H508" s="134">
        <f t="shared" si="21"/>
        <v>15015</v>
      </c>
      <c r="I508" s="134">
        <f t="shared" si="21"/>
        <v>0</v>
      </c>
      <c r="J508" s="134">
        <f t="shared" si="22"/>
        <v>15015</v>
      </c>
      <c r="K508" s="135"/>
      <c r="L508" s="136" t="str">
        <f t="shared" si="23"/>
        <v>مدين</v>
      </c>
      <c r="M508" s="137" t="str">
        <f>IF(ISERROR(VLOOKUP(C508,'[1]خريطة الحسابات'!_xlnm.Print_Area,4,FALSE))," ",(VLOOKUP(C508,'[1]خريطة الحسابات'!_xlnm.Print_Area,4,FALSE)))</f>
        <v xml:space="preserve">مقاولين </v>
      </c>
      <c r="N508" s="138" t="str">
        <f>IF(ISERROR(VLOOKUP(C508,'[1]خريطة الحسابات'!_xlnm.Print_Area,5,FALSE))," ",(VLOOKUP(C508,'[1]خريطة الحسابات'!_xlnm.Print_Area,5,FALSE)))</f>
        <v xml:space="preserve">الدائنون والأرصدة الدائنة الأخرى </v>
      </c>
      <c r="O508" s="139" t="s">
        <v>1524</v>
      </c>
      <c r="P508" s="139" t="s">
        <v>1290</v>
      </c>
    </row>
    <row r="509" spans="1:16">
      <c r="A509" s="104">
        <v>33</v>
      </c>
      <c r="B509" s="131">
        <v>46070</v>
      </c>
      <c r="C509" s="141">
        <v>4012</v>
      </c>
      <c r="D509" s="140" t="str">
        <f>IF(ISERROR(VLOOKUP(C509,'[1]خريطة الحسابات'!_xlnm.Print_Area,3,FALSE))," ",(VLOOKUP(C509,'[1]خريطة الحسابات'!_xlnm.Print_Area,3,FALSE)))</f>
        <v>عمرو ريحان</v>
      </c>
      <c r="E509" s="132"/>
      <c r="F509" s="133">
        <v>11980</v>
      </c>
      <c r="G509" s="133"/>
      <c r="H509" s="134">
        <f t="shared" si="21"/>
        <v>11980</v>
      </c>
      <c r="I509" s="134">
        <f t="shared" si="21"/>
        <v>0</v>
      </c>
      <c r="J509" s="134">
        <f t="shared" si="22"/>
        <v>11980</v>
      </c>
      <c r="K509" s="135"/>
      <c r="L509" s="136" t="str">
        <f t="shared" si="23"/>
        <v>مدين</v>
      </c>
      <c r="M509" s="137" t="str">
        <f>IF(ISERROR(VLOOKUP(C509,'[1]خريطة الحسابات'!_xlnm.Print_Area,4,FALSE))," ",(VLOOKUP(C509,'[1]خريطة الحسابات'!_xlnm.Print_Area,4,FALSE)))</f>
        <v xml:space="preserve">مقاولين </v>
      </c>
      <c r="N509" s="138" t="str">
        <f>IF(ISERROR(VLOOKUP(C509,'[1]خريطة الحسابات'!_xlnm.Print_Area,5,FALSE))," ",(VLOOKUP(C509,'[1]خريطة الحسابات'!_xlnm.Print_Area,5,FALSE)))</f>
        <v xml:space="preserve">الدائنون والأرصدة الدائنة الأخرى </v>
      </c>
      <c r="O509" s="139" t="s">
        <v>1525</v>
      </c>
      <c r="P509" s="139" t="s">
        <v>1290</v>
      </c>
    </row>
    <row r="510" spans="1:16">
      <c r="A510" s="104">
        <v>33</v>
      </c>
      <c r="B510" s="131">
        <v>46086</v>
      </c>
      <c r="C510" s="141">
        <v>4012</v>
      </c>
      <c r="D510" s="140" t="str">
        <f>IF(ISERROR(VLOOKUP(C510,'[1]خريطة الحسابات'!_xlnm.Print_Area,3,FALSE))," ",(VLOOKUP(C510,'[1]خريطة الحسابات'!_xlnm.Print_Area,3,FALSE)))</f>
        <v>عمرو ريحان</v>
      </c>
      <c r="E510" s="132"/>
      <c r="F510" s="133">
        <v>10010</v>
      </c>
      <c r="G510" s="133"/>
      <c r="H510" s="134">
        <f t="shared" si="21"/>
        <v>10010</v>
      </c>
      <c r="I510" s="134">
        <f t="shared" si="21"/>
        <v>0</v>
      </c>
      <c r="J510" s="134">
        <f t="shared" si="22"/>
        <v>10010</v>
      </c>
      <c r="K510" s="135"/>
      <c r="L510" s="136" t="str">
        <f t="shared" si="23"/>
        <v>مدين</v>
      </c>
      <c r="M510" s="137" t="str">
        <f>IF(ISERROR(VLOOKUP(C510,'[1]خريطة الحسابات'!_xlnm.Print_Area,4,FALSE))," ",(VLOOKUP(C510,'[1]خريطة الحسابات'!_xlnm.Print_Area,4,FALSE)))</f>
        <v xml:space="preserve">مقاولين </v>
      </c>
      <c r="N510" s="138" t="str">
        <f>IF(ISERROR(VLOOKUP(C510,'[1]خريطة الحسابات'!_xlnm.Print_Area,5,FALSE))," ",(VLOOKUP(C510,'[1]خريطة الحسابات'!_xlnm.Print_Area,5,FALSE)))</f>
        <v xml:space="preserve">الدائنون والأرصدة الدائنة الأخرى </v>
      </c>
      <c r="O510" s="139" t="s">
        <v>1526</v>
      </c>
      <c r="P510" s="139" t="s">
        <v>1295</v>
      </c>
    </row>
    <row r="511" spans="1:16">
      <c r="A511" s="104">
        <v>33</v>
      </c>
      <c r="B511" s="131">
        <v>46096</v>
      </c>
      <c r="C511" s="141">
        <v>4012</v>
      </c>
      <c r="D511" s="140" t="str">
        <f>IF(ISERROR(VLOOKUP(C511,'[1]خريطة الحسابات'!_xlnm.Print_Area,3,FALSE))," ",(VLOOKUP(C511,'[1]خريطة الحسابات'!_xlnm.Print_Area,3,FALSE)))</f>
        <v>عمرو ريحان</v>
      </c>
      <c r="E511" s="132"/>
      <c r="F511" s="133">
        <v>5005</v>
      </c>
      <c r="G511" s="133"/>
      <c r="H511" s="134">
        <f t="shared" si="21"/>
        <v>5005</v>
      </c>
      <c r="I511" s="134">
        <f t="shared" si="21"/>
        <v>0</v>
      </c>
      <c r="J511" s="134">
        <f t="shared" si="22"/>
        <v>5005</v>
      </c>
      <c r="K511" s="135"/>
      <c r="L511" s="136" t="str">
        <f t="shared" si="23"/>
        <v>مدين</v>
      </c>
      <c r="M511" s="137" t="str">
        <f>IF(ISERROR(VLOOKUP(C511,'[1]خريطة الحسابات'!_xlnm.Print_Area,4,FALSE))," ",(VLOOKUP(C511,'[1]خريطة الحسابات'!_xlnm.Print_Area,4,FALSE)))</f>
        <v xml:space="preserve">مقاولين </v>
      </c>
      <c r="N511" s="138" t="str">
        <f>IF(ISERROR(VLOOKUP(C511,'[1]خريطة الحسابات'!_xlnm.Print_Area,5,FALSE))," ",(VLOOKUP(C511,'[1]خريطة الحسابات'!_xlnm.Print_Area,5,FALSE)))</f>
        <v xml:space="preserve">الدائنون والأرصدة الدائنة الأخرى </v>
      </c>
      <c r="O511" s="139" t="s">
        <v>1527</v>
      </c>
      <c r="P511" s="139" t="s">
        <v>1290</v>
      </c>
    </row>
    <row r="512" spans="1:16">
      <c r="A512" s="104">
        <v>33</v>
      </c>
      <c r="B512" s="131">
        <v>46099</v>
      </c>
      <c r="C512" s="141">
        <v>4012</v>
      </c>
      <c r="D512" s="140" t="str">
        <f>IF(ISERROR(VLOOKUP(C512,'[1]خريطة الحسابات'!_xlnm.Print_Area,3,FALSE))," ",(VLOOKUP(C512,'[1]خريطة الحسابات'!_xlnm.Print_Area,3,FALSE)))</f>
        <v>عمرو ريحان</v>
      </c>
      <c r="E512" s="132"/>
      <c r="F512" s="133">
        <v>5500</v>
      </c>
      <c r="G512" s="133"/>
      <c r="H512" s="134">
        <f t="shared" si="21"/>
        <v>5500</v>
      </c>
      <c r="I512" s="134">
        <f t="shared" si="21"/>
        <v>0</v>
      </c>
      <c r="J512" s="134">
        <f t="shared" si="22"/>
        <v>5500</v>
      </c>
      <c r="K512" s="135"/>
      <c r="L512" s="136" t="str">
        <f t="shared" si="23"/>
        <v>مدين</v>
      </c>
      <c r="M512" s="137" t="str">
        <f>IF(ISERROR(VLOOKUP(C512,'[1]خريطة الحسابات'!_xlnm.Print_Area,4,FALSE))," ",(VLOOKUP(C512,'[1]خريطة الحسابات'!_xlnm.Print_Area,4,FALSE)))</f>
        <v xml:space="preserve">مقاولين </v>
      </c>
      <c r="N512" s="138" t="str">
        <f>IF(ISERROR(VLOOKUP(C512,'[1]خريطة الحسابات'!_xlnm.Print_Area,5,FALSE))," ",(VLOOKUP(C512,'[1]خريطة الحسابات'!_xlnm.Print_Area,5,FALSE)))</f>
        <v xml:space="preserve">الدائنون والأرصدة الدائنة الأخرى </v>
      </c>
      <c r="O512" s="139" t="s">
        <v>1528</v>
      </c>
      <c r="P512" s="139" t="s">
        <v>1295</v>
      </c>
    </row>
    <row r="513" spans="1:16">
      <c r="A513" s="104">
        <v>33</v>
      </c>
      <c r="B513" s="131">
        <v>46121</v>
      </c>
      <c r="C513" s="141">
        <v>4012</v>
      </c>
      <c r="D513" s="140" t="str">
        <f>IF(ISERROR(VLOOKUP(C513,'[1]خريطة الحسابات'!_xlnm.Print_Area,3,FALSE))," ",(VLOOKUP(C513,'[1]خريطة الحسابات'!_xlnm.Print_Area,3,FALSE)))</f>
        <v>عمرو ريحان</v>
      </c>
      <c r="E513" s="132"/>
      <c r="F513" s="133">
        <v>1300</v>
      </c>
      <c r="G513" s="133"/>
      <c r="H513" s="134">
        <f t="shared" si="21"/>
        <v>1300</v>
      </c>
      <c r="I513" s="134">
        <f t="shared" si="21"/>
        <v>0</v>
      </c>
      <c r="J513" s="134">
        <f t="shared" si="22"/>
        <v>1300</v>
      </c>
      <c r="K513" s="135"/>
      <c r="L513" s="136" t="str">
        <f t="shared" si="23"/>
        <v>مدين</v>
      </c>
      <c r="M513" s="137" t="str">
        <f>IF(ISERROR(VLOOKUP(C513,'[1]خريطة الحسابات'!_xlnm.Print_Area,4,FALSE))," ",(VLOOKUP(C513,'[1]خريطة الحسابات'!_xlnm.Print_Area,4,FALSE)))</f>
        <v xml:space="preserve">مقاولين </v>
      </c>
      <c r="N513" s="138" t="str">
        <f>IF(ISERROR(VLOOKUP(C513,'[1]خريطة الحسابات'!_xlnm.Print_Area,5,FALSE))," ",(VLOOKUP(C513,'[1]خريطة الحسابات'!_xlnm.Print_Area,5,FALSE)))</f>
        <v xml:space="preserve">الدائنون والأرصدة الدائنة الأخرى </v>
      </c>
      <c r="O513" s="139" t="s">
        <v>1529</v>
      </c>
      <c r="P513" s="139" t="s">
        <v>1297</v>
      </c>
    </row>
    <row r="514" spans="1:16">
      <c r="A514" s="104">
        <v>33</v>
      </c>
      <c r="B514" s="131">
        <v>46128</v>
      </c>
      <c r="C514" s="141">
        <v>4012</v>
      </c>
      <c r="D514" s="140" t="str">
        <f>IF(ISERROR(VLOOKUP(C514,'[1]خريطة الحسابات'!_xlnm.Print_Area,3,FALSE))," ",(VLOOKUP(C514,'[1]خريطة الحسابات'!_xlnm.Print_Area,3,FALSE)))</f>
        <v>عمرو ريحان</v>
      </c>
      <c r="E514" s="132"/>
      <c r="F514" s="133">
        <v>11655</v>
      </c>
      <c r="G514" s="133"/>
      <c r="H514" s="134">
        <f t="shared" si="21"/>
        <v>11655</v>
      </c>
      <c r="I514" s="134">
        <f t="shared" si="21"/>
        <v>0</v>
      </c>
      <c r="J514" s="134">
        <f t="shared" si="22"/>
        <v>11655</v>
      </c>
      <c r="K514" s="135"/>
      <c r="L514" s="136" t="str">
        <f t="shared" si="23"/>
        <v>مدين</v>
      </c>
      <c r="M514" s="137" t="str">
        <f>IF(ISERROR(VLOOKUP(C514,'[1]خريطة الحسابات'!_xlnm.Print_Area,4,FALSE))," ",(VLOOKUP(C514,'[1]خريطة الحسابات'!_xlnm.Print_Area,4,FALSE)))</f>
        <v xml:space="preserve">مقاولين </v>
      </c>
      <c r="N514" s="138" t="str">
        <f>IF(ISERROR(VLOOKUP(C514,'[1]خريطة الحسابات'!_xlnm.Print_Area,5,FALSE))," ",(VLOOKUP(C514,'[1]خريطة الحسابات'!_xlnm.Print_Area,5,FALSE)))</f>
        <v xml:space="preserve">الدائنون والأرصدة الدائنة الأخرى </v>
      </c>
      <c r="O514" s="139" t="s">
        <v>1530</v>
      </c>
      <c r="P514" s="139" t="s">
        <v>1304</v>
      </c>
    </row>
    <row r="515" spans="1:16">
      <c r="A515" s="104">
        <v>33</v>
      </c>
      <c r="B515" s="131">
        <v>46128</v>
      </c>
      <c r="C515" s="141">
        <v>4012</v>
      </c>
      <c r="D515" s="140" t="str">
        <f>IF(ISERROR(VLOOKUP(C515,'[1]خريطة الحسابات'!_xlnm.Print_Area,3,FALSE))," ",(VLOOKUP(C515,'[1]خريطة الحسابات'!_xlnm.Print_Area,3,FALSE)))</f>
        <v>عمرو ريحان</v>
      </c>
      <c r="E515" s="132"/>
      <c r="F515" s="133">
        <v>1300</v>
      </c>
      <c r="G515" s="133"/>
      <c r="H515" s="134">
        <f t="shared" si="21"/>
        <v>1300</v>
      </c>
      <c r="I515" s="134">
        <f t="shared" si="21"/>
        <v>0</v>
      </c>
      <c r="J515" s="134">
        <f t="shared" si="22"/>
        <v>1300</v>
      </c>
      <c r="K515" s="135"/>
      <c r="L515" s="136" t="str">
        <f t="shared" si="23"/>
        <v>مدين</v>
      </c>
      <c r="M515" s="137" t="str">
        <f>IF(ISERROR(VLOOKUP(C515,'[1]خريطة الحسابات'!_xlnm.Print_Area,4,FALSE))," ",(VLOOKUP(C515,'[1]خريطة الحسابات'!_xlnm.Print_Area,4,FALSE)))</f>
        <v xml:space="preserve">مقاولين </v>
      </c>
      <c r="N515" s="138" t="str">
        <f>IF(ISERROR(VLOOKUP(C515,'[1]خريطة الحسابات'!_xlnm.Print_Area,5,FALSE))," ",(VLOOKUP(C515,'[1]خريطة الحسابات'!_xlnm.Print_Area,5,FALSE)))</f>
        <v xml:space="preserve">الدائنون والأرصدة الدائنة الأخرى </v>
      </c>
      <c r="O515" s="139" t="s">
        <v>1531</v>
      </c>
      <c r="P515" s="139" t="s">
        <v>1297</v>
      </c>
    </row>
    <row r="516" spans="1:16">
      <c r="A516" s="104">
        <v>33</v>
      </c>
      <c r="B516" s="131">
        <v>46135</v>
      </c>
      <c r="C516" s="141">
        <v>4012</v>
      </c>
      <c r="D516" s="140" t="str">
        <f>IF(ISERROR(VLOOKUP(C516,'[1]خريطة الحسابات'!_xlnm.Print_Area,3,FALSE))," ",(VLOOKUP(C516,'[1]خريطة الحسابات'!_xlnm.Print_Area,3,FALSE)))</f>
        <v>عمرو ريحان</v>
      </c>
      <c r="E516" s="132"/>
      <c r="F516" s="133">
        <v>4006</v>
      </c>
      <c r="G516" s="133"/>
      <c r="H516" s="134">
        <f t="shared" si="21"/>
        <v>4006</v>
      </c>
      <c r="I516" s="134">
        <f t="shared" si="21"/>
        <v>0</v>
      </c>
      <c r="J516" s="134">
        <f t="shared" si="22"/>
        <v>4006</v>
      </c>
      <c r="K516" s="135"/>
      <c r="L516" s="136" t="str">
        <f t="shared" si="23"/>
        <v>مدين</v>
      </c>
      <c r="M516" s="137" t="str">
        <f>IF(ISERROR(VLOOKUP(C516,'[1]خريطة الحسابات'!_xlnm.Print_Area,4,FALSE))," ",(VLOOKUP(C516,'[1]خريطة الحسابات'!_xlnm.Print_Area,4,FALSE)))</f>
        <v xml:space="preserve">مقاولين </v>
      </c>
      <c r="N516" s="138" t="str">
        <f>IF(ISERROR(VLOOKUP(C516,'[1]خريطة الحسابات'!_xlnm.Print_Area,5,FALSE))," ",(VLOOKUP(C516,'[1]خريطة الحسابات'!_xlnm.Print_Area,5,FALSE)))</f>
        <v xml:space="preserve">الدائنون والأرصدة الدائنة الأخرى </v>
      </c>
      <c r="O516" s="139" t="s">
        <v>1532</v>
      </c>
      <c r="P516" s="139" t="s">
        <v>1295</v>
      </c>
    </row>
    <row r="517" spans="1:16">
      <c r="A517" s="104">
        <v>33</v>
      </c>
      <c r="B517" s="131">
        <v>46142</v>
      </c>
      <c r="C517" s="141">
        <v>4012</v>
      </c>
      <c r="D517" s="140" t="str">
        <f>IF(ISERROR(VLOOKUP(C517,'[1]خريطة الحسابات'!_xlnm.Print_Area,3,FALSE))," ",(VLOOKUP(C517,'[1]خريطة الحسابات'!_xlnm.Print_Area,3,FALSE)))</f>
        <v>عمرو ريحان</v>
      </c>
      <c r="E517" s="132"/>
      <c r="F517" s="133">
        <v>3500</v>
      </c>
      <c r="G517" s="133"/>
      <c r="H517" s="134">
        <f t="shared" si="21"/>
        <v>3500</v>
      </c>
      <c r="I517" s="134">
        <f t="shared" si="21"/>
        <v>0</v>
      </c>
      <c r="J517" s="134">
        <f t="shared" si="22"/>
        <v>3500</v>
      </c>
      <c r="K517" s="135"/>
      <c r="L517" s="136" t="str">
        <f t="shared" si="23"/>
        <v>مدين</v>
      </c>
      <c r="M517" s="137" t="str">
        <f>IF(ISERROR(VLOOKUP(C517,'[1]خريطة الحسابات'!_xlnm.Print_Area,4,FALSE))," ",(VLOOKUP(C517,'[1]خريطة الحسابات'!_xlnm.Print_Area,4,FALSE)))</f>
        <v xml:space="preserve">مقاولين </v>
      </c>
      <c r="N517" s="138" t="str">
        <f>IF(ISERROR(VLOOKUP(C517,'[1]خريطة الحسابات'!_xlnm.Print_Area,5,FALSE))," ",(VLOOKUP(C517,'[1]خريطة الحسابات'!_xlnm.Print_Area,5,FALSE)))</f>
        <v xml:space="preserve">الدائنون والأرصدة الدائنة الأخرى </v>
      </c>
      <c r="O517" s="139" t="s">
        <v>1533</v>
      </c>
      <c r="P517" s="139" t="s">
        <v>1415</v>
      </c>
    </row>
    <row r="518" spans="1:16">
      <c r="A518" s="104">
        <v>33</v>
      </c>
      <c r="B518" s="131">
        <v>46156</v>
      </c>
      <c r="C518" s="141">
        <v>4012</v>
      </c>
      <c r="D518" s="140" t="str">
        <f>IF(ISERROR(VLOOKUP(C518,'[1]خريطة الحسابات'!_xlnm.Print_Area,3,FALSE))," ",(VLOOKUP(C518,'[1]خريطة الحسابات'!_xlnm.Print_Area,3,FALSE)))</f>
        <v>عمرو ريحان</v>
      </c>
      <c r="E518" s="132"/>
      <c r="F518" s="133">
        <v>13480</v>
      </c>
      <c r="G518" s="133"/>
      <c r="H518" s="134">
        <f t="shared" si="21"/>
        <v>13480</v>
      </c>
      <c r="I518" s="134">
        <f t="shared" si="21"/>
        <v>0</v>
      </c>
      <c r="J518" s="134">
        <f t="shared" si="22"/>
        <v>13480</v>
      </c>
      <c r="K518" s="135"/>
      <c r="L518" s="136" t="str">
        <f t="shared" si="23"/>
        <v>مدين</v>
      </c>
      <c r="M518" s="137" t="str">
        <f>IF(ISERROR(VLOOKUP(C518,'[1]خريطة الحسابات'!_xlnm.Print_Area,4,FALSE))," ",(VLOOKUP(C518,'[1]خريطة الحسابات'!_xlnm.Print_Area,4,FALSE)))</f>
        <v xml:space="preserve">مقاولين </v>
      </c>
      <c r="N518" s="138" t="str">
        <f>IF(ISERROR(VLOOKUP(C518,'[1]خريطة الحسابات'!_xlnm.Print_Area,5,FALSE))," ",(VLOOKUP(C518,'[1]خريطة الحسابات'!_xlnm.Print_Area,5,FALSE)))</f>
        <v xml:space="preserve">الدائنون والأرصدة الدائنة الأخرى </v>
      </c>
      <c r="O518" s="139" t="s">
        <v>1534</v>
      </c>
      <c r="P518" s="139" t="s">
        <v>1405</v>
      </c>
    </row>
    <row r="519" spans="1:16">
      <c r="A519" s="104">
        <v>33</v>
      </c>
      <c r="B519" s="131">
        <v>46175</v>
      </c>
      <c r="C519" s="141">
        <v>4012</v>
      </c>
      <c r="D519" s="140" t="str">
        <f>IF(ISERROR(VLOOKUP(C519,'[1]خريطة الحسابات'!_xlnm.Print_Area,3,FALSE))," ",(VLOOKUP(C519,'[1]خريطة الحسابات'!_xlnm.Print_Area,3,FALSE)))</f>
        <v>عمرو ريحان</v>
      </c>
      <c r="E519" s="132"/>
      <c r="F519" s="133">
        <v>10000</v>
      </c>
      <c r="G519" s="133"/>
      <c r="H519" s="134">
        <f t="shared" si="21"/>
        <v>10000</v>
      </c>
      <c r="I519" s="134">
        <f t="shared" si="21"/>
        <v>0</v>
      </c>
      <c r="J519" s="134">
        <f t="shared" si="22"/>
        <v>10000</v>
      </c>
      <c r="K519" s="135"/>
      <c r="L519" s="136" t="str">
        <f t="shared" si="23"/>
        <v>مدين</v>
      </c>
      <c r="M519" s="137" t="str">
        <f>IF(ISERROR(VLOOKUP(C519,'[1]خريطة الحسابات'!_xlnm.Print_Area,4,FALSE))," ",(VLOOKUP(C519,'[1]خريطة الحسابات'!_xlnm.Print_Area,4,FALSE)))</f>
        <v xml:space="preserve">مقاولين </v>
      </c>
      <c r="N519" s="138" t="str">
        <f>IF(ISERROR(VLOOKUP(C519,'[1]خريطة الحسابات'!_xlnm.Print_Area,5,FALSE))," ",(VLOOKUP(C519,'[1]خريطة الحسابات'!_xlnm.Print_Area,5,FALSE)))</f>
        <v xml:space="preserve">الدائنون والأرصدة الدائنة الأخرى </v>
      </c>
      <c r="O519" s="139" t="s">
        <v>1535</v>
      </c>
      <c r="P519" s="139" t="s">
        <v>1290</v>
      </c>
    </row>
    <row r="520" spans="1:16">
      <c r="A520" s="104">
        <v>33</v>
      </c>
      <c r="B520" s="131">
        <v>46184</v>
      </c>
      <c r="C520" s="141">
        <v>4012</v>
      </c>
      <c r="D520" s="140" t="str">
        <f>IF(ISERROR(VLOOKUP(C520,'[1]خريطة الحسابات'!_xlnm.Print_Area,3,FALSE))," ",(VLOOKUP(C520,'[1]خريطة الحسابات'!_xlnm.Print_Area,3,FALSE)))</f>
        <v>عمرو ريحان</v>
      </c>
      <c r="E520" s="132"/>
      <c r="F520" s="133">
        <v>17020</v>
      </c>
      <c r="G520" s="133"/>
      <c r="H520" s="134">
        <f t="shared" si="21"/>
        <v>17020</v>
      </c>
      <c r="I520" s="134">
        <f t="shared" si="21"/>
        <v>0</v>
      </c>
      <c r="J520" s="134">
        <f t="shared" si="22"/>
        <v>17020</v>
      </c>
      <c r="K520" s="135"/>
      <c r="L520" s="136" t="str">
        <f t="shared" si="23"/>
        <v>مدين</v>
      </c>
      <c r="M520" s="137" t="str">
        <f>IF(ISERROR(VLOOKUP(C520,'[1]خريطة الحسابات'!_xlnm.Print_Area,4,FALSE))," ",(VLOOKUP(C520,'[1]خريطة الحسابات'!_xlnm.Print_Area,4,FALSE)))</f>
        <v xml:space="preserve">مقاولين </v>
      </c>
      <c r="N520" s="138" t="str">
        <f>IF(ISERROR(VLOOKUP(C520,'[1]خريطة الحسابات'!_xlnm.Print_Area,5,FALSE))," ",(VLOOKUP(C520,'[1]خريطة الحسابات'!_xlnm.Print_Area,5,FALSE)))</f>
        <v xml:space="preserve">الدائنون والأرصدة الدائنة الأخرى </v>
      </c>
      <c r="O520" s="139" t="s">
        <v>1536</v>
      </c>
      <c r="P520" s="139" t="s">
        <v>1290</v>
      </c>
    </row>
    <row r="521" spans="1:16">
      <c r="A521" s="104">
        <v>33</v>
      </c>
      <c r="B521" s="131">
        <v>46029</v>
      </c>
      <c r="C521" s="141">
        <v>20</v>
      </c>
      <c r="D521" s="140" t="str">
        <f>IF(ISERROR(VLOOKUP(C521,'[1]خريطة الحسابات'!_xlnm.Print_Area,3,FALSE))," ",(VLOOKUP(C521,'[1]خريطة الحسابات'!_xlnm.Print_Area,3,FALSE)))</f>
        <v xml:space="preserve">الخزينة </v>
      </c>
      <c r="E521" s="132"/>
      <c r="F521" s="133"/>
      <c r="G521" s="133">
        <v>20020</v>
      </c>
      <c r="H521" s="134">
        <f t="shared" si="21"/>
        <v>0</v>
      </c>
      <c r="I521" s="134">
        <f t="shared" si="21"/>
        <v>20020</v>
      </c>
      <c r="J521" s="134">
        <f t="shared" si="22"/>
        <v>-20020</v>
      </c>
      <c r="K521" s="135"/>
      <c r="L521" s="136" t="str">
        <f t="shared" si="23"/>
        <v>دائن</v>
      </c>
      <c r="M521" s="137" t="str">
        <f>IF(ISERROR(VLOOKUP(C521,'[1]خريطة الحسابات'!_xlnm.Print_Area,4,FALSE))," ",(VLOOKUP(C521,'[1]خريطة الحسابات'!_xlnm.Print_Area,4,FALSE)))</f>
        <v xml:space="preserve">أصول متداوله -النقدية ومافي حكمها </v>
      </c>
      <c r="N521" s="138" t="str">
        <f>IF(ISERROR(VLOOKUP(C521,'[1]خريطة الحسابات'!_xlnm.Print_Area,5,FALSE))," ",(VLOOKUP(C521,'[1]خريطة الحسابات'!_xlnm.Print_Area,5,FALSE)))</f>
        <v>الاصول</v>
      </c>
      <c r="O521" s="139" t="s">
        <v>1521</v>
      </c>
      <c r="P521" s="139" t="s">
        <v>1297</v>
      </c>
    </row>
    <row r="522" spans="1:16">
      <c r="A522" s="104">
        <v>33</v>
      </c>
      <c r="B522" s="131">
        <v>46036</v>
      </c>
      <c r="C522" s="141">
        <v>20</v>
      </c>
      <c r="D522" s="140" t="str">
        <f>IF(ISERROR(VLOOKUP(C522,'[1]خريطة الحسابات'!_xlnm.Print_Area,3,FALSE))," ",(VLOOKUP(C522,'[1]خريطة الحسابات'!_xlnm.Print_Area,3,FALSE)))</f>
        <v xml:space="preserve">الخزينة </v>
      </c>
      <c r="E522" s="132"/>
      <c r="F522" s="133"/>
      <c r="G522" s="133">
        <v>4800</v>
      </c>
      <c r="H522" s="134">
        <f t="shared" si="21"/>
        <v>0</v>
      </c>
      <c r="I522" s="134">
        <f t="shared" si="21"/>
        <v>4800</v>
      </c>
      <c r="J522" s="134">
        <f t="shared" si="22"/>
        <v>-4800</v>
      </c>
      <c r="K522" s="135"/>
      <c r="L522" s="136" t="str">
        <f t="shared" si="23"/>
        <v>دائن</v>
      </c>
      <c r="M522" s="137" t="str">
        <f>IF(ISERROR(VLOOKUP(C522,'[1]خريطة الحسابات'!_xlnm.Print_Area,4,FALSE))," ",(VLOOKUP(C522,'[1]خريطة الحسابات'!_xlnm.Print_Area,4,FALSE)))</f>
        <v xml:space="preserve">أصول متداوله -النقدية ومافي حكمها </v>
      </c>
      <c r="N522" s="138" t="str">
        <f>IF(ISERROR(VLOOKUP(C522,'[1]خريطة الحسابات'!_xlnm.Print_Area,5,FALSE))," ",(VLOOKUP(C522,'[1]خريطة الحسابات'!_xlnm.Print_Area,5,FALSE)))</f>
        <v>الاصول</v>
      </c>
      <c r="O522" s="139" t="s">
        <v>1522</v>
      </c>
      <c r="P522" s="139" t="s">
        <v>1304</v>
      </c>
    </row>
    <row r="523" spans="1:16">
      <c r="A523" s="104">
        <v>33</v>
      </c>
      <c r="B523" s="131">
        <v>46058</v>
      </c>
      <c r="C523" s="141">
        <v>20</v>
      </c>
      <c r="D523" s="140" t="str">
        <f>IF(ISERROR(VLOOKUP(C523,'[1]خريطة الحسابات'!_xlnm.Print_Area,3,FALSE))," ",(VLOOKUP(C523,'[1]خريطة الحسابات'!_xlnm.Print_Area,3,FALSE)))</f>
        <v xml:space="preserve">الخزينة </v>
      </c>
      <c r="E523" s="132"/>
      <c r="F523" s="133"/>
      <c r="G523" s="133">
        <v>600</v>
      </c>
      <c r="H523" s="134">
        <f t="shared" si="21"/>
        <v>0</v>
      </c>
      <c r="I523" s="134">
        <f t="shared" si="21"/>
        <v>600</v>
      </c>
      <c r="J523" s="134">
        <f t="shared" si="22"/>
        <v>-600</v>
      </c>
      <c r="K523" s="135"/>
      <c r="L523" s="136" t="str">
        <f t="shared" si="23"/>
        <v>دائن</v>
      </c>
      <c r="M523" s="137" t="str">
        <f>IF(ISERROR(VLOOKUP(C523,'[1]خريطة الحسابات'!_xlnm.Print_Area,4,FALSE))," ",(VLOOKUP(C523,'[1]خريطة الحسابات'!_xlnm.Print_Area,4,FALSE)))</f>
        <v xml:space="preserve">أصول متداوله -النقدية ومافي حكمها </v>
      </c>
      <c r="N523" s="138" t="str">
        <f>IF(ISERROR(VLOOKUP(C523,'[1]خريطة الحسابات'!_xlnm.Print_Area,5,FALSE))," ",(VLOOKUP(C523,'[1]خريطة الحسابات'!_xlnm.Print_Area,5,FALSE)))</f>
        <v>الاصول</v>
      </c>
      <c r="O523" s="139" t="s">
        <v>1523</v>
      </c>
      <c r="P523" s="139" t="s">
        <v>1304</v>
      </c>
    </row>
    <row r="524" spans="1:16">
      <c r="A524" s="104">
        <v>33</v>
      </c>
      <c r="B524" s="131">
        <v>46065</v>
      </c>
      <c r="C524" s="141">
        <v>20</v>
      </c>
      <c r="D524" s="140" t="str">
        <f>IF(ISERROR(VLOOKUP(C524,'[1]خريطة الحسابات'!_xlnm.Print_Area,3,FALSE))," ",(VLOOKUP(C524,'[1]خريطة الحسابات'!_xlnm.Print_Area,3,FALSE)))</f>
        <v xml:space="preserve">الخزينة </v>
      </c>
      <c r="E524" s="132"/>
      <c r="F524" s="133"/>
      <c r="G524" s="133">
        <v>15015</v>
      </c>
      <c r="H524" s="134">
        <f t="shared" si="21"/>
        <v>0</v>
      </c>
      <c r="I524" s="134">
        <f t="shared" si="21"/>
        <v>15015</v>
      </c>
      <c r="J524" s="134">
        <f t="shared" si="22"/>
        <v>-15015</v>
      </c>
      <c r="K524" s="135"/>
      <c r="L524" s="136" t="str">
        <f t="shared" si="23"/>
        <v>دائن</v>
      </c>
      <c r="M524" s="137" t="str">
        <f>IF(ISERROR(VLOOKUP(C524,'[1]خريطة الحسابات'!_xlnm.Print_Area,4,FALSE))," ",(VLOOKUP(C524,'[1]خريطة الحسابات'!_xlnm.Print_Area,4,FALSE)))</f>
        <v xml:space="preserve">أصول متداوله -النقدية ومافي حكمها </v>
      </c>
      <c r="N524" s="138" t="str">
        <f>IF(ISERROR(VLOOKUP(C524,'[1]خريطة الحسابات'!_xlnm.Print_Area,5,FALSE))," ",(VLOOKUP(C524,'[1]خريطة الحسابات'!_xlnm.Print_Area,5,FALSE)))</f>
        <v>الاصول</v>
      </c>
      <c r="O524" s="139" t="s">
        <v>1524</v>
      </c>
      <c r="P524" s="139" t="s">
        <v>1290</v>
      </c>
    </row>
    <row r="525" spans="1:16">
      <c r="A525" s="104">
        <v>33</v>
      </c>
      <c r="B525" s="131">
        <v>46070</v>
      </c>
      <c r="C525" s="141">
        <v>20</v>
      </c>
      <c r="D525" s="140" t="str">
        <f>IF(ISERROR(VLOOKUP(C525,'[1]خريطة الحسابات'!_xlnm.Print_Area,3,FALSE))," ",(VLOOKUP(C525,'[1]خريطة الحسابات'!_xlnm.Print_Area,3,FALSE)))</f>
        <v xml:space="preserve">الخزينة </v>
      </c>
      <c r="E525" s="132"/>
      <c r="F525" s="133"/>
      <c r="G525" s="133">
        <v>11980</v>
      </c>
      <c r="H525" s="134">
        <f t="shared" si="21"/>
        <v>0</v>
      </c>
      <c r="I525" s="134">
        <f t="shared" si="21"/>
        <v>11980</v>
      </c>
      <c r="J525" s="134">
        <f t="shared" si="22"/>
        <v>-11980</v>
      </c>
      <c r="K525" s="135"/>
      <c r="L525" s="136" t="str">
        <f t="shared" si="23"/>
        <v>دائن</v>
      </c>
      <c r="M525" s="137" t="str">
        <f>IF(ISERROR(VLOOKUP(C525,'[1]خريطة الحسابات'!_xlnm.Print_Area,4,FALSE))," ",(VLOOKUP(C525,'[1]خريطة الحسابات'!_xlnm.Print_Area,4,FALSE)))</f>
        <v xml:space="preserve">أصول متداوله -النقدية ومافي حكمها </v>
      </c>
      <c r="N525" s="138" t="str">
        <f>IF(ISERROR(VLOOKUP(C525,'[1]خريطة الحسابات'!_xlnm.Print_Area,5,FALSE))," ",(VLOOKUP(C525,'[1]خريطة الحسابات'!_xlnm.Print_Area,5,FALSE)))</f>
        <v>الاصول</v>
      </c>
      <c r="O525" s="139" t="s">
        <v>1525</v>
      </c>
      <c r="P525" s="139" t="s">
        <v>1290</v>
      </c>
    </row>
    <row r="526" spans="1:16">
      <c r="A526" s="104">
        <v>33</v>
      </c>
      <c r="B526" s="131">
        <v>46086</v>
      </c>
      <c r="C526" s="141">
        <v>20</v>
      </c>
      <c r="D526" s="140" t="str">
        <f>IF(ISERROR(VLOOKUP(C526,'[1]خريطة الحسابات'!_xlnm.Print_Area,3,FALSE))," ",(VLOOKUP(C526,'[1]خريطة الحسابات'!_xlnm.Print_Area,3,FALSE)))</f>
        <v xml:space="preserve">الخزينة </v>
      </c>
      <c r="E526" s="132"/>
      <c r="F526" s="133"/>
      <c r="G526" s="133">
        <v>10010</v>
      </c>
      <c r="H526" s="134">
        <f t="shared" si="21"/>
        <v>0</v>
      </c>
      <c r="I526" s="134">
        <f t="shared" si="21"/>
        <v>10010</v>
      </c>
      <c r="J526" s="134">
        <f t="shared" si="22"/>
        <v>-10010</v>
      </c>
      <c r="K526" s="135"/>
      <c r="L526" s="136" t="str">
        <f t="shared" si="23"/>
        <v>دائن</v>
      </c>
      <c r="M526" s="137" t="str">
        <f>IF(ISERROR(VLOOKUP(C526,'[1]خريطة الحسابات'!_xlnm.Print_Area,4,FALSE))," ",(VLOOKUP(C526,'[1]خريطة الحسابات'!_xlnm.Print_Area,4,FALSE)))</f>
        <v xml:space="preserve">أصول متداوله -النقدية ومافي حكمها </v>
      </c>
      <c r="N526" s="138" t="str">
        <f>IF(ISERROR(VLOOKUP(C526,'[1]خريطة الحسابات'!_xlnm.Print_Area,5,FALSE))," ",(VLOOKUP(C526,'[1]خريطة الحسابات'!_xlnm.Print_Area,5,FALSE)))</f>
        <v>الاصول</v>
      </c>
      <c r="O526" s="139" t="s">
        <v>1526</v>
      </c>
      <c r="P526" s="139" t="s">
        <v>1295</v>
      </c>
    </row>
    <row r="527" spans="1:16">
      <c r="A527" s="104">
        <v>33</v>
      </c>
      <c r="B527" s="131">
        <v>46096</v>
      </c>
      <c r="C527" s="141">
        <v>20</v>
      </c>
      <c r="D527" s="140" t="str">
        <f>IF(ISERROR(VLOOKUP(C527,'[1]خريطة الحسابات'!_xlnm.Print_Area,3,FALSE))," ",(VLOOKUP(C527,'[1]خريطة الحسابات'!_xlnm.Print_Area,3,FALSE)))</f>
        <v xml:space="preserve">الخزينة </v>
      </c>
      <c r="E527" s="132"/>
      <c r="F527" s="133"/>
      <c r="G527" s="133">
        <v>5005</v>
      </c>
      <c r="H527" s="134">
        <f t="shared" si="21"/>
        <v>0</v>
      </c>
      <c r="I527" s="134">
        <f t="shared" si="21"/>
        <v>5005</v>
      </c>
      <c r="J527" s="134">
        <f t="shared" si="22"/>
        <v>-5005</v>
      </c>
      <c r="K527" s="135"/>
      <c r="L527" s="136" t="str">
        <f t="shared" si="23"/>
        <v>دائن</v>
      </c>
      <c r="M527" s="137" t="str">
        <f>IF(ISERROR(VLOOKUP(C527,'[1]خريطة الحسابات'!_xlnm.Print_Area,4,FALSE))," ",(VLOOKUP(C527,'[1]خريطة الحسابات'!_xlnm.Print_Area,4,FALSE)))</f>
        <v xml:space="preserve">أصول متداوله -النقدية ومافي حكمها </v>
      </c>
      <c r="N527" s="138" t="str">
        <f>IF(ISERROR(VLOOKUP(C527,'[1]خريطة الحسابات'!_xlnm.Print_Area,5,FALSE))," ",(VLOOKUP(C527,'[1]خريطة الحسابات'!_xlnm.Print_Area,5,FALSE)))</f>
        <v>الاصول</v>
      </c>
      <c r="O527" s="139" t="s">
        <v>1527</v>
      </c>
      <c r="P527" s="139" t="s">
        <v>1290</v>
      </c>
    </row>
    <row r="528" spans="1:16">
      <c r="A528" s="104">
        <v>33</v>
      </c>
      <c r="B528" s="131">
        <v>46099</v>
      </c>
      <c r="C528" s="141">
        <v>20</v>
      </c>
      <c r="D528" s="140" t="str">
        <f>IF(ISERROR(VLOOKUP(C528,'[1]خريطة الحسابات'!_xlnm.Print_Area,3,FALSE))," ",(VLOOKUP(C528,'[1]خريطة الحسابات'!_xlnm.Print_Area,3,FALSE)))</f>
        <v xml:space="preserve">الخزينة </v>
      </c>
      <c r="E528" s="132"/>
      <c r="F528" s="133"/>
      <c r="G528" s="133">
        <v>5500</v>
      </c>
      <c r="H528" s="134">
        <f t="shared" si="21"/>
        <v>0</v>
      </c>
      <c r="I528" s="134">
        <f t="shared" si="21"/>
        <v>5500</v>
      </c>
      <c r="J528" s="134">
        <f t="shared" si="22"/>
        <v>-5500</v>
      </c>
      <c r="K528" s="135"/>
      <c r="L528" s="136" t="str">
        <f t="shared" si="23"/>
        <v>دائن</v>
      </c>
      <c r="M528" s="137" t="str">
        <f>IF(ISERROR(VLOOKUP(C528,'[1]خريطة الحسابات'!_xlnm.Print_Area,4,FALSE))," ",(VLOOKUP(C528,'[1]خريطة الحسابات'!_xlnm.Print_Area,4,FALSE)))</f>
        <v xml:space="preserve">أصول متداوله -النقدية ومافي حكمها </v>
      </c>
      <c r="N528" s="138" t="str">
        <f>IF(ISERROR(VLOOKUP(C528,'[1]خريطة الحسابات'!_xlnm.Print_Area,5,FALSE))," ",(VLOOKUP(C528,'[1]خريطة الحسابات'!_xlnm.Print_Area,5,FALSE)))</f>
        <v>الاصول</v>
      </c>
      <c r="O528" s="139" t="s">
        <v>1528</v>
      </c>
      <c r="P528" s="139" t="s">
        <v>1295</v>
      </c>
    </row>
    <row r="529" spans="1:16">
      <c r="A529" s="104">
        <v>33</v>
      </c>
      <c r="B529" s="131">
        <v>46121</v>
      </c>
      <c r="C529" s="141">
        <v>20</v>
      </c>
      <c r="D529" s="140" t="str">
        <f>IF(ISERROR(VLOOKUP(C529,'[1]خريطة الحسابات'!_xlnm.Print_Area,3,FALSE))," ",(VLOOKUP(C529,'[1]خريطة الحسابات'!_xlnm.Print_Area,3,FALSE)))</f>
        <v xml:space="preserve">الخزينة </v>
      </c>
      <c r="E529" s="132"/>
      <c r="F529" s="133"/>
      <c r="G529" s="133">
        <v>1300</v>
      </c>
      <c r="H529" s="134">
        <f t="shared" si="21"/>
        <v>0</v>
      </c>
      <c r="I529" s="134">
        <f t="shared" si="21"/>
        <v>1300</v>
      </c>
      <c r="J529" s="134">
        <f t="shared" si="22"/>
        <v>-1300</v>
      </c>
      <c r="K529" s="135"/>
      <c r="L529" s="136" t="str">
        <f t="shared" si="23"/>
        <v>دائن</v>
      </c>
      <c r="M529" s="137" t="str">
        <f>IF(ISERROR(VLOOKUP(C529,'[1]خريطة الحسابات'!_xlnm.Print_Area,4,FALSE))," ",(VLOOKUP(C529,'[1]خريطة الحسابات'!_xlnm.Print_Area,4,FALSE)))</f>
        <v xml:space="preserve">أصول متداوله -النقدية ومافي حكمها </v>
      </c>
      <c r="N529" s="138" t="str">
        <f>IF(ISERROR(VLOOKUP(C529,'[1]خريطة الحسابات'!_xlnm.Print_Area,5,FALSE))," ",(VLOOKUP(C529,'[1]خريطة الحسابات'!_xlnm.Print_Area,5,FALSE)))</f>
        <v>الاصول</v>
      </c>
      <c r="O529" s="139" t="s">
        <v>1529</v>
      </c>
      <c r="P529" s="139" t="s">
        <v>1297</v>
      </c>
    </row>
    <row r="530" spans="1:16">
      <c r="A530" s="104">
        <v>33</v>
      </c>
      <c r="B530" s="131">
        <v>46128</v>
      </c>
      <c r="C530" s="141">
        <v>20</v>
      </c>
      <c r="D530" s="140" t="str">
        <f>IF(ISERROR(VLOOKUP(C530,'[1]خريطة الحسابات'!_xlnm.Print_Area,3,FALSE))," ",(VLOOKUP(C530,'[1]خريطة الحسابات'!_xlnm.Print_Area,3,FALSE)))</f>
        <v xml:space="preserve">الخزينة </v>
      </c>
      <c r="E530" s="132"/>
      <c r="F530" s="133"/>
      <c r="G530" s="133">
        <v>11655</v>
      </c>
      <c r="H530" s="134">
        <f t="shared" si="21"/>
        <v>0</v>
      </c>
      <c r="I530" s="134">
        <f t="shared" si="21"/>
        <v>11655</v>
      </c>
      <c r="J530" s="134">
        <f t="shared" si="22"/>
        <v>-11655</v>
      </c>
      <c r="K530" s="135"/>
      <c r="L530" s="136" t="str">
        <f t="shared" si="23"/>
        <v>دائن</v>
      </c>
      <c r="M530" s="137" t="str">
        <f>IF(ISERROR(VLOOKUP(C530,'[1]خريطة الحسابات'!_xlnm.Print_Area,4,FALSE))," ",(VLOOKUP(C530,'[1]خريطة الحسابات'!_xlnm.Print_Area,4,FALSE)))</f>
        <v xml:space="preserve">أصول متداوله -النقدية ومافي حكمها </v>
      </c>
      <c r="N530" s="138" t="str">
        <f>IF(ISERROR(VLOOKUP(C530,'[1]خريطة الحسابات'!_xlnm.Print_Area,5,FALSE))," ",(VLOOKUP(C530,'[1]خريطة الحسابات'!_xlnm.Print_Area,5,FALSE)))</f>
        <v>الاصول</v>
      </c>
      <c r="O530" s="139" t="s">
        <v>1530</v>
      </c>
      <c r="P530" s="139" t="s">
        <v>1304</v>
      </c>
    </row>
    <row r="531" spans="1:16">
      <c r="A531" s="104">
        <v>33</v>
      </c>
      <c r="B531" s="131">
        <v>46128</v>
      </c>
      <c r="C531" s="141">
        <v>20</v>
      </c>
      <c r="D531" s="140" t="str">
        <f>IF(ISERROR(VLOOKUP(C531,'[1]خريطة الحسابات'!_xlnm.Print_Area,3,FALSE))," ",(VLOOKUP(C531,'[1]خريطة الحسابات'!_xlnm.Print_Area,3,FALSE)))</f>
        <v xml:space="preserve">الخزينة </v>
      </c>
      <c r="E531" s="132"/>
      <c r="F531" s="133"/>
      <c r="G531" s="133">
        <v>1300</v>
      </c>
      <c r="H531" s="134">
        <f t="shared" si="21"/>
        <v>0</v>
      </c>
      <c r="I531" s="134">
        <f t="shared" si="21"/>
        <v>1300</v>
      </c>
      <c r="J531" s="134">
        <f t="shared" si="22"/>
        <v>-1300</v>
      </c>
      <c r="K531" s="135"/>
      <c r="L531" s="136" t="str">
        <f t="shared" si="23"/>
        <v>دائن</v>
      </c>
      <c r="M531" s="137" t="str">
        <f>IF(ISERROR(VLOOKUP(C531,'[1]خريطة الحسابات'!_xlnm.Print_Area,4,FALSE))," ",(VLOOKUP(C531,'[1]خريطة الحسابات'!_xlnm.Print_Area,4,FALSE)))</f>
        <v xml:space="preserve">أصول متداوله -النقدية ومافي حكمها </v>
      </c>
      <c r="N531" s="138" t="str">
        <f>IF(ISERROR(VLOOKUP(C531,'[1]خريطة الحسابات'!_xlnm.Print_Area,5,FALSE))," ",(VLOOKUP(C531,'[1]خريطة الحسابات'!_xlnm.Print_Area,5,FALSE)))</f>
        <v>الاصول</v>
      </c>
      <c r="O531" s="139" t="s">
        <v>1531</v>
      </c>
      <c r="P531" s="139" t="s">
        <v>1297</v>
      </c>
    </row>
    <row r="532" spans="1:16">
      <c r="A532" s="104">
        <v>33</v>
      </c>
      <c r="B532" s="131">
        <v>46135</v>
      </c>
      <c r="C532" s="141">
        <v>20</v>
      </c>
      <c r="D532" s="140" t="str">
        <f>IF(ISERROR(VLOOKUP(C532,'[1]خريطة الحسابات'!_xlnm.Print_Area,3,FALSE))," ",(VLOOKUP(C532,'[1]خريطة الحسابات'!_xlnm.Print_Area,3,FALSE)))</f>
        <v xml:space="preserve">الخزينة </v>
      </c>
      <c r="E532" s="132"/>
      <c r="F532" s="133"/>
      <c r="G532" s="133">
        <v>4006</v>
      </c>
      <c r="H532" s="134">
        <f t="shared" si="21"/>
        <v>0</v>
      </c>
      <c r="I532" s="134">
        <f t="shared" si="21"/>
        <v>4006</v>
      </c>
      <c r="J532" s="134">
        <f t="shared" si="22"/>
        <v>-4006</v>
      </c>
      <c r="K532" s="135"/>
      <c r="L532" s="136" t="str">
        <f t="shared" si="23"/>
        <v>دائن</v>
      </c>
      <c r="M532" s="137" t="str">
        <f>IF(ISERROR(VLOOKUP(C532,'[1]خريطة الحسابات'!_xlnm.Print_Area,4,FALSE))," ",(VLOOKUP(C532,'[1]خريطة الحسابات'!_xlnm.Print_Area,4,FALSE)))</f>
        <v xml:space="preserve">أصول متداوله -النقدية ومافي حكمها </v>
      </c>
      <c r="N532" s="138" t="str">
        <f>IF(ISERROR(VLOOKUP(C532,'[1]خريطة الحسابات'!_xlnm.Print_Area,5,FALSE))," ",(VLOOKUP(C532,'[1]خريطة الحسابات'!_xlnm.Print_Area,5,FALSE)))</f>
        <v>الاصول</v>
      </c>
      <c r="O532" s="139" t="s">
        <v>1532</v>
      </c>
      <c r="P532" s="139" t="s">
        <v>1295</v>
      </c>
    </row>
    <row r="533" spans="1:16">
      <c r="A533" s="104">
        <v>33</v>
      </c>
      <c r="B533" s="131">
        <v>46142</v>
      </c>
      <c r="C533" s="141">
        <v>20</v>
      </c>
      <c r="D533" s="140" t="str">
        <f>IF(ISERROR(VLOOKUP(C533,'[1]خريطة الحسابات'!_xlnm.Print_Area,3,FALSE))," ",(VLOOKUP(C533,'[1]خريطة الحسابات'!_xlnm.Print_Area,3,FALSE)))</f>
        <v xml:space="preserve">الخزينة </v>
      </c>
      <c r="E533" s="132"/>
      <c r="F533" s="133"/>
      <c r="G533" s="133">
        <v>3500</v>
      </c>
      <c r="H533" s="134">
        <f t="shared" si="21"/>
        <v>0</v>
      </c>
      <c r="I533" s="134">
        <f t="shared" si="21"/>
        <v>3500</v>
      </c>
      <c r="J533" s="134">
        <f t="shared" si="22"/>
        <v>-3500</v>
      </c>
      <c r="K533" s="135"/>
      <c r="L533" s="136" t="str">
        <f t="shared" si="23"/>
        <v>دائن</v>
      </c>
      <c r="M533" s="137" t="str">
        <f>IF(ISERROR(VLOOKUP(C533,'[1]خريطة الحسابات'!_xlnm.Print_Area,4,FALSE))," ",(VLOOKUP(C533,'[1]خريطة الحسابات'!_xlnm.Print_Area,4,FALSE)))</f>
        <v xml:space="preserve">أصول متداوله -النقدية ومافي حكمها </v>
      </c>
      <c r="N533" s="138" t="str">
        <f>IF(ISERROR(VLOOKUP(C533,'[1]خريطة الحسابات'!_xlnm.Print_Area,5,FALSE))," ",(VLOOKUP(C533,'[1]خريطة الحسابات'!_xlnm.Print_Area,5,FALSE)))</f>
        <v>الاصول</v>
      </c>
      <c r="O533" s="139" t="s">
        <v>1533</v>
      </c>
      <c r="P533" s="139" t="s">
        <v>1415</v>
      </c>
    </row>
    <row r="534" spans="1:16">
      <c r="A534" s="104">
        <v>33</v>
      </c>
      <c r="B534" s="131">
        <v>46156</v>
      </c>
      <c r="C534" s="141">
        <v>20</v>
      </c>
      <c r="D534" s="140" t="str">
        <f>IF(ISERROR(VLOOKUP(C534,'[1]خريطة الحسابات'!_xlnm.Print_Area,3,FALSE))," ",(VLOOKUP(C534,'[1]خريطة الحسابات'!_xlnm.Print_Area,3,FALSE)))</f>
        <v xml:space="preserve">الخزينة </v>
      </c>
      <c r="E534" s="132"/>
      <c r="F534" s="133"/>
      <c r="G534" s="133">
        <v>13480</v>
      </c>
      <c r="H534" s="134">
        <f t="shared" si="21"/>
        <v>0</v>
      </c>
      <c r="I534" s="134">
        <f t="shared" si="21"/>
        <v>13480</v>
      </c>
      <c r="J534" s="134">
        <f t="shared" si="22"/>
        <v>-13480</v>
      </c>
      <c r="K534" s="135"/>
      <c r="L534" s="136" t="str">
        <f t="shared" si="23"/>
        <v>دائن</v>
      </c>
      <c r="M534" s="137" t="str">
        <f>IF(ISERROR(VLOOKUP(C534,'[1]خريطة الحسابات'!_xlnm.Print_Area,4,FALSE))," ",(VLOOKUP(C534,'[1]خريطة الحسابات'!_xlnm.Print_Area,4,FALSE)))</f>
        <v xml:space="preserve">أصول متداوله -النقدية ومافي حكمها </v>
      </c>
      <c r="N534" s="138" t="str">
        <f>IF(ISERROR(VLOOKUP(C534,'[1]خريطة الحسابات'!_xlnm.Print_Area,5,FALSE))," ",(VLOOKUP(C534,'[1]خريطة الحسابات'!_xlnm.Print_Area,5,FALSE)))</f>
        <v>الاصول</v>
      </c>
      <c r="O534" s="139" t="s">
        <v>1534</v>
      </c>
      <c r="P534" s="139" t="s">
        <v>1405</v>
      </c>
    </row>
    <row r="535" spans="1:16">
      <c r="A535" s="104">
        <v>33</v>
      </c>
      <c r="B535" s="131">
        <v>46175</v>
      </c>
      <c r="C535" s="141">
        <v>20</v>
      </c>
      <c r="D535" s="140" t="str">
        <f>IF(ISERROR(VLOOKUP(C535,'[1]خريطة الحسابات'!_xlnm.Print_Area,3,FALSE))," ",(VLOOKUP(C535,'[1]خريطة الحسابات'!_xlnm.Print_Area,3,FALSE)))</f>
        <v xml:space="preserve">الخزينة </v>
      </c>
      <c r="E535" s="132"/>
      <c r="F535" s="133"/>
      <c r="G535" s="133">
        <v>10000</v>
      </c>
      <c r="H535" s="134">
        <f t="shared" si="21"/>
        <v>0</v>
      </c>
      <c r="I535" s="134">
        <f t="shared" si="21"/>
        <v>10000</v>
      </c>
      <c r="J535" s="134">
        <f t="shared" si="22"/>
        <v>-10000</v>
      </c>
      <c r="K535" s="135"/>
      <c r="L535" s="136" t="str">
        <f t="shared" si="23"/>
        <v>دائن</v>
      </c>
      <c r="M535" s="137" t="str">
        <f>IF(ISERROR(VLOOKUP(C535,'[1]خريطة الحسابات'!_xlnm.Print_Area,4,FALSE))," ",(VLOOKUP(C535,'[1]خريطة الحسابات'!_xlnm.Print_Area,4,FALSE)))</f>
        <v xml:space="preserve">أصول متداوله -النقدية ومافي حكمها </v>
      </c>
      <c r="N535" s="138" t="str">
        <f>IF(ISERROR(VLOOKUP(C535,'[1]خريطة الحسابات'!_xlnm.Print_Area,5,FALSE))," ",(VLOOKUP(C535,'[1]خريطة الحسابات'!_xlnm.Print_Area,5,FALSE)))</f>
        <v>الاصول</v>
      </c>
      <c r="O535" s="139" t="s">
        <v>1535</v>
      </c>
      <c r="P535" s="139" t="s">
        <v>1290</v>
      </c>
    </row>
    <row r="536" spans="1:16">
      <c r="A536" s="104">
        <v>33</v>
      </c>
      <c r="B536" s="131">
        <v>46184</v>
      </c>
      <c r="C536" s="141">
        <v>20</v>
      </c>
      <c r="D536" s="140" t="str">
        <f>IF(ISERROR(VLOOKUP(C536,'[1]خريطة الحسابات'!_xlnm.Print_Area,3,FALSE))," ",(VLOOKUP(C536,'[1]خريطة الحسابات'!_xlnm.Print_Area,3,FALSE)))</f>
        <v xml:space="preserve">الخزينة </v>
      </c>
      <c r="E536" s="132"/>
      <c r="F536" s="133"/>
      <c r="G536" s="133">
        <v>17020</v>
      </c>
      <c r="H536" s="134">
        <f t="shared" si="21"/>
        <v>0</v>
      </c>
      <c r="I536" s="134">
        <f t="shared" si="21"/>
        <v>17020</v>
      </c>
      <c r="J536" s="134">
        <f t="shared" ref="J536:J599" si="24">H536-I536</f>
        <v>-17020</v>
      </c>
      <c r="K536" s="135"/>
      <c r="L536" s="136" t="str">
        <f t="shared" si="23"/>
        <v>دائن</v>
      </c>
      <c r="M536" s="137" t="str">
        <f>IF(ISERROR(VLOOKUP(C536,'[1]خريطة الحسابات'!_xlnm.Print_Area,4,FALSE))," ",(VLOOKUP(C536,'[1]خريطة الحسابات'!_xlnm.Print_Area,4,FALSE)))</f>
        <v xml:space="preserve">أصول متداوله -النقدية ومافي حكمها </v>
      </c>
      <c r="N536" s="138" t="str">
        <f>IF(ISERROR(VLOOKUP(C536,'[1]خريطة الحسابات'!_xlnm.Print_Area,5,FALSE))," ",(VLOOKUP(C536,'[1]خريطة الحسابات'!_xlnm.Print_Area,5,FALSE)))</f>
        <v>الاصول</v>
      </c>
      <c r="O536" s="139" t="s">
        <v>1536</v>
      </c>
      <c r="P536" s="139" t="s">
        <v>1290</v>
      </c>
    </row>
    <row r="537" spans="1:16">
      <c r="A537" s="104">
        <v>34</v>
      </c>
      <c r="B537" s="131">
        <v>46128</v>
      </c>
      <c r="C537" s="141">
        <v>20</v>
      </c>
      <c r="D537" s="140" t="str">
        <f>IF(ISERROR(VLOOKUP(C537,'[1]خريطة الحسابات'!_xlnm.Print_Area,3,FALSE))," ",(VLOOKUP(C537,'[1]خريطة الحسابات'!_xlnm.Print_Area,3,FALSE)))</f>
        <v xml:space="preserve">الخزينة </v>
      </c>
      <c r="E537" s="132"/>
      <c r="F537" s="133">
        <v>2900</v>
      </c>
      <c r="G537" s="133"/>
      <c r="H537" s="134">
        <f t="shared" ref="H537:I600" si="25">IF($E537=2,F537*3.465,F537)</f>
        <v>2900</v>
      </c>
      <c r="I537" s="134">
        <f t="shared" si="25"/>
        <v>0</v>
      </c>
      <c r="J537" s="134">
        <f t="shared" si="24"/>
        <v>2900</v>
      </c>
      <c r="K537" s="135"/>
      <c r="L537" s="136" t="str">
        <f t="shared" si="23"/>
        <v>مدين</v>
      </c>
      <c r="M537" s="137" t="str">
        <f>IF(ISERROR(VLOOKUP(C537,'[1]خريطة الحسابات'!_xlnm.Print_Area,4,FALSE))," ",(VLOOKUP(C537,'[1]خريطة الحسابات'!_xlnm.Print_Area,4,FALSE)))</f>
        <v xml:space="preserve">أصول متداوله -النقدية ومافي حكمها </v>
      </c>
      <c r="N537" s="138" t="str">
        <f>IF(ISERROR(VLOOKUP(C537,'[1]خريطة الحسابات'!_xlnm.Print_Area,5,FALSE))," ",(VLOOKUP(C537,'[1]خريطة الحسابات'!_xlnm.Print_Area,5,FALSE)))</f>
        <v>الاصول</v>
      </c>
      <c r="O537" s="139" t="s">
        <v>1537</v>
      </c>
      <c r="P537" s="139" t="s">
        <v>1538</v>
      </c>
    </row>
    <row r="538" spans="1:16">
      <c r="A538" s="104">
        <v>34</v>
      </c>
      <c r="B538" s="131">
        <v>46128</v>
      </c>
      <c r="C538" s="141">
        <v>4012</v>
      </c>
      <c r="D538" s="140" t="str">
        <f>IF(ISERROR(VLOOKUP(C538,'[1]خريطة الحسابات'!_xlnm.Print_Area,3,FALSE))," ",(VLOOKUP(C538,'[1]خريطة الحسابات'!_xlnm.Print_Area,3,FALSE)))</f>
        <v>عمرو ريحان</v>
      </c>
      <c r="E538" s="132"/>
      <c r="F538" s="133"/>
      <c r="G538" s="133">
        <v>2900</v>
      </c>
      <c r="H538" s="134">
        <f t="shared" si="25"/>
        <v>0</v>
      </c>
      <c r="I538" s="134">
        <f t="shared" si="25"/>
        <v>2900</v>
      </c>
      <c r="J538" s="134">
        <f t="shared" si="24"/>
        <v>-2900</v>
      </c>
      <c r="K538" s="135"/>
      <c r="L538" s="136" t="str">
        <f t="shared" si="23"/>
        <v>دائن</v>
      </c>
      <c r="M538" s="137" t="str">
        <f>IF(ISERROR(VLOOKUP(C538,'[1]خريطة الحسابات'!_xlnm.Print_Area,4,FALSE))," ",(VLOOKUP(C538,'[1]خريطة الحسابات'!_xlnm.Print_Area,4,FALSE)))</f>
        <v xml:space="preserve">مقاولين </v>
      </c>
      <c r="N538" s="138" t="str">
        <f>IF(ISERROR(VLOOKUP(C538,'[1]خريطة الحسابات'!_xlnm.Print_Area,5,FALSE))," ",(VLOOKUP(C538,'[1]خريطة الحسابات'!_xlnm.Print_Area,5,FALSE)))</f>
        <v xml:space="preserve">الدائنون والأرصدة الدائنة الأخرى </v>
      </c>
      <c r="O538" s="139" t="s">
        <v>1537</v>
      </c>
      <c r="P538" s="139" t="s">
        <v>1538</v>
      </c>
    </row>
    <row r="539" spans="1:16">
      <c r="A539" s="104">
        <v>35</v>
      </c>
      <c r="B539" s="131">
        <v>46156</v>
      </c>
      <c r="C539" s="141">
        <v>4044</v>
      </c>
      <c r="D539" s="140" t="str">
        <f>IF(ISERROR(VLOOKUP(C539,'[1]خريطة الحسابات'!_xlnm.Print_Area,3,FALSE))," ",(VLOOKUP(C539,'[1]خريطة الحسابات'!_xlnm.Print_Area,3,FALSE)))</f>
        <v xml:space="preserve">كرم العزل </v>
      </c>
      <c r="E539" s="132"/>
      <c r="F539" s="133">
        <v>3003</v>
      </c>
      <c r="G539" s="133"/>
      <c r="H539" s="134">
        <f t="shared" si="25"/>
        <v>3003</v>
      </c>
      <c r="I539" s="134">
        <f t="shared" si="25"/>
        <v>0</v>
      </c>
      <c r="J539" s="134">
        <f t="shared" si="24"/>
        <v>3003</v>
      </c>
      <c r="K539" s="135"/>
      <c r="L539" s="136" t="str">
        <f t="shared" ref="L539:L602" si="26">IF(J539&lt;0,"دائن",IF(J539&gt;0,"مدين",""))</f>
        <v>مدين</v>
      </c>
      <c r="M539" s="137" t="str">
        <f>IF(ISERROR(VLOOKUP(C539,'[1]خريطة الحسابات'!_xlnm.Print_Area,4,FALSE))," ",(VLOOKUP(C539,'[1]خريطة الحسابات'!_xlnm.Print_Area,4,FALSE)))</f>
        <v xml:space="preserve">مقاولين </v>
      </c>
      <c r="N539" s="138" t="str">
        <f>IF(ISERROR(VLOOKUP(C539,'[1]خريطة الحسابات'!_xlnm.Print_Area,5,FALSE))," ",(VLOOKUP(C539,'[1]خريطة الحسابات'!_xlnm.Print_Area,5,FALSE)))</f>
        <v xml:space="preserve">الدائنون والأرصدة الدائنة الأخرى </v>
      </c>
      <c r="O539" s="139" t="s">
        <v>1539</v>
      </c>
      <c r="P539" s="139" t="s">
        <v>1383</v>
      </c>
    </row>
    <row r="540" spans="1:16">
      <c r="A540" s="104">
        <v>35</v>
      </c>
      <c r="B540" s="131">
        <v>46156</v>
      </c>
      <c r="C540" s="141">
        <v>4044</v>
      </c>
      <c r="D540" s="140" t="str">
        <f>IF(ISERROR(VLOOKUP(C540,'[1]خريطة الحسابات'!_xlnm.Print_Area,3,FALSE))," ",(VLOOKUP(C540,'[1]خريطة الحسابات'!_xlnm.Print_Area,3,FALSE)))</f>
        <v xml:space="preserve">كرم العزل </v>
      </c>
      <c r="E540" s="132"/>
      <c r="F540" s="133">
        <v>3003</v>
      </c>
      <c r="G540" s="133"/>
      <c r="H540" s="134">
        <f t="shared" si="25"/>
        <v>3003</v>
      </c>
      <c r="I540" s="134">
        <f t="shared" si="25"/>
        <v>0</v>
      </c>
      <c r="J540" s="134">
        <f t="shared" si="24"/>
        <v>3003</v>
      </c>
      <c r="K540" s="135"/>
      <c r="L540" s="136" t="str">
        <f t="shared" si="26"/>
        <v>مدين</v>
      </c>
      <c r="M540" s="137" t="str">
        <f>IF(ISERROR(VLOOKUP(C540,'[1]خريطة الحسابات'!_xlnm.Print_Area,4,FALSE))," ",(VLOOKUP(C540,'[1]خريطة الحسابات'!_xlnm.Print_Area,4,FALSE)))</f>
        <v xml:space="preserve">مقاولين </v>
      </c>
      <c r="N540" s="138" t="str">
        <f>IF(ISERROR(VLOOKUP(C540,'[1]خريطة الحسابات'!_xlnm.Print_Area,5,FALSE))," ",(VLOOKUP(C540,'[1]خريطة الحسابات'!_xlnm.Print_Area,5,FALSE)))</f>
        <v xml:space="preserve">الدائنون والأرصدة الدائنة الأخرى </v>
      </c>
      <c r="O540" s="139" t="s">
        <v>1539</v>
      </c>
      <c r="P540" s="139" t="s">
        <v>1480</v>
      </c>
    </row>
    <row r="541" spans="1:16">
      <c r="A541" s="104">
        <v>35</v>
      </c>
      <c r="B541" s="131">
        <v>46163</v>
      </c>
      <c r="C541" s="141">
        <v>4044</v>
      </c>
      <c r="D541" s="140" t="str">
        <f>IF(ISERROR(VLOOKUP(C541,'[1]خريطة الحسابات'!_xlnm.Print_Area,3,FALSE))," ",(VLOOKUP(C541,'[1]خريطة الحسابات'!_xlnm.Print_Area,3,FALSE)))</f>
        <v xml:space="preserve">كرم العزل </v>
      </c>
      <c r="E541" s="132"/>
      <c r="F541" s="133">
        <v>3003</v>
      </c>
      <c r="G541" s="133"/>
      <c r="H541" s="134">
        <f t="shared" si="25"/>
        <v>3003</v>
      </c>
      <c r="I541" s="134">
        <f t="shared" si="25"/>
        <v>0</v>
      </c>
      <c r="J541" s="134">
        <f t="shared" si="24"/>
        <v>3003</v>
      </c>
      <c r="K541" s="135"/>
      <c r="L541" s="136" t="str">
        <f t="shared" si="26"/>
        <v>مدين</v>
      </c>
      <c r="M541" s="137" t="str">
        <f>IF(ISERROR(VLOOKUP(C541,'[1]خريطة الحسابات'!_xlnm.Print_Area,4,FALSE))," ",(VLOOKUP(C541,'[1]خريطة الحسابات'!_xlnm.Print_Area,4,FALSE)))</f>
        <v xml:space="preserve">مقاولين </v>
      </c>
      <c r="N541" s="138" t="str">
        <f>IF(ISERROR(VLOOKUP(C541,'[1]خريطة الحسابات'!_xlnm.Print_Area,5,FALSE))," ",(VLOOKUP(C541,'[1]خريطة الحسابات'!_xlnm.Print_Area,5,FALSE)))</f>
        <v xml:space="preserve">الدائنون والأرصدة الدائنة الأخرى </v>
      </c>
      <c r="O541" s="139" t="s">
        <v>1540</v>
      </c>
      <c r="P541" s="139" t="s">
        <v>1480</v>
      </c>
    </row>
    <row r="542" spans="1:16">
      <c r="A542" s="104">
        <v>35</v>
      </c>
      <c r="B542" s="131">
        <v>46184</v>
      </c>
      <c r="C542" s="141">
        <v>4044</v>
      </c>
      <c r="D542" s="140" t="str">
        <f>IF(ISERROR(VLOOKUP(C542,'[1]خريطة الحسابات'!_xlnm.Print_Area,3,FALSE))," ",(VLOOKUP(C542,'[1]خريطة الحسابات'!_xlnm.Print_Area,3,FALSE)))</f>
        <v xml:space="preserve">كرم العزل </v>
      </c>
      <c r="E542" s="132"/>
      <c r="F542" s="133">
        <v>5005</v>
      </c>
      <c r="G542" s="133"/>
      <c r="H542" s="134">
        <f t="shared" si="25"/>
        <v>5005</v>
      </c>
      <c r="I542" s="134">
        <f t="shared" si="25"/>
        <v>0</v>
      </c>
      <c r="J542" s="134">
        <f t="shared" si="24"/>
        <v>5005</v>
      </c>
      <c r="K542" s="135"/>
      <c r="L542" s="136" t="str">
        <f t="shared" si="26"/>
        <v>مدين</v>
      </c>
      <c r="M542" s="137" t="str">
        <f>IF(ISERROR(VLOOKUP(C542,'[1]خريطة الحسابات'!_xlnm.Print_Area,4,FALSE))," ",(VLOOKUP(C542,'[1]خريطة الحسابات'!_xlnm.Print_Area,4,FALSE)))</f>
        <v xml:space="preserve">مقاولين </v>
      </c>
      <c r="N542" s="138" t="str">
        <f>IF(ISERROR(VLOOKUP(C542,'[1]خريطة الحسابات'!_xlnm.Print_Area,5,FALSE))," ",(VLOOKUP(C542,'[1]خريطة الحسابات'!_xlnm.Print_Area,5,FALSE)))</f>
        <v xml:space="preserve">الدائنون والأرصدة الدائنة الأخرى </v>
      </c>
      <c r="O542" s="139" t="s">
        <v>1541</v>
      </c>
      <c r="P542" s="139" t="s">
        <v>1290</v>
      </c>
    </row>
    <row r="543" spans="1:16">
      <c r="A543" s="104">
        <v>35</v>
      </c>
      <c r="B543" s="131">
        <v>46184</v>
      </c>
      <c r="C543" s="141">
        <v>4044</v>
      </c>
      <c r="D543" s="140" t="str">
        <f>IF(ISERROR(VLOOKUP(C543,'[1]خريطة الحسابات'!_xlnm.Print_Area,3,FALSE))," ",(VLOOKUP(C543,'[1]خريطة الحسابات'!_xlnm.Print_Area,3,FALSE)))</f>
        <v xml:space="preserve">كرم العزل </v>
      </c>
      <c r="E543" s="132"/>
      <c r="F543" s="133">
        <v>3003</v>
      </c>
      <c r="G543" s="133"/>
      <c r="H543" s="134">
        <f t="shared" si="25"/>
        <v>3003</v>
      </c>
      <c r="I543" s="134">
        <f t="shared" si="25"/>
        <v>0</v>
      </c>
      <c r="J543" s="134">
        <f t="shared" si="24"/>
        <v>3003</v>
      </c>
      <c r="K543" s="135"/>
      <c r="L543" s="136" t="str">
        <f t="shared" si="26"/>
        <v>مدين</v>
      </c>
      <c r="M543" s="137" t="str">
        <f>IF(ISERROR(VLOOKUP(C543,'[1]خريطة الحسابات'!_xlnm.Print_Area,4,FALSE))," ",(VLOOKUP(C543,'[1]خريطة الحسابات'!_xlnm.Print_Area,4,FALSE)))</f>
        <v xml:space="preserve">مقاولين </v>
      </c>
      <c r="N543" s="138" t="str">
        <f>IF(ISERROR(VLOOKUP(C543,'[1]خريطة الحسابات'!_xlnm.Print_Area,5,FALSE))," ",(VLOOKUP(C543,'[1]خريطة الحسابات'!_xlnm.Print_Area,5,FALSE)))</f>
        <v xml:space="preserve">الدائنون والأرصدة الدائنة الأخرى </v>
      </c>
      <c r="O543" s="139" t="s">
        <v>1542</v>
      </c>
      <c r="P543" s="139" t="s">
        <v>1383</v>
      </c>
    </row>
    <row r="544" spans="1:16">
      <c r="A544" s="104">
        <v>35</v>
      </c>
      <c r="B544" s="131">
        <v>46156</v>
      </c>
      <c r="C544" s="141">
        <v>20</v>
      </c>
      <c r="D544" s="140" t="str">
        <f>IF(ISERROR(VLOOKUP(C544,'[1]خريطة الحسابات'!_xlnm.Print_Area,3,FALSE))," ",(VLOOKUP(C544,'[1]خريطة الحسابات'!_xlnm.Print_Area,3,FALSE)))</f>
        <v xml:space="preserve">الخزينة </v>
      </c>
      <c r="E544" s="132"/>
      <c r="F544" s="133"/>
      <c r="G544" s="133">
        <v>3003</v>
      </c>
      <c r="H544" s="134">
        <f t="shared" si="25"/>
        <v>0</v>
      </c>
      <c r="I544" s="134">
        <f t="shared" si="25"/>
        <v>3003</v>
      </c>
      <c r="J544" s="134">
        <f t="shared" si="24"/>
        <v>-3003</v>
      </c>
      <c r="K544" s="135"/>
      <c r="L544" s="136" t="str">
        <f t="shared" si="26"/>
        <v>دائن</v>
      </c>
      <c r="M544" s="137" t="str">
        <f>IF(ISERROR(VLOOKUP(C544,'[1]خريطة الحسابات'!_xlnm.Print_Area,4,FALSE))," ",(VLOOKUP(C544,'[1]خريطة الحسابات'!_xlnm.Print_Area,4,FALSE)))</f>
        <v xml:space="preserve">أصول متداوله -النقدية ومافي حكمها </v>
      </c>
      <c r="N544" s="138" t="str">
        <f>IF(ISERROR(VLOOKUP(C544,'[1]خريطة الحسابات'!_xlnm.Print_Area,5,FALSE))," ",(VLOOKUP(C544,'[1]خريطة الحسابات'!_xlnm.Print_Area,5,FALSE)))</f>
        <v>الاصول</v>
      </c>
      <c r="O544" s="139" t="s">
        <v>1539</v>
      </c>
      <c r="P544" s="139" t="s">
        <v>1383</v>
      </c>
    </row>
    <row r="545" spans="1:16">
      <c r="A545" s="104">
        <v>35</v>
      </c>
      <c r="B545" s="131">
        <v>46156</v>
      </c>
      <c r="C545" s="141">
        <v>20</v>
      </c>
      <c r="D545" s="140" t="str">
        <f>IF(ISERROR(VLOOKUP(C545,'[1]خريطة الحسابات'!_xlnm.Print_Area,3,FALSE))," ",(VLOOKUP(C545,'[1]خريطة الحسابات'!_xlnm.Print_Area,3,FALSE)))</f>
        <v xml:space="preserve">الخزينة </v>
      </c>
      <c r="E545" s="132"/>
      <c r="F545" s="133"/>
      <c r="G545" s="133">
        <v>3003</v>
      </c>
      <c r="H545" s="134">
        <f t="shared" si="25"/>
        <v>0</v>
      </c>
      <c r="I545" s="134">
        <f t="shared" si="25"/>
        <v>3003</v>
      </c>
      <c r="J545" s="134">
        <f t="shared" si="24"/>
        <v>-3003</v>
      </c>
      <c r="K545" s="135"/>
      <c r="L545" s="136" t="str">
        <f t="shared" si="26"/>
        <v>دائن</v>
      </c>
      <c r="M545" s="137" t="str">
        <f>IF(ISERROR(VLOOKUP(C545,'[1]خريطة الحسابات'!_xlnm.Print_Area,4,FALSE))," ",(VLOOKUP(C545,'[1]خريطة الحسابات'!_xlnm.Print_Area,4,FALSE)))</f>
        <v xml:space="preserve">أصول متداوله -النقدية ومافي حكمها </v>
      </c>
      <c r="N545" s="138" t="str">
        <f>IF(ISERROR(VLOOKUP(C545,'[1]خريطة الحسابات'!_xlnm.Print_Area,5,FALSE))," ",(VLOOKUP(C545,'[1]خريطة الحسابات'!_xlnm.Print_Area,5,FALSE)))</f>
        <v>الاصول</v>
      </c>
      <c r="O545" s="139" t="s">
        <v>1539</v>
      </c>
      <c r="P545" s="139" t="s">
        <v>1480</v>
      </c>
    </row>
    <row r="546" spans="1:16">
      <c r="A546" s="104">
        <v>35</v>
      </c>
      <c r="B546" s="131">
        <v>46163</v>
      </c>
      <c r="C546" s="141">
        <v>20</v>
      </c>
      <c r="D546" s="140" t="str">
        <f>IF(ISERROR(VLOOKUP(C546,'[1]خريطة الحسابات'!_xlnm.Print_Area,3,FALSE))," ",(VLOOKUP(C546,'[1]خريطة الحسابات'!_xlnm.Print_Area,3,FALSE)))</f>
        <v xml:space="preserve">الخزينة </v>
      </c>
      <c r="E546" s="132"/>
      <c r="F546" s="133"/>
      <c r="G546" s="133">
        <v>3003</v>
      </c>
      <c r="H546" s="134">
        <f t="shared" si="25"/>
        <v>0</v>
      </c>
      <c r="I546" s="134">
        <f t="shared" si="25"/>
        <v>3003</v>
      </c>
      <c r="J546" s="134">
        <f t="shared" si="24"/>
        <v>-3003</v>
      </c>
      <c r="K546" s="135"/>
      <c r="L546" s="136" t="str">
        <f t="shared" si="26"/>
        <v>دائن</v>
      </c>
      <c r="M546" s="137" t="str">
        <f>IF(ISERROR(VLOOKUP(C546,'[1]خريطة الحسابات'!_xlnm.Print_Area,4,FALSE))," ",(VLOOKUP(C546,'[1]خريطة الحسابات'!_xlnm.Print_Area,4,FALSE)))</f>
        <v xml:space="preserve">أصول متداوله -النقدية ومافي حكمها </v>
      </c>
      <c r="N546" s="138" t="str">
        <f>IF(ISERROR(VLOOKUP(C546,'[1]خريطة الحسابات'!_xlnm.Print_Area,5,FALSE))," ",(VLOOKUP(C546,'[1]خريطة الحسابات'!_xlnm.Print_Area,5,FALSE)))</f>
        <v>الاصول</v>
      </c>
      <c r="O546" s="139" t="s">
        <v>1540</v>
      </c>
      <c r="P546" s="139" t="s">
        <v>1480</v>
      </c>
    </row>
    <row r="547" spans="1:16">
      <c r="A547" s="104">
        <v>35</v>
      </c>
      <c r="B547" s="131">
        <v>46184</v>
      </c>
      <c r="C547" s="141">
        <v>20</v>
      </c>
      <c r="D547" s="140" t="str">
        <f>IF(ISERROR(VLOOKUP(C547,'[1]خريطة الحسابات'!_xlnm.Print_Area,3,FALSE))," ",(VLOOKUP(C547,'[1]خريطة الحسابات'!_xlnm.Print_Area,3,FALSE)))</f>
        <v xml:space="preserve">الخزينة </v>
      </c>
      <c r="E547" s="132"/>
      <c r="F547" s="133"/>
      <c r="G547" s="133">
        <v>5005</v>
      </c>
      <c r="H547" s="134">
        <f t="shared" si="25"/>
        <v>0</v>
      </c>
      <c r="I547" s="134">
        <f t="shared" si="25"/>
        <v>5005</v>
      </c>
      <c r="J547" s="134">
        <f t="shared" si="24"/>
        <v>-5005</v>
      </c>
      <c r="K547" s="135"/>
      <c r="L547" s="136" t="str">
        <f t="shared" si="26"/>
        <v>دائن</v>
      </c>
      <c r="M547" s="137" t="str">
        <f>IF(ISERROR(VLOOKUP(C547,'[1]خريطة الحسابات'!_xlnm.Print_Area,4,FALSE))," ",(VLOOKUP(C547,'[1]خريطة الحسابات'!_xlnm.Print_Area,4,FALSE)))</f>
        <v xml:space="preserve">أصول متداوله -النقدية ومافي حكمها </v>
      </c>
      <c r="N547" s="138" t="str">
        <f>IF(ISERROR(VLOOKUP(C547,'[1]خريطة الحسابات'!_xlnm.Print_Area,5,FALSE))," ",(VLOOKUP(C547,'[1]خريطة الحسابات'!_xlnm.Print_Area,5,FALSE)))</f>
        <v>الاصول</v>
      </c>
      <c r="O547" s="139" t="s">
        <v>1541</v>
      </c>
      <c r="P547" s="139" t="s">
        <v>1290</v>
      </c>
    </row>
    <row r="548" spans="1:16">
      <c r="A548" s="104">
        <v>35</v>
      </c>
      <c r="B548" s="131">
        <v>46184</v>
      </c>
      <c r="C548" s="141">
        <v>20</v>
      </c>
      <c r="D548" s="140" t="str">
        <f>IF(ISERROR(VLOOKUP(C548,'[1]خريطة الحسابات'!_xlnm.Print_Area,3,FALSE))," ",(VLOOKUP(C548,'[1]خريطة الحسابات'!_xlnm.Print_Area,3,FALSE)))</f>
        <v xml:space="preserve">الخزينة </v>
      </c>
      <c r="E548" s="132"/>
      <c r="F548" s="133"/>
      <c r="G548" s="133">
        <v>3003</v>
      </c>
      <c r="H548" s="134">
        <f t="shared" si="25"/>
        <v>0</v>
      </c>
      <c r="I548" s="134">
        <f t="shared" si="25"/>
        <v>3003</v>
      </c>
      <c r="J548" s="134">
        <f t="shared" si="24"/>
        <v>-3003</v>
      </c>
      <c r="K548" s="135"/>
      <c r="L548" s="136" t="str">
        <f t="shared" si="26"/>
        <v>دائن</v>
      </c>
      <c r="M548" s="137" t="str">
        <f>IF(ISERROR(VLOOKUP(C548,'[1]خريطة الحسابات'!_xlnm.Print_Area,4,FALSE))," ",(VLOOKUP(C548,'[1]خريطة الحسابات'!_xlnm.Print_Area,4,FALSE)))</f>
        <v xml:space="preserve">أصول متداوله -النقدية ومافي حكمها </v>
      </c>
      <c r="N548" s="138" t="str">
        <f>IF(ISERROR(VLOOKUP(C548,'[1]خريطة الحسابات'!_xlnm.Print_Area,5,FALSE))," ",(VLOOKUP(C548,'[1]خريطة الحسابات'!_xlnm.Print_Area,5,FALSE)))</f>
        <v>الاصول</v>
      </c>
      <c r="O548" s="139" t="s">
        <v>1542</v>
      </c>
      <c r="P548" s="139" t="s">
        <v>1383</v>
      </c>
    </row>
    <row r="549" spans="1:16">
      <c r="A549" s="104">
        <v>36</v>
      </c>
      <c r="B549" s="131">
        <v>46028</v>
      </c>
      <c r="C549" s="141">
        <v>4060</v>
      </c>
      <c r="D549" s="140" t="str">
        <f>IF(ISERROR(VLOOKUP(C549,'[1]خريطة الحسابات'!_xlnm.Print_Area,3,FALSE))," ",(VLOOKUP(C549,'[1]خريطة الحسابات'!_xlnm.Print_Area,3,FALSE)))</f>
        <v>كايرو لايت</v>
      </c>
      <c r="E549" s="132"/>
      <c r="F549" s="133">
        <v>100020</v>
      </c>
      <c r="G549" s="133"/>
      <c r="H549" s="134">
        <f t="shared" si="25"/>
        <v>100020</v>
      </c>
      <c r="I549" s="134">
        <f t="shared" si="25"/>
        <v>0</v>
      </c>
      <c r="J549" s="134">
        <f t="shared" si="24"/>
        <v>100020</v>
      </c>
      <c r="K549" s="135"/>
      <c r="L549" s="136" t="str">
        <f t="shared" si="26"/>
        <v>مدين</v>
      </c>
      <c r="M549" s="137" t="str">
        <f>IF(ISERROR(VLOOKUP(C549,'[1]خريطة الحسابات'!_xlnm.Print_Area,4,FALSE))," ",(VLOOKUP(C549,'[1]خريطة الحسابات'!_xlnm.Print_Area,4,FALSE)))</f>
        <v>موردين</v>
      </c>
      <c r="N549" s="138" t="str">
        <f>IF(ISERROR(VLOOKUP(C549,'[1]خريطة الحسابات'!_xlnm.Print_Area,5,FALSE))," ",(VLOOKUP(C549,'[1]خريطة الحسابات'!_xlnm.Print_Area,5,FALSE)))</f>
        <v xml:space="preserve">الدائنون والأرصدة الدائنة الأخرى </v>
      </c>
      <c r="O549" s="139" t="s">
        <v>1543</v>
      </c>
      <c r="P549" s="139" t="s">
        <v>1342</v>
      </c>
    </row>
    <row r="550" spans="1:16">
      <c r="A550" s="104">
        <v>36</v>
      </c>
      <c r="B550" s="131">
        <v>46089</v>
      </c>
      <c r="C550" s="141">
        <v>4060</v>
      </c>
      <c r="D550" s="140" t="str">
        <f>IF(ISERROR(VLOOKUP(C550,'[1]خريطة الحسابات'!_xlnm.Print_Area,3,FALSE))," ",(VLOOKUP(C550,'[1]خريطة الحسابات'!_xlnm.Print_Area,3,FALSE)))</f>
        <v>كايرو لايت</v>
      </c>
      <c r="E550" s="132"/>
      <c r="F550" s="133">
        <v>25000</v>
      </c>
      <c r="G550" s="133"/>
      <c r="H550" s="134">
        <f t="shared" si="25"/>
        <v>25000</v>
      </c>
      <c r="I550" s="134">
        <f t="shared" si="25"/>
        <v>0</v>
      </c>
      <c r="J550" s="134">
        <f t="shared" si="24"/>
        <v>25000</v>
      </c>
      <c r="K550" s="135"/>
      <c r="L550" s="136" t="str">
        <f t="shared" si="26"/>
        <v>مدين</v>
      </c>
      <c r="M550" s="137" t="str">
        <f>IF(ISERROR(VLOOKUP(C550,'[1]خريطة الحسابات'!_xlnm.Print_Area,4,FALSE))," ",(VLOOKUP(C550,'[1]خريطة الحسابات'!_xlnm.Print_Area,4,FALSE)))</f>
        <v>موردين</v>
      </c>
      <c r="N550" s="138" t="str">
        <f>IF(ISERROR(VLOOKUP(C550,'[1]خريطة الحسابات'!_xlnm.Print_Area,5,FALSE))," ",(VLOOKUP(C550,'[1]خريطة الحسابات'!_xlnm.Print_Area,5,FALSE)))</f>
        <v xml:space="preserve">الدائنون والأرصدة الدائنة الأخرى </v>
      </c>
      <c r="O550" s="139" t="s">
        <v>1544</v>
      </c>
      <c r="P550" s="139" t="s">
        <v>1342</v>
      </c>
    </row>
    <row r="551" spans="1:16">
      <c r="A551" s="104">
        <v>36</v>
      </c>
      <c r="B551" s="131">
        <v>46119</v>
      </c>
      <c r="C551" s="141">
        <v>4060</v>
      </c>
      <c r="D551" s="140" t="str">
        <f>IF(ISERROR(VLOOKUP(C551,'[1]خريطة الحسابات'!_xlnm.Print_Area,3,FALSE))," ",(VLOOKUP(C551,'[1]خريطة الحسابات'!_xlnm.Print_Area,3,FALSE)))</f>
        <v>كايرو لايت</v>
      </c>
      <c r="E551" s="132"/>
      <c r="F551" s="133">
        <v>10010</v>
      </c>
      <c r="G551" s="133"/>
      <c r="H551" s="134">
        <f t="shared" si="25"/>
        <v>10010</v>
      </c>
      <c r="I551" s="134">
        <f t="shared" si="25"/>
        <v>0</v>
      </c>
      <c r="J551" s="134">
        <f t="shared" si="24"/>
        <v>10010</v>
      </c>
      <c r="K551" s="135"/>
      <c r="L551" s="136" t="str">
        <f t="shared" si="26"/>
        <v>مدين</v>
      </c>
      <c r="M551" s="137" t="str">
        <f>IF(ISERROR(VLOOKUP(C551,'[1]خريطة الحسابات'!_xlnm.Print_Area,4,FALSE))," ",(VLOOKUP(C551,'[1]خريطة الحسابات'!_xlnm.Print_Area,4,FALSE)))</f>
        <v>موردين</v>
      </c>
      <c r="N551" s="138" t="str">
        <f>IF(ISERROR(VLOOKUP(C551,'[1]خريطة الحسابات'!_xlnm.Print_Area,5,FALSE))," ",(VLOOKUP(C551,'[1]خريطة الحسابات'!_xlnm.Print_Area,5,FALSE)))</f>
        <v xml:space="preserve">الدائنون والأرصدة الدائنة الأخرى </v>
      </c>
      <c r="O551" s="139" t="s">
        <v>1544</v>
      </c>
      <c r="P551" s="139" t="s">
        <v>1342</v>
      </c>
    </row>
    <row r="552" spans="1:16">
      <c r="A552" s="104">
        <v>36</v>
      </c>
      <c r="B552" s="131">
        <v>46128</v>
      </c>
      <c r="C552" s="141">
        <v>4060</v>
      </c>
      <c r="D552" s="140" t="str">
        <f>IF(ISERROR(VLOOKUP(C552,'[1]خريطة الحسابات'!_xlnm.Print_Area,3,FALSE))," ",(VLOOKUP(C552,'[1]خريطة الحسابات'!_xlnm.Print_Area,3,FALSE)))</f>
        <v>كايرو لايت</v>
      </c>
      <c r="E552" s="132"/>
      <c r="F552" s="133">
        <v>7000</v>
      </c>
      <c r="G552" s="133"/>
      <c r="H552" s="134">
        <f t="shared" si="25"/>
        <v>7000</v>
      </c>
      <c r="I552" s="134">
        <f t="shared" si="25"/>
        <v>0</v>
      </c>
      <c r="J552" s="134">
        <f t="shared" si="24"/>
        <v>7000</v>
      </c>
      <c r="K552" s="135"/>
      <c r="L552" s="136" t="str">
        <f t="shared" si="26"/>
        <v>مدين</v>
      </c>
      <c r="M552" s="137" t="str">
        <f>IF(ISERROR(VLOOKUP(C552,'[1]خريطة الحسابات'!_xlnm.Print_Area,4,FALSE))," ",(VLOOKUP(C552,'[1]خريطة الحسابات'!_xlnm.Print_Area,4,FALSE)))</f>
        <v>موردين</v>
      </c>
      <c r="N552" s="138" t="str">
        <f>IF(ISERROR(VLOOKUP(C552,'[1]خريطة الحسابات'!_xlnm.Print_Area,5,FALSE))," ",(VLOOKUP(C552,'[1]خريطة الحسابات'!_xlnm.Print_Area,5,FALSE)))</f>
        <v xml:space="preserve">الدائنون والأرصدة الدائنة الأخرى </v>
      </c>
      <c r="O552" s="139" t="s">
        <v>1545</v>
      </c>
      <c r="P552" s="139" t="s">
        <v>1342</v>
      </c>
    </row>
    <row r="553" spans="1:16">
      <c r="A553" s="104">
        <v>36</v>
      </c>
      <c r="B553" s="131">
        <v>46139</v>
      </c>
      <c r="C553" s="141">
        <v>4060</v>
      </c>
      <c r="D553" s="140" t="str">
        <f>IF(ISERROR(VLOOKUP(C553,'[1]خريطة الحسابات'!_xlnm.Print_Area,3,FALSE))," ",(VLOOKUP(C553,'[1]خريطة الحسابات'!_xlnm.Print_Area,3,FALSE)))</f>
        <v>كايرو لايت</v>
      </c>
      <c r="E553" s="132"/>
      <c r="F553" s="133">
        <v>10000</v>
      </c>
      <c r="G553" s="133"/>
      <c r="H553" s="134">
        <f t="shared" si="25"/>
        <v>10000</v>
      </c>
      <c r="I553" s="134">
        <f t="shared" si="25"/>
        <v>0</v>
      </c>
      <c r="J553" s="134">
        <f t="shared" si="24"/>
        <v>10000</v>
      </c>
      <c r="K553" s="135"/>
      <c r="L553" s="136" t="str">
        <f t="shared" si="26"/>
        <v>مدين</v>
      </c>
      <c r="M553" s="137" t="str">
        <f>IF(ISERROR(VLOOKUP(C553,'[1]خريطة الحسابات'!_xlnm.Print_Area,4,FALSE))," ",(VLOOKUP(C553,'[1]خريطة الحسابات'!_xlnm.Print_Area,4,FALSE)))</f>
        <v>موردين</v>
      </c>
      <c r="N553" s="138" t="str">
        <f>IF(ISERROR(VLOOKUP(C553,'[1]خريطة الحسابات'!_xlnm.Print_Area,5,FALSE))," ",(VLOOKUP(C553,'[1]خريطة الحسابات'!_xlnm.Print_Area,5,FALSE)))</f>
        <v xml:space="preserve">الدائنون والأرصدة الدائنة الأخرى </v>
      </c>
      <c r="O553" s="139" t="s">
        <v>1546</v>
      </c>
      <c r="P553" s="139" t="s">
        <v>1342</v>
      </c>
    </row>
    <row r="554" spans="1:16">
      <c r="A554" s="104">
        <v>36</v>
      </c>
      <c r="B554" s="131">
        <v>46163</v>
      </c>
      <c r="C554" s="141">
        <v>4060</v>
      </c>
      <c r="D554" s="140" t="str">
        <f>IF(ISERROR(VLOOKUP(C554,'[1]خريطة الحسابات'!_xlnm.Print_Area,3,FALSE))," ",(VLOOKUP(C554,'[1]خريطة الحسابات'!_xlnm.Print_Area,3,FALSE)))</f>
        <v>كايرو لايت</v>
      </c>
      <c r="E554" s="132"/>
      <c r="F554" s="133">
        <v>20000</v>
      </c>
      <c r="G554" s="133"/>
      <c r="H554" s="134">
        <f t="shared" si="25"/>
        <v>20000</v>
      </c>
      <c r="I554" s="134">
        <f t="shared" si="25"/>
        <v>0</v>
      </c>
      <c r="J554" s="134">
        <f t="shared" si="24"/>
        <v>20000</v>
      </c>
      <c r="K554" s="135"/>
      <c r="L554" s="136" t="str">
        <f t="shared" si="26"/>
        <v>مدين</v>
      </c>
      <c r="M554" s="137" t="str">
        <f>IF(ISERROR(VLOOKUP(C554,'[1]خريطة الحسابات'!_xlnm.Print_Area,4,FALSE))," ",(VLOOKUP(C554,'[1]خريطة الحسابات'!_xlnm.Print_Area,4,FALSE)))</f>
        <v>موردين</v>
      </c>
      <c r="N554" s="138" t="str">
        <f>IF(ISERROR(VLOOKUP(C554,'[1]خريطة الحسابات'!_xlnm.Print_Area,5,FALSE))," ",(VLOOKUP(C554,'[1]خريطة الحسابات'!_xlnm.Print_Area,5,FALSE)))</f>
        <v xml:space="preserve">الدائنون والأرصدة الدائنة الأخرى </v>
      </c>
      <c r="O554" s="139" t="s">
        <v>1547</v>
      </c>
      <c r="P554" s="139" t="s">
        <v>1342</v>
      </c>
    </row>
    <row r="555" spans="1:16">
      <c r="A555" s="104">
        <v>36</v>
      </c>
      <c r="B555" s="131">
        <v>46028</v>
      </c>
      <c r="C555" s="141">
        <v>20</v>
      </c>
      <c r="D555" s="140" t="str">
        <f>IF(ISERROR(VLOOKUP(C555,'[1]خريطة الحسابات'!_xlnm.Print_Area,3,FALSE))," ",(VLOOKUP(C555,'[1]خريطة الحسابات'!_xlnm.Print_Area,3,FALSE)))</f>
        <v xml:space="preserve">الخزينة </v>
      </c>
      <c r="E555" s="132"/>
      <c r="F555" s="133"/>
      <c r="G555" s="133">
        <v>100020</v>
      </c>
      <c r="H555" s="134">
        <f t="shared" si="25"/>
        <v>0</v>
      </c>
      <c r="I555" s="134">
        <f t="shared" si="25"/>
        <v>100020</v>
      </c>
      <c r="J555" s="134">
        <f t="shared" si="24"/>
        <v>-100020</v>
      </c>
      <c r="K555" s="135"/>
      <c r="L555" s="136" t="str">
        <f t="shared" si="26"/>
        <v>دائن</v>
      </c>
      <c r="M555" s="137" t="str">
        <f>IF(ISERROR(VLOOKUP(C555,'[1]خريطة الحسابات'!_xlnm.Print_Area,4,FALSE))," ",(VLOOKUP(C555,'[1]خريطة الحسابات'!_xlnm.Print_Area,4,FALSE)))</f>
        <v xml:space="preserve">أصول متداوله -النقدية ومافي حكمها </v>
      </c>
      <c r="N555" s="138" t="str">
        <f>IF(ISERROR(VLOOKUP(C555,'[1]خريطة الحسابات'!_xlnm.Print_Area,5,FALSE))," ",(VLOOKUP(C555,'[1]خريطة الحسابات'!_xlnm.Print_Area,5,FALSE)))</f>
        <v>الاصول</v>
      </c>
      <c r="O555" s="139" t="s">
        <v>1543</v>
      </c>
      <c r="P555" s="139" t="s">
        <v>1342</v>
      </c>
    </row>
    <row r="556" spans="1:16">
      <c r="A556" s="104">
        <v>36</v>
      </c>
      <c r="B556" s="131">
        <v>46089</v>
      </c>
      <c r="C556" s="141">
        <v>20</v>
      </c>
      <c r="D556" s="140" t="str">
        <f>IF(ISERROR(VLOOKUP(C556,'[1]خريطة الحسابات'!_xlnm.Print_Area,3,FALSE))," ",(VLOOKUP(C556,'[1]خريطة الحسابات'!_xlnm.Print_Area,3,FALSE)))</f>
        <v xml:space="preserve">الخزينة </v>
      </c>
      <c r="E556" s="132"/>
      <c r="F556" s="133"/>
      <c r="G556" s="133">
        <v>25000</v>
      </c>
      <c r="H556" s="134">
        <f t="shared" si="25"/>
        <v>0</v>
      </c>
      <c r="I556" s="134">
        <f t="shared" si="25"/>
        <v>25000</v>
      </c>
      <c r="J556" s="134">
        <f t="shared" si="24"/>
        <v>-25000</v>
      </c>
      <c r="K556" s="135"/>
      <c r="L556" s="136" t="str">
        <f t="shared" si="26"/>
        <v>دائن</v>
      </c>
      <c r="M556" s="137" t="str">
        <f>IF(ISERROR(VLOOKUP(C556,'[1]خريطة الحسابات'!_xlnm.Print_Area,4,FALSE))," ",(VLOOKUP(C556,'[1]خريطة الحسابات'!_xlnm.Print_Area,4,FALSE)))</f>
        <v xml:space="preserve">أصول متداوله -النقدية ومافي حكمها </v>
      </c>
      <c r="N556" s="138" t="str">
        <f>IF(ISERROR(VLOOKUP(C556,'[1]خريطة الحسابات'!_xlnm.Print_Area,5,FALSE))," ",(VLOOKUP(C556,'[1]خريطة الحسابات'!_xlnm.Print_Area,5,FALSE)))</f>
        <v>الاصول</v>
      </c>
      <c r="O556" s="139" t="s">
        <v>1544</v>
      </c>
      <c r="P556" s="139" t="s">
        <v>1342</v>
      </c>
    </row>
    <row r="557" spans="1:16">
      <c r="A557" s="104">
        <v>36</v>
      </c>
      <c r="B557" s="131">
        <v>46119</v>
      </c>
      <c r="C557" s="141">
        <v>20</v>
      </c>
      <c r="D557" s="140" t="str">
        <f>IF(ISERROR(VLOOKUP(C557,'[1]خريطة الحسابات'!_xlnm.Print_Area,3,FALSE))," ",(VLOOKUP(C557,'[1]خريطة الحسابات'!_xlnm.Print_Area,3,FALSE)))</f>
        <v xml:space="preserve">الخزينة </v>
      </c>
      <c r="E557" s="132"/>
      <c r="F557" s="133"/>
      <c r="G557" s="133">
        <v>10010</v>
      </c>
      <c r="H557" s="134">
        <f t="shared" si="25"/>
        <v>0</v>
      </c>
      <c r="I557" s="134">
        <f t="shared" si="25"/>
        <v>10010</v>
      </c>
      <c r="J557" s="134">
        <f t="shared" si="24"/>
        <v>-10010</v>
      </c>
      <c r="K557" s="135"/>
      <c r="L557" s="136" t="str">
        <f t="shared" si="26"/>
        <v>دائن</v>
      </c>
      <c r="M557" s="137" t="str">
        <f>IF(ISERROR(VLOOKUP(C557,'[1]خريطة الحسابات'!_xlnm.Print_Area,4,FALSE))," ",(VLOOKUP(C557,'[1]خريطة الحسابات'!_xlnm.Print_Area,4,FALSE)))</f>
        <v xml:space="preserve">أصول متداوله -النقدية ومافي حكمها </v>
      </c>
      <c r="N557" s="138" t="str">
        <f>IF(ISERROR(VLOOKUP(C557,'[1]خريطة الحسابات'!_xlnm.Print_Area,5,FALSE))," ",(VLOOKUP(C557,'[1]خريطة الحسابات'!_xlnm.Print_Area,5,FALSE)))</f>
        <v>الاصول</v>
      </c>
      <c r="O557" s="139" t="s">
        <v>1544</v>
      </c>
      <c r="P557" s="139" t="s">
        <v>1342</v>
      </c>
    </row>
    <row r="558" spans="1:16">
      <c r="A558" s="104">
        <v>36</v>
      </c>
      <c r="B558" s="131">
        <v>46128</v>
      </c>
      <c r="C558" s="141">
        <v>20</v>
      </c>
      <c r="D558" s="140" t="str">
        <f>IF(ISERROR(VLOOKUP(C558,'[1]خريطة الحسابات'!_xlnm.Print_Area,3,FALSE))," ",(VLOOKUP(C558,'[1]خريطة الحسابات'!_xlnm.Print_Area,3,FALSE)))</f>
        <v xml:space="preserve">الخزينة </v>
      </c>
      <c r="E558" s="132"/>
      <c r="F558" s="133"/>
      <c r="G558" s="133">
        <v>7000</v>
      </c>
      <c r="H558" s="134">
        <f t="shared" si="25"/>
        <v>0</v>
      </c>
      <c r="I558" s="134">
        <f t="shared" si="25"/>
        <v>7000</v>
      </c>
      <c r="J558" s="134">
        <f t="shared" si="24"/>
        <v>-7000</v>
      </c>
      <c r="K558" s="135"/>
      <c r="L558" s="136" t="str">
        <f t="shared" si="26"/>
        <v>دائن</v>
      </c>
      <c r="M558" s="137" t="str">
        <f>IF(ISERROR(VLOOKUP(C558,'[1]خريطة الحسابات'!_xlnm.Print_Area,4,FALSE))," ",(VLOOKUP(C558,'[1]خريطة الحسابات'!_xlnm.Print_Area,4,FALSE)))</f>
        <v xml:space="preserve">أصول متداوله -النقدية ومافي حكمها </v>
      </c>
      <c r="N558" s="138" t="str">
        <f>IF(ISERROR(VLOOKUP(C558,'[1]خريطة الحسابات'!_xlnm.Print_Area,5,FALSE))," ",(VLOOKUP(C558,'[1]خريطة الحسابات'!_xlnm.Print_Area,5,FALSE)))</f>
        <v>الاصول</v>
      </c>
      <c r="O558" s="139" t="s">
        <v>1545</v>
      </c>
      <c r="P558" s="139" t="s">
        <v>1342</v>
      </c>
    </row>
    <row r="559" spans="1:16">
      <c r="A559" s="104">
        <v>36</v>
      </c>
      <c r="B559" s="131">
        <v>46139</v>
      </c>
      <c r="C559" s="141">
        <v>20</v>
      </c>
      <c r="D559" s="140" t="str">
        <f>IF(ISERROR(VLOOKUP(C559,'[1]خريطة الحسابات'!_xlnm.Print_Area,3,FALSE))," ",(VLOOKUP(C559,'[1]خريطة الحسابات'!_xlnm.Print_Area,3,FALSE)))</f>
        <v xml:space="preserve">الخزينة </v>
      </c>
      <c r="E559" s="132"/>
      <c r="F559" s="133"/>
      <c r="G559" s="133">
        <v>10000</v>
      </c>
      <c r="H559" s="134">
        <f t="shared" si="25"/>
        <v>0</v>
      </c>
      <c r="I559" s="134">
        <f t="shared" si="25"/>
        <v>10000</v>
      </c>
      <c r="J559" s="134">
        <f t="shared" si="24"/>
        <v>-10000</v>
      </c>
      <c r="K559" s="135"/>
      <c r="L559" s="136" t="str">
        <f t="shared" si="26"/>
        <v>دائن</v>
      </c>
      <c r="M559" s="137" t="str">
        <f>IF(ISERROR(VLOOKUP(C559,'[1]خريطة الحسابات'!_xlnm.Print_Area,4,FALSE))," ",(VLOOKUP(C559,'[1]خريطة الحسابات'!_xlnm.Print_Area,4,FALSE)))</f>
        <v xml:space="preserve">أصول متداوله -النقدية ومافي حكمها </v>
      </c>
      <c r="N559" s="138" t="str">
        <f>IF(ISERROR(VLOOKUP(C559,'[1]خريطة الحسابات'!_xlnm.Print_Area,5,FALSE))," ",(VLOOKUP(C559,'[1]خريطة الحسابات'!_xlnm.Print_Area,5,FALSE)))</f>
        <v>الاصول</v>
      </c>
      <c r="O559" s="139" t="s">
        <v>1546</v>
      </c>
      <c r="P559" s="139" t="s">
        <v>1342</v>
      </c>
    </row>
    <row r="560" spans="1:16">
      <c r="A560" s="104">
        <v>36</v>
      </c>
      <c r="B560" s="131">
        <v>46163</v>
      </c>
      <c r="C560" s="141">
        <v>20</v>
      </c>
      <c r="D560" s="140" t="str">
        <f>IF(ISERROR(VLOOKUP(C560,'[1]خريطة الحسابات'!_xlnm.Print_Area,3,FALSE))," ",(VLOOKUP(C560,'[1]خريطة الحسابات'!_xlnm.Print_Area,3,FALSE)))</f>
        <v xml:space="preserve">الخزينة </v>
      </c>
      <c r="E560" s="132"/>
      <c r="F560" s="133"/>
      <c r="G560" s="133">
        <v>20000</v>
      </c>
      <c r="H560" s="134">
        <f t="shared" si="25"/>
        <v>0</v>
      </c>
      <c r="I560" s="134">
        <f t="shared" si="25"/>
        <v>20000</v>
      </c>
      <c r="J560" s="134">
        <f t="shared" si="24"/>
        <v>-20000</v>
      </c>
      <c r="K560" s="135"/>
      <c r="L560" s="136" t="str">
        <f t="shared" si="26"/>
        <v>دائن</v>
      </c>
      <c r="M560" s="137" t="str">
        <f>IF(ISERROR(VLOOKUP(C560,'[1]خريطة الحسابات'!_xlnm.Print_Area,4,FALSE))," ",(VLOOKUP(C560,'[1]خريطة الحسابات'!_xlnm.Print_Area,4,FALSE)))</f>
        <v xml:space="preserve">أصول متداوله -النقدية ومافي حكمها </v>
      </c>
      <c r="N560" s="138" t="str">
        <f>IF(ISERROR(VLOOKUP(C560,'[1]خريطة الحسابات'!_xlnm.Print_Area,5,FALSE))," ",(VLOOKUP(C560,'[1]خريطة الحسابات'!_xlnm.Print_Area,5,FALSE)))</f>
        <v>الاصول</v>
      </c>
      <c r="O560" s="139" t="s">
        <v>1547</v>
      </c>
      <c r="P560" s="139" t="s">
        <v>1342</v>
      </c>
    </row>
    <row r="561" spans="1:16">
      <c r="A561" s="104">
        <v>37</v>
      </c>
      <c r="B561" s="131">
        <v>46034</v>
      </c>
      <c r="C561" s="141">
        <v>4033</v>
      </c>
      <c r="D561" s="140" t="str">
        <f>IF(ISERROR(VLOOKUP(C561,'[1]خريطة الحسابات'!_xlnm.Print_Area,3,FALSE))," ",(VLOOKUP(C561,'[1]خريطة الحسابات'!_xlnm.Print_Area,3,FALSE)))</f>
        <v>كريم النجار</v>
      </c>
      <c r="E561" s="132"/>
      <c r="F561" s="133">
        <v>1000</v>
      </c>
      <c r="G561" s="133"/>
      <c r="H561" s="134">
        <f t="shared" si="25"/>
        <v>1000</v>
      </c>
      <c r="I561" s="134">
        <f t="shared" si="25"/>
        <v>0</v>
      </c>
      <c r="J561" s="134">
        <f t="shared" si="24"/>
        <v>1000</v>
      </c>
      <c r="K561" s="135"/>
      <c r="L561" s="136" t="str">
        <f t="shared" si="26"/>
        <v>مدين</v>
      </c>
      <c r="M561" s="137" t="str">
        <f>IF(ISERROR(VLOOKUP(C561,'[1]خريطة الحسابات'!_xlnm.Print_Area,4,FALSE))," ",(VLOOKUP(C561,'[1]خريطة الحسابات'!_xlnm.Print_Area,4,FALSE)))</f>
        <v xml:space="preserve">مقاولين </v>
      </c>
      <c r="N561" s="138" t="str">
        <f>IF(ISERROR(VLOOKUP(C561,'[1]خريطة الحسابات'!_xlnm.Print_Area,5,FALSE))," ",(VLOOKUP(C561,'[1]خريطة الحسابات'!_xlnm.Print_Area,5,FALSE)))</f>
        <v xml:space="preserve">الدائنون والأرصدة الدائنة الأخرى </v>
      </c>
      <c r="O561" s="139" t="s">
        <v>1548</v>
      </c>
      <c r="P561" s="139" t="s">
        <v>1304</v>
      </c>
    </row>
    <row r="562" spans="1:16">
      <c r="A562" s="104">
        <v>37</v>
      </c>
      <c r="B562" s="131">
        <v>46041</v>
      </c>
      <c r="C562" s="141">
        <v>4033</v>
      </c>
      <c r="D562" s="140" t="str">
        <f>IF(ISERROR(VLOOKUP(C562,'[1]خريطة الحسابات'!_xlnm.Print_Area,3,FALSE))," ",(VLOOKUP(C562,'[1]خريطة الحسابات'!_xlnm.Print_Area,3,FALSE)))</f>
        <v>كريم النجار</v>
      </c>
      <c r="E562" s="132"/>
      <c r="F562" s="133">
        <v>20020</v>
      </c>
      <c r="G562" s="133"/>
      <c r="H562" s="134">
        <f t="shared" si="25"/>
        <v>20020</v>
      </c>
      <c r="I562" s="134">
        <f t="shared" si="25"/>
        <v>0</v>
      </c>
      <c r="J562" s="134">
        <f t="shared" si="24"/>
        <v>20020</v>
      </c>
      <c r="K562" s="135"/>
      <c r="L562" s="136" t="str">
        <f t="shared" si="26"/>
        <v>مدين</v>
      </c>
      <c r="M562" s="137" t="str">
        <f>IF(ISERROR(VLOOKUP(C562,'[1]خريطة الحسابات'!_xlnm.Print_Area,4,FALSE))," ",(VLOOKUP(C562,'[1]خريطة الحسابات'!_xlnm.Print_Area,4,FALSE)))</f>
        <v xml:space="preserve">مقاولين </v>
      </c>
      <c r="N562" s="138" t="str">
        <f>IF(ISERROR(VLOOKUP(C562,'[1]خريطة الحسابات'!_xlnm.Print_Area,5,FALSE))," ",(VLOOKUP(C562,'[1]خريطة الحسابات'!_xlnm.Print_Area,5,FALSE)))</f>
        <v xml:space="preserve">الدائنون والأرصدة الدائنة الأخرى </v>
      </c>
      <c r="O562" s="139" t="s">
        <v>1549</v>
      </c>
      <c r="P562" s="139" t="s">
        <v>1325</v>
      </c>
    </row>
    <row r="563" spans="1:16">
      <c r="A563" s="104">
        <v>37</v>
      </c>
      <c r="B563" s="131">
        <v>46041</v>
      </c>
      <c r="C563" s="141">
        <v>4033</v>
      </c>
      <c r="D563" s="140" t="str">
        <f>IF(ISERROR(VLOOKUP(C563,'[1]خريطة الحسابات'!_xlnm.Print_Area,3,FALSE))," ",(VLOOKUP(C563,'[1]خريطة الحسابات'!_xlnm.Print_Area,3,FALSE)))</f>
        <v>كريم النجار</v>
      </c>
      <c r="E563" s="132"/>
      <c r="F563" s="133">
        <v>10010</v>
      </c>
      <c r="G563" s="133"/>
      <c r="H563" s="134">
        <f t="shared" si="25"/>
        <v>10010</v>
      </c>
      <c r="I563" s="134">
        <f t="shared" si="25"/>
        <v>0</v>
      </c>
      <c r="J563" s="134">
        <f t="shared" si="24"/>
        <v>10010</v>
      </c>
      <c r="K563" s="135"/>
      <c r="L563" s="136" t="str">
        <f t="shared" si="26"/>
        <v>مدين</v>
      </c>
      <c r="M563" s="137" t="str">
        <f>IF(ISERROR(VLOOKUP(C563,'[1]خريطة الحسابات'!_xlnm.Print_Area,4,FALSE))," ",(VLOOKUP(C563,'[1]خريطة الحسابات'!_xlnm.Print_Area,4,FALSE)))</f>
        <v xml:space="preserve">مقاولين </v>
      </c>
      <c r="N563" s="138" t="str">
        <f>IF(ISERROR(VLOOKUP(C563,'[1]خريطة الحسابات'!_xlnm.Print_Area,5,FALSE))," ",(VLOOKUP(C563,'[1]خريطة الحسابات'!_xlnm.Print_Area,5,FALSE)))</f>
        <v xml:space="preserve">الدائنون والأرصدة الدائنة الأخرى </v>
      </c>
      <c r="O563" s="139" t="s">
        <v>1550</v>
      </c>
      <c r="P563" s="139" t="s">
        <v>1325</v>
      </c>
    </row>
    <row r="564" spans="1:16">
      <c r="A564" s="104">
        <v>37</v>
      </c>
      <c r="B564" s="131">
        <v>46056</v>
      </c>
      <c r="C564" s="141">
        <v>4033</v>
      </c>
      <c r="D564" s="140" t="str">
        <f>IF(ISERROR(VLOOKUP(C564,'[1]خريطة الحسابات'!_xlnm.Print_Area,3,FALSE))," ",(VLOOKUP(C564,'[1]خريطة الحسابات'!_xlnm.Print_Area,3,FALSE)))</f>
        <v>كريم النجار</v>
      </c>
      <c r="E564" s="132"/>
      <c r="F564" s="133">
        <v>30020</v>
      </c>
      <c r="G564" s="133"/>
      <c r="H564" s="134">
        <f t="shared" si="25"/>
        <v>30020</v>
      </c>
      <c r="I564" s="134">
        <f t="shared" si="25"/>
        <v>0</v>
      </c>
      <c r="J564" s="134">
        <f t="shared" si="24"/>
        <v>30020</v>
      </c>
      <c r="K564" s="135"/>
      <c r="L564" s="136" t="str">
        <f t="shared" si="26"/>
        <v>مدين</v>
      </c>
      <c r="M564" s="137" t="str">
        <f>IF(ISERROR(VLOOKUP(C564,'[1]خريطة الحسابات'!_xlnm.Print_Area,4,FALSE))," ",(VLOOKUP(C564,'[1]خريطة الحسابات'!_xlnm.Print_Area,4,FALSE)))</f>
        <v xml:space="preserve">مقاولين </v>
      </c>
      <c r="N564" s="138" t="str">
        <f>IF(ISERROR(VLOOKUP(C564,'[1]خريطة الحسابات'!_xlnm.Print_Area,5,FALSE))," ",(VLOOKUP(C564,'[1]خريطة الحسابات'!_xlnm.Print_Area,5,FALSE)))</f>
        <v xml:space="preserve">الدائنون والأرصدة الدائنة الأخرى </v>
      </c>
      <c r="O564" s="139" t="s">
        <v>1551</v>
      </c>
      <c r="P564" s="139" t="s">
        <v>1304</v>
      </c>
    </row>
    <row r="565" spans="1:16">
      <c r="A565" s="104">
        <v>37</v>
      </c>
      <c r="B565" s="131">
        <v>46069</v>
      </c>
      <c r="C565" s="141">
        <v>4033</v>
      </c>
      <c r="D565" s="140" t="str">
        <f>IF(ISERROR(VLOOKUP(C565,'[1]خريطة الحسابات'!_xlnm.Print_Area,3,FALSE))," ",(VLOOKUP(C565,'[1]خريطة الحسابات'!_xlnm.Print_Area,3,FALSE)))</f>
        <v>كريم النجار</v>
      </c>
      <c r="E565" s="132"/>
      <c r="F565" s="133">
        <v>30020</v>
      </c>
      <c r="G565" s="133"/>
      <c r="H565" s="134">
        <f t="shared" si="25"/>
        <v>30020</v>
      </c>
      <c r="I565" s="134">
        <f t="shared" si="25"/>
        <v>0</v>
      </c>
      <c r="J565" s="134">
        <f t="shared" si="24"/>
        <v>30020</v>
      </c>
      <c r="K565" s="135"/>
      <c r="L565" s="136" t="str">
        <f t="shared" si="26"/>
        <v>مدين</v>
      </c>
      <c r="M565" s="137" t="str">
        <f>IF(ISERROR(VLOOKUP(C565,'[1]خريطة الحسابات'!_xlnm.Print_Area,4,FALSE))," ",(VLOOKUP(C565,'[1]خريطة الحسابات'!_xlnm.Print_Area,4,FALSE)))</f>
        <v xml:space="preserve">مقاولين </v>
      </c>
      <c r="N565" s="138" t="str">
        <f>IF(ISERROR(VLOOKUP(C565,'[1]خريطة الحسابات'!_xlnm.Print_Area,5,FALSE))," ",(VLOOKUP(C565,'[1]خريطة الحسابات'!_xlnm.Print_Area,5,FALSE)))</f>
        <v xml:space="preserve">الدائنون والأرصدة الدائنة الأخرى </v>
      </c>
      <c r="O565" s="139" t="s">
        <v>1552</v>
      </c>
      <c r="P565" s="139" t="s">
        <v>1299</v>
      </c>
    </row>
    <row r="566" spans="1:16">
      <c r="A566" s="104">
        <v>37</v>
      </c>
      <c r="B566" s="131">
        <v>46077</v>
      </c>
      <c r="C566" s="141">
        <v>4033</v>
      </c>
      <c r="D566" s="140" t="str">
        <f>IF(ISERROR(VLOOKUP(C566,'[1]خريطة الحسابات'!_xlnm.Print_Area,3,FALSE))," ",(VLOOKUP(C566,'[1]خريطة الحسابات'!_xlnm.Print_Area,3,FALSE)))</f>
        <v>كريم النجار</v>
      </c>
      <c r="E566" s="132"/>
      <c r="F566" s="133">
        <v>10000</v>
      </c>
      <c r="G566" s="133"/>
      <c r="H566" s="134">
        <f t="shared" si="25"/>
        <v>10000</v>
      </c>
      <c r="I566" s="134">
        <f t="shared" si="25"/>
        <v>0</v>
      </c>
      <c r="J566" s="134">
        <f t="shared" si="24"/>
        <v>10000</v>
      </c>
      <c r="K566" s="135"/>
      <c r="L566" s="136" t="str">
        <f t="shared" si="26"/>
        <v>مدين</v>
      </c>
      <c r="M566" s="137" t="str">
        <f>IF(ISERROR(VLOOKUP(C566,'[1]خريطة الحسابات'!_xlnm.Print_Area,4,FALSE))," ",(VLOOKUP(C566,'[1]خريطة الحسابات'!_xlnm.Print_Area,4,FALSE)))</f>
        <v xml:space="preserve">مقاولين </v>
      </c>
      <c r="N566" s="138" t="str">
        <f>IF(ISERROR(VLOOKUP(C566,'[1]خريطة الحسابات'!_xlnm.Print_Area,5,FALSE))," ",(VLOOKUP(C566,'[1]خريطة الحسابات'!_xlnm.Print_Area,5,FALSE)))</f>
        <v xml:space="preserve">الدائنون والأرصدة الدائنة الأخرى </v>
      </c>
      <c r="O566" s="139" t="s">
        <v>1553</v>
      </c>
      <c r="P566" s="139" t="s">
        <v>1304</v>
      </c>
    </row>
    <row r="567" spans="1:16">
      <c r="A567" s="104">
        <v>37</v>
      </c>
      <c r="B567" s="131">
        <v>46084</v>
      </c>
      <c r="C567" s="141">
        <v>4033</v>
      </c>
      <c r="D567" s="140" t="str">
        <f>IF(ISERROR(VLOOKUP(C567,'[1]خريطة الحسابات'!_xlnm.Print_Area,3,FALSE))," ",(VLOOKUP(C567,'[1]خريطة الحسابات'!_xlnm.Print_Area,3,FALSE)))</f>
        <v>كريم النجار</v>
      </c>
      <c r="E567" s="132"/>
      <c r="F567" s="133">
        <v>50020</v>
      </c>
      <c r="G567" s="133"/>
      <c r="H567" s="134">
        <f t="shared" si="25"/>
        <v>50020</v>
      </c>
      <c r="I567" s="134">
        <f t="shared" si="25"/>
        <v>0</v>
      </c>
      <c r="J567" s="134">
        <f t="shared" si="24"/>
        <v>50020</v>
      </c>
      <c r="K567" s="135"/>
      <c r="L567" s="136" t="str">
        <f t="shared" si="26"/>
        <v>مدين</v>
      </c>
      <c r="M567" s="137" t="str">
        <f>IF(ISERROR(VLOOKUP(C567,'[1]خريطة الحسابات'!_xlnm.Print_Area,4,FALSE))," ",(VLOOKUP(C567,'[1]خريطة الحسابات'!_xlnm.Print_Area,4,FALSE)))</f>
        <v xml:space="preserve">مقاولين </v>
      </c>
      <c r="N567" s="138" t="str">
        <f>IF(ISERROR(VLOOKUP(C567,'[1]خريطة الحسابات'!_xlnm.Print_Area,5,FALSE))," ",(VLOOKUP(C567,'[1]خريطة الحسابات'!_xlnm.Print_Area,5,FALSE)))</f>
        <v xml:space="preserve">الدائنون والأرصدة الدائنة الأخرى </v>
      </c>
      <c r="O567" s="139" t="s">
        <v>1554</v>
      </c>
      <c r="P567" s="139" t="s">
        <v>1295</v>
      </c>
    </row>
    <row r="568" spans="1:16">
      <c r="A568" s="104">
        <v>37</v>
      </c>
      <c r="B568" s="131">
        <v>46086</v>
      </c>
      <c r="C568" s="141">
        <v>4033</v>
      </c>
      <c r="D568" s="140" t="str">
        <f>IF(ISERROR(VLOOKUP(C568,'[1]خريطة الحسابات'!_xlnm.Print_Area,3,FALSE))," ",(VLOOKUP(C568,'[1]خريطة الحسابات'!_xlnm.Print_Area,3,FALSE)))</f>
        <v>كريم النجار</v>
      </c>
      <c r="E568" s="132"/>
      <c r="F568" s="133">
        <v>150000</v>
      </c>
      <c r="G568" s="133"/>
      <c r="H568" s="134">
        <f t="shared" si="25"/>
        <v>150000</v>
      </c>
      <c r="I568" s="134">
        <f t="shared" si="25"/>
        <v>0</v>
      </c>
      <c r="J568" s="134">
        <f t="shared" si="24"/>
        <v>150000</v>
      </c>
      <c r="K568" s="135"/>
      <c r="L568" s="136" t="str">
        <f t="shared" si="26"/>
        <v>مدين</v>
      </c>
      <c r="M568" s="137" t="str">
        <f>IF(ISERROR(VLOOKUP(C568,'[1]خريطة الحسابات'!_xlnm.Print_Area,4,FALSE))," ",(VLOOKUP(C568,'[1]خريطة الحسابات'!_xlnm.Print_Area,4,FALSE)))</f>
        <v xml:space="preserve">مقاولين </v>
      </c>
      <c r="N568" s="138" t="str">
        <f>IF(ISERROR(VLOOKUP(C568,'[1]خريطة الحسابات'!_xlnm.Print_Area,5,FALSE))," ",(VLOOKUP(C568,'[1]خريطة الحسابات'!_xlnm.Print_Area,5,FALSE)))</f>
        <v xml:space="preserve">الدائنون والأرصدة الدائنة الأخرى </v>
      </c>
      <c r="O568" s="139" t="s">
        <v>1555</v>
      </c>
      <c r="P568" s="139" t="s">
        <v>1290</v>
      </c>
    </row>
    <row r="569" spans="1:16">
      <c r="A569" s="104">
        <v>37</v>
      </c>
      <c r="B569" s="131">
        <v>46097</v>
      </c>
      <c r="C569" s="141">
        <v>4033</v>
      </c>
      <c r="D569" s="140" t="str">
        <f>IF(ISERROR(VLOOKUP(C569,'[1]خريطة الحسابات'!_xlnm.Print_Area,3,FALSE))," ",(VLOOKUP(C569,'[1]خريطة الحسابات'!_xlnm.Print_Area,3,FALSE)))</f>
        <v>كريم النجار</v>
      </c>
      <c r="E569" s="132"/>
      <c r="F569" s="133">
        <v>50000</v>
      </c>
      <c r="G569" s="133"/>
      <c r="H569" s="134">
        <f t="shared" si="25"/>
        <v>50000</v>
      </c>
      <c r="I569" s="134">
        <f t="shared" si="25"/>
        <v>0</v>
      </c>
      <c r="J569" s="134">
        <f t="shared" si="24"/>
        <v>50000</v>
      </c>
      <c r="K569" s="135"/>
      <c r="L569" s="136" t="str">
        <f t="shared" si="26"/>
        <v>مدين</v>
      </c>
      <c r="M569" s="137" t="str">
        <f>IF(ISERROR(VLOOKUP(C569,'[1]خريطة الحسابات'!_xlnm.Print_Area,4,FALSE))," ",(VLOOKUP(C569,'[1]خريطة الحسابات'!_xlnm.Print_Area,4,FALSE)))</f>
        <v xml:space="preserve">مقاولين </v>
      </c>
      <c r="N569" s="138" t="str">
        <f>IF(ISERROR(VLOOKUP(C569,'[1]خريطة الحسابات'!_xlnm.Print_Area,5,FALSE))," ",(VLOOKUP(C569,'[1]خريطة الحسابات'!_xlnm.Print_Area,5,FALSE)))</f>
        <v xml:space="preserve">الدائنون والأرصدة الدائنة الأخرى </v>
      </c>
      <c r="O569" s="139" t="s">
        <v>1556</v>
      </c>
      <c r="P569" s="139" t="s">
        <v>1342</v>
      </c>
    </row>
    <row r="570" spans="1:16">
      <c r="A570" s="104">
        <v>37</v>
      </c>
      <c r="B570" s="131">
        <v>46097</v>
      </c>
      <c r="C570" s="141">
        <v>4033</v>
      </c>
      <c r="D570" s="140" t="str">
        <f>IF(ISERROR(VLOOKUP(C570,'[1]خريطة الحسابات'!_xlnm.Print_Area,3,FALSE))," ",(VLOOKUP(C570,'[1]خريطة الحسابات'!_xlnm.Print_Area,3,FALSE)))</f>
        <v>كريم النجار</v>
      </c>
      <c r="E570" s="132"/>
      <c r="F570" s="133">
        <v>120000</v>
      </c>
      <c r="G570" s="133"/>
      <c r="H570" s="134">
        <f t="shared" si="25"/>
        <v>120000</v>
      </c>
      <c r="I570" s="134">
        <f t="shared" si="25"/>
        <v>0</v>
      </c>
      <c r="J570" s="134">
        <f t="shared" si="24"/>
        <v>120000</v>
      </c>
      <c r="K570" s="135"/>
      <c r="L570" s="136" t="str">
        <f t="shared" si="26"/>
        <v>مدين</v>
      </c>
      <c r="M570" s="137" t="str">
        <f>IF(ISERROR(VLOOKUP(C570,'[1]خريطة الحسابات'!_xlnm.Print_Area,4,FALSE))," ",(VLOOKUP(C570,'[1]خريطة الحسابات'!_xlnm.Print_Area,4,FALSE)))</f>
        <v xml:space="preserve">مقاولين </v>
      </c>
      <c r="N570" s="138" t="str">
        <f>IF(ISERROR(VLOOKUP(C570,'[1]خريطة الحسابات'!_xlnm.Print_Area,5,FALSE))," ",(VLOOKUP(C570,'[1]خريطة الحسابات'!_xlnm.Print_Area,5,FALSE)))</f>
        <v xml:space="preserve">الدائنون والأرصدة الدائنة الأخرى </v>
      </c>
      <c r="O570" s="139" t="s">
        <v>1557</v>
      </c>
      <c r="P570" s="139" t="s">
        <v>1290</v>
      </c>
    </row>
    <row r="571" spans="1:16">
      <c r="A571" s="104">
        <v>37</v>
      </c>
      <c r="B571" s="131">
        <v>46097</v>
      </c>
      <c r="C571" s="141">
        <v>4033</v>
      </c>
      <c r="D571" s="140" t="str">
        <f>IF(ISERROR(VLOOKUP(C571,'[1]خريطة الحسابات'!_xlnm.Print_Area,3,FALSE))," ",(VLOOKUP(C571,'[1]خريطة الحسابات'!_xlnm.Print_Area,3,FALSE)))</f>
        <v>كريم النجار</v>
      </c>
      <c r="E571" s="132"/>
      <c r="F571" s="133">
        <v>70000</v>
      </c>
      <c r="G571" s="133"/>
      <c r="H571" s="134">
        <f t="shared" si="25"/>
        <v>70000</v>
      </c>
      <c r="I571" s="134">
        <f t="shared" si="25"/>
        <v>0</v>
      </c>
      <c r="J571" s="134">
        <f t="shared" si="24"/>
        <v>70000</v>
      </c>
      <c r="K571" s="135"/>
      <c r="L571" s="136" t="str">
        <f t="shared" si="26"/>
        <v>مدين</v>
      </c>
      <c r="M571" s="137" t="str">
        <f>IF(ISERROR(VLOOKUP(C571,'[1]خريطة الحسابات'!_xlnm.Print_Area,4,FALSE))," ",(VLOOKUP(C571,'[1]خريطة الحسابات'!_xlnm.Print_Area,4,FALSE)))</f>
        <v xml:space="preserve">مقاولين </v>
      </c>
      <c r="N571" s="138" t="str">
        <f>IF(ISERROR(VLOOKUP(C571,'[1]خريطة الحسابات'!_xlnm.Print_Area,5,FALSE))," ",(VLOOKUP(C571,'[1]خريطة الحسابات'!_xlnm.Print_Area,5,FALSE)))</f>
        <v xml:space="preserve">الدائنون والأرصدة الدائنة الأخرى </v>
      </c>
      <c r="O571" s="139" t="s">
        <v>1558</v>
      </c>
      <c r="P571" s="139" t="s">
        <v>1559</v>
      </c>
    </row>
    <row r="572" spans="1:16">
      <c r="A572" s="104">
        <v>37</v>
      </c>
      <c r="B572" s="131">
        <v>46097</v>
      </c>
      <c r="C572" s="141">
        <v>4033</v>
      </c>
      <c r="D572" s="140" t="str">
        <f>IF(ISERROR(VLOOKUP(C572,'[1]خريطة الحسابات'!_xlnm.Print_Area,3,FALSE))," ",(VLOOKUP(C572,'[1]خريطة الحسابات'!_xlnm.Print_Area,3,FALSE)))</f>
        <v>كريم النجار</v>
      </c>
      <c r="E572" s="132"/>
      <c r="F572" s="133">
        <v>70000</v>
      </c>
      <c r="G572" s="133"/>
      <c r="H572" s="134">
        <f t="shared" si="25"/>
        <v>70000</v>
      </c>
      <c r="I572" s="134">
        <f t="shared" si="25"/>
        <v>0</v>
      </c>
      <c r="J572" s="134">
        <f t="shared" si="24"/>
        <v>70000</v>
      </c>
      <c r="K572" s="135"/>
      <c r="L572" s="136" t="str">
        <f t="shared" si="26"/>
        <v>مدين</v>
      </c>
      <c r="M572" s="137" t="str">
        <f>IF(ISERROR(VLOOKUP(C572,'[1]خريطة الحسابات'!_xlnm.Print_Area,4,FALSE))," ",(VLOOKUP(C572,'[1]خريطة الحسابات'!_xlnm.Print_Area,4,FALSE)))</f>
        <v xml:space="preserve">مقاولين </v>
      </c>
      <c r="N572" s="138" t="str">
        <f>IF(ISERROR(VLOOKUP(C572,'[1]خريطة الحسابات'!_xlnm.Print_Area,5,FALSE))," ",(VLOOKUP(C572,'[1]خريطة الحسابات'!_xlnm.Print_Area,5,FALSE)))</f>
        <v xml:space="preserve">الدائنون والأرصدة الدائنة الأخرى </v>
      </c>
      <c r="O572" s="139" t="s">
        <v>1560</v>
      </c>
      <c r="P572" s="139" t="s">
        <v>1559</v>
      </c>
    </row>
    <row r="573" spans="1:16">
      <c r="A573" s="104">
        <v>37</v>
      </c>
      <c r="B573" s="131">
        <v>46097</v>
      </c>
      <c r="C573" s="141">
        <v>4033</v>
      </c>
      <c r="D573" s="140" t="str">
        <f>IF(ISERROR(VLOOKUP(C573,'[1]خريطة الحسابات'!_xlnm.Print_Area,3,FALSE))," ",(VLOOKUP(C573,'[1]خريطة الحسابات'!_xlnm.Print_Area,3,FALSE)))</f>
        <v>كريم النجار</v>
      </c>
      <c r="E573" s="132"/>
      <c r="F573" s="133">
        <v>50000</v>
      </c>
      <c r="G573" s="133"/>
      <c r="H573" s="134">
        <f t="shared" si="25"/>
        <v>50000</v>
      </c>
      <c r="I573" s="134">
        <f t="shared" si="25"/>
        <v>0</v>
      </c>
      <c r="J573" s="134">
        <f t="shared" si="24"/>
        <v>50000</v>
      </c>
      <c r="K573" s="135"/>
      <c r="L573" s="136" t="str">
        <f t="shared" si="26"/>
        <v>مدين</v>
      </c>
      <c r="M573" s="137" t="str">
        <f>IF(ISERROR(VLOOKUP(C573,'[1]خريطة الحسابات'!_xlnm.Print_Area,4,FALSE))," ",(VLOOKUP(C573,'[1]خريطة الحسابات'!_xlnm.Print_Area,4,FALSE)))</f>
        <v xml:space="preserve">مقاولين </v>
      </c>
      <c r="N573" s="138" t="str">
        <f>IF(ISERROR(VLOOKUP(C573,'[1]خريطة الحسابات'!_xlnm.Print_Area,5,FALSE))," ",(VLOOKUP(C573,'[1]خريطة الحسابات'!_xlnm.Print_Area,5,FALSE)))</f>
        <v xml:space="preserve">الدائنون والأرصدة الدائنة الأخرى </v>
      </c>
      <c r="O573" s="139" t="s">
        <v>1561</v>
      </c>
      <c r="P573" s="139" t="s">
        <v>1292</v>
      </c>
    </row>
    <row r="574" spans="1:16">
      <c r="A574" s="104">
        <v>37</v>
      </c>
      <c r="B574" s="131">
        <v>46097</v>
      </c>
      <c r="C574" s="141">
        <v>4033</v>
      </c>
      <c r="D574" s="140" t="str">
        <f>IF(ISERROR(VLOOKUP(C574,'[1]خريطة الحسابات'!_xlnm.Print_Area,3,FALSE))," ",(VLOOKUP(C574,'[1]خريطة الحسابات'!_xlnm.Print_Area,3,FALSE)))</f>
        <v>كريم النجار</v>
      </c>
      <c r="E574" s="132"/>
      <c r="F574" s="133">
        <v>30000</v>
      </c>
      <c r="G574" s="133"/>
      <c r="H574" s="134">
        <f t="shared" si="25"/>
        <v>30000</v>
      </c>
      <c r="I574" s="134">
        <f t="shared" si="25"/>
        <v>0</v>
      </c>
      <c r="J574" s="134">
        <f t="shared" si="24"/>
        <v>30000</v>
      </c>
      <c r="K574" s="135"/>
      <c r="L574" s="136" t="str">
        <f t="shared" si="26"/>
        <v>مدين</v>
      </c>
      <c r="M574" s="137" t="str">
        <f>IF(ISERROR(VLOOKUP(C574,'[1]خريطة الحسابات'!_xlnm.Print_Area,4,FALSE))," ",(VLOOKUP(C574,'[1]خريطة الحسابات'!_xlnm.Print_Area,4,FALSE)))</f>
        <v xml:space="preserve">مقاولين </v>
      </c>
      <c r="N574" s="138" t="str">
        <f>IF(ISERROR(VLOOKUP(C574,'[1]خريطة الحسابات'!_xlnm.Print_Area,5,FALSE))," ",(VLOOKUP(C574,'[1]خريطة الحسابات'!_xlnm.Print_Area,5,FALSE)))</f>
        <v xml:space="preserve">الدائنون والأرصدة الدائنة الأخرى </v>
      </c>
      <c r="O574" s="139" t="s">
        <v>1562</v>
      </c>
      <c r="P574" s="139" t="s">
        <v>1315</v>
      </c>
    </row>
    <row r="575" spans="1:16">
      <c r="A575" s="104">
        <v>37</v>
      </c>
      <c r="B575" s="131">
        <v>46097</v>
      </c>
      <c r="C575" s="141">
        <v>4033</v>
      </c>
      <c r="D575" s="140" t="str">
        <f>IF(ISERROR(VLOOKUP(C575,'[1]خريطة الحسابات'!_xlnm.Print_Area,3,FALSE))," ",(VLOOKUP(C575,'[1]خريطة الحسابات'!_xlnm.Print_Area,3,FALSE)))</f>
        <v>كريم النجار</v>
      </c>
      <c r="E575" s="132"/>
      <c r="F575" s="133">
        <v>60000</v>
      </c>
      <c r="G575" s="133"/>
      <c r="H575" s="134">
        <f t="shared" si="25"/>
        <v>60000</v>
      </c>
      <c r="I575" s="134">
        <f t="shared" si="25"/>
        <v>0</v>
      </c>
      <c r="J575" s="134">
        <f t="shared" si="24"/>
        <v>60000</v>
      </c>
      <c r="K575" s="135"/>
      <c r="L575" s="136" t="str">
        <f t="shared" si="26"/>
        <v>مدين</v>
      </c>
      <c r="M575" s="137" t="str">
        <f>IF(ISERROR(VLOOKUP(C575,'[1]خريطة الحسابات'!_xlnm.Print_Area,4,FALSE))," ",(VLOOKUP(C575,'[1]خريطة الحسابات'!_xlnm.Print_Area,4,FALSE)))</f>
        <v xml:space="preserve">مقاولين </v>
      </c>
      <c r="N575" s="138" t="str">
        <f>IF(ISERROR(VLOOKUP(C575,'[1]خريطة الحسابات'!_xlnm.Print_Area,5,FALSE))," ",(VLOOKUP(C575,'[1]خريطة الحسابات'!_xlnm.Print_Area,5,FALSE)))</f>
        <v xml:space="preserve">الدائنون والأرصدة الدائنة الأخرى </v>
      </c>
      <c r="O575" s="139" t="s">
        <v>1563</v>
      </c>
      <c r="P575" s="139" t="s">
        <v>1315</v>
      </c>
    </row>
    <row r="576" spans="1:16">
      <c r="A576" s="104">
        <v>37</v>
      </c>
      <c r="B576" s="131">
        <v>46133</v>
      </c>
      <c r="C576" s="141">
        <v>4033</v>
      </c>
      <c r="D576" s="140" t="str">
        <f>IF(ISERROR(VLOOKUP(C576,'[1]خريطة الحسابات'!_xlnm.Print_Area,3,FALSE))," ",(VLOOKUP(C576,'[1]خريطة الحسابات'!_xlnm.Print_Area,3,FALSE)))</f>
        <v>كريم النجار</v>
      </c>
      <c r="E576" s="132"/>
      <c r="F576" s="133">
        <v>25000</v>
      </c>
      <c r="G576" s="133"/>
      <c r="H576" s="134">
        <f t="shared" si="25"/>
        <v>25000</v>
      </c>
      <c r="I576" s="134">
        <f t="shared" si="25"/>
        <v>0</v>
      </c>
      <c r="J576" s="134">
        <f t="shared" si="24"/>
        <v>25000</v>
      </c>
      <c r="K576" s="135"/>
      <c r="L576" s="136" t="str">
        <f t="shared" si="26"/>
        <v>مدين</v>
      </c>
      <c r="M576" s="137" t="str">
        <f>IF(ISERROR(VLOOKUP(C576,'[1]خريطة الحسابات'!_xlnm.Print_Area,4,FALSE))," ",(VLOOKUP(C576,'[1]خريطة الحسابات'!_xlnm.Print_Area,4,FALSE)))</f>
        <v xml:space="preserve">مقاولين </v>
      </c>
      <c r="N576" s="138" t="str">
        <f>IF(ISERROR(VLOOKUP(C576,'[1]خريطة الحسابات'!_xlnm.Print_Area,5,FALSE))," ",(VLOOKUP(C576,'[1]خريطة الحسابات'!_xlnm.Print_Area,5,FALSE)))</f>
        <v xml:space="preserve">الدائنون والأرصدة الدائنة الأخرى </v>
      </c>
      <c r="O576" s="139" t="s">
        <v>1564</v>
      </c>
      <c r="P576" s="139" t="s">
        <v>1290</v>
      </c>
    </row>
    <row r="577" spans="1:16">
      <c r="A577" s="104">
        <v>37</v>
      </c>
      <c r="B577" s="131">
        <v>46133</v>
      </c>
      <c r="C577" s="141">
        <v>4033</v>
      </c>
      <c r="D577" s="140" t="str">
        <f>IF(ISERROR(VLOOKUP(C577,'[1]خريطة الحسابات'!_xlnm.Print_Area,3,FALSE))," ",(VLOOKUP(C577,'[1]خريطة الحسابات'!_xlnm.Print_Area,3,FALSE)))</f>
        <v>كريم النجار</v>
      </c>
      <c r="E577" s="132"/>
      <c r="F577" s="133">
        <v>25000</v>
      </c>
      <c r="G577" s="133"/>
      <c r="H577" s="134">
        <f t="shared" si="25"/>
        <v>25000</v>
      </c>
      <c r="I577" s="134">
        <f t="shared" si="25"/>
        <v>0</v>
      </c>
      <c r="J577" s="134">
        <f t="shared" si="24"/>
        <v>25000</v>
      </c>
      <c r="K577" s="135"/>
      <c r="L577" s="136" t="str">
        <f t="shared" si="26"/>
        <v>مدين</v>
      </c>
      <c r="M577" s="137" t="str">
        <f>IF(ISERROR(VLOOKUP(C577,'[1]خريطة الحسابات'!_xlnm.Print_Area,4,FALSE))," ",(VLOOKUP(C577,'[1]خريطة الحسابات'!_xlnm.Print_Area,4,FALSE)))</f>
        <v xml:space="preserve">مقاولين </v>
      </c>
      <c r="N577" s="138" t="str">
        <f>IF(ISERROR(VLOOKUP(C577,'[1]خريطة الحسابات'!_xlnm.Print_Area,5,FALSE))," ",(VLOOKUP(C577,'[1]خريطة الحسابات'!_xlnm.Print_Area,5,FALSE)))</f>
        <v xml:space="preserve">الدائنون والأرصدة الدائنة الأخرى </v>
      </c>
      <c r="O577" s="139" t="s">
        <v>1565</v>
      </c>
      <c r="P577" s="139" t="s">
        <v>1292</v>
      </c>
    </row>
    <row r="578" spans="1:16">
      <c r="A578" s="104">
        <v>37</v>
      </c>
      <c r="B578" s="131">
        <v>46144</v>
      </c>
      <c r="C578" s="141">
        <v>4033</v>
      </c>
      <c r="D578" s="140" t="str">
        <f>IF(ISERROR(VLOOKUP(C578,'[1]خريطة الحسابات'!_xlnm.Print_Area,3,FALSE))," ",(VLOOKUP(C578,'[1]خريطة الحسابات'!_xlnm.Print_Area,3,FALSE)))</f>
        <v>كريم النجار</v>
      </c>
      <c r="E578" s="132"/>
      <c r="F578" s="133">
        <v>950</v>
      </c>
      <c r="G578" s="133"/>
      <c r="H578" s="134">
        <f t="shared" si="25"/>
        <v>950</v>
      </c>
      <c r="I578" s="134">
        <f t="shared" si="25"/>
        <v>0</v>
      </c>
      <c r="J578" s="134">
        <f t="shared" si="24"/>
        <v>950</v>
      </c>
      <c r="K578" s="135"/>
      <c r="L578" s="136" t="str">
        <f t="shared" si="26"/>
        <v>مدين</v>
      </c>
      <c r="M578" s="137" t="str">
        <f>IF(ISERROR(VLOOKUP(C578,'[1]خريطة الحسابات'!_xlnm.Print_Area,4,FALSE))," ",(VLOOKUP(C578,'[1]خريطة الحسابات'!_xlnm.Print_Area,4,FALSE)))</f>
        <v xml:space="preserve">مقاولين </v>
      </c>
      <c r="N578" s="138" t="str">
        <f>IF(ISERROR(VLOOKUP(C578,'[1]خريطة الحسابات'!_xlnm.Print_Area,5,FALSE))," ",(VLOOKUP(C578,'[1]خريطة الحسابات'!_xlnm.Print_Area,5,FALSE)))</f>
        <v xml:space="preserve">الدائنون والأرصدة الدائنة الأخرى </v>
      </c>
      <c r="O578" s="139" t="s">
        <v>1566</v>
      </c>
      <c r="P578" s="139" t="s">
        <v>1342</v>
      </c>
    </row>
    <row r="579" spans="1:16">
      <c r="A579" s="104">
        <v>37</v>
      </c>
      <c r="B579" s="131">
        <v>46144</v>
      </c>
      <c r="C579" s="141">
        <v>4033</v>
      </c>
      <c r="D579" s="140" t="str">
        <f>IF(ISERROR(VLOOKUP(C579,'[1]خريطة الحسابات'!_xlnm.Print_Area,3,FALSE))," ",(VLOOKUP(C579,'[1]خريطة الحسابات'!_xlnm.Print_Area,3,FALSE)))</f>
        <v>كريم النجار</v>
      </c>
      <c r="E579" s="132"/>
      <c r="F579" s="133">
        <v>600</v>
      </c>
      <c r="G579" s="133"/>
      <c r="H579" s="134">
        <f t="shared" si="25"/>
        <v>600</v>
      </c>
      <c r="I579" s="134">
        <f t="shared" si="25"/>
        <v>0</v>
      </c>
      <c r="J579" s="134">
        <f t="shared" si="24"/>
        <v>600</v>
      </c>
      <c r="K579" s="135"/>
      <c r="L579" s="136" t="str">
        <f t="shared" si="26"/>
        <v>مدين</v>
      </c>
      <c r="M579" s="137" t="str">
        <f>IF(ISERROR(VLOOKUP(C579,'[1]خريطة الحسابات'!_xlnm.Print_Area,4,FALSE))," ",(VLOOKUP(C579,'[1]خريطة الحسابات'!_xlnm.Print_Area,4,FALSE)))</f>
        <v xml:space="preserve">مقاولين </v>
      </c>
      <c r="N579" s="138" t="str">
        <f>IF(ISERROR(VLOOKUP(C579,'[1]خريطة الحسابات'!_xlnm.Print_Area,5,FALSE))," ",(VLOOKUP(C579,'[1]خريطة الحسابات'!_xlnm.Print_Area,5,FALSE)))</f>
        <v xml:space="preserve">الدائنون والأرصدة الدائنة الأخرى </v>
      </c>
      <c r="O579" s="139" t="s">
        <v>1567</v>
      </c>
      <c r="P579" s="139" t="s">
        <v>1342</v>
      </c>
    </row>
    <row r="580" spans="1:16">
      <c r="A580" s="104">
        <v>37</v>
      </c>
      <c r="B580" s="131">
        <v>46148</v>
      </c>
      <c r="C580" s="141">
        <v>4033</v>
      </c>
      <c r="D580" s="140" t="str">
        <f>IF(ISERROR(VLOOKUP(C580,'[1]خريطة الحسابات'!_xlnm.Print_Area,3,FALSE))," ",(VLOOKUP(C580,'[1]خريطة الحسابات'!_xlnm.Print_Area,3,FALSE)))</f>
        <v>كريم النجار</v>
      </c>
      <c r="E580" s="132"/>
      <c r="F580" s="133">
        <v>17000</v>
      </c>
      <c r="G580" s="133"/>
      <c r="H580" s="134">
        <f t="shared" si="25"/>
        <v>17000</v>
      </c>
      <c r="I580" s="134">
        <f t="shared" si="25"/>
        <v>0</v>
      </c>
      <c r="J580" s="134">
        <f t="shared" si="24"/>
        <v>17000</v>
      </c>
      <c r="K580" s="135"/>
      <c r="L580" s="136" t="str">
        <f t="shared" si="26"/>
        <v>مدين</v>
      </c>
      <c r="M580" s="137" t="str">
        <f>IF(ISERROR(VLOOKUP(C580,'[1]خريطة الحسابات'!_xlnm.Print_Area,4,FALSE))," ",(VLOOKUP(C580,'[1]خريطة الحسابات'!_xlnm.Print_Area,4,FALSE)))</f>
        <v xml:space="preserve">مقاولين </v>
      </c>
      <c r="N580" s="138" t="str">
        <f>IF(ISERROR(VLOOKUP(C580,'[1]خريطة الحسابات'!_xlnm.Print_Area,5,FALSE))," ",(VLOOKUP(C580,'[1]خريطة الحسابات'!_xlnm.Print_Area,5,FALSE)))</f>
        <v xml:space="preserve">الدائنون والأرصدة الدائنة الأخرى </v>
      </c>
      <c r="O580" s="139" t="s">
        <v>1568</v>
      </c>
      <c r="P580" s="139" t="s">
        <v>1290</v>
      </c>
    </row>
    <row r="581" spans="1:16">
      <c r="A581" s="104">
        <v>37</v>
      </c>
      <c r="B581" s="131">
        <v>46148</v>
      </c>
      <c r="C581" s="141">
        <v>4033</v>
      </c>
      <c r="D581" s="140" t="str">
        <f>IF(ISERROR(VLOOKUP(C581,'[1]خريطة الحسابات'!_xlnm.Print_Area,3,FALSE))," ",(VLOOKUP(C581,'[1]خريطة الحسابات'!_xlnm.Print_Area,3,FALSE)))</f>
        <v>كريم النجار</v>
      </c>
      <c r="E581" s="132"/>
      <c r="F581" s="133">
        <v>18000</v>
      </c>
      <c r="G581" s="133"/>
      <c r="H581" s="134">
        <f t="shared" si="25"/>
        <v>18000</v>
      </c>
      <c r="I581" s="134">
        <f t="shared" si="25"/>
        <v>0</v>
      </c>
      <c r="J581" s="134">
        <f t="shared" si="24"/>
        <v>18000</v>
      </c>
      <c r="K581" s="135"/>
      <c r="L581" s="136" t="str">
        <f t="shared" si="26"/>
        <v>مدين</v>
      </c>
      <c r="M581" s="137" t="str">
        <f>IF(ISERROR(VLOOKUP(C581,'[1]خريطة الحسابات'!_xlnm.Print_Area,4,FALSE))," ",(VLOOKUP(C581,'[1]خريطة الحسابات'!_xlnm.Print_Area,4,FALSE)))</f>
        <v xml:space="preserve">مقاولين </v>
      </c>
      <c r="N581" s="138" t="str">
        <f>IF(ISERROR(VLOOKUP(C581,'[1]خريطة الحسابات'!_xlnm.Print_Area,5,FALSE))," ",(VLOOKUP(C581,'[1]خريطة الحسابات'!_xlnm.Print_Area,5,FALSE)))</f>
        <v xml:space="preserve">الدائنون والأرصدة الدائنة الأخرى </v>
      </c>
      <c r="O581" s="139" t="s">
        <v>1568</v>
      </c>
      <c r="P581" s="139" t="s">
        <v>1292</v>
      </c>
    </row>
    <row r="582" spans="1:16">
      <c r="A582" s="104">
        <v>37</v>
      </c>
      <c r="B582" s="131">
        <v>46154</v>
      </c>
      <c r="C582" s="141">
        <v>4033</v>
      </c>
      <c r="D582" s="140" t="str">
        <f>IF(ISERROR(VLOOKUP(C582,'[1]خريطة الحسابات'!_xlnm.Print_Area,3,FALSE))," ",(VLOOKUP(C582,'[1]خريطة الحسابات'!_xlnm.Print_Area,3,FALSE)))</f>
        <v>كريم النجار</v>
      </c>
      <c r="E582" s="132"/>
      <c r="F582" s="133">
        <v>1250</v>
      </c>
      <c r="G582" s="133"/>
      <c r="H582" s="134">
        <f t="shared" si="25"/>
        <v>1250</v>
      </c>
      <c r="I582" s="134">
        <f t="shared" si="25"/>
        <v>0</v>
      </c>
      <c r="J582" s="134">
        <f t="shared" si="24"/>
        <v>1250</v>
      </c>
      <c r="K582" s="135"/>
      <c r="L582" s="136" t="str">
        <f t="shared" si="26"/>
        <v>مدين</v>
      </c>
      <c r="M582" s="137" t="str">
        <f>IF(ISERROR(VLOOKUP(C582,'[1]خريطة الحسابات'!_xlnm.Print_Area,4,FALSE))," ",(VLOOKUP(C582,'[1]خريطة الحسابات'!_xlnm.Print_Area,4,FALSE)))</f>
        <v xml:space="preserve">مقاولين </v>
      </c>
      <c r="N582" s="138" t="str">
        <f>IF(ISERROR(VLOOKUP(C582,'[1]خريطة الحسابات'!_xlnm.Print_Area,5,FALSE))," ",(VLOOKUP(C582,'[1]خريطة الحسابات'!_xlnm.Print_Area,5,FALSE)))</f>
        <v xml:space="preserve">الدائنون والأرصدة الدائنة الأخرى </v>
      </c>
      <c r="O582" s="139" t="s">
        <v>1569</v>
      </c>
      <c r="P582" s="139" t="s">
        <v>1290</v>
      </c>
    </row>
    <row r="583" spans="1:16">
      <c r="A583" s="104">
        <v>37</v>
      </c>
      <c r="B583" s="131">
        <v>46161</v>
      </c>
      <c r="C583" s="141">
        <v>4033</v>
      </c>
      <c r="D583" s="140" t="str">
        <f>IF(ISERROR(VLOOKUP(C583,'[1]خريطة الحسابات'!_xlnm.Print_Area,3,FALSE))," ",(VLOOKUP(C583,'[1]خريطة الحسابات'!_xlnm.Print_Area,3,FALSE)))</f>
        <v>كريم النجار</v>
      </c>
      <c r="E583" s="132"/>
      <c r="F583" s="133">
        <v>1500</v>
      </c>
      <c r="G583" s="133"/>
      <c r="H583" s="134">
        <f t="shared" si="25"/>
        <v>1500</v>
      </c>
      <c r="I583" s="134">
        <f t="shared" si="25"/>
        <v>0</v>
      </c>
      <c r="J583" s="134">
        <f t="shared" si="24"/>
        <v>1500</v>
      </c>
      <c r="K583" s="135"/>
      <c r="L583" s="136" t="str">
        <f t="shared" si="26"/>
        <v>مدين</v>
      </c>
      <c r="M583" s="137" t="str">
        <f>IF(ISERROR(VLOOKUP(C583,'[1]خريطة الحسابات'!_xlnm.Print_Area,4,FALSE))," ",(VLOOKUP(C583,'[1]خريطة الحسابات'!_xlnm.Print_Area,4,FALSE)))</f>
        <v xml:space="preserve">مقاولين </v>
      </c>
      <c r="N583" s="138" t="str">
        <f>IF(ISERROR(VLOOKUP(C583,'[1]خريطة الحسابات'!_xlnm.Print_Area,5,FALSE))," ",(VLOOKUP(C583,'[1]خريطة الحسابات'!_xlnm.Print_Area,5,FALSE)))</f>
        <v xml:space="preserve">الدائنون والأرصدة الدائنة الأخرى </v>
      </c>
      <c r="O583" s="139" t="s">
        <v>1570</v>
      </c>
      <c r="P583" s="139" t="s">
        <v>1342</v>
      </c>
    </row>
    <row r="584" spans="1:16">
      <c r="A584" s="104">
        <v>37</v>
      </c>
      <c r="B584" s="131">
        <v>46034</v>
      </c>
      <c r="C584" s="141">
        <v>20</v>
      </c>
      <c r="D584" s="140" t="str">
        <f>IF(ISERROR(VLOOKUP(C584,'[1]خريطة الحسابات'!_xlnm.Print_Area,3,FALSE))," ",(VLOOKUP(C584,'[1]خريطة الحسابات'!_xlnm.Print_Area,3,FALSE)))</f>
        <v xml:space="preserve">الخزينة </v>
      </c>
      <c r="E584" s="132"/>
      <c r="F584" s="133"/>
      <c r="G584" s="133">
        <v>1000</v>
      </c>
      <c r="H584" s="134">
        <f t="shared" si="25"/>
        <v>0</v>
      </c>
      <c r="I584" s="134">
        <f t="shared" si="25"/>
        <v>1000</v>
      </c>
      <c r="J584" s="134">
        <f t="shared" si="24"/>
        <v>-1000</v>
      </c>
      <c r="K584" s="135"/>
      <c r="L584" s="136" t="str">
        <f t="shared" si="26"/>
        <v>دائن</v>
      </c>
      <c r="M584" s="137" t="str">
        <f>IF(ISERROR(VLOOKUP(C584,'[1]خريطة الحسابات'!_xlnm.Print_Area,4,FALSE))," ",(VLOOKUP(C584,'[1]خريطة الحسابات'!_xlnm.Print_Area,4,FALSE)))</f>
        <v xml:space="preserve">أصول متداوله -النقدية ومافي حكمها </v>
      </c>
      <c r="N584" s="138" t="str">
        <f>IF(ISERROR(VLOOKUP(C584,'[1]خريطة الحسابات'!_xlnm.Print_Area,5,FALSE))," ",(VLOOKUP(C584,'[1]خريطة الحسابات'!_xlnm.Print_Area,5,FALSE)))</f>
        <v>الاصول</v>
      </c>
      <c r="O584" s="139" t="s">
        <v>1548</v>
      </c>
      <c r="P584" s="139" t="s">
        <v>1304</v>
      </c>
    </row>
    <row r="585" spans="1:16">
      <c r="A585" s="104">
        <v>37</v>
      </c>
      <c r="B585" s="131">
        <v>46041</v>
      </c>
      <c r="C585" s="141">
        <v>20</v>
      </c>
      <c r="D585" s="140" t="str">
        <f>IF(ISERROR(VLOOKUP(C585,'[1]خريطة الحسابات'!_xlnm.Print_Area,3,FALSE))," ",(VLOOKUP(C585,'[1]خريطة الحسابات'!_xlnm.Print_Area,3,FALSE)))</f>
        <v xml:space="preserve">الخزينة </v>
      </c>
      <c r="E585" s="132"/>
      <c r="F585" s="133"/>
      <c r="G585" s="133">
        <v>20020</v>
      </c>
      <c r="H585" s="134">
        <f t="shared" si="25"/>
        <v>0</v>
      </c>
      <c r="I585" s="134">
        <f t="shared" si="25"/>
        <v>20020</v>
      </c>
      <c r="J585" s="134">
        <f t="shared" si="24"/>
        <v>-20020</v>
      </c>
      <c r="K585" s="135"/>
      <c r="L585" s="136" t="str">
        <f t="shared" si="26"/>
        <v>دائن</v>
      </c>
      <c r="M585" s="137" t="str">
        <f>IF(ISERROR(VLOOKUP(C585,'[1]خريطة الحسابات'!_xlnm.Print_Area,4,FALSE))," ",(VLOOKUP(C585,'[1]خريطة الحسابات'!_xlnm.Print_Area,4,FALSE)))</f>
        <v xml:space="preserve">أصول متداوله -النقدية ومافي حكمها </v>
      </c>
      <c r="N585" s="138" t="str">
        <f>IF(ISERROR(VLOOKUP(C585,'[1]خريطة الحسابات'!_xlnm.Print_Area,5,FALSE))," ",(VLOOKUP(C585,'[1]خريطة الحسابات'!_xlnm.Print_Area,5,FALSE)))</f>
        <v>الاصول</v>
      </c>
      <c r="O585" s="139" t="s">
        <v>1549</v>
      </c>
      <c r="P585" s="139" t="s">
        <v>1325</v>
      </c>
    </row>
    <row r="586" spans="1:16">
      <c r="A586" s="104">
        <v>37</v>
      </c>
      <c r="B586" s="131">
        <v>46041</v>
      </c>
      <c r="C586" s="141">
        <v>20</v>
      </c>
      <c r="D586" s="140" t="str">
        <f>IF(ISERROR(VLOOKUP(C586,'[1]خريطة الحسابات'!_xlnm.Print_Area,3,FALSE))," ",(VLOOKUP(C586,'[1]خريطة الحسابات'!_xlnm.Print_Area,3,FALSE)))</f>
        <v xml:space="preserve">الخزينة </v>
      </c>
      <c r="E586" s="132"/>
      <c r="F586" s="133"/>
      <c r="G586" s="133">
        <v>10010</v>
      </c>
      <c r="H586" s="134">
        <f t="shared" si="25"/>
        <v>0</v>
      </c>
      <c r="I586" s="134">
        <f t="shared" si="25"/>
        <v>10010</v>
      </c>
      <c r="J586" s="134">
        <f t="shared" si="24"/>
        <v>-10010</v>
      </c>
      <c r="K586" s="135"/>
      <c r="L586" s="136" t="str">
        <f t="shared" si="26"/>
        <v>دائن</v>
      </c>
      <c r="M586" s="137" t="str">
        <f>IF(ISERROR(VLOOKUP(C586,'[1]خريطة الحسابات'!_xlnm.Print_Area,4,FALSE))," ",(VLOOKUP(C586,'[1]خريطة الحسابات'!_xlnm.Print_Area,4,FALSE)))</f>
        <v xml:space="preserve">أصول متداوله -النقدية ومافي حكمها </v>
      </c>
      <c r="N586" s="138" t="str">
        <f>IF(ISERROR(VLOOKUP(C586,'[1]خريطة الحسابات'!_xlnm.Print_Area,5,FALSE))," ",(VLOOKUP(C586,'[1]خريطة الحسابات'!_xlnm.Print_Area,5,FALSE)))</f>
        <v>الاصول</v>
      </c>
      <c r="O586" s="139" t="s">
        <v>1550</v>
      </c>
      <c r="P586" s="139" t="s">
        <v>1325</v>
      </c>
    </row>
    <row r="587" spans="1:16">
      <c r="A587" s="104">
        <v>37</v>
      </c>
      <c r="B587" s="131">
        <v>46056</v>
      </c>
      <c r="C587" s="141">
        <v>20</v>
      </c>
      <c r="D587" s="140" t="str">
        <f>IF(ISERROR(VLOOKUP(C587,'[1]خريطة الحسابات'!_xlnm.Print_Area,3,FALSE))," ",(VLOOKUP(C587,'[1]خريطة الحسابات'!_xlnm.Print_Area,3,FALSE)))</f>
        <v xml:space="preserve">الخزينة </v>
      </c>
      <c r="E587" s="132"/>
      <c r="F587" s="133"/>
      <c r="G587" s="133">
        <v>30020</v>
      </c>
      <c r="H587" s="134">
        <f t="shared" si="25"/>
        <v>0</v>
      </c>
      <c r="I587" s="134">
        <f t="shared" si="25"/>
        <v>30020</v>
      </c>
      <c r="J587" s="134">
        <f t="shared" si="24"/>
        <v>-30020</v>
      </c>
      <c r="K587" s="135"/>
      <c r="L587" s="136" t="str">
        <f t="shared" si="26"/>
        <v>دائن</v>
      </c>
      <c r="M587" s="137" t="str">
        <f>IF(ISERROR(VLOOKUP(C587,'[1]خريطة الحسابات'!_xlnm.Print_Area,4,FALSE))," ",(VLOOKUP(C587,'[1]خريطة الحسابات'!_xlnm.Print_Area,4,FALSE)))</f>
        <v xml:space="preserve">أصول متداوله -النقدية ومافي حكمها </v>
      </c>
      <c r="N587" s="138" t="str">
        <f>IF(ISERROR(VLOOKUP(C587,'[1]خريطة الحسابات'!_xlnm.Print_Area,5,FALSE))," ",(VLOOKUP(C587,'[1]خريطة الحسابات'!_xlnm.Print_Area,5,FALSE)))</f>
        <v>الاصول</v>
      </c>
      <c r="O587" s="139" t="s">
        <v>1551</v>
      </c>
      <c r="P587" s="139" t="s">
        <v>1304</v>
      </c>
    </row>
    <row r="588" spans="1:16">
      <c r="A588" s="104">
        <v>37</v>
      </c>
      <c r="B588" s="131">
        <v>46069</v>
      </c>
      <c r="C588" s="141">
        <v>20</v>
      </c>
      <c r="D588" s="140" t="str">
        <f>IF(ISERROR(VLOOKUP(C588,'[1]خريطة الحسابات'!_xlnm.Print_Area,3,FALSE))," ",(VLOOKUP(C588,'[1]خريطة الحسابات'!_xlnm.Print_Area,3,FALSE)))</f>
        <v xml:space="preserve">الخزينة </v>
      </c>
      <c r="E588" s="132"/>
      <c r="F588" s="133"/>
      <c r="G588" s="133">
        <v>30020</v>
      </c>
      <c r="H588" s="134">
        <f t="shared" si="25"/>
        <v>0</v>
      </c>
      <c r="I588" s="134">
        <f t="shared" si="25"/>
        <v>30020</v>
      </c>
      <c r="J588" s="134">
        <f t="shared" si="24"/>
        <v>-30020</v>
      </c>
      <c r="K588" s="135"/>
      <c r="L588" s="136" t="str">
        <f t="shared" si="26"/>
        <v>دائن</v>
      </c>
      <c r="M588" s="137" t="str">
        <f>IF(ISERROR(VLOOKUP(C588,'[1]خريطة الحسابات'!_xlnm.Print_Area,4,FALSE))," ",(VLOOKUP(C588,'[1]خريطة الحسابات'!_xlnm.Print_Area,4,FALSE)))</f>
        <v xml:space="preserve">أصول متداوله -النقدية ومافي حكمها </v>
      </c>
      <c r="N588" s="138" t="str">
        <f>IF(ISERROR(VLOOKUP(C588,'[1]خريطة الحسابات'!_xlnm.Print_Area,5,FALSE))," ",(VLOOKUP(C588,'[1]خريطة الحسابات'!_xlnm.Print_Area,5,FALSE)))</f>
        <v>الاصول</v>
      </c>
      <c r="O588" s="139" t="s">
        <v>1552</v>
      </c>
      <c r="P588" s="139" t="s">
        <v>1299</v>
      </c>
    </row>
    <row r="589" spans="1:16">
      <c r="A589" s="104">
        <v>37</v>
      </c>
      <c r="B589" s="131">
        <v>46077</v>
      </c>
      <c r="C589" s="141">
        <v>20</v>
      </c>
      <c r="D589" s="140" t="str">
        <f>IF(ISERROR(VLOOKUP(C589,'[1]خريطة الحسابات'!_xlnm.Print_Area,3,FALSE))," ",(VLOOKUP(C589,'[1]خريطة الحسابات'!_xlnm.Print_Area,3,FALSE)))</f>
        <v xml:space="preserve">الخزينة </v>
      </c>
      <c r="E589" s="132"/>
      <c r="F589" s="133"/>
      <c r="G589" s="133">
        <v>10000</v>
      </c>
      <c r="H589" s="134">
        <f t="shared" si="25"/>
        <v>0</v>
      </c>
      <c r="I589" s="134">
        <f t="shared" si="25"/>
        <v>10000</v>
      </c>
      <c r="J589" s="134">
        <f t="shared" si="24"/>
        <v>-10000</v>
      </c>
      <c r="K589" s="135"/>
      <c r="L589" s="136" t="str">
        <f t="shared" si="26"/>
        <v>دائن</v>
      </c>
      <c r="M589" s="137" t="str">
        <f>IF(ISERROR(VLOOKUP(C589,'[1]خريطة الحسابات'!_xlnm.Print_Area,4,FALSE))," ",(VLOOKUP(C589,'[1]خريطة الحسابات'!_xlnm.Print_Area,4,FALSE)))</f>
        <v xml:space="preserve">أصول متداوله -النقدية ومافي حكمها </v>
      </c>
      <c r="N589" s="138" t="str">
        <f>IF(ISERROR(VLOOKUP(C589,'[1]خريطة الحسابات'!_xlnm.Print_Area,5,FALSE))," ",(VLOOKUP(C589,'[1]خريطة الحسابات'!_xlnm.Print_Area,5,FALSE)))</f>
        <v>الاصول</v>
      </c>
      <c r="O589" s="139" t="s">
        <v>1553</v>
      </c>
      <c r="P589" s="139" t="s">
        <v>1304</v>
      </c>
    </row>
    <row r="590" spans="1:16">
      <c r="A590" s="104">
        <v>37</v>
      </c>
      <c r="B590" s="131">
        <v>46084</v>
      </c>
      <c r="C590" s="141">
        <v>20</v>
      </c>
      <c r="D590" s="140" t="str">
        <f>IF(ISERROR(VLOOKUP(C590,'[1]خريطة الحسابات'!_xlnm.Print_Area,3,FALSE))," ",(VLOOKUP(C590,'[1]خريطة الحسابات'!_xlnm.Print_Area,3,FALSE)))</f>
        <v xml:space="preserve">الخزينة </v>
      </c>
      <c r="E590" s="132"/>
      <c r="F590" s="133"/>
      <c r="G590" s="133">
        <v>50020</v>
      </c>
      <c r="H590" s="134">
        <f t="shared" si="25"/>
        <v>0</v>
      </c>
      <c r="I590" s="134">
        <f t="shared" si="25"/>
        <v>50020</v>
      </c>
      <c r="J590" s="134">
        <f t="shared" si="24"/>
        <v>-50020</v>
      </c>
      <c r="K590" s="135"/>
      <c r="L590" s="136" t="str">
        <f t="shared" si="26"/>
        <v>دائن</v>
      </c>
      <c r="M590" s="137" t="str">
        <f>IF(ISERROR(VLOOKUP(C590,'[1]خريطة الحسابات'!_xlnm.Print_Area,4,FALSE))," ",(VLOOKUP(C590,'[1]خريطة الحسابات'!_xlnm.Print_Area,4,FALSE)))</f>
        <v xml:space="preserve">أصول متداوله -النقدية ومافي حكمها </v>
      </c>
      <c r="N590" s="138" t="str">
        <f>IF(ISERROR(VLOOKUP(C590,'[1]خريطة الحسابات'!_xlnm.Print_Area,5,FALSE))," ",(VLOOKUP(C590,'[1]خريطة الحسابات'!_xlnm.Print_Area,5,FALSE)))</f>
        <v>الاصول</v>
      </c>
      <c r="O590" s="139" t="s">
        <v>1554</v>
      </c>
      <c r="P590" s="139" t="s">
        <v>1295</v>
      </c>
    </row>
    <row r="591" spans="1:16">
      <c r="A591" s="104">
        <v>37</v>
      </c>
      <c r="B591" s="131">
        <v>46086</v>
      </c>
      <c r="C591" s="141">
        <v>20</v>
      </c>
      <c r="D591" s="140" t="str">
        <f>IF(ISERROR(VLOOKUP(C591,'[1]خريطة الحسابات'!_xlnm.Print_Area,3,FALSE))," ",(VLOOKUP(C591,'[1]خريطة الحسابات'!_xlnm.Print_Area,3,FALSE)))</f>
        <v xml:space="preserve">الخزينة </v>
      </c>
      <c r="E591" s="132"/>
      <c r="F591" s="133"/>
      <c r="G591" s="133">
        <v>150000</v>
      </c>
      <c r="H591" s="134">
        <f t="shared" si="25"/>
        <v>0</v>
      </c>
      <c r="I591" s="134">
        <f t="shared" si="25"/>
        <v>150000</v>
      </c>
      <c r="J591" s="134">
        <f t="shared" si="24"/>
        <v>-150000</v>
      </c>
      <c r="K591" s="135"/>
      <c r="L591" s="136" t="str">
        <f t="shared" si="26"/>
        <v>دائن</v>
      </c>
      <c r="M591" s="137" t="str">
        <f>IF(ISERROR(VLOOKUP(C591,'[1]خريطة الحسابات'!_xlnm.Print_Area,4,FALSE))," ",(VLOOKUP(C591,'[1]خريطة الحسابات'!_xlnm.Print_Area,4,FALSE)))</f>
        <v xml:space="preserve">أصول متداوله -النقدية ومافي حكمها </v>
      </c>
      <c r="N591" s="138" t="str">
        <f>IF(ISERROR(VLOOKUP(C591,'[1]خريطة الحسابات'!_xlnm.Print_Area,5,FALSE))," ",(VLOOKUP(C591,'[1]خريطة الحسابات'!_xlnm.Print_Area,5,FALSE)))</f>
        <v>الاصول</v>
      </c>
      <c r="O591" s="139" t="s">
        <v>1555</v>
      </c>
      <c r="P591" s="139" t="s">
        <v>1290</v>
      </c>
    </row>
    <row r="592" spans="1:16">
      <c r="A592" s="104">
        <v>37</v>
      </c>
      <c r="B592" s="131">
        <v>46097</v>
      </c>
      <c r="C592" s="141">
        <v>20</v>
      </c>
      <c r="D592" s="140" t="str">
        <f>IF(ISERROR(VLOOKUP(C592,'[1]خريطة الحسابات'!_xlnm.Print_Area,3,FALSE))," ",(VLOOKUP(C592,'[1]خريطة الحسابات'!_xlnm.Print_Area,3,FALSE)))</f>
        <v xml:space="preserve">الخزينة </v>
      </c>
      <c r="E592" s="132"/>
      <c r="F592" s="133"/>
      <c r="G592" s="133">
        <v>50000</v>
      </c>
      <c r="H592" s="134">
        <f t="shared" si="25"/>
        <v>0</v>
      </c>
      <c r="I592" s="134">
        <f t="shared" si="25"/>
        <v>50000</v>
      </c>
      <c r="J592" s="134">
        <f t="shared" si="24"/>
        <v>-50000</v>
      </c>
      <c r="K592" s="135"/>
      <c r="L592" s="136" t="str">
        <f t="shared" si="26"/>
        <v>دائن</v>
      </c>
      <c r="M592" s="137" t="str">
        <f>IF(ISERROR(VLOOKUP(C592,'[1]خريطة الحسابات'!_xlnm.Print_Area,4,FALSE))," ",(VLOOKUP(C592,'[1]خريطة الحسابات'!_xlnm.Print_Area,4,FALSE)))</f>
        <v xml:space="preserve">أصول متداوله -النقدية ومافي حكمها </v>
      </c>
      <c r="N592" s="138" t="str">
        <f>IF(ISERROR(VLOOKUP(C592,'[1]خريطة الحسابات'!_xlnm.Print_Area,5,FALSE))," ",(VLOOKUP(C592,'[1]خريطة الحسابات'!_xlnm.Print_Area,5,FALSE)))</f>
        <v>الاصول</v>
      </c>
      <c r="O592" s="139" t="s">
        <v>1556</v>
      </c>
      <c r="P592" s="139" t="s">
        <v>1342</v>
      </c>
    </row>
    <row r="593" spans="1:16">
      <c r="A593" s="104">
        <v>37</v>
      </c>
      <c r="B593" s="131">
        <v>46097</v>
      </c>
      <c r="C593" s="141">
        <v>20</v>
      </c>
      <c r="D593" s="140" t="str">
        <f>IF(ISERROR(VLOOKUP(C593,'[1]خريطة الحسابات'!_xlnm.Print_Area,3,FALSE))," ",(VLOOKUP(C593,'[1]خريطة الحسابات'!_xlnm.Print_Area,3,FALSE)))</f>
        <v xml:space="preserve">الخزينة </v>
      </c>
      <c r="E593" s="132"/>
      <c r="F593" s="133"/>
      <c r="G593" s="133">
        <v>120000</v>
      </c>
      <c r="H593" s="134">
        <f t="shared" si="25"/>
        <v>0</v>
      </c>
      <c r="I593" s="134">
        <f t="shared" si="25"/>
        <v>120000</v>
      </c>
      <c r="J593" s="134">
        <f t="shared" si="24"/>
        <v>-120000</v>
      </c>
      <c r="K593" s="135"/>
      <c r="L593" s="136" t="str">
        <f t="shared" si="26"/>
        <v>دائن</v>
      </c>
      <c r="M593" s="137" t="str">
        <f>IF(ISERROR(VLOOKUP(C593,'[1]خريطة الحسابات'!_xlnm.Print_Area,4,FALSE))," ",(VLOOKUP(C593,'[1]خريطة الحسابات'!_xlnm.Print_Area,4,FALSE)))</f>
        <v xml:space="preserve">أصول متداوله -النقدية ومافي حكمها </v>
      </c>
      <c r="N593" s="138" t="str">
        <f>IF(ISERROR(VLOOKUP(C593,'[1]خريطة الحسابات'!_xlnm.Print_Area,5,FALSE))," ",(VLOOKUP(C593,'[1]خريطة الحسابات'!_xlnm.Print_Area,5,FALSE)))</f>
        <v>الاصول</v>
      </c>
      <c r="O593" s="139" t="s">
        <v>1557</v>
      </c>
      <c r="P593" s="139" t="s">
        <v>1290</v>
      </c>
    </row>
    <row r="594" spans="1:16">
      <c r="A594" s="104">
        <v>37</v>
      </c>
      <c r="B594" s="131">
        <v>46097</v>
      </c>
      <c r="C594" s="141">
        <v>20</v>
      </c>
      <c r="D594" s="140" t="str">
        <f>IF(ISERROR(VLOOKUP(C594,'[1]خريطة الحسابات'!_xlnm.Print_Area,3,FALSE))," ",(VLOOKUP(C594,'[1]خريطة الحسابات'!_xlnm.Print_Area,3,FALSE)))</f>
        <v xml:space="preserve">الخزينة </v>
      </c>
      <c r="E594" s="132"/>
      <c r="F594" s="133"/>
      <c r="G594" s="133">
        <v>70000</v>
      </c>
      <c r="H594" s="134">
        <f t="shared" si="25"/>
        <v>0</v>
      </c>
      <c r="I594" s="134">
        <f t="shared" si="25"/>
        <v>70000</v>
      </c>
      <c r="J594" s="134">
        <f t="shared" si="24"/>
        <v>-70000</v>
      </c>
      <c r="K594" s="135"/>
      <c r="L594" s="136" t="str">
        <f t="shared" si="26"/>
        <v>دائن</v>
      </c>
      <c r="M594" s="137" t="str">
        <f>IF(ISERROR(VLOOKUP(C594,'[1]خريطة الحسابات'!_xlnm.Print_Area,4,FALSE))," ",(VLOOKUP(C594,'[1]خريطة الحسابات'!_xlnm.Print_Area,4,FALSE)))</f>
        <v xml:space="preserve">أصول متداوله -النقدية ومافي حكمها </v>
      </c>
      <c r="N594" s="138" t="str">
        <f>IF(ISERROR(VLOOKUP(C594,'[1]خريطة الحسابات'!_xlnm.Print_Area,5,FALSE))," ",(VLOOKUP(C594,'[1]خريطة الحسابات'!_xlnm.Print_Area,5,FALSE)))</f>
        <v>الاصول</v>
      </c>
      <c r="O594" s="139" t="s">
        <v>1558</v>
      </c>
      <c r="P594" s="139" t="s">
        <v>1559</v>
      </c>
    </row>
    <row r="595" spans="1:16">
      <c r="A595" s="104">
        <v>37</v>
      </c>
      <c r="B595" s="131">
        <v>46097</v>
      </c>
      <c r="C595" s="141">
        <v>20</v>
      </c>
      <c r="D595" s="140" t="str">
        <f>IF(ISERROR(VLOOKUP(C595,'[1]خريطة الحسابات'!_xlnm.Print_Area,3,FALSE))," ",(VLOOKUP(C595,'[1]خريطة الحسابات'!_xlnm.Print_Area,3,FALSE)))</f>
        <v xml:space="preserve">الخزينة </v>
      </c>
      <c r="E595" s="132"/>
      <c r="F595" s="133"/>
      <c r="G595" s="133">
        <v>70000</v>
      </c>
      <c r="H595" s="134">
        <f t="shared" si="25"/>
        <v>0</v>
      </c>
      <c r="I595" s="134">
        <f t="shared" si="25"/>
        <v>70000</v>
      </c>
      <c r="J595" s="134">
        <f t="shared" si="24"/>
        <v>-70000</v>
      </c>
      <c r="K595" s="135"/>
      <c r="L595" s="136" t="str">
        <f t="shared" si="26"/>
        <v>دائن</v>
      </c>
      <c r="M595" s="137" t="str">
        <f>IF(ISERROR(VLOOKUP(C595,'[1]خريطة الحسابات'!_xlnm.Print_Area,4,FALSE))," ",(VLOOKUP(C595,'[1]خريطة الحسابات'!_xlnm.Print_Area,4,FALSE)))</f>
        <v xml:space="preserve">أصول متداوله -النقدية ومافي حكمها </v>
      </c>
      <c r="N595" s="138" t="str">
        <f>IF(ISERROR(VLOOKUP(C595,'[1]خريطة الحسابات'!_xlnm.Print_Area,5,FALSE))," ",(VLOOKUP(C595,'[1]خريطة الحسابات'!_xlnm.Print_Area,5,FALSE)))</f>
        <v>الاصول</v>
      </c>
      <c r="O595" s="139" t="s">
        <v>1560</v>
      </c>
      <c r="P595" s="139" t="s">
        <v>1559</v>
      </c>
    </row>
    <row r="596" spans="1:16">
      <c r="A596" s="104">
        <v>37</v>
      </c>
      <c r="B596" s="131">
        <v>46097</v>
      </c>
      <c r="C596" s="141">
        <v>20</v>
      </c>
      <c r="D596" s="140" t="str">
        <f>IF(ISERROR(VLOOKUP(C596,'[1]خريطة الحسابات'!_xlnm.Print_Area,3,FALSE))," ",(VLOOKUP(C596,'[1]خريطة الحسابات'!_xlnm.Print_Area,3,FALSE)))</f>
        <v xml:space="preserve">الخزينة </v>
      </c>
      <c r="E596" s="132"/>
      <c r="F596" s="133"/>
      <c r="G596" s="133">
        <v>50000</v>
      </c>
      <c r="H596" s="134">
        <f t="shared" si="25"/>
        <v>0</v>
      </c>
      <c r="I596" s="134">
        <f t="shared" si="25"/>
        <v>50000</v>
      </c>
      <c r="J596" s="134">
        <f t="shared" si="24"/>
        <v>-50000</v>
      </c>
      <c r="K596" s="135"/>
      <c r="L596" s="136" t="str">
        <f t="shared" si="26"/>
        <v>دائن</v>
      </c>
      <c r="M596" s="137" t="str">
        <f>IF(ISERROR(VLOOKUP(C596,'[1]خريطة الحسابات'!_xlnm.Print_Area,4,FALSE))," ",(VLOOKUP(C596,'[1]خريطة الحسابات'!_xlnm.Print_Area,4,FALSE)))</f>
        <v xml:space="preserve">أصول متداوله -النقدية ومافي حكمها </v>
      </c>
      <c r="N596" s="138" t="str">
        <f>IF(ISERROR(VLOOKUP(C596,'[1]خريطة الحسابات'!_xlnm.Print_Area,5,FALSE))," ",(VLOOKUP(C596,'[1]خريطة الحسابات'!_xlnm.Print_Area,5,FALSE)))</f>
        <v>الاصول</v>
      </c>
      <c r="O596" s="139" t="s">
        <v>1561</v>
      </c>
      <c r="P596" s="139" t="s">
        <v>1292</v>
      </c>
    </row>
    <row r="597" spans="1:16">
      <c r="A597" s="104">
        <v>37</v>
      </c>
      <c r="B597" s="131">
        <v>46097</v>
      </c>
      <c r="C597" s="141">
        <v>20</v>
      </c>
      <c r="D597" s="140" t="str">
        <f>IF(ISERROR(VLOOKUP(C597,'[1]خريطة الحسابات'!_xlnm.Print_Area,3,FALSE))," ",(VLOOKUP(C597,'[1]خريطة الحسابات'!_xlnm.Print_Area,3,FALSE)))</f>
        <v xml:space="preserve">الخزينة </v>
      </c>
      <c r="E597" s="132"/>
      <c r="F597" s="133"/>
      <c r="G597" s="133">
        <v>30000</v>
      </c>
      <c r="H597" s="134">
        <f t="shared" si="25"/>
        <v>0</v>
      </c>
      <c r="I597" s="134">
        <f t="shared" si="25"/>
        <v>30000</v>
      </c>
      <c r="J597" s="134">
        <f t="shared" si="24"/>
        <v>-30000</v>
      </c>
      <c r="K597" s="135"/>
      <c r="L597" s="136" t="str">
        <f t="shared" si="26"/>
        <v>دائن</v>
      </c>
      <c r="M597" s="137" t="str">
        <f>IF(ISERROR(VLOOKUP(C597,'[1]خريطة الحسابات'!_xlnm.Print_Area,4,FALSE))," ",(VLOOKUP(C597,'[1]خريطة الحسابات'!_xlnm.Print_Area,4,FALSE)))</f>
        <v xml:space="preserve">أصول متداوله -النقدية ومافي حكمها </v>
      </c>
      <c r="N597" s="138" t="str">
        <f>IF(ISERROR(VLOOKUP(C597,'[1]خريطة الحسابات'!_xlnm.Print_Area,5,FALSE))," ",(VLOOKUP(C597,'[1]خريطة الحسابات'!_xlnm.Print_Area,5,FALSE)))</f>
        <v>الاصول</v>
      </c>
      <c r="O597" s="139" t="s">
        <v>1562</v>
      </c>
      <c r="P597" s="139" t="s">
        <v>1315</v>
      </c>
    </row>
    <row r="598" spans="1:16">
      <c r="A598" s="104">
        <v>37</v>
      </c>
      <c r="B598" s="131">
        <v>46097</v>
      </c>
      <c r="C598" s="141">
        <v>20</v>
      </c>
      <c r="D598" s="140" t="str">
        <f>IF(ISERROR(VLOOKUP(C598,'[1]خريطة الحسابات'!_xlnm.Print_Area,3,FALSE))," ",(VLOOKUP(C598,'[1]خريطة الحسابات'!_xlnm.Print_Area,3,FALSE)))</f>
        <v xml:space="preserve">الخزينة </v>
      </c>
      <c r="E598" s="132"/>
      <c r="F598" s="133"/>
      <c r="G598" s="133">
        <v>60000</v>
      </c>
      <c r="H598" s="134">
        <f t="shared" si="25"/>
        <v>0</v>
      </c>
      <c r="I598" s="134">
        <f t="shared" si="25"/>
        <v>60000</v>
      </c>
      <c r="J598" s="134">
        <f t="shared" si="24"/>
        <v>-60000</v>
      </c>
      <c r="K598" s="135"/>
      <c r="L598" s="136" t="str">
        <f t="shared" si="26"/>
        <v>دائن</v>
      </c>
      <c r="M598" s="137" t="str">
        <f>IF(ISERROR(VLOOKUP(C598,'[1]خريطة الحسابات'!_xlnm.Print_Area,4,FALSE))," ",(VLOOKUP(C598,'[1]خريطة الحسابات'!_xlnm.Print_Area,4,FALSE)))</f>
        <v xml:space="preserve">أصول متداوله -النقدية ومافي حكمها </v>
      </c>
      <c r="N598" s="138" t="str">
        <f>IF(ISERROR(VLOOKUP(C598,'[1]خريطة الحسابات'!_xlnm.Print_Area,5,FALSE))," ",(VLOOKUP(C598,'[1]خريطة الحسابات'!_xlnm.Print_Area,5,FALSE)))</f>
        <v>الاصول</v>
      </c>
      <c r="O598" s="139" t="s">
        <v>1563</v>
      </c>
      <c r="P598" s="139" t="s">
        <v>1315</v>
      </c>
    </row>
    <row r="599" spans="1:16">
      <c r="A599" s="104">
        <v>37</v>
      </c>
      <c r="B599" s="131">
        <v>46133</v>
      </c>
      <c r="C599" s="141">
        <v>20</v>
      </c>
      <c r="D599" s="140" t="str">
        <f>IF(ISERROR(VLOOKUP(C599,'[1]خريطة الحسابات'!_xlnm.Print_Area,3,FALSE))," ",(VLOOKUP(C599,'[1]خريطة الحسابات'!_xlnm.Print_Area,3,FALSE)))</f>
        <v xml:space="preserve">الخزينة </v>
      </c>
      <c r="E599" s="132"/>
      <c r="F599" s="133"/>
      <c r="G599" s="133">
        <v>25000</v>
      </c>
      <c r="H599" s="134">
        <f t="shared" si="25"/>
        <v>0</v>
      </c>
      <c r="I599" s="134">
        <f t="shared" si="25"/>
        <v>25000</v>
      </c>
      <c r="J599" s="134">
        <f t="shared" si="24"/>
        <v>-25000</v>
      </c>
      <c r="K599" s="135"/>
      <c r="L599" s="136" t="str">
        <f t="shared" si="26"/>
        <v>دائن</v>
      </c>
      <c r="M599" s="137" t="str">
        <f>IF(ISERROR(VLOOKUP(C599,'[1]خريطة الحسابات'!_xlnm.Print_Area,4,FALSE))," ",(VLOOKUP(C599,'[1]خريطة الحسابات'!_xlnm.Print_Area,4,FALSE)))</f>
        <v xml:space="preserve">أصول متداوله -النقدية ومافي حكمها </v>
      </c>
      <c r="N599" s="138" t="str">
        <f>IF(ISERROR(VLOOKUP(C599,'[1]خريطة الحسابات'!_xlnm.Print_Area,5,FALSE))," ",(VLOOKUP(C599,'[1]خريطة الحسابات'!_xlnm.Print_Area,5,FALSE)))</f>
        <v>الاصول</v>
      </c>
      <c r="O599" s="139" t="s">
        <v>1564</v>
      </c>
      <c r="P599" s="139" t="s">
        <v>1290</v>
      </c>
    </row>
    <row r="600" spans="1:16">
      <c r="A600" s="104">
        <v>37</v>
      </c>
      <c r="B600" s="131">
        <v>46133</v>
      </c>
      <c r="C600" s="141">
        <v>20</v>
      </c>
      <c r="D600" s="140" t="str">
        <f>IF(ISERROR(VLOOKUP(C600,'[1]خريطة الحسابات'!_xlnm.Print_Area,3,FALSE))," ",(VLOOKUP(C600,'[1]خريطة الحسابات'!_xlnm.Print_Area,3,FALSE)))</f>
        <v xml:space="preserve">الخزينة </v>
      </c>
      <c r="E600" s="132"/>
      <c r="F600" s="133"/>
      <c r="G600" s="133">
        <v>25000</v>
      </c>
      <c r="H600" s="134">
        <f t="shared" si="25"/>
        <v>0</v>
      </c>
      <c r="I600" s="134">
        <f t="shared" si="25"/>
        <v>25000</v>
      </c>
      <c r="J600" s="134">
        <f t="shared" ref="J600:J663" si="27">H600-I600</f>
        <v>-25000</v>
      </c>
      <c r="K600" s="135"/>
      <c r="L600" s="136" t="str">
        <f t="shared" si="26"/>
        <v>دائن</v>
      </c>
      <c r="M600" s="137" t="str">
        <f>IF(ISERROR(VLOOKUP(C600,'[1]خريطة الحسابات'!_xlnm.Print_Area,4,FALSE))," ",(VLOOKUP(C600,'[1]خريطة الحسابات'!_xlnm.Print_Area,4,FALSE)))</f>
        <v xml:space="preserve">أصول متداوله -النقدية ومافي حكمها </v>
      </c>
      <c r="N600" s="138" t="str">
        <f>IF(ISERROR(VLOOKUP(C600,'[1]خريطة الحسابات'!_xlnm.Print_Area,5,FALSE))," ",(VLOOKUP(C600,'[1]خريطة الحسابات'!_xlnm.Print_Area,5,FALSE)))</f>
        <v>الاصول</v>
      </c>
      <c r="O600" s="139" t="s">
        <v>1565</v>
      </c>
      <c r="P600" s="139" t="s">
        <v>1292</v>
      </c>
    </row>
    <row r="601" spans="1:16">
      <c r="A601" s="104">
        <v>37</v>
      </c>
      <c r="B601" s="131">
        <v>46144</v>
      </c>
      <c r="C601" s="141">
        <v>20</v>
      </c>
      <c r="D601" s="140" t="str">
        <f>IF(ISERROR(VLOOKUP(C601,'[1]خريطة الحسابات'!_xlnm.Print_Area,3,FALSE))," ",(VLOOKUP(C601,'[1]خريطة الحسابات'!_xlnm.Print_Area,3,FALSE)))</f>
        <v xml:space="preserve">الخزينة </v>
      </c>
      <c r="E601" s="132"/>
      <c r="F601" s="133"/>
      <c r="G601" s="133">
        <v>950</v>
      </c>
      <c r="H601" s="134">
        <f t="shared" ref="H601:I664" si="28">IF($E601=2,F601*3.465,F601)</f>
        <v>0</v>
      </c>
      <c r="I601" s="134">
        <f t="shared" si="28"/>
        <v>950</v>
      </c>
      <c r="J601" s="134">
        <f t="shared" si="27"/>
        <v>-950</v>
      </c>
      <c r="K601" s="135"/>
      <c r="L601" s="136" t="str">
        <f t="shared" si="26"/>
        <v>دائن</v>
      </c>
      <c r="M601" s="137" t="str">
        <f>IF(ISERROR(VLOOKUP(C601,'[1]خريطة الحسابات'!_xlnm.Print_Area,4,FALSE))," ",(VLOOKUP(C601,'[1]خريطة الحسابات'!_xlnm.Print_Area,4,FALSE)))</f>
        <v xml:space="preserve">أصول متداوله -النقدية ومافي حكمها </v>
      </c>
      <c r="N601" s="138" t="str">
        <f>IF(ISERROR(VLOOKUP(C601,'[1]خريطة الحسابات'!_xlnm.Print_Area,5,FALSE))," ",(VLOOKUP(C601,'[1]خريطة الحسابات'!_xlnm.Print_Area,5,FALSE)))</f>
        <v>الاصول</v>
      </c>
      <c r="O601" s="139" t="s">
        <v>1566</v>
      </c>
      <c r="P601" s="139" t="s">
        <v>1342</v>
      </c>
    </row>
    <row r="602" spans="1:16">
      <c r="A602" s="104">
        <v>37</v>
      </c>
      <c r="B602" s="131">
        <v>46144</v>
      </c>
      <c r="C602" s="141">
        <v>20</v>
      </c>
      <c r="D602" s="140" t="str">
        <f>IF(ISERROR(VLOOKUP(C602,'[1]خريطة الحسابات'!_xlnm.Print_Area,3,FALSE))," ",(VLOOKUP(C602,'[1]خريطة الحسابات'!_xlnm.Print_Area,3,FALSE)))</f>
        <v xml:space="preserve">الخزينة </v>
      </c>
      <c r="E602" s="132"/>
      <c r="F602" s="133"/>
      <c r="G602" s="133">
        <v>600</v>
      </c>
      <c r="H602" s="134">
        <f t="shared" si="28"/>
        <v>0</v>
      </c>
      <c r="I602" s="134">
        <f t="shared" si="28"/>
        <v>600</v>
      </c>
      <c r="J602" s="134">
        <f t="shared" si="27"/>
        <v>-600</v>
      </c>
      <c r="K602" s="135"/>
      <c r="L602" s="136" t="str">
        <f t="shared" si="26"/>
        <v>دائن</v>
      </c>
      <c r="M602" s="137" t="str">
        <f>IF(ISERROR(VLOOKUP(C602,'[1]خريطة الحسابات'!_xlnm.Print_Area,4,FALSE))," ",(VLOOKUP(C602,'[1]خريطة الحسابات'!_xlnm.Print_Area,4,FALSE)))</f>
        <v xml:space="preserve">أصول متداوله -النقدية ومافي حكمها </v>
      </c>
      <c r="N602" s="138" t="str">
        <f>IF(ISERROR(VLOOKUP(C602,'[1]خريطة الحسابات'!_xlnm.Print_Area,5,FALSE))," ",(VLOOKUP(C602,'[1]خريطة الحسابات'!_xlnm.Print_Area,5,FALSE)))</f>
        <v>الاصول</v>
      </c>
      <c r="O602" s="139" t="s">
        <v>1567</v>
      </c>
      <c r="P602" s="139" t="s">
        <v>1342</v>
      </c>
    </row>
    <row r="603" spans="1:16">
      <c r="A603" s="104">
        <v>37</v>
      </c>
      <c r="B603" s="131">
        <v>46148</v>
      </c>
      <c r="C603" s="141">
        <v>20</v>
      </c>
      <c r="D603" s="140" t="str">
        <f>IF(ISERROR(VLOOKUP(C603,'[1]خريطة الحسابات'!_xlnm.Print_Area,3,FALSE))," ",(VLOOKUP(C603,'[1]خريطة الحسابات'!_xlnm.Print_Area,3,FALSE)))</f>
        <v xml:space="preserve">الخزينة </v>
      </c>
      <c r="E603" s="132"/>
      <c r="F603" s="133"/>
      <c r="G603" s="133">
        <v>17000</v>
      </c>
      <c r="H603" s="134">
        <f t="shared" si="28"/>
        <v>0</v>
      </c>
      <c r="I603" s="134">
        <f t="shared" si="28"/>
        <v>17000</v>
      </c>
      <c r="J603" s="134">
        <f t="shared" si="27"/>
        <v>-17000</v>
      </c>
      <c r="K603" s="135"/>
      <c r="L603" s="136" t="str">
        <f t="shared" ref="L603:L666" si="29">IF(J603&lt;0,"دائن",IF(J603&gt;0,"مدين",""))</f>
        <v>دائن</v>
      </c>
      <c r="M603" s="137" t="str">
        <f>IF(ISERROR(VLOOKUP(C603,'[1]خريطة الحسابات'!_xlnm.Print_Area,4,FALSE))," ",(VLOOKUP(C603,'[1]خريطة الحسابات'!_xlnm.Print_Area,4,FALSE)))</f>
        <v xml:space="preserve">أصول متداوله -النقدية ومافي حكمها </v>
      </c>
      <c r="N603" s="138" t="str">
        <f>IF(ISERROR(VLOOKUP(C603,'[1]خريطة الحسابات'!_xlnm.Print_Area,5,FALSE))," ",(VLOOKUP(C603,'[1]خريطة الحسابات'!_xlnm.Print_Area,5,FALSE)))</f>
        <v>الاصول</v>
      </c>
      <c r="O603" s="139" t="s">
        <v>1568</v>
      </c>
      <c r="P603" s="139" t="s">
        <v>1290</v>
      </c>
    </row>
    <row r="604" spans="1:16">
      <c r="A604" s="104">
        <v>37</v>
      </c>
      <c r="B604" s="131">
        <v>46148</v>
      </c>
      <c r="C604" s="141">
        <v>20</v>
      </c>
      <c r="D604" s="140" t="str">
        <f>IF(ISERROR(VLOOKUP(C604,'[1]خريطة الحسابات'!_xlnm.Print_Area,3,FALSE))," ",(VLOOKUP(C604,'[1]خريطة الحسابات'!_xlnm.Print_Area,3,FALSE)))</f>
        <v xml:space="preserve">الخزينة </v>
      </c>
      <c r="E604" s="132"/>
      <c r="F604" s="133"/>
      <c r="G604" s="133">
        <v>18000</v>
      </c>
      <c r="H604" s="134">
        <f t="shared" si="28"/>
        <v>0</v>
      </c>
      <c r="I604" s="134">
        <f t="shared" si="28"/>
        <v>18000</v>
      </c>
      <c r="J604" s="134">
        <f t="shared" si="27"/>
        <v>-18000</v>
      </c>
      <c r="K604" s="135"/>
      <c r="L604" s="136" t="str">
        <f t="shared" si="29"/>
        <v>دائن</v>
      </c>
      <c r="M604" s="137" t="str">
        <f>IF(ISERROR(VLOOKUP(C604,'[1]خريطة الحسابات'!_xlnm.Print_Area,4,FALSE))," ",(VLOOKUP(C604,'[1]خريطة الحسابات'!_xlnm.Print_Area,4,FALSE)))</f>
        <v xml:space="preserve">أصول متداوله -النقدية ومافي حكمها </v>
      </c>
      <c r="N604" s="138" t="str">
        <f>IF(ISERROR(VLOOKUP(C604,'[1]خريطة الحسابات'!_xlnm.Print_Area,5,FALSE))," ",(VLOOKUP(C604,'[1]خريطة الحسابات'!_xlnm.Print_Area,5,FALSE)))</f>
        <v>الاصول</v>
      </c>
      <c r="O604" s="139" t="s">
        <v>1568</v>
      </c>
      <c r="P604" s="139" t="s">
        <v>1292</v>
      </c>
    </row>
    <row r="605" spans="1:16">
      <c r="A605" s="104">
        <v>37</v>
      </c>
      <c r="B605" s="131">
        <v>46154</v>
      </c>
      <c r="C605" s="141">
        <v>20</v>
      </c>
      <c r="D605" s="140" t="str">
        <f>IF(ISERROR(VLOOKUP(C605,'[1]خريطة الحسابات'!_xlnm.Print_Area,3,FALSE))," ",(VLOOKUP(C605,'[1]خريطة الحسابات'!_xlnm.Print_Area,3,FALSE)))</f>
        <v xml:space="preserve">الخزينة </v>
      </c>
      <c r="E605" s="132"/>
      <c r="F605" s="133"/>
      <c r="G605" s="133">
        <v>1250</v>
      </c>
      <c r="H605" s="134">
        <f t="shared" si="28"/>
        <v>0</v>
      </c>
      <c r="I605" s="134">
        <f t="shared" si="28"/>
        <v>1250</v>
      </c>
      <c r="J605" s="134">
        <f t="shared" si="27"/>
        <v>-1250</v>
      </c>
      <c r="K605" s="135"/>
      <c r="L605" s="136" t="str">
        <f t="shared" si="29"/>
        <v>دائن</v>
      </c>
      <c r="M605" s="137" t="str">
        <f>IF(ISERROR(VLOOKUP(C605,'[1]خريطة الحسابات'!_xlnm.Print_Area,4,FALSE))," ",(VLOOKUP(C605,'[1]خريطة الحسابات'!_xlnm.Print_Area,4,FALSE)))</f>
        <v xml:space="preserve">أصول متداوله -النقدية ومافي حكمها </v>
      </c>
      <c r="N605" s="138" t="str">
        <f>IF(ISERROR(VLOOKUP(C605,'[1]خريطة الحسابات'!_xlnm.Print_Area,5,FALSE))," ",(VLOOKUP(C605,'[1]خريطة الحسابات'!_xlnm.Print_Area,5,FALSE)))</f>
        <v>الاصول</v>
      </c>
      <c r="O605" s="139" t="s">
        <v>1569</v>
      </c>
      <c r="P605" s="139" t="s">
        <v>1290</v>
      </c>
    </row>
    <row r="606" spans="1:16">
      <c r="A606" s="104">
        <v>37</v>
      </c>
      <c r="B606" s="131">
        <v>46161</v>
      </c>
      <c r="C606" s="141">
        <v>20</v>
      </c>
      <c r="D606" s="140" t="str">
        <f>IF(ISERROR(VLOOKUP(C606,'[1]خريطة الحسابات'!_xlnm.Print_Area,3,FALSE))," ",(VLOOKUP(C606,'[1]خريطة الحسابات'!_xlnm.Print_Area,3,FALSE)))</f>
        <v xml:space="preserve">الخزينة </v>
      </c>
      <c r="E606" s="132"/>
      <c r="F606" s="133"/>
      <c r="G606" s="133">
        <v>1500</v>
      </c>
      <c r="H606" s="134">
        <f t="shared" si="28"/>
        <v>0</v>
      </c>
      <c r="I606" s="134">
        <f t="shared" si="28"/>
        <v>1500</v>
      </c>
      <c r="J606" s="134">
        <f t="shared" si="27"/>
        <v>-1500</v>
      </c>
      <c r="K606" s="135"/>
      <c r="L606" s="136" t="str">
        <f t="shared" si="29"/>
        <v>دائن</v>
      </c>
      <c r="M606" s="137" t="str">
        <f>IF(ISERROR(VLOOKUP(C606,'[1]خريطة الحسابات'!_xlnm.Print_Area,4,FALSE))," ",(VLOOKUP(C606,'[1]خريطة الحسابات'!_xlnm.Print_Area,4,FALSE)))</f>
        <v xml:space="preserve">أصول متداوله -النقدية ومافي حكمها </v>
      </c>
      <c r="N606" s="138" t="str">
        <f>IF(ISERROR(VLOOKUP(C606,'[1]خريطة الحسابات'!_xlnm.Print_Area,5,FALSE))," ",(VLOOKUP(C606,'[1]خريطة الحسابات'!_xlnm.Print_Area,5,FALSE)))</f>
        <v>الاصول</v>
      </c>
      <c r="O606" s="139" t="s">
        <v>1570</v>
      </c>
      <c r="P606" s="139" t="s">
        <v>1342</v>
      </c>
    </row>
    <row r="607" spans="1:16">
      <c r="A607" s="104">
        <v>38</v>
      </c>
      <c r="B607" s="131">
        <v>46093</v>
      </c>
      <c r="C607" s="54">
        <v>4051</v>
      </c>
      <c r="D607" s="140" t="str">
        <f>IF(ISERROR(VLOOKUP(C607,'[1]خريطة الحسابات'!_xlnm.Print_Area,3,FALSE))," ",(VLOOKUP(C607,'[1]خريطة الحسابات'!_xlnm.Print_Area,3,FALSE)))</f>
        <v>لمباية للادوات الكهربائية</v>
      </c>
      <c r="E607" s="132"/>
      <c r="F607" s="133">
        <v>8382</v>
      </c>
      <c r="G607" s="133"/>
      <c r="H607" s="134">
        <f t="shared" si="28"/>
        <v>8382</v>
      </c>
      <c r="I607" s="134">
        <f t="shared" si="28"/>
        <v>0</v>
      </c>
      <c r="J607" s="134">
        <f t="shared" si="27"/>
        <v>8382</v>
      </c>
      <c r="K607" s="135"/>
      <c r="L607" s="136" t="str">
        <f t="shared" si="29"/>
        <v>مدين</v>
      </c>
      <c r="M607" s="137" t="str">
        <f>IF(ISERROR(VLOOKUP(C607,'[1]خريطة الحسابات'!_xlnm.Print_Area,4,FALSE))," ",(VLOOKUP(C607,'[1]خريطة الحسابات'!_xlnm.Print_Area,4,FALSE)))</f>
        <v>موردين</v>
      </c>
      <c r="N607" s="138" t="str">
        <f>IF(ISERROR(VLOOKUP(C607,'[1]خريطة الحسابات'!_xlnm.Print_Area,5,FALSE))," ",(VLOOKUP(C607,'[1]خريطة الحسابات'!_xlnm.Print_Area,5,FALSE)))</f>
        <v xml:space="preserve">الدائنون والأرصدة الدائنة الأخرى </v>
      </c>
      <c r="O607" s="139" t="s">
        <v>1571</v>
      </c>
      <c r="P607" s="139" t="s">
        <v>1295</v>
      </c>
    </row>
    <row r="608" spans="1:16">
      <c r="A608" s="104">
        <v>38</v>
      </c>
      <c r="B608" s="131">
        <v>46093</v>
      </c>
      <c r="C608" s="54">
        <v>4051</v>
      </c>
      <c r="D608" s="140" t="str">
        <f>IF(ISERROR(VLOOKUP(C608,'[1]خريطة الحسابات'!_xlnm.Print_Area,3,FALSE))," ",(VLOOKUP(C608,'[1]خريطة الحسابات'!_xlnm.Print_Area,3,FALSE)))</f>
        <v>لمباية للادوات الكهربائية</v>
      </c>
      <c r="E608" s="132"/>
      <c r="F608" s="133">
        <v>2620</v>
      </c>
      <c r="G608" s="133"/>
      <c r="H608" s="134">
        <f t="shared" si="28"/>
        <v>2620</v>
      </c>
      <c r="I608" s="134">
        <f t="shared" si="28"/>
        <v>0</v>
      </c>
      <c r="J608" s="134">
        <f t="shared" si="27"/>
        <v>2620</v>
      </c>
      <c r="K608" s="135"/>
      <c r="L608" s="136" t="str">
        <f t="shared" si="29"/>
        <v>مدين</v>
      </c>
      <c r="M608" s="137" t="str">
        <f>IF(ISERROR(VLOOKUP(C608,'[1]خريطة الحسابات'!_xlnm.Print_Area,4,FALSE))," ",(VLOOKUP(C608,'[1]خريطة الحسابات'!_xlnm.Print_Area,4,FALSE)))</f>
        <v>موردين</v>
      </c>
      <c r="N608" s="138" t="str">
        <f>IF(ISERROR(VLOOKUP(C608,'[1]خريطة الحسابات'!_xlnm.Print_Area,5,FALSE))," ",(VLOOKUP(C608,'[1]خريطة الحسابات'!_xlnm.Print_Area,5,FALSE)))</f>
        <v xml:space="preserve">الدائنون والأرصدة الدائنة الأخرى </v>
      </c>
      <c r="O608" s="139" t="s">
        <v>1572</v>
      </c>
      <c r="P608" s="139" t="s">
        <v>1325</v>
      </c>
    </row>
    <row r="609" spans="1:16">
      <c r="A609" s="104">
        <v>38</v>
      </c>
      <c r="B609" s="131">
        <v>46099</v>
      </c>
      <c r="C609" s="54">
        <v>4051</v>
      </c>
      <c r="D609" s="140" t="str">
        <f>IF(ISERROR(VLOOKUP(C609,'[1]خريطة الحسابات'!_xlnm.Print_Area,3,FALSE))," ",(VLOOKUP(C609,'[1]خريطة الحسابات'!_xlnm.Print_Area,3,FALSE)))</f>
        <v>لمباية للادوات الكهربائية</v>
      </c>
      <c r="E609" s="132"/>
      <c r="F609" s="133">
        <v>10010</v>
      </c>
      <c r="G609" s="133"/>
      <c r="H609" s="134">
        <f t="shared" si="28"/>
        <v>10010</v>
      </c>
      <c r="I609" s="134">
        <f t="shared" si="28"/>
        <v>0</v>
      </c>
      <c r="J609" s="134">
        <f t="shared" si="27"/>
        <v>10010</v>
      </c>
      <c r="K609" s="135"/>
      <c r="L609" s="136" t="str">
        <f t="shared" si="29"/>
        <v>مدين</v>
      </c>
      <c r="M609" s="137" t="str">
        <f>IF(ISERROR(VLOOKUP(C609,'[1]خريطة الحسابات'!_xlnm.Print_Area,4,FALSE))," ",(VLOOKUP(C609,'[1]خريطة الحسابات'!_xlnm.Print_Area,4,FALSE)))</f>
        <v>موردين</v>
      </c>
      <c r="N609" s="138" t="str">
        <f>IF(ISERROR(VLOOKUP(C609,'[1]خريطة الحسابات'!_xlnm.Print_Area,5,FALSE))," ",(VLOOKUP(C609,'[1]خريطة الحسابات'!_xlnm.Print_Area,5,FALSE)))</f>
        <v xml:space="preserve">الدائنون والأرصدة الدائنة الأخرى </v>
      </c>
      <c r="O609" s="139" t="s">
        <v>1573</v>
      </c>
      <c r="P609" s="139" t="s">
        <v>1342</v>
      </c>
    </row>
    <row r="610" spans="1:16">
      <c r="A610" s="104">
        <v>38</v>
      </c>
      <c r="B610" s="131">
        <v>46093</v>
      </c>
      <c r="C610" s="141">
        <v>20</v>
      </c>
      <c r="D610" s="140" t="str">
        <f>IF(ISERROR(VLOOKUP(C610,'[1]خريطة الحسابات'!_xlnm.Print_Area,3,FALSE))," ",(VLOOKUP(C610,'[1]خريطة الحسابات'!_xlnm.Print_Area,3,FALSE)))</f>
        <v xml:space="preserve">الخزينة </v>
      </c>
      <c r="E610" s="132"/>
      <c r="F610" s="133"/>
      <c r="G610" s="133">
        <v>8382</v>
      </c>
      <c r="H610" s="134">
        <f t="shared" si="28"/>
        <v>0</v>
      </c>
      <c r="I610" s="134">
        <f t="shared" si="28"/>
        <v>8382</v>
      </c>
      <c r="J610" s="134">
        <f t="shared" si="27"/>
        <v>-8382</v>
      </c>
      <c r="K610" s="135"/>
      <c r="L610" s="136" t="str">
        <f t="shared" si="29"/>
        <v>دائن</v>
      </c>
      <c r="M610" s="137" t="str">
        <f>IF(ISERROR(VLOOKUP(C610,'[1]خريطة الحسابات'!_xlnm.Print_Area,4,FALSE))," ",(VLOOKUP(C610,'[1]خريطة الحسابات'!_xlnm.Print_Area,4,FALSE)))</f>
        <v xml:space="preserve">أصول متداوله -النقدية ومافي حكمها </v>
      </c>
      <c r="N610" s="138" t="str">
        <f>IF(ISERROR(VLOOKUP(C610,'[1]خريطة الحسابات'!_xlnm.Print_Area,5,FALSE))," ",(VLOOKUP(C610,'[1]خريطة الحسابات'!_xlnm.Print_Area,5,FALSE)))</f>
        <v>الاصول</v>
      </c>
      <c r="O610" s="139" t="s">
        <v>1571</v>
      </c>
      <c r="P610" s="139" t="s">
        <v>1295</v>
      </c>
    </row>
    <row r="611" spans="1:16">
      <c r="A611" s="104">
        <v>38</v>
      </c>
      <c r="B611" s="131">
        <v>46093</v>
      </c>
      <c r="C611" s="141">
        <v>20</v>
      </c>
      <c r="D611" s="140" t="str">
        <f>IF(ISERROR(VLOOKUP(C611,'[1]خريطة الحسابات'!_xlnm.Print_Area,3,FALSE))," ",(VLOOKUP(C611,'[1]خريطة الحسابات'!_xlnm.Print_Area,3,FALSE)))</f>
        <v xml:space="preserve">الخزينة </v>
      </c>
      <c r="E611" s="132"/>
      <c r="F611" s="133"/>
      <c r="G611" s="133">
        <v>2620</v>
      </c>
      <c r="H611" s="134">
        <f t="shared" si="28"/>
        <v>0</v>
      </c>
      <c r="I611" s="134">
        <f t="shared" si="28"/>
        <v>2620</v>
      </c>
      <c r="J611" s="134">
        <f t="shared" si="27"/>
        <v>-2620</v>
      </c>
      <c r="K611" s="135"/>
      <c r="L611" s="136" t="str">
        <f t="shared" si="29"/>
        <v>دائن</v>
      </c>
      <c r="M611" s="137" t="str">
        <f>IF(ISERROR(VLOOKUP(C611,'[1]خريطة الحسابات'!_xlnm.Print_Area,4,FALSE))," ",(VLOOKUP(C611,'[1]خريطة الحسابات'!_xlnm.Print_Area,4,FALSE)))</f>
        <v xml:space="preserve">أصول متداوله -النقدية ومافي حكمها </v>
      </c>
      <c r="N611" s="138" t="str">
        <f>IF(ISERROR(VLOOKUP(C611,'[1]خريطة الحسابات'!_xlnm.Print_Area,5,FALSE))," ",(VLOOKUP(C611,'[1]خريطة الحسابات'!_xlnm.Print_Area,5,FALSE)))</f>
        <v>الاصول</v>
      </c>
      <c r="O611" s="139" t="s">
        <v>1572</v>
      </c>
      <c r="P611" s="139" t="s">
        <v>1325</v>
      </c>
    </row>
    <row r="612" spans="1:16">
      <c r="A612" s="104">
        <v>38</v>
      </c>
      <c r="B612" s="131">
        <v>46099</v>
      </c>
      <c r="C612" s="141">
        <v>20</v>
      </c>
      <c r="D612" s="140" t="str">
        <f>IF(ISERROR(VLOOKUP(C612,'[1]خريطة الحسابات'!_xlnm.Print_Area,3,FALSE))," ",(VLOOKUP(C612,'[1]خريطة الحسابات'!_xlnm.Print_Area,3,FALSE)))</f>
        <v xml:space="preserve">الخزينة </v>
      </c>
      <c r="E612" s="132"/>
      <c r="F612" s="133"/>
      <c r="G612" s="133">
        <v>10010</v>
      </c>
      <c r="H612" s="134">
        <f t="shared" si="28"/>
        <v>0</v>
      </c>
      <c r="I612" s="134">
        <f t="shared" si="28"/>
        <v>10010</v>
      </c>
      <c r="J612" s="134">
        <f t="shared" si="27"/>
        <v>-10010</v>
      </c>
      <c r="K612" s="135"/>
      <c r="L612" s="136" t="str">
        <f t="shared" si="29"/>
        <v>دائن</v>
      </c>
      <c r="M612" s="137" t="str">
        <f>IF(ISERROR(VLOOKUP(C612,'[1]خريطة الحسابات'!_xlnm.Print_Area,4,FALSE))," ",(VLOOKUP(C612,'[1]خريطة الحسابات'!_xlnm.Print_Area,4,FALSE)))</f>
        <v xml:space="preserve">أصول متداوله -النقدية ومافي حكمها </v>
      </c>
      <c r="N612" s="138" t="str">
        <f>IF(ISERROR(VLOOKUP(C612,'[1]خريطة الحسابات'!_xlnm.Print_Area,5,FALSE))," ",(VLOOKUP(C612,'[1]خريطة الحسابات'!_xlnm.Print_Area,5,FALSE)))</f>
        <v>الاصول</v>
      </c>
      <c r="O612" s="139" t="s">
        <v>1573</v>
      </c>
      <c r="P612" s="139" t="s">
        <v>1342</v>
      </c>
    </row>
    <row r="613" spans="1:16" ht="15.6">
      <c r="A613" s="104">
        <v>39</v>
      </c>
      <c r="B613" s="131">
        <v>46160</v>
      </c>
      <c r="C613" s="54">
        <v>4068</v>
      </c>
      <c r="D613" s="140" t="str">
        <f>IF(ISERROR(VLOOKUP(C613,'[1]خريطة الحسابات'!_xlnm.Print_Area,3,FALSE))," ",(VLOOKUP(C613,'[1]خريطة الحسابات'!_xlnm.Print_Area,3,FALSE)))</f>
        <v>م / نسرين</v>
      </c>
      <c r="E613" s="132"/>
      <c r="F613" s="133">
        <v>150000</v>
      </c>
      <c r="G613" s="133"/>
      <c r="H613" s="134">
        <f t="shared" si="28"/>
        <v>150000</v>
      </c>
      <c r="I613" s="134">
        <f t="shared" si="28"/>
        <v>0</v>
      </c>
      <c r="J613" s="134">
        <f t="shared" si="27"/>
        <v>150000</v>
      </c>
      <c r="K613" s="135"/>
      <c r="L613" s="136" t="str">
        <f t="shared" si="29"/>
        <v>مدين</v>
      </c>
      <c r="M613" s="137" t="str">
        <f>IF(ISERROR(VLOOKUP(C613,'[1]خريطة الحسابات'!_xlnm.Print_Area,4,FALSE))," ",(VLOOKUP(C613,'[1]خريطة الحسابات'!_xlnm.Print_Area,4,FALSE)))</f>
        <v>موردين</v>
      </c>
      <c r="N613" s="138" t="str">
        <f>IF(ISERROR(VLOOKUP(C613,'[1]خريطة الحسابات'!_xlnm.Print_Area,5,FALSE))," ",(VLOOKUP(C613,'[1]خريطة الحسابات'!_xlnm.Print_Area,5,FALSE)))</f>
        <v xml:space="preserve">الدائنون والأرصدة الدائنة الأخرى </v>
      </c>
      <c r="O613" s="129" t="s">
        <v>1574</v>
      </c>
      <c r="P613" s="128" t="s">
        <v>1292</v>
      </c>
    </row>
    <row r="614" spans="1:16" ht="15.6">
      <c r="A614" s="104">
        <v>39</v>
      </c>
      <c r="B614" s="131">
        <v>46160</v>
      </c>
      <c r="C614" s="141">
        <v>20</v>
      </c>
      <c r="D614" s="140" t="str">
        <f>IF(ISERROR(VLOOKUP(C614,'[1]خريطة الحسابات'!_xlnm.Print_Area,3,FALSE))," ",(VLOOKUP(C614,'[1]خريطة الحسابات'!_xlnm.Print_Area,3,FALSE)))</f>
        <v xml:space="preserve">الخزينة </v>
      </c>
      <c r="E614" s="132"/>
      <c r="F614" s="133"/>
      <c r="G614" s="133">
        <v>150000</v>
      </c>
      <c r="H614" s="134">
        <f t="shared" si="28"/>
        <v>0</v>
      </c>
      <c r="I614" s="134">
        <f t="shared" si="28"/>
        <v>150000</v>
      </c>
      <c r="J614" s="134">
        <f t="shared" si="27"/>
        <v>-150000</v>
      </c>
      <c r="K614" s="135"/>
      <c r="L614" s="136" t="str">
        <f t="shared" si="29"/>
        <v>دائن</v>
      </c>
      <c r="M614" s="137" t="str">
        <f>IF(ISERROR(VLOOKUP(C614,'[1]خريطة الحسابات'!_xlnm.Print_Area,4,FALSE))," ",(VLOOKUP(C614,'[1]خريطة الحسابات'!_xlnm.Print_Area,4,FALSE)))</f>
        <v xml:space="preserve">أصول متداوله -النقدية ومافي حكمها </v>
      </c>
      <c r="N614" s="138" t="str">
        <f>IF(ISERROR(VLOOKUP(C614,'[1]خريطة الحسابات'!_xlnm.Print_Area,5,FALSE))," ",(VLOOKUP(C614,'[1]خريطة الحسابات'!_xlnm.Print_Area,5,FALSE)))</f>
        <v>الاصول</v>
      </c>
      <c r="O614" s="129" t="s">
        <v>1574</v>
      </c>
      <c r="P614" s="128" t="s">
        <v>1292</v>
      </c>
    </row>
    <row r="615" spans="1:16">
      <c r="A615" s="104">
        <v>40</v>
      </c>
      <c r="B615" s="131">
        <v>46030</v>
      </c>
      <c r="C615" s="141">
        <v>4013</v>
      </c>
      <c r="D615" s="140" t="str">
        <f>IF(ISERROR(VLOOKUP(C615,'[1]خريطة الحسابات'!_xlnm.Print_Area,3,FALSE))," ",(VLOOKUP(C615,'[1]خريطة الحسابات'!_xlnm.Print_Area,3,FALSE)))</f>
        <v>محمد السيد كهربائي مقاول</v>
      </c>
      <c r="E615" s="132"/>
      <c r="F615" s="133">
        <v>5000</v>
      </c>
      <c r="G615" s="133"/>
      <c r="H615" s="134">
        <f t="shared" si="28"/>
        <v>5000</v>
      </c>
      <c r="I615" s="134">
        <f t="shared" si="28"/>
        <v>0</v>
      </c>
      <c r="J615" s="134">
        <f t="shared" si="27"/>
        <v>5000</v>
      </c>
      <c r="K615" s="135"/>
      <c r="L615" s="136" t="str">
        <f t="shared" si="29"/>
        <v>مدين</v>
      </c>
      <c r="M615" s="137" t="str">
        <f>IF(ISERROR(VLOOKUP(C615,'[1]خريطة الحسابات'!_xlnm.Print_Area,4,FALSE))," ",(VLOOKUP(C615,'[1]خريطة الحسابات'!_xlnm.Print_Area,4,FALSE)))</f>
        <v xml:space="preserve">مقاولين </v>
      </c>
      <c r="N615" s="138" t="str">
        <f>IF(ISERROR(VLOOKUP(C615,'[1]خريطة الحسابات'!_xlnm.Print_Area,5,FALSE))," ",(VLOOKUP(C615,'[1]خريطة الحسابات'!_xlnm.Print_Area,5,FALSE)))</f>
        <v xml:space="preserve">الدائنون والأرصدة الدائنة الأخرى </v>
      </c>
      <c r="O615" s="139" t="s">
        <v>1575</v>
      </c>
      <c r="P615" s="139" t="s">
        <v>1493</v>
      </c>
    </row>
    <row r="616" spans="1:16">
      <c r="A616" s="104">
        <v>40</v>
      </c>
      <c r="B616" s="131">
        <v>46030</v>
      </c>
      <c r="C616" s="141">
        <v>4013</v>
      </c>
      <c r="D616" s="140" t="str">
        <f>IF(ISERROR(VLOOKUP(C616,'[1]خريطة الحسابات'!_xlnm.Print_Area,3,FALSE))," ",(VLOOKUP(C616,'[1]خريطة الحسابات'!_xlnm.Print_Area,3,FALSE)))</f>
        <v>محمد السيد كهربائي مقاول</v>
      </c>
      <c r="E616" s="132"/>
      <c r="F616" s="133">
        <v>5000</v>
      </c>
      <c r="G616" s="133"/>
      <c r="H616" s="134">
        <f t="shared" si="28"/>
        <v>5000</v>
      </c>
      <c r="I616" s="134">
        <f t="shared" si="28"/>
        <v>0</v>
      </c>
      <c r="J616" s="134">
        <f t="shared" si="27"/>
        <v>5000</v>
      </c>
      <c r="K616" s="135"/>
      <c r="L616" s="136" t="str">
        <f t="shared" si="29"/>
        <v>مدين</v>
      </c>
      <c r="M616" s="137" t="str">
        <f>IF(ISERROR(VLOOKUP(C616,'[1]خريطة الحسابات'!_xlnm.Print_Area,4,FALSE))," ",(VLOOKUP(C616,'[1]خريطة الحسابات'!_xlnm.Print_Area,4,FALSE)))</f>
        <v xml:space="preserve">مقاولين </v>
      </c>
      <c r="N616" s="138" t="str">
        <f>IF(ISERROR(VLOOKUP(C616,'[1]خريطة الحسابات'!_xlnm.Print_Area,5,FALSE))," ",(VLOOKUP(C616,'[1]خريطة الحسابات'!_xlnm.Print_Area,5,FALSE)))</f>
        <v xml:space="preserve">الدائنون والأرصدة الدائنة الأخرى </v>
      </c>
      <c r="O616" s="139" t="s">
        <v>1576</v>
      </c>
      <c r="P616" s="139" t="s">
        <v>1304</v>
      </c>
    </row>
    <row r="617" spans="1:16">
      <c r="A617" s="104">
        <v>40</v>
      </c>
      <c r="B617" s="131">
        <v>46044</v>
      </c>
      <c r="C617" s="141">
        <v>4013</v>
      </c>
      <c r="D617" s="140" t="str">
        <f>IF(ISERROR(VLOOKUP(C617,'[1]خريطة الحسابات'!_xlnm.Print_Area,3,FALSE))," ",(VLOOKUP(C617,'[1]خريطة الحسابات'!_xlnm.Print_Area,3,FALSE)))</f>
        <v>محمد السيد كهربائي مقاول</v>
      </c>
      <c r="E617" s="132"/>
      <c r="F617" s="133">
        <v>7000</v>
      </c>
      <c r="G617" s="133"/>
      <c r="H617" s="134">
        <f t="shared" si="28"/>
        <v>7000</v>
      </c>
      <c r="I617" s="134">
        <f t="shared" si="28"/>
        <v>0</v>
      </c>
      <c r="J617" s="134">
        <f t="shared" si="27"/>
        <v>7000</v>
      </c>
      <c r="K617" s="135"/>
      <c r="L617" s="136" t="str">
        <f t="shared" si="29"/>
        <v>مدين</v>
      </c>
      <c r="M617" s="137" t="str">
        <f>IF(ISERROR(VLOOKUP(C617,'[1]خريطة الحسابات'!_xlnm.Print_Area,4,FALSE))," ",(VLOOKUP(C617,'[1]خريطة الحسابات'!_xlnm.Print_Area,4,FALSE)))</f>
        <v xml:space="preserve">مقاولين </v>
      </c>
      <c r="N617" s="138" t="str">
        <f>IF(ISERROR(VLOOKUP(C617,'[1]خريطة الحسابات'!_xlnm.Print_Area,5,FALSE))," ",(VLOOKUP(C617,'[1]خريطة الحسابات'!_xlnm.Print_Area,5,FALSE)))</f>
        <v xml:space="preserve">الدائنون والأرصدة الدائنة الأخرى </v>
      </c>
      <c r="O617" s="139" t="s">
        <v>1577</v>
      </c>
      <c r="P617" s="139" t="s">
        <v>1299</v>
      </c>
    </row>
    <row r="618" spans="1:16">
      <c r="A618" s="104">
        <v>40</v>
      </c>
      <c r="B618" s="131">
        <v>46050</v>
      </c>
      <c r="C618" s="141">
        <v>4013</v>
      </c>
      <c r="D618" s="140" t="str">
        <f>IF(ISERROR(VLOOKUP(C618,'[1]خريطة الحسابات'!_xlnm.Print_Area,3,FALSE))," ",(VLOOKUP(C618,'[1]خريطة الحسابات'!_xlnm.Print_Area,3,FALSE)))</f>
        <v>محمد السيد كهربائي مقاول</v>
      </c>
      <c r="E618" s="132"/>
      <c r="F618" s="133">
        <v>9700</v>
      </c>
      <c r="G618" s="133"/>
      <c r="H618" s="134">
        <f t="shared" si="28"/>
        <v>9700</v>
      </c>
      <c r="I618" s="134">
        <f t="shared" si="28"/>
        <v>0</v>
      </c>
      <c r="J618" s="134">
        <f t="shared" si="27"/>
        <v>9700</v>
      </c>
      <c r="K618" s="135"/>
      <c r="L618" s="136" t="str">
        <f t="shared" si="29"/>
        <v>مدين</v>
      </c>
      <c r="M618" s="137" t="str">
        <f>IF(ISERROR(VLOOKUP(C618,'[1]خريطة الحسابات'!_xlnm.Print_Area,4,FALSE))," ",(VLOOKUP(C618,'[1]خريطة الحسابات'!_xlnm.Print_Area,4,FALSE)))</f>
        <v xml:space="preserve">مقاولين </v>
      </c>
      <c r="N618" s="138" t="str">
        <f>IF(ISERROR(VLOOKUP(C618,'[1]خريطة الحسابات'!_xlnm.Print_Area,5,FALSE))," ",(VLOOKUP(C618,'[1]خريطة الحسابات'!_xlnm.Print_Area,5,FALSE)))</f>
        <v xml:space="preserve">الدائنون والأرصدة الدائنة الأخرى </v>
      </c>
      <c r="O618" s="139" t="s">
        <v>1578</v>
      </c>
      <c r="P618" s="139" t="s">
        <v>1325</v>
      </c>
    </row>
    <row r="619" spans="1:16">
      <c r="A619" s="104">
        <v>40</v>
      </c>
      <c r="B619" s="131">
        <v>46050</v>
      </c>
      <c r="C619" s="141">
        <v>4013</v>
      </c>
      <c r="D619" s="140" t="str">
        <f>IF(ISERROR(VLOOKUP(C619,'[1]خريطة الحسابات'!_xlnm.Print_Area,3,FALSE))," ",(VLOOKUP(C619,'[1]خريطة الحسابات'!_xlnm.Print_Area,3,FALSE)))</f>
        <v>محمد السيد كهربائي مقاول</v>
      </c>
      <c r="E619" s="132"/>
      <c r="F619" s="133">
        <v>9100</v>
      </c>
      <c r="G619" s="133"/>
      <c r="H619" s="134">
        <f t="shared" si="28"/>
        <v>9100</v>
      </c>
      <c r="I619" s="134">
        <f t="shared" si="28"/>
        <v>0</v>
      </c>
      <c r="J619" s="134">
        <f t="shared" si="27"/>
        <v>9100</v>
      </c>
      <c r="K619" s="135"/>
      <c r="L619" s="136" t="str">
        <f t="shared" si="29"/>
        <v>مدين</v>
      </c>
      <c r="M619" s="137" t="str">
        <f>IF(ISERROR(VLOOKUP(C619,'[1]خريطة الحسابات'!_xlnm.Print_Area,4,FALSE))," ",(VLOOKUP(C619,'[1]خريطة الحسابات'!_xlnm.Print_Area,4,FALSE)))</f>
        <v xml:space="preserve">مقاولين </v>
      </c>
      <c r="N619" s="138" t="str">
        <f>IF(ISERROR(VLOOKUP(C619,'[1]خريطة الحسابات'!_xlnm.Print_Area,5,FALSE))," ",(VLOOKUP(C619,'[1]خريطة الحسابات'!_xlnm.Print_Area,5,FALSE)))</f>
        <v xml:space="preserve">الدائنون والأرصدة الدائنة الأخرى </v>
      </c>
      <c r="O619" s="139" t="s">
        <v>1578</v>
      </c>
      <c r="P619" s="139" t="s">
        <v>1299</v>
      </c>
    </row>
    <row r="620" spans="1:16">
      <c r="A620" s="104">
        <v>40</v>
      </c>
      <c r="B620" s="131">
        <v>46058</v>
      </c>
      <c r="C620" s="141">
        <v>4013</v>
      </c>
      <c r="D620" s="140" t="str">
        <f>IF(ISERROR(VLOOKUP(C620,'[1]خريطة الحسابات'!_xlnm.Print_Area,3,FALSE))," ",(VLOOKUP(C620,'[1]خريطة الحسابات'!_xlnm.Print_Area,3,FALSE)))</f>
        <v>محمد السيد كهربائي مقاول</v>
      </c>
      <c r="E620" s="132"/>
      <c r="F620" s="133">
        <v>7000</v>
      </c>
      <c r="G620" s="133"/>
      <c r="H620" s="134">
        <f t="shared" si="28"/>
        <v>7000</v>
      </c>
      <c r="I620" s="134">
        <f t="shared" si="28"/>
        <v>0</v>
      </c>
      <c r="J620" s="134">
        <f t="shared" si="27"/>
        <v>7000</v>
      </c>
      <c r="K620" s="135"/>
      <c r="L620" s="136" t="str">
        <f t="shared" si="29"/>
        <v>مدين</v>
      </c>
      <c r="M620" s="137" t="str">
        <f>IF(ISERROR(VLOOKUP(C620,'[1]خريطة الحسابات'!_xlnm.Print_Area,4,FALSE))," ",(VLOOKUP(C620,'[1]خريطة الحسابات'!_xlnm.Print_Area,4,FALSE)))</f>
        <v xml:space="preserve">مقاولين </v>
      </c>
      <c r="N620" s="138" t="str">
        <f>IF(ISERROR(VLOOKUP(C620,'[1]خريطة الحسابات'!_xlnm.Print_Area,5,FALSE))," ",(VLOOKUP(C620,'[1]خريطة الحسابات'!_xlnm.Print_Area,5,FALSE)))</f>
        <v xml:space="preserve">الدائنون والأرصدة الدائنة الأخرى </v>
      </c>
      <c r="O620" s="139" t="s">
        <v>1579</v>
      </c>
      <c r="P620" s="139" t="s">
        <v>1292</v>
      </c>
    </row>
    <row r="621" spans="1:16">
      <c r="A621" s="104">
        <v>40</v>
      </c>
      <c r="B621" s="131">
        <v>46058</v>
      </c>
      <c r="C621" s="141">
        <v>4013</v>
      </c>
      <c r="D621" s="140" t="str">
        <f>IF(ISERROR(VLOOKUP(C621,'[1]خريطة الحسابات'!_xlnm.Print_Area,3,FALSE))," ",(VLOOKUP(C621,'[1]خريطة الحسابات'!_xlnm.Print_Area,3,FALSE)))</f>
        <v>محمد السيد كهربائي مقاول</v>
      </c>
      <c r="E621" s="132"/>
      <c r="F621" s="133">
        <v>18000</v>
      </c>
      <c r="G621" s="133"/>
      <c r="H621" s="134">
        <f t="shared" si="28"/>
        <v>18000</v>
      </c>
      <c r="I621" s="134">
        <f t="shared" si="28"/>
        <v>0</v>
      </c>
      <c r="J621" s="134">
        <f t="shared" si="27"/>
        <v>18000</v>
      </c>
      <c r="K621" s="135"/>
      <c r="L621" s="136" t="str">
        <f t="shared" si="29"/>
        <v>مدين</v>
      </c>
      <c r="M621" s="137" t="str">
        <f>IF(ISERROR(VLOOKUP(C621,'[1]خريطة الحسابات'!_xlnm.Print_Area,4,FALSE))," ",(VLOOKUP(C621,'[1]خريطة الحسابات'!_xlnm.Print_Area,4,FALSE)))</f>
        <v xml:space="preserve">مقاولين </v>
      </c>
      <c r="N621" s="138" t="str">
        <f>IF(ISERROR(VLOOKUP(C621,'[1]خريطة الحسابات'!_xlnm.Print_Area,5,FALSE))," ",(VLOOKUP(C621,'[1]خريطة الحسابات'!_xlnm.Print_Area,5,FALSE)))</f>
        <v xml:space="preserve">الدائنون والأرصدة الدائنة الأخرى </v>
      </c>
      <c r="O621" s="139" t="s">
        <v>1580</v>
      </c>
      <c r="P621" s="139" t="s">
        <v>1315</v>
      </c>
    </row>
    <row r="622" spans="1:16">
      <c r="A622" s="104">
        <v>40</v>
      </c>
      <c r="B622" s="131">
        <v>46065</v>
      </c>
      <c r="C622" s="141">
        <v>4013</v>
      </c>
      <c r="D622" s="140" t="str">
        <f>IF(ISERROR(VLOOKUP(C622,'[1]خريطة الحسابات'!_xlnm.Print_Area,3,FALSE))," ",(VLOOKUP(C622,'[1]خريطة الحسابات'!_xlnm.Print_Area,3,FALSE)))</f>
        <v>محمد السيد كهربائي مقاول</v>
      </c>
      <c r="E622" s="132"/>
      <c r="F622" s="133">
        <v>3900</v>
      </c>
      <c r="G622" s="133"/>
      <c r="H622" s="134">
        <f t="shared" si="28"/>
        <v>3900</v>
      </c>
      <c r="I622" s="134">
        <f t="shared" si="28"/>
        <v>0</v>
      </c>
      <c r="J622" s="134">
        <f t="shared" si="27"/>
        <v>3900</v>
      </c>
      <c r="K622" s="135"/>
      <c r="L622" s="136" t="str">
        <f t="shared" si="29"/>
        <v>مدين</v>
      </c>
      <c r="M622" s="137" t="str">
        <f>IF(ISERROR(VLOOKUP(C622,'[1]خريطة الحسابات'!_xlnm.Print_Area,4,FALSE))," ",(VLOOKUP(C622,'[1]خريطة الحسابات'!_xlnm.Print_Area,4,FALSE)))</f>
        <v xml:space="preserve">مقاولين </v>
      </c>
      <c r="N622" s="138" t="str">
        <f>IF(ISERROR(VLOOKUP(C622,'[1]خريطة الحسابات'!_xlnm.Print_Area,5,FALSE))," ",(VLOOKUP(C622,'[1]خريطة الحسابات'!_xlnm.Print_Area,5,FALSE)))</f>
        <v xml:space="preserve">الدائنون والأرصدة الدائنة الأخرى </v>
      </c>
      <c r="O622" s="139" t="s">
        <v>1581</v>
      </c>
      <c r="P622" s="139" t="s">
        <v>1299</v>
      </c>
    </row>
    <row r="623" spans="1:16">
      <c r="A623" s="104">
        <v>40</v>
      </c>
      <c r="B623" s="131">
        <v>46065</v>
      </c>
      <c r="C623" s="141">
        <v>4013</v>
      </c>
      <c r="D623" s="140" t="str">
        <f>IF(ISERROR(VLOOKUP(C623,'[1]خريطة الحسابات'!_xlnm.Print_Area,3,FALSE))," ",(VLOOKUP(C623,'[1]خريطة الحسابات'!_xlnm.Print_Area,3,FALSE)))</f>
        <v>محمد السيد كهربائي مقاول</v>
      </c>
      <c r="E623" s="132"/>
      <c r="F623" s="133">
        <v>10015</v>
      </c>
      <c r="G623" s="133"/>
      <c r="H623" s="134">
        <f t="shared" si="28"/>
        <v>10015</v>
      </c>
      <c r="I623" s="134">
        <f t="shared" si="28"/>
        <v>0</v>
      </c>
      <c r="J623" s="134">
        <f t="shared" si="27"/>
        <v>10015</v>
      </c>
      <c r="K623" s="135"/>
      <c r="L623" s="136" t="str">
        <f t="shared" si="29"/>
        <v>مدين</v>
      </c>
      <c r="M623" s="137" t="str">
        <f>IF(ISERROR(VLOOKUP(C623,'[1]خريطة الحسابات'!_xlnm.Print_Area,4,FALSE))," ",(VLOOKUP(C623,'[1]خريطة الحسابات'!_xlnm.Print_Area,4,FALSE)))</f>
        <v xml:space="preserve">مقاولين </v>
      </c>
      <c r="N623" s="138" t="str">
        <f>IF(ISERROR(VLOOKUP(C623,'[1]خريطة الحسابات'!_xlnm.Print_Area,5,FALSE))," ",(VLOOKUP(C623,'[1]خريطة الحسابات'!_xlnm.Print_Area,5,FALSE)))</f>
        <v xml:space="preserve">الدائنون والأرصدة الدائنة الأخرى </v>
      </c>
      <c r="O623" s="139" t="s">
        <v>1582</v>
      </c>
      <c r="P623" s="139" t="s">
        <v>1304</v>
      </c>
    </row>
    <row r="624" spans="1:16">
      <c r="A624" s="104">
        <v>40</v>
      </c>
      <c r="B624" s="131">
        <v>46071</v>
      </c>
      <c r="C624" s="141">
        <v>4013</v>
      </c>
      <c r="D624" s="140" t="str">
        <f>IF(ISERROR(VLOOKUP(C624,'[1]خريطة الحسابات'!_xlnm.Print_Area,3,FALSE))," ",(VLOOKUP(C624,'[1]خريطة الحسابات'!_xlnm.Print_Area,3,FALSE)))</f>
        <v>محمد السيد كهربائي مقاول</v>
      </c>
      <c r="E624" s="132"/>
      <c r="F624" s="133">
        <v>12200</v>
      </c>
      <c r="G624" s="133"/>
      <c r="H624" s="134">
        <f t="shared" si="28"/>
        <v>12200</v>
      </c>
      <c r="I624" s="134">
        <f t="shared" si="28"/>
        <v>0</v>
      </c>
      <c r="J624" s="134">
        <f t="shared" si="27"/>
        <v>12200</v>
      </c>
      <c r="K624" s="135"/>
      <c r="L624" s="136" t="str">
        <f t="shared" si="29"/>
        <v>مدين</v>
      </c>
      <c r="M624" s="137" t="str">
        <f>IF(ISERROR(VLOOKUP(C624,'[1]خريطة الحسابات'!_xlnm.Print_Area,4,FALSE))," ",(VLOOKUP(C624,'[1]خريطة الحسابات'!_xlnm.Print_Area,4,FALSE)))</f>
        <v xml:space="preserve">مقاولين </v>
      </c>
      <c r="N624" s="138" t="str">
        <f>IF(ISERROR(VLOOKUP(C624,'[1]خريطة الحسابات'!_xlnm.Print_Area,5,FALSE))," ",(VLOOKUP(C624,'[1]خريطة الحسابات'!_xlnm.Print_Area,5,FALSE)))</f>
        <v xml:space="preserve">الدائنون والأرصدة الدائنة الأخرى </v>
      </c>
      <c r="O624" s="139" t="s">
        <v>1583</v>
      </c>
      <c r="P624" s="139" t="s">
        <v>1292</v>
      </c>
    </row>
    <row r="625" spans="1:16">
      <c r="A625" s="104">
        <v>40</v>
      </c>
      <c r="B625" s="131">
        <v>46086</v>
      </c>
      <c r="C625" s="141">
        <v>4013</v>
      </c>
      <c r="D625" s="140" t="str">
        <f>IF(ISERROR(VLOOKUP(C625,'[1]خريطة الحسابات'!_xlnm.Print_Area,3,FALSE))," ",(VLOOKUP(C625,'[1]خريطة الحسابات'!_xlnm.Print_Area,3,FALSE)))</f>
        <v>محمد السيد كهربائي مقاول</v>
      </c>
      <c r="E625" s="132"/>
      <c r="F625" s="133">
        <v>4655</v>
      </c>
      <c r="G625" s="133"/>
      <c r="H625" s="134">
        <f t="shared" si="28"/>
        <v>4655</v>
      </c>
      <c r="I625" s="134">
        <f t="shared" si="28"/>
        <v>0</v>
      </c>
      <c r="J625" s="134">
        <f t="shared" si="27"/>
        <v>4655</v>
      </c>
      <c r="K625" s="135"/>
      <c r="L625" s="136" t="str">
        <f t="shared" si="29"/>
        <v>مدين</v>
      </c>
      <c r="M625" s="137" t="str">
        <f>IF(ISERROR(VLOOKUP(C625,'[1]خريطة الحسابات'!_xlnm.Print_Area,4,FALSE))," ",(VLOOKUP(C625,'[1]خريطة الحسابات'!_xlnm.Print_Area,4,FALSE)))</f>
        <v xml:space="preserve">مقاولين </v>
      </c>
      <c r="N625" s="138" t="str">
        <f>IF(ISERROR(VLOOKUP(C625,'[1]خريطة الحسابات'!_xlnm.Print_Area,5,FALSE))," ",(VLOOKUP(C625,'[1]خريطة الحسابات'!_xlnm.Print_Area,5,FALSE)))</f>
        <v xml:space="preserve">الدائنون والأرصدة الدائنة الأخرى </v>
      </c>
      <c r="O625" s="139" t="s">
        <v>1584</v>
      </c>
      <c r="P625" s="139" t="s">
        <v>1325</v>
      </c>
    </row>
    <row r="626" spans="1:16">
      <c r="A626" s="104">
        <v>40</v>
      </c>
      <c r="B626" s="131">
        <v>46086</v>
      </c>
      <c r="C626" s="141">
        <v>4013</v>
      </c>
      <c r="D626" s="140" t="str">
        <f>IF(ISERROR(VLOOKUP(C626,'[1]خريطة الحسابات'!_xlnm.Print_Area,3,FALSE))," ",(VLOOKUP(C626,'[1]خريطة الحسابات'!_xlnm.Print_Area,3,FALSE)))</f>
        <v>محمد السيد كهربائي مقاول</v>
      </c>
      <c r="E626" s="132"/>
      <c r="F626" s="133">
        <v>2000</v>
      </c>
      <c r="G626" s="133"/>
      <c r="H626" s="134">
        <f t="shared" si="28"/>
        <v>2000</v>
      </c>
      <c r="I626" s="134">
        <f t="shared" si="28"/>
        <v>0</v>
      </c>
      <c r="J626" s="134">
        <f t="shared" si="27"/>
        <v>2000</v>
      </c>
      <c r="K626" s="135"/>
      <c r="L626" s="136" t="str">
        <f t="shared" si="29"/>
        <v>مدين</v>
      </c>
      <c r="M626" s="137" t="str">
        <f>IF(ISERROR(VLOOKUP(C626,'[1]خريطة الحسابات'!_xlnm.Print_Area,4,FALSE))," ",(VLOOKUP(C626,'[1]خريطة الحسابات'!_xlnm.Print_Area,4,FALSE)))</f>
        <v xml:space="preserve">مقاولين </v>
      </c>
      <c r="N626" s="138" t="str">
        <f>IF(ISERROR(VLOOKUP(C626,'[1]خريطة الحسابات'!_xlnm.Print_Area,5,FALSE))," ",(VLOOKUP(C626,'[1]خريطة الحسابات'!_xlnm.Print_Area,5,FALSE)))</f>
        <v xml:space="preserve">الدائنون والأرصدة الدائنة الأخرى </v>
      </c>
      <c r="O626" s="139" t="s">
        <v>1585</v>
      </c>
      <c r="P626" s="139" t="s">
        <v>1297</v>
      </c>
    </row>
    <row r="627" spans="1:16">
      <c r="A627" s="104">
        <v>40</v>
      </c>
      <c r="B627" s="131">
        <v>46086</v>
      </c>
      <c r="C627" s="141">
        <v>4013</v>
      </c>
      <c r="D627" s="140" t="str">
        <f>IF(ISERROR(VLOOKUP(C627,'[1]خريطة الحسابات'!_xlnm.Print_Area,3,FALSE))," ",(VLOOKUP(C627,'[1]خريطة الحسابات'!_xlnm.Print_Area,3,FALSE)))</f>
        <v>محمد السيد كهربائي مقاول</v>
      </c>
      <c r="E627" s="132"/>
      <c r="F627" s="133">
        <v>3355</v>
      </c>
      <c r="G627" s="133"/>
      <c r="H627" s="134">
        <f t="shared" si="28"/>
        <v>3355</v>
      </c>
      <c r="I627" s="134">
        <f t="shared" si="28"/>
        <v>0</v>
      </c>
      <c r="J627" s="134">
        <f t="shared" si="27"/>
        <v>3355</v>
      </c>
      <c r="K627" s="135"/>
      <c r="L627" s="136" t="str">
        <f t="shared" si="29"/>
        <v>مدين</v>
      </c>
      <c r="M627" s="137" t="str">
        <f>IF(ISERROR(VLOOKUP(C627,'[1]خريطة الحسابات'!_xlnm.Print_Area,4,FALSE))," ",(VLOOKUP(C627,'[1]خريطة الحسابات'!_xlnm.Print_Area,4,FALSE)))</f>
        <v xml:space="preserve">مقاولين </v>
      </c>
      <c r="N627" s="138" t="str">
        <f>IF(ISERROR(VLOOKUP(C627,'[1]خريطة الحسابات'!_xlnm.Print_Area,5,FALSE))," ",(VLOOKUP(C627,'[1]خريطة الحسابات'!_xlnm.Print_Area,5,FALSE)))</f>
        <v xml:space="preserve">الدائنون والأرصدة الدائنة الأخرى </v>
      </c>
      <c r="O627" s="139" t="s">
        <v>1586</v>
      </c>
      <c r="P627" s="139" t="s">
        <v>1315</v>
      </c>
    </row>
    <row r="628" spans="1:16">
      <c r="A628" s="104">
        <v>40</v>
      </c>
      <c r="B628" s="131">
        <v>46093</v>
      </c>
      <c r="C628" s="141">
        <v>4013</v>
      </c>
      <c r="D628" s="140" t="str">
        <f>IF(ISERROR(VLOOKUP(C628,'[1]خريطة الحسابات'!_xlnm.Print_Area,3,FALSE))," ",(VLOOKUP(C628,'[1]خريطة الحسابات'!_xlnm.Print_Area,3,FALSE)))</f>
        <v>محمد السيد كهربائي مقاول</v>
      </c>
      <c r="E628" s="132"/>
      <c r="F628" s="133">
        <v>15015</v>
      </c>
      <c r="G628" s="133"/>
      <c r="H628" s="134">
        <f t="shared" si="28"/>
        <v>15015</v>
      </c>
      <c r="I628" s="134">
        <f t="shared" si="28"/>
        <v>0</v>
      </c>
      <c r="J628" s="134">
        <f t="shared" si="27"/>
        <v>15015</v>
      </c>
      <c r="K628" s="135"/>
      <c r="L628" s="136" t="str">
        <f t="shared" si="29"/>
        <v>مدين</v>
      </c>
      <c r="M628" s="137" t="str">
        <f>IF(ISERROR(VLOOKUP(C628,'[1]خريطة الحسابات'!_xlnm.Print_Area,4,FALSE))," ",(VLOOKUP(C628,'[1]خريطة الحسابات'!_xlnm.Print_Area,4,FALSE)))</f>
        <v xml:space="preserve">مقاولين </v>
      </c>
      <c r="N628" s="138" t="str">
        <f>IF(ISERROR(VLOOKUP(C628,'[1]خريطة الحسابات'!_xlnm.Print_Area,5,FALSE))," ",(VLOOKUP(C628,'[1]خريطة الحسابات'!_xlnm.Print_Area,5,FALSE)))</f>
        <v xml:space="preserve">الدائنون والأرصدة الدائنة الأخرى </v>
      </c>
      <c r="O628" s="139" t="s">
        <v>1587</v>
      </c>
      <c r="P628" s="139" t="s">
        <v>1315</v>
      </c>
    </row>
    <row r="629" spans="1:16">
      <c r="A629" s="104">
        <v>40</v>
      </c>
      <c r="B629" s="131">
        <v>46099</v>
      </c>
      <c r="C629" s="141">
        <v>4013</v>
      </c>
      <c r="D629" s="140" t="str">
        <f>IF(ISERROR(VLOOKUP(C629,'[1]خريطة الحسابات'!_xlnm.Print_Area,3,FALSE))," ",(VLOOKUP(C629,'[1]خريطة الحسابات'!_xlnm.Print_Area,3,FALSE)))</f>
        <v>محمد السيد كهربائي مقاول</v>
      </c>
      <c r="E629" s="132"/>
      <c r="F629" s="133">
        <v>1900</v>
      </c>
      <c r="G629" s="133"/>
      <c r="H629" s="134">
        <f t="shared" si="28"/>
        <v>1900</v>
      </c>
      <c r="I629" s="134">
        <f t="shared" si="28"/>
        <v>0</v>
      </c>
      <c r="J629" s="134">
        <f t="shared" si="27"/>
        <v>1900</v>
      </c>
      <c r="K629" s="135"/>
      <c r="L629" s="136" t="str">
        <f t="shared" si="29"/>
        <v>مدين</v>
      </c>
      <c r="M629" s="137" t="str">
        <f>IF(ISERROR(VLOOKUP(C629,'[1]خريطة الحسابات'!_xlnm.Print_Area,4,FALSE))," ",(VLOOKUP(C629,'[1]خريطة الحسابات'!_xlnm.Print_Area,4,FALSE)))</f>
        <v xml:space="preserve">مقاولين </v>
      </c>
      <c r="N629" s="138" t="str">
        <f>IF(ISERROR(VLOOKUP(C629,'[1]خريطة الحسابات'!_xlnm.Print_Area,5,FALSE))," ",(VLOOKUP(C629,'[1]خريطة الحسابات'!_xlnm.Print_Area,5,FALSE)))</f>
        <v xml:space="preserve">الدائنون والأرصدة الدائنة الأخرى </v>
      </c>
      <c r="O629" s="139" t="s">
        <v>1588</v>
      </c>
      <c r="P629" s="139" t="s">
        <v>1304</v>
      </c>
    </row>
    <row r="630" spans="1:16">
      <c r="A630" s="104">
        <v>40</v>
      </c>
      <c r="B630" s="131">
        <v>46099</v>
      </c>
      <c r="C630" s="141">
        <v>4013</v>
      </c>
      <c r="D630" s="140" t="str">
        <f>IF(ISERROR(VLOOKUP(C630,'[1]خريطة الحسابات'!_xlnm.Print_Area,3,FALSE))," ",(VLOOKUP(C630,'[1]خريطة الحسابات'!_xlnm.Print_Area,3,FALSE)))</f>
        <v>محمد السيد كهربائي مقاول</v>
      </c>
      <c r="E630" s="132"/>
      <c r="F630" s="133">
        <v>6006</v>
      </c>
      <c r="G630" s="133"/>
      <c r="H630" s="134">
        <f t="shared" si="28"/>
        <v>6006</v>
      </c>
      <c r="I630" s="134">
        <f t="shared" si="28"/>
        <v>0</v>
      </c>
      <c r="J630" s="134">
        <f t="shared" si="27"/>
        <v>6006</v>
      </c>
      <c r="K630" s="135"/>
      <c r="L630" s="136" t="str">
        <f t="shared" si="29"/>
        <v>مدين</v>
      </c>
      <c r="M630" s="137" t="str">
        <f>IF(ISERROR(VLOOKUP(C630,'[1]خريطة الحسابات'!_xlnm.Print_Area,4,FALSE))," ",(VLOOKUP(C630,'[1]خريطة الحسابات'!_xlnm.Print_Area,4,FALSE)))</f>
        <v xml:space="preserve">مقاولين </v>
      </c>
      <c r="N630" s="138" t="str">
        <f>IF(ISERROR(VLOOKUP(C630,'[1]خريطة الحسابات'!_xlnm.Print_Area,5,FALSE))," ",(VLOOKUP(C630,'[1]خريطة الحسابات'!_xlnm.Print_Area,5,FALSE)))</f>
        <v xml:space="preserve">الدائنون والأرصدة الدائنة الأخرى </v>
      </c>
      <c r="O630" s="139" t="s">
        <v>1589</v>
      </c>
      <c r="P630" s="139" t="s">
        <v>1590</v>
      </c>
    </row>
    <row r="631" spans="1:16">
      <c r="A631" s="104">
        <v>40</v>
      </c>
      <c r="B631" s="131">
        <v>46099</v>
      </c>
      <c r="C631" s="141">
        <v>4013</v>
      </c>
      <c r="D631" s="140" t="str">
        <f>IF(ISERROR(VLOOKUP(C631,'[1]خريطة الحسابات'!_xlnm.Print_Area,3,FALSE))," ",(VLOOKUP(C631,'[1]خريطة الحسابات'!_xlnm.Print_Area,3,FALSE)))</f>
        <v>محمد السيد كهربائي مقاول</v>
      </c>
      <c r="E631" s="132"/>
      <c r="F631" s="133">
        <v>1500</v>
      </c>
      <c r="G631" s="133"/>
      <c r="H631" s="134">
        <f t="shared" si="28"/>
        <v>1500</v>
      </c>
      <c r="I631" s="134">
        <f t="shared" si="28"/>
        <v>0</v>
      </c>
      <c r="J631" s="134">
        <f t="shared" si="27"/>
        <v>1500</v>
      </c>
      <c r="K631" s="135"/>
      <c r="L631" s="136" t="str">
        <f t="shared" si="29"/>
        <v>مدين</v>
      </c>
      <c r="M631" s="137" t="str">
        <f>IF(ISERROR(VLOOKUP(C631,'[1]خريطة الحسابات'!_xlnm.Print_Area,4,FALSE))," ",(VLOOKUP(C631,'[1]خريطة الحسابات'!_xlnm.Print_Area,4,FALSE)))</f>
        <v xml:space="preserve">مقاولين </v>
      </c>
      <c r="N631" s="138" t="str">
        <f>IF(ISERROR(VLOOKUP(C631,'[1]خريطة الحسابات'!_xlnm.Print_Area,5,FALSE))," ",(VLOOKUP(C631,'[1]خريطة الحسابات'!_xlnm.Print_Area,5,FALSE)))</f>
        <v xml:space="preserve">الدائنون والأرصدة الدائنة الأخرى </v>
      </c>
      <c r="O631" s="139" t="s">
        <v>1591</v>
      </c>
      <c r="P631" s="139" t="s">
        <v>1297</v>
      </c>
    </row>
    <row r="632" spans="1:16">
      <c r="A632" s="104">
        <v>40</v>
      </c>
      <c r="B632" s="131">
        <v>46121</v>
      </c>
      <c r="C632" s="141">
        <v>4013</v>
      </c>
      <c r="D632" s="140" t="str">
        <f>IF(ISERROR(VLOOKUP(C632,'[1]خريطة الحسابات'!_xlnm.Print_Area,3,FALSE))," ",(VLOOKUP(C632,'[1]خريطة الحسابات'!_xlnm.Print_Area,3,FALSE)))</f>
        <v>محمد السيد كهربائي مقاول</v>
      </c>
      <c r="E632" s="132"/>
      <c r="F632" s="133">
        <v>7380</v>
      </c>
      <c r="G632" s="133"/>
      <c r="H632" s="134">
        <f t="shared" si="28"/>
        <v>7380</v>
      </c>
      <c r="I632" s="134">
        <f t="shared" si="28"/>
        <v>0</v>
      </c>
      <c r="J632" s="134">
        <f t="shared" si="27"/>
        <v>7380</v>
      </c>
      <c r="K632" s="135"/>
      <c r="L632" s="136" t="str">
        <f t="shared" si="29"/>
        <v>مدين</v>
      </c>
      <c r="M632" s="137" t="str">
        <f>IF(ISERROR(VLOOKUP(C632,'[1]خريطة الحسابات'!_xlnm.Print_Area,4,FALSE))," ",(VLOOKUP(C632,'[1]خريطة الحسابات'!_xlnm.Print_Area,4,FALSE)))</f>
        <v xml:space="preserve">مقاولين </v>
      </c>
      <c r="N632" s="138" t="str">
        <f>IF(ISERROR(VLOOKUP(C632,'[1]خريطة الحسابات'!_xlnm.Print_Area,5,FALSE))," ",(VLOOKUP(C632,'[1]خريطة الحسابات'!_xlnm.Print_Area,5,FALSE)))</f>
        <v xml:space="preserve">الدائنون والأرصدة الدائنة الأخرى </v>
      </c>
      <c r="O632" s="139" t="s">
        <v>1592</v>
      </c>
      <c r="P632" s="139" t="s">
        <v>1315</v>
      </c>
    </row>
    <row r="633" spans="1:16">
      <c r="A633" s="104">
        <v>40</v>
      </c>
      <c r="B633" s="131">
        <v>46135</v>
      </c>
      <c r="C633" s="141">
        <v>4013</v>
      </c>
      <c r="D633" s="140" t="str">
        <f>IF(ISERROR(VLOOKUP(C633,'[1]خريطة الحسابات'!_xlnm.Print_Area,3,FALSE))," ",(VLOOKUP(C633,'[1]خريطة الحسابات'!_xlnm.Print_Area,3,FALSE)))</f>
        <v>محمد السيد كهربائي مقاول</v>
      </c>
      <c r="E633" s="132"/>
      <c r="F633" s="133">
        <v>5000</v>
      </c>
      <c r="G633" s="133"/>
      <c r="H633" s="134">
        <f t="shared" si="28"/>
        <v>5000</v>
      </c>
      <c r="I633" s="134">
        <f t="shared" si="28"/>
        <v>0</v>
      </c>
      <c r="J633" s="134">
        <f t="shared" si="27"/>
        <v>5000</v>
      </c>
      <c r="K633" s="135"/>
      <c r="L633" s="136" t="str">
        <f t="shared" si="29"/>
        <v>مدين</v>
      </c>
      <c r="M633" s="137" t="str">
        <f>IF(ISERROR(VLOOKUP(C633,'[1]خريطة الحسابات'!_xlnm.Print_Area,4,FALSE))," ",(VLOOKUP(C633,'[1]خريطة الحسابات'!_xlnm.Print_Area,4,FALSE)))</f>
        <v xml:space="preserve">مقاولين </v>
      </c>
      <c r="N633" s="138" t="str">
        <f>IF(ISERROR(VLOOKUP(C633,'[1]خريطة الحسابات'!_xlnm.Print_Area,5,FALSE))," ",(VLOOKUP(C633,'[1]خريطة الحسابات'!_xlnm.Print_Area,5,FALSE)))</f>
        <v xml:space="preserve">الدائنون والأرصدة الدائنة الأخرى </v>
      </c>
      <c r="O633" s="139" t="s">
        <v>1593</v>
      </c>
      <c r="P633" s="139" t="s">
        <v>1383</v>
      </c>
    </row>
    <row r="634" spans="1:16">
      <c r="A634" s="104">
        <v>40</v>
      </c>
      <c r="B634" s="131">
        <v>46135</v>
      </c>
      <c r="C634" s="141">
        <v>4013</v>
      </c>
      <c r="D634" s="140" t="str">
        <f>IF(ISERROR(VLOOKUP(C634,'[1]خريطة الحسابات'!_xlnm.Print_Area,3,FALSE))," ",(VLOOKUP(C634,'[1]خريطة الحسابات'!_xlnm.Print_Area,3,FALSE)))</f>
        <v>محمد السيد كهربائي مقاول</v>
      </c>
      <c r="E634" s="132"/>
      <c r="F634" s="133">
        <v>5000</v>
      </c>
      <c r="G634" s="133"/>
      <c r="H634" s="134">
        <f t="shared" si="28"/>
        <v>5000</v>
      </c>
      <c r="I634" s="134">
        <f t="shared" si="28"/>
        <v>0</v>
      </c>
      <c r="J634" s="134">
        <f t="shared" si="27"/>
        <v>5000</v>
      </c>
      <c r="K634" s="135"/>
      <c r="L634" s="136" t="str">
        <f t="shared" si="29"/>
        <v>مدين</v>
      </c>
      <c r="M634" s="137" t="str">
        <f>IF(ISERROR(VLOOKUP(C634,'[1]خريطة الحسابات'!_xlnm.Print_Area,4,FALSE))," ",(VLOOKUP(C634,'[1]خريطة الحسابات'!_xlnm.Print_Area,4,FALSE)))</f>
        <v xml:space="preserve">مقاولين </v>
      </c>
      <c r="N634" s="138" t="str">
        <f>IF(ISERROR(VLOOKUP(C634,'[1]خريطة الحسابات'!_xlnm.Print_Area,5,FALSE))," ",(VLOOKUP(C634,'[1]خريطة الحسابات'!_xlnm.Print_Area,5,FALSE)))</f>
        <v xml:space="preserve">الدائنون والأرصدة الدائنة الأخرى </v>
      </c>
      <c r="O634" s="139" t="s">
        <v>1594</v>
      </c>
      <c r="P634" s="139" t="s">
        <v>1415</v>
      </c>
    </row>
    <row r="635" spans="1:16">
      <c r="A635" s="104">
        <v>40</v>
      </c>
      <c r="B635" s="131">
        <v>46142</v>
      </c>
      <c r="C635" s="141">
        <v>4013</v>
      </c>
      <c r="D635" s="140" t="str">
        <f>IF(ISERROR(VLOOKUP(C635,'[1]خريطة الحسابات'!_xlnm.Print_Area,3,FALSE))," ",(VLOOKUP(C635,'[1]خريطة الحسابات'!_xlnm.Print_Area,3,FALSE)))</f>
        <v>محمد السيد كهربائي مقاول</v>
      </c>
      <c r="E635" s="132"/>
      <c r="F635" s="133">
        <v>13000</v>
      </c>
      <c r="G635" s="133"/>
      <c r="H635" s="134">
        <f t="shared" si="28"/>
        <v>13000</v>
      </c>
      <c r="I635" s="134">
        <f t="shared" si="28"/>
        <v>0</v>
      </c>
      <c r="J635" s="134">
        <f t="shared" si="27"/>
        <v>13000</v>
      </c>
      <c r="K635" s="135"/>
      <c r="L635" s="136" t="str">
        <f t="shared" si="29"/>
        <v>مدين</v>
      </c>
      <c r="M635" s="137" t="str">
        <f>IF(ISERROR(VLOOKUP(C635,'[1]خريطة الحسابات'!_xlnm.Print_Area,4,FALSE))," ",(VLOOKUP(C635,'[1]خريطة الحسابات'!_xlnm.Print_Area,4,FALSE)))</f>
        <v xml:space="preserve">مقاولين </v>
      </c>
      <c r="N635" s="138" t="str">
        <f>IF(ISERROR(VLOOKUP(C635,'[1]خريطة الحسابات'!_xlnm.Print_Area,5,FALSE))," ",(VLOOKUP(C635,'[1]خريطة الحسابات'!_xlnm.Print_Area,5,FALSE)))</f>
        <v xml:space="preserve">الدائنون والأرصدة الدائنة الأخرى </v>
      </c>
      <c r="O635" s="139" t="s">
        <v>1595</v>
      </c>
      <c r="P635" s="139" t="s">
        <v>1383</v>
      </c>
    </row>
    <row r="636" spans="1:16">
      <c r="A636" s="104">
        <v>40</v>
      </c>
      <c r="B636" s="131">
        <v>46163</v>
      </c>
      <c r="C636" s="141">
        <v>4013</v>
      </c>
      <c r="D636" s="140" t="str">
        <f>IF(ISERROR(VLOOKUP(C636,'[1]خريطة الحسابات'!_xlnm.Print_Area,3,FALSE))," ",(VLOOKUP(C636,'[1]خريطة الحسابات'!_xlnm.Print_Area,3,FALSE)))</f>
        <v>محمد السيد كهربائي مقاول</v>
      </c>
      <c r="E636" s="132"/>
      <c r="F636" s="133">
        <v>7000</v>
      </c>
      <c r="G636" s="133"/>
      <c r="H636" s="134">
        <f t="shared" si="28"/>
        <v>7000</v>
      </c>
      <c r="I636" s="134">
        <f t="shared" si="28"/>
        <v>0</v>
      </c>
      <c r="J636" s="134">
        <f t="shared" si="27"/>
        <v>7000</v>
      </c>
      <c r="K636" s="135"/>
      <c r="L636" s="136" t="str">
        <f t="shared" si="29"/>
        <v>مدين</v>
      </c>
      <c r="M636" s="137" t="str">
        <f>IF(ISERROR(VLOOKUP(C636,'[1]خريطة الحسابات'!_xlnm.Print_Area,4,FALSE))," ",(VLOOKUP(C636,'[1]خريطة الحسابات'!_xlnm.Print_Area,4,FALSE)))</f>
        <v xml:space="preserve">مقاولين </v>
      </c>
      <c r="N636" s="138" t="str">
        <f>IF(ISERROR(VLOOKUP(C636,'[1]خريطة الحسابات'!_xlnm.Print_Area,5,FALSE))," ",(VLOOKUP(C636,'[1]خريطة الحسابات'!_xlnm.Print_Area,5,FALSE)))</f>
        <v xml:space="preserve">الدائنون والأرصدة الدائنة الأخرى </v>
      </c>
      <c r="O636" s="139" t="s">
        <v>1596</v>
      </c>
      <c r="P636" s="139" t="s">
        <v>1315</v>
      </c>
    </row>
    <row r="637" spans="1:16">
      <c r="A637" s="104">
        <v>40</v>
      </c>
      <c r="B637" s="131">
        <v>46184</v>
      </c>
      <c r="C637" s="141">
        <v>4013</v>
      </c>
      <c r="D637" s="140" t="str">
        <f>IF(ISERROR(VLOOKUP(C637,'[1]خريطة الحسابات'!_xlnm.Print_Area,3,FALSE))," ",(VLOOKUP(C637,'[1]خريطة الحسابات'!_xlnm.Print_Area,3,FALSE)))</f>
        <v>محمد السيد كهربائي مقاول</v>
      </c>
      <c r="E637" s="132"/>
      <c r="F637" s="133">
        <v>4500</v>
      </c>
      <c r="G637" s="133"/>
      <c r="H637" s="134">
        <f t="shared" si="28"/>
        <v>4500</v>
      </c>
      <c r="I637" s="134">
        <f t="shared" si="28"/>
        <v>0</v>
      </c>
      <c r="J637" s="134">
        <f t="shared" si="27"/>
        <v>4500</v>
      </c>
      <c r="K637" s="135"/>
      <c r="L637" s="136" t="str">
        <f t="shared" si="29"/>
        <v>مدين</v>
      </c>
      <c r="M637" s="137" t="str">
        <f>IF(ISERROR(VLOOKUP(C637,'[1]خريطة الحسابات'!_xlnm.Print_Area,4,FALSE))," ",(VLOOKUP(C637,'[1]خريطة الحسابات'!_xlnm.Print_Area,4,FALSE)))</f>
        <v xml:space="preserve">مقاولين </v>
      </c>
      <c r="N637" s="138" t="str">
        <f>IF(ISERROR(VLOOKUP(C637,'[1]خريطة الحسابات'!_xlnm.Print_Area,5,FALSE))," ",(VLOOKUP(C637,'[1]خريطة الحسابات'!_xlnm.Print_Area,5,FALSE)))</f>
        <v xml:space="preserve">الدائنون والأرصدة الدائنة الأخرى </v>
      </c>
      <c r="O637" s="139" t="s">
        <v>1597</v>
      </c>
      <c r="P637" s="139" t="s">
        <v>1383</v>
      </c>
    </row>
    <row r="638" spans="1:16">
      <c r="A638" s="104">
        <v>40</v>
      </c>
      <c r="B638" s="131">
        <v>46030</v>
      </c>
      <c r="C638" s="141">
        <v>20</v>
      </c>
      <c r="D638" s="140" t="str">
        <f>IF(ISERROR(VLOOKUP(C638,'[1]خريطة الحسابات'!_xlnm.Print_Area,3,FALSE))," ",(VLOOKUP(C638,'[1]خريطة الحسابات'!_xlnm.Print_Area,3,FALSE)))</f>
        <v xml:space="preserve">الخزينة </v>
      </c>
      <c r="E638" s="132"/>
      <c r="F638" s="133"/>
      <c r="G638" s="133">
        <v>5000</v>
      </c>
      <c r="H638" s="134">
        <f t="shared" si="28"/>
        <v>0</v>
      </c>
      <c r="I638" s="134">
        <f t="shared" si="28"/>
        <v>5000</v>
      </c>
      <c r="J638" s="134">
        <f t="shared" si="27"/>
        <v>-5000</v>
      </c>
      <c r="K638" s="135"/>
      <c r="L638" s="136" t="str">
        <f t="shared" si="29"/>
        <v>دائن</v>
      </c>
      <c r="M638" s="137" t="str">
        <f>IF(ISERROR(VLOOKUP(C638,'[1]خريطة الحسابات'!_xlnm.Print_Area,4,FALSE))," ",(VLOOKUP(C638,'[1]خريطة الحسابات'!_xlnm.Print_Area,4,FALSE)))</f>
        <v xml:space="preserve">أصول متداوله -النقدية ومافي حكمها </v>
      </c>
      <c r="N638" s="138" t="str">
        <f>IF(ISERROR(VLOOKUP(C638,'[1]خريطة الحسابات'!_xlnm.Print_Area,5,FALSE))," ",(VLOOKUP(C638,'[1]خريطة الحسابات'!_xlnm.Print_Area,5,FALSE)))</f>
        <v>الاصول</v>
      </c>
      <c r="O638" s="139" t="s">
        <v>1575</v>
      </c>
      <c r="P638" s="139" t="s">
        <v>1493</v>
      </c>
    </row>
    <row r="639" spans="1:16">
      <c r="A639" s="104">
        <v>40</v>
      </c>
      <c r="B639" s="131">
        <v>46030</v>
      </c>
      <c r="C639" s="141">
        <v>20</v>
      </c>
      <c r="D639" s="140" t="str">
        <f>IF(ISERROR(VLOOKUP(C639,'[1]خريطة الحسابات'!_xlnm.Print_Area,3,FALSE))," ",(VLOOKUP(C639,'[1]خريطة الحسابات'!_xlnm.Print_Area,3,FALSE)))</f>
        <v xml:space="preserve">الخزينة </v>
      </c>
      <c r="E639" s="132"/>
      <c r="F639" s="133"/>
      <c r="G639" s="133">
        <v>5000</v>
      </c>
      <c r="H639" s="134">
        <f t="shared" si="28"/>
        <v>0</v>
      </c>
      <c r="I639" s="134">
        <f t="shared" si="28"/>
        <v>5000</v>
      </c>
      <c r="J639" s="134">
        <f t="shared" si="27"/>
        <v>-5000</v>
      </c>
      <c r="K639" s="135"/>
      <c r="L639" s="136" t="str">
        <f t="shared" si="29"/>
        <v>دائن</v>
      </c>
      <c r="M639" s="137" t="str">
        <f>IF(ISERROR(VLOOKUP(C639,'[1]خريطة الحسابات'!_xlnm.Print_Area,4,FALSE))," ",(VLOOKUP(C639,'[1]خريطة الحسابات'!_xlnm.Print_Area,4,FALSE)))</f>
        <v xml:space="preserve">أصول متداوله -النقدية ومافي حكمها </v>
      </c>
      <c r="N639" s="138" t="str">
        <f>IF(ISERROR(VLOOKUP(C639,'[1]خريطة الحسابات'!_xlnm.Print_Area,5,FALSE))," ",(VLOOKUP(C639,'[1]خريطة الحسابات'!_xlnm.Print_Area,5,FALSE)))</f>
        <v>الاصول</v>
      </c>
      <c r="O639" s="139" t="s">
        <v>1576</v>
      </c>
      <c r="P639" s="139" t="s">
        <v>1304</v>
      </c>
    </row>
    <row r="640" spans="1:16">
      <c r="A640" s="104">
        <v>40</v>
      </c>
      <c r="B640" s="131">
        <v>46044</v>
      </c>
      <c r="C640" s="141">
        <v>20</v>
      </c>
      <c r="D640" s="140" t="str">
        <f>IF(ISERROR(VLOOKUP(C640,'[1]خريطة الحسابات'!_xlnm.Print_Area,3,FALSE))," ",(VLOOKUP(C640,'[1]خريطة الحسابات'!_xlnm.Print_Area,3,FALSE)))</f>
        <v xml:space="preserve">الخزينة </v>
      </c>
      <c r="E640" s="132"/>
      <c r="F640" s="133"/>
      <c r="G640" s="133">
        <v>7000</v>
      </c>
      <c r="H640" s="134">
        <f t="shared" si="28"/>
        <v>0</v>
      </c>
      <c r="I640" s="134">
        <f t="shared" si="28"/>
        <v>7000</v>
      </c>
      <c r="J640" s="134">
        <f t="shared" si="27"/>
        <v>-7000</v>
      </c>
      <c r="K640" s="135"/>
      <c r="L640" s="136" t="str">
        <f t="shared" si="29"/>
        <v>دائن</v>
      </c>
      <c r="M640" s="137" t="str">
        <f>IF(ISERROR(VLOOKUP(C640,'[1]خريطة الحسابات'!_xlnm.Print_Area,4,FALSE))," ",(VLOOKUP(C640,'[1]خريطة الحسابات'!_xlnm.Print_Area,4,FALSE)))</f>
        <v xml:space="preserve">أصول متداوله -النقدية ومافي حكمها </v>
      </c>
      <c r="N640" s="138" t="str">
        <f>IF(ISERROR(VLOOKUP(C640,'[1]خريطة الحسابات'!_xlnm.Print_Area,5,FALSE))," ",(VLOOKUP(C640,'[1]خريطة الحسابات'!_xlnm.Print_Area,5,FALSE)))</f>
        <v>الاصول</v>
      </c>
      <c r="O640" s="139" t="s">
        <v>1577</v>
      </c>
      <c r="P640" s="139" t="s">
        <v>1299</v>
      </c>
    </row>
    <row r="641" spans="1:16">
      <c r="A641" s="104">
        <v>40</v>
      </c>
      <c r="B641" s="131">
        <v>46050</v>
      </c>
      <c r="C641" s="141">
        <v>20</v>
      </c>
      <c r="D641" s="140" t="str">
        <f>IF(ISERROR(VLOOKUP(C641,'[1]خريطة الحسابات'!_xlnm.Print_Area,3,FALSE))," ",(VLOOKUP(C641,'[1]خريطة الحسابات'!_xlnm.Print_Area,3,FALSE)))</f>
        <v xml:space="preserve">الخزينة </v>
      </c>
      <c r="E641" s="132"/>
      <c r="F641" s="133"/>
      <c r="G641" s="133">
        <v>9700</v>
      </c>
      <c r="H641" s="134">
        <f t="shared" si="28"/>
        <v>0</v>
      </c>
      <c r="I641" s="134">
        <f t="shared" si="28"/>
        <v>9700</v>
      </c>
      <c r="J641" s="134">
        <f t="shared" si="27"/>
        <v>-9700</v>
      </c>
      <c r="K641" s="135"/>
      <c r="L641" s="136" t="str">
        <f t="shared" si="29"/>
        <v>دائن</v>
      </c>
      <c r="M641" s="137" t="str">
        <f>IF(ISERROR(VLOOKUP(C641,'[1]خريطة الحسابات'!_xlnm.Print_Area,4,FALSE))," ",(VLOOKUP(C641,'[1]خريطة الحسابات'!_xlnm.Print_Area,4,FALSE)))</f>
        <v xml:space="preserve">أصول متداوله -النقدية ومافي حكمها </v>
      </c>
      <c r="N641" s="138" t="str">
        <f>IF(ISERROR(VLOOKUP(C641,'[1]خريطة الحسابات'!_xlnm.Print_Area,5,FALSE))," ",(VLOOKUP(C641,'[1]خريطة الحسابات'!_xlnm.Print_Area,5,FALSE)))</f>
        <v>الاصول</v>
      </c>
      <c r="O641" s="139" t="s">
        <v>1578</v>
      </c>
      <c r="P641" s="139" t="s">
        <v>1325</v>
      </c>
    </row>
    <row r="642" spans="1:16">
      <c r="A642" s="104">
        <v>40</v>
      </c>
      <c r="B642" s="131">
        <v>46050</v>
      </c>
      <c r="C642" s="141">
        <v>20</v>
      </c>
      <c r="D642" s="140" t="str">
        <f>IF(ISERROR(VLOOKUP(C642,'[1]خريطة الحسابات'!_xlnm.Print_Area,3,FALSE))," ",(VLOOKUP(C642,'[1]خريطة الحسابات'!_xlnm.Print_Area,3,FALSE)))</f>
        <v xml:space="preserve">الخزينة </v>
      </c>
      <c r="E642" s="132"/>
      <c r="F642" s="133"/>
      <c r="G642" s="133">
        <v>9100</v>
      </c>
      <c r="H642" s="134">
        <f t="shared" si="28"/>
        <v>0</v>
      </c>
      <c r="I642" s="134">
        <f t="shared" si="28"/>
        <v>9100</v>
      </c>
      <c r="J642" s="134">
        <f t="shared" si="27"/>
        <v>-9100</v>
      </c>
      <c r="K642" s="135"/>
      <c r="L642" s="136" t="str">
        <f t="shared" si="29"/>
        <v>دائن</v>
      </c>
      <c r="M642" s="137" t="str">
        <f>IF(ISERROR(VLOOKUP(C642,'[1]خريطة الحسابات'!_xlnm.Print_Area,4,FALSE))," ",(VLOOKUP(C642,'[1]خريطة الحسابات'!_xlnm.Print_Area,4,FALSE)))</f>
        <v xml:space="preserve">أصول متداوله -النقدية ومافي حكمها </v>
      </c>
      <c r="N642" s="138" t="str">
        <f>IF(ISERROR(VLOOKUP(C642,'[1]خريطة الحسابات'!_xlnm.Print_Area,5,FALSE))," ",(VLOOKUP(C642,'[1]خريطة الحسابات'!_xlnm.Print_Area,5,FALSE)))</f>
        <v>الاصول</v>
      </c>
      <c r="O642" s="139" t="s">
        <v>1578</v>
      </c>
      <c r="P642" s="139" t="s">
        <v>1299</v>
      </c>
    </row>
    <row r="643" spans="1:16">
      <c r="A643" s="104">
        <v>40</v>
      </c>
      <c r="B643" s="131">
        <v>46058</v>
      </c>
      <c r="C643" s="141">
        <v>20</v>
      </c>
      <c r="D643" s="140" t="str">
        <f>IF(ISERROR(VLOOKUP(C643,'[1]خريطة الحسابات'!_xlnm.Print_Area,3,FALSE))," ",(VLOOKUP(C643,'[1]خريطة الحسابات'!_xlnm.Print_Area,3,FALSE)))</f>
        <v xml:space="preserve">الخزينة </v>
      </c>
      <c r="E643" s="132"/>
      <c r="F643" s="133"/>
      <c r="G643" s="133">
        <v>7000</v>
      </c>
      <c r="H643" s="134">
        <f t="shared" si="28"/>
        <v>0</v>
      </c>
      <c r="I643" s="134">
        <f t="shared" si="28"/>
        <v>7000</v>
      </c>
      <c r="J643" s="134">
        <f t="shared" si="27"/>
        <v>-7000</v>
      </c>
      <c r="K643" s="135"/>
      <c r="L643" s="136" t="str">
        <f t="shared" si="29"/>
        <v>دائن</v>
      </c>
      <c r="M643" s="137" t="str">
        <f>IF(ISERROR(VLOOKUP(C643,'[1]خريطة الحسابات'!_xlnm.Print_Area,4,FALSE))," ",(VLOOKUP(C643,'[1]خريطة الحسابات'!_xlnm.Print_Area,4,FALSE)))</f>
        <v xml:space="preserve">أصول متداوله -النقدية ومافي حكمها </v>
      </c>
      <c r="N643" s="138" t="str">
        <f>IF(ISERROR(VLOOKUP(C643,'[1]خريطة الحسابات'!_xlnm.Print_Area,5,FALSE))," ",(VLOOKUP(C643,'[1]خريطة الحسابات'!_xlnm.Print_Area,5,FALSE)))</f>
        <v>الاصول</v>
      </c>
      <c r="O643" s="139" t="s">
        <v>1579</v>
      </c>
      <c r="P643" s="139" t="s">
        <v>1292</v>
      </c>
    </row>
    <row r="644" spans="1:16">
      <c r="A644" s="104">
        <v>40</v>
      </c>
      <c r="B644" s="131">
        <v>46058</v>
      </c>
      <c r="C644" s="141">
        <v>20</v>
      </c>
      <c r="D644" s="140" t="str">
        <f>IF(ISERROR(VLOOKUP(C644,'[1]خريطة الحسابات'!_xlnm.Print_Area,3,FALSE))," ",(VLOOKUP(C644,'[1]خريطة الحسابات'!_xlnm.Print_Area,3,FALSE)))</f>
        <v xml:space="preserve">الخزينة </v>
      </c>
      <c r="E644" s="132"/>
      <c r="F644" s="133"/>
      <c r="G644" s="133">
        <v>18000</v>
      </c>
      <c r="H644" s="134">
        <f t="shared" si="28"/>
        <v>0</v>
      </c>
      <c r="I644" s="134">
        <f t="shared" si="28"/>
        <v>18000</v>
      </c>
      <c r="J644" s="134">
        <f t="shared" si="27"/>
        <v>-18000</v>
      </c>
      <c r="K644" s="135"/>
      <c r="L644" s="136" t="str">
        <f t="shared" si="29"/>
        <v>دائن</v>
      </c>
      <c r="M644" s="137" t="str">
        <f>IF(ISERROR(VLOOKUP(C644,'[1]خريطة الحسابات'!_xlnm.Print_Area,4,FALSE))," ",(VLOOKUP(C644,'[1]خريطة الحسابات'!_xlnm.Print_Area,4,FALSE)))</f>
        <v xml:space="preserve">أصول متداوله -النقدية ومافي حكمها </v>
      </c>
      <c r="N644" s="138" t="str">
        <f>IF(ISERROR(VLOOKUP(C644,'[1]خريطة الحسابات'!_xlnm.Print_Area,5,FALSE))," ",(VLOOKUP(C644,'[1]خريطة الحسابات'!_xlnm.Print_Area,5,FALSE)))</f>
        <v>الاصول</v>
      </c>
      <c r="O644" s="139" t="s">
        <v>1580</v>
      </c>
      <c r="P644" s="139" t="s">
        <v>1315</v>
      </c>
    </row>
    <row r="645" spans="1:16">
      <c r="A645" s="104">
        <v>40</v>
      </c>
      <c r="B645" s="131">
        <v>46065</v>
      </c>
      <c r="C645" s="141">
        <v>20</v>
      </c>
      <c r="D645" s="140" t="str">
        <f>IF(ISERROR(VLOOKUP(C645,'[1]خريطة الحسابات'!_xlnm.Print_Area,3,FALSE))," ",(VLOOKUP(C645,'[1]خريطة الحسابات'!_xlnm.Print_Area,3,FALSE)))</f>
        <v xml:space="preserve">الخزينة </v>
      </c>
      <c r="E645" s="132"/>
      <c r="F645" s="133"/>
      <c r="G645" s="133">
        <v>3900</v>
      </c>
      <c r="H645" s="134">
        <f t="shared" si="28"/>
        <v>0</v>
      </c>
      <c r="I645" s="134">
        <f t="shared" si="28"/>
        <v>3900</v>
      </c>
      <c r="J645" s="134">
        <f t="shared" si="27"/>
        <v>-3900</v>
      </c>
      <c r="K645" s="135"/>
      <c r="L645" s="136" t="str">
        <f t="shared" si="29"/>
        <v>دائن</v>
      </c>
      <c r="M645" s="137" t="str">
        <f>IF(ISERROR(VLOOKUP(C645,'[1]خريطة الحسابات'!_xlnm.Print_Area,4,FALSE))," ",(VLOOKUP(C645,'[1]خريطة الحسابات'!_xlnm.Print_Area,4,FALSE)))</f>
        <v xml:space="preserve">أصول متداوله -النقدية ومافي حكمها </v>
      </c>
      <c r="N645" s="138" t="str">
        <f>IF(ISERROR(VLOOKUP(C645,'[1]خريطة الحسابات'!_xlnm.Print_Area,5,FALSE))," ",(VLOOKUP(C645,'[1]خريطة الحسابات'!_xlnm.Print_Area,5,FALSE)))</f>
        <v>الاصول</v>
      </c>
      <c r="O645" s="139" t="s">
        <v>1581</v>
      </c>
      <c r="P645" s="139" t="s">
        <v>1299</v>
      </c>
    </row>
    <row r="646" spans="1:16">
      <c r="A646" s="104">
        <v>40</v>
      </c>
      <c r="B646" s="131">
        <v>46065</v>
      </c>
      <c r="C646" s="141">
        <v>20</v>
      </c>
      <c r="D646" s="140" t="str">
        <f>IF(ISERROR(VLOOKUP(C646,'[1]خريطة الحسابات'!_xlnm.Print_Area,3,FALSE))," ",(VLOOKUP(C646,'[1]خريطة الحسابات'!_xlnm.Print_Area,3,FALSE)))</f>
        <v xml:space="preserve">الخزينة </v>
      </c>
      <c r="E646" s="132"/>
      <c r="F646" s="133"/>
      <c r="G646" s="133">
        <v>10015</v>
      </c>
      <c r="H646" s="134">
        <f t="shared" si="28"/>
        <v>0</v>
      </c>
      <c r="I646" s="134">
        <f t="shared" si="28"/>
        <v>10015</v>
      </c>
      <c r="J646" s="134">
        <f t="shared" si="27"/>
        <v>-10015</v>
      </c>
      <c r="K646" s="135"/>
      <c r="L646" s="136" t="str">
        <f t="shared" si="29"/>
        <v>دائن</v>
      </c>
      <c r="M646" s="137" t="str">
        <f>IF(ISERROR(VLOOKUP(C646,'[1]خريطة الحسابات'!_xlnm.Print_Area,4,FALSE))," ",(VLOOKUP(C646,'[1]خريطة الحسابات'!_xlnm.Print_Area,4,FALSE)))</f>
        <v xml:space="preserve">أصول متداوله -النقدية ومافي حكمها </v>
      </c>
      <c r="N646" s="138" t="str">
        <f>IF(ISERROR(VLOOKUP(C646,'[1]خريطة الحسابات'!_xlnm.Print_Area,5,FALSE))," ",(VLOOKUP(C646,'[1]خريطة الحسابات'!_xlnm.Print_Area,5,FALSE)))</f>
        <v>الاصول</v>
      </c>
      <c r="O646" s="139" t="s">
        <v>1582</v>
      </c>
      <c r="P646" s="139" t="s">
        <v>1304</v>
      </c>
    </row>
    <row r="647" spans="1:16">
      <c r="A647" s="104">
        <v>40</v>
      </c>
      <c r="B647" s="131">
        <v>46071</v>
      </c>
      <c r="C647" s="141">
        <v>20</v>
      </c>
      <c r="D647" s="140" t="str">
        <f>IF(ISERROR(VLOOKUP(C647,'[1]خريطة الحسابات'!_xlnm.Print_Area,3,FALSE))," ",(VLOOKUP(C647,'[1]خريطة الحسابات'!_xlnm.Print_Area,3,FALSE)))</f>
        <v xml:space="preserve">الخزينة </v>
      </c>
      <c r="E647" s="132"/>
      <c r="F647" s="133"/>
      <c r="G647" s="133">
        <v>12200</v>
      </c>
      <c r="H647" s="134">
        <f t="shared" si="28"/>
        <v>0</v>
      </c>
      <c r="I647" s="134">
        <f t="shared" si="28"/>
        <v>12200</v>
      </c>
      <c r="J647" s="134">
        <f t="shared" si="27"/>
        <v>-12200</v>
      </c>
      <c r="K647" s="135"/>
      <c r="L647" s="136" t="str">
        <f t="shared" si="29"/>
        <v>دائن</v>
      </c>
      <c r="M647" s="137" t="str">
        <f>IF(ISERROR(VLOOKUP(C647,'[1]خريطة الحسابات'!_xlnm.Print_Area,4,FALSE))," ",(VLOOKUP(C647,'[1]خريطة الحسابات'!_xlnm.Print_Area,4,FALSE)))</f>
        <v xml:space="preserve">أصول متداوله -النقدية ومافي حكمها </v>
      </c>
      <c r="N647" s="138" t="str">
        <f>IF(ISERROR(VLOOKUP(C647,'[1]خريطة الحسابات'!_xlnm.Print_Area,5,FALSE))," ",(VLOOKUP(C647,'[1]خريطة الحسابات'!_xlnm.Print_Area,5,FALSE)))</f>
        <v>الاصول</v>
      </c>
      <c r="O647" s="139" t="s">
        <v>1583</v>
      </c>
      <c r="P647" s="139" t="s">
        <v>1292</v>
      </c>
    </row>
    <row r="648" spans="1:16">
      <c r="A648" s="104">
        <v>40</v>
      </c>
      <c r="B648" s="131">
        <v>46086</v>
      </c>
      <c r="C648" s="141">
        <v>20</v>
      </c>
      <c r="D648" s="140" t="str">
        <f>IF(ISERROR(VLOOKUP(C648,'[1]خريطة الحسابات'!_xlnm.Print_Area,3,FALSE))," ",(VLOOKUP(C648,'[1]خريطة الحسابات'!_xlnm.Print_Area,3,FALSE)))</f>
        <v xml:space="preserve">الخزينة </v>
      </c>
      <c r="E648" s="143"/>
      <c r="F648" s="133"/>
      <c r="G648" s="133">
        <v>4655</v>
      </c>
      <c r="H648" s="134">
        <f t="shared" si="28"/>
        <v>0</v>
      </c>
      <c r="I648" s="134">
        <f t="shared" si="28"/>
        <v>4655</v>
      </c>
      <c r="J648" s="134">
        <f t="shared" si="27"/>
        <v>-4655</v>
      </c>
      <c r="K648" s="144"/>
      <c r="L648" s="136" t="str">
        <f t="shared" si="29"/>
        <v>دائن</v>
      </c>
      <c r="M648" s="137" t="str">
        <f>IF(ISERROR(VLOOKUP(C648,'[1]خريطة الحسابات'!_xlnm.Print_Area,4,FALSE))," ",(VLOOKUP(C648,'[1]خريطة الحسابات'!_xlnm.Print_Area,4,FALSE)))</f>
        <v xml:space="preserve">أصول متداوله -النقدية ومافي حكمها </v>
      </c>
      <c r="N648" s="138" t="str">
        <f>IF(ISERROR(VLOOKUP(C648,'[1]خريطة الحسابات'!_xlnm.Print_Area,5,FALSE))," ",(VLOOKUP(C648,'[1]خريطة الحسابات'!_xlnm.Print_Area,5,FALSE)))</f>
        <v>الاصول</v>
      </c>
      <c r="O648" s="139" t="s">
        <v>1584</v>
      </c>
      <c r="P648" s="139" t="s">
        <v>1325</v>
      </c>
    </row>
    <row r="649" spans="1:16">
      <c r="A649" s="104">
        <v>40</v>
      </c>
      <c r="B649" s="131">
        <v>46086</v>
      </c>
      <c r="C649" s="141">
        <v>20</v>
      </c>
      <c r="D649" s="140" t="str">
        <f>IF(ISERROR(VLOOKUP(C649,'[1]خريطة الحسابات'!_xlnm.Print_Area,3,FALSE))," ",(VLOOKUP(C649,'[1]خريطة الحسابات'!_xlnm.Print_Area,3,FALSE)))</f>
        <v xml:space="preserve">الخزينة </v>
      </c>
      <c r="E649" s="132"/>
      <c r="F649" s="133"/>
      <c r="G649" s="133">
        <v>2000</v>
      </c>
      <c r="H649" s="134">
        <f t="shared" si="28"/>
        <v>0</v>
      </c>
      <c r="I649" s="134">
        <f t="shared" si="28"/>
        <v>2000</v>
      </c>
      <c r="J649" s="134">
        <f t="shared" si="27"/>
        <v>-2000</v>
      </c>
      <c r="K649" s="135"/>
      <c r="L649" s="136" t="str">
        <f t="shared" si="29"/>
        <v>دائن</v>
      </c>
      <c r="M649" s="137" t="str">
        <f>IF(ISERROR(VLOOKUP(C649,'[1]خريطة الحسابات'!_xlnm.Print_Area,4,FALSE))," ",(VLOOKUP(C649,'[1]خريطة الحسابات'!_xlnm.Print_Area,4,FALSE)))</f>
        <v xml:space="preserve">أصول متداوله -النقدية ومافي حكمها </v>
      </c>
      <c r="N649" s="138" t="str">
        <f>IF(ISERROR(VLOOKUP(C649,'[1]خريطة الحسابات'!_xlnm.Print_Area,5,FALSE))," ",(VLOOKUP(C649,'[1]خريطة الحسابات'!_xlnm.Print_Area,5,FALSE)))</f>
        <v>الاصول</v>
      </c>
      <c r="O649" s="139" t="s">
        <v>1585</v>
      </c>
      <c r="P649" s="139" t="s">
        <v>1297</v>
      </c>
    </row>
    <row r="650" spans="1:16">
      <c r="A650" s="104">
        <v>40</v>
      </c>
      <c r="B650" s="131">
        <v>46086</v>
      </c>
      <c r="C650" s="141">
        <v>20</v>
      </c>
      <c r="D650" s="140" t="str">
        <f>IF(ISERROR(VLOOKUP(C650,'[1]خريطة الحسابات'!_xlnm.Print_Area,3,FALSE))," ",(VLOOKUP(C650,'[1]خريطة الحسابات'!_xlnm.Print_Area,3,FALSE)))</f>
        <v xml:space="preserve">الخزينة </v>
      </c>
      <c r="E650" s="132"/>
      <c r="F650" s="133"/>
      <c r="G650" s="133">
        <v>3355</v>
      </c>
      <c r="H650" s="134">
        <f t="shared" si="28"/>
        <v>0</v>
      </c>
      <c r="I650" s="134">
        <f t="shared" si="28"/>
        <v>3355</v>
      </c>
      <c r="J650" s="134">
        <f t="shared" si="27"/>
        <v>-3355</v>
      </c>
      <c r="K650" s="135"/>
      <c r="L650" s="136" t="str">
        <f t="shared" si="29"/>
        <v>دائن</v>
      </c>
      <c r="M650" s="137" t="str">
        <f>IF(ISERROR(VLOOKUP(C650,'[1]خريطة الحسابات'!_xlnm.Print_Area,4,FALSE))," ",(VLOOKUP(C650,'[1]خريطة الحسابات'!_xlnm.Print_Area,4,FALSE)))</f>
        <v xml:space="preserve">أصول متداوله -النقدية ومافي حكمها </v>
      </c>
      <c r="N650" s="138" t="str">
        <f>IF(ISERROR(VLOOKUP(C650,'[1]خريطة الحسابات'!_xlnm.Print_Area,5,FALSE))," ",(VLOOKUP(C650,'[1]خريطة الحسابات'!_xlnm.Print_Area,5,FALSE)))</f>
        <v>الاصول</v>
      </c>
      <c r="O650" s="139" t="s">
        <v>1586</v>
      </c>
      <c r="P650" s="139" t="s">
        <v>1315</v>
      </c>
    </row>
    <row r="651" spans="1:16">
      <c r="A651" s="104">
        <v>40</v>
      </c>
      <c r="B651" s="131">
        <v>46093</v>
      </c>
      <c r="C651" s="141">
        <v>20</v>
      </c>
      <c r="D651" s="140" t="str">
        <f>IF(ISERROR(VLOOKUP(C651,'[1]خريطة الحسابات'!_xlnm.Print_Area,3,FALSE))," ",(VLOOKUP(C651,'[1]خريطة الحسابات'!_xlnm.Print_Area,3,FALSE)))</f>
        <v xml:space="preserve">الخزينة </v>
      </c>
      <c r="E651" s="132"/>
      <c r="F651" s="133"/>
      <c r="G651" s="133">
        <v>15015</v>
      </c>
      <c r="H651" s="134">
        <f t="shared" si="28"/>
        <v>0</v>
      </c>
      <c r="I651" s="134">
        <f t="shared" si="28"/>
        <v>15015</v>
      </c>
      <c r="J651" s="134">
        <f t="shared" si="27"/>
        <v>-15015</v>
      </c>
      <c r="K651" s="135"/>
      <c r="L651" s="136" t="str">
        <f t="shared" si="29"/>
        <v>دائن</v>
      </c>
      <c r="M651" s="137" t="str">
        <f>IF(ISERROR(VLOOKUP(C651,'[1]خريطة الحسابات'!_xlnm.Print_Area,4,FALSE))," ",(VLOOKUP(C651,'[1]خريطة الحسابات'!_xlnm.Print_Area,4,FALSE)))</f>
        <v xml:space="preserve">أصول متداوله -النقدية ومافي حكمها </v>
      </c>
      <c r="N651" s="138" t="str">
        <f>IF(ISERROR(VLOOKUP(C651,'[1]خريطة الحسابات'!_xlnm.Print_Area,5,FALSE))," ",(VLOOKUP(C651,'[1]خريطة الحسابات'!_xlnm.Print_Area,5,FALSE)))</f>
        <v>الاصول</v>
      </c>
      <c r="O651" s="139" t="s">
        <v>1587</v>
      </c>
      <c r="P651" s="139" t="s">
        <v>1315</v>
      </c>
    </row>
    <row r="652" spans="1:16">
      <c r="A652" s="104">
        <v>40</v>
      </c>
      <c r="B652" s="131">
        <v>46099</v>
      </c>
      <c r="C652" s="141">
        <v>20</v>
      </c>
      <c r="D652" s="140" t="str">
        <f>IF(ISERROR(VLOOKUP(C652,'[1]خريطة الحسابات'!_xlnm.Print_Area,3,FALSE))," ",(VLOOKUP(C652,'[1]خريطة الحسابات'!_xlnm.Print_Area,3,FALSE)))</f>
        <v xml:space="preserve">الخزينة </v>
      </c>
      <c r="E652" s="132"/>
      <c r="F652" s="133"/>
      <c r="G652" s="133">
        <v>1900</v>
      </c>
      <c r="H652" s="134">
        <f t="shared" si="28"/>
        <v>0</v>
      </c>
      <c r="I652" s="134">
        <f t="shared" si="28"/>
        <v>1900</v>
      </c>
      <c r="J652" s="134">
        <f t="shared" si="27"/>
        <v>-1900</v>
      </c>
      <c r="K652" s="135"/>
      <c r="L652" s="136" t="str">
        <f t="shared" si="29"/>
        <v>دائن</v>
      </c>
      <c r="M652" s="137" t="str">
        <f>IF(ISERROR(VLOOKUP(C652,'[1]خريطة الحسابات'!_xlnm.Print_Area,4,FALSE))," ",(VLOOKUP(C652,'[1]خريطة الحسابات'!_xlnm.Print_Area,4,FALSE)))</f>
        <v xml:space="preserve">أصول متداوله -النقدية ومافي حكمها </v>
      </c>
      <c r="N652" s="138" t="str">
        <f>IF(ISERROR(VLOOKUP(C652,'[1]خريطة الحسابات'!_xlnm.Print_Area,5,FALSE))," ",(VLOOKUP(C652,'[1]خريطة الحسابات'!_xlnm.Print_Area,5,FALSE)))</f>
        <v>الاصول</v>
      </c>
      <c r="O652" s="139" t="s">
        <v>1588</v>
      </c>
      <c r="P652" s="139" t="s">
        <v>1304</v>
      </c>
    </row>
    <row r="653" spans="1:16">
      <c r="A653" s="104">
        <v>40</v>
      </c>
      <c r="B653" s="131">
        <v>46099</v>
      </c>
      <c r="C653" s="141">
        <v>20</v>
      </c>
      <c r="D653" s="140" t="str">
        <f>IF(ISERROR(VLOOKUP(C653,'[1]خريطة الحسابات'!_xlnm.Print_Area,3,FALSE))," ",(VLOOKUP(C653,'[1]خريطة الحسابات'!_xlnm.Print_Area,3,FALSE)))</f>
        <v xml:space="preserve">الخزينة </v>
      </c>
      <c r="E653" s="132"/>
      <c r="F653" s="133"/>
      <c r="G653" s="133">
        <v>6006</v>
      </c>
      <c r="H653" s="134">
        <f t="shared" si="28"/>
        <v>0</v>
      </c>
      <c r="I653" s="134">
        <f t="shared" si="28"/>
        <v>6006</v>
      </c>
      <c r="J653" s="134">
        <f t="shared" si="27"/>
        <v>-6006</v>
      </c>
      <c r="K653" s="135"/>
      <c r="L653" s="136" t="str">
        <f t="shared" si="29"/>
        <v>دائن</v>
      </c>
      <c r="M653" s="137" t="str">
        <f>IF(ISERROR(VLOOKUP(C653,'[1]خريطة الحسابات'!_xlnm.Print_Area,4,FALSE))," ",(VLOOKUP(C653,'[1]خريطة الحسابات'!_xlnm.Print_Area,4,FALSE)))</f>
        <v xml:space="preserve">أصول متداوله -النقدية ومافي حكمها </v>
      </c>
      <c r="N653" s="138" t="str">
        <f>IF(ISERROR(VLOOKUP(C653,'[1]خريطة الحسابات'!_xlnm.Print_Area,5,FALSE))," ",(VLOOKUP(C653,'[1]خريطة الحسابات'!_xlnm.Print_Area,5,FALSE)))</f>
        <v>الاصول</v>
      </c>
      <c r="O653" s="139" t="s">
        <v>1589</v>
      </c>
      <c r="P653" s="139" t="s">
        <v>1590</v>
      </c>
    </row>
    <row r="654" spans="1:16">
      <c r="A654" s="104">
        <v>40</v>
      </c>
      <c r="B654" s="131">
        <v>46099</v>
      </c>
      <c r="C654" s="141">
        <v>20</v>
      </c>
      <c r="D654" s="140" t="str">
        <f>IF(ISERROR(VLOOKUP(C654,'[1]خريطة الحسابات'!_xlnm.Print_Area,3,FALSE))," ",(VLOOKUP(C654,'[1]خريطة الحسابات'!_xlnm.Print_Area,3,FALSE)))</f>
        <v xml:space="preserve">الخزينة </v>
      </c>
      <c r="E654" s="132"/>
      <c r="F654" s="133"/>
      <c r="G654" s="133">
        <v>1500</v>
      </c>
      <c r="H654" s="134">
        <f t="shared" si="28"/>
        <v>0</v>
      </c>
      <c r="I654" s="134">
        <f t="shared" si="28"/>
        <v>1500</v>
      </c>
      <c r="J654" s="134">
        <f t="shared" si="27"/>
        <v>-1500</v>
      </c>
      <c r="K654" s="135"/>
      <c r="L654" s="136" t="str">
        <f t="shared" si="29"/>
        <v>دائن</v>
      </c>
      <c r="M654" s="137" t="str">
        <f>IF(ISERROR(VLOOKUP(C654,'[1]خريطة الحسابات'!_xlnm.Print_Area,4,FALSE))," ",(VLOOKUP(C654,'[1]خريطة الحسابات'!_xlnm.Print_Area,4,FALSE)))</f>
        <v xml:space="preserve">أصول متداوله -النقدية ومافي حكمها </v>
      </c>
      <c r="N654" s="138" t="str">
        <f>IF(ISERROR(VLOOKUP(C654,'[1]خريطة الحسابات'!_xlnm.Print_Area,5,FALSE))," ",(VLOOKUP(C654,'[1]خريطة الحسابات'!_xlnm.Print_Area,5,FALSE)))</f>
        <v>الاصول</v>
      </c>
      <c r="O654" s="139" t="s">
        <v>1591</v>
      </c>
      <c r="P654" s="139" t="s">
        <v>1297</v>
      </c>
    </row>
    <row r="655" spans="1:16">
      <c r="A655" s="104">
        <v>40</v>
      </c>
      <c r="B655" s="131">
        <v>46121</v>
      </c>
      <c r="C655" s="141">
        <v>20</v>
      </c>
      <c r="D655" s="140" t="str">
        <f>IF(ISERROR(VLOOKUP(C655,'[1]خريطة الحسابات'!_xlnm.Print_Area,3,FALSE))," ",(VLOOKUP(C655,'[1]خريطة الحسابات'!_xlnm.Print_Area,3,FALSE)))</f>
        <v xml:space="preserve">الخزينة </v>
      </c>
      <c r="E655" s="132"/>
      <c r="F655" s="133"/>
      <c r="G655" s="133">
        <v>7380</v>
      </c>
      <c r="H655" s="134">
        <f t="shared" si="28"/>
        <v>0</v>
      </c>
      <c r="I655" s="134">
        <f t="shared" si="28"/>
        <v>7380</v>
      </c>
      <c r="J655" s="134">
        <f t="shared" si="27"/>
        <v>-7380</v>
      </c>
      <c r="K655" s="135"/>
      <c r="L655" s="136" t="str">
        <f t="shared" si="29"/>
        <v>دائن</v>
      </c>
      <c r="M655" s="137" t="str">
        <f>IF(ISERROR(VLOOKUP(C655,'[1]خريطة الحسابات'!_xlnm.Print_Area,4,FALSE))," ",(VLOOKUP(C655,'[1]خريطة الحسابات'!_xlnm.Print_Area,4,FALSE)))</f>
        <v xml:space="preserve">أصول متداوله -النقدية ومافي حكمها </v>
      </c>
      <c r="N655" s="138" t="str">
        <f>IF(ISERROR(VLOOKUP(C655,'[1]خريطة الحسابات'!_xlnm.Print_Area,5,FALSE))," ",(VLOOKUP(C655,'[1]خريطة الحسابات'!_xlnm.Print_Area,5,FALSE)))</f>
        <v>الاصول</v>
      </c>
      <c r="O655" s="139" t="s">
        <v>1592</v>
      </c>
      <c r="P655" s="139" t="s">
        <v>1315</v>
      </c>
    </row>
    <row r="656" spans="1:16">
      <c r="A656" s="104">
        <v>40</v>
      </c>
      <c r="B656" s="131">
        <v>46135</v>
      </c>
      <c r="C656" s="141">
        <v>20</v>
      </c>
      <c r="D656" s="140" t="str">
        <f>IF(ISERROR(VLOOKUP(C656,'[1]خريطة الحسابات'!_xlnm.Print_Area,3,FALSE))," ",(VLOOKUP(C656,'[1]خريطة الحسابات'!_xlnm.Print_Area,3,FALSE)))</f>
        <v xml:space="preserve">الخزينة </v>
      </c>
      <c r="E656" s="132"/>
      <c r="F656" s="133"/>
      <c r="G656" s="133">
        <v>5000</v>
      </c>
      <c r="H656" s="134">
        <f t="shared" si="28"/>
        <v>0</v>
      </c>
      <c r="I656" s="134">
        <f t="shared" si="28"/>
        <v>5000</v>
      </c>
      <c r="J656" s="134">
        <f t="shared" si="27"/>
        <v>-5000</v>
      </c>
      <c r="K656" s="135"/>
      <c r="L656" s="136" t="str">
        <f t="shared" si="29"/>
        <v>دائن</v>
      </c>
      <c r="M656" s="137" t="str">
        <f>IF(ISERROR(VLOOKUP(C656,'[1]خريطة الحسابات'!_xlnm.Print_Area,4,FALSE))," ",(VLOOKUP(C656,'[1]خريطة الحسابات'!_xlnm.Print_Area,4,FALSE)))</f>
        <v xml:space="preserve">أصول متداوله -النقدية ومافي حكمها </v>
      </c>
      <c r="N656" s="138" t="str">
        <f>IF(ISERROR(VLOOKUP(C656,'[1]خريطة الحسابات'!_xlnm.Print_Area,5,FALSE))," ",(VLOOKUP(C656,'[1]خريطة الحسابات'!_xlnm.Print_Area,5,FALSE)))</f>
        <v>الاصول</v>
      </c>
      <c r="O656" s="139" t="s">
        <v>1593</v>
      </c>
      <c r="P656" s="139" t="s">
        <v>1383</v>
      </c>
    </row>
    <row r="657" spans="1:16">
      <c r="A657" s="104">
        <v>40</v>
      </c>
      <c r="B657" s="131">
        <v>46135</v>
      </c>
      <c r="C657" s="141">
        <v>20</v>
      </c>
      <c r="D657" s="140" t="str">
        <f>IF(ISERROR(VLOOKUP(C657,'[1]خريطة الحسابات'!_xlnm.Print_Area,3,FALSE))," ",(VLOOKUP(C657,'[1]خريطة الحسابات'!_xlnm.Print_Area,3,FALSE)))</f>
        <v xml:space="preserve">الخزينة </v>
      </c>
      <c r="E657" s="132"/>
      <c r="F657" s="133"/>
      <c r="G657" s="133">
        <v>5000</v>
      </c>
      <c r="H657" s="134">
        <f t="shared" si="28"/>
        <v>0</v>
      </c>
      <c r="I657" s="134">
        <f t="shared" si="28"/>
        <v>5000</v>
      </c>
      <c r="J657" s="134">
        <f t="shared" si="27"/>
        <v>-5000</v>
      </c>
      <c r="K657" s="135"/>
      <c r="L657" s="136" t="str">
        <f t="shared" si="29"/>
        <v>دائن</v>
      </c>
      <c r="M657" s="137" t="str">
        <f>IF(ISERROR(VLOOKUP(C657,'[1]خريطة الحسابات'!_xlnm.Print_Area,4,FALSE))," ",(VLOOKUP(C657,'[1]خريطة الحسابات'!_xlnm.Print_Area,4,FALSE)))</f>
        <v xml:space="preserve">أصول متداوله -النقدية ومافي حكمها </v>
      </c>
      <c r="N657" s="138" t="str">
        <f>IF(ISERROR(VLOOKUP(C657,'[1]خريطة الحسابات'!_xlnm.Print_Area,5,FALSE))," ",(VLOOKUP(C657,'[1]خريطة الحسابات'!_xlnm.Print_Area,5,FALSE)))</f>
        <v>الاصول</v>
      </c>
      <c r="O657" s="139" t="s">
        <v>1594</v>
      </c>
      <c r="P657" s="139" t="s">
        <v>1415</v>
      </c>
    </row>
    <row r="658" spans="1:16">
      <c r="A658" s="104">
        <v>40</v>
      </c>
      <c r="B658" s="131">
        <v>46142</v>
      </c>
      <c r="C658" s="141">
        <v>20</v>
      </c>
      <c r="D658" s="140" t="str">
        <f>IF(ISERROR(VLOOKUP(C658,'[1]خريطة الحسابات'!_xlnm.Print_Area,3,FALSE))," ",(VLOOKUP(C658,'[1]خريطة الحسابات'!_xlnm.Print_Area,3,FALSE)))</f>
        <v xml:space="preserve">الخزينة </v>
      </c>
      <c r="E658" s="132"/>
      <c r="F658" s="133"/>
      <c r="G658" s="133">
        <v>13000</v>
      </c>
      <c r="H658" s="134">
        <f t="shared" si="28"/>
        <v>0</v>
      </c>
      <c r="I658" s="134">
        <f t="shared" si="28"/>
        <v>13000</v>
      </c>
      <c r="J658" s="134">
        <f t="shared" si="27"/>
        <v>-13000</v>
      </c>
      <c r="K658" s="135"/>
      <c r="L658" s="136" t="str">
        <f t="shared" si="29"/>
        <v>دائن</v>
      </c>
      <c r="M658" s="137" t="str">
        <f>IF(ISERROR(VLOOKUP(C658,'[1]خريطة الحسابات'!_xlnm.Print_Area,4,FALSE))," ",(VLOOKUP(C658,'[1]خريطة الحسابات'!_xlnm.Print_Area,4,FALSE)))</f>
        <v xml:space="preserve">أصول متداوله -النقدية ومافي حكمها </v>
      </c>
      <c r="N658" s="138" t="str">
        <f>IF(ISERROR(VLOOKUP(C658,'[1]خريطة الحسابات'!_xlnm.Print_Area,5,FALSE))," ",(VLOOKUP(C658,'[1]خريطة الحسابات'!_xlnm.Print_Area,5,FALSE)))</f>
        <v>الاصول</v>
      </c>
      <c r="O658" s="139" t="s">
        <v>1595</v>
      </c>
      <c r="P658" s="139" t="s">
        <v>1383</v>
      </c>
    </row>
    <row r="659" spans="1:16">
      <c r="A659" s="104">
        <v>40</v>
      </c>
      <c r="B659" s="131">
        <v>46163</v>
      </c>
      <c r="C659" s="141">
        <v>20</v>
      </c>
      <c r="D659" s="140" t="str">
        <f>IF(ISERROR(VLOOKUP(C659,'[1]خريطة الحسابات'!_xlnm.Print_Area,3,FALSE))," ",(VLOOKUP(C659,'[1]خريطة الحسابات'!_xlnm.Print_Area,3,FALSE)))</f>
        <v xml:space="preserve">الخزينة </v>
      </c>
      <c r="E659" s="132"/>
      <c r="F659" s="133"/>
      <c r="G659" s="133">
        <v>7000</v>
      </c>
      <c r="H659" s="134">
        <f t="shared" si="28"/>
        <v>0</v>
      </c>
      <c r="I659" s="134">
        <f t="shared" si="28"/>
        <v>7000</v>
      </c>
      <c r="J659" s="134">
        <f t="shared" si="27"/>
        <v>-7000</v>
      </c>
      <c r="K659" s="135"/>
      <c r="L659" s="136" t="str">
        <f t="shared" si="29"/>
        <v>دائن</v>
      </c>
      <c r="M659" s="137" t="str">
        <f>IF(ISERROR(VLOOKUP(C659,'[1]خريطة الحسابات'!_xlnm.Print_Area,4,FALSE))," ",(VLOOKUP(C659,'[1]خريطة الحسابات'!_xlnm.Print_Area,4,FALSE)))</f>
        <v xml:space="preserve">أصول متداوله -النقدية ومافي حكمها </v>
      </c>
      <c r="N659" s="138" t="str">
        <f>IF(ISERROR(VLOOKUP(C659,'[1]خريطة الحسابات'!_xlnm.Print_Area,5,FALSE))," ",(VLOOKUP(C659,'[1]خريطة الحسابات'!_xlnm.Print_Area,5,FALSE)))</f>
        <v>الاصول</v>
      </c>
      <c r="O659" s="139" t="s">
        <v>1596</v>
      </c>
      <c r="P659" s="139" t="s">
        <v>1315</v>
      </c>
    </row>
    <row r="660" spans="1:16">
      <c r="A660" s="104">
        <v>40</v>
      </c>
      <c r="B660" s="131">
        <v>46184</v>
      </c>
      <c r="C660" s="141">
        <v>20</v>
      </c>
      <c r="D660" s="140" t="str">
        <f>IF(ISERROR(VLOOKUP(C660,'[1]خريطة الحسابات'!_xlnm.Print_Area,3,FALSE))," ",(VLOOKUP(C660,'[1]خريطة الحسابات'!_xlnm.Print_Area,3,FALSE)))</f>
        <v xml:space="preserve">الخزينة </v>
      </c>
      <c r="E660" s="132"/>
      <c r="F660" s="133"/>
      <c r="G660" s="133">
        <v>4500</v>
      </c>
      <c r="H660" s="134">
        <f t="shared" si="28"/>
        <v>0</v>
      </c>
      <c r="I660" s="134">
        <f t="shared" si="28"/>
        <v>4500</v>
      </c>
      <c r="J660" s="134">
        <f t="shared" si="27"/>
        <v>-4500</v>
      </c>
      <c r="K660" s="135"/>
      <c r="L660" s="136" t="str">
        <f t="shared" si="29"/>
        <v>دائن</v>
      </c>
      <c r="M660" s="137" t="str">
        <f>IF(ISERROR(VLOOKUP(C660,'[1]خريطة الحسابات'!_xlnm.Print_Area,4,FALSE))," ",(VLOOKUP(C660,'[1]خريطة الحسابات'!_xlnm.Print_Area,4,FALSE)))</f>
        <v xml:space="preserve">أصول متداوله -النقدية ومافي حكمها </v>
      </c>
      <c r="N660" s="138" t="str">
        <f>IF(ISERROR(VLOOKUP(C660,'[1]خريطة الحسابات'!_xlnm.Print_Area,5,FALSE))," ",(VLOOKUP(C660,'[1]خريطة الحسابات'!_xlnm.Print_Area,5,FALSE)))</f>
        <v>الاصول</v>
      </c>
      <c r="O660" s="139" t="s">
        <v>1597</v>
      </c>
      <c r="P660" s="139" t="s">
        <v>1383</v>
      </c>
    </row>
    <row r="661" spans="1:16">
      <c r="A661" s="104">
        <v>41</v>
      </c>
      <c r="B661" s="131">
        <v>46065</v>
      </c>
      <c r="C661" s="141">
        <v>4045</v>
      </c>
      <c r="D661" s="140" t="str">
        <f>IF(ISERROR(VLOOKUP(C661,'[1]خريطة الحسابات'!_xlnm.Print_Area,3,FALSE))," ",(VLOOKUP(C661,'[1]خريطة الحسابات'!_xlnm.Print_Area,3,FALSE)))</f>
        <v>محمد النقاش</v>
      </c>
      <c r="E661" s="132"/>
      <c r="F661" s="133">
        <v>12012</v>
      </c>
      <c r="G661" s="133"/>
      <c r="H661" s="134">
        <f t="shared" si="28"/>
        <v>12012</v>
      </c>
      <c r="I661" s="134">
        <f t="shared" si="28"/>
        <v>0</v>
      </c>
      <c r="J661" s="134">
        <f t="shared" si="27"/>
        <v>12012</v>
      </c>
      <c r="K661" s="135"/>
      <c r="L661" s="136" t="str">
        <f t="shared" si="29"/>
        <v>مدين</v>
      </c>
      <c r="M661" s="137" t="str">
        <f>IF(ISERROR(VLOOKUP(C661,'[1]خريطة الحسابات'!_xlnm.Print_Area,4,FALSE))," ",(VLOOKUP(C661,'[1]خريطة الحسابات'!_xlnm.Print_Area,4,FALSE)))</f>
        <v xml:space="preserve">مقاولين </v>
      </c>
      <c r="N661" s="138" t="str">
        <f>IF(ISERROR(VLOOKUP(C661,'[1]خريطة الحسابات'!_xlnm.Print_Area,5,FALSE))," ",(VLOOKUP(C661,'[1]خريطة الحسابات'!_xlnm.Print_Area,5,FALSE)))</f>
        <v xml:space="preserve">الدائنون والأرصدة الدائنة الأخرى </v>
      </c>
      <c r="O661" s="139" t="s">
        <v>1598</v>
      </c>
      <c r="P661" s="139" t="s">
        <v>1292</v>
      </c>
    </row>
    <row r="662" spans="1:16">
      <c r="A662" s="104">
        <v>41</v>
      </c>
      <c r="B662" s="131">
        <v>46065</v>
      </c>
      <c r="C662" s="141">
        <v>20</v>
      </c>
      <c r="D662" s="140" t="str">
        <f>IF(ISERROR(VLOOKUP(C662,'[1]خريطة الحسابات'!_xlnm.Print_Area,3,FALSE))," ",(VLOOKUP(C662,'[1]خريطة الحسابات'!_xlnm.Print_Area,3,FALSE)))</f>
        <v xml:space="preserve">الخزينة </v>
      </c>
      <c r="E662" s="132"/>
      <c r="F662" s="133"/>
      <c r="G662" s="133">
        <v>12012</v>
      </c>
      <c r="H662" s="134">
        <f t="shared" si="28"/>
        <v>0</v>
      </c>
      <c r="I662" s="134">
        <f t="shared" si="28"/>
        <v>12012</v>
      </c>
      <c r="J662" s="134">
        <f t="shared" si="27"/>
        <v>-12012</v>
      </c>
      <c r="K662" s="135"/>
      <c r="L662" s="136" t="str">
        <f t="shared" si="29"/>
        <v>دائن</v>
      </c>
      <c r="M662" s="137" t="str">
        <f>IF(ISERROR(VLOOKUP(C662,'[1]خريطة الحسابات'!_xlnm.Print_Area,4,FALSE))," ",(VLOOKUP(C662,'[1]خريطة الحسابات'!_xlnm.Print_Area,4,FALSE)))</f>
        <v xml:space="preserve">أصول متداوله -النقدية ومافي حكمها </v>
      </c>
      <c r="N662" s="138" t="str">
        <f>IF(ISERROR(VLOOKUP(C662,'[1]خريطة الحسابات'!_xlnm.Print_Area,5,FALSE))," ",(VLOOKUP(C662,'[1]خريطة الحسابات'!_xlnm.Print_Area,5,FALSE)))</f>
        <v>الاصول</v>
      </c>
      <c r="O662" s="139" t="s">
        <v>1598</v>
      </c>
      <c r="P662" s="139" t="s">
        <v>1292</v>
      </c>
    </row>
    <row r="663" spans="1:16">
      <c r="A663" s="104">
        <v>42</v>
      </c>
      <c r="B663" s="131">
        <v>46036</v>
      </c>
      <c r="C663" s="141">
        <v>4035</v>
      </c>
      <c r="D663" s="140" t="str">
        <f>IF(ISERROR(VLOOKUP(C663,'[1]خريطة الحسابات'!_xlnm.Print_Area,3,FALSE))," ",(VLOOKUP(C663,'[1]خريطة الحسابات'!_xlnm.Print_Area,3,FALSE)))</f>
        <v>محمد امين</v>
      </c>
      <c r="E663" s="132"/>
      <c r="F663" s="133">
        <v>50000</v>
      </c>
      <c r="G663" s="133"/>
      <c r="H663" s="134">
        <f t="shared" si="28"/>
        <v>50000</v>
      </c>
      <c r="I663" s="134">
        <f t="shared" si="28"/>
        <v>0</v>
      </c>
      <c r="J663" s="134">
        <f t="shared" si="27"/>
        <v>50000</v>
      </c>
      <c r="K663" s="135"/>
      <c r="L663" s="136" t="str">
        <f t="shared" si="29"/>
        <v>مدين</v>
      </c>
      <c r="M663" s="137" t="str">
        <f>IF(ISERROR(VLOOKUP(C663,'[1]خريطة الحسابات'!_xlnm.Print_Area,4,FALSE))," ",(VLOOKUP(C663,'[1]خريطة الحسابات'!_xlnm.Print_Area,4,FALSE)))</f>
        <v xml:space="preserve">مقاولين </v>
      </c>
      <c r="N663" s="138" t="str">
        <f>IF(ISERROR(VLOOKUP(C663,'[1]خريطة الحسابات'!_xlnm.Print_Area,5,FALSE))," ",(VLOOKUP(C663,'[1]خريطة الحسابات'!_xlnm.Print_Area,5,FALSE)))</f>
        <v xml:space="preserve">الدائنون والأرصدة الدائنة الأخرى </v>
      </c>
      <c r="O663" s="139" t="s">
        <v>1599</v>
      </c>
      <c r="P663" s="139" t="s">
        <v>1299</v>
      </c>
    </row>
    <row r="664" spans="1:16">
      <c r="A664" s="104">
        <v>42</v>
      </c>
      <c r="B664" s="131">
        <v>46036</v>
      </c>
      <c r="C664" s="141">
        <v>4035</v>
      </c>
      <c r="D664" s="140" t="str">
        <f>IF(ISERROR(VLOOKUP(C664,'[1]خريطة الحسابات'!_xlnm.Print_Area,3,FALSE))," ",(VLOOKUP(C664,'[1]خريطة الحسابات'!_xlnm.Print_Area,3,FALSE)))</f>
        <v>محمد امين</v>
      </c>
      <c r="E664" s="132"/>
      <c r="F664" s="133">
        <v>25000</v>
      </c>
      <c r="G664" s="133"/>
      <c r="H664" s="134">
        <f t="shared" si="28"/>
        <v>25000</v>
      </c>
      <c r="I664" s="134">
        <f t="shared" si="28"/>
        <v>0</v>
      </c>
      <c r="J664" s="134">
        <f t="shared" ref="J664:J727" si="30">H664-I664</f>
        <v>25000</v>
      </c>
      <c r="K664" s="135"/>
      <c r="L664" s="136" t="str">
        <f t="shared" si="29"/>
        <v>مدين</v>
      </c>
      <c r="M664" s="137" t="str">
        <f>IF(ISERROR(VLOOKUP(C664,'[1]خريطة الحسابات'!_xlnm.Print_Area,4,FALSE))," ",(VLOOKUP(C664,'[1]خريطة الحسابات'!_xlnm.Print_Area,4,FALSE)))</f>
        <v xml:space="preserve">مقاولين </v>
      </c>
      <c r="N664" s="138" t="str">
        <f>IF(ISERROR(VLOOKUP(C664,'[1]خريطة الحسابات'!_xlnm.Print_Area,5,FALSE))," ",(VLOOKUP(C664,'[1]خريطة الحسابات'!_xlnm.Print_Area,5,FALSE)))</f>
        <v xml:space="preserve">الدائنون والأرصدة الدائنة الأخرى </v>
      </c>
      <c r="O664" s="139" t="s">
        <v>1600</v>
      </c>
      <c r="P664" s="139" t="s">
        <v>1336</v>
      </c>
    </row>
    <row r="665" spans="1:16">
      <c r="A665" s="104">
        <v>42</v>
      </c>
      <c r="B665" s="131">
        <v>46039</v>
      </c>
      <c r="C665" s="141">
        <v>4035</v>
      </c>
      <c r="D665" s="140" t="str">
        <f>IF(ISERROR(VLOOKUP(C665,'[1]خريطة الحسابات'!_xlnm.Print_Area,3,FALSE))," ",(VLOOKUP(C665,'[1]خريطة الحسابات'!_xlnm.Print_Area,3,FALSE)))</f>
        <v>محمد امين</v>
      </c>
      <c r="E665" s="132"/>
      <c r="F665" s="133">
        <v>10010</v>
      </c>
      <c r="G665" s="133"/>
      <c r="H665" s="134">
        <f t="shared" ref="H665:I728" si="31">IF($E665=2,F665*3.465,F665)</f>
        <v>10010</v>
      </c>
      <c r="I665" s="134">
        <f t="shared" si="31"/>
        <v>0</v>
      </c>
      <c r="J665" s="134">
        <f t="shared" si="30"/>
        <v>10010</v>
      </c>
      <c r="K665" s="135"/>
      <c r="L665" s="136" t="str">
        <f t="shared" si="29"/>
        <v>مدين</v>
      </c>
      <c r="M665" s="137" t="str">
        <f>IF(ISERROR(VLOOKUP(C665,'[1]خريطة الحسابات'!_xlnm.Print_Area,4,FALSE))," ",(VLOOKUP(C665,'[1]خريطة الحسابات'!_xlnm.Print_Area,4,FALSE)))</f>
        <v xml:space="preserve">مقاولين </v>
      </c>
      <c r="N665" s="138" t="str">
        <f>IF(ISERROR(VLOOKUP(C665,'[1]خريطة الحسابات'!_xlnm.Print_Area,5,FALSE))," ",(VLOOKUP(C665,'[1]خريطة الحسابات'!_xlnm.Print_Area,5,FALSE)))</f>
        <v xml:space="preserve">الدائنون والأرصدة الدائنة الأخرى </v>
      </c>
      <c r="O665" s="145" t="s">
        <v>1601</v>
      </c>
      <c r="P665" s="139" t="s">
        <v>1295</v>
      </c>
    </row>
    <row r="666" spans="1:16">
      <c r="A666" s="104">
        <v>42</v>
      </c>
      <c r="B666" s="131">
        <v>46060</v>
      </c>
      <c r="C666" s="141">
        <v>4035</v>
      </c>
      <c r="D666" s="140" t="str">
        <f>IF(ISERROR(VLOOKUP(C666,'[1]خريطة الحسابات'!_xlnm.Print_Area,3,FALSE))," ",(VLOOKUP(C666,'[1]خريطة الحسابات'!_xlnm.Print_Area,3,FALSE)))</f>
        <v>محمد امين</v>
      </c>
      <c r="E666" s="132"/>
      <c r="F666" s="133">
        <v>15000</v>
      </c>
      <c r="G666" s="133"/>
      <c r="H666" s="134">
        <f t="shared" si="31"/>
        <v>15000</v>
      </c>
      <c r="I666" s="134">
        <f t="shared" si="31"/>
        <v>0</v>
      </c>
      <c r="J666" s="134">
        <f t="shared" si="30"/>
        <v>15000</v>
      </c>
      <c r="K666" s="135"/>
      <c r="L666" s="136" t="str">
        <f t="shared" si="29"/>
        <v>مدين</v>
      </c>
      <c r="M666" s="137" t="str">
        <f>IF(ISERROR(VLOOKUP(C666,'[1]خريطة الحسابات'!_xlnm.Print_Area,4,FALSE))," ",(VLOOKUP(C666,'[1]خريطة الحسابات'!_xlnm.Print_Area,4,FALSE)))</f>
        <v xml:space="preserve">مقاولين </v>
      </c>
      <c r="N666" s="138" t="str">
        <f>IF(ISERROR(VLOOKUP(C666,'[1]خريطة الحسابات'!_xlnm.Print_Area,5,FALSE))," ",(VLOOKUP(C666,'[1]خريطة الحسابات'!_xlnm.Print_Area,5,FALSE)))</f>
        <v xml:space="preserve">الدائنون والأرصدة الدائنة الأخرى </v>
      </c>
      <c r="O666" s="145" t="s">
        <v>1602</v>
      </c>
      <c r="P666" s="139" t="s">
        <v>1315</v>
      </c>
    </row>
    <row r="667" spans="1:16">
      <c r="A667" s="104">
        <v>42</v>
      </c>
      <c r="B667" s="131">
        <v>46060</v>
      </c>
      <c r="C667" s="141">
        <v>4035</v>
      </c>
      <c r="D667" s="140" t="str">
        <f>IF(ISERROR(VLOOKUP(C667,'[1]خريطة الحسابات'!_xlnm.Print_Area,3,FALSE))," ",(VLOOKUP(C667,'[1]خريطة الحسابات'!_xlnm.Print_Area,3,FALSE)))</f>
        <v>محمد امين</v>
      </c>
      <c r="E667" s="132"/>
      <c r="F667" s="133">
        <v>15000</v>
      </c>
      <c r="G667" s="133"/>
      <c r="H667" s="134">
        <f t="shared" si="31"/>
        <v>15000</v>
      </c>
      <c r="I667" s="134">
        <f t="shared" si="31"/>
        <v>0</v>
      </c>
      <c r="J667" s="134">
        <f t="shared" si="30"/>
        <v>15000</v>
      </c>
      <c r="K667" s="135"/>
      <c r="L667" s="136" t="str">
        <f t="shared" ref="L667:L730" si="32">IF(J667&lt;0,"دائن",IF(J667&gt;0,"مدين",""))</f>
        <v>مدين</v>
      </c>
      <c r="M667" s="137" t="str">
        <f>IF(ISERROR(VLOOKUP(C667,'[1]خريطة الحسابات'!_xlnm.Print_Area,4,FALSE))," ",(VLOOKUP(C667,'[1]خريطة الحسابات'!_xlnm.Print_Area,4,FALSE)))</f>
        <v xml:space="preserve">مقاولين </v>
      </c>
      <c r="N667" s="138" t="str">
        <f>IF(ISERROR(VLOOKUP(C667,'[1]خريطة الحسابات'!_xlnm.Print_Area,5,FALSE))," ",(VLOOKUP(C667,'[1]خريطة الحسابات'!_xlnm.Print_Area,5,FALSE)))</f>
        <v xml:space="preserve">الدائنون والأرصدة الدائنة الأخرى </v>
      </c>
      <c r="O667" s="145" t="s">
        <v>1603</v>
      </c>
      <c r="P667" s="139" t="s">
        <v>1336</v>
      </c>
    </row>
    <row r="668" spans="1:16">
      <c r="A668" s="104">
        <v>42</v>
      </c>
      <c r="B668" s="131">
        <v>46091</v>
      </c>
      <c r="C668" s="141">
        <v>4035</v>
      </c>
      <c r="D668" s="140" t="str">
        <f>IF(ISERROR(VLOOKUP(C668,'[1]خريطة الحسابات'!_xlnm.Print_Area,3,FALSE))," ",(VLOOKUP(C668,'[1]خريطة الحسابات'!_xlnm.Print_Area,3,FALSE)))</f>
        <v>محمد امين</v>
      </c>
      <c r="E668" s="132"/>
      <c r="F668" s="133">
        <v>500000</v>
      </c>
      <c r="G668" s="133"/>
      <c r="H668" s="134">
        <f t="shared" si="31"/>
        <v>500000</v>
      </c>
      <c r="I668" s="134">
        <f t="shared" si="31"/>
        <v>0</v>
      </c>
      <c r="J668" s="134">
        <f t="shared" si="30"/>
        <v>500000</v>
      </c>
      <c r="K668" s="135"/>
      <c r="L668" s="136" t="str">
        <f t="shared" si="32"/>
        <v>مدين</v>
      </c>
      <c r="M668" s="137" t="str">
        <f>IF(ISERROR(VLOOKUP(C668,'[1]خريطة الحسابات'!_xlnm.Print_Area,4,FALSE))," ",(VLOOKUP(C668,'[1]خريطة الحسابات'!_xlnm.Print_Area,4,FALSE)))</f>
        <v xml:space="preserve">مقاولين </v>
      </c>
      <c r="N668" s="138" t="str">
        <f>IF(ISERROR(VLOOKUP(C668,'[1]خريطة الحسابات'!_xlnm.Print_Area,5,FALSE))," ",(VLOOKUP(C668,'[1]خريطة الحسابات'!_xlnm.Print_Area,5,FALSE)))</f>
        <v xml:space="preserve">الدائنون والأرصدة الدائنة الأخرى </v>
      </c>
      <c r="O668" s="139" t="s">
        <v>1604</v>
      </c>
      <c r="P668" s="139" t="s">
        <v>1290</v>
      </c>
    </row>
    <row r="669" spans="1:16">
      <c r="A669" s="104">
        <v>42</v>
      </c>
      <c r="B669" s="131">
        <v>46093</v>
      </c>
      <c r="C669" s="141">
        <v>4035</v>
      </c>
      <c r="D669" s="140" t="str">
        <f>IF(ISERROR(VLOOKUP(C669,'[1]خريطة الحسابات'!_xlnm.Print_Area,3,FALSE))," ",(VLOOKUP(C669,'[1]خريطة الحسابات'!_xlnm.Print_Area,3,FALSE)))</f>
        <v>محمد امين</v>
      </c>
      <c r="E669" s="132"/>
      <c r="F669" s="133">
        <v>100000</v>
      </c>
      <c r="G669" s="133"/>
      <c r="H669" s="134">
        <f t="shared" si="31"/>
        <v>100000</v>
      </c>
      <c r="I669" s="134">
        <f t="shared" si="31"/>
        <v>0</v>
      </c>
      <c r="J669" s="134">
        <f t="shared" si="30"/>
        <v>100000</v>
      </c>
      <c r="K669" s="135"/>
      <c r="L669" s="136" t="str">
        <f t="shared" si="32"/>
        <v>مدين</v>
      </c>
      <c r="M669" s="137" t="str">
        <f>IF(ISERROR(VLOOKUP(C669,'[1]خريطة الحسابات'!_xlnm.Print_Area,4,FALSE))," ",(VLOOKUP(C669,'[1]خريطة الحسابات'!_xlnm.Print_Area,4,FALSE)))</f>
        <v xml:space="preserve">مقاولين </v>
      </c>
      <c r="N669" s="138" t="str">
        <f>IF(ISERROR(VLOOKUP(C669,'[1]خريطة الحسابات'!_xlnm.Print_Area,5,FALSE))," ",(VLOOKUP(C669,'[1]خريطة الحسابات'!_xlnm.Print_Area,5,FALSE)))</f>
        <v xml:space="preserve">الدائنون والأرصدة الدائنة الأخرى </v>
      </c>
      <c r="O669" s="139" t="s">
        <v>1605</v>
      </c>
      <c r="P669" s="139" t="s">
        <v>1315</v>
      </c>
    </row>
    <row r="670" spans="1:16">
      <c r="A670" s="104">
        <v>42</v>
      </c>
      <c r="B670" s="131">
        <v>46127</v>
      </c>
      <c r="C670" s="141">
        <v>4035</v>
      </c>
      <c r="D670" s="140" t="str">
        <f>IF(ISERROR(VLOOKUP(C670,'[1]خريطة الحسابات'!_xlnm.Print_Area,3,FALSE))," ",(VLOOKUP(C670,'[1]خريطة الحسابات'!_xlnm.Print_Area,3,FALSE)))</f>
        <v>محمد امين</v>
      </c>
      <c r="E670" s="132"/>
      <c r="F670" s="133">
        <v>81987</v>
      </c>
      <c r="G670" s="133"/>
      <c r="H670" s="134">
        <f t="shared" si="31"/>
        <v>81987</v>
      </c>
      <c r="I670" s="134">
        <f t="shared" si="31"/>
        <v>0</v>
      </c>
      <c r="J670" s="134">
        <f t="shared" si="30"/>
        <v>81987</v>
      </c>
      <c r="K670" s="135"/>
      <c r="L670" s="136" t="str">
        <f t="shared" si="32"/>
        <v>مدين</v>
      </c>
      <c r="M670" s="137" t="str">
        <f>IF(ISERROR(VLOOKUP(C670,'[1]خريطة الحسابات'!_xlnm.Print_Area,4,FALSE))," ",(VLOOKUP(C670,'[1]خريطة الحسابات'!_xlnm.Print_Area,4,FALSE)))</f>
        <v xml:space="preserve">مقاولين </v>
      </c>
      <c r="N670" s="138" t="str">
        <f>IF(ISERROR(VLOOKUP(C670,'[1]خريطة الحسابات'!_xlnm.Print_Area,5,FALSE))," ",(VLOOKUP(C670,'[1]خريطة الحسابات'!_xlnm.Print_Area,5,FALSE)))</f>
        <v xml:space="preserve">الدائنون والأرصدة الدائنة الأخرى </v>
      </c>
      <c r="O670" s="139" t="s">
        <v>1606</v>
      </c>
      <c r="P670" s="139" t="s">
        <v>1340</v>
      </c>
    </row>
    <row r="671" spans="1:16">
      <c r="A671" s="104">
        <v>42</v>
      </c>
      <c r="B671" s="131">
        <v>46127</v>
      </c>
      <c r="C671" s="141">
        <v>4035</v>
      </c>
      <c r="D671" s="140" t="str">
        <f>IF(ISERROR(VLOOKUP(C671,'[1]خريطة الحسابات'!_xlnm.Print_Area,3,FALSE))," ",(VLOOKUP(C671,'[1]خريطة الحسابات'!_xlnm.Print_Area,3,FALSE)))</f>
        <v>محمد امين</v>
      </c>
      <c r="E671" s="132"/>
      <c r="F671" s="133">
        <v>8013</v>
      </c>
      <c r="G671" s="133"/>
      <c r="H671" s="134">
        <f t="shared" si="31"/>
        <v>8013</v>
      </c>
      <c r="I671" s="134">
        <f t="shared" si="31"/>
        <v>0</v>
      </c>
      <c r="J671" s="134">
        <f t="shared" si="30"/>
        <v>8013</v>
      </c>
      <c r="K671" s="135"/>
      <c r="L671" s="136" t="str">
        <f t="shared" si="32"/>
        <v>مدين</v>
      </c>
      <c r="M671" s="137" t="str">
        <f>IF(ISERROR(VLOOKUP(C671,'[1]خريطة الحسابات'!_xlnm.Print_Area,4,FALSE))," ",(VLOOKUP(C671,'[1]خريطة الحسابات'!_xlnm.Print_Area,4,FALSE)))</f>
        <v xml:space="preserve">مقاولين </v>
      </c>
      <c r="N671" s="138" t="str">
        <f>IF(ISERROR(VLOOKUP(C671,'[1]خريطة الحسابات'!_xlnm.Print_Area,5,FALSE))," ",(VLOOKUP(C671,'[1]خريطة الحسابات'!_xlnm.Print_Area,5,FALSE)))</f>
        <v xml:space="preserve">الدائنون والأرصدة الدائنة الأخرى </v>
      </c>
      <c r="O671" s="139" t="s">
        <v>1606</v>
      </c>
      <c r="P671" s="139" t="s">
        <v>1290</v>
      </c>
    </row>
    <row r="672" spans="1:16">
      <c r="A672" s="104">
        <v>42</v>
      </c>
      <c r="B672" s="131">
        <v>46139</v>
      </c>
      <c r="C672" s="141">
        <v>4035</v>
      </c>
      <c r="D672" s="140" t="str">
        <f>IF(ISERROR(VLOOKUP(C672,'[1]خريطة الحسابات'!_xlnm.Print_Area,3,FALSE))," ",(VLOOKUP(C672,'[1]خريطة الحسابات'!_xlnm.Print_Area,3,FALSE)))</f>
        <v>محمد امين</v>
      </c>
      <c r="E672" s="132"/>
      <c r="F672" s="133">
        <v>20000</v>
      </c>
      <c r="G672" s="133"/>
      <c r="H672" s="134">
        <f t="shared" si="31"/>
        <v>20000</v>
      </c>
      <c r="I672" s="134">
        <f t="shared" si="31"/>
        <v>0</v>
      </c>
      <c r="J672" s="134">
        <f t="shared" si="30"/>
        <v>20000</v>
      </c>
      <c r="K672" s="135"/>
      <c r="L672" s="136" t="str">
        <f t="shared" si="32"/>
        <v>مدين</v>
      </c>
      <c r="M672" s="137" t="str">
        <f>IF(ISERROR(VLOOKUP(C672,'[1]خريطة الحسابات'!_xlnm.Print_Area,4,FALSE))," ",(VLOOKUP(C672,'[1]خريطة الحسابات'!_xlnm.Print_Area,4,FALSE)))</f>
        <v xml:space="preserve">مقاولين </v>
      </c>
      <c r="N672" s="138" t="str">
        <f>IF(ISERROR(VLOOKUP(C672,'[1]خريطة الحسابات'!_xlnm.Print_Area,5,FALSE))," ",(VLOOKUP(C672,'[1]خريطة الحسابات'!_xlnm.Print_Area,5,FALSE)))</f>
        <v xml:space="preserve">الدائنون والأرصدة الدائنة الأخرى </v>
      </c>
      <c r="O672" s="139" t="s">
        <v>1607</v>
      </c>
      <c r="P672" s="139" t="s">
        <v>1342</v>
      </c>
    </row>
    <row r="673" spans="1:16">
      <c r="A673" s="104">
        <v>42</v>
      </c>
      <c r="B673" s="131">
        <v>46148</v>
      </c>
      <c r="C673" s="141">
        <v>4035</v>
      </c>
      <c r="D673" s="140" t="str">
        <f>IF(ISERROR(VLOOKUP(C673,'[1]خريطة الحسابات'!_xlnm.Print_Area,3,FALSE))," ",(VLOOKUP(C673,'[1]خريطة الحسابات'!_xlnm.Print_Area,3,FALSE)))</f>
        <v>محمد امين</v>
      </c>
      <c r="E673" s="132"/>
      <c r="F673" s="133">
        <v>100000</v>
      </c>
      <c r="G673" s="133"/>
      <c r="H673" s="134">
        <f t="shared" si="31"/>
        <v>100000</v>
      </c>
      <c r="I673" s="134">
        <f t="shared" si="31"/>
        <v>0</v>
      </c>
      <c r="J673" s="134">
        <f t="shared" si="30"/>
        <v>100000</v>
      </c>
      <c r="K673" s="135"/>
      <c r="L673" s="136" t="str">
        <f t="shared" si="32"/>
        <v>مدين</v>
      </c>
      <c r="M673" s="137" t="str">
        <f>IF(ISERROR(VLOOKUP(C673,'[1]خريطة الحسابات'!_xlnm.Print_Area,4,FALSE))," ",(VLOOKUP(C673,'[1]خريطة الحسابات'!_xlnm.Print_Area,4,FALSE)))</f>
        <v xml:space="preserve">مقاولين </v>
      </c>
      <c r="N673" s="138" t="str">
        <f>IF(ISERROR(VLOOKUP(C673,'[1]خريطة الحسابات'!_xlnm.Print_Area,5,FALSE))," ",(VLOOKUP(C673,'[1]خريطة الحسابات'!_xlnm.Print_Area,5,FALSE)))</f>
        <v xml:space="preserve">الدائنون والأرصدة الدائنة الأخرى </v>
      </c>
      <c r="O673" s="139" t="s">
        <v>1606</v>
      </c>
      <c r="P673" s="139" t="s">
        <v>1290</v>
      </c>
    </row>
    <row r="674" spans="1:16">
      <c r="A674" s="104">
        <v>42</v>
      </c>
      <c r="B674" s="131">
        <v>46163</v>
      </c>
      <c r="C674" s="141">
        <v>4035</v>
      </c>
      <c r="D674" s="140" t="str">
        <f>IF(ISERROR(VLOOKUP(C674,'[1]خريطة الحسابات'!_xlnm.Print_Area,3,FALSE))," ",(VLOOKUP(C674,'[1]خريطة الحسابات'!_xlnm.Print_Area,3,FALSE)))</f>
        <v>محمد امين</v>
      </c>
      <c r="E674" s="132"/>
      <c r="F674" s="133">
        <v>100000</v>
      </c>
      <c r="G674" s="133"/>
      <c r="H674" s="134">
        <f t="shared" si="31"/>
        <v>100000</v>
      </c>
      <c r="I674" s="134">
        <f t="shared" si="31"/>
        <v>0</v>
      </c>
      <c r="J674" s="134">
        <f t="shared" si="30"/>
        <v>100000</v>
      </c>
      <c r="K674" s="135"/>
      <c r="L674" s="136" t="str">
        <f t="shared" si="32"/>
        <v>مدين</v>
      </c>
      <c r="M674" s="137" t="str">
        <f>IF(ISERROR(VLOOKUP(C674,'[1]خريطة الحسابات'!_xlnm.Print_Area,4,FALSE))," ",(VLOOKUP(C674,'[1]خريطة الحسابات'!_xlnm.Print_Area,4,FALSE)))</f>
        <v xml:space="preserve">مقاولين </v>
      </c>
      <c r="N674" s="138" t="str">
        <f>IF(ISERROR(VLOOKUP(C674,'[1]خريطة الحسابات'!_xlnm.Print_Area,5,FALSE))," ",(VLOOKUP(C674,'[1]خريطة الحسابات'!_xlnm.Print_Area,5,FALSE)))</f>
        <v xml:space="preserve">الدائنون والأرصدة الدائنة الأخرى </v>
      </c>
      <c r="O674" s="139" t="s">
        <v>1606</v>
      </c>
      <c r="P674" s="139" t="s">
        <v>1342</v>
      </c>
    </row>
    <row r="675" spans="1:16">
      <c r="A675" s="104">
        <v>42</v>
      </c>
      <c r="B675" s="131">
        <v>46036</v>
      </c>
      <c r="C675" s="141">
        <v>20</v>
      </c>
      <c r="D675" s="140" t="str">
        <f>IF(ISERROR(VLOOKUP(C675,'[1]خريطة الحسابات'!_xlnm.Print_Area,3,FALSE))," ",(VLOOKUP(C675,'[1]خريطة الحسابات'!_xlnm.Print_Area,3,FALSE)))</f>
        <v xml:space="preserve">الخزينة </v>
      </c>
      <c r="E675" s="132"/>
      <c r="F675" s="133"/>
      <c r="G675" s="133">
        <v>50000</v>
      </c>
      <c r="H675" s="134">
        <f t="shared" si="31"/>
        <v>0</v>
      </c>
      <c r="I675" s="134">
        <f t="shared" si="31"/>
        <v>50000</v>
      </c>
      <c r="J675" s="134">
        <f t="shared" si="30"/>
        <v>-50000</v>
      </c>
      <c r="K675" s="135"/>
      <c r="L675" s="136" t="str">
        <f t="shared" si="32"/>
        <v>دائن</v>
      </c>
      <c r="M675" s="137" t="str">
        <f>IF(ISERROR(VLOOKUP(C675,'[1]خريطة الحسابات'!_xlnm.Print_Area,4,FALSE))," ",(VLOOKUP(C675,'[1]خريطة الحسابات'!_xlnm.Print_Area,4,FALSE)))</f>
        <v xml:space="preserve">أصول متداوله -النقدية ومافي حكمها </v>
      </c>
      <c r="N675" s="138" t="str">
        <f>IF(ISERROR(VLOOKUP(C675,'[1]خريطة الحسابات'!_xlnm.Print_Area,5,FALSE))," ",(VLOOKUP(C675,'[1]خريطة الحسابات'!_xlnm.Print_Area,5,FALSE)))</f>
        <v>الاصول</v>
      </c>
      <c r="O675" s="139" t="s">
        <v>1599</v>
      </c>
      <c r="P675" s="139" t="s">
        <v>1299</v>
      </c>
    </row>
    <row r="676" spans="1:16">
      <c r="A676" s="104">
        <v>42</v>
      </c>
      <c r="B676" s="131">
        <v>46036</v>
      </c>
      <c r="C676" s="141">
        <v>20</v>
      </c>
      <c r="D676" s="140" t="str">
        <f>IF(ISERROR(VLOOKUP(C676,'[1]خريطة الحسابات'!_xlnm.Print_Area,3,FALSE))," ",(VLOOKUP(C676,'[1]خريطة الحسابات'!_xlnm.Print_Area,3,FALSE)))</f>
        <v xml:space="preserve">الخزينة </v>
      </c>
      <c r="E676" s="132"/>
      <c r="F676" s="133"/>
      <c r="G676" s="133">
        <v>25000</v>
      </c>
      <c r="H676" s="134">
        <f t="shared" si="31"/>
        <v>0</v>
      </c>
      <c r="I676" s="134">
        <f t="shared" si="31"/>
        <v>25000</v>
      </c>
      <c r="J676" s="134">
        <f t="shared" si="30"/>
        <v>-25000</v>
      </c>
      <c r="K676" s="135"/>
      <c r="L676" s="136" t="str">
        <f t="shared" si="32"/>
        <v>دائن</v>
      </c>
      <c r="M676" s="137" t="str">
        <f>IF(ISERROR(VLOOKUP(C676,'[1]خريطة الحسابات'!_xlnm.Print_Area,4,FALSE))," ",(VLOOKUP(C676,'[1]خريطة الحسابات'!_xlnm.Print_Area,4,FALSE)))</f>
        <v xml:space="preserve">أصول متداوله -النقدية ومافي حكمها </v>
      </c>
      <c r="N676" s="138" t="str">
        <f>IF(ISERROR(VLOOKUP(C676,'[1]خريطة الحسابات'!_xlnm.Print_Area,5,FALSE))," ",(VLOOKUP(C676,'[1]خريطة الحسابات'!_xlnm.Print_Area,5,FALSE)))</f>
        <v>الاصول</v>
      </c>
      <c r="O676" s="139" t="s">
        <v>1600</v>
      </c>
      <c r="P676" s="139" t="s">
        <v>1336</v>
      </c>
    </row>
    <row r="677" spans="1:16">
      <c r="A677" s="104">
        <v>42</v>
      </c>
      <c r="B677" s="131">
        <v>46039</v>
      </c>
      <c r="C677" s="141">
        <v>20</v>
      </c>
      <c r="D677" s="140" t="str">
        <f>IF(ISERROR(VLOOKUP(C677,'[1]خريطة الحسابات'!_xlnm.Print_Area,3,FALSE))," ",(VLOOKUP(C677,'[1]خريطة الحسابات'!_xlnm.Print_Area,3,FALSE)))</f>
        <v xml:space="preserve">الخزينة </v>
      </c>
      <c r="E677" s="132"/>
      <c r="F677" s="133"/>
      <c r="G677" s="133">
        <v>10010</v>
      </c>
      <c r="H677" s="134">
        <f t="shared" si="31"/>
        <v>0</v>
      </c>
      <c r="I677" s="134">
        <f t="shared" si="31"/>
        <v>10010</v>
      </c>
      <c r="J677" s="134">
        <f t="shared" si="30"/>
        <v>-10010</v>
      </c>
      <c r="K677" s="135"/>
      <c r="L677" s="136" t="str">
        <f t="shared" si="32"/>
        <v>دائن</v>
      </c>
      <c r="M677" s="137" t="str">
        <f>IF(ISERROR(VLOOKUP(C677,'[1]خريطة الحسابات'!_xlnm.Print_Area,4,FALSE))," ",(VLOOKUP(C677,'[1]خريطة الحسابات'!_xlnm.Print_Area,4,FALSE)))</f>
        <v xml:space="preserve">أصول متداوله -النقدية ومافي حكمها </v>
      </c>
      <c r="N677" s="138" t="str">
        <f>IF(ISERROR(VLOOKUP(C677,'[1]خريطة الحسابات'!_xlnm.Print_Area,5,FALSE))," ",(VLOOKUP(C677,'[1]خريطة الحسابات'!_xlnm.Print_Area,5,FALSE)))</f>
        <v>الاصول</v>
      </c>
      <c r="O677" s="145" t="s">
        <v>1601</v>
      </c>
      <c r="P677" s="139" t="s">
        <v>1295</v>
      </c>
    </row>
    <row r="678" spans="1:16">
      <c r="A678" s="104">
        <v>42</v>
      </c>
      <c r="B678" s="131">
        <v>46060</v>
      </c>
      <c r="C678" s="141">
        <v>20</v>
      </c>
      <c r="D678" s="140" t="str">
        <f>IF(ISERROR(VLOOKUP(C678,'[1]خريطة الحسابات'!_xlnm.Print_Area,3,FALSE))," ",(VLOOKUP(C678,'[1]خريطة الحسابات'!_xlnm.Print_Area,3,FALSE)))</f>
        <v xml:space="preserve">الخزينة </v>
      </c>
      <c r="E678" s="132"/>
      <c r="F678" s="133"/>
      <c r="G678" s="133">
        <v>15000</v>
      </c>
      <c r="H678" s="134">
        <f t="shared" si="31"/>
        <v>0</v>
      </c>
      <c r="I678" s="134">
        <f t="shared" si="31"/>
        <v>15000</v>
      </c>
      <c r="J678" s="134">
        <f t="shared" si="30"/>
        <v>-15000</v>
      </c>
      <c r="K678" s="135"/>
      <c r="L678" s="136" t="str">
        <f t="shared" si="32"/>
        <v>دائن</v>
      </c>
      <c r="M678" s="137" t="str">
        <f>IF(ISERROR(VLOOKUP(C678,'[1]خريطة الحسابات'!_xlnm.Print_Area,4,FALSE))," ",(VLOOKUP(C678,'[1]خريطة الحسابات'!_xlnm.Print_Area,4,FALSE)))</f>
        <v xml:space="preserve">أصول متداوله -النقدية ومافي حكمها </v>
      </c>
      <c r="N678" s="138" t="str">
        <f>IF(ISERROR(VLOOKUP(C678,'[1]خريطة الحسابات'!_xlnm.Print_Area,5,FALSE))," ",(VLOOKUP(C678,'[1]خريطة الحسابات'!_xlnm.Print_Area,5,FALSE)))</f>
        <v>الاصول</v>
      </c>
      <c r="O678" s="145" t="s">
        <v>1602</v>
      </c>
      <c r="P678" s="139" t="s">
        <v>1315</v>
      </c>
    </row>
    <row r="679" spans="1:16">
      <c r="A679" s="104">
        <v>42</v>
      </c>
      <c r="B679" s="131">
        <v>46060</v>
      </c>
      <c r="C679" s="141">
        <v>20</v>
      </c>
      <c r="D679" s="140" t="str">
        <f>IF(ISERROR(VLOOKUP(C679,'[1]خريطة الحسابات'!_xlnm.Print_Area,3,FALSE))," ",(VLOOKUP(C679,'[1]خريطة الحسابات'!_xlnm.Print_Area,3,FALSE)))</f>
        <v xml:space="preserve">الخزينة </v>
      </c>
      <c r="E679" s="132"/>
      <c r="F679" s="133"/>
      <c r="G679" s="133">
        <v>15000</v>
      </c>
      <c r="H679" s="134">
        <f t="shared" si="31"/>
        <v>0</v>
      </c>
      <c r="I679" s="134">
        <f t="shared" si="31"/>
        <v>15000</v>
      </c>
      <c r="J679" s="134">
        <f t="shared" si="30"/>
        <v>-15000</v>
      </c>
      <c r="K679" s="135"/>
      <c r="L679" s="136" t="str">
        <f t="shared" si="32"/>
        <v>دائن</v>
      </c>
      <c r="M679" s="137" t="str">
        <f>IF(ISERROR(VLOOKUP(C679,'[1]خريطة الحسابات'!_xlnm.Print_Area,4,FALSE))," ",(VLOOKUP(C679,'[1]خريطة الحسابات'!_xlnm.Print_Area,4,FALSE)))</f>
        <v xml:space="preserve">أصول متداوله -النقدية ومافي حكمها </v>
      </c>
      <c r="N679" s="138" t="str">
        <f>IF(ISERROR(VLOOKUP(C679,'[1]خريطة الحسابات'!_xlnm.Print_Area,5,FALSE))," ",(VLOOKUP(C679,'[1]خريطة الحسابات'!_xlnm.Print_Area,5,FALSE)))</f>
        <v>الاصول</v>
      </c>
      <c r="O679" s="145" t="s">
        <v>1603</v>
      </c>
      <c r="P679" s="139" t="s">
        <v>1336</v>
      </c>
    </row>
    <row r="680" spans="1:16">
      <c r="A680" s="104">
        <v>42</v>
      </c>
      <c r="B680" s="131">
        <v>46091</v>
      </c>
      <c r="C680" s="141">
        <v>20</v>
      </c>
      <c r="D680" s="140" t="str">
        <f>IF(ISERROR(VLOOKUP(C680,'[1]خريطة الحسابات'!_xlnm.Print_Area,3,FALSE))," ",(VLOOKUP(C680,'[1]خريطة الحسابات'!_xlnm.Print_Area,3,FALSE)))</f>
        <v xml:space="preserve">الخزينة </v>
      </c>
      <c r="E680" s="132"/>
      <c r="F680" s="133"/>
      <c r="G680" s="133">
        <v>500000</v>
      </c>
      <c r="H680" s="134">
        <f t="shared" si="31"/>
        <v>0</v>
      </c>
      <c r="I680" s="134">
        <f t="shared" si="31"/>
        <v>500000</v>
      </c>
      <c r="J680" s="134">
        <f t="shared" si="30"/>
        <v>-500000</v>
      </c>
      <c r="K680" s="135"/>
      <c r="L680" s="136" t="str">
        <f t="shared" si="32"/>
        <v>دائن</v>
      </c>
      <c r="M680" s="137" t="str">
        <f>IF(ISERROR(VLOOKUP(C680,'[1]خريطة الحسابات'!_xlnm.Print_Area,4,FALSE))," ",(VLOOKUP(C680,'[1]خريطة الحسابات'!_xlnm.Print_Area,4,FALSE)))</f>
        <v xml:space="preserve">أصول متداوله -النقدية ومافي حكمها </v>
      </c>
      <c r="N680" s="138" t="str">
        <f>IF(ISERROR(VLOOKUP(C680,'[1]خريطة الحسابات'!_xlnm.Print_Area,5,FALSE))," ",(VLOOKUP(C680,'[1]خريطة الحسابات'!_xlnm.Print_Area,5,FALSE)))</f>
        <v>الاصول</v>
      </c>
      <c r="O680" s="139" t="s">
        <v>1604</v>
      </c>
      <c r="P680" s="139" t="s">
        <v>1290</v>
      </c>
    </row>
    <row r="681" spans="1:16">
      <c r="A681" s="104">
        <v>42</v>
      </c>
      <c r="B681" s="131">
        <v>46093</v>
      </c>
      <c r="C681" s="141">
        <v>20</v>
      </c>
      <c r="D681" s="140" t="str">
        <f>IF(ISERROR(VLOOKUP(C681,'[1]خريطة الحسابات'!_xlnm.Print_Area,3,FALSE))," ",(VLOOKUP(C681,'[1]خريطة الحسابات'!_xlnm.Print_Area,3,FALSE)))</f>
        <v xml:space="preserve">الخزينة </v>
      </c>
      <c r="E681" s="132"/>
      <c r="F681" s="133"/>
      <c r="G681" s="133">
        <v>100000</v>
      </c>
      <c r="H681" s="134">
        <f t="shared" si="31"/>
        <v>0</v>
      </c>
      <c r="I681" s="134">
        <f t="shared" si="31"/>
        <v>100000</v>
      </c>
      <c r="J681" s="134">
        <f t="shared" si="30"/>
        <v>-100000</v>
      </c>
      <c r="K681" s="135"/>
      <c r="L681" s="136" t="str">
        <f t="shared" si="32"/>
        <v>دائن</v>
      </c>
      <c r="M681" s="137" t="str">
        <f>IF(ISERROR(VLOOKUP(C681,'[1]خريطة الحسابات'!_xlnm.Print_Area,4,FALSE))," ",(VLOOKUP(C681,'[1]خريطة الحسابات'!_xlnm.Print_Area,4,FALSE)))</f>
        <v xml:space="preserve">أصول متداوله -النقدية ومافي حكمها </v>
      </c>
      <c r="N681" s="138" t="str">
        <f>IF(ISERROR(VLOOKUP(C681,'[1]خريطة الحسابات'!_xlnm.Print_Area,5,FALSE))," ",(VLOOKUP(C681,'[1]خريطة الحسابات'!_xlnm.Print_Area,5,FALSE)))</f>
        <v>الاصول</v>
      </c>
      <c r="O681" s="139" t="s">
        <v>1605</v>
      </c>
      <c r="P681" s="139" t="s">
        <v>1315</v>
      </c>
    </row>
    <row r="682" spans="1:16">
      <c r="A682" s="104">
        <v>42</v>
      </c>
      <c r="B682" s="131">
        <v>46127</v>
      </c>
      <c r="C682" s="141">
        <v>20</v>
      </c>
      <c r="D682" s="140" t="str">
        <f>IF(ISERROR(VLOOKUP(C682,'[1]خريطة الحسابات'!_xlnm.Print_Area,3,FALSE))," ",(VLOOKUP(C682,'[1]خريطة الحسابات'!_xlnm.Print_Area,3,FALSE)))</f>
        <v xml:space="preserve">الخزينة </v>
      </c>
      <c r="E682" s="132"/>
      <c r="F682" s="133"/>
      <c r="G682" s="133">
        <v>81987</v>
      </c>
      <c r="H682" s="134">
        <f t="shared" si="31"/>
        <v>0</v>
      </c>
      <c r="I682" s="134">
        <f t="shared" si="31"/>
        <v>81987</v>
      </c>
      <c r="J682" s="134">
        <f t="shared" si="30"/>
        <v>-81987</v>
      </c>
      <c r="K682" s="135"/>
      <c r="L682" s="136" t="str">
        <f t="shared" si="32"/>
        <v>دائن</v>
      </c>
      <c r="M682" s="137" t="str">
        <f>IF(ISERROR(VLOOKUP(C682,'[1]خريطة الحسابات'!_xlnm.Print_Area,4,FALSE))," ",(VLOOKUP(C682,'[1]خريطة الحسابات'!_xlnm.Print_Area,4,FALSE)))</f>
        <v xml:space="preserve">أصول متداوله -النقدية ومافي حكمها </v>
      </c>
      <c r="N682" s="138" t="str">
        <f>IF(ISERROR(VLOOKUP(C682,'[1]خريطة الحسابات'!_xlnm.Print_Area,5,FALSE))," ",(VLOOKUP(C682,'[1]خريطة الحسابات'!_xlnm.Print_Area,5,FALSE)))</f>
        <v>الاصول</v>
      </c>
      <c r="O682" s="139" t="s">
        <v>1606</v>
      </c>
      <c r="P682" s="139" t="s">
        <v>1340</v>
      </c>
    </row>
    <row r="683" spans="1:16">
      <c r="A683" s="104">
        <v>42</v>
      </c>
      <c r="B683" s="131">
        <v>46127</v>
      </c>
      <c r="C683" s="141">
        <v>20</v>
      </c>
      <c r="D683" s="140" t="str">
        <f>IF(ISERROR(VLOOKUP(C683,'[1]خريطة الحسابات'!_xlnm.Print_Area,3,FALSE))," ",(VLOOKUP(C683,'[1]خريطة الحسابات'!_xlnm.Print_Area,3,FALSE)))</f>
        <v xml:space="preserve">الخزينة </v>
      </c>
      <c r="E683" s="132"/>
      <c r="F683" s="133"/>
      <c r="G683" s="133">
        <v>8013</v>
      </c>
      <c r="H683" s="134">
        <f t="shared" si="31"/>
        <v>0</v>
      </c>
      <c r="I683" s="134">
        <f t="shared" si="31"/>
        <v>8013</v>
      </c>
      <c r="J683" s="134">
        <f t="shared" si="30"/>
        <v>-8013</v>
      </c>
      <c r="K683" s="135"/>
      <c r="L683" s="136" t="str">
        <f t="shared" si="32"/>
        <v>دائن</v>
      </c>
      <c r="M683" s="137" t="str">
        <f>IF(ISERROR(VLOOKUP(C683,'[1]خريطة الحسابات'!_xlnm.Print_Area,4,FALSE))," ",(VLOOKUP(C683,'[1]خريطة الحسابات'!_xlnm.Print_Area,4,FALSE)))</f>
        <v xml:space="preserve">أصول متداوله -النقدية ومافي حكمها </v>
      </c>
      <c r="N683" s="138" t="str">
        <f>IF(ISERROR(VLOOKUP(C683,'[1]خريطة الحسابات'!_xlnm.Print_Area,5,FALSE))," ",(VLOOKUP(C683,'[1]خريطة الحسابات'!_xlnm.Print_Area,5,FALSE)))</f>
        <v>الاصول</v>
      </c>
      <c r="O683" s="139" t="s">
        <v>1606</v>
      </c>
      <c r="P683" s="139" t="s">
        <v>1290</v>
      </c>
    </row>
    <row r="684" spans="1:16">
      <c r="A684" s="104">
        <v>42</v>
      </c>
      <c r="B684" s="131">
        <v>46139</v>
      </c>
      <c r="C684" s="141">
        <v>20</v>
      </c>
      <c r="D684" s="140" t="str">
        <f>IF(ISERROR(VLOOKUP(C684,'[1]خريطة الحسابات'!_xlnm.Print_Area,3,FALSE))," ",(VLOOKUP(C684,'[1]خريطة الحسابات'!_xlnm.Print_Area,3,FALSE)))</f>
        <v xml:space="preserve">الخزينة </v>
      </c>
      <c r="E684" s="132"/>
      <c r="F684" s="133"/>
      <c r="G684" s="133">
        <v>20000</v>
      </c>
      <c r="H684" s="134">
        <f t="shared" si="31"/>
        <v>0</v>
      </c>
      <c r="I684" s="134">
        <f t="shared" si="31"/>
        <v>20000</v>
      </c>
      <c r="J684" s="134">
        <f t="shared" si="30"/>
        <v>-20000</v>
      </c>
      <c r="K684" s="135"/>
      <c r="L684" s="136" t="str">
        <f t="shared" si="32"/>
        <v>دائن</v>
      </c>
      <c r="M684" s="137" t="str">
        <f>IF(ISERROR(VLOOKUP(C684,'[1]خريطة الحسابات'!_xlnm.Print_Area,4,FALSE))," ",(VLOOKUP(C684,'[1]خريطة الحسابات'!_xlnm.Print_Area,4,FALSE)))</f>
        <v xml:space="preserve">أصول متداوله -النقدية ومافي حكمها </v>
      </c>
      <c r="N684" s="138" t="str">
        <f>IF(ISERROR(VLOOKUP(C684,'[1]خريطة الحسابات'!_xlnm.Print_Area,5,FALSE))," ",(VLOOKUP(C684,'[1]خريطة الحسابات'!_xlnm.Print_Area,5,FALSE)))</f>
        <v>الاصول</v>
      </c>
      <c r="O684" s="139" t="s">
        <v>1607</v>
      </c>
      <c r="P684" s="139" t="s">
        <v>1342</v>
      </c>
    </row>
    <row r="685" spans="1:16">
      <c r="A685" s="104">
        <v>42</v>
      </c>
      <c r="B685" s="131">
        <v>46148</v>
      </c>
      <c r="C685" s="141">
        <v>20</v>
      </c>
      <c r="D685" s="140" t="str">
        <f>IF(ISERROR(VLOOKUP(C685,'[1]خريطة الحسابات'!_xlnm.Print_Area,3,FALSE))," ",(VLOOKUP(C685,'[1]خريطة الحسابات'!_xlnm.Print_Area,3,FALSE)))</f>
        <v xml:space="preserve">الخزينة </v>
      </c>
      <c r="E685" s="146"/>
      <c r="F685" s="133"/>
      <c r="G685" s="133">
        <v>100000</v>
      </c>
      <c r="H685" s="134">
        <f t="shared" si="31"/>
        <v>0</v>
      </c>
      <c r="I685" s="134">
        <f t="shared" si="31"/>
        <v>100000</v>
      </c>
      <c r="J685" s="134">
        <f t="shared" si="30"/>
        <v>-100000</v>
      </c>
      <c r="K685" s="135"/>
      <c r="L685" s="136" t="str">
        <f t="shared" si="32"/>
        <v>دائن</v>
      </c>
      <c r="M685" s="137" t="str">
        <f>IF(ISERROR(VLOOKUP(C685,'[1]خريطة الحسابات'!_xlnm.Print_Area,4,FALSE))," ",(VLOOKUP(C685,'[1]خريطة الحسابات'!_xlnm.Print_Area,4,FALSE)))</f>
        <v xml:space="preserve">أصول متداوله -النقدية ومافي حكمها </v>
      </c>
      <c r="N685" s="138" t="str">
        <f>IF(ISERROR(VLOOKUP(C685,'[1]خريطة الحسابات'!_xlnm.Print_Area,5,FALSE))," ",(VLOOKUP(C685,'[1]خريطة الحسابات'!_xlnm.Print_Area,5,FALSE)))</f>
        <v>الاصول</v>
      </c>
      <c r="O685" s="139" t="s">
        <v>1606</v>
      </c>
      <c r="P685" s="139" t="s">
        <v>1290</v>
      </c>
    </row>
    <row r="686" spans="1:16">
      <c r="A686" s="104">
        <v>42</v>
      </c>
      <c r="B686" s="131">
        <v>46163</v>
      </c>
      <c r="C686" s="141">
        <v>20</v>
      </c>
      <c r="D686" s="140" t="str">
        <f>IF(ISERROR(VLOOKUP(C686,'[1]خريطة الحسابات'!_xlnm.Print_Area,3,FALSE))," ",(VLOOKUP(C686,'[1]خريطة الحسابات'!_xlnm.Print_Area,3,FALSE)))</f>
        <v xml:space="preserve">الخزينة </v>
      </c>
      <c r="E686" s="132"/>
      <c r="F686" s="133"/>
      <c r="G686" s="133">
        <v>100000</v>
      </c>
      <c r="H686" s="134">
        <f t="shared" si="31"/>
        <v>0</v>
      </c>
      <c r="I686" s="134">
        <f t="shared" si="31"/>
        <v>100000</v>
      </c>
      <c r="J686" s="134">
        <f t="shared" si="30"/>
        <v>-100000</v>
      </c>
      <c r="K686" s="135"/>
      <c r="L686" s="136" t="str">
        <f t="shared" si="32"/>
        <v>دائن</v>
      </c>
      <c r="M686" s="137" t="str">
        <f>IF(ISERROR(VLOOKUP(C686,'[1]خريطة الحسابات'!_xlnm.Print_Area,4,FALSE))," ",(VLOOKUP(C686,'[1]خريطة الحسابات'!_xlnm.Print_Area,4,FALSE)))</f>
        <v xml:space="preserve">أصول متداوله -النقدية ومافي حكمها </v>
      </c>
      <c r="N686" s="138" t="str">
        <f>IF(ISERROR(VLOOKUP(C686,'[1]خريطة الحسابات'!_xlnm.Print_Area,5,FALSE))," ",(VLOOKUP(C686,'[1]خريطة الحسابات'!_xlnm.Print_Area,5,FALSE)))</f>
        <v>الاصول</v>
      </c>
      <c r="O686" s="139" t="s">
        <v>1606</v>
      </c>
      <c r="P686" s="139" t="s">
        <v>1342</v>
      </c>
    </row>
    <row r="687" spans="1:16" ht="15.6">
      <c r="A687" s="104">
        <v>43</v>
      </c>
      <c r="B687" s="131">
        <v>46117</v>
      </c>
      <c r="C687" s="141">
        <v>4002</v>
      </c>
      <c r="D687" s="140" t="str">
        <f>IF(ISERROR(VLOOKUP(C687,'[1]خريطة الحسابات'!_xlnm.Print_Area,3,FALSE))," ",(VLOOKUP(C687,'[1]خريطة الحسابات'!_xlnm.Print_Area,3,FALSE)))</f>
        <v>محمد بدر الكهربائي</v>
      </c>
      <c r="E687" s="132"/>
      <c r="F687" s="133">
        <v>1000</v>
      </c>
      <c r="G687" s="133"/>
      <c r="H687" s="134">
        <f t="shared" si="31"/>
        <v>1000</v>
      </c>
      <c r="I687" s="134">
        <f t="shared" si="31"/>
        <v>0</v>
      </c>
      <c r="J687" s="134">
        <f t="shared" si="30"/>
        <v>1000</v>
      </c>
      <c r="K687" s="135"/>
      <c r="L687" s="136" t="str">
        <f t="shared" si="32"/>
        <v>مدين</v>
      </c>
      <c r="M687" s="137" t="str">
        <f>IF(ISERROR(VLOOKUP(C687,'[1]خريطة الحسابات'!_xlnm.Print_Area,4,FALSE))," ",(VLOOKUP(C687,'[1]خريطة الحسابات'!_xlnm.Print_Area,4,FALSE)))</f>
        <v xml:space="preserve">مقاولين </v>
      </c>
      <c r="N687" s="138" t="str">
        <f>IF(ISERROR(VLOOKUP(C687,'[1]خريطة الحسابات'!_xlnm.Print_Area,5,FALSE))," ",(VLOOKUP(C687,'[1]خريطة الحسابات'!_xlnm.Print_Area,5,FALSE)))</f>
        <v xml:space="preserve">الدائنون والأرصدة الدائنة الأخرى </v>
      </c>
      <c r="O687" s="129" t="s">
        <v>1608</v>
      </c>
      <c r="P687" s="128" t="s">
        <v>1327</v>
      </c>
    </row>
    <row r="688" spans="1:16" ht="15.6">
      <c r="A688" s="104">
        <v>43</v>
      </c>
      <c r="B688" s="131">
        <v>46117</v>
      </c>
      <c r="C688" s="141">
        <v>20</v>
      </c>
      <c r="D688" s="140" t="str">
        <f>IF(ISERROR(VLOOKUP(C688,'[1]خريطة الحسابات'!_xlnm.Print_Area,3,FALSE))," ",(VLOOKUP(C688,'[1]خريطة الحسابات'!_xlnm.Print_Area,3,FALSE)))</f>
        <v xml:space="preserve">الخزينة </v>
      </c>
      <c r="E688" s="132"/>
      <c r="F688" s="133"/>
      <c r="G688" s="133">
        <v>1000</v>
      </c>
      <c r="H688" s="134">
        <f t="shared" si="31"/>
        <v>0</v>
      </c>
      <c r="I688" s="134">
        <f t="shared" si="31"/>
        <v>1000</v>
      </c>
      <c r="J688" s="134">
        <f t="shared" si="30"/>
        <v>-1000</v>
      </c>
      <c r="K688" s="135"/>
      <c r="L688" s="136" t="str">
        <f t="shared" si="32"/>
        <v>دائن</v>
      </c>
      <c r="M688" s="137" t="str">
        <f>IF(ISERROR(VLOOKUP(C688,'[1]خريطة الحسابات'!_xlnm.Print_Area,4,FALSE))," ",(VLOOKUP(C688,'[1]خريطة الحسابات'!_xlnm.Print_Area,4,FALSE)))</f>
        <v xml:space="preserve">أصول متداوله -النقدية ومافي حكمها </v>
      </c>
      <c r="N688" s="138" t="str">
        <f>IF(ISERROR(VLOOKUP(C688,'[1]خريطة الحسابات'!_xlnm.Print_Area,5,FALSE))," ",(VLOOKUP(C688,'[1]خريطة الحسابات'!_xlnm.Print_Area,5,FALSE)))</f>
        <v>الاصول</v>
      </c>
      <c r="O688" s="129" t="s">
        <v>1608</v>
      </c>
      <c r="P688" s="128" t="s">
        <v>1327</v>
      </c>
    </row>
    <row r="689" spans="1:16" ht="15.6">
      <c r="A689" s="104">
        <v>44</v>
      </c>
      <c r="B689" s="131">
        <v>46037</v>
      </c>
      <c r="C689" s="54">
        <v>4049</v>
      </c>
      <c r="D689" s="140" t="str">
        <f>IF(ISERROR(VLOOKUP(C689,'[1]خريطة الحسابات'!_xlnm.Print_Area,3,FALSE))," ",(VLOOKUP(C689,'[1]خريطة الحسابات'!_xlnm.Print_Area,3,FALSE)))</f>
        <v>محمد السيد توريدات كهرباء</v>
      </c>
      <c r="E689" s="132"/>
      <c r="F689" s="133">
        <v>20020</v>
      </c>
      <c r="G689" s="133"/>
      <c r="H689" s="134">
        <f t="shared" si="31"/>
        <v>20020</v>
      </c>
      <c r="I689" s="134">
        <f t="shared" si="31"/>
        <v>0</v>
      </c>
      <c r="J689" s="134">
        <f t="shared" si="30"/>
        <v>20020</v>
      </c>
      <c r="K689" s="135"/>
      <c r="L689" s="136" t="str">
        <f t="shared" si="32"/>
        <v>مدين</v>
      </c>
      <c r="M689" s="137" t="str">
        <f>IF(ISERROR(VLOOKUP(C689,'[1]خريطة الحسابات'!_xlnm.Print_Area,4,FALSE))," ",(VLOOKUP(C689,'[1]خريطة الحسابات'!_xlnm.Print_Area,4,FALSE)))</f>
        <v>موردين</v>
      </c>
      <c r="N689" s="138" t="str">
        <f>IF(ISERROR(VLOOKUP(C689,'[1]خريطة الحسابات'!_xlnm.Print_Area,5,FALSE))," ",(VLOOKUP(C689,'[1]خريطة الحسابات'!_xlnm.Print_Area,5,FALSE)))</f>
        <v xml:space="preserve">الدائنون والأرصدة الدائنة الأخرى </v>
      </c>
      <c r="O689" s="129" t="s">
        <v>1609</v>
      </c>
      <c r="P689" s="128" t="s">
        <v>1342</v>
      </c>
    </row>
    <row r="690" spans="1:16" ht="15.6">
      <c r="A690" s="104">
        <v>44</v>
      </c>
      <c r="B690" s="131">
        <v>46044</v>
      </c>
      <c r="C690" s="54">
        <v>4049</v>
      </c>
      <c r="D690" s="140" t="str">
        <f>IF(ISERROR(VLOOKUP(C690,'[1]خريطة الحسابات'!_xlnm.Print_Area,3,FALSE))," ",(VLOOKUP(C690,'[1]خريطة الحسابات'!_xlnm.Print_Area,3,FALSE)))</f>
        <v>محمد السيد توريدات كهرباء</v>
      </c>
      <c r="E690" s="132"/>
      <c r="F690" s="133">
        <v>12120</v>
      </c>
      <c r="G690" s="133"/>
      <c r="H690" s="134">
        <f t="shared" si="31"/>
        <v>12120</v>
      </c>
      <c r="I690" s="134">
        <f t="shared" si="31"/>
        <v>0</v>
      </c>
      <c r="J690" s="134">
        <f t="shared" si="30"/>
        <v>12120</v>
      </c>
      <c r="K690" s="135"/>
      <c r="L690" s="136" t="str">
        <f t="shared" si="32"/>
        <v>مدين</v>
      </c>
      <c r="M690" s="137" t="str">
        <f>IF(ISERROR(VLOOKUP(C690,'[1]خريطة الحسابات'!_xlnm.Print_Area,4,FALSE))," ",(VLOOKUP(C690,'[1]خريطة الحسابات'!_xlnm.Print_Area,4,FALSE)))</f>
        <v>موردين</v>
      </c>
      <c r="N690" s="138" t="str">
        <f>IF(ISERROR(VLOOKUP(C690,'[1]خريطة الحسابات'!_xlnm.Print_Area,5,FALSE))," ",(VLOOKUP(C690,'[1]خريطة الحسابات'!_xlnm.Print_Area,5,FALSE)))</f>
        <v xml:space="preserve">الدائنون والأرصدة الدائنة الأخرى </v>
      </c>
      <c r="O690" s="129" t="s">
        <v>1610</v>
      </c>
      <c r="P690" s="128" t="s">
        <v>1299</v>
      </c>
    </row>
    <row r="691" spans="1:16" ht="15.6">
      <c r="A691" s="104">
        <v>44</v>
      </c>
      <c r="B691" s="131">
        <v>46065</v>
      </c>
      <c r="C691" s="54">
        <v>4049</v>
      </c>
      <c r="D691" s="140" t="str">
        <f>IF(ISERROR(VLOOKUP(C691,'[1]خريطة الحسابات'!_xlnm.Print_Area,3,FALSE))," ",(VLOOKUP(C691,'[1]خريطة الحسابات'!_xlnm.Print_Area,3,FALSE)))</f>
        <v>محمد السيد توريدات كهرباء</v>
      </c>
      <c r="E691" s="132"/>
      <c r="F691" s="133">
        <v>6597</v>
      </c>
      <c r="G691" s="133"/>
      <c r="H691" s="134">
        <f t="shared" si="31"/>
        <v>6597</v>
      </c>
      <c r="I691" s="134">
        <f t="shared" si="31"/>
        <v>0</v>
      </c>
      <c r="J691" s="134">
        <f t="shared" si="30"/>
        <v>6597</v>
      </c>
      <c r="K691" s="135"/>
      <c r="L691" s="136" t="str">
        <f t="shared" si="32"/>
        <v>مدين</v>
      </c>
      <c r="M691" s="137" t="str">
        <f>IF(ISERROR(VLOOKUP(C691,'[1]خريطة الحسابات'!_xlnm.Print_Area,4,FALSE))," ",(VLOOKUP(C691,'[1]خريطة الحسابات'!_xlnm.Print_Area,4,FALSE)))</f>
        <v>موردين</v>
      </c>
      <c r="N691" s="138" t="str">
        <f>IF(ISERROR(VLOOKUP(C691,'[1]خريطة الحسابات'!_xlnm.Print_Area,5,FALSE))," ",(VLOOKUP(C691,'[1]خريطة الحسابات'!_xlnm.Print_Area,5,FALSE)))</f>
        <v xml:space="preserve">الدائنون والأرصدة الدائنة الأخرى </v>
      </c>
      <c r="O691" s="129" t="s">
        <v>1611</v>
      </c>
      <c r="P691" s="128" t="s">
        <v>1304</v>
      </c>
    </row>
    <row r="692" spans="1:16" ht="15.6">
      <c r="A692" s="104">
        <v>44</v>
      </c>
      <c r="B692" s="131">
        <v>46065</v>
      </c>
      <c r="C692" s="54">
        <v>4049</v>
      </c>
      <c r="D692" s="140" t="str">
        <f>IF(ISERROR(VLOOKUP(C692,'[1]خريطة الحسابات'!_xlnm.Print_Area,3,FALSE))," ",(VLOOKUP(C692,'[1]خريطة الحسابات'!_xlnm.Print_Area,3,FALSE)))</f>
        <v>محمد السيد توريدات كهرباء</v>
      </c>
      <c r="E692" s="132"/>
      <c r="F692" s="133">
        <v>615</v>
      </c>
      <c r="G692" s="133"/>
      <c r="H692" s="134">
        <f t="shared" si="31"/>
        <v>615</v>
      </c>
      <c r="I692" s="134">
        <f t="shared" si="31"/>
        <v>0</v>
      </c>
      <c r="J692" s="134">
        <f t="shared" si="30"/>
        <v>615</v>
      </c>
      <c r="K692" s="135"/>
      <c r="L692" s="136" t="str">
        <f t="shared" si="32"/>
        <v>مدين</v>
      </c>
      <c r="M692" s="137" t="str">
        <f>IF(ISERROR(VLOOKUP(C692,'[1]خريطة الحسابات'!_xlnm.Print_Area,4,FALSE))," ",(VLOOKUP(C692,'[1]خريطة الحسابات'!_xlnm.Print_Area,4,FALSE)))</f>
        <v>موردين</v>
      </c>
      <c r="N692" s="138" t="str">
        <f>IF(ISERROR(VLOOKUP(C692,'[1]خريطة الحسابات'!_xlnm.Print_Area,5,FALSE))," ",(VLOOKUP(C692,'[1]خريطة الحسابات'!_xlnm.Print_Area,5,FALSE)))</f>
        <v xml:space="preserve">الدائنون والأرصدة الدائنة الأخرى </v>
      </c>
      <c r="O692" s="129" t="s">
        <v>1612</v>
      </c>
      <c r="P692" s="128" t="s">
        <v>1315</v>
      </c>
    </row>
    <row r="693" spans="1:16" ht="15.6">
      <c r="A693" s="104">
        <v>44</v>
      </c>
      <c r="B693" s="131">
        <v>46037</v>
      </c>
      <c r="C693" s="141">
        <v>20</v>
      </c>
      <c r="D693" s="140" t="str">
        <f>IF(ISERROR(VLOOKUP(C693,'[1]خريطة الحسابات'!_xlnm.Print_Area,3,FALSE))," ",(VLOOKUP(C693,'[1]خريطة الحسابات'!_xlnm.Print_Area,3,FALSE)))</f>
        <v xml:space="preserve">الخزينة </v>
      </c>
      <c r="E693" s="132"/>
      <c r="F693" s="133"/>
      <c r="G693" s="133">
        <v>20020</v>
      </c>
      <c r="H693" s="134">
        <f t="shared" si="31"/>
        <v>0</v>
      </c>
      <c r="I693" s="134">
        <f t="shared" si="31"/>
        <v>20020</v>
      </c>
      <c r="J693" s="134">
        <f t="shared" si="30"/>
        <v>-20020</v>
      </c>
      <c r="K693" s="135"/>
      <c r="L693" s="136" t="str">
        <f t="shared" si="32"/>
        <v>دائن</v>
      </c>
      <c r="M693" s="137" t="str">
        <f>IF(ISERROR(VLOOKUP(C693,'[1]خريطة الحسابات'!_xlnm.Print_Area,4,FALSE))," ",(VLOOKUP(C693,'[1]خريطة الحسابات'!_xlnm.Print_Area,4,FALSE)))</f>
        <v xml:space="preserve">أصول متداوله -النقدية ومافي حكمها </v>
      </c>
      <c r="N693" s="138" t="str">
        <f>IF(ISERROR(VLOOKUP(C693,'[1]خريطة الحسابات'!_xlnm.Print_Area,5,FALSE))," ",(VLOOKUP(C693,'[1]خريطة الحسابات'!_xlnm.Print_Area,5,FALSE)))</f>
        <v>الاصول</v>
      </c>
      <c r="O693" s="129" t="s">
        <v>1609</v>
      </c>
      <c r="P693" s="128" t="s">
        <v>1342</v>
      </c>
    </row>
    <row r="694" spans="1:16" ht="15.6">
      <c r="A694" s="104">
        <v>44</v>
      </c>
      <c r="B694" s="131">
        <v>46044</v>
      </c>
      <c r="C694" s="141">
        <v>20</v>
      </c>
      <c r="D694" s="140" t="str">
        <f>IF(ISERROR(VLOOKUP(C694,'[1]خريطة الحسابات'!_xlnm.Print_Area,3,FALSE))," ",(VLOOKUP(C694,'[1]خريطة الحسابات'!_xlnm.Print_Area,3,FALSE)))</f>
        <v xml:space="preserve">الخزينة </v>
      </c>
      <c r="E694" s="132"/>
      <c r="F694" s="133"/>
      <c r="G694" s="133">
        <v>12120</v>
      </c>
      <c r="H694" s="134">
        <f t="shared" si="31"/>
        <v>0</v>
      </c>
      <c r="I694" s="134">
        <f t="shared" si="31"/>
        <v>12120</v>
      </c>
      <c r="J694" s="134">
        <f t="shared" si="30"/>
        <v>-12120</v>
      </c>
      <c r="K694" s="135"/>
      <c r="L694" s="136" t="str">
        <f t="shared" si="32"/>
        <v>دائن</v>
      </c>
      <c r="M694" s="137" t="str">
        <f>IF(ISERROR(VLOOKUP(C694,'[1]خريطة الحسابات'!_xlnm.Print_Area,4,FALSE))," ",(VLOOKUP(C694,'[1]خريطة الحسابات'!_xlnm.Print_Area,4,FALSE)))</f>
        <v xml:space="preserve">أصول متداوله -النقدية ومافي حكمها </v>
      </c>
      <c r="N694" s="138" t="str">
        <f>IF(ISERROR(VLOOKUP(C694,'[1]خريطة الحسابات'!_xlnm.Print_Area,5,FALSE))," ",(VLOOKUP(C694,'[1]خريطة الحسابات'!_xlnm.Print_Area,5,FALSE)))</f>
        <v>الاصول</v>
      </c>
      <c r="O694" s="129" t="s">
        <v>1610</v>
      </c>
      <c r="P694" s="128" t="s">
        <v>1299</v>
      </c>
    </row>
    <row r="695" spans="1:16" ht="15.6">
      <c r="A695" s="104">
        <v>44</v>
      </c>
      <c r="B695" s="131">
        <v>46065</v>
      </c>
      <c r="C695" s="141">
        <v>20</v>
      </c>
      <c r="D695" s="140" t="str">
        <f>IF(ISERROR(VLOOKUP(C695,'[1]خريطة الحسابات'!_xlnm.Print_Area,3,FALSE))," ",(VLOOKUP(C695,'[1]خريطة الحسابات'!_xlnm.Print_Area,3,FALSE)))</f>
        <v xml:space="preserve">الخزينة </v>
      </c>
      <c r="E695" s="132"/>
      <c r="F695" s="133"/>
      <c r="G695" s="133">
        <v>6597</v>
      </c>
      <c r="H695" s="134">
        <f t="shared" si="31"/>
        <v>0</v>
      </c>
      <c r="I695" s="134">
        <f t="shared" si="31"/>
        <v>6597</v>
      </c>
      <c r="J695" s="134">
        <f t="shared" si="30"/>
        <v>-6597</v>
      </c>
      <c r="K695" s="135"/>
      <c r="L695" s="136" t="str">
        <f t="shared" si="32"/>
        <v>دائن</v>
      </c>
      <c r="M695" s="137" t="str">
        <f>IF(ISERROR(VLOOKUP(C695,'[1]خريطة الحسابات'!_xlnm.Print_Area,4,FALSE))," ",(VLOOKUP(C695,'[1]خريطة الحسابات'!_xlnm.Print_Area,4,FALSE)))</f>
        <v xml:space="preserve">أصول متداوله -النقدية ومافي حكمها </v>
      </c>
      <c r="N695" s="138" t="str">
        <f>IF(ISERROR(VLOOKUP(C695,'[1]خريطة الحسابات'!_xlnm.Print_Area,5,FALSE))," ",(VLOOKUP(C695,'[1]خريطة الحسابات'!_xlnm.Print_Area,5,FALSE)))</f>
        <v>الاصول</v>
      </c>
      <c r="O695" s="129" t="s">
        <v>1611</v>
      </c>
      <c r="P695" s="128" t="s">
        <v>1304</v>
      </c>
    </row>
    <row r="696" spans="1:16" ht="15.6">
      <c r="A696" s="104">
        <v>44</v>
      </c>
      <c r="B696" s="131">
        <v>46065</v>
      </c>
      <c r="C696" s="141">
        <v>20</v>
      </c>
      <c r="D696" s="140" t="str">
        <f>IF(ISERROR(VLOOKUP(C696,'[1]خريطة الحسابات'!_xlnm.Print_Area,3,FALSE))," ",(VLOOKUP(C696,'[1]خريطة الحسابات'!_xlnm.Print_Area,3,FALSE)))</f>
        <v xml:space="preserve">الخزينة </v>
      </c>
      <c r="E696" s="132"/>
      <c r="F696" s="133"/>
      <c r="G696" s="133">
        <v>615</v>
      </c>
      <c r="H696" s="134">
        <f t="shared" si="31"/>
        <v>0</v>
      </c>
      <c r="I696" s="134">
        <f t="shared" si="31"/>
        <v>615</v>
      </c>
      <c r="J696" s="134">
        <f t="shared" si="30"/>
        <v>-615</v>
      </c>
      <c r="K696" s="135"/>
      <c r="L696" s="136" t="str">
        <f t="shared" si="32"/>
        <v>دائن</v>
      </c>
      <c r="M696" s="137" t="str">
        <f>IF(ISERROR(VLOOKUP(C696,'[1]خريطة الحسابات'!_xlnm.Print_Area,4,FALSE))," ",(VLOOKUP(C696,'[1]خريطة الحسابات'!_xlnm.Print_Area,4,FALSE)))</f>
        <v xml:space="preserve">أصول متداوله -النقدية ومافي حكمها </v>
      </c>
      <c r="N696" s="138" t="str">
        <f>IF(ISERROR(VLOOKUP(C696,'[1]خريطة الحسابات'!_xlnm.Print_Area,5,FALSE))," ",(VLOOKUP(C696,'[1]خريطة الحسابات'!_xlnm.Print_Area,5,FALSE)))</f>
        <v>الاصول</v>
      </c>
      <c r="O696" s="129" t="s">
        <v>1612</v>
      </c>
      <c r="P696" s="128" t="s">
        <v>1315</v>
      </c>
    </row>
    <row r="697" spans="1:16" ht="15.6">
      <c r="A697" s="104">
        <v>45</v>
      </c>
      <c r="B697" s="131">
        <v>46043</v>
      </c>
      <c r="C697" s="141">
        <v>4014</v>
      </c>
      <c r="D697" s="140" t="str">
        <f>IF(ISERROR(VLOOKUP(C697,'[1]خريطة الحسابات'!_xlnm.Print_Area,3,FALSE))," ",(VLOOKUP(C697,'[1]خريطة الحسابات'!_xlnm.Print_Area,3,FALSE)))</f>
        <v>محمد السباك</v>
      </c>
      <c r="E697" s="132"/>
      <c r="F697" s="133">
        <v>8008</v>
      </c>
      <c r="G697" s="133"/>
      <c r="H697" s="134">
        <f t="shared" si="31"/>
        <v>8008</v>
      </c>
      <c r="I697" s="134">
        <f t="shared" si="31"/>
        <v>0</v>
      </c>
      <c r="J697" s="134">
        <f t="shared" si="30"/>
        <v>8008</v>
      </c>
      <c r="K697" s="135"/>
      <c r="L697" s="136" t="str">
        <f t="shared" si="32"/>
        <v>مدين</v>
      </c>
      <c r="M697" s="137" t="str">
        <f>IF(ISERROR(VLOOKUP(C697,'[1]خريطة الحسابات'!_xlnm.Print_Area,4,FALSE))," ",(VLOOKUP(C697,'[1]خريطة الحسابات'!_xlnm.Print_Area,4,FALSE)))</f>
        <v xml:space="preserve">مقاولين </v>
      </c>
      <c r="N697" s="138" t="str">
        <f>IF(ISERROR(VLOOKUP(C697,'[1]خريطة الحسابات'!_xlnm.Print_Area,5,FALSE))," ",(VLOOKUP(C697,'[1]خريطة الحسابات'!_xlnm.Print_Area,5,FALSE)))</f>
        <v xml:space="preserve">الدائنون والأرصدة الدائنة الأخرى </v>
      </c>
      <c r="O697" s="129" t="s">
        <v>1613</v>
      </c>
      <c r="P697" s="128" t="s">
        <v>1315</v>
      </c>
    </row>
    <row r="698" spans="1:16" ht="15.6">
      <c r="A698" s="104">
        <v>45</v>
      </c>
      <c r="B698" s="131">
        <v>46050</v>
      </c>
      <c r="C698" s="141">
        <v>4014</v>
      </c>
      <c r="D698" s="140" t="str">
        <f>IF(ISERROR(VLOOKUP(C698,'[1]خريطة الحسابات'!_xlnm.Print_Area,3,FALSE))," ",(VLOOKUP(C698,'[1]خريطة الحسابات'!_xlnm.Print_Area,3,FALSE)))</f>
        <v>محمد السباك</v>
      </c>
      <c r="E698" s="132"/>
      <c r="F698" s="133">
        <v>8809</v>
      </c>
      <c r="G698" s="133"/>
      <c r="H698" s="134">
        <f t="shared" si="31"/>
        <v>8809</v>
      </c>
      <c r="I698" s="134">
        <f t="shared" si="31"/>
        <v>0</v>
      </c>
      <c r="J698" s="134">
        <f t="shared" si="30"/>
        <v>8809</v>
      </c>
      <c r="K698" s="135"/>
      <c r="L698" s="136" t="str">
        <f t="shared" si="32"/>
        <v>مدين</v>
      </c>
      <c r="M698" s="137" t="str">
        <f>IF(ISERROR(VLOOKUP(C698,'[1]خريطة الحسابات'!_xlnm.Print_Area,4,FALSE))," ",(VLOOKUP(C698,'[1]خريطة الحسابات'!_xlnm.Print_Area,4,FALSE)))</f>
        <v xml:space="preserve">مقاولين </v>
      </c>
      <c r="N698" s="138" t="str">
        <f>IF(ISERROR(VLOOKUP(C698,'[1]خريطة الحسابات'!_xlnm.Print_Area,5,FALSE))," ",(VLOOKUP(C698,'[1]خريطة الحسابات'!_xlnm.Print_Area,5,FALSE)))</f>
        <v xml:space="preserve">الدائنون والأرصدة الدائنة الأخرى </v>
      </c>
      <c r="O698" s="129" t="s">
        <v>1613</v>
      </c>
      <c r="P698" s="128" t="s">
        <v>1315</v>
      </c>
    </row>
    <row r="699" spans="1:16" ht="15.6">
      <c r="A699" s="104">
        <v>45</v>
      </c>
      <c r="B699" s="131">
        <v>46058</v>
      </c>
      <c r="C699" s="141">
        <v>4014</v>
      </c>
      <c r="D699" s="140" t="str">
        <f>IF(ISERROR(VLOOKUP(C699,'[1]خريطة الحسابات'!_xlnm.Print_Area,3,FALSE))," ",(VLOOKUP(C699,'[1]خريطة الحسابات'!_xlnm.Print_Area,3,FALSE)))</f>
        <v>محمد السباك</v>
      </c>
      <c r="E699" s="132"/>
      <c r="F699" s="133">
        <v>4155</v>
      </c>
      <c r="G699" s="133"/>
      <c r="H699" s="134">
        <f t="shared" si="31"/>
        <v>4155</v>
      </c>
      <c r="I699" s="134">
        <f t="shared" si="31"/>
        <v>0</v>
      </c>
      <c r="J699" s="134">
        <f t="shared" si="30"/>
        <v>4155</v>
      </c>
      <c r="K699" s="135"/>
      <c r="L699" s="136" t="str">
        <f t="shared" si="32"/>
        <v>مدين</v>
      </c>
      <c r="M699" s="137" t="str">
        <f>IF(ISERROR(VLOOKUP(C699,'[1]خريطة الحسابات'!_xlnm.Print_Area,4,FALSE))," ",(VLOOKUP(C699,'[1]خريطة الحسابات'!_xlnm.Print_Area,4,FALSE)))</f>
        <v xml:space="preserve">مقاولين </v>
      </c>
      <c r="N699" s="138" t="str">
        <f>IF(ISERROR(VLOOKUP(C699,'[1]خريطة الحسابات'!_xlnm.Print_Area,5,FALSE))," ",(VLOOKUP(C699,'[1]خريطة الحسابات'!_xlnm.Print_Area,5,FALSE)))</f>
        <v xml:space="preserve">الدائنون والأرصدة الدائنة الأخرى </v>
      </c>
      <c r="O699" s="129" t="s">
        <v>1614</v>
      </c>
      <c r="P699" s="128" t="s">
        <v>1315</v>
      </c>
    </row>
    <row r="700" spans="1:16" ht="15.6">
      <c r="A700" s="104">
        <v>45</v>
      </c>
      <c r="B700" s="131">
        <v>46163</v>
      </c>
      <c r="C700" s="141">
        <v>4014</v>
      </c>
      <c r="D700" s="140" t="str">
        <f>IF(ISERROR(VLOOKUP(C700,'[1]خريطة الحسابات'!_xlnm.Print_Area,3,FALSE))," ",(VLOOKUP(C700,'[1]خريطة الحسابات'!_xlnm.Print_Area,3,FALSE)))</f>
        <v>محمد السباك</v>
      </c>
      <c r="E700" s="132"/>
      <c r="F700" s="133">
        <v>4004</v>
      </c>
      <c r="G700" s="133"/>
      <c r="H700" s="134">
        <f t="shared" si="31"/>
        <v>4004</v>
      </c>
      <c r="I700" s="134">
        <f t="shared" si="31"/>
        <v>0</v>
      </c>
      <c r="J700" s="134">
        <f t="shared" si="30"/>
        <v>4004</v>
      </c>
      <c r="K700" s="135"/>
      <c r="L700" s="136" t="str">
        <f t="shared" si="32"/>
        <v>مدين</v>
      </c>
      <c r="M700" s="137" t="str">
        <f>IF(ISERROR(VLOOKUP(C700,'[1]خريطة الحسابات'!_xlnm.Print_Area,4,FALSE))," ",(VLOOKUP(C700,'[1]خريطة الحسابات'!_xlnm.Print_Area,4,FALSE)))</f>
        <v xml:space="preserve">مقاولين </v>
      </c>
      <c r="N700" s="138" t="str">
        <f>IF(ISERROR(VLOOKUP(C700,'[1]خريطة الحسابات'!_xlnm.Print_Area,5,FALSE))," ",(VLOOKUP(C700,'[1]خريطة الحسابات'!_xlnm.Print_Area,5,FALSE)))</f>
        <v xml:space="preserve">الدائنون والأرصدة الدائنة الأخرى </v>
      </c>
      <c r="O700" s="129" t="s">
        <v>1615</v>
      </c>
      <c r="P700" s="128" t="s">
        <v>1345</v>
      </c>
    </row>
    <row r="701" spans="1:16" ht="15.6">
      <c r="A701" s="104">
        <v>45</v>
      </c>
      <c r="B701" s="131">
        <v>46043</v>
      </c>
      <c r="C701" s="141">
        <v>20</v>
      </c>
      <c r="D701" s="140" t="str">
        <f>IF(ISERROR(VLOOKUP(C701,'[1]خريطة الحسابات'!_xlnm.Print_Area,3,FALSE))," ",(VLOOKUP(C701,'[1]خريطة الحسابات'!_xlnm.Print_Area,3,FALSE)))</f>
        <v xml:space="preserve">الخزينة </v>
      </c>
      <c r="E701" s="132"/>
      <c r="F701" s="133"/>
      <c r="G701" s="133">
        <v>8008</v>
      </c>
      <c r="H701" s="134">
        <f t="shared" si="31"/>
        <v>0</v>
      </c>
      <c r="I701" s="134">
        <f t="shared" si="31"/>
        <v>8008</v>
      </c>
      <c r="J701" s="134">
        <f t="shared" si="30"/>
        <v>-8008</v>
      </c>
      <c r="K701" s="135"/>
      <c r="L701" s="136" t="str">
        <f t="shared" si="32"/>
        <v>دائن</v>
      </c>
      <c r="M701" s="137" t="str">
        <f>IF(ISERROR(VLOOKUP(C701,'[1]خريطة الحسابات'!_xlnm.Print_Area,4,FALSE))," ",(VLOOKUP(C701,'[1]خريطة الحسابات'!_xlnm.Print_Area,4,FALSE)))</f>
        <v xml:space="preserve">أصول متداوله -النقدية ومافي حكمها </v>
      </c>
      <c r="N701" s="138" t="str">
        <f>IF(ISERROR(VLOOKUP(C701,'[1]خريطة الحسابات'!_xlnm.Print_Area,5,FALSE))," ",(VLOOKUP(C701,'[1]خريطة الحسابات'!_xlnm.Print_Area,5,FALSE)))</f>
        <v>الاصول</v>
      </c>
      <c r="O701" s="129" t="s">
        <v>1613</v>
      </c>
      <c r="P701" s="128" t="s">
        <v>1315</v>
      </c>
    </row>
    <row r="702" spans="1:16" ht="15.6">
      <c r="A702" s="104">
        <v>45</v>
      </c>
      <c r="B702" s="131">
        <v>46050</v>
      </c>
      <c r="C702" s="141">
        <v>20</v>
      </c>
      <c r="D702" s="140" t="str">
        <f>IF(ISERROR(VLOOKUP(C702,'[1]خريطة الحسابات'!_xlnm.Print_Area,3,FALSE))," ",(VLOOKUP(C702,'[1]خريطة الحسابات'!_xlnm.Print_Area,3,FALSE)))</f>
        <v xml:space="preserve">الخزينة </v>
      </c>
      <c r="E702" s="132"/>
      <c r="F702" s="133"/>
      <c r="G702" s="133">
        <v>8809</v>
      </c>
      <c r="H702" s="134">
        <f t="shared" si="31"/>
        <v>0</v>
      </c>
      <c r="I702" s="134">
        <f t="shared" si="31"/>
        <v>8809</v>
      </c>
      <c r="J702" s="134">
        <f t="shared" si="30"/>
        <v>-8809</v>
      </c>
      <c r="K702" s="135"/>
      <c r="L702" s="136" t="str">
        <f t="shared" si="32"/>
        <v>دائن</v>
      </c>
      <c r="M702" s="137" t="str">
        <f>IF(ISERROR(VLOOKUP(C702,'[1]خريطة الحسابات'!_xlnm.Print_Area,4,FALSE))," ",(VLOOKUP(C702,'[1]خريطة الحسابات'!_xlnm.Print_Area,4,FALSE)))</f>
        <v xml:space="preserve">أصول متداوله -النقدية ومافي حكمها </v>
      </c>
      <c r="N702" s="138" t="str">
        <f>IF(ISERROR(VLOOKUP(C702,'[1]خريطة الحسابات'!_xlnm.Print_Area,5,FALSE))," ",(VLOOKUP(C702,'[1]خريطة الحسابات'!_xlnm.Print_Area,5,FALSE)))</f>
        <v>الاصول</v>
      </c>
      <c r="O702" s="129" t="s">
        <v>1613</v>
      </c>
      <c r="P702" s="128" t="s">
        <v>1315</v>
      </c>
    </row>
    <row r="703" spans="1:16" ht="15.6">
      <c r="A703" s="104">
        <v>45</v>
      </c>
      <c r="B703" s="131">
        <v>46058</v>
      </c>
      <c r="C703" s="141">
        <v>20</v>
      </c>
      <c r="D703" s="140" t="str">
        <f>IF(ISERROR(VLOOKUP(C703,'[1]خريطة الحسابات'!_xlnm.Print_Area,3,FALSE))," ",(VLOOKUP(C703,'[1]خريطة الحسابات'!_xlnm.Print_Area,3,FALSE)))</f>
        <v xml:space="preserve">الخزينة </v>
      </c>
      <c r="E703" s="132"/>
      <c r="F703" s="133"/>
      <c r="G703" s="133">
        <v>4155</v>
      </c>
      <c r="H703" s="134">
        <f t="shared" si="31"/>
        <v>0</v>
      </c>
      <c r="I703" s="134">
        <f t="shared" si="31"/>
        <v>4155</v>
      </c>
      <c r="J703" s="134">
        <f t="shared" si="30"/>
        <v>-4155</v>
      </c>
      <c r="K703" s="135"/>
      <c r="L703" s="136" t="str">
        <f t="shared" si="32"/>
        <v>دائن</v>
      </c>
      <c r="M703" s="137" t="str">
        <f>IF(ISERROR(VLOOKUP(C703,'[1]خريطة الحسابات'!_xlnm.Print_Area,4,FALSE))," ",(VLOOKUP(C703,'[1]خريطة الحسابات'!_xlnm.Print_Area,4,FALSE)))</f>
        <v xml:space="preserve">أصول متداوله -النقدية ومافي حكمها </v>
      </c>
      <c r="N703" s="138" t="str">
        <f>IF(ISERROR(VLOOKUP(C703,'[1]خريطة الحسابات'!_xlnm.Print_Area,5,FALSE))," ",(VLOOKUP(C703,'[1]خريطة الحسابات'!_xlnm.Print_Area,5,FALSE)))</f>
        <v>الاصول</v>
      </c>
      <c r="O703" s="129" t="s">
        <v>1614</v>
      </c>
      <c r="P703" s="128" t="s">
        <v>1315</v>
      </c>
    </row>
    <row r="704" spans="1:16" ht="15.6">
      <c r="A704" s="104">
        <v>45</v>
      </c>
      <c r="B704" s="131">
        <v>46163</v>
      </c>
      <c r="C704" s="141">
        <v>20</v>
      </c>
      <c r="D704" s="140" t="str">
        <f>IF(ISERROR(VLOOKUP(C704,'[1]خريطة الحسابات'!_xlnm.Print_Area,3,FALSE))," ",(VLOOKUP(C704,'[1]خريطة الحسابات'!_xlnm.Print_Area,3,FALSE)))</f>
        <v xml:space="preserve">الخزينة </v>
      </c>
      <c r="E704" s="132"/>
      <c r="F704" s="133"/>
      <c r="G704" s="133">
        <v>4004</v>
      </c>
      <c r="H704" s="134">
        <f t="shared" si="31"/>
        <v>0</v>
      </c>
      <c r="I704" s="134">
        <f t="shared" si="31"/>
        <v>4004</v>
      </c>
      <c r="J704" s="134">
        <f t="shared" si="30"/>
        <v>-4004</v>
      </c>
      <c r="K704" s="135"/>
      <c r="L704" s="136" t="str">
        <f t="shared" si="32"/>
        <v>دائن</v>
      </c>
      <c r="M704" s="137" t="str">
        <f>IF(ISERROR(VLOOKUP(C704,'[1]خريطة الحسابات'!_xlnm.Print_Area,4,FALSE))," ",(VLOOKUP(C704,'[1]خريطة الحسابات'!_xlnm.Print_Area,4,FALSE)))</f>
        <v xml:space="preserve">أصول متداوله -النقدية ومافي حكمها </v>
      </c>
      <c r="N704" s="138" t="str">
        <f>IF(ISERROR(VLOOKUP(C704,'[1]خريطة الحسابات'!_xlnm.Print_Area,5,FALSE))," ",(VLOOKUP(C704,'[1]خريطة الحسابات'!_xlnm.Print_Area,5,FALSE)))</f>
        <v>الاصول</v>
      </c>
      <c r="O704" s="129" t="s">
        <v>1615</v>
      </c>
      <c r="P704" s="128" t="s">
        <v>1345</v>
      </c>
    </row>
    <row r="705" spans="1:16">
      <c r="A705" s="104">
        <v>46</v>
      </c>
      <c r="B705" s="131">
        <v>46028</v>
      </c>
      <c r="C705" s="54">
        <v>4037</v>
      </c>
      <c r="D705" s="140" t="str">
        <f>IF(ISERROR(VLOOKUP(C705,'[1]خريطة الحسابات'!_xlnm.Print_Area,3,FALSE))," ",(VLOOKUP(C705,'[1]خريطة الحسابات'!_xlnm.Print_Area,3,FALSE)))</f>
        <v>محمود الجبس</v>
      </c>
      <c r="E705" s="132"/>
      <c r="F705" s="133">
        <v>40000</v>
      </c>
      <c r="G705" s="133"/>
      <c r="H705" s="134">
        <f t="shared" si="31"/>
        <v>40000</v>
      </c>
      <c r="I705" s="134">
        <f t="shared" si="31"/>
        <v>0</v>
      </c>
      <c r="J705" s="134">
        <f t="shared" si="30"/>
        <v>40000</v>
      </c>
      <c r="K705" s="135"/>
      <c r="L705" s="136" t="str">
        <f t="shared" si="32"/>
        <v>مدين</v>
      </c>
      <c r="M705" s="137" t="str">
        <f>IF(ISERROR(VLOOKUP(C705,'[1]خريطة الحسابات'!_xlnm.Print_Area,4,FALSE))," ",(VLOOKUP(C705,'[1]خريطة الحسابات'!_xlnm.Print_Area,4,FALSE)))</f>
        <v xml:space="preserve">مقاولين </v>
      </c>
      <c r="N705" s="138" t="str">
        <f>IF(ISERROR(VLOOKUP(C705,'[1]خريطة الحسابات'!_xlnm.Print_Area,5,FALSE))," ",(VLOOKUP(C705,'[1]خريطة الحسابات'!_xlnm.Print_Area,5,FALSE)))</f>
        <v xml:space="preserve">الدائنون والأرصدة الدائنة الأخرى </v>
      </c>
      <c r="O705" s="139" t="s">
        <v>1616</v>
      </c>
      <c r="P705" s="139" t="s">
        <v>1292</v>
      </c>
    </row>
    <row r="706" spans="1:16">
      <c r="A706" s="104">
        <v>46</v>
      </c>
      <c r="B706" s="131">
        <v>46034</v>
      </c>
      <c r="C706" s="54">
        <v>4037</v>
      </c>
      <c r="D706" s="140" t="str">
        <f>IF(ISERROR(VLOOKUP(C706,'[1]خريطة الحسابات'!_xlnm.Print_Area,3,FALSE))," ",(VLOOKUP(C706,'[1]خريطة الحسابات'!_xlnm.Print_Area,3,FALSE)))</f>
        <v>محمود الجبس</v>
      </c>
      <c r="E706" s="132"/>
      <c r="F706" s="133">
        <v>40020</v>
      </c>
      <c r="G706" s="133"/>
      <c r="H706" s="134">
        <f t="shared" si="31"/>
        <v>40020</v>
      </c>
      <c r="I706" s="134">
        <f t="shared" si="31"/>
        <v>0</v>
      </c>
      <c r="J706" s="134">
        <f t="shared" si="30"/>
        <v>40020</v>
      </c>
      <c r="K706" s="135"/>
      <c r="L706" s="136" t="str">
        <f t="shared" si="32"/>
        <v>مدين</v>
      </c>
      <c r="M706" s="137" t="str">
        <f>IF(ISERROR(VLOOKUP(C706,'[1]خريطة الحسابات'!_xlnm.Print_Area,4,FALSE))," ",(VLOOKUP(C706,'[1]خريطة الحسابات'!_xlnm.Print_Area,4,FALSE)))</f>
        <v xml:space="preserve">مقاولين </v>
      </c>
      <c r="N706" s="138" t="str">
        <f>IF(ISERROR(VLOOKUP(C706,'[1]خريطة الحسابات'!_xlnm.Print_Area,5,FALSE))," ",(VLOOKUP(C706,'[1]خريطة الحسابات'!_xlnm.Print_Area,5,FALSE)))</f>
        <v xml:space="preserve">الدائنون والأرصدة الدائنة الأخرى </v>
      </c>
      <c r="O706" s="139" t="s">
        <v>1617</v>
      </c>
      <c r="P706" s="139" t="s">
        <v>1290</v>
      </c>
    </row>
    <row r="707" spans="1:16">
      <c r="A707" s="104">
        <v>46</v>
      </c>
      <c r="B707" s="131">
        <v>46071</v>
      </c>
      <c r="C707" s="54">
        <v>4037</v>
      </c>
      <c r="D707" s="140" t="str">
        <f>IF(ISERROR(VLOOKUP(C707,'[1]خريطة الحسابات'!_xlnm.Print_Area,3,FALSE))," ",(VLOOKUP(C707,'[1]خريطة الحسابات'!_xlnm.Print_Area,3,FALSE)))</f>
        <v>محمود الجبس</v>
      </c>
      <c r="E707" s="132"/>
      <c r="F707" s="133">
        <v>50000</v>
      </c>
      <c r="G707" s="133"/>
      <c r="H707" s="134">
        <f t="shared" si="31"/>
        <v>50000</v>
      </c>
      <c r="I707" s="134">
        <f t="shared" si="31"/>
        <v>0</v>
      </c>
      <c r="J707" s="134">
        <f t="shared" si="30"/>
        <v>50000</v>
      </c>
      <c r="K707" s="135"/>
      <c r="L707" s="136" t="str">
        <f t="shared" si="32"/>
        <v>مدين</v>
      </c>
      <c r="M707" s="137" t="str">
        <f>IF(ISERROR(VLOOKUP(C707,'[1]خريطة الحسابات'!_xlnm.Print_Area,4,FALSE))," ",(VLOOKUP(C707,'[1]خريطة الحسابات'!_xlnm.Print_Area,4,FALSE)))</f>
        <v xml:space="preserve">مقاولين </v>
      </c>
      <c r="N707" s="138" t="str">
        <f>IF(ISERROR(VLOOKUP(C707,'[1]خريطة الحسابات'!_xlnm.Print_Area,5,FALSE))," ",(VLOOKUP(C707,'[1]خريطة الحسابات'!_xlnm.Print_Area,5,FALSE)))</f>
        <v xml:space="preserve">الدائنون والأرصدة الدائنة الأخرى </v>
      </c>
      <c r="O707" s="139" t="s">
        <v>1618</v>
      </c>
      <c r="P707" s="139" t="s">
        <v>1292</v>
      </c>
    </row>
    <row r="708" spans="1:16">
      <c r="A708" s="104">
        <v>46</v>
      </c>
      <c r="B708" s="131">
        <v>46097</v>
      </c>
      <c r="C708" s="54">
        <v>4037</v>
      </c>
      <c r="D708" s="140" t="str">
        <f>IF(ISERROR(VLOOKUP(C708,'[1]خريطة الحسابات'!_xlnm.Print_Area,3,FALSE))," ",(VLOOKUP(C708,'[1]خريطة الحسابات'!_xlnm.Print_Area,3,FALSE)))</f>
        <v>محمود الجبس</v>
      </c>
      <c r="E708" s="132"/>
      <c r="F708" s="133">
        <v>70000</v>
      </c>
      <c r="G708" s="133"/>
      <c r="H708" s="134">
        <f t="shared" si="31"/>
        <v>70000</v>
      </c>
      <c r="I708" s="134">
        <f t="shared" si="31"/>
        <v>0</v>
      </c>
      <c r="J708" s="134">
        <f t="shared" si="30"/>
        <v>70000</v>
      </c>
      <c r="K708" s="135"/>
      <c r="L708" s="136" t="str">
        <f t="shared" si="32"/>
        <v>مدين</v>
      </c>
      <c r="M708" s="137" t="str">
        <f>IF(ISERROR(VLOOKUP(C708,'[1]خريطة الحسابات'!_xlnm.Print_Area,4,FALSE))," ",(VLOOKUP(C708,'[1]خريطة الحسابات'!_xlnm.Print_Area,4,FALSE)))</f>
        <v xml:space="preserve">مقاولين </v>
      </c>
      <c r="N708" s="138" t="str">
        <f>IF(ISERROR(VLOOKUP(C708,'[1]خريطة الحسابات'!_xlnm.Print_Area,5,FALSE))," ",(VLOOKUP(C708,'[1]خريطة الحسابات'!_xlnm.Print_Area,5,FALSE)))</f>
        <v xml:space="preserve">الدائنون والأرصدة الدائنة الأخرى </v>
      </c>
      <c r="O708" s="139" t="s">
        <v>1618</v>
      </c>
      <c r="P708" s="139" t="s">
        <v>1315</v>
      </c>
    </row>
    <row r="709" spans="1:16">
      <c r="A709" s="104">
        <v>46</v>
      </c>
      <c r="B709" s="131">
        <v>46121</v>
      </c>
      <c r="C709" s="54">
        <v>4037</v>
      </c>
      <c r="D709" s="140" t="str">
        <f>IF(ISERROR(VLOOKUP(C709,'[1]خريطة الحسابات'!_xlnm.Print_Area,3,FALSE))," ",(VLOOKUP(C709,'[1]خريطة الحسابات'!_xlnm.Print_Area,3,FALSE)))</f>
        <v>محمود الجبس</v>
      </c>
      <c r="E709" s="132"/>
      <c r="F709" s="133">
        <v>20020</v>
      </c>
      <c r="G709" s="133"/>
      <c r="H709" s="134">
        <f t="shared" si="31"/>
        <v>20020</v>
      </c>
      <c r="I709" s="134">
        <f t="shared" si="31"/>
        <v>0</v>
      </c>
      <c r="J709" s="134">
        <f t="shared" si="30"/>
        <v>20020</v>
      </c>
      <c r="K709" s="135"/>
      <c r="L709" s="136" t="str">
        <f t="shared" si="32"/>
        <v>مدين</v>
      </c>
      <c r="M709" s="137" t="str">
        <f>IF(ISERROR(VLOOKUP(C709,'[1]خريطة الحسابات'!_xlnm.Print_Area,4,FALSE))," ",(VLOOKUP(C709,'[1]خريطة الحسابات'!_xlnm.Print_Area,4,FALSE)))</f>
        <v xml:space="preserve">مقاولين </v>
      </c>
      <c r="N709" s="138" t="str">
        <f>IF(ISERROR(VLOOKUP(C709,'[1]خريطة الحسابات'!_xlnm.Print_Area,5,FALSE))," ",(VLOOKUP(C709,'[1]خريطة الحسابات'!_xlnm.Print_Area,5,FALSE)))</f>
        <v xml:space="preserve">الدائنون والأرصدة الدائنة الأخرى </v>
      </c>
      <c r="O709" s="139" t="s">
        <v>1619</v>
      </c>
      <c r="P709" s="139" t="s">
        <v>1342</v>
      </c>
    </row>
    <row r="710" spans="1:16">
      <c r="A710" s="104">
        <v>46</v>
      </c>
      <c r="B710" s="131">
        <v>46139</v>
      </c>
      <c r="C710" s="54">
        <v>4037</v>
      </c>
      <c r="D710" s="140" t="str">
        <f>IF(ISERROR(VLOOKUP(C710,'[1]خريطة الحسابات'!_xlnm.Print_Area,3,FALSE))," ",(VLOOKUP(C710,'[1]خريطة الحسابات'!_xlnm.Print_Area,3,FALSE)))</f>
        <v>محمود الجبس</v>
      </c>
      <c r="E710" s="132"/>
      <c r="F710" s="133">
        <v>30000</v>
      </c>
      <c r="G710" s="133"/>
      <c r="H710" s="134">
        <f t="shared" si="31"/>
        <v>30000</v>
      </c>
      <c r="I710" s="134">
        <f t="shared" si="31"/>
        <v>0</v>
      </c>
      <c r="J710" s="134">
        <f t="shared" si="30"/>
        <v>30000</v>
      </c>
      <c r="K710" s="135"/>
      <c r="L710" s="136" t="str">
        <f t="shared" si="32"/>
        <v>مدين</v>
      </c>
      <c r="M710" s="137" t="str">
        <f>IF(ISERROR(VLOOKUP(C710,'[1]خريطة الحسابات'!_xlnm.Print_Area,4,FALSE))," ",(VLOOKUP(C710,'[1]خريطة الحسابات'!_xlnm.Print_Area,4,FALSE)))</f>
        <v xml:space="preserve">مقاولين </v>
      </c>
      <c r="N710" s="138" t="str">
        <f>IF(ISERROR(VLOOKUP(C710,'[1]خريطة الحسابات'!_xlnm.Print_Area,5,FALSE))," ",(VLOOKUP(C710,'[1]خريطة الحسابات'!_xlnm.Print_Area,5,FALSE)))</f>
        <v xml:space="preserve">الدائنون والأرصدة الدائنة الأخرى </v>
      </c>
      <c r="O710" s="139" t="s">
        <v>1620</v>
      </c>
      <c r="P710" s="139" t="s">
        <v>1342</v>
      </c>
    </row>
    <row r="711" spans="1:16">
      <c r="A711" s="104">
        <v>46</v>
      </c>
      <c r="B711" s="131">
        <v>46161</v>
      </c>
      <c r="C711" s="54">
        <v>4037</v>
      </c>
      <c r="D711" s="140" t="str">
        <f>IF(ISERROR(VLOOKUP(C711,'[1]خريطة الحسابات'!_xlnm.Print_Area,3,FALSE))," ",(VLOOKUP(C711,'[1]خريطة الحسابات'!_xlnm.Print_Area,3,FALSE)))</f>
        <v>محمود الجبس</v>
      </c>
      <c r="E711" s="132"/>
      <c r="F711" s="133">
        <v>50000</v>
      </c>
      <c r="G711" s="133"/>
      <c r="H711" s="134">
        <f t="shared" si="31"/>
        <v>50000</v>
      </c>
      <c r="I711" s="134">
        <f t="shared" si="31"/>
        <v>0</v>
      </c>
      <c r="J711" s="134">
        <f t="shared" si="30"/>
        <v>50000</v>
      </c>
      <c r="K711" s="135"/>
      <c r="L711" s="136" t="str">
        <f t="shared" si="32"/>
        <v>مدين</v>
      </c>
      <c r="M711" s="137" t="str">
        <f>IF(ISERROR(VLOOKUP(C711,'[1]خريطة الحسابات'!_xlnm.Print_Area,4,FALSE))," ",(VLOOKUP(C711,'[1]خريطة الحسابات'!_xlnm.Print_Area,4,FALSE)))</f>
        <v xml:space="preserve">مقاولين </v>
      </c>
      <c r="N711" s="138" t="str">
        <f>IF(ISERROR(VLOOKUP(C711,'[1]خريطة الحسابات'!_xlnm.Print_Area,5,FALSE))," ",(VLOOKUP(C711,'[1]خريطة الحسابات'!_xlnm.Print_Area,5,FALSE)))</f>
        <v xml:space="preserve">الدائنون والأرصدة الدائنة الأخرى </v>
      </c>
      <c r="O711" s="139" t="s">
        <v>1619</v>
      </c>
      <c r="P711" s="139" t="s">
        <v>1342</v>
      </c>
    </row>
    <row r="712" spans="1:16">
      <c r="A712" s="104">
        <v>46</v>
      </c>
      <c r="B712" s="131">
        <v>46028</v>
      </c>
      <c r="C712" s="141">
        <v>20</v>
      </c>
      <c r="D712" s="140" t="str">
        <f>IF(ISERROR(VLOOKUP(C712,'[1]خريطة الحسابات'!_xlnm.Print_Area,3,FALSE))," ",(VLOOKUP(C712,'[1]خريطة الحسابات'!_xlnm.Print_Area,3,FALSE)))</f>
        <v xml:space="preserve">الخزينة </v>
      </c>
      <c r="E712" s="132"/>
      <c r="F712" s="133"/>
      <c r="G712" s="133">
        <v>40000</v>
      </c>
      <c r="H712" s="134">
        <f t="shared" si="31"/>
        <v>0</v>
      </c>
      <c r="I712" s="134">
        <f t="shared" si="31"/>
        <v>40000</v>
      </c>
      <c r="J712" s="134">
        <f t="shared" si="30"/>
        <v>-40000</v>
      </c>
      <c r="K712" s="135"/>
      <c r="L712" s="136" t="str">
        <f t="shared" si="32"/>
        <v>دائن</v>
      </c>
      <c r="M712" s="137" t="str">
        <f>IF(ISERROR(VLOOKUP(C712,'[1]خريطة الحسابات'!_xlnm.Print_Area,4,FALSE))," ",(VLOOKUP(C712,'[1]خريطة الحسابات'!_xlnm.Print_Area,4,FALSE)))</f>
        <v xml:space="preserve">أصول متداوله -النقدية ومافي حكمها </v>
      </c>
      <c r="N712" s="138" t="str">
        <f>IF(ISERROR(VLOOKUP(C712,'[1]خريطة الحسابات'!_xlnm.Print_Area,5,FALSE))," ",(VLOOKUP(C712,'[1]خريطة الحسابات'!_xlnm.Print_Area,5,FALSE)))</f>
        <v>الاصول</v>
      </c>
      <c r="O712" s="139" t="s">
        <v>1616</v>
      </c>
      <c r="P712" s="139" t="s">
        <v>1292</v>
      </c>
    </row>
    <row r="713" spans="1:16">
      <c r="A713" s="104">
        <v>46</v>
      </c>
      <c r="B713" s="131">
        <v>46034</v>
      </c>
      <c r="C713" s="141">
        <v>20</v>
      </c>
      <c r="D713" s="140" t="str">
        <f>IF(ISERROR(VLOOKUP(C713,'[1]خريطة الحسابات'!_xlnm.Print_Area,3,FALSE))," ",(VLOOKUP(C713,'[1]خريطة الحسابات'!_xlnm.Print_Area,3,FALSE)))</f>
        <v xml:space="preserve">الخزينة </v>
      </c>
      <c r="E713" s="132"/>
      <c r="F713" s="133"/>
      <c r="G713" s="133">
        <v>40020</v>
      </c>
      <c r="H713" s="134">
        <f t="shared" si="31"/>
        <v>0</v>
      </c>
      <c r="I713" s="134">
        <f t="shared" si="31"/>
        <v>40020</v>
      </c>
      <c r="J713" s="134">
        <f t="shared" si="30"/>
        <v>-40020</v>
      </c>
      <c r="K713" s="135"/>
      <c r="L713" s="136" t="str">
        <f t="shared" si="32"/>
        <v>دائن</v>
      </c>
      <c r="M713" s="137" t="str">
        <f>IF(ISERROR(VLOOKUP(C713,'[1]خريطة الحسابات'!_xlnm.Print_Area,4,FALSE))," ",(VLOOKUP(C713,'[1]خريطة الحسابات'!_xlnm.Print_Area,4,FALSE)))</f>
        <v xml:space="preserve">أصول متداوله -النقدية ومافي حكمها </v>
      </c>
      <c r="N713" s="138" t="str">
        <f>IF(ISERROR(VLOOKUP(C713,'[1]خريطة الحسابات'!_xlnm.Print_Area,5,FALSE))," ",(VLOOKUP(C713,'[1]خريطة الحسابات'!_xlnm.Print_Area,5,FALSE)))</f>
        <v>الاصول</v>
      </c>
      <c r="O713" s="139" t="s">
        <v>1617</v>
      </c>
      <c r="P713" s="139" t="s">
        <v>1290</v>
      </c>
    </row>
    <row r="714" spans="1:16">
      <c r="A714" s="104">
        <v>46</v>
      </c>
      <c r="B714" s="131">
        <v>46071</v>
      </c>
      <c r="C714" s="141">
        <v>20</v>
      </c>
      <c r="D714" s="140" t="str">
        <f>IF(ISERROR(VLOOKUP(C714,'[1]خريطة الحسابات'!_xlnm.Print_Area,3,FALSE))," ",(VLOOKUP(C714,'[1]خريطة الحسابات'!_xlnm.Print_Area,3,FALSE)))</f>
        <v xml:space="preserve">الخزينة </v>
      </c>
      <c r="E714" s="132"/>
      <c r="F714" s="133"/>
      <c r="G714" s="133">
        <v>50000</v>
      </c>
      <c r="H714" s="134">
        <f t="shared" si="31"/>
        <v>0</v>
      </c>
      <c r="I714" s="134">
        <f t="shared" si="31"/>
        <v>50000</v>
      </c>
      <c r="J714" s="134">
        <f t="shared" si="30"/>
        <v>-50000</v>
      </c>
      <c r="K714" s="135"/>
      <c r="L714" s="136" t="str">
        <f t="shared" si="32"/>
        <v>دائن</v>
      </c>
      <c r="M714" s="137" t="str">
        <f>IF(ISERROR(VLOOKUP(C714,'[1]خريطة الحسابات'!_xlnm.Print_Area,4,FALSE))," ",(VLOOKUP(C714,'[1]خريطة الحسابات'!_xlnm.Print_Area,4,FALSE)))</f>
        <v xml:space="preserve">أصول متداوله -النقدية ومافي حكمها </v>
      </c>
      <c r="N714" s="138" t="str">
        <f>IF(ISERROR(VLOOKUP(C714,'[1]خريطة الحسابات'!_xlnm.Print_Area,5,FALSE))," ",(VLOOKUP(C714,'[1]خريطة الحسابات'!_xlnm.Print_Area,5,FALSE)))</f>
        <v>الاصول</v>
      </c>
      <c r="O714" s="139" t="s">
        <v>1618</v>
      </c>
      <c r="P714" s="139" t="s">
        <v>1292</v>
      </c>
    </row>
    <row r="715" spans="1:16">
      <c r="A715" s="104">
        <v>46</v>
      </c>
      <c r="B715" s="131">
        <v>46097</v>
      </c>
      <c r="C715" s="141">
        <v>20</v>
      </c>
      <c r="D715" s="140" t="str">
        <f>IF(ISERROR(VLOOKUP(C715,'[1]خريطة الحسابات'!_xlnm.Print_Area,3,FALSE))," ",(VLOOKUP(C715,'[1]خريطة الحسابات'!_xlnm.Print_Area,3,FALSE)))</f>
        <v xml:space="preserve">الخزينة </v>
      </c>
      <c r="E715" s="132"/>
      <c r="F715" s="133"/>
      <c r="G715" s="133">
        <v>70000</v>
      </c>
      <c r="H715" s="134">
        <f t="shared" si="31"/>
        <v>0</v>
      </c>
      <c r="I715" s="134">
        <f t="shared" si="31"/>
        <v>70000</v>
      </c>
      <c r="J715" s="134">
        <f t="shared" si="30"/>
        <v>-70000</v>
      </c>
      <c r="K715" s="135"/>
      <c r="L715" s="136" t="str">
        <f t="shared" si="32"/>
        <v>دائن</v>
      </c>
      <c r="M715" s="137" t="str">
        <f>IF(ISERROR(VLOOKUP(C715,'[1]خريطة الحسابات'!_xlnm.Print_Area,4,FALSE))," ",(VLOOKUP(C715,'[1]خريطة الحسابات'!_xlnm.Print_Area,4,FALSE)))</f>
        <v xml:space="preserve">أصول متداوله -النقدية ومافي حكمها </v>
      </c>
      <c r="N715" s="138" t="str">
        <f>IF(ISERROR(VLOOKUP(C715,'[1]خريطة الحسابات'!_xlnm.Print_Area,5,FALSE))," ",(VLOOKUP(C715,'[1]خريطة الحسابات'!_xlnm.Print_Area,5,FALSE)))</f>
        <v>الاصول</v>
      </c>
      <c r="O715" s="139" t="s">
        <v>1618</v>
      </c>
      <c r="P715" s="139" t="s">
        <v>1315</v>
      </c>
    </row>
    <row r="716" spans="1:16">
      <c r="A716" s="104">
        <v>46</v>
      </c>
      <c r="B716" s="131">
        <v>46121</v>
      </c>
      <c r="C716" s="141">
        <v>20</v>
      </c>
      <c r="D716" s="140" t="str">
        <f>IF(ISERROR(VLOOKUP(C716,'[1]خريطة الحسابات'!_xlnm.Print_Area,3,FALSE))," ",(VLOOKUP(C716,'[1]خريطة الحسابات'!_xlnm.Print_Area,3,FALSE)))</f>
        <v xml:space="preserve">الخزينة </v>
      </c>
      <c r="E716" s="132"/>
      <c r="F716" s="133"/>
      <c r="G716" s="133">
        <v>20020</v>
      </c>
      <c r="H716" s="134">
        <f t="shared" si="31"/>
        <v>0</v>
      </c>
      <c r="I716" s="134">
        <f t="shared" si="31"/>
        <v>20020</v>
      </c>
      <c r="J716" s="134">
        <f t="shared" si="30"/>
        <v>-20020</v>
      </c>
      <c r="K716" s="135"/>
      <c r="L716" s="136" t="str">
        <f t="shared" si="32"/>
        <v>دائن</v>
      </c>
      <c r="M716" s="137" t="str">
        <f>IF(ISERROR(VLOOKUP(C716,'[1]خريطة الحسابات'!_xlnm.Print_Area,4,FALSE))," ",(VLOOKUP(C716,'[1]خريطة الحسابات'!_xlnm.Print_Area,4,FALSE)))</f>
        <v xml:space="preserve">أصول متداوله -النقدية ومافي حكمها </v>
      </c>
      <c r="N716" s="138" t="str">
        <f>IF(ISERROR(VLOOKUP(C716,'[1]خريطة الحسابات'!_xlnm.Print_Area,5,FALSE))," ",(VLOOKUP(C716,'[1]خريطة الحسابات'!_xlnm.Print_Area,5,FALSE)))</f>
        <v>الاصول</v>
      </c>
      <c r="O716" s="139" t="s">
        <v>1619</v>
      </c>
      <c r="P716" s="139" t="s">
        <v>1342</v>
      </c>
    </row>
    <row r="717" spans="1:16">
      <c r="A717" s="104">
        <v>46</v>
      </c>
      <c r="B717" s="131">
        <v>46139</v>
      </c>
      <c r="C717" s="141">
        <v>20</v>
      </c>
      <c r="D717" s="140" t="str">
        <f>IF(ISERROR(VLOOKUP(C717,'[1]خريطة الحسابات'!_xlnm.Print_Area,3,FALSE))," ",(VLOOKUP(C717,'[1]خريطة الحسابات'!_xlnm.Print_Area,3,FALSE)))</f>
        <v xml:space="preserve">الخزينة </v>
      </c>
      <c r="E717" s="132"/>
      <c r="F717" s="133"/>
      <c r="G717" s="133">
        <v>30000</v>
      </c>
      <c r="H717" s="134">
        <f t="shared" si="31"/>
        <v>0</v>
      </c>
      <c r="I717" s="134">
        <f t="shared" si="31"/>
        <v>30000</v>
      </c>
      <c r="J717" s="134">
        <f t="shared" si="30"/>
        <v>-30000</v>
      </c>
      <c r="K717" s="135"/>
      <c r="L717" s="136" t="str">
        <f t="shared" si="32"/>
        <v>دائن</v>
      </c>
      <c r="M717" s="137" t="str">
        <f>IF(ISERROR(VLOOKUP(C717,'[1]خريطة الحسابات'!_xlnm.Print_Area,4,FALSE))," ",(VLOOKUP(C717,'[1]خريطة الحسابات'!_xlnm.Print_Area,4,FALSE)))</f>
        <v xml:space="preserve">أصول متداوله -النقدية ومافي حكمها </v>
      </c>
      <c r="N717" s="138" t="str">
        <f>IF(ISERROR(VLOOKUP(C717,'[1]خريطة الحسابات'!_xlnm.Print_Area,5,FALSE))," ",(VLOOKUP(C717,'[1]خريطة الحسابات'!_xlnm.Print_Area,5,FALSE)))</f>
        <v>الاصول</v>
      </c>
      <c r="O717" s="139" t="s">
        <v>1620</v>
      </c>
      <c r="P717" s="139" t="s">
        <v>1342</v>
      </c>
    </row>
    <row r="718" spans="1:16">
      <c r="A718" s="104">
        <v>46</v>
      </c>
      <c r="B718" s="131">
        <v>46161</v>
      </c>
      <c r="C718" s="141">
        <v>20</v>
      </c>
      <c r="D718" s="140" t="str">
        <f>IF(ISERROR(VLOOKUP(C718,'[1]خريطة الحسابات'!_xlnm.Print_Area,3,FALSE))," ",(VLOOKUP(C718,'[1]خريطة الحسابات'!_xlnm.Print_Area,3,FALSE)))</f>
        <v xml:space="preserve">الخزينة </v>
      </c>
      <c r="E718" s="132"/>
      <c r="F718" s="133"/>
      <c r="G718" s="133">
        <v>50000</v>
      </c>
      <c r="H718" s="134">
        <f t="shared" si="31"/>
        <v>0</v>
      </c>
      <c r="I718" s="134">
        <f t="shared" si="31"/>
        <v>50000</v>
      </c>
      <c r="J718" s="134">
        <f t="shared" si="30"/>
        <v>-50000</v>
      </c>
      <c r="K718" s="135"/>
      <c r="L718" s="136" t="str">
        <f t="shared" si="32"/>
        <v>دائن</v>
      </c>
      <c r="M718" s="137" t="str">
        <f>IF(ISERROR(VLOOKUP(C718,'[1]خريطة الحسابات'!_xlnm.Print_Area,4,FALSE))," ",(VLOOKUP(C718,'[1]خريطة الحسابات'!_xlnm.Print_Area,4,FALSE)))</f>
        <v xml:space="preserve">أصول متداوله -النقدية ومافي حكمها </v>
      </c>
      <c r="N718" s="138" t="str">
        <f>IF(ISERROR(VLOOKUP(C718,'[1]خريطة الحسابات'!_xlnm.Print_Area,5,FALSE))," ",(VLOOKUP(C718,'[1]خريطة الحسابات'!_xlnm.Print_Area,5,FALSE)))</f>
        <v>الاصول</v>
      </c>
      <c r="O718" s="139" t="s">
        <v>1619</v>
      </c>
      <c r="P718" s="139" t="s">
        <v>1342</v>
      </c>
    </row>
    <row r="719" spans="1:16">
      <c r="A719" s="104">
        <v>47</v>
      </c>
      <c r="B719" s="131">
        <v>46086</v>
      </c>
      <c r="C719" s="141">
        <v>4046</v>
      </c>
      <c r="D719" s="140" t="str">
        <f>IF(ISERROR(VLOOKUP(C719,'[1]خريطة الحسابات'!_xlnm.Print_Area,3,FALSE))," ",(VLOOKUP(C719,'[1]خريطة الحسابات'!_xlnm.Print_Area,3,FALSE)))</f>
        <v>مصطفي الكهربائي</v>
      </c>
      <c r="E719" s="132"/>
      <c r="F719" s="133">
        <v>500</v>
      </c>
      <c r="G719" s="133"/>
      <c r="H719" s="134">
        <f t="shared" si="31"/>
        <v>500</v>
      </c>
      <c r="I719" s="134">
        <f t="shared" si="31"/>
        <v>0</v>
      </c>
      <c r="J719" s="134">
        <f t="shared" si="30"/>
        <v>500</v>
      </c>
      <c r="K719" s="135"/>
      <c r="L719" s="136" t="str">
        <f t="shared" si="32"/>
        <v>مدين</v>
      </c>
      <c r="M719" s="137" t="str">
        <f>IF(ISERROR(VLOOKUP(C719,'[1]خريطة الحسابات'!_xlnm.Print_Area,4,FALSE))," ",(VLOOKUP(C719,'[1]خريطة الحسابات'!_xlnm.Print_Area,4,FALSE)))</f>
        <v xml:space="preserve">مقاولين </v>
      </c>
      <c r="N719" s="138" t="str">
        <f>IF(ISERROR(VLOOKUP(C719,'[1]خريطة الحسابات'!_xlnm.Print_Area,5,FALSE))," ",(VLOOKUP(C719,'[1]خريطة الحسابات'!_xlnm.Print_Area,5,FALSE)))</f>
        <v xml:space="preserve">الدائنون والأرصدة الدائنة الأخرى </v>
      </c>
      <c r="O719" s="139" t="s">
        <v>1621</v>
      </c>
      <c r="P719" s="139" t="s">
        <v>1299</v>
      </c>
    </row>
    <row r="720" spans="1:16">
      <c r="A720" s="104">
        <v>47</v>
      </c>
      <c r="B720" s="131">
        <v>46086</v>
      </c>
      <c r="C720" s="141">
        <v>4046</v>
      </c>
      <c r="D720" s="140" t="str">
        <f>IF(ISERROR(VLOOKUP(C720,'[1]خريطة الحسابات'!_xlnm.Print_Area,3,FALSE))," ",(VLOOKUP(C720,'[1]خريطة الحسابات'!_xlnm.Print_Area,3,FALSE)))</f>
        <v>مصطفي الكهربائي</v>
      </c>
      <c r="E720" s="132"/>
      <c r="F720" s="133">
        <v>8000</v>
      </c>
      <c r="G720" s="133"/>
      <c r="H720" s="134">
        <f t="shared" si="31"/>
        <v>8000</v>
      </c>
      <c r="I720" s="134">
        <f t="shared" si="31"/>
        <v>0</v>
      </c>
      <c r="J720" s="134">
        <f t="shared" si="30"/>
        <v>8000</v>
      </c>
      <c r="K720" s="135"/>
      <c r="L720" s="136" t="str">
        <f t="shared" si="32"/>
        <v>مدين</v>
      </c>
      <c r="M720" s="137" t="str">
        <f>IF(ISERROR(VLOOKUP(C720,'[1]خريطة الحسابات'!_xlnm.Print_Area,4,FALSE))," ",(VLOOKUP(C720,'[1]خريطة الحسابات'!_xlnm.Print_Area,4,FALSE)))</f>
        <v xml:space="preserve">مقاولين </v>
      </c>
      <c r="N720" s="138" t="str">
        <f>IF(ISERROR(VLOOKUP(C720,'[1]خريطة الحسابات'!_xlnm.Print_Area,5,FALSE))," ",(VLOOKUP(C720,'[1]خريطة الحسابات'!_xlnm.Print_Area,5,FALSE)))</f>
        <v xml:space="preserve">الدائنون والأرصدة الدائنة الأخرى </v>
      </c>
      <c r="O720" s="139" t="s">
        <v>1622</v>
      </c>
      <c r="P720" s="139" t="s">
        <v>1295</v>
      </c>
    </row>
    <row r="721" spans="1:16">
      <c r="A721" s="104">
        <v>47</v>
      </c>
      <c r="B721" s="131">
        <v>46086</v>
      </c>
      <c r="C721" s="141">
        <v>20</v>
      </c>
      <c r="D721" s="140" t="str">
        <f>IF(ISERROR(VLOOKUP(C721,'[1]خريطة الحسابات'!_xlnm.Print_Area,3,FALSE))," ",(VLOOKUP(C721,'[1]خريطة الحسابات'!_xlnm.Print_Area,3,FALSE)))</f>
        <v xml:space="preserve">الخزينة </v>
      </c>
      <c r="E721" s="132"/>
      <c r="F721" s="133"/>
      <c r="G721" s="133">
        <v>500</v>
      </c>
      <c r="H721" s="134">
        <f t="shared" si="31"/>
        <v>0</v>
      </c>
      <c r="I721" s="134">
        <f t="shared" si="31"/>
        <v>500</v>
      </c>
      <c r="J721" s="134">
        <f t="shared" si="30"/>
        <v>-500</v>
      </c>
      <c r="K721" s="135"/>
      <c r="L721" s="136" t="str">
        <f t="shared" si="32"/>
        <v>دائن</v>
      </c>
      <c r="M721" s="137" t="str">
        <f>IF(ISERROR(VLOOKUP(C721,'[1]خريطة الحسابات'!_xlnm.Print_Area,4,FALSE))," ",(VLOOKUP(C721,'[1]خريطة الحسابات'!_xlnm.Print_Area,4,FALSE)))</f>
        <v xml:space="preserve">أصول متداوله -النقدية ومافي حكمها </v>
      </c>
      <c r="N721" s="138" t="str">
        <f>IF(ISERROR(VLOOKUP(C721,'[1]خريطة الحسابات'!_xlnm.Print_Area,5,FALSE))," ",(VLOOKUP(C721,'[1]خريطة الحسابات'!_xlnm.Print_Area,5,FALSE)))</f>
        <v>الاصول</v>
      </c>
      <c r="O721" s="139" t="s">
        <v>1621</v>
      </c>
      <c r="P721" s="139" t="s">
        <v>1299</v>
      </c>
    </row>
    <row r="722" spans="1:16">
      <c r="A722" s="104">
        <v>47</v>
      </c>
      <c r="B722" s="131">
        <v>46086</v>
      </c>
      <c r="C722" s="141">
        <v>20</v>
      </c>
      <c r="D722" s="140" t="str">
        <f>IF(ISERROR(VLOOKUP(C722,'[1]خريطة الحسابات'!_xlnm.Print_Area,3,FALSE))," ",(VLOOKUP(C722,'[1]خريطة الحسابات'!_xlnm.Print_Area,3,FALSE)))</f>
        <v xml:space="preserve">الخزينة </v>
      </c>
      <c r="E722" s="132"/>
      <c r="F722" s="133"/>
      <c r="G722" s="133">
        <v>8000</v>
      </c>
      <c r="H722" s="134">
        <f t="shared" si="31"/>
        <v>0</v>
      </c>
      <c r="I722" s="134">
        <f t="shared" si="31"/>
        <v>8000</v>
      </c>
      <c r="J722" s="134">
        <f t="shared" si="30"/>
        <v>-8000</v>
      </c>
      <c r="K722" s="135"/>
      <c r="L722" s="136" t="str">
        <f t="shared" si="32"/>
        <v>دائن</v>
      </c>
      <c r="M722" s="137" t="str">
        <f>IF(ISERROR(VLOOKUP(C722,'[1]خريطة الحسابات'!_xlnm.Print_Area,4,FALSE))," ",(VLOOKUP(C722,'[1]خريطة الحسابات'!_xlnm.Print_Area,4,FALSE)))</f>
        <v xml:space="preserve">أصول متداوله -النقدية ومافي حكمها </v>
      </c>
      <c r="N722" s="138" t="str">
        <f>IF(ISERROR(VLOOKUP(C722,'[1]خريطة الحسابات'!_xlnm.Print_Area,5,FALSE))," ",(VLOOKUP(C722,'[1]خريطة الحسابات'!_xlnm.Print_Area,5,FALSE)))</f>
        <v>الاصول</v>
      </c>
      <c r="O722" s="139" t="s">
        <v>1622</v>
      </c>
      <c r="P722" s="139" t="s">
        <v>1295</v>
      </c>
    </row>
    <row r="723" spans="1:16">
      <c r="A723" s="104">
        <v>48</v>
      </c>
      <c r="B723" s="131">
        <v>46029</v>
      </c>
      <c r="C723" s="141">
        <v>4015</v>
      </c>
      <c r="D723" s="140" t="str">
        <f>IF(ISERROR(VLOOKUP(C723,'[1]خريطة الحسابات'!_xlnm.Print_Area,3,FALSE))," ",(VLOOKUP(C723,'[1]خريطة الحسابات'!_xlnm.Print_Area,3,FALSE)))</f>
        <v>مينا السيراميك</v>
      </c>
      <c r="E723" s="132"/>
      <c r="F723" s="133">
        <v>5405</v>
      </c>
      <c r="G723" s="133"/>
      <c r="H723" s="134">
        <f t="shared" si="31"/>
        <v>5405</v>
      </c>
      <c r="I723" s="134">
        <f t="shared" si="31"/>
        <v>0</v>
      </c>
      <c r="J723" s="134">
        <f t="shared" si="30"/>
        <v>5405</v>
      </c>
      <c r="K723" s="135"/>
      <c r="L723" s="136" t="str">
        <f t="shared" si="32"/>
        <v>مدين</v>
      </c>
      <c r="M723" s="137" t="str">
        <f>IF(ISERROR(VLOOKUP(C723,'[1]خريطة الحسابات'!_xlnm.Print_Area,4,FALSE))," ",(VLOOKUP(C723,'[1]خريطة الحسابات'!_xlnm.Print_Area,4,FALSE)))</f>
        <v xml:space="preserve">مقاولين </v>
      </c>
      <c r="N723" s="138" t="str">
        <f>IF(ISERROR(VLOOKUP(C723,'[1]خريطة الحسابات'!_xlnm.Print_Area,5,FALSE))," ",(VLOOKUP(C723,'[1]خريطة الحسابات'!_xlnm.Print_Area,5,FALSE)))</f>
        <v xml:space="preserve">الدائنون والأرصدة الدائنة الأخرى </v>
      </c>
      <c r="O723" s="139" t="s">
        <v>1623</v>
      </c>
      <c r="P723" s="139" t="s">
        <v>1290</v>
      </c>
    </row>
    <row r="724" spans="1:16">
      <c r="A724" s="104">
        <v>48</v>
      </c>
      <c r="B724" s="131">
        <v>46037</v>
      </c>
      <c r="C724" s="141">
        <v>4015</v>
      </c>
      <c r="D724" s="140" t="str">
        <f>IF(ISERROR(VLOOKUP(C724,'[1]خريطة الحسابات'!_xlnm.Print_Area,3,FALSE))," ",(VLOOKUP(C724,'[1]خريطة الحسابات'!_xlnm.Print_Area,3,FALSE)))</f>
        <v>مينا السيراميك</v>
      </c>
      <c r="E724" s="132"/>
      <c r="F724" s="133">
        <v>8008</v>
      </c>
      <c r="G724" s="133"/>
      <c r="H724" s="134">
        <f t="shared" si="31"/>
        <v>8008</v>
      </c>
      <c r="I724" s="134">
        <f t="shared" si="31"/>
        <v>0</v>
      </c>
      <c r="J724" s="134">
        <f t="shared" si="30"/>
        <v>8008</v>
      </c>
      <c r="K724" s="135"/>
      <c r="L724" s="136" t="str">
        <f t="shared" si="32"/>
        <v>مدين</v>
      </c>
      <c r="M724" s="137" t="str">
        <f>IF(ISERROR(VLOOKUP(C724,'[1]خريطة الحسابات'!_xlnm.Print_Area,4,FALSE))," ",(VLOOKUP(C724,'[1]خريطة الحسابات'!_xlnm.Print_Area,4,FALSE)))</f>
        <v xml:space="preserve">مقاولين </v>
      </c>
      <c r="N724" s="138" t="str">
        <f>IF(ISERROR(VLOOKUP(C724,'[1]خريطة الحسابات'!_xlnm.Print_Area,5,FALSE))," ",(VLOOKUP(C724,'[1]خريطة الحسابات'!_xlnm.Print_Area,5,FALSE)))</f>
        <v xml:space="preserve">الدائنون والأرصدة الدائنة الأخرى </v>
      </c>
      <c r="O724" s="139" t="s">
        <v>1624</v>
      </c>
      <c r="P724" s="139" t="s">
        <v>1290</v>
      </c>
    </row>
    <row r="725" spans="1:16">
      <c r="A725" s="104">
        <v>48</v>
      </c>
      <c r="B725" s="131">
        <v>46044</v>
      </c>
      <c r="C725" s="141">
        <v>4015</v>
      </c>
      <c r="D725" s="140" t="str">
        <f>IF(ISERROR(VLOOKUP(C725,'[1]خريطة الحسابات'!_xlnm.Print_Area,3,FALSE))," ",(VLOOKUP(C725,'[1]خريطة الحسابات'!_xlnm.Print_Area,3,FALSE)))</f>
        <v>مينا السيراميك</v>
      </c>
      <c r="E725" s="132"/>
      <c r="F725" s="133">
        <v>16020</v>
      </c>
      <c r="G725" s="133"/>
      <c r="H725" s="134">
        <f t="shared" si="31"/>
        <v>16020</v>
      </c>
      <c r="I725" s="134">
        <f t="shared" si="31"/>
        <v>0</v>
      </c>
      <c r="J725" s="134">
        <f t="shared" si="30"/>
        <v>16020</v>
      </c>
      <c r="K725" s="135"/>
      <c r="L725" s="136" t="str">
        <f t="shared" si="32"/>
        <v>مدين</v>
      </c>
      <c r="M725" s="137" t="str">
        <f>IF(ISERROR(VLOOKUP(C725,'[1]خريطة الحسابات'!_xlnm.Print_Area,4,FALSE))," ",(VLOOKUP(C725,'[1]خريطة الحسابات'!_xlnm.Print_Area,4,FALSE)))</f>
        <v xml:space="preserve">مقاولين </v>
      </c>
      <c r="N725" s="138" t="str">
        <f>IF(ISERROR(VLOOKUP(C725,'[1]خريطة الحسابات'!_xlnm.Print_Area,5,FALSE))," ",(VLOOKUP(C725,'[1]خريطة الحسابات'!_xlnm.Print_Area,5,FALSE)))</f>
        <v xml:space="preserve">الدائنون والأرصدة الدائنة الأخرى </v>
      </c>
      <c r="O725" s="139" t="s">
        <v>1625</v>
      </c>
      <c r="P725" s="139" t="s">
        <v>1290</v>
      </c>
    </row>
    <row r="726" spans="1:16">
      <c r="A726" s="104">
        <v>48</v>
      </c>
      <c r="B726" s="131">
        <v>46050</v>
      </c>
      <c r="C726" s="141">
        <v>4015</v>
      </c>
      <c r="D726" s="140" t="str">
        <f>IF(ISERROR(VLOOKUP(C726,'[1]خريطة الحسابات'!_xlnm.Print_Area,3,FALSE))," ",(VLOOKUP(C726,'[1]خريطة الحسابات'!_xlnm.Print_Area,3,FALSE)))</f>
        <v>مينا السيراميك</v>
      </c>
      <c r="E726" s="132"/>
      <c r="F726" s="133">
        <v>10010</v>
      </c>
      <c r="G726" s="133"/>
      <c r="H726" s="134">
        <f t="shared" si="31"/>
        <v>10010</v>
      </c>
      <c r="I726" s="134">
        <f t="shared" si="31"/>
        <v>0</v>
      </c>
      <c r="J726" s="134">
        <f t="shared" si="30"/>
        <v>10010</v>
      </c>
      <c r="K726" s="135"/>
      <c r="L726" s="136" t="str">
        <f t="shared" si="32"/>
        <v>مدين</v>
      </c>
      <c r="M726" s="137" t="str">
        <f>IF(ISERROR(VLOOKUP(C726,'[1]خريطة الحسابات'!_xlnm.Print_Area,4,FALSE))," ",(VLOOKUP(C726,'[1]خريطة الحسابات'!_xlnm.Print_Area,4,FALSE)))</f>
        <v xml:space="preserve">مقاولين </v>
      </c>
      <c r="N726" s="138" t="str">
        <f>IF(ISERROR(VLOOKUP(C726,'[1]خريطة الحسابات'!_xlnm.Print_Area,5,FALSE))," ",(VLOOKUP(C726,'[1]خريطة الحسابات'!_xlnm.Print_Area,5,FALSE)))</f>
        <v xml:space="preserve">الدائنون والأرصدة الدائنة الأخرى </v>
      </c>
      <c r="O726" s="139" t="s">
        <v>1408</v>
      </c>
      <c r="P726" s="139" t="s">
        <v>1290</v>
      </c>
    </row>
    <row r="727" spans="1:16">
      <c r="A727" s="104">
        <v>48</v>
      </c>
      <c r="B727" s="131">
        <v>46058</v>
      </c>
      <c r="C727" s="141">
        <v>4015</v>
      </c>
      <c r="D727" s="140" t="str">
        <f>IF(ISERROR(VLOOKUP(C727,'[1]خريطة الحسابات'!_xlnm.Print_Area,3,FALSE))," ",(VLOOKUP(C727,'[1]خريطة الحسابات'!_xlnm.Print_Area,3,FALSE)))</f>
        <v>مينا السيراميك</v>
      </c>
      <c r="E727" s="132"/>
      <c r="F727" s="133">
        <v>3003</v>
      </c>
      <c r="G727" s="133"/>
      <c r="H727" s="134">
        <f t="shared" si="31"/>
        <v>3003</v>
      </c>
      <c r="I727" s="134">
        <f t="shared" si="31"/>
        <v>0</v>
      </c>
      <c r="J727" s="134">
        <f t="shared" si="30"/>
        <v>3003</v>
      </c>
      <c r="K727" s="135"/>
      <c r="L727" s="136" t="str">
        <f t="shared" si="32"/>
        <v>مدين</v>
      </c>
      <c r="M727" s="137" t="str">
        <f>IF(ISERROR(VLOOKUP(C727,'[1]خريطة الحسابات'!_xlnm.Print_Area,4,FALSE))," ",(VLOOKUP(C727,'[1]خريطة الحسابات'!_xlnm.Print_Area,4,FALSE)))</f>
        <v xml:space="preserve">مقاولين </v>
      </c>
      <c r="N727" s="138" t="str">
        <f>IF(ISERROR(VLOOKUP(C727,'[1]خريطة الحسابات'!_xlnm.Print_Area,5,FALSE))," ",(VLOOKUP(C727,'[1]خريطة الحسابات'!_xlnm.Print_Area,5,FALSE)))</f>
        <v xml:space="preserve">الدائنون والأرصدة الدائنة الأخرى </v>
      </c>
      <c r="O727" s="139" t="s">
        <v>1626</v>
      </c>
      <c r="P727" s="139" t="s">
        <v>1327</v>
      </c>
    </row>
    <row r="728" spans="1:16">
      <c r="A728" s="104">
        <v>48</v>
      </c>
      <c r="B728" s="131">
        <v>46058</v>
      </c>
      <c r="C728" s="141">
        <v>4015</v>
      </c>
      <c r="D728" s="140" t="str">
        <f>IF(ISERROR(VLOOKUP(C728,'[1]خريطة الحسابات'!_xlnm.Print_Area,3,FALSE))," ",(VLOOKUP(C728,'[1]خريطة الحسابات'!_xlnm.Print_Area,3,FALSE)))</f>
        <v>مينا السيراميك</v>
      </c>
      <c r="E728" s="132"/>
      <c r="F728" s="133">
        <v>6006</v>
      </c>
      <c r="G728" s="133"/>
      <c r="H728" s="134">
        <f t="shared" si="31"/>
        <v>6006</v>
      </c>
      <c r="I728" s="134">
        <f t="shared" si="31"/>
        <v>0</v>
      </c>
      <c r="J728" s="134">
        <f t="shared" ref="J728:J791" si="33">H728-I728</f>
        <v>6006</v>
      </c>
      <c r="K728" s="135"/>
      <c r="L728" s="136" t="str">
        <f t="shared" si="32"/>
        <v>مدين</v>
      </c>
      <c r="M728" s="137" t="str">
        <f>IF(ISERROR(VLOOKUP(C728,'[1]خريطة الحسابات'!_xlnm.Print_Area,4,FALSE))," ",(VLOOKUP(C728,'[1]خريطة الحسابات'!_xlnm.Print_Area,4,FALSE)))</f>
        <v xml:space="preserve">مقاولين </v>
      </c>
      <c r="N728" s="138" t="str">
        <f>IF(ISERROR(VLOOKUP(C728,'[1]خريطة الحسابات'!_xlnm.Print_Area,5,FALSE))," ",(VLOOKUP(C728,'[1]خريطة الحسابات'!_xlnm.Print_Area,5,FALSE)))</f>
        <v xml:space="preserve">الدائنون والأرصدة الدائنة الأخرى </v>
      </c>
      <c r="O728" s="139" t="s">
        <v>1627</v>
      </c>
      <c r="P728" s="139" t="s">
        <v>1295</v>
      </c>
    </row>
    <row r="729" spans="1:16">
      <c r="A729" s="104">
        <v>48</v>
      </c>
      <c r="B729" s="131">
        <v>46058</v>
      </c>
      <c r="C729" s="141">
        <v>4015</v>
      </c>
      <c r="D729" s="140" t="str">
        <f>IF(ISERROR(VLOOKUP(C729,'[1]خريطة الحسابات'!_xlnm.Print_Area,3,FALSE))," ",(VLOOKUP(C729,'[1]خريطة الحسابات'!_xlnm.Print_Area,3,FALSE)))</f>
        <v>مينا السيراميك</v>
      </c>
      <c r="E729" s="132"/>
      <c r="F729" s="133">
        <v>1001</v>
      </c>
      <c r="G729" s="133"/>
      <c r="H729" s="134">
        <f t="shared" ref="H729:I792" si="34">IF($E729=2,F729*3.465,F729)</f>
        <v>1001</v>
      </c>
      <c r="I729" s="134">
        <f t="shared" si="34"/>
        <v>0</v>
      </c>
      <c r="J729" s="134">
        <f t="shared" si="33"/>
        <v>1001</v>
      </c>
      <c r="K729" s="135"/>
      <c r="L729" s="136" t="str">
        <f t="shared" si="32"/>
        <v>مدين</v>
      </c>
      <c r="M729" s="137" t="str">
        <f>IF(ISERROR(VLOOKUP(C729,'[1]خريطة الحسابات'!_xlnm.Print_Area,4,FALSE))," ",(VLOOKUP(C729,'[1]خريطة الحسابات'!_xlnm.Print_Area,4,FALSE)))</f>
        <v xml:space="preserve">مقاولين </v>
      </c>
      <c r="N729" s="138" t="str">
        <f>IF(ISERROR(VLOOKUP(C729,'[1]خريطة الحسابات'!_xlnm.Print_Area,5,FALSE))," ",(VLOOKUP(C729,'[1]خريطة الحسابات'!_xlnm.Print_Area,5,FALSE)))</f>
        <v xml:space="preserve">الدائنون والأرصدة الدائنة الأخرى </v>
      </c>
      <c r="O729" s="139" t="s">
        <v>1628</v>
      </c>
      <c r="P729" s="139" t="s">
        <v>1304</v>
      </c>
    </row>
    <row r="730" spans="1:16">
      <c r="A730" s="104">
        <v>48</v>
      </c>
      <c r="B730" s="131">
        <v>46058</v>
      </c>
      <c r="C730" s="141">
        <v>4015</v>
      </c>
      <c r="D730" s="140" t="str">
        <f>IF(ISERROR(VLOOKUP(C730,'[1]خريطة الحسابات'!_xlnm.Print_Area,3,FALSE))," ",(VLOOKUP(C730,'[1]خريطة الحسابات'!_xlnm.Print_Area,3,FALSE)))</f>
        <v>مينا السيراميك</v>
      </c>
      <c r="E730" s="132"/>
      <c r="F730" s="133">
        <v>1001</v>
      </c>
      <c r="G730" s="133"/>
      <c r="H730" s="134">
        <f t="shared" si="34"/>
        <v>1001</v>
      </c>
      <c r="I730" s="134">
        <f t="shared" si="34"/>
        <v>0</v>
      </c>
      <c r="J730" s="134">
        <f t="shared" si="33"/>
        <v>1001</v>
      </c>
      <c r="K730" s="135"/>
      <c r="L730" s="136" t="str">
        <f t="shared" si="32"/>
        <v>مدين</v>
      </c>
      <c r="M730" s="137" t="str">
        <f>IF(ISERROR(VLOOKUP(C730,'[1]خريطة الحسابات'!_xlnm.Print_Area,4,FALSE))," ",(VLOOKUP(C730,'[1]خريطة الحسابات'!_xlnm.Print_Area,4,FALSE)))</f>
        <v xml:space="preserve">مقاولين </v>
      </c>
      <c r="N730" s="138" t="str">
        <f>IF(ISERROR(VLOOKUP(C730,'[1]خريطة الحسابات'!_xlnm.Print_Area,5,FALSE))," ",(VLOOKUP(C730,'[1]خريطة الحسابات'!_xlnm.Print_Area,5,FALSE)))</f>
        <v xml:space="preserve">الدائنون والأرصدة الدائنة الأخرى </v>
      </c>
      <c r="O730" s="139" t="s">
        <v>1628</v>
      </c>
      <c r="P730" s="139" t="s">
        <v>1325</v>
      </c>
    </row>
    <row r="731" spans="1:16">
      <c r="A731" s="104">
        <v>48</v>
      </c>
      <c r="B731" s="131">
        <v>46065</v>
      </c>
      <c r="C731" s="141">
        <v>4015</v>
      </c>
      <c r="D731" s="140" t="str">
        <f>IF(ISERROR(VLOOKUP(C731,'[1]خريطة الحسابات'!_xlnm.Print_Area,3,FALSE))," ",(VLOOKUP(C731,'[1]خريطة الحسابات'!_xlnm.Print_Area,3,FALSE)))</f>
        <v>مينا السيراميك</v>
      </c>
      <c r="E731" s="132"/>
      <c r="F731" s="133">
        <v>15015</v>
      </c>
      <c r="G731" s="133"/>
      <c r="H731" s="134">
        <f t="shared" si="34"/>
        <v>15015</v>
      </c>
      <c r="I731" s="134">
        <f t="shared" si="34"/>
        <v>0</v>
      </c>
      <c r="J731" s="134">
        <f t="shared" si="33"/>
        <v>15015</v>
      </c>
      <c r="K731" s="135"/>
      <c r="L731" s="136" t="str">
        <f t="shared" ref="L731:L794" si="35">IF(J731&lt;0,"دائن",IF(J731&gt;0,"مدين",""))</f>
        <v>مدين</v>
      </c>
      <c r="M731" s="137" t="str">
        <f>IF(ISERROR(VLOOKUP(C731,'[1]خريطة الحسابات'!_xlnm.Print_Area,4,FALSE))," ",(VLOOKUP(C731,'[1]خريطة الحسابات'!_xlnm.Print_Area,4,FALSE)))</f>
        <v xml:space="preserve">مقاولين </v>
      </c>
      <c r="N731" s="138" t="str">
        <f>IF(ISERROR(VLOOKUP(C731,'[1]خريطة الحسابات'!_xlnm.Print_Area,5,FALSE))," ",(VLOOKUP(C731,'[1]خريطة الحسابات'!_xlnm.Print_Area,5,FALSE)))</f>
        <v xml:space="preserve">الدائنون والأرصدة الدائنة الأخرى </v>
      </c>
      <c r="O731" s="139" t="s">
        <v>1408</v>
      </c>
      <c r="P731" s="139" t="s">
        <v>1290</v>
      </c>
    </row>
    <row r="732" spans="1:16">
      <c r="A732" s="104">
        <v>48</v>
      </c>
      <c r="B732" s="131">
        <v>46070</v>
      </c>
      <c r="C732" s="141">
        <v>4015</v>
      </c>
      <c r="D732" s="140" t="str">
        <f>IF(ISERROR(VLOOKUP(C732,'[1]خريطة الحسابات'!_xlnm.Print_Area,3,FALSE))," ",(VLOOKUP(C732,'[1]خريطة الحسابات'!_xlnm.Print_Area,3,FALSE)))</f>
        <v>مينا السيراميك</v>
      </c>
      <c r="E732" s="132"/>
      <c r="F732" s="133">
        <v>8240</v>
      </c>
      <c r="G732" s="133"/>
      <c r="H732" s="134">
        <f t="shared" si="34"/>
        <v>8240</v>
      </c>
      <c r="I732" s="134">
        <f t="shared" si="34"/>
        <v>0</v>
      </c>
      <c r="J732" s="134">
        <f t="shared" si="33"/>
        <v>8240</v>
      </c>
      <c r="K732" s="135"/>
      <c r="L732" s="136" t="str">
        <f t="shared" si="35"/>
        <v>مدين</v>
      </c>
      <c r="M732" s="137" t="str">
        <f>IF(ISERROR(VLOOKUP(C732,'[1]خريطة الحسابات'!_xlnm.Print_Area,4,FALSE))," ",(VLOOKUP(C732,'[1]خريطة الحسابات'!_xlnm.Print_Area,4,FALSE)))</f>
        <v xml:space="preserve">مقاولين </v>
      </c>
      <c r="N732" s="138" t="str">
        <f>IF(ISERROR(VLOOKUP(C732,'[1]خريطة الحسابات'!_xlnm.Print_Area,5,FALSE))," ",(VLOOKUP(C732,'[1]خريطة الحسابات'!_xlnm.Print_Area,5,FALSE)))</f>
        <v xml:space="preserve">الدائنون والأرصدة الدائنة الأخرى </v>
      </c>
      <c r="O732" s="139" t="s">
        <v>1629</v>
      </c>
      <c r="P732" s="139" t="s">
        <v>1290</v>
      </c>
    </row>
    <row r="733" spans="1:16">
      <c r="A733" s="104">
        <v>48</v>
      </c>
      <c r="B733" s="131">
        <v>46086</v>
      </c>
      <c r="C733" s="141">
        <v>4015</v>
      </c>
      <c r="D733" s="140" t="str">
        <f>IF(ISERROR(VLOOKUP(C733,'[1]خريطة الحسابات'!_xlnm.Print_Area,3,FALSE))," ",(VLOOKUP(C733,'[1]خريطة الحسابات'!_xlnm.Print_Area,3,FALSE)))</f>
        <v>مينا السيراميك</v>
      </c>
      <c r="E733" s="132"/>
      <c r="F733" s="133">
        <v>15015</v>
      </c>
      <c r="G733" s="133"/>
      <c r="H733" s="134">
        <f t="shared" si="34"/>
        <v>15015</v>
      </c>
      <c r="I733" s="134">
        <f t="shared" si="34"/>
        <v>0</v>
      </c>
      <c r="J733" s="134">
        <f t="shared" si="33"/>
        <v>15015</v>
      </c>
      <c r="K733" s="135"/>
      <c r="L733" s="136" t="str">
        <f t="shared" si="35"/>
        <v>مدين</v>
      </c>
      <c r="M733" s="137" t="str">
        <f>IF(ISERROR(VLOOKUP(C733,'[1]خريطة الحسابات'!_xlnm.Print_Area,4,FALSE))," ",(VLOOKUP(C733,'[1]خريطة الحسابات'!_xlnm.Print_Area,4,FALSE)))</f>
        <v xml:space="preserve">مقاولين </v>
      </c>
      <c r="N733" s="138" t="str">
        <f>IF(ISERROR(VLOOKUP(C733,'[1]خريطة الحسابات'!_xlnm.Print_Area,5,FALSE))," ",(VLOOKUP(C733,'[1]خريطة الحسابات'!_xlnm.Print_Area,5,FALSE)))</f>
        <v xml:space="preserve">الدائنون والأرصدة الدائنة الأخرى </v>
      </c>
      <c r="O733" s="139" t="s">
        <v>1630</v>
      </c>
      <c r="P733" s="139" t="s">
        <v>1290</v>
      </c>
    </row>
    <row r="734" spans="1:16">
      <c r="A734" s="104">
        <v>48</v>
      </c>
      <c r="B734" s="131">
        <v>46029</v>
      </c>
      <c r="C734" s="141">
        <v>20</v>
      </c>
      <c r="D734" s="140" t="str">
        <f>IF(ISERROR(VLOOKUP(C734,'[1]خريطة الحسابات'!_xlnm.Print_Area,3,FALSE))," ",(VLOOKUP(C734,'[1]خريطة الحسابات'!_xlnm.Print_Area,3,FALSE)))</f>
        <v xml:space="preserve">الخزينة </v>
      </c>
      <c r="E734" s="132"/>
      <c r="F734" s="133"/>
      <c r="G734" s="133">
        <v>5405</v>
      </c>
      <c r="H734" s="134">
        <f t="shared" si="34"/>
        <v>0</v>
      </c>
      <c r="I734" s="134">
        <f t="shared" si="34"/>
        <v>5405</v>
      </c>
      <c r="J734" s="134">
        <f t="shared" si="33"/>
        <v>-5405</v>
      </c>
      <c r="K734" s="135"/>
      <c r="L734" s="136" t="str">
        <f t="shared" si="35"/>
        <v>دائن</v>
      </c>
      <c r="M734" s="137" t="str">
        <f>IF(ISERROR(VLOOKUP(C734,'[1]خريطة الحسابات'!_xlnm.Print_Area,4,FALSE))," ",(VLOOKUP(C734,'[1]خريطة الحسابات'!_xlnm.Print_Area,4,FALSE)))</f>
        <v xml:space="preserve">أصول متداوله -النقدية ومافي حكمها </v>
      </c>
      <c r="N734" s="138" t="str">
        <f>IF(ISERROR(VLOOKUP(C734,'[1]خريطة الحسابات'!_xlnm.Print_Area,5,FALSE))," ",(VLOOKUP(C734,'[1]خريطة الحسابات'!_xlnm.Print_Area,5,FALSE)))</f>
        <v>الاصول</v>
      </c>
      <c r="O734" s="139" t="s">
        <v>1623</v>
      </c>
      <c r="P734" s="139" t="s">
        <v>1290</v>
      </c>
    </row>
    <row r="735" spans="1:16">
      <c r="A735" s="104">
        <v>48</v>
      </c>
      <c r="B735" s="131">
        <v>46037</v>
      </c>
      <c r="C735" s="141">
        <v>20</v>
      </c>
      <c r="D735" s="140" t="str">
        <f>IF(ISERROR(VLOOKUP(C735,'[1]خريطة الحسابات'!_xlnm.Print_Area,3,FALSE))," ",(VLOOKUP(C735,'[1]خريطة الحسابات'!_xlnm.Print_Area,3,FALSE)))</f>
        <v xml:space="preserve">الخزينة </v>
      </c>
      <c r="E735" s="132"/>
      <c r="F735" s="133"/>
      <c r="G735" s="133">
        <v>8008</v>
      </c>
      <c r="H735" s="134">
        <f t="shared" si="34"/>
        <v>0</v>
      </c>
      <c r="I735" s="134">
        <f t="shared" si="34"/>
        <v>8008</v>
      </c>
      <c r="J735" s="134">
        <f t="shared" si="33"/>
        <v>-8008</v>
      </c>
      <c r="K735" s="135"/>
      <c r="L735" s="136" t="str">
        <f t="shared" si="35"/>
        <v>دائن</v>
      </c>
      <c r="M735" s="137" t="str">
        <f>IF(ISERROR(VLOOKUP(C735,'[1]خريطة الحسابات'!_xlnm.Print_Area,4,FALSE))," ",(VLOOKUP(C735,'[1]خريطة الحسابات'!_xlnm.Print_Area,4,FALSE)))</f>
        <v xml:space="preserve">أصول متداوله -النقدية ومافي حكمها </v>
      </c>
      <c r="N735" s="138" t="str">
        <f>IF(ISERROR(VLOOKUP(C735,'[1]خريطة الحسابات'!_xlnm.Print_Area,5,FALSE))," ",(VLOOKUP(C735,'[1]خريطة الحسابات'!_xlnm.Print_Area,5,FALSE)))</f>
        <v>الاصول</v>
      </c>
      <c r="O735" s="139" t="s">
        <v>1624</v>
      </c>
      <c r="P735" s="139" t="s">
        <v>1290</v>
      </c>
    </row>
    <row r="736" spans="1:16">
      <c r="A736" s="104">
        <v>48</v>
      </c>
      <c r="B736" s="131">
        <v>46044</v>
      </c>
      <c r="C736" s="141">
        <v>20</v>
      </c>
      <c r="D736" s="140" t="str">
        <f>IF(ISERROR(VLOOKUP(C736,'[1]خريطة الحسابات'!_xlnm.Print_Area,3,FALSE))," ",(VLOOKUP(C736,'[1]خريطة الحسابات'!_xlnm.Print_Area,3,FALSE)))</f>
        <v xml:space="preserve">الخزينة </v>
      </c>
      <c r="E736" s="132"/>
      <c r="F736" s="133"/>
      <c r="G736" s="133">
        <v>16020</v>
      </c>
      <c r="H736" s="134">
        <f t="shared" si="34"/>
        <v>0</v>
      </c>
      <c r="I736" s="134">
        <f t="shared" si="34"/>
        <v>16020</v>
      </c>
      <c r="J736" s="134">
        <f t="shared" si="33"/>
        <v>-16020</v>
      </c>
      <c r="K736" s="135"/>
      <c r="L736" s="136" t="str">
        <f t="shared" si="35"/>
        <v>دائن</v>
      </c>
      <c r="M736" s="137" t="str">
        <f>IF(ISERROR(VLOOKUP(C736,'[1]خريطة الحسابات'!_xlnm.Print_Area,4,FALSE))," ",(VLOOKUP(C736,'[1]خريطة الحسابات'!_xlnm.Print_Area,4,FALSE)))</f>
        <v xml:space="preserve">أصول متداوله -النقدية ومافي حكمها </v>
      </c>
      <c r="N736" s="138" t="str">
        <f>IF(ISERROR(VLOOKUP(C736,'[1]خريطة الحسابات'!_xlnm.Print_Area,5,FALSE))," ",(VLOOKUP(C736,'[1]خريطة الحسابات'!_xlnm.Print_Area,5,FALSE)))</f>
        <v>الاصول</v>
      </c>
      <c r="O736" s="139" t="s">
        <v>1625</v>
      </c>
      <c r="P736" s="139" t="s">
        <v>1290</v>
      </c>
    </row>
    <row r="737" spans="1:16">
      <c r="A737" s="104">
        <v>48</v>
      </c>
      <c r="B737" s="131">
        <v>46050</v>
      </c>
      <c r="C737" s="141">
        <v>20</v>
      </c>
      <c r="D737" s="140" t="str">
        <f>IF(ISERROR(VLOOKUP(C737,'[1]خريطة الحسابات'!_xlnm.Print_Area,3,FALSE))," ",(VLOOKUP(C737,'[1]خريطة الحسابات'!_xlnm.Print_Area,3,FALSE)))</f>
        <v xml:space="preserve">الخزينة </v>
      </c>
      <c r="E737" s="132"/>
      <c r="F737" s="133"/>
      <c r="G737" s="133">
        <v>10010</v>
      </c>
      <c r="H737" s="134">
        <f t="shared" si="34"/>
        <v>0</v>
      </c>
      <c r="I737" s="134">
        <f t="shared" si="34"/>
        <v>10010</v>
      </c>
      <c r="J737" s="134">
        <f t="shared" si="33"/>
        <v>-10010</v>
      </c>
      <c r="K737" s="135"/>
      <c r="L737" s="136" t="str">
        <f t="shared" si="35"/>
        <v>دائن</v>
      </c>
      <c r="M737" s="137" t="str">
        <f>IF(ISERROR(VLOOKUP(C737,'[1]خريطة الحسابات'!_xlnm.Print_Area,4,FALSE))," ",(VLOOKUP(C737,'[1]خريطة الحسابات'!_xlnm.Print_Area,4,FALSE)))</f>
        <v xml:space="preserve">أصول متداوله -النقدية ومافي حكمها </v>
      </c>
      <c r="N737" s="138" t="str">
        <f>IF(ISERROR(VLOOKUP(C737,'[1]خريطة الحسابات'!_xlnm.Print_Area,5,FALSE))," ",(VLOOKUP(C737,'[1]خريطة الحسابات'!_xlnm.Print_Area,5,FALSE)))</f>
        <v>الاصول</v>
      </c>
      <c r="O737" s="139" t="s">
        <v>1408</v>
      </c>
      <c r="P737" s="139" t="s">
        <v>1290</v>
      </c>
    </row>
    <row r="738" spans="1:16">
      <c r="A738" s="104">
        <v>48</v>
      </c>
      <c r="B738" s="131">
        <v>46058</v>
      </c>
      <c r="C738" s="141">
        <v>20</v>
      </c>
      <c r="D738" s="140" t="str">
        <f>IF(ISERROR(VLOOKUP(C738,'[1]خريطة الحسابات'!_xlnm.Print_Area,3,FALSE))," ",(VLOOKUP(C738,'[1]خريطة الحسابات'!_xlnm.Print_Area,3,FALSE)))</f>
        <v xml:space="preserve">الخزينة </v>
      </c>
      <c r="E738" s="132"/>
      <c r="F738" s="133"/>
      <c r="G738" s="133">
        <v>3003</v>
      </c>
      <c r="H738" s="134">
        <f t="shared" si="34"/>
        <v>0</v>
      </c>
      <c r="I738" s="134">
        <f t="shared" si="34"/>
        <v>3003</v>
      </c>
      <c r="J738" s="134">
        <f t="shared" si="33"/>
        <v>-3003</v>
      </c>
      <c r="K738" s="135"/>
      <c r="L738" s="136" t="str">
        <f t="shared" si="35"/>
        <v>دائن</v>
      </c>
      <c r="M738" s="137" t="str">
        <f>IF(ISERROR(VLOOKUP(C738,'[1]خريطة الحسابات'!_xlnm.Print_Area,4,FALSE))," ",(VLOOKUP(C738,'[1]خريطة الحسابات'!_xlnm.Print_Area,4,FALSE)))</f>
        <v xml:space="preserve">أصول متداوله -النقدية ومافي حكمها </v>
      </c>
      <c r="N738" s="138" t="str">
        <f>IF(ISERROR(VLOOKUP(C738,'[1]خريطة الحسابات'!_xlnm.Print_Area,5,FALSE))," ",(VLOOKUP(C738,'[1]خريطة الحسابات'!_xlnm.Print_Area,5,FALSE)))</f>
        <v>الاصول</v>
      </c>
      <c r="O738" s="139" t="s">
        <v>1626</v>
      </c>
      <c r="P738" s="139" t="s">
        <v>1327</v>
      </c>
    </row>
    <row r="739" spans="1:16">
      <c r="A739" s="104">
        <v>48</v>
      </c>
      <c r="B739" s="131">
        <v>46058</v>
      </c>
      <c r="C739" s="141">
        <v>20</v>
      </c>
      <c r="D739" s="140" t="str">
        <f>IF(ISERROR(VLOOKUP(C739,'[1]خريطة الحسابات'!_xlnm.Print_Area,3,FALSE))," ",(VLOOKUP(C739,'[1]خريطة الحسابات'!_xlnm.Print_Area,3,FALSE)))</f>
        <v xml:space="preserve">الخزينة </v>
      </c>
      <c r="E739" s="132"/>
      <c r="F739" s="133"/>
      <c r="G739" s="133">
        <v>6006</v>
      </c>
      <c r="H739" s="134">
        <f t="shared" si="34"/>
        <v>0</v>
      </c>
      <c r="I739" s="134">
        <f t="shared" si="34"/>
        <v>6006</v>
      </c>
      <c r="J739" s="134">
        <f t="shared" si="33"/>
        <v>-6006</v>
      </c>
      <c r="K739" s="135"/>
      <c r="L739" s="136" t="str">
        <f t="shared" si="35"/>
        <v>دائن</v>
      </c>
      <c r="M739" s="137" t="str">
        <f>IF(ISERROR(VLOOKUP(C739,'[1]خريطة الحسابات'!_xlnm.Print_Area,4,FALSE))," ",(VLOOKUP(C739,'[1]خريطة الحسابات'!_xlnm.Print_Area,4,FALSE)))</f>
        <v xml:space="preserve">أصول متداوله -النقدية ومافي حكمها </v>
      </c>
      <c r="N739" s="138" t="str">
        <f>IF(ISERROR(VLOOKUP(C739,'[1]خريطة الحسابات'!_xlnm.Print_Area,5,FALSE))," ",(VLOOKUP(C739,'[1]خريطة الحسابات'!_xlnm.Print_Area,5,FALSE)))</f>
        <v>الاصول</v>
      </c>
      <c r="O739" s="139" t="s">
        <v>1627</v>
      </c>
      <c r="P739" s="139" t="s">
        <v>1295</v>
      </c>
    </row>
    <row r="740" spans="1:16">
      <c r="A740" s="104">
        <v>48</v>
      </c>
      <c r="B740" s="131">
        <v>46058</v>
      </c>
      <c r="C740" s="141">
        <v>20</v>
      </c>
      <c r="D740" s="140" t="str">
        <f>IF(ISERROR(VLOOKUP(C740,'[1]خريطة الحسابات'!_xlnm.Print_Area,3,FALSE))," ",(VLOOKUP(C740,'[1]خريطة الحسابات'!_xlnm.Print_Area,3,FALSE)))</f>
        <v xml:space="preserve">الخزينة </v>
      </c>
      <c r="E740" s="132"/>
      <c r="F740" s="133"/>
      <c r="G740" s="133">
        <v>1001</v>
      </c>
      <c r="H740" s="134">
        <f t="shared" si="34"/>
        <v>0</v>
      </c>
      <c r="I740" s="134">
        <f t="shared" si="34"/>
        <v>1001</v>
      </c>
      <c r="J740" s="134">
        <f t="shared" si="33"/>
        <v>-1001</v>
      </c>
      <c r="K740" s="135"/>
      <c r="L740" s="136" t="str">
        <f t="shared" si="35"/>
        <v>دائن</v>
      </c>
      <c r="M740" s="137" t="str">
        <f>IF(ISERROR(VLOOKUP(C740,'[1]خريطة الحسابات'!_xlnm.Print_Area,4,FALSE))," ",(VLOOKUP(C740,'[1]خريطة الحسابات'!_xlnm.Print_Area,4,FALSE)))</f>
        <v xml:space="preserve">أصول متداوله -النقدية ومافي حكمها </v>
      </c>
      <c r="N740" s="138" t="str">
        <f>IF(ISERROR(VLOOKUP(C740,'[1]خريطة الحسابات'!_xlnm.Print_Area,5,FALSE))," ",(VLOOKUP(C740,'[1]خريطة الحسابات'!_xlnm.Print_Area,5,FALSE)))</f>
        <v>الاصول</v>
      </c>
      <c r="O740" s="139" t="s">
        <v>1628</v>
      </c>
      <c r="P740" s="139" t="s">
        <v>1304</v>
      </c>
    </row>
    <row r="741" spans="1:16">
      <c r="A741" s="104">
        <v>48</v>
      </c>
      <c r="B741" s="131">
        <v>46058</v>
      </c>
      <c r="C741" s="141">
        <v>20</v>
      </c>
      <c r="D741" s="140" t="str">
        <f>IF(ISERROR(VLOOKUP(C741,'[1]خريطة الحسابات'!_xlnm.Print_Area,3,FALSE))," ",(VLOOKUP(C741,'[1]خريطة الحسابات'!_xlnm.Print_Area,3,FALSE)))</f>
        <v xml:space="preserve">الخزينة </v>
      </c>
      <c r="E741" s="132"/>
      <c r="F741" s="133"/>
      <c r="G741" s="133">
        <v>1001</v>
      </c>
      <c r="H741" s="134">
        <f t="shared" si="34"/>
        <v>0</v>
      </c>
      <c r="I741" s="134">
        <f t="shared" si="34"/>
        <v>1001</v>
      </c>
      <c r="J741" s="134">
        <f t="shared" si="33"/>
        <v>-1001</v>
      </c>
      <c r="K741" s="135"/>
      <c r="L741" s="136" t="str">
        <f t="shared" si="35"/>
        <v>دائن</v>
      </c>
      <c r="M741" s="137" t="str">
        <f>IF(ISERROR(VLOOKUP(C741,'[1]خريطة الحسابات'!_xlnm.Print_Area,4,FALSE))," ",(VLOOKUP(C741,'[1]خريطة الحسابات'!_xlnm.Print_Area,4,FALSE)))</f>
        <v xml:space="preserve">أصول متداوله -النقدية ومافي حكمها </v>
      </c>
      <c r="N741" s="138" t="str">
        <f>IF(ISERROR(VLOOKUP(C741,'[1]خريطة الحسابات'!_xlnm.Print_Area,5,FALSE))," ",(VLOOKUP(C741,'[1]خريطة الحسابات'!_xlnm.Print_Area,5,FALSE)))</f>
        <v>الاصول</v>
      </c>
      <c r="O741" s="139" t="s">
        <v>1628</v>
      </c>
      <c r="P741" s="139" t="s">
        <v>1325</v>
      </c>
    </row>
    <row r="742" spans="1:16">
      <c r="A742" s="104">
        <v>48</v>
      </c>
      <c r="B742" s="131">
        <v>46065</v>
      </c>
      <c r="C742" s="141">
        <v>20</v>
      </c>
      <c r="D742" s="140" t="str">
        <f>IF(ISERROR(VLOOKUP(C742,'[1]خريطة الحسابات'!_xlnm.Print_Area,3,FALSE))," ",(VLOOKUP(C742,'[1]خريطة الحسابات'!_xlnm.Print_Area,3,FALSE)))</f>
        <v xml:space="preserve">الخزينة </v>
      </c>
      <c r="E742" s="132"/>
      <c r="F742" s="133"/>
      <c r="G742" s="133">
        <v>15015</v>
      </c>
      <c r="H742" s="134">
        <f t="shared" si="34"/>
        <v>0</v>
      </c>
      <c r="I742" s="134">
        <f t="shared" si="34"/>
        <v>15015</v>
      </c>
      <c r="J742" s="134">
        <f t="shared" si="33"/>
        <v>-15015</v>
      </c>
      <c r="K742" s="135"/>
      <c r="L742" s="136" t="str">
        <f t="shared" si="35"/>
        <v>دائن</v>
      </c>
      <c r="M742" s="137" t="str">
        <f>IF(ISERROR(VLOOKUP(C742,'[1]خريطة الحسابات'!_xlnm.Print_Area,4,FALSE))," ",(VLOOKUP(C742,'[1]خريطة الحسابات'!_xlnm.Print_Area,4,FALSE)))</f>
        <v xml:space="preserve">أصول متداوله -النقدية ومافي حكمها </v>
      </c>
      <c r="N742" s="138" t="str">
        <f>IF(ISERROR(VLOOKUP(C742,'[1]خريطة الحسابات'!_xlnm.Print_Area,5,FALSE))," ",(VLOOKUP(C742,'[1]خريطة الحسابات'!_xlnm.Print_Area,5,FALSE)))</f>
        <v>الاصول</v>
      </c>
      <c r="O742" s="139" t="s">
        <v>1408</v>
      </c>
      <c r="P742" s="139" t="s">
        <v>1290</v>
      </c>
    </row>
    <row r="743" spans="1:16">
      <c r="A743" s="104">
        <v>48</v>
      </c>
      <c r="B743" s="131">
        <v>46070</v>
      </c>
      <c r="C743" s="141">
        <v>20</v>
      </c>
      <c r="D743" s="140" t="str">
        <f>IF(ISERROR(VLOOKUP(C743,'[1]خريطة الحسابات'!_xlnm.Print_Area,3,FALSE))," ",(VLOOKUP(C743,'[1]خريطة الحسابات'!_xlnm.Print_Area,3,FALSE)))</f>
        <v xml:space="preserve">الخزينة </v>
      </c>
      <c r="E743" s="132"/>
      <c r="F743" s="133"/>
      <c r="G743" s="133">
        <v>8240</v>
      </c>
      <c r="H743" s="134">
        <f t="shared" si="34"/>
        <v>0</v>
      </c>
      <c r="I743" s="134">
        <f t="shared" si="34"/>
        <v>8240</v>
      </c>
      <c r="J743" s="134">
        <f t="shared" si="33"/>
        <v>-8240</v>
      </c>
      <c r="K743" s="135"/>
      <c r="L743" s="136" t="str">
        <f t="shared" si="35"/>
        <v>دائن</v>
      </c>
      <c r="M743" s="137" t="str">
        <f>IF(ISERROR(VLOOKUP(C743,'[1]خريطة الحسابات'!_xlnm.Print_Area,4,FALSE))," ",(VLOOKUP(C743,'[1]خريطة الحسابات'!_xlnm.Print_Area,4,FALSE)))</f>
        <v xml:space="preserve">أصول متداوله -النقدية ومافي حكمها </v>
      </c>
      <c r="N743" s="138" t="str">
        <f>IF(ISERROR(VLOOKUP(C743,'[1]خريطة الحسابات'!_xlnm.Print_Area,5,FALSE))," ",(VLOOKUP(C743,'[1]خريطة الحسابات'!_xlnm.Print_Area,5,FALSE)))</f>
        <v>الاصول</v>
      </c>
      <c r="O743" s="139" t="s">
        <v>1629</v>
      </c>
      <c r="P743" s="139" t="s">
        <v>1290</v>
      </c>
    </row>
    <row r="744" spans="1:16">
      <c r="A744" s="104">
        <v>48</v>
      </c>
      <c r="B744" s="131">
        <v>46086</v>
      </c>
      <c r="C744" s="141">
        <v>20</v>
      </c>
      <c r="D744" s="140" t="str">
        <f>IF(ISERROR(VLOOKUP(C744,'[1]خريطة الحسابات'!_xlnm.Print_Area,3,FALSE))," ",(VLOOKUP(C744,'[1]خريطة الحسابات'!_xlnm.Print_Area,3,FALSE)))</f>
        <v xml:space="preserve">الخزينة </v>
      </c>
      <c r="E744" s="132"/>
      <c r="F744" s="133"/>
      <c r="G744" s="133">
        <v>15015</v>
      </c>
      <c r="H744" s="134">
        <f t="shared" si="34"/>
        <v>0</v>
      </c>
      <c r="I744" s="134">
        <f t="shared" si="34"/>
        <v>15015</v>
      </c>
      <c r="J744" s="134">
        <f t="shared" si="33"/>
        <v>-15015</v>
      </c>
      <c r="K744" s="135"/>
      <c r="L744" s="136" t="str">
        <f t="shared" si="35"/>
        <v>دائن</v>
      </c>
      <c r="M744" s="137" t="str">
        <f>IF(ISERROR(VLOOKUP(C744,'[1]خريطة الحسابات'!_xlnm.Print_Area,4,FALSE))," ",(VLOOKUP(C744,'[1]خريطة الحسابات'!_xlnm.Print_Area,4,FALSE)))</f>
        <v xml:space="preserve">أصول متداوله -النقدية ومافي حكمها </v>
      </c>
      <c r="N744" s="138" t="str">
        <f>IF(ISERROR(VLOOKUP(C744,'[1]خريطة الحسابات'!_xlnm.Print_Area,5,FALSE))," ",(VLOOKUP(C744,'[1]خريطة الحسابات'!_xlnm.Print_Area,5,FALSE)))</f>
        <v>الاصول</v>
      </c>
      <c r="O744" s="139" t="s">
        <v>1630</v>
      </c>
      <c r="P744" s="139" t="s">
        <v>1290</v>
      </c>
    </row>
    <row r="745" spans="1:16">
      <c r="A745" s="104">
        <v>49</v>
      </c>
      <c r="B745" s="131">
        <v>46040</v>
      </c>
      <c r="C745" s="74">
        <v>4005</v>
      </c>
      <c r="D745" s="140" t="str">
        <f>IF(ISERROR(VLOOKUP(C745,'[1]خريطة الحسابات'!_xlnm.Print_Area,3,FALSE))," ",(VLOOKUP(C745,'[1]خريطة الحسابات'!_xlnm.Print_Area,3,FALSE)))</f>
        <v>ناصر الهدم</v>
      </c>
      <c r="E745" s="132"/>
      <c r="F745" s="133">
        <v>15015</v>
      </c>
      <c r="G745" s="133"/>
      <c r="H745" s="134">
        <f t="shared" si="34"/>
        <v>15015</v>
      </c>
      <c r="I745" s="134">
        <f t="shared" si="34"/>
        <v>0</v>
      </c>
      <c r="J745" s="134">
        <f t="shared" si="33"/>
        <v>15015</v>
      </c>
      <c r="K745" s="135"/>
      <c r="L745" s="136" t="str">
        <f t="shared" si="35"/>
        <v>مدين</v>
      </c>
      <c r="M745" s="137" t="str">
        <f>IF(ISERROR(VLOOKUP(C745,'[1]خريطة الحسابات'!_xlnm.Print_Area,4,FALSE))," ",(VLOOKUP(C745,'[1]خريطة الحسابات'!_xlnm.Print_Area,4,FALSE)))</f>
        <v xml:space="preserve">مقاولين </v>
      </c>
      <c r="N745" s="138" t="str">
        <f>IF(ISERROR(VLOOKUP(C745,'[1]خريطة الحسابات'!_xlnm.Print_Area,5,FALSE))," ",(VLOOKUP(C745,'[1]خريطة الحسابات'!_xlnm.Print_Area,5,FALSE)))</f>
        <v xml:space="preserve">الدائنون والأرصدة الدائنة الأخرى </v>
      </c>
      <c r="O745" s="139" t="s">
        <v>1631</v>
      </c>
      <c r="P745" s="139" t="s">
        <v>1632</v>
      </c>
    </row>
    <row r="746" spans="1:16">
      <c r="A746" s="104">
        <v>49</v>
      </c>
      <c r="B746" s="131">
        <v>46070</v>
      </c>
      <c r="C746" s="74">
        <v>4005</v>
      </c>
      <c r="D746" s="140" t="str">
        <f>IF(ISERROR(VLOOKUP(C746,'[1]خريطة الحسابات'!_xlnm.Print_Area,3,FALSE))," ",(VLOOKUP(C746,'[1]خريطة الحسابات'!_xlnm.Print_Area,3,FALSE)))</f>
        <v>ناصر الهدم</v>
      </c>
      <c r="E746" s="132"/>
      <c r="F746" s="133">
        <v>15000</v>
      </c>
      <c r="G746" s="133"/>
      <c r="H746" s="134">
        <f t="shared" si="34"/>
        <v>15000</v>
      </c>
      <c r="I746" s="134">
        <f t="shared" si="34"/>
        <v>0</v>
      </c>
      <c r="J746" s="134">
        <f t="shared" si="33"/>
        <v>15000</v>
      </c>
      <c r="K746" s="135"/>
      <c r="L746" s="136" t="str">
        <f t="shared" si="35"/>
        <v>مدين</v>
      </c>
      <c r="M746" s="137" t="str">
        <f>IF(ISERROR(VLOOKUP(C746,'[1]خريطة الحسابات'!_xlnm.Print_Area,4,FALSE))," ",(VLOOKUP(C746,'[1]خريطة الحسابات'!_xlnm.Print_Area,4,FALSE)))</f>
        <v xml:space="preserve">مقاولين </v>
      </c>
      <c r="N746" s="138" t="str">
        <f>IF(ISERROR(VLOOKUP(C746,'[1]خريطة الحسابات'!_xlnm.Print_Area,5,FALSE))," ",(VLOOKUP(C746,'[1]خريطة الحسابات'!_xlnm.Print_Area,5,FALSE)))</f>
        <v xml:space="preserve">الدائنون والأرصدة الدائنة الأخرى </v>
      </c>
      <c r="O746" s="139" t="s">
        <v>1633</v>
      </c>
      <c r="P746" s="139" t="s">
        <v>1632</v>
      </c>
    </row>
    <row r="747" spans="1:16">
      <c r="A747" s="104">
        <v>49</v>
      </c>
      <c r="B747" s="131">
        <v>46121</v>
      </c>
      <c r="C747" s="74">
        <v>4005</v>
      </c>
      <c r="D747" s="140" t="str">
        <f>IF(ISERROR(VLOOKUP(C747,'[1]خريطة الحسابات'!_xlnm.Print_Area,3,FALSE))," ",(VLOOKUP(C747,'[1]خريطة الحسابات'!_xlnm.Print_Area,3,FALSE)))</f>
        <v>ناصر الهدم</v>
      </c>
      <c r="E747" s="132"/>
      <c r="F747" s="133">
        <v>5000</v>
      </c>
      <c r="G747" s="133"/>
      <c r="H747" s="134">
        <f t="shared" si="34"/>
        <v>5000</v>
      </c>
      <c r="I747" s="134">
        <f t="shared" si="34"/>
        <v>0</v>
      </c>
      <c r="J747" s="134">
        <f t="shared" si="33"/>
        <v>5000</v>
      </c>
      <c r="K747" s="135"/>
      <c r="L747" s="136" t="str">
        <f t="shared" si="35"/>
        <v>مدين</v>
      </c>
      <c r="M747" s="137" t="str">
        <f>IF(ISERROR(VLOOKUP(C747,'[1]خريطة الحسابات'!_xlnm.Print_Area,4,FALSE))," ",(VLOOKUP(C747,'[1]خريطة الحسابات'!_xlnm.Print_Area,4,FALSE)))</f>
        <v xml:space="preserve">مقاولين </v>
      </c>
      <c r="N747" s="138" t="str">
        <f>IF(ISERROR(VLOOKUP(C747,'[1]خريطة الحسابات'!_xlnm.Print_Area,5,FALSE))," ",(VLOOKUP(C747,'[1]خريطة الحسابات'!_xlnm.Print_Area,5,FALSE)))</f>
        <v xml:space="preserve">الدائنون والأرصدة الدائنة الأخرى </v>
      </c>
      <c r="O747" s="139" t="s">
        <v>1634</v>
      </c>
      <c r="P747" s="139" t="s">
        <v>1632</v>
      </c>
    </row>
    <row r="748" spans="1:16">
      <c r="A748" s="104">
        <v>49</v>
      </c>
      <c r="B748" s="131">
        <v>46156</v>
      </c>
      <c r="C748" s="74">
        <v>4005</v>
      </c>
      <c r="D748" s="140" t="str">
        <f>IF(ISERROR(VLOOKUP(C748,'[1]خريطة الحسابات'!_xlnm.Print_Area,3,FALSE))," ",(VLOOKUP(C748,'[1]خريطة الحسابات'!_xlnm.Print_Area,3,FALSE)))</f>
        <v>ناصر الهدم</v>
      </c>
      <c r="E748" s="132"/>
      <c r="F748" s="133">
        <v>7007</v>
      </c>
      <c r="G748" s="133"/>
      <c r="H748" s="134">
        <f t="shared" si="34"/>
        <v>7007</v>
      </c>
      <c r="I748" s="134">
        <f t="shared" si="34"/>
        <v>0</v>
      </c>
      <c r="J748" s="134">
        <f t="shared" si="33"/>
        <v>7007</v>
      </c>
      <c r="K748" s="135"/>
      <c r="L748" s="136" t="str">
        <f t="shared" si="35"/>
        <v>مدين</v>
      </c>
      <c r="M748" s="137" t="str">
        <f>IF(ISERROR(VLOOKUP(C748,'[1]خريطة الحسابات'!_xlnm.Print_Area,4,FALSE))," ",(VLOOKUP(C748,'[1]خريطة الحسابات'!_xlnm.Print_Area,4,FALSE)))</f>
        <v xml:space="preserve">مقاولين </v>
      </c>
      <c r="N748" s="138" t="str">
        <f>IF(ISERROR(VLOOKUP(C748,'[1]خريطة الحسابات'!_xlnm.Print_Area,5,FALSE))," ",(VLOOKUP(C748,'[1]خريطة الحسابات'!_xlnm.Print_Area,5,FALSE)))</f>
        <v xml:space="preserve">الدائنون والأرصدة الدائنة الأخرى </v>
      </c>
      <c r="O748" s="139" t="s">
        <v>1635</v>
      </c>
      <c r="P748" s="139" t="s">
        <v>1636</v>
      </c>
    </row>
    <row r="749" spans="1:16">
      <c r="A749" s="104">
        <v>49</v>
      </c>
      <c r="B749" s="131">
        <v>46163</v>
      </c>
      <c r="C749" s="74">
        <v>4005</v>
      </c>
      <c r="D749" s="140" t="str">
        <f>IF(ISERROR(VLOOKUP(C749,'[1]خريطة الحسابات'!_xlnm.Print_Area,3,FALSE))," ",(VLOOKUP(C749,'[1]خريطة الحسابات'!_xlnm.Print_Area,3,FALSE)))</f>
        <v>ناصر الهدم</v>
      </c>
      <c r="E749" s="132"/>
      <c r="F749" s="133">
        <v>7100</v>
      </c>
      <c r="G749" s="133"/>
      <c r="H749" s="134">
        <f t="shared" si="34"/>
        <v>7100</v>
      </c>
      <c r="I749" s="134">
        <f t="shared" si="34"/>
        <v>0</v>
      </c>
      <c r="J749" s="134">
        <f t="shared" si="33"/>
        <v>7100</v>
      </c>
      <c r="K749" s="135"/>
      <c r="L749" s="136" t="str">
        <f t="shared" si="35"/>
        <v>مدين</v>
      </c>
      <c r="M749" s="137" t="str">
        <f>IF(ISERROR(VLOOKUP(C749,'[1]خريطة الحسابات'!_xlnm.Print_Area,4,FALSE))," ",(VLOOKUP(C749,'[1]خريطة الحسابات'!_xlnm.Print_Area,4,FALSE)))</f>
        <v xml:space="preserve">مقاولين </v>
      </c>
      <c r="N749" s="138" t="str">
        <f>IF(ISERROR(VLOOKUP(C749,'[1]خريطة الحسابات'!_xlnm.Print_Area,5,FALSE))," ",(VLOOKUP(C749,'[1]خريطة الحسابات'!_xlnm.Print_Area,5,FALSE)))</f>
        <v xml:space="preserve">الدائنون والأرصدة الدائنة الأخرى </v>
      </c>
      <c r="O749" s="139" t="s">
        <v>1637</v>
      </c>
      <c r="P749" s="139" t="s">
        <v>1636</v>
      </c>
    </row>
    <row r="750" spans="1:16">
      <c r="A750" s="104">
        <v>49</v>
      </c>
      <c r="B750" s="131">
        <v>46040</v>
      </c>
      <c r="C750" s="141">
        <v>20</v>
      </c>
      <c r="D750" s="140" t="str">
        <f>IF(ISERROR(VLOOKUP(C750,'[1]خريطة الحسابات'!_xlnm.Print_Area,3,FALSE))," ",(VLOOKUP(C750,'[1]خريطة الحسابات'!_xlnm.Print_Area,3,FALSE)))</f>
        <v xml:space="preserve">الخزينة </v>
      </c>
      <c r="E750" s="132"/>
      <c r="F750" s="133"/>
      <c r="G750" s="133">
        <v>15015</v>
      </c>
      <c r="H750" s="134">
        <f t="shared" si="34"/>
        <v>0</v>
      </c>
      <c r="I750" s="134">
        <f t="shared" si="34"/>
        <v>15015</v>
      </c>
      <c r="J750" s="134">
        <f t="shared" si="33"/>
        <v>-15015</v>
      </c>
      <c r="K750" s="135"/>
      <c r="L750" s="136" t="str">
        <f t="shared" si="35"/>
        <v>دائن</v>
      </c>
      <c r="M750" s="137" t="str">
        <f>IF(ISERROR(VLOOKUP(C750,'[1]خريطة الحسابات'!_xlnm.Print_Area,4,FALSE))," ",(VLOOKUP(C750,'[1]خريطة الحسابات'!_xlnm.Print_Area,4,FALSE)))</f>
        <v xml:space="preserve">أصول متداوله -النقدية ومافي حكمها </v>
      </c>
      <c r="N750" s="138" t="str">
        <f>IF(ISERROR(VLOOKUP(C750,'[1]خريطة الحسابات'!_xlnm.Print_Area,5,FALSE))," ",(VLOOKUP(C750,'[1]خريطة الحسابات'!_xlnm.Print_Area,5,FALSE)))</f>
        <v>الاصول</v>
      </c>
      <c r="O750" s="139" t="s">
        <v>1631</v>
      </c>
      <c r="P750" s="139" t="s">
        <v>1632</v>
      </c>
    </row>
    <row r="751" spans="1:16">
      <c r="A751" s="104">
        <v>49</v>
      </c>
      <c r="B751" s="131">
        <v>46070</v>
      </c>
      <c r="C751" s="141">
        <v>20</v>
      </c>
      <c r="D751" s="140" t="str">
        <f>IF(ISERROR(VLOOKUP(C751,'[1]خريطة الحسابات'!_xlnm.Print_Area,3,FALSE))," ",(VLOOKUP(C751,'[1]خريطة الحسابات'!_xlnm.Print_Area,3,FALSE)))</f>
        <v xml:space="preserve">الخزينة </v>
      </c>
      <c r="E751" s="132"/>
      <c r="F751" s="133"/>
      <c r="G751" s="133">
        <v>15000</v>
      </c>
      <c r="H751" s="134">
        <f t="shared" si="34"/>
        <v>0</v>
      </c>
      <c r="I751" s="134">
        <f t="shared" si="34"/>
        <v>15000</v>
      </c>
      <c r="J751" s="134">
        <f t="shared" si="33"/>
        <v>-15000</v>
      </c>
      <c r="K751" s="135"/>
      <c r="L751" s="136" t="str">
        <f t="shared" si="35"/>
        <v>دائن</v>
      </c>
      <c r="M751" s="137" t="str">
        <f>IF(ISERROR(VLOOKUP(C751,'[1]خريطة الحسابات'!_xlnm.Print_Area,4,FALSE))," ",(VLOOKUP(C751,'[1]خريطة الحسابات'!_xlnm.Print_Area,4,FALSE)))</f>
        <v xml:space="preserve">أصول متداوله -النقدية ومافي حكمها </v>
      </c>
      <c r="N751" s="138" t="str">
        <f>IF(ISERROR(VLOOKUP(C751,'[1]خريطة الحسابات'!_xlnm.Print_Area,5,FALSE))," ",(VLOOKUP(C751,'[1]خريطة الحسابات'!_xlnm.Print_Area,5,FALSE)))</f>
        <v>الاصول</v>
      </c>
      <c r="O751" s="139" t="s">
        <v>1633</v>
      </c>
      <c r="P751" s="139" t="s">
        <v>1632</v>
      </c>
    </row>
    <row r="752" spans="1:16">
      <c r="A752" s="104">
        <v>49</v>
      </c>
      <c r="B752" s="131">
        <v>46121</v>
      </c>
      <c r="C752" s="141">
        <v>20</v>
      </c>
      <c r="D752" s="140" t="str">
        <f>IF(ISERROR(VLOOKUP(C752,'[1]خريطة الحسابات'!_xlnm.Print_Area,3,FALSE))," ",(VLOOKUP(C752,'[1]خريطة الحسابات'!_xlnm.Print_Area,3,FALSE)))</f>
        <v xml:space="preserve">الخزينة </v>
      </c>
      <c r="E752" s="132"/>
      <c r="F752" s="133"/>
      <c r="G752" s="133">
        <v>5000</v>
      </c>
      <c r="H752" s="134">
        <f t="shared" si="34"/>
        <v>0</v>
      </c>
      <c r="I752" s="134">
        <f t="shared" si="34"/>
        <v>5000</v>
      </c>
      <c r="J752" s="134">
        <f t="shared" si="33"/>
        <v>-5000</v>
      </c>
      <c r="K752" s="135"/>
      <c r="L752" s="136" t="str">
        <f t="shared" si="35"/>
        <v>دائن</v>
      </c>
      <c r="M752" s="137" t="str">
        <f>IF(ISERROR(VLOOKUP(C752,'[1]خريطة الحسابات'!_xlnm.Print_Area,4,FALSE))," ",(VLOOKUP(C752,'[1]خريطة الحسابات'!_xlnm.Print_Area,4,FALSE)))</f>
        <v xml:space="preserve">أصول متداوله -النقدية ومافي حكمها </v>
      </c>
      <c r="N752" s="138" t="str">
        <f>IF(ISERROR(VLOOKUP(C752,'[1]خريطة الحسابات'!_xlnm.Print_Area,5,FALSE))," ",(VLOOKUP(C752,'[1]خريطة الحسابات'!_xlnm.Print_Area,5,FALSE)))</f>
        <v>الاصول</v>
      </c>
      <c r="O752" s="139" t="s">
        <v>1634</v>
      </c>
      <c r="P752" s="139" t="s">
        <v>1632</v>
      </c>
    </row>
    <row r="753" spans="1:16">
      <c r="A753" s="104">
        <v>49</v>
      </c>
      <c r="B753" s="131">
        <v>46156</v>
      </c>
      <c r="C753" s="141">
        <v>20</v>
      </c>
      <c r="D753" s="140" t="str">
        <f>IF(ISERROR(VLOOKUP(C753,'[1]خريطة الحسابات'!_xlnm.Print_Area,3,FALSE))," ",(VLOOKUP(C753,'[1]خريطة الحسابات'!_xlnm.Print_Area,3,FALSE)))</f>
        <v xml:space="preserve">الخزينة </v>
      </c>
      <c r="E753" s="132"/>
      <c r="F753" s="133"/>
      <c r="G753" s="133">
        <v>7007</v>
      </c>
      <c r="H753" s="134">
        <f t="shared" si="34"/>
        <v>0</v>
      </c>
      <c r="I753" s="134">
        <f t="shared" si="34"/>
        <v>7007</v>
      </c>
      <c r="J753" s="134">
        <f t="shared" si="33"/>
        <v>-7007</v>
      </c>
      <c r="K753" s="135"/>
      <c r="L753" s="136" t="str">
        <f t="shared" si="35"/>
        <v>دائن</v>
      </c>
      <c r="M753" s="137" t="str">
        <f>IF(ISERROR(VLOOKUP(C753,'[1]خريطة الحسابات'!_xlnm.Print_Area,4,FALSE))," ",(VLOOKUP(C753,'[1]خريطة الحسابات'!_xlnm.Print_Area,4,FALSE)))</f>
        <v xml:space="preserve">أصول متداوله -النقدية ومافي حكمها </v>
      </c>
      <c r="N753" s="138" t="str">
        <f>IF(ISERROR(VLOOKUP(C753,'[1]خريطة الحسابات'!_xlnm.Print_Area,5,FALSE))," ",(VLOOKUP(C753,'[1]خريطة الحسابات'!_xlnm.Print_Area,5,FALSE)))</f>
        <v>الاصول</v>
      </c>
      <c r="O753" s="139" t="s">
        <v>1635</v>
      </c>
      <c r="P753" s="139" t="s">
        <v>1636</v>
      </c>
    </row>
    <row r="754" spans="1:16">
      <c r="A754" s="104">
        <v>49</v>
      </c>
      <c r="B754" s="131">
        <v>46163</v>
      </c>
      <c r="C754" s="141">
        <v>20</v>
      </c>
      <c r="D754" s="140" t="str">
        <f>IF(ISERROR(VLOOKUP(C754,'[1]خريطة الحسابات'!_xlnm.Print_Area,3,FALSE))," ",(VLOOKUP(C754,'[1]خريطة الحسابات'!_xlnm.Print_Area,3,FALSE)))</f>
        <v xml:space="preserve">الخزينة </v>
      </c>
      <c r="E754" s="132"/>
      <c r="F754" s="133"/>
      <c r="G754" s="133">
        <v>7100</v>
      </c>
      <c r="H754" s="134">
        <f t="shared" si="34"/>
        <v>0</v>
      </c>
      <c r="I754" s="134">
        <f t="shared" si="34"/>
        <v>7100</v>
      </c>
      <c r="J754" s="134">
        <f t="shared" si="33"/>
        <v>-7100</v>
      </c>
      <c r="K754" s="135"/>
      <c r="L754" s="136" t="str">
        <f t="shared" si="35"/>
        <v>دائن</v>
      </c>
      <c r="M754" s="137" t="str">
        <f>IF(ISERROR(VLOOKUP(C754,'[1]خريطة الحسابات'!_xlnm.Print_Area,4,FALSE))," ",(VLOOKUP(C754,'[1]خريطة الحسابات'!_xlnm.Print_Area,4,FALSE)))</f>
        <v xml:space="preserve">أصول متداوله -النقدية ومافي حكمها </v>
      </c>
      <c r="N754" s="138" t="str">
        <f>IF(ISERROR(VLOOKUP(C754,'[1]خريطة الحسابات'!_xlnm.Print_Area,5,FALSE))," ",(VLOOKUP(C754,'[1]خريطة الحسابات'!_xlnm.Print_Area,5,FALSE)))</f>
        <v>الاصول</v>
      </c>
      <c r="O754" s="139" t="s">
        <v>1637</v>
      </c>
      <c r="P754" s="139" t="s">
        <v>1636</v>
      </c>
    </row>
    <row r="755" spans="1:16">
      <c r="A755" s="104">
        <v>50</v>
      </c>
      <c r="B755" s="131">
        <v>46118</v>
      </c>
      <c r="C755" s="141">
        <v>4059</v>
      </c>
      <c r="D755" s="140" t="str">
        <f>IF(ISERROR(VLOOKUP(C755,'[1]خريطة الحسابات'!_xlnm.Print_Area,3,FALSE))," ",(VLOOKUP(C755,'[1]خريطة الحسابات'!_xlnm.Print_Area,3,FALSE)))</f>
        <v>نجيب سليم</v>
      </c>
      <c r="E755" s="132"/>
      <c r="F755" s="133">
        <v>61177</v>
      </c>
      <c r="G755" s="133"/>
      <c r="H755" s="134">
        <f t="shared" si="34"/>
        <v>61177</v>
      </c>
      <c r="I755" s="134">
        <f t="shared" si="34"/>
        <v>0</v>
      </c>
      <c r="J755" s="134">
        <f t="shared" si="33"/>
        <v>61177</v>
      </c>
      <c r="K755" s="135"/>
      <c r="L755" s="136" t="str">
        <f t="shared" si="35"/>
        <v>مدين</v>
      </c>
      <c r="M755" s="137" t="str">
        <f>IF(ISERROR(VLOOKUP(C755,'[1]خريطة الحسابات'!_xlnm.Print_Area,4,FALSE))," ",(VLOOKUP(C755,'[1]خريطة الحسابات'!_xlnm.Print_Area,4,FALSE)))</f>
        <v>موردين</v>
      </c>
      <c r="N755" s="138" t="str">
        <f>IF(ISERROR(VLOOKUP(C755,'[1]خريطة الحسابات'!_xlnm.Print_Area,5,FALSE))," ",(VLOOKUP(C755,'[1]خريطة الحسابات'!_xlnm.Print_Area,5,FALSE)))</f>
        <v xml:space="preserve">الدائنون والأرصدة الدائنة الأخرى </v>
      </c>
      <c r="O755" s="139" t="s">
        <v>1638</v>
      </c>
      <c r="P755" s="139" t="s">
        <v>1290</v>
      </c>
    </row>
    <row r="756" spans="1:16">
      <c r="A756" s="104">
        <v>50</v>
      </c>
      <c r="B756" s="131">
        <v>46119</v>
      </c>
      <c r="C756" s="141">
        <v>4059</v>
      </c>
      <c r="D756" s="140" t="str">
        <f>IF(ISERROR(VLOOKUP(C756,'[1]خريطة الحسابات'!_xlnm.Print_Area,3,FALSE))," ",(VLOOKUP(C756,'[1]خريطة الحسابات'!_xlnm.Print_Area,3,FALSE)))</f>
        <v>نجيب سليم</v>
      </c>
      <c r="E756" s="132"/>
      <c r="F756" s="133">
        <v>70020</v>
      </c>
      <c r="G756" s="133"/>
      <c r="H756" s="134">
        <f t="shared" si="34"/>
        <v>70020</v>
      </c>
      <c r="I756" s="134">
        <f t="shared" si="34"/>
        <v>0</v>
      </c>
      <c r="J756" s="134">
        <f t="shared" si="33"/>
        <v>70020</v>
      </c>
      <c r="K756" s="135"/>
      <c r="L756" s="136" t="str">
        <f t="shared" si="35"/>
        <v>مدين</v>
      </c>
      <c r="M756" s="137" t="str">
        <f>IF(ISERROR(VLOOKUP(C756,'[1]خريطة الحسابات'!_xlnm.Print_Area,4,FALSE))," ",(VLOOKUP(C756,'[1]خريطة الحسابات'!_xlnm.Print_Area,4,FALSE)))</f>
        <v>موردين</v>
      </c>
      <c r="N756" s="138" t="str">
        <f>IF(ISERROR(VLOOKUP(C756,'[1]خريطة الحسابات'!_xlnm.Print_Area,5,FALSE))," ",(VLOOKUP(C756,'[1]خريطة الحسابات'!_xlnm.Print_Area,5,FALSE)))</f>
        <v xml:space="preserve">الدائنون والأرصدة الدائنة الأخرى </v>
      </c>
      <c r="O756" s="139" t="s">
        <v>1639</v>
      </c>
      <c r="P756" s="139" t="s">
        <v>1290</v>
      </c>
    </row>
    <row r="757" spans="1:16">
      <c r="A757" s="104">
        <v>50</v>
      </c>
      <c r="B757" s="131">
        <v>46126</v>
      </c>
      <c r="C757" s="141">
        <v>4059</v>
      </c>
      <c r="D757" s="140" t="str">
        <f>IF(ISERROR(VLOOKUP(C757,'[1]خريطة الحسابات'!_xlnm.Print_Area,3,FALSE))," ",(VLOOKUP(C757,'[1]خريطة الحسابات'!_xlnm.Print_Area,3,FALSE)))</f>
        <v>نجيب سليم</v>
      </c>
      <c r="E757" s="132"/>
      <c r="F757" s="133">
        <v>41200</v>
      </c>
      <c r="G757" s="133"/>
      <c r="H757" s="134">
        <f t="shared" si="34"/>
        <v>41200</v>
      </c>
      <c r="I757" s="134">
        <f t="shared" si="34"/>
        <v>0</v>
      </c>
      <c r="J757" s="134">
        <f t="shared" si="33"/>
        <v>41200</v>
      </c>
      <c r="K757" s="135"/>
      <c r="L757" s="136" t="str">
        <f t="shared" si="35"/>
        <v>مدين</v>
      </c>
      <c r="M757" s="137" t="str">
        <f>IF(ISERROR(VLOOKUP(C757,'[1]خريطة الحسابات'!_xlnm.Print_Area,4,FALSE))," ",(VLOOKUP(C757,'[1]خريطة الحسابات'!_xlnm.Print_Area,4,FALSE)))</f>
        <v>موردين</v>
      </c>
      <c r="N757" s="138" t="str">
        <f>IF(ISERROR(VLOOKUP(C757,'[1]خريطة الحسابات'!_xlnm.Print_Area,5,FALSE))," ",(VLOOKUP(C757,'[1]خريطة الحسابات'!_xlnm.Print_Area,5,FALSE)))</f>
        <v xml:space="preserve">الدائنون والأرصدة الدائنة الأخرى </v>
      </c>
      <c r="O757" s="139" t="s">
        <v>1640</v>
      </c>
      <c r="P757" s="139" t="s">
        <v>1290</v>
      </c>
    </row>
    <row r="758" spans="1:16">
      <c r="A758" s="104">
        <v>50</v>
      </c>
      <c r="B758" s="131">
        <v>46174</v>
      </c>
      <c r="C758" s="141">
        <v>4059</v>
      </c>
      <c r="D758" s="140" t="str">
        <f>IF(ISERROR(VLOOKUP(C758,'[1]خريطة الحسابات'!_xlnm.Print_Area,3,FALSE))," ",(VLOOKUP(C758,'[1]خريطة الحسابات'!_xlnm.Print_Area,3,FALSE)))</f>
        <v>نجيب سليم</v>
      </c>
      <c r="E758" s="132"/>
      <c r="F758" s="133">
        <v>27600</v>
      </c>
      <c r="G758" s="133"/>
      <c r="H758" s="134">
        <f t="shared" si="34"/>
        <v>27600</v>
      </c>
      <c r="I758" s="134">
        <f t="shared" si="34"/>
        <v>0</v>
      </c>
      <c r="J758" s="134">
        <f t="shared" si="33"/>
        <v>27600</v>
      </c>
      <c r="K758" s="135"/>
      <c r="L758" s="136" t="str">
        <f t="shared" si="35"/>
        <v>مدين</v>
      </c>
      <c r="M758" s="137" t="str">
        <f>IF(ISERROR(VLOOKUP(C758,'[1]خريطة الحسابات'!_xlnm.Print_Area,4,FALSE))," ",(VLOOKUP(C758,'[1]خريطة الحسابات'!_xlnm.Print_Area,4,FALSE)))</f>
        <v>موردين</v>
      </c>
      <c r="N758" s="138" t="str">
        <f>IF(ISERROR(VLOOKUP(C758,'[1]خريطة الحسابات'!_xlnm.Print_Area,5,FALSE))," ",(VLOOKUP(C758,'[1]خريطة الحسابات'!_xlnm.Print_Area,5,FALSE)))</f>
        <v xml:space="preserve">الدائنون والأرصدة الدائنة الأخرى </v>
      </c>
      <c r="O758" s="139" t="s">
        <v>1641</v>
      </c>
      <c r="P758" s="139" t="s">
        <v>1315</v>
      </c>
    </row>
    <row r="759" spans="1:16">
      <c r="A759" s="104">
        <v>50</v>
      </c>
      <c r="B759" s="131">
        <v>46174</v>
      </c>
      <c r="C759" s="141">
        <v>4059</v>
      </c>
      <c r="D759" s="140" t="str">
        <f>IF(ISERROR(VLOOKUP(C759,'[1]خريطة الحسابات'!_xlnm.Print_Area,3,FALSE))," ",(VLOOKUP(C759,'[1]خريطة الحسابات'!_xlnm.Print_Area,3,FALSE)))</f>
        <v>نجيب سليم</v>
      </c>
      <c r="E759" s="132"/>
      <c r="F759" s="133">
        <v>1990</v>
      </c>
      <c r="G759" s="133"/>
      <c r="H759" s="134">
        <f t="shared" si="34"/>
        <v>1990</v>
      </c>
      <c r="I759" s="134">
        <f t="shared" si="34"/>
        <v>0</v>
      </c>
      <c r="J759" s="134">
        <f t="shared" si="33"/>
        <v>1990</v>
      </c>
      <c r="K759" s="135"/>
      <c r="L759" s="136" t="str">
        <f t="shared" si="35"/>
        <v>مدين</v>
      </c>
      <c r="M759" s="137" t="str">
        <f>IF(ISERROR(VLOOKUP(C759,'[1]خريطة الحسابات'!_xlnm.Print_Area,4,FALSE))," ",(VLOOKUP(C759,'[1]خريطة الحسابات'!_xlnm.Print_Area,4,FALSE)))</f>
        <v>موردين</v>
      </c>
      <c r="N759" s="138" t="str">
        <f>IF(ISERROR(VLOOKUP(C759,'[1]خريطة الحسابات'!_xlnm.Print_Area,5,FALSE))," ",(VLOOKUP(C759,'[1]خريطة الحسابات'!_xlnm.Print_Area,5,FALSE)))</f>
        <v xml:space="preserve">الدائنون والأرصدة الدائنة الأخرى </v>
      </c>
      <c r="O759" s="139" t="s">
        <v>1642</v>
      </c>
      <c r="P759" s="139" t="s">
        <v>1290</v>
      </c>
    </row>
    <row r="760" spans="1:16">
      <c r="A760" s="104">
        <v>50</v>
      </c>
      <c r="B760" s="131">
        <v>46186</v>
      </c>
      <c r="C760" s="141">
        <v>4059</v>
      </c>
      <c r="D760" s="140" t="str">
        <f>IF(ISERROR(VLOOKUP(C760,'[1]خريطة الحسابات'!_xlnm.Print_Area,3,FALSE))," ",(VLOOKUP(C760,'[1]خريطة الحسابات'!_xlnm.Print_Area,3,FALSE)))</f>
        <v>نجيب سليم</v>
      </c>
      <c r="E760" s="132"/>
      <c r="F760" s="133">
        <v>7360</v>
      </c>
      <c r="G760" s="133"/>
      <c r="H760" s="134">
        <f t="shared" si="34"/>
        <v>7360</v>
      </c>
      <c r="I760" s="134">
        <f t="shared" si="34"/>
        <v>0</v>
      </c>
      <c r="J760" s="134">
        <f t="shared" si="33"/>
        <v>7360</v>
      </c>
      <c r="K760" s="135"/>
      <c r="L760" s="136" t="str">
        <f t="shared" si="35"/>
        <v>مدين</v>
      </c>
      <c r="M760" s="137" t="str">
        <f>IF(ISERROR(VLOOKUP(C760,'[1]خريطة الحسابات'!_xlnm.Print_Area,4,FALSE))," ",(VLOOKUP(C760,'[1]خريطة الحسابات'!_xlnm.Print_Area,4,FALSE)))</f>
        <v>موردين</v>
      </c>
      <c r="N760" s="138" t="str">
        <f>IF(ISERROR(VLOOKUP(C760,'[1]خريطة الحسابات'!_xlnm.Print_Area,5,FALSE))," ",(VLOOKUP(C760,'[1]خريطة الحسابات'!_xlnm.Print_Area,5,FALSE)))</f>
        <v xml:space="preserve">الدائنون والأرصدة الدائنة الأخرى </v>
      </c>
      <c r="O760" s="139" t="s">
        <v>1641</v>
      </c>
      <c r="P760" s="139" t="s">
        <v>1315</v>
      </c>
    </row>
    <row r="761" spans="1:16">
      <c r="A761" s="104">
        <v>50</v>
      </c>
      <c r="B761" s="131">
        <v>46118</v>
      </c>
      <c r="C761" s="141">
        <v>20</v>
      </c>
      <c r="D761" s="140" t="str">
        <f>IF(ISERROR(VLOOKUP(C761,'[1]خريطة الحسابات'!_xlnm.Print_Area,3,FALSE))," ",(VLOOKUP(C761,'[1]خريطة الحسابات'!_xlnm.Print_Area,3,FALSE)))</f>
        <v xml:space="preserve">الخزينة </v>
      </c>
      <c r="E761" s="132"/>
      <c r="F761" s="133"/>
      <c r="G761" s="133">
        <v>61177</v>
      </c>
      <c r="H761" s="134">
        <f t="shared" si="34"/>
        <v>0</v>
      </c>
      <c r="I761" s="134">
        <f t="shared" si="34"/>
        <v>61177</v>
      </c>
      <c r="J761" s="134">
        <f t="shared" si="33"/>
        <v>-61177</v>
      </c>
      <c r="K761" s="135"/>
      <c r="L761" s="136" t="str">
        <f t="shared" si="35"/>
        <v>دائن</v>
      </c>
      <c r="M761" s="137" t="str">
        <f>IF(ISERROR(VLOOKUP(C761,'[1]خريطة الحسابات'!_xlnm.Print_Area,4,FALSE))," ",(VLOOKUP(C761,'[1]خريطة الحسابات'!_xlnm.Print_Area,4,FALSE)))</f>
        <v xml:space="preserve">أصول متداوله -النقدية ومافي حكمها </v>
      </c>
      <c r="N761" s="138" t="str">
        <f>IF(ISERROR(VLOOKUP(C761,'[1]خريطة الحسابات'!_xlnm.Print_Area,5,FALSE))," ",(VLOOKUP(C761,'[1]خريطة الحسابات'!_xlnm.Print_Area,5,FALSE)))</f>
        <v>الاصول</v>
      </c>
      <c r="O761" s="139" t="s">
        <v>1638</v>
      </c>
      <c r="P761" s="139" t="s">
        <v>1290</v>
      </c>
    </row>
    <row r="762" spans="1:16">
      <c r="A762" s="104">
        <v>50</v>
      </c>
      <c r="B762" s="131">
        <v>46119</v>
      </c>
      <c r="C762" s="141">
        <v>20</v>
      </c>
      <c r="D762" s="140" t="str">
        <f>IF(ISERROR(VLOOKUP(C762,'[1]خريطة الحسابات'!_xlnm.Print_Area,3,FALSE))," ",(VLOOKUP(C762,'[1]خريطة الحسابات'!_xlnm.Print_Area,3,FALSE)))</f>
        <v xml:space="preserve">الخزينة </v>
      </c>
      <c r="E762" s="132"/>
      <c r="F762" s="133"/>
      <c r="G762" s="133">
        <v>70020</v>
      </c>
      <c r="H762" s="134">
        <f t="shared" si="34"/>
        <v>0</v>
      </c>
      <c r="I762" s="134">
        <f t="shared" si="34"/>
        <v>70020</v>
      </c>
      <c r="J762" s="134">
        <f t="shared" si="33"/>
        <v>-70020</v>
      </c>
      <c r="K762" s="135"/>
      <c r="L762" s="136" t="str">
        <f t="shared" si="35"/>
        <v>دائن</v>
      </c>
      <c r="M762" s="137" t="str">
        <f>IF(ISERROR(VLOOKUP(C762,'[1]خريطة الحسابات'!_xlnm.Print_Area,4,FALSE))," ",(VLOOKUP(C762,'[1]خريطة الحسابات'!_xlnm.Print_Area,4,FALSE)))</f>
        <v xml:space="preserve">أصول متداوله -النقدية ومافي حكمها </v>
      </c>
      <c r="N762" s="138" t="str">
        <f>IF(ISERROR(VLOOKUP(C762,'[1]خريطة الحسابات'!_xlnm.Print_Area,5,FALSE))," ",(VLOOKUP(C762,'[1]خريطة الحسابات'!_xlnm.Print_Area,5,FALSE)))</f>
        <v>الاصول</v>
      </c>
      <c r="O762" s="139" t="s">
        <v>1639</v>
      </c>
      <c r="P762" s="139" t="s">
        <v>1290</v>
      </c>
    </row>
    <row r="763" spans="1:16">
      <c r="A763" s="104">
        <v>50</v>
      </c>
      <c r="B763" s="131">
        <v>46126</v>
      </c>
      <c r="C763" s="141">
        <v>20</v>
      </c>
      <c r="D763" s="140" t="str">
        <f>IF(ISERROR(VLOOKUP(C763,'[1]خريطة الحسابات'!_xlnm.Print_Area,3,FALSE))," ",(VLOOKUP(C763,'[1]خريطة الحسابات'!_xlnm.Print_Area,3,FALSE)))</f>
        <v xml:space="preserve">الخزينة </v>
      </c>
      <c r="E763" s="132"/>
      <c r="F763" s="133"/>
      <c r="G763" s="133">
        <v>41200</v>
      </c>
      <c r="H763" s="134">
        <f t="shared" si="34"/>
        <v>0</v>
      </c>
      <c r="I763" s="134">
        <f t="shared" si="34"/>
        <v>41200</v>
      </c>
      <c r="J763" s="134">
        <f t="shared" si="33"/>
        <v>-41200</v>
      </c>
      <c r="K763" s="135"/>
      <c r="L763" s="136" t="str">
        <f t="shared" si="35"/>
        <v>دائن</v>
      </c>
      <c r="M763" s="137" t="str">
        <f>IF(ISERROR(VLOOKUP(C763,'[1]خريطة الحسابات'!_xlnm.Print_Area,4,FALSE))," ",(VLOOKUP(C763,'[1]خريطة الحسابات'!_xlnm.Print_Area,4,FALSE)))</f>
        <v xml:space="preserve">أصول متداوله -النقدية ومافي حكمها </v>
      </c>
      <c r="N763" s="138" t="str">
        <f>IF(ISERROR(VLOOKUP(C763,'[1]خريطة الحسابات'!_xlnm.Print_Area,5,FALSE))," ",(VLOOKUP(C763,'[1]خريطة الحسابات'!_xlnm.Print_Area,5,FALSE)))</f>
        <v>الاصول</v>
      </c>
      <c r="O763" s="139" t="s">
        <v>1640</v>
      </c>
      <c r="P763" s="139" t="s">
        <v>1290</v>
      </c>
    </row>
    <row r="764" spans="1:16">
      <c r="A764" s="104">
        <v>50</v>
      </c>
      <c r="B764" s="131">
        <v>46174</v>
      </c>
      <c r="C764" s="141">
        <v>20</v>
      </c>
      <c r="D764" s="140" t="str">
        <f>IF(ISERROR(VLOOKUP(C764,'[1]خريطة الحسابات'!_xlnm.Print_Area,3,FALSE))," ",(VLOOKUP(C764,'[1]خريطة الحسابات'!_xlnm.Print_Area,3,FALSE)))</f>
        <v xml:space="preserve">الخزينة </v>
      </c>
      <c r="E764" s="132"/>
      <c r="F764" s="133"/>
      <c r="G764" s="133">
        <v>27600</v>
      </c>
      <c r="H764" s="134">
        <f t="shared" si="34"/>
        <v>0</v>
      </c>
      <c r="I764" s="134">
        <f t="shared" si="34"/>
        <v>27600</v>
      </c>
      <c r="J764" s="134">
        <f t="shared" si="33"/>
        <v>-27600</v>
      </c>
      <c r="K764" s="135"/>
      <c r="L764" s="136" t="str">
        <f t="shared" si="35"/>
        <v>دائن</v>
      </c>
      <c r="M764" s="137" t="str">
        <f>IF(ISERROR(VLOOKUP(C764,'[1]خريطة الحسابات'!_xlnm.Print_Area,4,FALSE))," ",(VLOOKUP(C764,'[1]خريطة الحسابات'!_xlnm.Print_Area,4,FALSE)))</f>
        <v xml:space="preserve">أصول متداوله -النقدية ومافي حكمها </v>
      </c>
      <c r="N764" s="138" t="str">
        <f>IF(ISERROR(VLOOKUP(C764,'[1]خريطة الحسابات'!_xlnm.Print_Area,5,FALSE))," ",(VLOOKUP(C764,'[1]خريطة الحسابات'!_xlnm.Print_Area,5,FALSE)))</f>
        <v>الاصول</v>
      </c>
      <c r="O764" s="139" t="s">
        <v>1641</v>
      </c>
      <c r="P764" s="139" t="s">
        <v>1315</v>
      </c>
    </row>
    <row r="765" spans="1:16">
      <c r="A765" s="104">
        <v>50</v>
      </c>
      <c r="B765" s="131">
        <v>46174</v>
      </c>
      <c r="C765" s="141">
        <v>20</v>
      </c>
      <c r="D765" s="140" t="str">
        <f>IF(ISERROR(VLOOKUP(C765,'[1]خريطة الحسابات'!_xlnm.Print_Area,3,FALSE))," ",(VLOOKUP(C765,'[1]خريطة الحسابات'!_xlnm.Print_Area,3,FALSE)))</f>
        <v xml:space="preserve">الخزينة </v>
      </c>
      <c r="E765" s="132"/>
      <c r="F765" s="133"/>
      <c r="G765" s="133">
        <v>1990</v>
      </c>
      <c r="H765" s="134">
        <f t="shared" si="34"/>
        <v>0</v>
      </c>
      <c r="I765" s="134">
        <f t="shared" si="34"/>
        <v>1990</v>
      </c>
      <c r="J765" s="134">
        <f t="shared" si="33"/>
        <v>-1990</v>
      </c>
      <c r="K765" s="135"/>
      <c r="L765" s="136" t="str">
        <f t="shared" si="35"/>
        <v>دائن</v>
      </c>
      <c r="M765" s="137" t="str">
        <f>IF(ISERROR(VLOOKUP(C765,'[1]خريطة الحسابات'!_xlnm.Print_Area,4,FALSE))," ",(VLOOKUP(C765,'[1]خريطة الحسابات'!_xlnm.Print_Area,4,FALSE)))</f>
        <v xml:space="preserve">أصول متداوله -النقدية ومافي حكمها </v>
      </c>
      <c r="N765" s="138" t="str">
        <f>IF(ISERROR(VLOOKUP(C765,'[1]خريطة الحسابات'!_xlnm.Print_Area,5,FALSE))," ",(VLOOKUP(C765,'[1]خريطة الحسابات'!_xlnm.Print_Area,5,FALSE)))</f>
        <v>الاصول</v>
      </c>
      <c r="O765" s="139" t="s">
        <v>1642</v>
      </c>
      <c r="P765" s="139" t="s">
        <v>1290</v>
      </c>
    </row>
    <row r="766" spans="1:16">
      <c r="A766" s="104">
        <v>50</v>
      </c>
      <c r="B766" s="131">
        <v>46186</v>
      </c>
      <c r="C766" s="141">
        <v>20</v>
      </c>
      <c r="D766" s="140" t="str">
        <f>IF(ISERROR(VLOOKUP(C766,'[1]خريطة الحسابات'!_xlnm.Print_Area,3,FALSE))," ",(VLOOKUP(C766,'[1]خريطة الحسابات'!_xlnm.Print_Area,3,FALSE)))</f>
        <v xml:space="preserve">الخزينة </v>
      </c>
      <c r="E766" s="132"/>
      <c r="F766" s="133"/>
      <c r="G766" s="133">
        <v>7360</v>
      </c>
      <c r="H766" s="134">
        <f t="shared" si="34"/>
        <v>0</v>
      </c>
      <c r="I766" s="134">
        <f t="shared" si="34"/>
        <v>7360</v>
      </c>
      <c r="J766" s="134">
        <f t="shared" si="33"/>
        <v>-7360</v>
      </c>
      <c r="K766" s="135"/>
      <c r="L766" s="136" t="str">
        <f t="shared" si="35"/>
        <v>دائن</v>
      </c>
      <c r="M766" s="137" t="str">
        <f>IF(ISERROR(VLOOKUP(C766,'[1]خريطة الحسابات'!_xlnm.Print_Area,4,FALSE))," ",(VLOOKUP(C766,'[1]خريطة الحسابات'!_xlnm.Print_Area,4,FALSE)))</f>
        <v xml:space="preserve">أصول متداوله -النقدية ومافي حكمها </v>
      </c>
      <c r="N766" s="138" t="str">
        <f>IF(ISERROR(VLOOKUP(C766,'[1]خريطة الحسابات'!_xlnm.Print_Area,5,FALSE))," ",(VLOOKUP(C766,'[1]خريطة الحسابات'!_xlnm.Print_Area,5,FALSE)))</f>
        <v>الاصول</v>
      </c>
      <c r="O766" s="139" t="s">
        <v>1641</v>
      </c>
      <c r="P766" s="139" t="s">
        <v>1315</v>
      </c>
    </row>
    <row r="767" spans="1:16">
      <c r="A767" s="104">
        <v>51</v>
      </c>
      <c r="B767" s="131">
        <v>46029</v>
      </c>
      <c r="C767" s="54">
        <v>4019</v>
      </c>
      <c r="D767" s="140" t="str">
        <f>IF(ISERROR(VLOOKUP(C767,'[1]خريطة الحسابات'!_xlnm.Print_Area,3,FALSE))," ",(VLOOKUP(C767,'[1]خريطة الحسابات'!_xlnm.Print_Area,3,FALSE)))</f>
        <v>هاني السباك</v>
      </c>
      <c r="E767" s="132"/>
      <c r="F767" s="133">
        <v>800</v>
      </c>
      <c r="G767" s="133"/>
      <c r="H767" s="134">
        <f t="shared" si="34"/>
        <v>800</v>
      </c>
      <c r="I767" s="134">
        <f t="shared" si="34"/>
        <v>0</v>
      </c>
      <c r="J767" s="134">
        <f t="shared" si="33"/>
        <v>800</v>
      </c>
      <c r="K767" s="135"/>
      <c r="L767" s="136" t="str">
        <f t="shared" si="35"/>
        <v>مدين</v>
      </c>
      <c r="M767" s="137" t="str">
        <f>IF(ISERROR(VLOOKUP(C767,'[1]خريطة الحسابات'!_xlnm.Print_Area,4,FALSE))," ",(VLOOKUP(C767,'[1]خريطة الحسابات'!_xlnm.Print_Area,4,FALSE)))</f>
        <v xml:space="preserve">مقاولين </v>
      </c>
      <c r="N767" s="138" t="str">
        <f>IF(ISERROR(VLOOKUP(C767,'[1]خريطة الحسابات'!_xlnm.Print_Area,5,FALSE))," ",(VLOOKUP(C767,'[1]خريطة الحسابات'!_xlnm.Print_Area,5,FALSE)))</f>
        <v xml:space="preserve">الدائنون والأرصدة الدائنة الأخرى </v>
      </c>
      <c r="O767" s="139" t="s">
        <v>1643</v>
      </c>
      <c r="P767" s="139" t="s">
        <v>1468</v>
      </c>
    </row>
    <row r="768" spans="1:16">
      <c r="A768" s="104">
        <v>51</v>
      </c>
      <c r="B768" s="131">
        <v>46065</v>
      </c>
      <c r="C768" s="54">
        <v>4019</v>
      </c>
      <c r="D768" s="140" t="str">
        <f>IF(ISERROR(VLOOKUP(C768,'[1]خريطة الحسابات'!_xlnm.Print_Area,3,FALSE))," ",(VLOOKUP(C768,'[1]خريطة الحسابات'!_xlnm.Print_Area,3,FALSE)))</f>
        <v>هاني السباك</v>
      </c>
      <c r="E768" s="132"/>
      <c r="F768" s="133">
        <v>2500</v>
      </c>
      <c r="G768" s="133"/>
      <c r="H768" s="134">
        <f t="shared" si="34"/>
        <v>2500</v>
      </c>
      <c r="I768" s="134">
        <f t="shared" si="34"/>
        <v>0</v>
      </c>
      <c r="J768" s="134">
        <f t="shared" si="33"/>
        <v>2500</v>
      </c>
      <c r="K768" s="135"/>
      <c r="L768" s="136" t="str">
        <f t="shared" si="35"/>
        <v>مدين</v>
      </c>
      <c r="M768" s="137" t="str">
        <f>IF(ISERROR(VLOOKUP(C768,'[1]خريطة الحسابات'!_xlnm.Print_Area,4,FALSE))," ",(VLOOKUP(C768,'[1]خريطة الحسابات'!_xlnm.Print_Area,4,FALSE)))</f>
        <v xml:space="preserve">مقاولين </v>
      </c>
      <c r="N768" s="138" t="str">
        <f>IF(ISERROR(VLOOKUP(C768,'[1]خريطة الحسابات'!_xlnm.Print_Area,5,FALSE))," ",(VLOOKUP(C768,'[1]خريطة الحسابات'!_xlnm.Print_Area,5,FALSE)))</f>
        <v xml:space="preserve">الدائنون والأرصدة الدائنة الأخرى </v>
      </c>
      <c r="O768" s="139" t="s">
        <v>1644</v>
      </c>
      <c r="P768" s="139" t="s">
        <v>1297</v>
      </c>
    </row>
    <row r="769" spans="1:16">
      <c r="A769" s="104">
        <v>51</v>
      </c>
      <c r="B769" s="131">
        <v>46065</v>
      </c>
      <c r="C769" s="54">
        <v>4019</v>
      </c>
      <c r="D769" s="140" t="str">
        <f>IF(ISERROR(VLOOKUP(C769,'[1]خريطة الحسابات'!_xlnm.Print_Area,3,FALSE))," ",(VLOOKUP(C769,'[1]خريطة الحسابات'!_xlnm.Print_Area,3,FALSE)))</f>
        <v>هاني السباك</v>
      </c>
      <c r="E769" s="132"/>
      <c r="F769" s="133">
        <v>4000</v>
      </c>
      <c r="G769" s="133"/>
      <c r="H769" s="134">
        <f t="shared" si="34"/>
        <v>4000</v>
      </c>
      <c r="I769" s="134">
        <f t="shared" si="34"/>
        <v>0</v>
      </c>
      <c r="J769" s="134">
        <f t="shared" si="33"/>
        <v>4000</v>
      </c>
      <c r="K769" s="135"/>
      <c r="L769" s="136" t="str">
        <f t="shared" si="35"/>
        <v>مدين</v>
      </c>
      <c r="M769" s="137" t="str">
        <f>IF(ISERROR(VLOOKUP(C769,'[1]خريطة الحسابات'!_xlnm.Print_Area,4,FALSE))," ",(VLOOKUP(C769,'[1]خريطة الحسابات'!_xlnm.Print_Area,4,FALSE)))</f>
        <v xml:space="preserve">مقاولين </v>
      </c>
      <c r="N769" s="138" t="str">
        <f>IF(ISERROR(VLOOKUP(C769,'[1]خريطة الحسابات'!_xlnm.Print_Area,5,FALSE))," ",(VLOOKUP(C769,'[1]خريطة الحسابات'!_xlnm.Print_Area,5,FALSE)))</f>
        <v xml:space="preserve">الدائنون والأرصدة الدائنة الأخرى </v>
      </c>
      <c r="O769" s="139" t="s">
        <v>1645</v>
      </c>
      <c r="P769" s="139" t="s">
        <v>1290</v>
      </c>
    </row>
    <row r="770" spans="1:16">
      <c r="A770" s="104">
        <v>51</v>
      </c>
      <c r="B770" s="131">
        <v>46099</v>
      </c>
      <c r="C770" s="54">
        <v>4019</v>
      </c>
      <c r="D770" s="140" t="str">
        <f>IF(ISERROR(VLOOKUP(C770,'[1]خريطة الحسابات'!_xlnm.Print_Area,3,FALSE))," ",(VLOOKUP(C770,'[1]خريطة الحسابات'!_xlnm.Print_Area,3,FALSE)))</f>
        <v>هاني السباك</v>
      </c>
      <c r="E770" s="132"/>
      <c r="F770" s="133">
        <v>7507</v>
      </c>
      <c r="G770" s="133"/>
      <c r="H770" s="134">
        <f t="shared" si="34"/>
        <v>7507</v>
      </c>
      <c r="I770" s="134">
        <f t="shared" si="34"/>
        <v>0</v>
      </c>
      <c r="J770" s="134">
        <f t="shared" si="33"/>
        <v>7507</v>
      </c>
      <c r="K770" s="135"/>
      <c r="L770" s="136" t="str">
        <f t="shared" si="35"/>
        <v>مدين</v>
      </c>
      <c r="M770" s="137" t="str">
        <f>IF(ISERROR(VLOOKUP(C770,'[1]خريطة الحسابات'!_xlnm.Print_Area,4,FALSE))," ",(VLOOKUP(C770,'[1]خريطة الحسابات'!_xlnm.Print_Area,4,FALSE)))</f>
        <v xml:space="preserve">مقاولين </v>
      </c>
      <c r="N770" s="138" t="str">
        <f>IF(ISERROR(VLOOKUP(C770,'[1]خريطة الحسابات'!_xlnm.Print_Area,5,FALSE))," ",(VLOOKUP(C770,'[1]خريطة الحسابات'!_xlnm.Print_Area,5,FALSE)))</f>
        <v xml:space="preserve">الدائنون والأرصدة الدائنة الأخرى </v>
      </c>
      <c r="O770" s="139" t="s">
        <v>1646</v>
      </c>
      <c r="P770" s="139" t="s">
        <v>1290</v>
      </c>
    </row>
    <row r="771" spans="1:16">
      <c r="A771" s="104">
        <v>51</v>
      </c>
      <c r="B771" s="131">
        <v>46099</v>
      </c>
      <c r="C771" s="54">
        <v>4019</v>
      </c>
      <c r="D771" s="140" t="str">
        <f>IF(ISERROR(VLOOKUP(C771,'[1]خريطة الحسابات'!_xlnm.Print_Area,3,FALSE))," ",(VLOOKUP(C771,'[1]خريطة الحسابات'!_xlnm.Print_Area,3,FALSE)))</f>
        <v>هاني السباك</v>
      </c>
      <c r="E771" s="132"/>
      <c r="F771" s="133">
        <v>5505</v>
      </c>
      <c r="G771" s="133"/>
      <c r="H771" s="134">
        <f t="shared" si="34"/>
        <v>5505</v>
      </c>
      <c r="I771" s="134">
        <f t="shared" si="34"/>
        <v>0</v>
      </c>
      <c r="J771" s="134">
        <f t="shared" si="33"/>
        <v>5505</v>
      </c>
      <c r="K771" s="135"/>
      <c r="L771" s="136" t="str">
        <f t="shared" si="35"/>
        <v>مدين</v>
      </c>
      <c r="M771" s="137" t="str">
        <f>IF(ISERROR(VLOOKUP(C771,'[1]خريطة الحسابات'!_xlnm.Print_Area,4,FALSE))," ",(VLOOKUP(C771,'[1]خريطة الحسابات'!_xlnm.Print_Area,4,FALSE)))</f>
        <v xml:space="preserve">مقاولين </v>
      </c>
      <c r="N771" s="138" t="str">
        <f>IF(ISERROR(VLOOKUP(C771,'[1]خريطة الحسابات'!_xlnm.Print_Area,5,FALSE))," ",(VLOOKUP(C771,'[1]خريطة الحسابات'!_xlnm.Print_Area,5,FALSE)))</f>
        <v xml:space="preserve">الدائنون والأرصدة الدائنة الأخرى </v>
      </c>
      <c r="O771" s="139" t="s">
        <v>1647</v>
      </c>
      <c r="P771" s="139" t="s">
        <v>1327</v>
      </c>
    </row>
    <row r="772" spans="1:16">
      <c r="A772" s="104">
        <v>51</v>
      </c>
      <c r="B772" s="131">
        <v>46121</v>
      </c>
      <c r="C772" s="54">
        <v>4019</v>
      </c>
      <c r="D772" s="140" t="str">
        <f>IF(ISERROR(VLOOKUP(C772,'[1]خريطة الحسابات'!_xlnm.Print_Area,3,FALSE))," ",(VLOOKUP(C772,'[1]خريطة الحسابات'!_xlnm.Print_Area,3,FALSE)))</f>
        <v>هاني السباك</v>
      </c>
      <c r="E772" s="132"/>
      <c r="F772" s="133">
        <v>2000</v>
      </c>
      <c r="G772" s="133"/>
      <c r="H772" s="134">
        <f t="shared" si="34"/>
        <v>2000</v>
      </c>
      <c r="I772" s="134">
        <f t="shared" si="34"/>
        <v>0</v>
      </c>
      <c r="J772" s="134">
        <f t="shared" si="33"/>
        <v>2000</v>
      </c>
      <c r="K772" s="135"/>
      <c r="L772" s="136" t="str">
        <f t="shared" si="35"/>
        <v>مدين</v>
      </c>
      <c r="M772" s="137" t="str">
        <f>IF(ISERROR(VLOOKUP(C772,'[1]خريطة الحسابات'!_xlnm.Print_Area,4,FALSE))," ",(VLOOKUP(C772,'[1]خريطة الحسابات'!_xlnm.Print_Area,4,FALSE)))</f>
        <v xml:space="preserve">مقاولين </v>
      </c>
      <c r="N772" s="138" t="str">
        <f>IF(ISERROR(VLOOKUP(C772,'[1]خريطة الحسابات'!_xlnm.Print_Area,5,FALSE))," ",(VLOOKUP(C772,'[1]خريطة الحسابات'!_xlnm.Print_Area,5,FALSE)))</f>
        <v xml:space="preserve">الدائنون والأرصدة الدائنة الأخرى </v>
      </c>
      <c r="O772" s="139" t="s">
        <v>1648</v>
      </c>
      <c r="P772" s="139" t="s">
        <v>1327</v>
      </c>
    </row>
    <row r="773" spans="1:16">
      <c r="A773" s="104">
        <v>51</v>
      </c>
      <c r="B773" s="131">
        <v>46128</v>
      </c>
      <c r="C773" s="54">
        <v>4019</v>
      </c>
      <c r="D773" s="140" t="str">
        <f>IF(ISERROR(VLOOKUP(C773,'[1]خريطة الحسابات'!_xlnm.Print_Area,3,FALSE))," ",(VLOOKUP(C773,'[1]خريطة الحسابات'!_xlnm.Print_Area,3,FALSE)))</f>
        <v>هاني السباك</v>
      </c>
      <c r="E773" s="132"/>
      <c r="F773" s="133">
        <v>500</v>
      </c>
      <c r="G773" s="133"/>
      <c r="H773" s="134">
        <f t="shared" si="34"/>
        <v>500</v>
      </c>
      <c r="I773" s="134">
        <f t="shared" si="34"/>
        <v>0</v>
      </c>
      <c r="J773" s="134">
        <f t="shared" si="33"/>
        <v>500</v>
      </c>
      <c r="K773" s="135"/>
      <c r="L773" s="136" t="str">
        <f t="shared" si="35"/>
        <v>مدين</v>
      </c>
      <c r="M773" s="137" t="str">
        <f>IF(ISERROR(VLOOKUP(C773,'[1]خريطة الحسابات'!_xlnm.Print_Area,4,FALSE))," ",(VLOOKUP(C773,'[1]خريطة الحسابات'!_xlnm.Print_Area,4,FALSE)))</f>
        <v xml:space="preserve">مقاولين </v>
      </c>
      <c r="N773" s="138" t="str">
        <f>IF(ISERROR(VLOOKUP(C773,'[1]خريطة الحسابات'!_xlnm.Print_Area,5,FALSE))," ",(VLOOKUP(C773,'[1]خريطة الحسابات'!_xlnm.Print_Area,5,FALSE)))</f>
        <v xml:space="preserve">الدائنون والأرصدة الدائنة الأخرى </v>
      </c>
      <c r="O773" s="139" t="s">
        <v>1649</v>
      </c>
      <c r="P773" s="139" t="s">
        <v>1290</v>
      </c>
    </row>
    <row r="774" spans="1:16">
      <c r="A774" s="104">
        <v>51</v>
      </c>
      <c r="B774" s="131">
        <v>46128</v>
      </c>
      <c r="C774" s="54">
        <v>4019</v>
      </c>
      <c r="D774" s="140" t="str">
        <f>IF(ISERROR(VLOOKUP(C774,'[1]خريطة الحسابات'!_xlnm.Print_Area,3,FALSE))," ",(VLOOKUP(C774,'[1]خريطة الحسابات'!_xlnm.Print_Area,3,FALSE)))</f>
        <v>هاني السباك</v>
      </c>
      <c r="E774" s="132"/>
      <c r="F774" s="133">
        <v>500</v>
      </c>
      <c r="G774" s="133"/>
      <c r="H774" s="134">
        <f t="shared" si="34"/>
        <v>500</v>
      </c>
      <c r="I774" s="134">
        <f t="shared" si="34"/>
        <v>0</v>
      </c>
      <c r="J774" s="134">
        <f t="shared" si="33"/>
        <v>500</v>
      </c>
      <c r="K774" s="135"/>
      <c r="L774" s="136" t="str">
        <f t="shared" si="35"/>
        <v>مدين</v>
      </c>
      <c r="M774" s="137" t="str">
        <f>IF(ISERROR(VLOOKUP(C774,'[1]خريطة الحسابات'!_xlnm.Print_Area,4,FALSE))," ",(VLOOKUP(C774,'[1]خريطة الحسابات'!_xlnm.Print_Area,4,FALSE)))</f>
        <v xml:space="preserve">مقاولين </v>
      </c>
      <c r="N774" s="138" t="str">
        <f>IF(ISERROR(VLOOKUP(C774,'[1]خريطة الحسابات'!_xlnm.Print_Area,5,FALSE))," ",(VLOOKUP(C774,'[1]خريطة الحسابات'!_xlnm.Print_Area,5,FALSE)))</f>
        <v xml:space="preserve">الدائنون والأرصدة الدائنة الأخرى </v>
      </c>
      <c r="O774" s="139" t="s">
        <v>1650</v>
      </c>
      <c r="P774" s="139" t="s">
        <v>1317</v>
      </c>
    </row>
    <row r="775" spans="1:16">
      <c r="A775" s="104">
        <v>51</v>
      </c>
      <c r="B775" s="131">
        <v>46128</v>
      </c>
      <c r="C775" s="54">
        <v>4019</v>
      </c>
      <c r="D775" s="140" t="str">
        <f>IF(ISERROR(VLOOKUP(C775,'[1]خريطة الحسابات'!_xlnm.Print_Area,3,FALSE))," ",(VLOOKUP(C775,'[1]خريطة الحسابات'!_xlnm.Print_Area,3,FALSE)))</f>
        <v>هاني السباك</v>
      </c>
      <c r="E775" s="132"/>
      <c r="F775" s="133">
        <v>1002</v>
      </c>
      <c r="G775" s="133"/>
      <c r="H775" s="134">
        <f t="shared" si="34"/>
        <v>1002</v>
      </c>
      <c r="I775" s="134">
        <f t="shared" si="34"/>
        <v>0</v>
      </c>
      <c r="J775" s="134">
        <f t="shared" si="33"/>
        <v>1002</v>
      </c>
      <c r="K775" s="135"/>
      <c r="L775" s="136" t="str">
        <f t="shared" si="35"/>
        <v>مدين</v>
      </c>
      <c r="M775" s="137" t="str">
        <f>IF(ISERROR(VLOOKUP(C775,'[1]خريطة الحسابات'!_xlnm.Print_Area,4,FALSE))," ",(VLOOKUP(C775,'[1]خريطة الحسابات'!_xlnm.Print_Area,4,FALSE)))</f>
        <v xml:space="preserve">مقاولين </v>
      </c>
      <c r="N775" s="138" t="str">
        <f>IF(ISERROR(VLOOKUP(C775,'[1]خريطة الحسابات'!_xlnm.Print_Area,5,FALSE))," ",(VLOOKUP(C775,'[1]خريطة الحسابات'!_xlnm.Print_Area,5,FALSE)))</f>
        <v xml:space="preserve">الدائنون والأرصدة الدائنة الأخرى </v>
      </c>
      <c r="O775" s="139" t="s">
        <v>1651</v>
      </c>
      <c r="P775" s="139" t="s">
        <v>1327</v>
      </c>
    </row>
    <row r="776" spans="1:16">
      <c r="A776" s="104">
        <v>51</v>
      </c>
      <c r="B776" s="131">
        <v>46135</v>
      </c>
      <c r="C776" s="54">
        <v>4019</v>
      </c>
      <c r="D776" s="140" t="str">
        <f>IF(ISERROR(VLOOKUP(C776,'[1]خريطة الحسابات'!_xlnm.Print_Area,3,FALSE))," ",(VLOOKUP(C776,'[1]خريطة الحسابات'!_xlnm.Print_Area,3,FALSE)))</f>
        <v>هاني السباك</v>
      </c>
      <c r="E776" s="132"/>
      <c r="F776" s="133">
        <v>10010</v>
      </c>
      <c r="G776" s="133"/>
      <c r="H776" s="134">
        <f t="shared" si="34"/>
        <v>10010</v>
      </c>
      <c r="I776" s="134">
        <f t="shared" si="34"/>
        <v>0</v>
      </c>
      <c r="J776" s="134">
        <f t="shared" si="33"/>
        <v>10010</v>
      </c>
      <c r="K776" s="135"/>
      <c r="L776" s="136" t="str">
        <f t="shared" si="35"/>
        <v>مدين</v>
      </c>
      <c r="M776" s="137" t="str">
        <f>IF(ISERROR(VLOOKUP(C776,'[1]خريطة الحسابات'!_xlnm.Print_Area,4,FALSE))," ",(VLOOKUP(C776,'[1]خريطة الحسابات'!_xlnm.Print_Area,4,FALSE)))</f>
        <v xml:space="preserve">مقاولين </v>
      </c>
      <c r="N776" s="138" t="str">
        <f>IF(ISERROR(VLOOKUP(C776,'[1]خريطة الحسابات'!_xlnm.Print_Area,5,FALSE))," ",(VLOOKUP(C776,'[1]خريطة الحسابات'!_xlnm.Print_Area,5,FALSE)))</f>
        <v xml:space="preserve">الدائنون والأرصدة الدائنة الأخرى </v>
      </c>
      <c r="O776" s="139" t="s">
        <v>1652</v>
      </c>
      <c r="P776" s="139" t="s">
        <v>1480</v>
      </c>
    </row>
    <row r="777" spans="1:16">
      <c r="A777" s="104">
        <v>51</v>
      </c>
      <c r="B777" s="131">
        <v>46148</v>
      </c>
      <c r="C777" s="54">
        <v>4019</v>
      </c>
      <c r="D777" s="140" t="str">
        <f>IF(ISERROR(VLOOKUP(C777,'[1]خريطة الحسابات'!_xlnm.Print_Area,3,FALSE))," ",(VLOOKUP(C777,'[1]خريطة الحسابات'!_xlnm.Print_Area,3,FALSE)))</f>
        <v>هاني السباك</v>
      </c>
      <c r="E777" s="132"/>
      <c r="F777" s="133">
        <v>10010</v>
      </c>
      <c r="G777" s="133"/>
      <c r="H777" s="134">
        <f t="shared" si="34"/>
        <v>10010</v>
      </c>
      <c r="I777" s="134">
        <f t="shared" si="34"/>
        <v>0</v>
      </c>
      <c r="J777" s="134">
        <f t="shared" si="33"/>
        <v>10010</v>
      </c>
      <c r="K777" s="135"/>
      <c r="L777" s="136" t="str">
        <f t="shared" si="35"/>
        <v>مدين</v>
      </c>
      <c r="M777" s="137" t="str">
        <f>IF(ISERROR(VLOOKUP(C777,'[1]خريطة الحسابات'!_xlnm.Print_Area,4,FALSE))," ",(VLOOKUP(C777,'[1]خريطة الحسابات'!_xlnm.Print_Area,4,FALSE)))</f>
        <v xml:space="preserve">مقاولين </v>
      </c>
      <c r="N777" s="138" t="str">
        <f>IF(ISERROR(VLOOKUP(C777,'[1]خريطة الحسابات'!_xlnm.Print_Area,5,FALSE))," ",(VLOOKUP(C777,'[1]خريطة الحسابات'!_xlnm.Print_Area,5,FALSE)))</f>
        <v xml:space="preserve">الدائنون والأرصدة الدائنة الأخرى </v>
      </c>
      <c r="O777" s="139" t="s">
        <v>1653</v>
      </c>
      <c r="P777" s="139" t="s">
        <v>1480</v>
      </c>
    </row>
    <row r="778" spans="1:16">
      <c r="A778" s="104">
        <v>51</v>
      </c>
      <c r="B778" s="131">
        <v>46152</v>
      </c>
      <c r="C778" s="54">
        <v>4019</v>
      </c>
      <c r="D778" s="140" t="str">
        <f>IF(ISERROR(VLOOKUP(C778,'[1]خريطة الحسابات'!_xlnm.Print_Area,3,FALSE))," ",(VLOOKUP(C778,'[1]خريطة الحسابات'!_xlnm.Print_Area,3,FALSE)))</f>
        <v>هاني السباك</v>
      </c>
      <c r="E778" s="132"/>
      <c r="F778" s="133">
        <v>10000</v>
      </c>
      <c r="G778" s="133"/>
      <c r="H778" s="134">
        <f t="shared" si="34"/>
        <v>10000</v>
      </c>
      <c r="I778" s="134">
        <f t="shared" si="34"/>
        <v>0</v>
      </c>
      <c r="J778" s="134">
        <f t="shared" si="33"/>
        <v>10000</v>
      </c>
      <c r="K778" s="135"/>
      <c r="L778" s="136" t="str">
        <f t="shared" si="35"/>
        <v>مدين</v>
      </c>
      <c r="M778" s="137" t="str">
        <f>IF(ISERROR(VLOOKUP(C778,'[1]خريطة الحسابات'!_xlnm.Print_Area,4,FALSE))," ",(VLOOKUP(C778,'[1]خريطة الحسابات'!_xlnm.Print_Area,4,FALSE)))</f>
        <v xml:space="preserve">مقاولين </v>
      </c>
      <c r="N778" s="138" t="str">
        <f>IF(ISERROR(VLOOKUP(C778,'[1]خريطة الحسابات'!_xlnm.Print_Area,5,FALSE))," ",(VLOOKUP(C778,'[1]خريطة الحسابات'!_xlnm.Print_Area,5,FALSE)))</f>
        <v xml:space="preserve">الدائنون والأرصدة الدائنة الأخرى </v>
      </c>
      <c r="O778" s="139" t="s">
        <v>1654</v>
      </c>
      <c r="P778" s="139" t="s">
        <v>1383</v>
      </c>
    </row>
    <row r="779" spans="1:16">
      <c r="A779" s="104">
        <v>51</v>
      </c>
      <c r="B779" s="131">
        <v>46152</v>
      </c>
      <c r="C779" s="54">
        <v>4019</v>
      </c>
      <c r="D779" s="140" t="str">
        <f>IF(ISERROR(VLOOKUP(C779,'[1]خريطة الحسابات'!_xlnm.Print_Area,3,FALSE))," ",(VLOOKUP(C779,'[1]خريطة الحسابات'!_xlnm.Print_Area,3,FALSE)))</f>
        <v>هاني السباك</v>
      </c>
      <c r="E779" s="132"/>
      <c r="F779" s="133">
        <v>1000</v>
      </c>
      <c r="G779" s="133"/>
      <c r="H779" s="134">
        <f t="shared" si="34"/>
        <v>1000</v>
      </c>
      <c r="I779" s="134">
        <f t="shared" si="34"/>
        <v>0</v>
      </c>
      <c r="J779" s="134">
        <f t="shared" si="33"/>
        <v>1000</v>
      </c>
      <c r="K779" s="135"/>
      <c r="L779" s="136" t="str">
        <f t="shared" si="35"/>
        <v>مدين</v>
      </c>
      <c r="M779" s="137" t="str">
        <f>IF(ISERROR(VLOOKUP(C779,'[1]خريطة الحسابات'!_xlnm.Print_Area,4,FALSE))," ",(VLOOKUP(C779,'[1]خريطة الحسابات'!_xlnm.Print_Area,4,FALSE)))</f>
        <v xml:space="preserve">مقاولين </v>
      </c>
      <c r="N779" s="138" t="str">
        <f>IF(ISERROR(VLOOKUP(C779,'[1]خريطة الحسابات'!_xlnm.Print_Area,5,FALSE))," ",(VLOOKUP(C779,'[1]خريطة الحسابات'!_xlnm.Print_Area,5,FALSE)))</f>
        <v xml:space="preserve">الدائنون والأرصدة الدائنة الأخرى </v>
      </c>
      <c r="O779" s="139" t="s">
        <v>1655</v>
      </c>
      <c r="P779" s="139" t="s">
        <v>1327</v>
      </c>
    </row>
    <row r="780" spans="1:16">
      <c r="A780" s="104">
        <v>51</v>
      </c>
      <c r="B780" s="131">
        <v>46159</v>
      </c>
      <c r="C780" s="54">
        <v>4019</v>
      </c>
      <c r="D780" s="140" t="str">
        <f>IF(ISERROR(VLOOKUP(C780,'[1]خريطة الحسابات'!_xlnm.Print_Area,3,FALSE))," ",(VLOOKUP(C780,'[1]خريطة الحسابات'!_xlnm.Print_Area,3,FALSE)))</f>
        <v>هاني السباك</v>
      </c>
      <c r="E780" s="132"/>
      <c r="F780" s="133">
        <v>7007</v>
      </c>
      <c r="G780" s="133"/>
      <c r="H780" s="134">
        <f t="shared" si="34"/>
        <v>7007</v>
      </c>
      <c r="I780" s="134">
        <f t="shared" si="34"/>
        <v>0</v>
      </c>
      <c r="J780" s="134">
        <f t="shared" si="33"/>
        <v>7007</v>
      </c>
      <c r="K780" s="135"/>
      <c r="L780" s="136" t="str">
        <f t="shared" si="35"/>
        <v>مدين</v>
      </c>
      <c r="M780" s="137" t="str">
        <f>IF(ISERROR(VLOOKUP(C780,'[1]خريطة الحسابات'!_xlnm.Print_Area,4,FALSE))," ",(VLOOKUP(C780,'[1]خريطة الحسابات'!_xlnm.Print_Area,4,FALSE)))</f>
        <v xml:space="preserve">مقاولين </v>
      </c>
      <c r="N780" s="138" t="str">
        <f>IF(ISERROR(VLOOKUP(C780,'[1]خريطة الحسابات'!_xlnm.Print_Area,5,FALSE))," ",(VLOOKUP(C780,'[1]خريطة الحسابات'!_xlnm.Print_Area,5,FALSE)))</f>
        <v xml:space="preserve">الدائنون والأرصدة الدائنة الأخرى </v>
      </c>
      <c r="O780" s="139" t="s">
        <v>1656</v>
      </c>
      <c r="P780" s="139" t="s">
        <v>1290</v>
      </c>
    </row>
    <row r="781" spans="1:16">
      <c r="A781" s="104">
        <v>51</v>
      </c>
      <c r="B781" s="131">
        <v>46164</v>
      </c>
      <c r="C781" s="54">
        <v>4019</v>
      </c>
      <c r="D781" s="140" t="str">
        <f>IF(ISERROR(VLOOKUP(C781,'[1]خريطة الحسابات'!_xlnm.Print_Area,3,FALSE))," ",(VLOOKUP(C781,'[1]خريطة الحسابات'!_xlnm.Print_Area,3,FALSE)))</f>
        <v>هاني السباك</v>
      </c>
      <c r="E781" s="132"/>
      <c r="F781" s="133">
        <v>10010</v>
      </c>
      <c r="G781" s="133"/>
      <c r="H781" s="134">
        <f t="shared" si="34"/>
        <v>10010</v>
      </c>
      <c r="I781" s="134">
        <f t="shared" si="34"/>
        <v>0</v>
      </c>
      <c r="J781" s="134">
        <f t="shared" si="33"/>
        <v>10010</v>
      </c>
      <c r="K781" s="135"/>
      <c r="L781" s="136" t="str">
        <f t="shared" si="35"/>
        <v>مدين</v>
      </c>
      <c r="M781" s="137" t="str">
        <f>IF(ISERROR(VLOOKUP(C781,'[1]خريطة الحسابات'!_xlnm.Print_Area,4,FALSE))," ",(VLOOKUP(C781,'[1]خريطة الحسابات'!_xlnm.Print_Area,4,FALSE)))</f>
        <v xml:space="preserve">مقاولين </v>
      </c>
      <c r="N781" s="138" t="str">
        <f>IF(ISERROR(VLOOKUP(C781,'[1]خريطة الحسابات'!_xlnm.Print_Area,5,FALSE))," ",(VLOOKUP(C781,'[1]خريطة الحسابات'!_xlnm.Print_Area,5,FALSE)))</f>
        <v xml:space="preserve">الدائنون والأرصدة الدائنة الأخرى </v>
      </c>
      <c r="O781" s="139" t="s">
        <v>1657</v>
      </c>
      <c r="P781" s="139" t="s">
        <v>1383</v>
      </c>
    </row>
    <row r="782" spans="1:16">
      <c r="A782" s="104">
        <v>51</v>
      </c>
      <c r="B782" s="131">
        <v>46166</v>
      </c>
      <c r="C782" s="54">
        <v>4019</v>
      </c>
      <c r="D782" s="140" t="str">
        <f>IF(ISERROR(VLOOKUP(C782,'[1]خريطة الحسابات'!_xlnm.Print_Area,3,FALSE))," ",(VLOOKUP(C782,'[1]خريطة الحسابات'!_xlnm.Print_Area,3,FALSE)))</f>
        <v>هاني السباك</v>
      </c>
      <c r="E782" s="132"/>
      <c r="F782" s="133">
        <v>8510</v>
      </c>
      <c r="G782" s="133"/>
      <c r="H782" s="134">
        <f t="shared" si="34"/>
        <v>8510</v>
      </c>
      <c r="I782" s="134">
        <f t="shared" si="34"/>
        <v>0</v>
      </c>
      <c r="J782" s="134">
        <f t="shared" si="33"/>
        <v>8510</v>
      </c>
      <c r="K782" s="135"/>
      <c r="L782" s="136" t="str">
        <f t="shared" si="35"/>
        <v>مدين</v>
      </c>
      <c r="M782" s="137" t="str">
        <f>IF(ISERROR(VLOOKUP(C782,'[1]خريطة الحسابات'!_xlnm.Print_Area,4,FALSE))," ",(VLOOKUP(C782,'[1]خريطة الحسابات'!_xlnm.Print_Area,4,FALSE)))</f>
        <v xml:space="preserve">مقاولين </v>
      </c>
      <c r="N782" s="138" t="str">
        <f>IF(ISERROR(VLOOKUP(C782,'[1]خريطة الحسابات'!_xlnm.Print_Area,5,FALSE))," ",(VLOOKUP(C782,'[1]خريطة الحسابات'!_xlnm.Print_Area,5,FALSE)))</f>
        <v xml:space="preserve">الدائنون والأرصدة الدائنة الأخرى </v>
      </c>
      <c r="O782" s="139" t="s">
        <v>1658</v>
      </c>
      <c r="P782" s="139" t="s">
        <v>1480</v>
      </c>
    </row>
    <row r="783" spans="1:16">
      <c r="A783" s="104">
        <v>51</v>
      </c>
      <c r="B783" s="131">
        <v>46166</v>
      </c>
      <c r="C783" s="54">
        <v>4019</v>
      </c>
      <c r="D783" s="140" t="str">
        <f>IF(ISERROR(VLOOKUP(C783,'[1]خريطة الحسابات'!_xlnm.Print_Area,3,FALSE))," ",(VLOOKUP(C783,'[1]خريطة الحسابات'!_xlnm.Print_Area,3,FALSE)))</f>
        <v>هاني السباك</v>
      </c>
      <c r="E783" s="132"/>
      <c r="F783" s="133">
        <v>2500</v>
      </c>
      <c r="G783" s="133"/>
      <c r="H783" s="134">
        <f t="shared" si="34"/>
        <v>2500</v>
      </c>
      <c r="I783" s="134">
        <f t="shared" si="34"/>
        <v>0</v>
      </c>
      <c r="J783" s="134">
        <f t="shared" si="33"/>
        <v>2500</v>
      </c>
      <c r="K783" s="135"/>
      <c r="L783" s="136" t="str">
        <f t="shared" si="35"/>
        <v>مدين</v>
      </c>
      <c r="M783" s="137" t="str">
        <f>IF(ISERROR(VLOOKUP(C783,'[1]خريطة الحسابات'!_xlnm.Print_Area,4,FALSE))," ",(VLOOKUP(C783,'[1]خريطة الحسابات'!_xlnm.Print_Area,4,FALSE)))</f>
        <v xml:space="preserve">مقاولين </v>
      </c>
      <c r="N783" s="138" t="str">
        <f>IF(ISERROR(VLOOKUP(C783,'[1]خريطة الحسابات'!_xlnm.Print_Area,5,FALSE))," ",(VLOOKUP(C783,'[1]خريطة الحسابات'!_xlnm.Print_Area,5,FALSE)))</f>
        <v xml:space="preserve">الدائنون والأرصدة الدائنة الأخرى </v>
      </c>
      <c r="O783" s="139" t="s">
        <v>1659</v>
      </c>
      <c r="P783" s="139" t="s">
        <v>1317</v>
      </c>
    </row>
    <row r="784" spans="1:16">
      <c r="A784" s="104">
        <v>51</v>
      </c>
      <c r="B784" s="131">
        <v>46184</v>
      </c>
      <c r="C784" s="54">
        <v>4019</v>
      </c>
      <c r="D784" s="140" t="str">
        <f>IF(ISERROR(VLOOKUP(C784,'[1]خريطة الحسابات'!_xlnm.Print_Area,3,FALSE))," ",(VLOOKUP(C784,'[1]خريطة الحسابات'!_xlnm.Print_Area,3,FALSE)))</f>
        <v>هاني السباك</v>
      </c>
      <c r="E784" s="132"/>
      <c r="F784" s="133">
        <v>2502</v>
      </c>
      <c r="G784" s="133"/>
      <c r="H784" s="134">
        <f t="shared" si="34"/>
        <v>2502</v>
      </c>
      <c r="I784" s="134">
        <f t="shared" si="34"/>
        <v>0</v>
      </c>
      <c r="J784" s="134">
        <f t="shared" si="33"/>
        <v>2502</v>
      </c>
      <c r="K784" s="135"/>
      <c r="L784" s="136" t="str">
        <f t="shared" si="35"/>
        <v>مدين</v>
      </c>
      <c r="M784" s="137" t="str">
        <f>IF(ISERROR(VLOOKUP(C784,'[1]خريطة الحسابات'!_xlnm.Print_Area,4,FALSE))," ",(VLOOKUP(C784,'[1]خريطة الحسابات'!_xlnm.Print_Area,4,FALSE)))</f>
        <v xml:space="preserve">مقاولين </v>
      </c>
      <c r="N784" s="138" t="str">
        <f>IF(ISERROR(VLOOKUP(C784,'[1]خريطة الحسابات'!_xlnm.Print_Area,5,FALSE))," ",(VLOOKUP(C784,'[1]خريطة الحسابات'!_xlnm.Print_Area,5,FALSE)))</f>
        <v xml:space="preserve">الدائنون والأرصدة الدائنة الأخرى </v>
      </c>
      <c r="O784" s="139" t="s">
        <v>1660</v>
      </c>
      <c r="P784" s="139" t="s">
        <v>1383</v>
      </c>
    </row>
    <row r="785" spans="1:16">
      <c r="A785" s="104">
        <v>51</v>
      </c>
      <c r="B785" s="131">
        <v>46029</v>
      </c>
      <c r="C785" s="141">
        <v>20</v>
      </c>
      <c r="D785" s="140" t="str">
        <f>IF(ISERROR(VLOOKUP(C785,'[1]خريطة الحسابات'!_xlnm.Print_Area,3,FALSE))," ",(VLOOKUP(C785,'[1]خريطة الحسابات'!_xlnm.Print_Area,3,FALSE)))</f>
        <v xml:space="preserve">الخزينة </v>
      </c>
      <c r="E785" s="132"/>
      <c r="F785" s="133"/>
      <c r="G785" s="133">
        <v>800</v>
      </c>
      <c r="H785" s="134">
        <f t="shared" si="34"/>
        <v>0</v>
      </c>
      <c r="I785" s="134">
        <f t="shared" si="34"/>
        <v>800</v>
      </c>
      <c r="J785" s="134">
        <f t="shared" si="33"/>
        <v>-800</v>
      </c>
      <c r="K785" s="135"/>
      <c r="L785" s="136" t="str">
        <f t="shared" si="35"/>
        <v>دائن</v>
      </c>
      <c r="M785" s="137" t="str">
        <f>IF(ISERROR(VLOOKUP(C785,'[1]خريطة الحسابات'!_xlnm.Print_Area,4,FALSE))," ",(VLOOKUP(C785,'[1]خريطة الحسابات'!_xlnm.Print_Area,4,FALSE)))</f>
        <v xml:space="preserve">أصول متداوله -النقدية ومافي حكمها </v>
      </c>
      <c r="N785" s="138" t="str">
        <f>IF(ISERROR(VLOOKUP(C785,'[1]خريطة الحسابات'!_xlnm.Print_Area,5,FALSE))," ",(VLOOKUP(C785,'[1]خريطة الحسابات'!_xlnm.Print_Area,5,FALSE)))</f>
        <v>الاصول</v>
      </c>
      <c r="O785" s="139" t="s">
        <v>1643</v>
      </c>
      <c r="P785" s="139" t="s">
        <v>1468</v>
      </c>
    </row>
    <row r="786" spans="1:16">
      <c r="A786" s="104">
        <v>51</v>
      </c>
      <c r="B786" s="131">
        <v>46065</v>
      </c>
      <c r="C786" s="141">
        <v>20</v>
      </c>
      <c r="D786" s="140" t="str">
        <f>IF(ISERROR(VLOOKUP(C786,'[1]خريطة الحسابات'!_xlnm.Print_Area,3,FALSE))," ",(VLOOKUP(C786,'[1]خريطة الحسابات'!_xlnm.Print_Area,3,FALSE)))</f>
        <v xml:space="preserve">الخزينة </v>
      </c>
      <c r="E786" s="132"/>
      <c r="F786" s="133"/>
      <c r="G786" s="133">
        <v>2500</v>
      </c>
      <c r="H786" s="134">
        <f t="shared" si="34"/>
        <v>0</v>
      </c>
      <c r="I786" s="134">
        <f t="shared" si="34"/>
        <v>2500</v>
      </c>
      <c r="J786" s="134">
        <f t="shared" si="33"/>
        <v>-2500</v>
      </c>
      <c r="K786" s="135"/>
      <c r="L786" s="136" t="str">
        <f t="shared" si="35"/>
        <v>دائن</v>
      </c>
      <c r="M786" s="137" t="str">
        <f>IF(ISERROR(VLOOKUP(C786,'[1]خريطة الحسابات'!_xlnm.Print_Area,4,FALSE))," ",(VLOOKUP(C786,'[1]خريطة الحسابات'!_xlnm.Print_Area,4,FALSE)))</f>
        <v xml:space="preserve">أصول متداوله -النقدية ومافي حكمها </v>
      </c>
      <c r="N786" s="138" t="str">
        <f>IF(ISERROR(VLOOKUP(C786,'[1]خريطة الحسابات'!_xlnm.Print_Area,5,FALSE))," ",(VLOOKUP(C786,'[1]خريطة الحسابات'!_xlnm.Print_Area,5,FALSE)))</f>
        <v>الاصول</v>
      </c>
      <c r="O786" s="139" t="s">
        <v>1644</v>
      </c>
      <c r="P786" s="139" t="s">
        <v>1297</v>
      </c>
    </row>
    <row r="787" spans="1:16">
      <c r="A787" s="104">
        <v>51</v>
      </c>
      <c r="B787" s="131">
        <v>46065</v>
      </c>
      <c r="C787" s="141">
        <v>20</v>
      </c>
      <c r="D787" s="140" t="str">
        <f>IF(ISERROR(VLOOKUP(C787,'[1]خريطة الحسابات'!_xlnm.Print_Area,3,FALSE))," ",(VLOOKUP(C787,'[1]خريطة الحسابات'!_xlnm.Print_Area,3,FALSE)))</f>
        <v xml:space="preserve">الخزينة </v>
      </c>
      <c r="E787" s="132"/>
      <c r="F787" s="133"/>
      <c r="G787" s="133">
        <v>4000</v>
      </c>
      <c r="H787" s="134">
        <f t="shared" si="34"/>
        <v>0</v>
      </c>
      <c r="I787" s="134">
        <f t="shared" si="34"/>
        <v>4000</v>
      </c>
      <c r="J787" s="134">
        <f t="shared" si="33"/>
        <v>-4000</v>
      </c>
      <c r="K787" s="135"/>
      <c r="L787" s="136" t="str">
        <f t="shared" si="35"/>
        <v>دائن</v>
      </c>
      <c r="M787" s="137" t="str">
        <f>IF(ISERROR(VLOOKUP(C787,'[1]خريطة الحسابات'!_xlnm.Print_Area,4,FALSE))," ",(VLOOKUP(C787,'[1]خريطة الحسابات'!_xlnm.Print_Area,4,FALSE)))</f>
        <v xml:space="preserve">أصول متداوله -النقدية ومافي حكمها </v>
      </c>
      <c r="N787" s="138" t="str">
        <f>IF(ISERROR(VLOOKUP(C787,'[1]خريطة الحسابات'!_xlnm.Print_Area,5,FALSE))," ",(VLOOKUP(C787,'[1]خريطة الحسابات'!_xlnm.Print_Area,5,FALSE)))</f>
        <v>الاصول</v>
      </c>
      <c r="O787" s="139" t="s">
        <v>1645</v>
      </c>
      <c r="P787" s="139" t="s">
        <v>1290</v>
      </c>
    </row>
    <row r="788" spans="1:16">
      <c r="A788" s="104">
        <v>51</v>
      </c>
      <c r="B788" s="131">
        <v>46099</v>
      </c>
      <c r="C788" s="141">
        <v>20</v>
      </c>
      <c r="D788" s="140" t="str">
        <f>IF(ISERROR(VLOOKUP(C788,'[1]خريطة الحسابات'!_xlnm.Print_Area,3,FALSE))," ",(VLOOKUP(C788,'[1]خريطة الحسابات'!_xlnm.Print_Area,3,FALSE)))</f>
        <v xml:space="preserve">الخزينة </v>
      </c>
      <c r="E788" s="132"/>
      <c r="F788" s="133"/>
      <c r="G788" s="133">
        <v>7507</v>
      </c>
      <c r="H788" s="134">
        <f t="shared" si="34"/>
        <v>0</v>
      </c>
      <c r="I788" s="134">
        <f t="shared" si="34"/>
        <v>7507</v>
      </c>
      <c r="J788" s="134">
        <f t="shared" si="33"/>
        <v>-7507</v>
      </c>
      <c r="K788" s="135"/>
      <c r="L788" s="136" t="str">
        <f t="shared" si="35"/>
        <v>دائن</v>
      </c>
      <c r="M788" s="137" t="str">
        <f>IF(ISERROR(VLOOKUP(C788,'[1]خريطة الحسابات'!_xlnm.Print_Area,4,FALSE))," ",(VLOOKUP(C788,'[1]خريطة الحسابات'!_xlnm.Print_Area,4,FALSE)))</f>
        <v xml:space="preserve">أصول متداوله -النقدية ومافي حكمها </v>
      </c>
      <c r="N788" s="138" t="str">
        <f>IF(ISERROR(VLOOKUP(C788,'[1]خريطة الحسابات'!_xlnm.Print_Area,5,FALSE))," ",(VLOOKUP(C788,'[1]خريطة الحسابات'!_xlnm.Print_Area,5,FALSE)))</f>
        <v>الاصول</v>
      </c>
      <c r="O788" s="139" t="s">
        <v>1646</v>
      </c>
      <c r="P788" s="139" t="s">
        <v>1290</v>
      </c>
    </row>
    <row r="789" spans="1:16">
      <c r="A789" s="104">
        <v>51</v>
      </c>
      <c r="B789" s="131">
        <v>46099</v>
      </c>
      <c r="C789" s="141">
        <v>20</v>
      </c>
      <c r="D789" s="140" t="str">
        <f>IF(ISERROR(VLOOKUP(C789,'[1]خريطة الحسابات'!_xlnm.Print_Area,3,FALSE))," ",(VLOOKUP(C789,'[1]خريطة الحسابات'!_xlnm.Print_Area,3,FALSE)))</f>
        <v xml:space="preserve">الخزينة </v>
      </c>
      <c r="E789" s="132"/>
      <c r="F789" s="133"/>
      <c r="G789" s="133">
        <v>5505</v>
      </c>
      <c r="H789" s="134">
        <f t="shared" si="34"/>
        <v>0</v>
      </c>
      <c r="I789" s="134">
        <f t="shared" si="34"/>
        <v>5505</v>
      </c>
      <c r="J789" s="134">
        <f t="shared" si="33"/>
        <v>-5505</v>
      </c>
      <c r="K789" s="135"/>
      <c r="L789" s="136" t="str">
        <f t="shared" si="35"/>
        <v>دائن</v>
      </c>
      <c r="M789" s="137" t="str">
        <f>IF(ISERROR(VLOOKUP(C789,'[1]خريطة الحسابات'!_xlnm.Print_Area,4,FALSE))," ",(VLOOKUP(C789,'[1]خريطة الحسابات'!_xlnm.Print_Area,4,FALSE)))</f>
        <v xml:space="preserve">أصول متداوله -النقدية ومافي حكمها </v>
      </c>
      <c r="N789" s="138" t="str">
        <f>IF(ISERROR(VLOOKUP(C789,'[1]خريطة الحسابات'!_xlnm.Print_Area,5,FALSE))," ",(VLOOKUP(C789,'[1]خريطة الحسابات'!_xlnm.Print_Area,5,FALSE)))</f>
        <v>الاصول</v>
      </c>
      <c r="O789" s="139" t="s">
        <v>1647</v>
      </c>
      <c r="P789" s="139" t="s">
        <v>1327</v>
      </c>
    </row>
    <row r="790" spans="1:16">
      <c r="A790" s="104">
        <v>51</v>
      </c>
      <c r="B790" s="131">
        <v>46121</v>
      </c>
      <c r="C790" s="141">
        <v>20</v>
      </c>
      <c r="D790" s="140" t="str">
        <f>IF(ISERROR(VLOOKUP(C790,'[1]خريطة الحسابات'!_xlnm.Print_Area,3,FALSE))," ",(VLOOKUP(C790,'[1]خريطة الحسابات'!_xlnm.Print_Area,3,FALSE)))</f>
        <v xml:space="preserve">الخزينة </v>
      </c>
      <c r="E790" s="132"/>
      <c r="F790" s="133"/>
      <c r="G790" s="133">
        <v>2000</v>
      </c>
      <c r="H790" s="134">
        <f t="shared" si="34"/>
        <v>0</v>
      </c>
      <c r="I790" s="134">
        <f t="shared" si="34"/>
        <v>2000</v>
      </c>
      <c r="J790" s="134">
        <f t="shared" si="33"/>
        <v>-2000</v>
      </c>
      <c r="K790" s="135"/>
      <c r="L790" s="136" t="str">
        <f t="shared" si="35"/>
        <v>دائن</v>
      </c>
      <c r="M790" s="137" t="str">
        <f>IF(ISERROR(VLOOKUP(C790,'[1]خريطة الحسابات'!_xlnm.Print_Area,4,FALSE))," ",(VLOOKUP(C790,'[1]خريطة الحسابات'!_xlnm.Print_Area,4,FALSE)))</f>
        <v xml:space="preserve">أصول متداوله -النقدية ومافي حكمها </v>
      </c>
      <c r="N790" s="138" t="str">
        <f>IF(ISERROR(VLOOKUP(C790,'[1]خريطة الحسابات'!_xlnm.Print_Area,5,FALSE))," ",(VLOOKUP(C790,'[1]خريطة الحسابات'!_xlnm.Print_Area,5,FALSE)))</f>
        <v>الاصول</v>
      </c>
      <c r="O790" s="139" t="s">
        <v>1648</v>
      </c>
      <c r="P790" s="139" t="s">
        <v>1327</v>
      </c>
    </row>
    <row r="791" spans="1:16">
      <c r="A791" s="104">
        <v>51</v>
      </c>
      <c r="B791" s="131">
        <v>46128</v>
      </c>
      <c r="C791" s="141">
        <v>20</v>
      </c>
      <c r="D791" s="140" t="str">
        <f>IF(ISERROR(VLOOKUP(C791,'[1]خريطة الحسابات'!_xlnm.Print_Area,3,FALSE))," ",(VLOOKUP(C791,'[1]خريطة الحسابات'!_xlnm.Print_Area,3,FALSE)))</f>
        <v xml:space="preserve">الخزينة </v>
      </c>
      <c r="E791" s="132"/>
      <c r="F791" s="133"/>
      <c r="G791" s="133">
        <v>500</v>
      </c>
      <c r="H791" s="134">
        <f t="shared" si="34"/>
        <v>0</v>
      </c>
      <c r="I791" s="134">
        <f t="shared" si="34"/>
        <v>500</v>
      </c>
      <c r="J791" s="134">
        <f t="shared" si="33"/>
        <v>-500</v>
      </c>
      <c r="K791" s="135"/>
      <c r="L791" s="136" t="str">
        <f t="shared" si="35"/>
        <v>دائن</v>
      </c>
      <c r="M791" s="137" t="str">
        <f>IF(ISERROR(VLOOKUP(C791,'[1]خريطة الحسابات'!_xlnm.Print_Area,4,FALSE))," ",(VLOOKUP(C791,'[1]خريطة الحسابات'!_xlnm.Print_Area,4,FALSE)))</f>
        <v xml:space="preserve">أصول متداوله -النقدية ومافي حكمها </v>
      </c>
      <c r="N791" s="138" t="str">
        <f>IF(ISERROR(VLOOKUP(C791,'[1]خريطة الحسابات'!_xlnm.Print_Area,5,FALSE))," ",(VLOOKUP(C791,'[1]خريطة الحسابات'!_xlnm.Print_Area,5,FALSE)))</f>
        <v>الاصول</v>
      </c>
      <c r="O791" s="139" t="s">
        <v>1649</v>
      </c>
      <c r="P791" s="139" t="s">
        <v>1290</v>
      </c>
    </row>
    <row r="792" spans="1:16">
      <c r="A792" s="104">
        <v>51</v>
      </c>
      <c r="B792" s="131">
        <v>46128</v>
      </c>
      <c r="C792" s="141">
        <v>20</v>
      </c>
      <c r="D792" s="140" t="str">
        <f>IF(ISERROR(VLOOKUP(C792,'[1]خريطة الحسابات'!_xlnm.Print_Area,3,FALSE))," ",(VLOOKUP(C792,'[1]خريطة الحسابات'!_xlnm.Print_Area,3,FALSE)))</f>
        <v xml:space="preserve">الخزينة </v>
      </c>
      <c r="E792" s="132"/>
      <c r="F792" s="133"/>
      <c r="G792" s="133">
        <v>500</v>
      </c>
      <c r="H792" s="134">
        <f t="shared" si="34"/>
        <v>0</v>
      </c>
      <c r="I792" s="134">
        <f t="shared" si="34"/>
        <v>500</v>
      </c>
      <c r="J792" s="134">
        <f t="shared" ref="J792:J855" si="36">H792-I792</f>
        <v>-500</v>
      </c>
      <c r="K792" s="135"/>
      <c r="L792" s="136" t="str">
        <f t="shared" si="35"/>
        <v>دائن</v>
      </c>
      <c r="M792" s="137" t="str">
        <f>IF(ISERROR(VLOOKUP(C792,'[1]خريطة الحسابات'!_xlnm.Print_Area,4,FALSE))," ",(VLOOKUP(C792,'[1]خريطة الحسابات'!_xlnm.Print_Area,4,FALSE)))</f>
        <v xml:space="preserve">أصول متداوله -النقدية ومافي حكمها </v>
      </c>
      <c r="N792" s="138" t="str">
        <f>IF(ISERROR(VLOOKUP(C792,'[1]خريطة الحسابات'!_xlnm.Print_Area,5,FALSE))," ",(VLOOKUP(C792,'[1]خريطة الحسابات'!_xlnm.Print_Area,5,FALSE)))</f>
        <v>الاصول</v>
      </c>
      <c r="O792" s="139" t="s">
        <v>1650</v>
      </c>
      <c r="P792" s="139" t="s">
        <v>1317</v>
      </c>
    </row>
    <row r="793" spans="1:16">
      <c r="A793" s="104">
        <v>51</v>
      </c>
      <c r="B793" s="131">
        <v>46128</v>
      </c>
      <c r="C793" s="141">
        <v>20</v>
      </c>
      <c r="D793" s="140" t="str">
        <f>IF(ISERROR(VLOOKUP(C793,'[1]خريطة الحسابات'!_xlnm.Print_Area,3,FALSE))," ",(VLOOKUP(C793,'[1]خريطة الحسابات'!_xlnm.Print_Area,3,FALSE)))</f>
        <v xml:space="preserve">الخزينة </v>
      </c>
      <c r="E793" s="132"/>
      <c r="F793" s="133"/>
      <c r="G793" s="133">
        <v>1002</v>
      </c>
      <c r="H793" s="134">
        <f t="shared" ref="H793:I856" si="37">IF($E793=2,F793*3.465,F793)</f>
        <v>0</v>
      </c>
      <c r="I793" s="134">
        <f t="shared" si="37"/>
        <v>1002</v>
      </c>
      <c r="J793" s="134">
        <f t="shared" si="36"/>
        <v>-1002</v>
      </c>
      <c r="K793" s="135"/>
      <c r="L793" s="136" t="str">
        <f t="shared" si="35"/>
        <v>دائن</v>
      </c>
      <c r="M793" s="137" t="str">
        <f>IF(ISERROR(VLOOKUP(C793,'[1]خريطة الحسابات'!_xlnm.Print_Area,4,FALSE))," ",(VLOOKUP(C793,'[1]خريطة الحسابات'!_xlnm.Print_Area,4,FALSE)))</f>
        <v xml:space="preserve">أصول متداوله -النقدية ومافي حكمها </v>
      </c>
      <c r="N793" s="138" t="str">
        <f>IF(ISERROR(VLOOKUP(C793,'[1]خريطة الحسابات'!_xlnm.Print_Area,5,FALSE))," ",(VLOOKUP(C793,'[1]خريطة الحسابات'!_xlnm.Print_Area,5,FALSE)))</f>
        <v>الاصول</v>
      </c>
      <c r="O793" s="139" t="s">
        <v>1651</v>
      </c>
      <c r="P793" s="139" t="s">
        <v>1327</v>
      </c>
    </row>
    <row r="794" spans="1:16">
      <c r="A794" s="104">
        <v>51</v>
      </c>
      <c r="B794" s="131">
        <v>46135</v>
      </c>
      <c r="C794" s="141">
        <v>20</v>
      </c>
      <c r="D794" s="140" t="str">
        <f>IF(ISERROR(VLOOKUP(C794,'[1]خريطة الحسابات'!_xlnm.Print_Area,3,FALSE))," ",(VLOOKUP(C794,'[1]خريطة الحسابات'!_xlnm.Print_Area,3,FALSE)))</f>
        <v xml:space="preserve">الخزينة </v>
      </c>
      <c r="E794" s="132"/>
      <c r="F794" s="133"/>
      <c r="G794" s="133">
        <v>10010</v>
      </c>
      <c r="H794" s="134">
        <f t="shared" si="37"/>
        <v>0</v>
      </c>
      <c r="I794" s="134">
        <f t="shared" si="37"/>
        <v>10010</v>
      </c>
      <c r="J794" s="134">
        <f t="shared" si="36"/>
        <v>-10010</v>
      </c>
      <c r="K794" s="135"/>
      <c r="L794" s="136" t="str">
        <f t="shared" si="35"/>
        <v>دائن</v>
      </c>
      <c r="M794" s="137" t="str">
        <f>IF(ISERROR(VLOOKUP(C794,'[1]خريطة الحسابات'!_xlnm.Print_Area,4,FALSE))," ",(VLOOKUP(C794,'[1]خريطة الحسابات'!_xlnm.Print_Area,4,FALSE)))</f>
        <v xml:space="preserve">أصول متداوله -النقدية ومافي حكمها </v>
      </c>
      <c r="N794" s="138" t="str">
        <f>IF(ISERROR(VLOOKUP(C794,'[1]خريطة الحسابات'!_xlnm.Print_Area,5,FALSE))," ",(VLOOKUP(C794,'[1]خريطة الحسابات'!_xlnm.Print_Area,5,FALSE)))</f>
        <v>الاصول</v>
      </c>
      <c r="O794" s="139" t="s">
        <v>1652</v>
      </c>
      <c r="P794" s="139" t="s">
        <v>1480</v>
      </c>
    </row>
    <row r="795" spans="1:16">
      <c r="A795" s="104">
        <v>51</v>
      </c>
      <c r="B795" s="131">
        <v>46148</v>
      </c>
      <c r="C795" s="141">
        <v>20</v>
      </c>
      <c r="D795" s="140" t="str">
        <f>IF(ISERROR(VLOOKUP(C795,'[1]خريطة الحسابات'!_xlnm.Print_Area,3,FALSE))," ",(VLOOKUP(C795,'[1]خريطة الحسابات'!_xlnm.Print_Area,3,FALSE)))</f>
        <v xml:space="preserve">الخزينة </v>
      </c>
      <c r="E795" s="132"/>
      <c r="F795" s="133"/>
      <c r="G795" s="133">
        <v>10010</v>
      </c>
      <c r="H795" s="134">
        <f t="shared" si="37"/>
        <v>0</v>
      </c>
      <c r="I795" s="134">
        <f t="shared" si="37"/>
        <v>10010</v>
      </c>
      <c r="J795" s="134">
        <f t="shared" si="36"/>
        <v>-10010</v>
      </c>
      <c r="K795" s="135"/>
      <c r="L795" s="136" t="str">
        <f t="shared" ref="L795:L858" si="38">IF(J795&lt;0,"دائن",IF(J795&gt;0,"مدين",""))</f>
        <v>دائن</v>
      </c>
      <c r="M795" s="137" t="str">
        <f>IF(ISERROR(VLOOKUP(C795,'[1]خريطة الحسابات'!_xlnm.Print_Area,4,FALSE))," ",(VLOOKUP(C795,'[1]خريطة الحسابات'!_xlnm.Print_Area,4,FALSE)))</f>
        <v xml:space="preserve">أصول متداوله -النقدية ومافي حكمها </v>
      </c>
      <c r="N795" s="138" t="str">
        <f>IF(ISERROR(VLOOKUP(C795,'[1]خريطة الحسابات'!_xlnm.Print_Area,5,FALSE))," ",(VLOOKUP(C795,'[1]خريطة الحسابات'!_xlnm.Print_Area,5,FALSE)))</f>
        <v>الاصول</v>
      </c>
      <c r="O795" s="139" t="s">
        <v>1653</v>
      </c>
      <c r="P795" s="139" t="s">
        <v>1480</v>
      </c>
    </row>
    <row r="796" spans="1:16">
      <c r="A796" s="104">
        <v>51</v>
      </c>
      <c r="B796" s="131">
        <v>46152</v>
      </c>
      <c r="C796" s="141">
        <v>20</v>
      </c>
      <c r="D796" s="140" t="str">
        <f>IF(ISERROR(VLOOKUP(C796,'[1]خريطة الحسابات'!_xlnm.Print_Area,3,FALSE))," ",(VLOOKUP(C796,'[1]خريطة الحسابات'!_xlnm.Print_Area,3,FALSE)))</f>
        <v xml:space="preserve">الخزينة </v>
      </c>
      <c r="E796" s="132"/>
      <c r="F796" s="133"/>
      <c r="G796" s="133">
        <v>10000</v>
      </c>
      <c r="H796" s="134">
        <f t="shared" si="37"/>
        <v>0</v>
      </c>
      <c r="I796" s="134">
        <f t="shared" si="37"/>
        <v>10000</v>
      </c>
      <c r="J796" s="134">
        <f t="shared" si="36"/>
        <v>-10000</v>
      </c>
      <c r="K796" s="135"/>
      <c r="L796" s="136" t="str">
        <f t="shared" si="38"/>
        <v>دائن</v>
      </c>
      <c r="M796" s="137" t="str">
        <f>IF(ISERROR(VLOOKUP(C796,'[1]خريطة الحسابات'!_xlnm.Print_Area,4,FALSE))," ",(VLOOKUP(C796,'[1]خريطة الحسابات'!_xlnm.Print_Area,4,FALSE)))</f>
        <v xml:space="preserve">أصول متداوله -النقدية ومافي حكمها </v>
      </c>
      <c r="N796" s="138" t="str">
        <f>IF(ISERROR(VLOOKUP(C796,'[1]خريطة الحسابات'!_xlnm.Print_Area,5,FALSE))," ",(VLOOKUP(C796,'[1]خريطة الحسابات'!_xlnm.Print_Area,5,FALSE)))</f>
        <v>الاصول</v>
      </c>
      <c r="O796" s="139" t="s">
        <v>1654</v>
      </c>
      <c r="P796" s="139" t="s">
        <v>1383</v>
      </c>
    </row>
    <row r="797" spans="1:16">
      <c r="A797" s="104">
        <v>51</v>
      </c>
      <c r="B797" s="131">
        <v>46152</v>
      </c>
      <c r="C797" s="141">
        <v>20</v>
      </c>
      <c r="D797" s="140" t="str">
        <f>IF(ISERROR(VLOOKUP(C797,'[1]خريطة الحسابات'!_xlnm.Print_Area,3,FALSE))," ",(VLOOKUP(C797,'[1]خريطة الحسابات'!_xlnm.Print_Area,3,FALSE)))</f>
        <v xml:space="preserve">الخزينة </v>
      </c>
      <c r="E797" s="132"/>
      <c r="F797" s="133"/>
      <c r="G797" s="133">
        <v>1000</v>
      </c>
      <c r="H797" s="134">
        <f t="shared" si="37"/>
        <v>0</v>
      </c>
      <c r="I797" s="134">
        <f t="shared" si="37"/>
        <v>1000</v>
      </c>
      <c r="J797" s="134">
        <f t="shared" si="36"/>
        <v>-1000</v>
      </c>
      <c r="K797" s="135"/>
      <c r="L797" s="136" t="str">
        <f t="shared" si="38"/>
        <v>دائن</v>
      </c>
      <c r="M797" s="137" t="str">
        <f>IF(ISERROR(VLOOKUP(C797,'[1]خريطة الحسابات'!_xlnm.Print_Area,4,FALSE))," ",(VLOOKUP(C797,'[1]خريطة الحسابات'!_xlnm.Print_Area,4,FALSE)))</f>
        <v xml:space="preserve">أصول متداوله -النقدية ومافي حكمها </v>
      </c>
      <c r="N797" s="138" t="str">
        <f>IF(ISERROR(VLOOKUP(C797,'[1]خريطة الحسابات'!_xlnm.Print_Area,5,FALSE))," ",(VLOOKUP(C797,'[1]خريطة الحسابات'!_xlnm.Print_Area,5,FALSE)))</f>
        <v>الاصول</v>
      </c>
      <c r="O797" s="139" t="s">
        <v>1655</v>
      </c>
      <c r="P797" s="139" t="s">
        <v>1327</v>
      </c>
    </row>
    <row r="798" spans="1:16">
      <c r="A798" s="104">
        <v>51</v>
      </c>
      <c r="B798" s="131">
        <v>46159</v>
      </c>
      <c r="C798" s="141">
        <v>20</v>
      </c>
      <c r="D798" s="140" t="str">
        <f>IF(ISERROR(VLOOKUP(C798,'[1]خريطة الحسابات'!_xlnm.Print_Area,3,FALSE))," ",(VLOOKUP(C798,'[1]خريطة الحسابات'!_xlnm.Print_Area,3,FALSE)))</f>
        <v xml:space="preserve">الخزينة </v>
      </c>
      <c r="E798" s="132"/>
      <c r="F798" s="133"/>
      <c r="G798" s="133">
        <v>7007</v>
      </c>
      <c r="H798" s="134">
        <f t="shared" si="37"/>
        <v>0</v>
      </c>
      <c r="I798" s="134">
        <f t="shared" si="37"/>
        <v>7007</v>
      </c>
      <c r="J798" s="134">
        <f t="shared" si="36"/>
        <v>-7007</v>
      </c>
      <c r="K798" s="135"/>
      <c r="L798" s="136" t="str">
        <f t="shared" si="38"/>
        <v>دائن</v>
      </c>
      <c r="M798" s="137" t="str">
        <f>IF(ISERROR(VLOOKUP(C798,'[1]خريطة الحسابات'!_xlnm.Print_Area,4,FALSE))," ",(VLOOKUP(C798,'[1]خريطة الحسابات'!_xlnm.Print_Area,4,FALSE)))</f>
        <v xml:space="preserve">أصول متداوله -النقدية ومافي حكمها </v>
      </c>
      <c r="N798" s="138" t="str">
        <f>IF(ISERROR(VLOOKUP(C798,'[1]خريطة الحسابات'!_xlnm.Print_Area,5,FALSE))," ",(VLOOKUP(C798,'[1]خريطة الحسابات'!_xlnm.Print_Area,5,FALSE)))</f>
        <v>الاصول</v>
      </c>
      <c r="O798" s="139" t="s">
        <v>1656</v>
      </c>
      <c r="P798" s="139" t="s">
        <v>1290</v>
      </c>
    </row>
    <row r="799" spans="1:16">
      <c r="A799" s="104">
        <v>51</v>
      </c>
      <c r="B799" s="131">
        <v>46164</v>
      </c>
      <c r="C799" s="141">
        <v>20</v>
      </c>
      <c r="D799" s="140" t="str">
        <f>IF(ISERROR(VLOOKUP(C799,'[1]خريطة الحسابات'!_xlnm.Print_Area,3,FALSE))," ",(VLOOKUP(C799,'[1]خريطة الحسابات'!_xlnm.Print_Area,3,FALSE)))</f>
        <v xml:space="preserve">الخزينة </v>
      </c>
      <c r="E799" s="132"/>
      <c r="F799" s="133"/>
      <c r="G799" s="133">
        <v>10010</v>
      </c>
      <c r="H799" s="134">
        <f t="shared" si="37"/>
        <v>0</v>
      </c>
      <c r="I799" s="134">
        <f t="shared" si="37"/>
        <v>10010</v>
      </c>
      <c r="J799" s="134">
        <f t="shared" si="36"/>
        <v>-10010</v>
      </c>
      <c r="K799" s="135"/>
      <c r="L799" s="136" t="str">
        <f t="shared" si="38"/>
        <v>دائن</v>
      </c>
      <c r="M799" s="137" t="str">
        <f>IF(ISERROR(VLOOKUP(C799,'[1]خريطة الحسابات'!_xlnm.Print_Area,4,FALSE))," ",(VLOOKUP(C799,'[1]خريطة الحسابات'!_xlnm.Print_Area,4,FALSE)))</f>
        <v xml:space="preserve">أصول متداوله -النقدية ومافي حكمها </v>
      </c>
      <c r="N799" s="138" t="str">
        <f>IF(ISERROR(VLOOKUP(C799,'[1]خريطة الحسابات'!_xlnm.Print_Area,5,FALSE))," ",(VLOOKUP(C799,'[1]خريطة الحسابات'!_xlnm.Print_Area,5,FALSE)))</f>
        <v>الاصول</v>
      </c>
      <c r="O799" s="139" t="s">
        <v>1657</v>
      </c>
      <c r="P799" s="139" t="s">
        <v>1383</v>
      </c>
    </row>
    <row r="800" spans="1:16">
      <c r="A800" s="104">
        <v>51</v>
      </c>
      <c r="B800" s="131">
        <v>46166</v>
      </c>
      <c r="C800" s="141">
        <v>20</v>
      </c>
      <c r="D800" s="140" t="str">
        <f>IF(ISERROR(VLOOKUP(C800,'[1]خريطة الحسابات'!_xlnm.Print_Area,3,FALSE))," ",(VLOOKUP(C800,'[1]خريطة الحسابات'!_xlnm.Print_Area,3,FALSE)))</f>
        <v xml:space="preserve">الخزينة </v>
      </c>
      <c r="E800" s="132"/>
      <c r="F800" s="133"/>
      <c r="G800" s="133">
        <v>8510</v>
      </c>
      <c r="H800" s="134">
        <f t="shared" si="37"/>
        <v>0</v>
      </c>
      <c r="I800" s="134">
        <f t="shared" si="37"/>
        <v>8510</v>
      </c>
      <c r="J800" s="134">
        <f t="shared" si="36"/>
        <v>-8510</v>
      </c>
      <c r="K800" s="135"/>
      <c r="L800" s="136" t="str">
        <f t="shared" si="38"/>
        <v>دائن</v>
      </c>
      <c r="M800" s="137" t="str">
        <f>IF(ISERROR(VLOOKUP(C800,'[1]خريطة الحسابات'!_xlnm.Print_Area,4,FALSE))," ",(VLOOKUP(C800,'[1]خريطة الحسابات'!_xlnm.Print_Area,4,FALSE)))</f>
        <v xml:space="preserve">أصول متداوله -النقدية ومافي حكمها </v>
      </c>
      <c r="N800" s="138" t="str">
        <f>IF(ISERROR(VLOOKUP(C800,'[1]خريطة الحسابات'!_xlnm.Print_Area,5,FALSE))," ",(VLOOKUP(C800,'[1]خريطة الحسابات'!_xlnm.Print_Area,5,FALSE)))</f>
        <v>الاصول</v>
      </c>
      <c r="O800" s="139" t="s">
        <v>1658</v>
      </c>
      <c r="P800" s="139" t="s">
        <v>1480</v>
      </c>
    </row>
    <row r="801" spans="1:16">
      <c r="A801" s="104">
        <v>51</v>
      </c>
      <c r="B801" s="131">
        <v>46166</v>
      </c>
      <c r="C801" s="141">
        <v>20</v>
      </c>
      <c r="D801" s="140" t="str">
        <f>IF(ISERROR(VLOOKUP(C801,'[1]خريطة الحسابات'!_xlnm.Print_Area,3,FALSE))," ",(VLOOKUP(C801,'[1]خريطة الحسابات'!_xlnm.Print_Area,3,FALSE)))</f>
        <v xml:space="preserve">الخزينة </v>
      </c>
      <c r="E801" s="132"/>
      <c r="F801" s="133"/>
      <c r="G801" s="133">
        <v>2500</v>
      </c>
      <c r="H801" s="134">
        <f t="shared" si="37"/>
        <v>0</v>
      </c>
      <c r="I801" s="134">
        <f t="shared" si="37"/>
        <v>2500</v>
      </c>
      <c r="J801" s="134">
        <f t="shared" si="36"/>
        <v>-2500</v>
      </c>
      <c r="K801" s="135"/>
      <c r="L801" s="136" t="str">
        <f t="shared" si="38"/>
        <v>دائن</v>
      </c>
      <c r="M801" s="137" t="str">
        <f>IF(ISERROR(VLOOKUP(C801,'[1]خريطة الحسابات'!_xlnm.Print_Area,4,FALSE))," ",(VLOOKUP(C801,'[1]خريطة الحسابات'!_xlnm.Print_Area,4,FALSE)))</f>
        <v xml:space="preserve">أصول متداوله -النقدية ومافي حكمها </v>
      </c>
      <c r="N801" s="138" t="str">
        <f>IF(ISERROR(VLOOKUP(C801,'[1]خريطة الحسابات'!_xlnm.Print_Area,5,FALSE))," ",(VLOOKUP(C801,'[1]خريطة الحسابات'!_xlnm.Print_Area,5,FALSE)))</f>
        <v>الاصول</v>
      </c>
      <c r="O801" s="139" t="s">
        <v>1659</v>
      </c>
      <c r="P801" s="139" t="s">
        <v>1317</v>
      </c>
    </row>
    <row r="802" spans="1:16">
      <c r="A802" s="104">
        <v>51</v>
      </c>
      <c r="B802" s="131">
        <v>46184</v>
      </c>
      <c r="C802" s="141">
        <v>20</v>
      </c>
      <c r="D802" s="140" t="str">
        <f>IF(ISERROR(VLOOKUP(C802,'[1]خريطة الحسابات'!_xlnm.Print_Area,3,FALSE))," ",(VLOOKUP(C802,'[1]خريطة الحسابات'!_xlnm.Print_Area,3,FALSE)))</f>
        <v xml:space="preserve">الخزينة </v>
      </c>
      <c r="E802" s="132"/>
      <c r="F802" s="133"/>
      <c r="G802" s="133">
        <v>2502</v>
      </c>
      <c r="H802" s="134">
        <f t="shared" si="37"/>
        <v>0</v>
      </c>
      <c r="I802" s="134">
        <f t="shared" si="37"/>
        <v>2502</v>
      </c>
      <c r="J802" s="134">
        <f t="shared" si="36"/>
        <v>-2502</v>
      </c>
      <c r="K802" s="135"/>
      <c r="L802" s="136" t="str">
        <f t="shared" si="38"/>
        <v>دائن</v>
      </c>
      <c r="M802" s="137" t="str">
        <f>IF(ISERROR(VLOOKUP(C802,'[1]خريطة الحسابات'!_xlnm.Print_Area,4,FALSE))," ",(VLOOKUP(C802,'[1]خريطة الحسابات'!_xlnm.Print_Area,4,FALSE)))</f>
        <v xml:space="preserve">أصول متداوله -النقدية ومافي حكمها </v>
      </c>
      <c r="N802" s="138" t="str">
        <f>IF(ISERROR(VLOOKUP(C802,'[1]خريطة الحسابات'!_xlnm.Print_Area,5,FALSE))," ",(VLOOKUP(C802,'[1]خريطة الحسابات'!_xlnm.Print_Area,5,FALSE)))</f>
        <v>الاصول</v>
      </c>
      <c r="O802" s="139" t="s">
        <v>1660</v>
      </c>
      <c r="P802" s="139" t="s">
        <v>1383</v>
      </c>
    </row>
    <row r="803" spans="1:16">
      <c r="A803" s="104">
        <v>52</v>
      </c>
      <c r="B803" s="131">
        <v>46039</v>
      </c>
      <c r="C803" s="54">
        <v>4016</v>
      </c>
      <c r="D803" s="140" t="str">
        <f>IF(ISERROR(VLOOKUP(C803,'[1]خريطة الحسابات'!_xlnm.Print_Area,3,FALSE))," ",(VLOOKUP(C803,'[1]خريطة الحسابات'!_xlnm.Print_Area,3,FALSE)))</f>
        <v>ياسر النجار</v>
      </c>
      <c r="E803" s="132"/>
      <c r="F803" s="133">
        <v>7007</v>
      </c>
      <c r="G803" s="133"/>
      <c r="H803" s="134">
        <f t="shared" si="37"/>
        <v>7007</v>
      </c>
      <c r="I803" s="134">
        <f t="shared" si="37"/>
        <v>0</v>
      </c>
      <c r="J803" s="134">
        <f t="shared" si="36"/>
        <v>7007</v>
      </c>
      <c r="K803" s="135"/>
      <c r="L803" s="136" t="str">
        <f t="shared" si="38"/>
        <v>مدين</v>
      </c>
      <c r="M803" s="137" t="str">
        <f>IF(ISERROR(VLOOKUP(C803,'[1]خريطة الحسابات'!_xlnm.Print_Area,4,FALSE))," ",(VLOOKUP(C803,'[1]خريطة الحسابات'!_xlnm.Print_Area,4,FALSE)))</f>
        <v xml:space="preserve">مقاولين </v>
      </c>
      <c r="N803" s="138" t="str">
        <f>IF(ISERROR(VLOOKUP(C803,'[1]خريطة الحسابات'!_xlnm.Print_Area,5,FALSE))," ",(VLOOKUP(C803,'[1]خريطة الحسابات'!_xlnm.Print_Area,5,FALSE)))</f>
        <v xml:space="preserve">الدائنون والأرصدة الدائنة الأخرى </v>
      </c>
      <c r="O803" s="139" t="s">
        <v>1661</v>
      </c>
      <c r="P803" s="139" t="s">
        <v>1415</v>
      </c>
    </row>
    <row r="804" spans="1:16">
      <c r="A804" s="104">
        <v>52</v>
      </c>
      <c r="B804" s="131">
        <v>46053</v>
      </c>
      <c r="C804" s="54">
        <v>4016</v>
      </c>
      <c r="D804" s="140" t="str">
        <f>IF(ISERROR(VLOOKUP(C804,'[1]خريطة الحسابات'!_xlnm.Print_Area,3,FALSE))," ",(VLOOKUP(C804,'[1]خريطة الحسابات'!_xlnm.Print_Area,3,FALSE)))</f>
        <v>ياسر النجار</v>
      </c>
      <c r="E804" s="132"/>
      <c r="F804" s="133">
        <v>7007</v>
      </c>
      <c r="G804" s="133"/>
      <c r="H804" s="134">
        <f t="shared" si="37"/>
        <v>7007</v>
      </c>
      <c r="I804" s="134">
        <f t="shared" si="37"/>
        <v>0</v>
      </c>
      <c r="J804" s="134">
        <f t="shared" si="36"/>
        <v>7007</v>
      </c>
      <c r="K804" s="135"/>
      <c r="L804" s="136" t="str">
        <f t="shared" si="38"/>
        <v>مدين</v>
      </c>
      <c r="M804" s="137" t="str">
        <f>IF(ISERROR(VLOOKUP(C804,'[1]خريطة الحسابات'!_xlnm.Print_Area,4,FALSE))," ",(VLOOKUP(C804,'[1]خريطة الحسابات'!_xlnm.Print_Area,4,FALSE)))</f>
        <v xml:space="preserve">مقاولين </v>
      </c>
      <c r="N804" s="138" t="str">
        <f>IF(ISERROR(VLOOKUP(C804,'[1]خريطة الحسابات'!_xlnm.Print_Area,5,FALSE))," ",(VLOOKUP(C804,'[1]خريطة الحسابات'!_xlnm.Print_Area,5,FALSE)))</f>
        <v xml:space="preserve">الدائنون والأرصدة الدائنة الأخرى </v>
      </c>
      <c r="O804" s="139" t="s">
        <v>1662</v>
      </c>
      <c r="P804" s="139" t="s">
        <v>1415</v>
      </c>
    </row>
    <row r="805" spans="1:16">
      <c r="A805" s="104">
        <v>52</v>
      </c>
      <c r="B805" s="131">
        <v>46039</v>
      </c>
      <c r="C805" s="141">
        <v>20</v>
      </c>
      <c r="D805" s="140" t="str">
        <f>IF(ISERROR(VLOOKUP(C805,'[1]خريطة الحسابات'!_xlnm.Print_Area,3,FALSE))," ",(VLOOKUP(C805,'[1]خريطة الحسابات'!_xlnm.Print_Area,3,FALSE)))</f>
        <v xml:space="preserve">الخزينة </v>
      </c>
      <c r="E805" s="132"/>
      <c r="F805" s="133"/>
      <c r="G805" s="133">
        <v>7007</v>
      </c>
      <c r="H805" s="134">
        <f t="shared" si="37"/>
        <v>0</v>
      </c>
      <c r="I805" s="134">
        <f t="shared" si="37"/>
        <v>7007</v>
      </c>
      <c r="J805" s="134">
        <f t="shared" si="36"/>
        <v>-7007</v>
      </c>
      <c r="K805" s="135"/>
      <c r="L805" s="136" t="str">
        <f t="shared" si="38"/>
        <v>دائن</v>
      </c>
      <c r="M805" s="137" t="str">
        <f>IF(ISERROR(VLOOKUP(C805,'[1]خريطة الحسابات'!_xlnm.Print_Area,4,FALSE))," ",(VLOOKUP(C805,'[1]خريطة الحسابات'!_xlnm.Print_Area,4,FALSE)))</f>
        <v xml:space="preserve">أصول متداوله -النقدية ومافي حكمها </v>
      </c>
      <c r="N805" s="138" t="str">
        <f>IF(ISERROR(VLOOKUP(C805,'[1]خريطة الحسابات'!_xlnm.Print_Area,5,FALSE))," ",(VLOOKUP(C805,'[1]خريطة الحسابات'!_xlnm.Print_Area,5,FALSE)))</f>
        <v>الاصول</v>
      </c>
      <c r="O805" s="139" t="s">
        <v>1661</v>
      </c>
      <c r="P805" s="139" t="s">
        <v>1415</v>
      </c>
    </row>
    <row r="806" spans="1:16">
      <c r="A806" s="104">
        <v>52</v>
      </c>
      <c r="B806" s="131">
        <v>46053</v>
      </c>
      <c r="C806" s="141">
        <v>20</v>
      </c>
      <c r="D806" s="140" t="str">
        <f>IF(ISERROR(VLOOKUP(C806,'[1]خريطة الحسابات'!_xlnm.Print_Area,3,FALSE))," ",(VLOOKUP(C806,'[1]خريطة الحسابات'!_xlnm.Print_Area,3,FALSE)))</f>
        <v xml:space="preserve">الخزينة </v>
      </c>
      <c r="E806" s="132"/>
      <c r="F806" s="133"/>
      <c r="G806" s="133">
        <v>7007</v>
      </c>
      <c r="H806" s="134">
        <f t="shared" si="37"/>
        <v>0</v>
      </c>
      <c r="I806" s="134">
        <f t="shared" si="37"/>
        <v>7007</v>
      </c>
      <c r="J806" s="134">
        <f t="shared" si="36"/>
        <v>-7007</v>
      </c>
      <c r="K806" s="135"/>
      <c r="L806" s="136" t="str">
        <f t="shared" si="38"/>
        <v>دائن</v>
      </c>
      <c r="M806" s="137" t="str">
        <f>IF(ISERROR(VLOOKUP(C806,'[1]خريطة الحسابات'!_xlnm.Print_Area,4,FALSE))," ",(VLOOKUP(C806,'[1]خريطة الحسابات'!_xlnm.Print_Area,4,FALSE)))</f>
        <v xml:space="preserve">أصول متداوله -النقدية ومافي حكمها </v>
      </c>
      <c r="N806" s="138" t="str">
        <f>IF(ISERROR(VLOOKUP(C806,'[1]خريطة الحسابات'!_xlnm.Print_Area,5,FALSE))," ",(VLOOKUP(C806,'[1]خريطة الحسابات'!_xlnm.Print_Area,5,FALSE)))</f>
        <v>الاصول</v>
      </c>
      <c r="O806" s="139" t="s">
        <v>1662</v>
      </c>
      <c r="P806" s="139" t="s">
        <v>1415</v>
      </c>
    </row>
    <row r="807" spans="1:16">
      <c r="A807" s="104">
        <v>53</v>
      </c>
      <c r="B807" s="131">
        <v>46027</v>
      </c>
      <c r="C807" s="141">
        <v>99</v>
      </c>
      <c r="D807" s="140" t="str">
        <f>IF(ISERROR(VLOOKUP(C807,'[1]خريطة الحسابات'!_xlnm.Print_Area,3,FALSE))," ",(VLOOKUP(C807,'[1]خريطة الحسابات'!_xlnm.Print_Area,3,FALSE)))</f>
        <v xml:space="preserve">تكاليف ادارية وعمومية </v>
      </c>
      <c r="E807" s="132"/>
      <c r="F807" s="133">
        <v>4000</v>
      </c>
      <c r="G807" s="133"/>
      <c r="H807" s="134">
        <f t="shared" si="37"/>
        <v>4000</v>
      </c>
      <c r="I807" s="134">
        <f t="shared" si="37"/>
        <v>0</v>
      </c>
      <c r="J807" s="134">
        <f t="shared" si="36"/>
        <v>4000</v>
      </c>
      <c r="K807" s="135"/>
      <c r="L807" s="136" t="str">
        <f t="shared" si="38"/>
        <v>مدين</v>
      </c>
      <c r="M807" s="137" t="str">
        <f>IF(ISERROR(VLOOKUP(C807,'[1]خريطة الحسابات'!_xlnm.Print_Area,4,FALSE))," ",(VLOOKUP(C807,'[1]خريطة الحسابات'!_xlnm.Print_Area,4,FALSE)))</f>
        <v xml:space="preserve">تكاليف ادارية وعمومية </v>
      </c>
      <c r="N807" s="138" t="str">
        <f>IF(ISERROR(VLOOKUP(C807,'[1]خريطة الحسابات'!_xlnm.Print_Area,5,FALSE))," ",(VLOOKUP(C807,'[1]خريطة الحسابات'!_xlnm.Print_Area,5,FALSE)))</f>
        <v xml:space="preserve">مصروفات </v>
      </c>
      <c r="O807" s="139" t="s">
        <v>1663</v>
      </c>
      <c r="P807" s="139" t="s">
        <v>1664</v>
      </c>
    </row>
    <row r="808" spans="1:16">
      <c r="A808" s="104">
        <v>53</v>
      </c>
      <c r="B808" s="131">
        <v>46034</v>
      </c>
      <c r="C808" s="141">
        <v>99</v>
      </c>
      <c r="D808" s="140" t="str">
        <f>IF(ISERROR(VLOOKUP(C808,'[1]خريطة الحسابات'!_xlnm.Print_Area,3,FALSE))," ",(VLOOKUP(C808,'[1]خريطة الحسابات'!_xlnm.Print_Area,3,FALSE)))</f>
        <v xml:space="preserve">تكاليف ادارية وعمومية </v>
      </c>
      <c r="E808" s="132"/>
      <c r="F808" s="133">
        <v>1625</v>
      </c>
      <c r="G808" s="133"/>
      <c r="H808" s="134">
        <f t="shared" si="37"/>
        <v>1625</v>
      </c>
      <c r="I808" s="134">
        <f t="shared" si="37"/>
        <v>0</v>
      </c>
      <c r="J808" s="134">
        <f t="shared" si="36"/>
        <v>1625</v>
      </c>
      <c r="K808" s="135"/>
      <c r="L808" s="136" t="str">
        <f t="shared" si="38"/>
        <v>مدين</v>
      </c>
      <c r="M808" s="137" t="str">
        <f>IF(ISERROR(VLOOKUP(C808,'[1]خريطة الحسابات'!_xlnm.Print_Area,4,FALSE))," ",(VLOOKUP(C808,'[1]خريطة الحسابات'!_xlnm.Print_Area,4,FALSE)))</f>
        <v xml:space="preserve">تكاليف ادارية وعمومية </v>
      </c>
      <c r="N808" s="138" t="str">
        <f>IF(ISERROR(VLOOKUP(C808,'[1]خريطة الحسابات'!_xlnm.Print_Area,5,FALSE))," ",(VLOOKUP(C808,'[1]خريطة الحسابات'!_xlnm.Print_Area,5,FALSE)))</f>
        <v xml:space="preserve">مصروفات </v>
      </c>
      <c r="O808" s="139" t="s">
        <v>1665</v>
      </c>
      <c r="P808" s="139" t="s">
        <v>1664</v>
      </c>
    </row>
    <row r="809" spans="1:16">
      <c r="A809" s="104">
        <v>53</v>
      </c>
      <c r="B809" s="131">
        <v>46036</v>
      </c>
      <c r="C809" s="141">
        <v>99</v>
      </c>
      <c r="D809" s="140" t="str">
        <f>IF(ISERROR(VLOOKUP(C809,'[1]خريطة الحسابات'!_xlnm.Print_Area,3,FALSE))," ",(VLOOKUP(C809,'[1]خريطة الحسابات'!_xlnm.Print_Area,3,FALSE)))</f>
        <v xml:space="preserve">تكاليف ادارية وعمومية </v>
      </c>
      <c r="E809" s="132"/>
      <c r="F809" s="133">
        <v>3000</v>
      </c>
      <c r="G809" s="133"/>
      <c r="H809" s="134">
        <f t="shared" si="37"/>
        <v>3000</v>
      </c>
      <c r="I809" s="134">
        <f t="shared" si="37"/>
        <v>0</v>
      </c>
      <c r="J809" s="134">
        <f t="shared" si="36"/>
        <v>3000</v>
      </c>
      <c r="K809" s="135"/>
      <c r="L809" s="136" t="str">
        <f t="shared" si="38"/>
        <v>مدين</v>
      </c>
      <c r="M809" s="137" t="str">
        <f>IF(ISERROR(VLOOKUP(C809,'[1]خريطة الحسابات'!_xlnm.Print_Area,4,FALSE))," ",(VLOOKUP(C809,'[1]خريطة الحسابات'!_xlnm.Print_Area,4,FALSE)))</f>
        <v xml:space="preserve">تكاليف ادارية وعمومية </v>
      </c>
      <c r="N809" s="138" t="str">
        <f>IF(ISERROR(VLOOKUP(C809,'[1]خريطة الحسابات'!_xlnm.Print_Area,5,FALSE))," ",(VLOOKUP(C809,'[1]خريطة الحسابات'!_xlnm.Print_Area,5,FALSE)))</f>
        <v xml:space="preserve">مصروفات </v>
      </c>
      <c r="O809" s="139" t="s">
        <v>1666</v>
      </c>
      <c r="P809" s="139" t="s">
        <v>1664</v>
      </c>
    </row>
    <row r="810" spans="1:16">
      <c r="A810" s="104">
        <v>53</v>
      </c>
      <c r="B810" s="131">
        <v>46037</v>
      </c>
      <c r="C810" s="141">
        <v>99</v>
      </c>
      <c r="D810" s="140" t="str">
        <f>IF(ISERROR(VLOOKUP(C810,'[1]خريطة الحسابات'!_xlnm.Print_Area,3,FALSE))," ",(VLOOKUP(C810,'[1]خريطة الحسابات'!_xlnm.Print_Area,3,FALSE)))</f>
        <v xml:space="preserve">تكاليف ادارية وعمومية </v>
      </c>
      <c r="E810" s="132"/>
      <c r="F810" s="133">
        <v>33</v>
      </c>
      <c r="G810" s="133"/>
      <c r="H810" s="134">
        <f t="shared" si="37"/>
        <v>33</v>
      </c>
      <c r="I810" s="134">
        <f t="shared" si="37"/>
        <v>0</v>
      </c>
      <c r="J810" s="134">
        <f t="shared" si="36"/>
        <v>33</v>
      </c>
      <c r="K810" s="135"/>
      <c r="L810" s="136" t="str">
        <f t="shared" si="38"/>
        <v>مدين</v>
      </c>
      <c r="M810" s="137" t="str">
        <f>IF(ISERROR(VLOOKUP(C810,'[1]خريطة الحسابات'!_xlnm.Print_Area,4,FALSE))," ",(VLOOKUP(C810,'[1]خريطة الحسابات'!_xlnm.Print_Area,4,FALSE)))</f>
        <v xml:space="preserve">تكاليف ادارية وعمومية </v>
      </c>
      <c r="N810" s="138" t="str">
        <f>IF(ISERROR(VLOOKUP(C810,'[1]خريطة الحسابات'!_xlnm.Print_Area,5,FALSE))," ",(VLOOKUP(C810,'[1]خريطة الحسابات'!_xlnm.Print_Area,5,FALSE)))</f>
        <v xml:space="preserve">مصروفات </v>
      </c>
      <c r="O810" s="139" t="s">
        <v>1667</v>
      </c>
      <c r="P810" s="139" t="s">
        <v>1664</v>
      </c>
    </row>
    <row r="811" spans="1:16">
      <c r="A811" s="104">
        <v>53</v>
      </c>
      <c r="B811" s="131">
        <v>46042</v>
      </c>
      <c r="C811" s="141">
        <v>99</v>
      </c>
      <c r="D811" s="140" t="str">
        <f>IF(ISERROR(VLOOKUP(C811,'[1]خريطة الحسابات'!_xlnm.Print_Area,3,FALSE))," ",(VLOOKUP(C811,'[1]خريطة الحسابات'!_xlnm.Print_Area,3,FALSE)))</f>
        <v xml:space="preserve">تكاليف ادارية وعمومية </v>
      </c>
      <c r="E811" s="132"/>
      <c r="F811" s="133">
        <v>100</v>
      </c>
      <c r="G811" s="133"/>
      <c r="H811" s="134">
        <f t="shared" si="37"/>
        <v>100</v>
      </c>
      <c r="I811" s="134">
        <f t="shared" si="37"/>
        <v>0</v>
      </c>
      <c r="J811" s="134">
        <f t="shared" si="36"/>
        <v>100</v>
      </c>
      <c r="K811" s="135"/>
      <c r="L811" s="136" t="str">
        <f t="shared" si="38"/>
        <v>مدين</v>
      </c>
      <c r="M811" s="137" t="str">
        <f>IF(ISERROR(VLOOKUP(C811,'[1]خريطة الحسابات'!_xlnm.Print_Area,4,FALSE))," ",(VLOOKUP(C811,'[1]خريطة الحسابات'!_xlnm.Print_Area,4,FALSE)))</f>
        <v xml:space="preserve">تكاليف ادارية وعمومية </v>
      </c>
      <c r="N811" s="138" t="str">
        <f>IF(ISERROR(VLOOKUP(C811,'[1]خريطة الحسابات'!_xlnm.Print_Area,5,FALSE))," ",(VLOOKUP(C811,'[1]خريطة الحسابات'!_xlnm.Print_Area,5,FALSE)))</f>
        <v xml:space="preserve">مصروفات </v>
      </c>
      <c r="O811" s="139" t="s">
        <v>1668</v>
      </c>
      <c r="P811" s="139" t="s">
        <v>1664</v>
      </c>
    </row>
    <row r="812" spans="1:16">
      <c r="A812" s="104">
        <v>53</v>
      </c>
      <c r="B812" s="131">
        <v>46044</v>
      </c>
      <c r="C812" s="141">
        <v>99</v>
      </c>
      <c r="D812" s="140" t="str">
        <f>IF(ISERROR(VLOOKUP(C812,'[1]خريطة الحسابات'!_xlnm.Print_Area,3,FALSE))," ",(VLOOKUP(C812,'[1]خريطة الحسابات'!_xlnm.Print_Area,3,FALSE)))</f>
        <v xml:space="preserve">تكاليف ادارية وعمومية </v>
      </c>
      <c r="E812" s="132"/>
      <c r="F812" s="133">
        <v>2350</v>
      </c>
      <c r="G812" s="133"/>
      <c r="H812" s="134">
        <f t="shared" si="37"/>
        <v>2350</v>
      </c>
      <c r="I812" s="134">
        <f t="shared" si="37"/>
        <v>0</v>
      </c>
      <c r="J812" s="134">
        <f t="shared" si="36"/>
        <v>2350</v>
      </c>
      <c r="K812" s="135"/>
      <c r="L812" s="136" t="str">
        <f t="shared" si="38"/>
        <v>مدين</v>
      </c>
      <c r="M812" s="137" t="str">
        <f>IF(ISERROR(VLOOKUP(C812,'[1]خريطة الحسابات'!_xlnm.Print_Area,4,FALSE))," ",(VLOOKUP(C812,'[1]خريطة الحسابات'!_xlnm.Print_Area,4,FALSE)))</f>
        <v xml:space="preserve">تكاليف ادارية وعمومية </v>
      </c>
      <c r="N812" s="138" t="str">
        <f>IF(ISERROR(VLOOKUP(C812,'[1]خريطة الحسابات'!_xlnm.Print_Area,5,FALSE))," ",(VLOOKUP(C812,'[1]خريطة الحسابات'!_xlnm.Print_Area,5,FALSE)))</f>
        <v xml:space="preserve">مصروفات </v>
      </c>
      <c r="O812" s="139" t="s">
        <v>1669</v>
      </c>
      <c r="P812" s="139" t="s">
        <v>1664</v>
      </c>
    </row>
    <row r="813" spans="1:16">
      <c r="A813" s="104">
        <v>53</v>
      </c>
      <c r="B813" s="131">
        <v>46046</v>
      </c>
      <c r="C813" s="141">
        <v>99</v>
      </c>
      <c r="D813" s="140" t="str">
        <f>IF(ISERROR(VLOOKUP(C813,'[1]خريطة الحسابات'!_xlnm.Print_Area,3,FALSE))," ",(VLOOKUP(C813,'[1]خريطة الحسابات'!_xlnm.Print_Area,3,FALSE)))</f>
        <v xml:space="preserve">تكاليف ادارية وعمومية </v>
      </c>
      <c r="E813" s="132"/>
      <c r="F813" s="133">
        <v>3000</v>
      </c>
      <c r="G813" s="133"/>
      <c r="H813" s="134">
        <f t="shared" si="37"/>
        <v>3000</v>
      </c>
      <c r="I813" s="134">
        <f t="shared" si="37"/>
        <v>0</v>
      </c>
      <c r="J813" s="134">
        <f t="shared" si="36"/>
        <v>3000</v>
      </c>
      <c r="K813" s="135"/>
      <c r="L813" s="136" t="str">
        <f t="shared" si="38"/>
        <v>مدين</v>
      </c>
      <c r="M813" s="137" t="str">
        <f>IF(ISERROR(VLOOKUP(C813,'[1]خريطة الحسابات'!_xlnm.Print_Area,4,FALSE))," ",(VLOOKUP(C813,'[1]خريطة الحسابات'!_xlnm.Print_Area,4,FALSE)))</f>
        <v xml:space="preserve">تكاليف ادارية وعمومية </v>
      </c>
      <c r="N813" s="138" t="str">
        <f>IF(ISERROR(VLOOKUP(C813,'[1]خريطة الحسابات'!_xlnm.Print_Area,5,FALSE))," ",(VLOOKUP(C813,'[1]خريطة الحسابات'!_xlnm.Print_Area,5,FALSE)))</f>
        <v xml:space="preserve">مصروفات </v>
      </c>
      <c r="O813" s="139" t="s">
        <v>1670</v>
      </c>
      <c r="P813" s="139" t="s">
        <v>1664</v>
      </c>
    </row>
    <row r="814" spans="1:16">
      <c r="A814" s="104">
        <v>53</v>
      </c>
      <c r="B814" s="131">
        <v>46047</v>
      </c>
      <c r="C814" s="141">
        <v>99</v>
      </c>
      <c r="D814" s="140" t="str">
        <f>IF(ISERROR(VLOOKUP(C814,'[1]خريطة الحسابات'!_xlnm.Print_Area,3,FALSE))," ",(VLOOKUP(C814,'[1]خريطة الحسابات'!_xlnm.Print_Area,3,FALSE)))</f>
        <v xml:space="preserve">تكاليف ادارية وعمومية </v>
      </c>
      <c r="E814" s="132"/>
      <c r="F814" s="133">
        <v>4880</v>
      </c>
      <c r="G814" s="133"/>
      <c r="H814" s="134">
        <f t="shared" si="37"/>
        <v>4880</v>
      </c>
      <c r="I814" s="134">
        <f t="shared" si="37"/>
        <v>0</v>
      </c>
      <c r="J814" s="134">
        <f t="shared" si="36"/>
        <v>4880</v>
      </c>
      <c r="K814" s="135"/>
      <c r="L814" s="136" t="str">
        <f t="shared" si="38"/>
        <v>مدين</v>
      </c>
      <c r="M814" s="137" t="str">
        <f>IF(ISERROR(VLOOKUP(C814,'[1]خريطة الحسابات'!_xlnm.Print_Area,4,FALSE))," ",(VLOOKUP(C814,'[1]خريطة الحسابات'!_xlnm.Print_Area,4,FALSE)))</f>
        <v xml:space="preserve">تكاليف ادارية وعمومية </v>
      </c>
      <c r="N814" s="138" t="str">
        <f>IF(ISERROR(VLOOKUP(C814,'[1]خريطة الحسابات'!_xlnm.Print_Area,5,FALSE))," ",(VLOOKUP(C814,'[1]خريطة الحسابات'!_xlnm.Print_Area,5,FALSE)))</f>
        <v xml:space="preserve">مصروفات </v>
      </c>
      <c r="O814" s="139" t="s">
        <v>1671</v>
      </c>
      <c r="P814" s="139" t="s">
        <v>1664</v>
      </c>
    </row>
    <row r="815" spans="1:16">
      <c r="A815" s="104">
        <v>53</v>
      </c>
      <c r="B815" s="131">
        <v>46049</v>
      </c>
      <c r="C815" s="141">
        <v>99</v>
      </c>
      <c r="D815" s="140" t="str">
        <f>IF(ISERROR(VLOOKUP(C815,'[1]خريطة الحسابات'!_xlnm.Print_Area,3,FALSE))," ",(VLOOKUP(C815,'[1]خريطة الحسابات'!_xlnm.Print_Area,3,FALSE)))</f>
        <v xml:space="preserve">تكاليف ادارية وعمومية </v>
      </c>
      <c r="E815" s="132"/>
      <c r="F815" s="133">
        <v>54</v>
      </c>
      <c r="G815" s="133"/>
      <c r="H815" s="134">
        <f t="shared" si="37"/>
        <v>54</v>
      </c>
      <c r="I815" s="134">
        <f t="shared" si="37"/>
        <v>0</v>
      </c>
      <c r="J815" s="134">
        <f t="shared" si="36"/>
        <v>54</v>
      </c>
      <c r="K815" s="135"/>
      <c r="L815" s="136" t="str">
        <f t="shared" si="38"/>
        <v>مدين</v>
      </c>
      <c r="M815" s="137" t="str">
        <f>IF(ISERROR(VLOOKUP(C815,'[1]خريطة الحسابات'!_xlnm.Print_Area,4,FALSE))," ",(VLOOKUP(C815,'[1]خريطة الحسابات'!_xlnm.Print_Area,4,FALSE)))</f>
        <v xml:space="preserve">تكاليف ادارية وعمومية </v>
      </c>
      <c r="N815" s="138" t="str">
        <f>IF(ISERROR(VLOOKUP(C815,'[1]خريطة الحسابات'!_xlnm.Print_Area,5,FALSE))," ",(VLOOKUP(C815,'[1]خريطة الحسابات'!_xlnm.Print_Area,5,FALSE)))</f>
        <v xml:space="preserve">مصروفات </v>
      </c>
      <c r="O815" s="139" t="s">
        <v>1672</v>
      </c>
      <c r="P815" s="139" t="s">
        <v>1664</v>
      </c>
    </row>
    <row r="816" spans="1:16">
      <c r="A816" s="104">
        <v>53</v>
      </c>
      <c r="B816" s="131">
        <v>46050</v>
      </c>
      <c r="C816" s="141">
        <v>99</v>
      </c>
      <c r="D816" s="140" t="str">
        <f>IF(ISERROR(VLOOKUP(C816,'[1]خريطة الحسابات'!_xlnm.Print_Area,3,FALSE))," ",(VLOOKUP(C816,'[1]خريطة الحسابات'!_xlnm.Print_Area,3,FALSE)))</f>
        <v xml:space="preserve">تكاليف ادارية وعمومية </v>
      </c>
      <c r="E816" s="132"/>
      <c r="F816" s="133">
        <v>975</v>
      </c>
      <c r="G816" s="133"/>
      <c r="H816" s="134">
        <f t="shared" si="37"/>
        <v>975</v>
      </c>
      <c r="I816" s="134">
        <f t="shared" si="37"/>
        <v>0</v>
      </c>
      <c r="J816" s="134">
        <f t="shared" si="36"/>
        <v>975</v>
      </c>
      <c r="K816" s="135"/>
      <c r="L816" s="136" t="str">
        <f t="shared" si="38"/>
        <v>مدين</v>
      </c>
      <c r="M816" s="137" t="str">
        <f>IF(ISERROR(VLOOKUP(C816,'[1]خريطة الحسابات'!_xlnm.Print_Area,4,FALSE))," ",(VLOOKUP(C816,'[1]خريطة الحسابات'!_xlnm.Print_Area,4,FALSE)))</f>
        <v xml:space="preserve">تكاليف ادارية وعمومية </v>
      </c>
      <c r="N816" s="138" t="str">
        <f>IF(ISERROR(VLOOKUP(C816,'[1]خريطة الحسابات'!_xlnm.Print_Area,5,FALSE))," ",(VLOOKUP(C816,'[1]خريطة الحسابات'!_xlnm.Print_Area,5,FALSE)))</f>
        <v xml:space="preserve">مصروفات </v>
      </c>
      <c r="O816" s="139" t="s">
        <v>1673</v>
      </c>
      <c r="P816" s="139" t="s">
        <v>1664</v>
      </c>
    </row>
    <row r="817" spans="1:16">
      <c r="A817" s="104">
        <v>53</v>
      </c>
      <c r="B817" s="131">
        <v>46062</v>
      </c>
      <c r="C817" s="141">
        <v>99</v>
      </c>
      <c r="D817" s="140" t="str">
        <f>IF(ISERROR(VLOOKUP(C817,'[1]خريطة الحسابات'!_xlnm.Print_Area,3,FALSE))," ",(VLOOKUP(C817,'[1]خريطة الحسابات'!_xlnm.Print_Area,3,FALSE)))</f>
        <v xml:space="preserve">تكاليف ادارية وعمومية </v>
      </c>
      <c r="E817" s="132"/>
      <c r="F817" s="133">
        <v>150</v>
      </c>
      <c r="G817" s="133"/>
      <c r="H817" s="134">
        <f t="shared" si="37"/>
        <v>150</v>
      </c>
      <c r="I817" s="134">
        <f t="shared" si="37"/>
        <v>0</v>
      </c>
      <c r="J817" s="134">
        <f t="shared" si="36"/>
        <v>150</v>
      </c>
      <c r="K817" s="135"/>
      <c r="L817" s="136" t="str">
        <f t="shared" si="38"/>
        <v>مدين</v>
      </c>
      <c r="M817" s="137" t="str">
        <f>IF(ISERROR(VLOOKUP(C817,'[1]خريطة الحسابات'!_xlnm.Print_Area,4,FALSE))," ",(VLOOKUP(C817,'[1]خريطة الحسابات'!_xlnm.Print_Area,4,FALSE)))</f>
        <v xml:space="preserve">تكاليف ادارية وعمومية </v>
      </c>
      <c r="N817" s="138" t="str">
        <f>IF(ISERROR(VLOOKUP(C817,'[1]خريطة الحسابات'!_xlnm.Print_Area,5,FALSE))," ",(VLOOKUP(C817,'[1]خريطة الحسابات'!_xlnm.Print_Area,5,FALSE)))</f>
        <v xml:space="preserve">مصروفات </v>
      </c>
      <c r="O817" s="139" t="s">
        <v>1674</v>
      </c>
      <c r="P817" s="139" t="s">
        <v>1664</v>
      </c>
    </row>
    <row r="818" spans="1:16">
      <c r="A818" s="104">
        <v>53</v>
      </c>
      <c r="B818" s="131">
        <v>46062</v>
      </c>
      <c r="C818" s="141">
        <v>99</v>
      </c>
      <c r="D818" s="140" t="str">
        <f>IF(ISERROR(VLOOKUP(C818,'[1]خريطة الحسابات'!_xlnm.Print_Area,3,FALSE))," ",(VLOOKUP(C818,'[1]خريطة الحسابات'!_xlnm.Print_Area,3,FALSE)))</f>
        <v xml:space="preserve">تكاليف ادارية وعمومية </v>
      </c>
      <c r="E818" s="132"/>
      <c r="F818" s="133">
        <v>2980</v>
      </c>
      <c r="G818" s="133"/>
      <c r="H818" s="134">
        <f t="shared" si="37"/>
        <v>2980</v>
      </c>
      <c r="I818" s="134">
        <f t="shared" si="37"/>
        <v>0</v>
      </c>
      <c r="J818" s="134">
        <f t="shared" si="36"/>
        <v>2980</v>
      </c>
      <c r="K818" s="135"/>
      <c r="L818" s="136" t="str">
        <f t="shared" si="38"/>
        <v>مدين</v>
      </c>
      <c r="M818" s="137" t="str">
        <f>IF(ISERROR(VLOOKUP(C818,'[1]خريطة الحسابات'!_xlnm.Print_Area,4,FALSE))," ",(VLOOKUP(C818,'[1]خريطة الحسابات'!_xlnm.Print_Area,4,FALSE)))</f>
        <v xml:space="preserve">تكاليف ادارية وعمومية </v>
      </c>
      <c r="N818" s="138" t="str">
        <f>IF(ISERROR(VLOOKUP(C818,'[1]خريطة الحسابات'!_xlnm.Print_Area,5,FALSE))," ",(VLOOKUP(C818,'[1]خريطة الحسابات'!_xlnm.Print_Area,5,FALSE)))</f>
        <v xml:space="preserve">مصروفات </v>
      </c>
      <c r="O818" s="139" t="s">
        <v>1675</v>
      </c>
      <c r="P818" s="139" t="s">
        <v>1664</v>
      </c>
    </row>
    <row r="819" spans="1:16">
      <c r="A819" s="104">
        <v>53</v>
      </c>
      <c r="B819" s="131">
        <v>46063</v>
      </c>
      <c r="C819" s="141">
        <v>99</v>
      </c>
      <c r="D819" s="140" t="str">
        <f>IF(ISERROR(VLOOKUP(C819,'[1]خريطة الحسابات'!_xlnm.Print_Area,3,FALSE))," ",(VLOOKUP(C819,'[1]خريطة الحسابات'!_xlnm.Print_Area,3,FALSE)))</f>
        <v xml:space="preserve">تكاليف ادارية وعمومية </v>
      </c>
      <c r="E819" s="132"/>
      <c r="F819" s="133">
        <v>45</v>
      </c>
      <c r="G819" s="133"/>
      <c r="H819" s="134">
        <f t="shared" si="37"/>
        <v>45</v>
      </c>
      <c r="I819" s="134">
        <f t="shared" si="37"/>
        <v>0</v>
      </c>
      <c r="J819" s="134">
        <f t="shared" si="36"/>
        <v>45</v>
      </c>
      <c r="K819" s="135"/>
      <c r="L819" s="136" t="str">
        <f t="shared" si="38"/>
        <v>مدين</v>
      </c>
      <c r="M819" s="137" t="str">
        <f>IF(ISERROR(VLOOKUP(C819,'[1]خريطة الحسابات'!_xlnm.Print_Area,4,FALSE))," ",(VLOOKUP(C819,'[1]خريطة الحسابات'!_xlnm.Print_Area,4,FALSE)))</f>
        <v xml:space="preserve">تكاليف ادارية وعمومية </v>
      </c>
      <c r="N819" s="138" t="str">
        <f>IF(ISERROR(VLOOKUP(C819,'[1]خريطة الحسابات'!_xlnm.Print_Area,5,FALSE))," ",(VLOOKUP(C819,'[1]خريطة الحسابات'!_xlnm.Print_Area,5,FALSE)))</f>
        <v xml:space="preserve">مصروفات </v>
      </c>
      <c r="O819" s="139" t="s">
        <v>1676</v>
      </c>
      <c r="P819" s="139" t="s">
        <v>1664</v>
      </c>
    </row>
    <row r="820" spans="1:16">
      <c r="A820" s="104">
        <v>53</v>
      </c>
      <c r="B820" s="131">
        <v>46064</v>
      </c>
      <c r="C820" s="141">
        <v>99</v>
      </c>
      <c r="D820" s="140" t="str">
        <f>IF(ISERROR(VLOOKUP(C820,'[1]خريطة الحسابات'!_xlnm.Print_Area,3,FALSE))," ",(VLOOKUP(C820,'[1]خريطة الحسابات'!_xlnm.Print_Area,3,FALSE)))</f>
        <v xml:space="preserve">تكاليف ادارية وعمومية </v>
      </c>
      <c r="E820" s="132"/>
      <c r="F820" s="133">
        <v>1000</v>
      </c>
      <c r="G820" s="133"/>
      <c r="H820" s="134">
        <f t="shared" si="37"/>
        <v>1000</v>
      </c>
      <c r="I820" s="134">
        <f t="shared" si="37"/>
        <v>0</v>
      </c>
      <c r="J820" s="134">
        <f t="shared" si="36"/>
        <v>1000</v>
      </c>
      <c r="K820" s="135"/>
      <c r="L820" s="136" t="str">
        <f t="shared" si="38"/>
        <v>مدين</v>
      </c>
      <c r="M820" s="137" t="str">
        <f>IF(ISERROR(VLOOKUP(C820,'[1]خريطة الحسابات'!_xlnm.Print_Area,4,FALSE))," ",(VLOOKUP(C820,'[1]خريطة الحسابات'!_xlnm.Print_Area,4,FALSE)))</f>
        <v xml:space="preserve">تكاليف ادارية وعمومية </v>
      </c>
      <c r="N820" s="138" t="str">
        <f>IF(ISERROR(VLOOKUP(C820,'[1]خريطة الحسابات'!_xlnm.Print_Area,5,FALSE))," ",(VLOOKUP(C820,'[1]خريطة الحسابات'!_xlnm.Print_Area,5,FALSE)))</f>
        <v xml:space="preserve">مصروفات </v>
      </c>
      <c r="O820" s="139" t="s">
        <v>1677</v>
      </c>
      <c r="P820" s="139" t="s">
        <v>1664</v>
      </c>
    </row>
    <row r="821" spans="1:16">
      <c r="A821" s="104">
        <v>53</v>
      </c>
      <c r="B821" s="131">
        <v>46064</v>
      </c>
      <c r="C821" s="141">
        <v>99</v>
      </c>
      <c r="D821" s="140" t="str">
        <f>IF(ISERROR(VLOOKUP(C821,'[1]خريطة الحسابات'!_xlnm.Print_Area,3,FALSE))," ",(VLOOKUP(C821,'[1]خريطة الحسابات'!_xlnm.Print_Area,3,FALSE)))</f>
        <v xml:space="preserve">تكاليف ادارية وعمومية </v>
      </c>
      <c r="E821" s="132"/>
      <c r="F821" s="133">
        <v>2000</v>
      </c>
      <c r="G821" s="133"/>
      <c r="H821" s="134">
        <f t="shared" si="37"/>
        <v>2000</v>
      </c>
      <c r="I821" s="134">
        <f t="shared" si="37"/>
        <v>0</v>
      </c>
      <c r="J821" s="134">
        <f t="shared" si="36"/>
        <v>2000</v>
      </c>
      <c r="K821" s="135"/>
      <c r="L821" s="136" t="str">
        <f t="shared" si="38"/>
        <v>مدين</v>
      </c>
      <c r="M821" s="137" t="str">
        <f>IF(ISERROR(VLOOKUP(C821,'[1]خريطة الحسابات'!_xlnm.Print_Area,4,FALSE))," ",(VLOOKUP(C821,'[1]خريطة الحسابات'!_xlnm.Print_Area,4,FALSE)))</f>
        <v xml:space="preserve">تكاليف ادارية وعمومية </v>
      </c>
      <c r="N821" s="138" t="str">
        <f>IF(ISERROR(VLOOKUP(C821,'[1]خريطة الحسابات'!_xlnm.Print_Area,5,FALSE))," ",(VLOOKUP(C821,'[1]خريطة الحسابات'!_xlnm.Print_Area,5,FALSE)))</f>
        <v xml:space="preserve">مصروفات </v>
      </c>
      <c r="O821" s="139" t="s">
        <v>1678</v>
      </c>
      <c r="P821" s="139" t="s">
        <v>1664</v>
      </c>
    </row>
    <row r="822" spans="1:16">
      <c r="A822" s="104">
        <v>53</v>
      </c>
      <c r="B822" s="131">
        <v>46068</v>
      </c>
      <c r="C822" s="141">
        <v>99</v>
      </c>
      <c r="D822" s="140" t="str">
        <f>IF(ISERROR(VLOOKUP(C822,'[1]خريطة الحسابات'!_xlnm.Print_Area,3,FALSE))," ",(VLOOKUP(C822,'[1]خريطة الحسابات'!_xlnm.Print_Area,3,FALSE)))</f>
        <v xml:space="preserve">تكاليف ادارية وعمومية </v>
      </c>
      <c r="E822" s="132"/>
      <c r="F822" s="133">
        <v>110</v>
      </c>
      <c r="G822" s="133"/>
      <c r="H822" s="134">
        <f t="shared" si="37"/>
        <v>110</v>
      </c>
      <c r="I822" s="134">
        <f t="shared" si="37"/>
        <v>0</v>
      </c>
      <c r="J822" s="134">
        <f t="shared" si="36"/>
        <v>110</v>
      </c>
      <c r="K822" s="135"/>
      <c r="L822" s="136" t="str">
        <f t="shared" si="38"/>
        <v>مدين</v>
      </c>
      <c r="M822" s="137" t="str">
        <f>IF(ISERROR(VLOOKUP(C822,'[1]خريطة الحسابات'!_xlnm.Print_Area,4,FALSE))," ",(VLOOKUP(C822,'[1]خريطة الحسابات'!_xlnm.Print_Area,4,FALSE)))</f>
        <v xml:space="preserve">تكاليف ادارية وعمومية </v>
      </c>
      <c r="N822" s="138" t="str">
        <f>IF(ISERROR(VLOOKUP(C822,'[1]خريطة الحسابات'!_xlnm.Print_Area,5,FALSE))," ",(VLOOKUP(C822,'[1]خريطة الحسابات'!_xlnm.Print_Area,5,FALSE)))</f>
        <v xml:space="preserve">مصروفات </v>
      </c>
      <c r="O822" s="139" t="s">
        <v>1679</v>
      </c>
      <c r="P822" s="139" t="s">
        <v>1664</v>
      </c>
    </row>
    <row r="823" spans="1:16">
      <c r="A823" s="104">
        <v>53</v>
      </c>
      <c r="B823" s="131">
        <v>46069</v>
      </c>
      <c r="C823" s="141">
        <v>99</v>
      </c>
      <c r="D823" s="140" t="str">
        <f>IF(ISERROR(VLOOKUP(C823,'[1]خريطة الحسابات'!_xlnm.Print_Area,3,FALSE))," ",(VLOOKUP(C823,'[1]خريطة الحسابات'!_xlnm.Print_Area,3,FALSE)))</f>
        <v xml:space="preserve">تكاليف ادارية وعمومية </v>
      </c>
      <c r="E823" s="132"/>
      <c r="F823" s="133">
        <v>300</v>
      </c>
      <c r="G823" s="133"/>
      <c r="H823" s="134">
        <f t="shared" si="37"/>
        <v>300</v>
      </c>
      <c r="I823" s="134">
        <f t="shared" si="37"/>
        <v>0</v>
      </c>
      <c r="J823" s="134">
        <f t="shared" si="36"/>
        <v>300</v>
      </c>
      <c r="K823" s="135"/>
      <c r="L823" s="136" t="str">
        <f t="shared" si="38"/>
        <v>مدين</v>
      </c>
      <c r="M823" s="137" t="str">
        <f>IF(ISERROR(VLOOKUP(C823,'[1]خريطة الحسابات'!_xlnm.Print_Area,4,FALSE))," ",(VLOOKUP(C823,'[1]خريطة الحسابات'!_xlnm.Print_Area,4,FALSE)))</f>
        <v xml:space="preserve">تكاليف ادارية وعمومية </v>
      </c>
      <c r="N823" s="138" t="str">
        <f>IF(ISERROR(VLOOKUP(C823,'[1]خريطة الحسابات'!_xlnm.Print_Area,5,FALSE))," ",(VLOOKUP(C823,'[1]خريطة الحسابات'!_xlnm.Print_Area,5,FALSE)))</f>
        <v xml:space="preserve">مصروفات </v>
      </c>
      <c r="O823" s="139" t="s">
        <v>1680</v>
      </c>
      <c r="P823" s="139" t="s">
        <v>1664</v>
      </c>
    </row>
    <row r="824" spans="1:16">
      <c r="A824" s="104">
        <v>53</v>
      </c>
      <c r="B824" s="131">
        <v>46069</v>
      </c>
      <c r="C824" s="141">
        <v>99</v>
      </c>
      <c r="D824" s="140" t="str">
        <f>IF(ISERROR(VLOOKUP(C824,'[1]خريطة الحسابات'!_xlnm.Print_Area,3,FALSE))," ",(VLOOKUP(C824,'[1]خريطة الحسابات'!_xlnm.Print_Area,3,FALSE)))</f>
        <v xml:space="preserve">تكاليف ادارية وعمومية </v>
      </c>
      <c r="E824" s="132"/>
      <c r="F824" s="133">
        <v>610</v>
      </c>
      <c r="G824" s="133"/>
      <c r="H824" s="134">
        <f t="shared" si="37"/>
        <v>610</v>
      </c>
      <c r="I824" s="134">
        <f t="shared" si="37"/>
        <v>0</v>
      </c>
      <c r="J824" s="134">
        <f t="shared" si="36"/>
        <v>610</v>
      </c>
      <c r="K824" s="135"/>
      <c r="L824" s="136" t="str">
        <f t="shared" si="38"/>
        <v>مدين</v>
      </c>
      <c r="M824" s="137" t="str">
        <f>IF(ISERROR(VLOOKUP(C824,'[1]خريطة الحسابات'!_xlnm.Print_Area,4,FALSE))," ",(VLOOKUP(C824,'[1]خريطة الحسابات'!_xlnm.Print_Area,4,FALSE)))</f>
        <v xml:space="preserve">تكاليف ادارية وعمومية </v>
      </c>
      <c r="N824" s="138" t="str">
        <f>IF(ISERROR(VLOOKUP(C824,'[1]خريطة الحسابات'!_xlnm.Print_Area,5,FALSE))," ",(VLOOKUP(C824,'[1]خريطة الحسابات'!_xlnm.Print_Area,5,FALSE)))</f>
        <v xml:space="preserve">مصروفات </v>
      </c>
      <c r="O824" s="139" t="s">
        <v>1681</v>
      </c>
      <c r="P824" s="139" t="s">
        <v>1664</v>
      </c>
    </row>
    <row r="825" spans="1:16">
      <c r="A825" s="104">
        <v>53</v>
      </c>
      <c r="B825" s="131">
        <v>46070</v>
      </c>
      <c r="C825" s="141">
        <v>99</v>
      </c>
      <c r="D825" s="140" t="str">
        <f>IF(ISERROR(VLOOKUP(C825,'[1]خريطة الحسابات'!_xlnm.Print_Area,3,FALSE))," ",(VLOOKUP(C825,'[1]خريطة الحسابات'!_xlnm.Print_Area,3,FALSE)))</f>
        <v xml:space="preserve">تكاليف ادارية وعمومية </v>
      </c>
      <c r="E825" s="132"/>
      <c r="F825" s="133">
        <v>5000</v>
      </c>
      <c r="G825" s="133"/>
      <c r="H825" s="134">
        <f t="shared" si="37"/>
        <v>5000</v>
      </c>
      <c r="I825" s="134">
        <f t="shared" si="37"/>
        <v>0</v>
      </c>
      <c r="J825" s="134">
        <f t="shared" si="36"/>
        <v>5000</v>
      </c>
      <c r="K825" s="135"/>
      <c r="L825" s="136" t="str">
        <f t="shared" si="38"/>
        <v>مدين</v>
      </c>
      <c r="M825" s="137" t="str">
        <f>IF(ISERROR(VLOOKUP(C825,'[1]خريطة الحسابات'!_xlnm.Print_Area,4,FALSE))," ",(VLOOKUP(C825,'[1]خريطة الحسابات'!_xlnm.Print_Area,4,FALSE)))</f>
        <v xml:space="preserve">تكاليف ادارية وعمومية </v>
      </c>
      <c r="N825" s="138" t="str">
        <f>IF(ISERROR(VLOOKUP(C825,'[1]خريطة الحسابات'!_xlnm.Print_Area,5,FALSE))," ",(VLOOKUP(C825,'[1]خريطة الحسابات'!_xlnm.Print_Area,5,FALSE)))</f>
        <v xml:space="preserve">مصروفات </v>
      </c>
      <c r="O825" s="139" t="s">
        <v>1682</v>
      </c>
      <c r="P825" s="139" t="s">
        <v>1664</v>
      </c>
    </row>
    <row r="826" spans="1:16">
      <c r="A826" s="104">
        <v>53</v>
      </c>
      <c r="B826" s="131">
        <v>46071</v>
      </c>
      <c r="C826" s="141">
        <v>99</v>
      </c>
      <c r="D826" s="140" t="str">
        <f>IF(ISERROR(VLOOKUP(C826,'[1]خريطة الحسابات'!_xlnm.Print_Area,3,FALSE))," ",(VLOOKUP(C826,'[1]خريطة الحسابات'!_xlnm.Print_Area,3,FALSE)))</f>
        <v xml:space="preserve">تكاليف ادارية وعمومية </v>
      </c>
      <c r="E826" s="132"/>
      <c r="F826" s="133">
        <v>500</v>
      </c>
      <c r="G826" s="133"/>
      <c r="H826" s="134">
        <f t="shared" si="37"/>
        <v>500</v>
      </c>
      <c r="I826" s="134">
        <f t="shared" si="37"/>
        <v>0</v>
      </c>
      <c r="J826" s="134">
        <f t="shared" si="36"/>
        <v>500</v>
      </c>
      <c r="K826" s="135"/>
      <c r="L826" s="136" t="str">
        <f t="shared" si="38"/>
        <v>مدين</v>
      </c>
      <c r="M826" s="137" t="str">
        <f>IF(ISERROR(VLOOKUP(C826,'[1]خريطة الحسابات'!_xlnm.Print_Area,4,FALSE))," ",(VLOOKUP(C826,'[1]خريطة الحسابات'!_xlnm.Print_Area,4,FALSE)))</f>
        <v xml:space="preserve">تكاليف ادارية وعمومية </v>
      </c>
      <c r="N826" s="138" t="str">
        <f>IF(ISERROR(VLOOKUP(C826,'[1]خريطة الحسابات'!_xlnm.Print_Area,5,FALSE))," ",(VLOOKUP(C826,'[1]خريطة الحسابات'!_xlnm.Print_Area,5,FALSE)))</f>
        <v xml:space="preserve">مصروفات </v>
      </c>
      <c r="O826" s="139" t="s">
        <v>1683</v>
      </c>
      <c r="P826" s="139" t="s">
        <v>1684</v>
      </c>
    </row>
    <row r="827" spans="1:16">
      <c r="A827" s="104">
        <v>53</v>
      </c>
      <c r="B827" s="131">
        <v>46077</v>
      </c>
      <c r="C827" s="141">
        <v>99</v>
      </c>
      <c r="D827" s="140" t="str">
        <f>IF(ISERROR(VLOOKUP(C827,'[1]خريطة الحسابات'!_xlnm.Print_Area,3,FALSE))," ",(VLOOKUP(C827,'[1]خريطة الحسابات'!_xlnm.Print_Area,3,FALSE)))</f>
        <v xml:space="preserve">تكاليف ادارية وعمومية </v>
      </c>
      <c r="E827" s="132"/>
      <c r="F827" s="133">
        <v>5400</v>
      </c>
      <c r="G827" s="133"/>
      <c r="H827" s="134">
        <f t="shared" si="37"/>
        <v>5400</v>
      </c>
      <c r="I827" s="134">
        <f t="shared" si="37"/>
        <v>0</v>
      </c>
      <c r="J827" s="134">
        <f t="shared" si="36"/>
        <v>5400</v>
      </c>
      <c r="K827" s="135"/>
      <c r="L827" s="136" t="str">
        <f t="shared" si="38"/>
        <v>مدين</v>
      </c>
      <c r="M827" s="137" t="str">
        <f>IF(ISERROR(VLOOKUP(C827,'[1]خريطة الحسابات'!_xlnm.Print_Area,4,FALSE))," ",(VLOOKUP(C827,'[1]خريطة الحسابات'!_xlnm.Print_Area,4,FALSE)))</f>
        <v xml:space="preserve">تكاليف ادارية وعمومية </v>
      </c>
      <c r="N827" s="138" t="str">
        <f>IF(ISERROR(VLOOKUP(C827,'[1]خريطة الحسابات'!_xlnm.Print_Area,5,FALSE))," ",(VLOOKUP(C827,'[1]خريطة الحسابات'!_xlnm.Print_Area,5,FALSE)))</f>
        <v xml:space="preserve">مصروفات </v>
      </c>
      <c r="O827" s="139" t="s">
        <v>1685</v>
      </c>
      <c r="P827" s="139" t="s">
        <v>1664</v>
      </c>
    </row>
    <row r="828" spans="1:16">
      <c r="A828" s="104">
        <v>53</v>
      </c>
      <c r="B828" s="131">
        <v>46079</v>
      </c>
      <c r="C828" s="141">
        <v>20</v>
      </c>
      <c r="D828" s="140" t="str">
        <f>IF(ISERROR(VLOOKUP(C828,'[1]خريطة الحسابات'!_xlnm.Print_Area,3,FALSE))," ",(VLOOKUP(C828,'[1]خريطة الحسابات'!_xlnm.Print_Area,3,FALSE)))</f>
        <v xml:space="preserve">الخزينة </v>
      </c>
      <c r="E828" s="132"/>
      <c r="F828" s="133">
        <v>0</v>
      </c>
      <c r="G828" s="133"/>
      <c r="H828" s="134">
        <f t="shared" si="37"/>
        <v>0</v>
      </c>
      <c r="I828" s="134">
        <f t="shared" si="37"/>
        <v>0</v>
      </c>
      <c r="J828" s="134">
        <f t="shared" si="36"/>
        <v>0</v>
      </c>
      <c r="K828" s="135"/>
      <c r="L828" s="136" t="str">
        <f t="shared" si="38"/>
        <v/>
      </c>
      <c r="M828" s="137" t="str">
        <f>IF(ISERROR(VLOOKUP(C828,'[1]خريطة الحسابات'!_xlnm.Print_Area,4,FALSE))," ",(VLOOKUP(C828,'[1]خريطة الحسابات'!_xlnm.Print_Area,4,FALSE)))</f>
        <v xml:space="preserve">أصول متداوله -النقدية ومافي حكمها </v>
      </c>
      <c r="N828" s="138" t="str">
        <f>IF(ISERROR(VLOOKUP(C828,'[1]خريطة الحسابات'!_xlnm.Print_Area,5,FALSE))," ",(VLOOKUP(C828,'[1]خريطة الحسابات'!_xlnm.Print_Area,5,FALSE)))</f>
        <v>الاصول</v>
      </c>
      <c r="O828" s="139" t="s">
        <v>1686</v>
      </c>
      <c r="P828" s="139" t="s">
        <v>1664</v>
      </c>
    </row>
    <row r="829" spans="1:16">
      <c r="A829" s="104">
        <v>53</v>
      </c>
      <c r="B829" s="131">
        <v>46085</v>
      </c>
      <c r="C829" s="141">
        <v>99</v>
      </c>
      <c r="D829" s="140" t="str">
        <f>IF(ISERROR(VLOOKUP(C829,'[1]خريطة الحسابات'!_xlnm.Print_Area,3,FALSE))," ",(VLOOKUP(C829,'[1]خريطة الحسابات'!_xlnm.Print_Area,3,FALSE)))</f>
        <v xml:space="preserve">تكاليف ادارية وعمومية </v>
      </c>
      <c r="E829" s="132"/>
      <c r="F829" s="133">
        <v>10000</v>
      </c>
      <c r="G829" s="133"/>
      <c r="H829" s="134">
        <f t="shared" si="37"/>
        <v>10000</v>
      </c>
      <c r="I829" s="134">
        <f t="shared" si="37"/>
        <v>0</v>
      </c>
      <c r="J829" s="134">
        <f t="shared" si="36"/>
        <v>10000</v>
      </c>
      <c r="K829" s="135"/>
      <c r="L829" s="136" t="str">
        <f t="shared" si="38"/>
        <v>مدين</v>
      </c>
      <c r="M829" s="137" t="str">
        <f>IF(ISERROR(VLOOKUP(C829,'[1]خريطة الحسابات'!_xlnm.Print_Area,4,FALSE))," ",(VLOOKUP(C829,'[1]خريطة الحسابات'!_xlnm.Print_Area,4,FALSE)))</f>
        <v xml:space="preserve">تكاليف ادارية وعمومية </v>
      </c>
      <c r="N829" s="138" t="str">
        <f>IF(ISERROR(VLOOKUP(C829,'[1]خريطة الحسابات'!_xlnm.Print_Area,5,FALSE))," ",(VLOOKUP(C829,'[1]خريطة الحسابات'!_xlnm.Print_Area,5,FALSE)))</f>
        <v xml:space="preserve">مصروفات </v>
      </c>
      <c r="O829" s="139" t="s">
        <v>1687</v>
      </c>
      <c r="P829" s="139" t="s">
        <v>1664</v>
      </c>
    </row>
    <row r="830" spans="1:16">
      <c r="A830" s="104">
        <v>53</v>
      </c>
      <c r="B830" s="131">
        <v>46089</v>
      </c>
      <c r="C830" s="141">
        <v>99</v>
      </c>
      <c r="D830" s="140" t="str">
        <f>IF(ISERROR(VLOOKUP(C830,'[1]خريطة الحسابات'!_xlnm.Print_Area,3,FALSE))," ",(VLOOKUP(C830,'[1]خريطة الحسابات'!_xlnm.Print_Area,3,FALSE)))</f>
        <v xml:space="preserve">تكاليف ادارية وعمومية </v>
      </c>
      <c r="E830" s="132"/>
      <c r="F830" s="133">
        <v>150</v>
      </c>
      <c r="G830" s="133"/>
      <c r="H830" s="134">
        <f t="shared" si="37"/>
        <v>150</v>
      </c>
      <c r="I830" s="134">
        <f t="shared" si="37"/>
        <v>0</v>
      </c>
      <c r="J830" s="134">
        <f t="shared" si="36"/>
        <v>150</v>
      </c>
      <c r="K830" s="135"/>
      <c r="L830" s="136" t="str">
        <f t="shared" si="38"/>
        <v>مدين</v>
      </c>
      <c r="M830" s="137" t="str">
        <f>IF(ISERROR(VLOOKUP(C830,'[1]خريطة الحسابات'!_xlnm.Print_Area,4,FALSE))," ",(VLOOKUP(C830,'[1]خريطة الحسابات'!_xlnm.Print_Area,4,FALSE)))</f>
        <v xml:space="preserve">تكاليف ادارية وعمومية </v>
      </c>
      <c r="N830" s="138" t="str">
        <f>IF(ISERROR(VLOOKUP(C830,'[1]خريطة الحسابات'!_xlnm.Print_Area,5,FALSE))," ",(VLOOKUP(C830,'[1]خريطة الحسابات'!_xlnm.Print_Area,5,FALSE)))</f>
        <v xml:space="preserve">مصروفات </v>
      </c>
      <c r="O830" s="139" t="s">
        <v>1674</v>
      </c>
      <c r="P830" s="139" t="s">
        <v>1664</v>
      </c>
    </row>
    <row r="831" spans="1:16">
      <c r="A831" s="104">
        <v>53</v>
      </c>
      <c r="B831" s="131">
        <v>46090</v>
      </c>
      <c r="C831" s="141">
        <v>99</v>
      </c>
      <c r="D831" s="140" t="str">
        <f>IF(ISERROR(VLOOKUP(C831,'[1]خريطة الحسابات'!_xlnm.Print_Area,3,FALSE))," ",(VLOOKUP(C831,'[1]خريطة الحسابات'!_xlnm.Print_Area,3,FALSE)))</f>
        <v xml:space="preserve">تكاليف ادارية وعمومية </v>
      </c>
      <c r="E831" s="132"/>
      <c r="F831" s="133">
        <v>3003</v>
      </c>
      <c r="G831" s="133"/>
      <c r="H831" s="134">
        <f t="shared" si="37"/>
        <v>3003</v>
      </c>
      <c r="I831" s="134">
        <f t="shared" si="37"/>
        <v>0</v>
      </c>
      <c r="J831" s="134">
        <f t="shared" si="36"/>
        <v>3003</v>
      </c>
      <c r="K831" s="135"/>
      <c r="L831" s="136" t="str">
        <f t="shared" si="38"/>
        <v>مدين</v>
      </c>
      <c r="M831" s="137" t="str">
        <f>IF(ISERROR(VLOOKUP(C831,'[1]خريطة الحسابات'!_xlnm.Print_Area,4,FALSE))," ",(VLOOKUP(C831,'[1]خريطة الحسابات'!_xlnm.Print_Area,4,FALSE)))</f>
        <v xml:space="preserve">تكاليف ادارية وعمومية </v>
      </c>
      <c r="N831" s="138" t="str">
        <f>IF(ISERROR(VLOOKUP(C831,'[1]خريطة الحسابات'!_xlnm.Print_Area,5,FALSE))," ",(VLOOKUP(C831,'[1]خريطة الحسابات'!_xlnm.Print_Area,5,FALSE)))</f>
        <v xml:space="preserve">مصروفات </v>
      </c>
      <c r="O831" s="139" t="s">
        <v>1688</v>
      </c>
      <c r="P831" s="139" t="s">
        <v>1664</v>
      </c>
    </row>
    <row r="832" spans="1:16">
      <c r="A832" s="104">
        <v>53</v>
      </c>
      <c r="B832" s="131">
        <v>46091</v>
      </c>
      <c r="C832" s="141">
        <v>99</v>
      </c>
      <c r="D832" s="140" t="str">
        <f>IF(ISERROR(VLOOKUP(C832,'[1]خريطة الحسابات'!_xlnm.Print_Area,3,FALSE))," ",(VLOOKUP(C832,'[1]خريطة الحسابات'!_xlnm.Print_Area,3,FALSE)))</f>
        <v xml:space="preserve">تكاليف ادارية وعمومية </v>
      </c>
      <c r="E832" s="132"/>
      <c r="F832" s="133">
        <v>2500</v>
      </c>
      <c r="G832" s="133"/>
      <c r="H832" s="134">
        <f t="shared" si="37"/>
        <v>2500</v>
      </c>
      <c r="I832" s="134">
        <f t="shared" si="37"/>
        <v>0</v>
      </c>
      <c r="J832" s="134">
        <f t="shared" si="36"/>
        <v>2500</v>
      </c>
      <c r="K832" s="135"/>
      <c r="L832" s="136" t="str">
        <f t="shared" si="38"/>
        <v>مدين</v>
      </c>
      <c r="M832" s="137" t="str">
        <f>IF(ISERROR(VLOOKUP(C832,'[1]خريطة الحسابات'!_xlnm.Print_Area,4,FALSE))," ",(VLOOKUP(C832,'[1]خريطة الحسابات'!_xlnm.Print_Area,4,FALSE)))</f>
        <v xml:space="preserve">تكاليف ادارية وعمومية </v>
      </c>
      <c r="N832" s="138" t="str">
        <f>IF(ISERROR(VLOOKUP(C832,'[1]خريطة الحسابات'!_xlnm.Print_Area,5,FALSE))," ",(VLOOKUP(C832,'[1]خريطة الحسابات'!_xlnm.Print_Area,5,FALSE)))</f>
        <v xml:space="preserve">مصروفات </v>
      </c>
      <c r="O832" s="139" t="s">
        <v>1689</v>
      </c>
      <c r="P832" s="139" t="s">
        <v>1664</v>
      </c>
    </row>
    <row r="833" spans="1:16">
      <c r="A833" s="104">
        <v>53</v>
      </c>
      <c r="B833" s="131">
        <v>46098</v>
      </c>
      <c r="C833" s="141">
        <v>99</v>
      </c>
      <c r="D833" s="140" t="str">
        <f>IF(ISERROR(VLOOKUP(C833,'[1]خريطة الحسابات'!_xlnm.Print_Area,3,FALSE))," ",(VLOOKUP(C833,'[1]خريطة الحسابات'!_xlnm.Print_Area,3,FALSE)))</f>
        <v xml:space="preserve">تكاليف ادارية وعمومية </v>
      </c>
      <c r="E833" s="132"/>
      <c r="F833" s="133">
        <v>20000</v>
      </c>
      <c r="G833" s="133"/>
      <c r="H833" s="134">
        <f t="shared" si="37"/>
        <v>20000</v>
      </c>
      <c r="I833" s="134">
        <f t="shared" si="37"/>
        <v>0</v>
      </c>
      <c r="J833" s="134">
        <f t="shared" si="36"/>
        <v>20000</v>
      </c>
      <c r="K833" s="135"/>
      <c r="L833" s="136" t="str">
        <f t="shared" si="38"/>
        <v>مدين</v>
      </c>
      <c r="M833" s="137" t="str">
        <f>IF(ISERROR(VLOOKUP(C833,'[1]خريطة الحسابات'!_xlnm.Print_Area,4,FALSE))," ",(VLOOKUP(C833,'[1]خريطة الحسابات'!_xlnm.Print_Area,4,FALSE)))</f>
        <v xml:space="preserve">تكاليف ادارية وعمومية </v>
      </c>
      <c r="N833" s="138" t="str">
        <f>IF(ISERROR(VLOOKUP(C833,'[1]خريطة الحسابات'!_xlnm.Print_Area,5,FALSE))," ",(VLOOKUP(C833,'[1]خريطة الحسابات'!_xlnm.Print_Area,5,FALSE)))</f>
        <v xml:space="preserve">مصروفات </v>
      </c>
      <c r="O833" s="139" t="s">
        <v>1690</v>
      </c>
      <c r="P833" s="139" t="s">
        <v>1664</v>
      </c>
    </row>
    <row r="834" spans="1:16">
      <c r="A834" s="104">
        <v>53</v>
      </c>
      <c r="B834" s="131">
        <v>46098</v>
      </c>
      <c r="C834" s="141">
        <v>99</v>
      </c>
      <c r="D834" s="140" t="str">
        <f>IF(ISERROR(VLOOKUP(C834,'[1]خريطة الحسابات'!_xlnm.Print_Area,3,FALSE))," ",(VLOOKUP(C834,'[1]خريطة الحسابات'!_xlnm.Print_Area,3,FALSE)))</f>
        <v xml:space="preserve">تكاليف ادارية وعمومية </v>
      </c>
      <c r="E834" s="132"/>
      <c r="F834" s="133">
        <v>550</v>
      </c>
      <c r="G834" s="133"/>
      <c r="H834" s="134">
        <f t="shared" si="37"/>
        <v>550</v>
      </c>
      <c r="I834" s="134">
        <f t="shared" si="37"/>
        <v>0</v>
      </c>
      <c r="J834" s="134">
        <f t="shared" si="36"/>
        <v>550</v>
      </c>
      <c r="K834" s="135"/>
      <c r="L834" s="136" t="str">
        <f t="shared" si="38"/>
        <v>مدين</v>
      </c>
      <c r="M834" s="137" t="str">
        <f>IF(ISERROR(VLOOKUP(C834,'[1]خريطة الحسابات'!_xlnm.Print_Area,4,FALSE))," ",(VLOOKUP(C834,'[1]خريطة الحسابات'!_xlnm.Print_Area,4,FALSE)))</f>
        <v xml:space="preserve">تكاليف ادارية وعمومية </v>
      </c>
      <c r="N834" s="138" t="str">
        <f>IF(ISERROR(VLOOKUP(C834,'[1]خريطة الحسابات'!_xlnm.Print_Area,5,FALSE))," ",(VLOOKUP(C834,'[1]خريطة الحسابات'!_xlnm.Print_Area,5,FALSE)))</f>
        <v xml:space="preserve">مصروفات </v>
      </c>
      <c r="O834" s="139" t="s">
        <v>1691</v>
      </c>
      <c r="P834" s="139" t="s">
        <v>1664</v>
      </c>
    </row>
    <row r="835" spans="1:16">
      <c r="A835" s="104">
        <v>53</v>
      </c>
      <c r="B835" s="131">
        <v>46099</v>
      </c>
      <c r="C835" s="141">
        <v>99</v>
      </c>
      <c r="D835" s="140" t="str">
        <f>IF(ISERROR(VLOOKUP(C835,'[1]خريطة الحسابات'!_xlnm.Print_Area,3,FALSE))," ",(VLOOKUP(C835,'[1]خريطة الحسابات'!_xlnm.Print_Area,3,FALSE)))</f>
        <v xml:space="preserve">تكاليف ادارية وعمومية </v>
      </c>
      <c r="E835" s="132"/>
      <c r="F835" s="133">
        <v>1800</v>
      </c>
      <c r="G835" s="133"/>
      <c r="H835" s="134">
        <f t="shared" si="37"/>
        <v>1800</v>
      </c>
      <c r="I835" s="134">
        <f t="shared" si="37"/>
        <v>0</v>
      </c>
      <c r="J835" s="134">
        <f t="shared" si="36"/>
        <v>1800</v>
      </c>
      <c r="K835" s="135"/>
      <c r="L835" s="136" t="str">
        <f t="shared" si="38"/>
        <v>مدين</v>
      </c>
      <c r="M835" s="137" t="str">
        <f>IF(ISERROR(VLOOKUP(C835,'[1]خريطة الحسابات'!_xlnm.Print_Area,4,FALSE))," ",(VLOOKUP(C835,'[1]خريطة الحسابات'!_xlnm.Print_Area,4,FALSE)))</f>
        <v xml:space="preserve">تكاليف ادارية وعمومية </v>
      </c>
      <c r="N835" s="138" t="str">
        <f>IF(ISERROR(VLOOKUP(C835,'[1]خريطة الحسابات'!_xlnm.Print_Area,5,FALSE))," ",(VLOOKUP(C835,'[1]خريطة الحسابات'!_xlnm.Print_Area,5,FALSE)))</f>
        <v xml:space="preserve">مصروفات </v>
      </c>
      <c r="O835" s="139" t="s">
        <v>1692</v>
      </c>
      <c r="P835" s="139" t="s">
        <v>1664</v>
      </c>
    </row>
    <row r="836" spans="1:16">
      <c r="A836" s="104">
        <v>53</v>
      </c>
      <c r="B836" s="131">
        <v>46109</v>
      </c>
      <c r="C836" s="141">
        <v>99</v>
      </c>
      <c r="D836" s="140" t="str">
        <f>IF(ISERROR(VLOOKUP(C836,'[1]خريطة الحسابات'!_xlnm.Print_Area,3,FALSE))," ",(VLOOKUP(C836,'[1]خريطة الحسابات'!_xlnm.Print_Area,3,FALSE)))</f>
        <v xml:space="preserve">تكاليف ادارية وعمومية </v>
      </c>
      <c r="E836" s="132"/>
      <c r="F836" s="133">
        <v>1725</v>
      </c>
      <c r="G836" s="133"/>
      <c r="H836" s="134">
        <f t="shared" si="37"/>
        <v>1725</v>
      </c>
      <c r="I836" s="134">
        <f t="shared" si="37"/>
        <v>0</v>
      </c>
      <c r="J836" s="134">
        <f t="shared" si="36"/>
        <v>1725</v>
      </c>
      <c r="K836" s="135"/>
      <c r="L836" s="136" t="str">
        <f t="shared" si="38"/>
        <v>مدين</v>
      </c>
      <c r="M836" s="137" t="str">
        <f>IF(ISERROR(VLOOKUP(C836,'[1]خريطة الحسابات'!_xlnm.Print_Area,4,FALSE))," ",(VLOOKUP(C836,'[1]خريطة الحسابات'!_xlnm.Print_Area,4,FALSE)))</f>
        <v xml:space="preserve">تكاليف ادارية وعمومية </v>
      </c>
      <c r="N836" s="138" t="str">
        <f>IF(ISERROR(VLOOKUP(C836,'[1]خريطة الحسابات'!_xlnm.Print_Area,5,FALSE))," ",(VLOOKUP(C836,'[1]خريطة الحسابات'!_xlnm.Print_Area,5,FALSE)))</f>
        <v xml:space="preserve">مصروفات </v>
      </c>
      <c r="O836" s="139" t="s">
        <v>1693</v>
      </c>
      <c r="P836" s="139" t="s">
        <v>1664</v>
      </c>
    </row>
    <row r="837" spans="1:16">
      <c r="A837" s="104">
        <v>53</v>
      </c>
      <c r="B837" s="131">
        <v>46111</v>
      </c>
      <c r="C837" s="141">
        <v>99</v>
      </c>
      <c r="D837" s="140" t="str">
        <f>IF(ISERROR(VLOOKUP(C837,'[1]خريطة الحسابات'!_xlnm.Print_Area,3,FALSE))," ",(VLOOKUP(C837,'[1]خريطة الحسابات'!_xlnm.Print_Area,3,FALSE)))</f>
        <v xml:space="preserve">تكاليف ادارية وعمومية </v>
      </c>
      <c r="E837" s="132"/>
      <c r="F837" s="133">
        <v>1600</v>
      </c>
      <c r="G837" s="133"/>
      <c r="H837" s="134">
        <f t="shared" si="37"/>
        <v>1600</v>
      </c>
      <c r="I837" s="134">
        <f t="shared" si="37"/>
        <v>0</v>
      </c>
      <c r="J837" s="134">
        <f t="shared" si="36"/>
        <v>1600</v>
      </c>
      <c r="K837" s="135"/>
      <c r="L837" s="136" t="str">
        <f t="shared" si="38"/>
        <v>مدين</v>
      </c>
      <c r="M837" s="137" t="str">
        <f>IF(ISERROR(VLOOKUP(C837,'[1]خريطة الحسابات'!_xlnm.Print_Area,4,FALSE))," ",(VLOOKUP(C837,'[1]خريطة الحسابات'!_xlnm.Print_Area,4,FALSE)))</f>
        <v xml:space="preserve">تكاليف ادارية وعمومية </v>
      </c>
      <c r="N837" s="138" t="str">
        <f>IF(ISERROR(VLOOKUP(C837,'[1]خريطة الحسابات'!_xlnm.Print_Area,5,FALSE))," ",(VLOOKUP(C837,'[1]خريطة الحسابات'!_xlnm.Print_Area,5,FALSE)))</f>
        <v xml:space="preserve">مصروفات </v>
      </c>
      <c r="O837" s="139" t="s">
        <v>1694</v>
      </c>
      <c r="P837" s="139" t="s">
        <v>1664</v>
      </c>
    </row>
    <row r="838" spans="1:16">
      <c r="A838" s="104">
        <v>53</v>
      </c>
      <c r="B838" s="131">
        <v>46111</v>
      </c>
      <c r="C838" s="141">
        <v>99</v>
      </c>
      <c r="D838" s="140" t="str">
        <f>IF(ISERROR(VLOOKUP(C838,'[1]خريطة الحسابات'!_xlnm.Print_Area,3,FALSE))," ",(VLOOKUP(C838,'[1]خريطة الحسابات'!_xlnm.Print_Area,3,FALSE)))</f>
        <v xml:space="preserve">تكاليف ادارية وعمومية </v>
      </c>
      <c r="E838" s="132"/>
      <c r="F838" s="133">
        <v>940</v>
      </c>
      <c r="G838" s="133"/>
      <c r="H838" s="134">
        <f t="shared" si="37"/>
        <v>940</v>
      </c>
      <c r="I838" s="134">
        <f t="shared" si="37"/>
        <v>0</v>
      </c>
      <c r="J838" s="134">
        <f t="shared" si="36"/>
        <v>940</v>
      </c>
      <c r="K838" s="135"/>
      <c r="L838" s="136" t="str">
        <f t="shared" si="38"/>
        <v>مدين</v>
      </c>
      <c r="M838" s="137" t="str">
        <f>IF(ISERROR(VLOOKUP(C838,'[1]خريطة الحسابات'!_xlnm.Print_Area,4,FALSE))," ",(VLOOKUP(C838,'[1]خريطة الحسابات'!_xlnm.Print_Area,4,FALSE)))</f>
        <v xml:space="preserve">تكاليف ادارية وعمومية </v>
      </c>
      <c r="N838" s="138" t="str">
        <f>IF(ISERROR(VLOOKUP(C838,'[1]خريطة الحسابات'!_xlnm.Print_Area,5,FALSE))," ",(VLOOKUP(C838,'[1]خريطة الحسابات'!_xlnm.Print_Area,5,FALSE)))</f>
        <v xml:space="preserve">مصروفات </v>
      </c>
      <c r="O838" s="139" t="s">
        <v>1695</v>
      </c>
      <c r="P838" s="139" t="s">
        <v>1664</v>
      </c>
    </row>
    <row r="839" spans="1:16">
      <c r="A839" s="104">
        <v>53</v>
      </c>
      <c r="B839" s="131">
        <v>46111</v>
      </c>
      <c r="C839" s="141">
        <v>99</v>
      </c>
      <c r="D839" s="140" t="str">
        <f>IF(ISERROR(VLOOKUP(C839,'[1]خريطة الحسابات'!_xlnm.Print_Area,3,FALSE))," ",(VLOOKUP(C839,'[1]خريطة الحسابات'!_xlnm.Print_Area,3,FALSE)))</f>
        <v xml:space="preserve">تكاليف ادارية وعمومية </v>
      </c>
      <c r="E839" s="132"/>
      <c r="F839" s="133">
        <v>360</v>
      </c>
      <c r="G839" s="133"/>
      <c r="H839" s="134">
        <f t="shared" si="37"/>
        <v>360</v>
      </c>
      <c r="I839" s="134">
        <f t="shared" si="37"/>
        <v>0</v>
      </c>
      <c r="J839" s="134">
        <f t="shared" si="36"/>
        <v>360</v>
      </c>
      <c r="K839" s="135"/>
      <c r="L839" s="136" t="str">
        <f t="shared" si="38"/>
        <v>مدين</v>
      </c>
      <c r="M839" s="137" t="str">
        <f>IF(ISERROR(VLOOKUP(C839,'[1]خريطة الحسابات'!_xlnm.Print_Area,4,FALSE))," ",(VLOOKUP(C839,'[1]خريطة الحسابات'!_xlnm.Print_Area,4,FALSE)))</f>
        <v xml:space="preserve">تكاليف ادارية وعمومية </v>
      </c>
      <c r="N839" s="138" t="str">
        <f>IF(ISERROR(VLOOKUP(C839,'[1]خريطة الحسابات'!_xlnm.Print_Area,5,FALSE))," ",(VLOOKUP(C839,'[1]خريطة الحسابات'!_xlnm.Print_Area,5,FALSE)))</f>
        <v xml:space="preserve">مصروفات </v>
      </c>
      <c r="O839" s="139" t="s">
        <v>1696</v>
      </c>
      <c r="P839" s="139" t="s">
        <v>1664</v>
      </c>
    </row>
    <row r="840" spans="1:16">
      <c r="A840" s="104">
        <v>53</v>
      </c>
      <c r="B840" s="131">
        <v>46111</v>
      </c>
      <c r="C840" s="141">
        <v>99</v>
      </c>
      <c r="D840" s="140" t="str">
        <f>IF(ISERROR(VLOOKUP(C840,'[1]خريطة الحسابات'!_xlnm.Print_Area,3,FALSE))," ",(VLOOKUP(C840,'[1]خريطة الحسابات'!_xlnm.Print_Area,3,FALSE)))</f>
        <v xml:space="preserve">تكاليف ادارية وعمومية </v>
      </c>
      <c r="E840" s="132"/>
      <c r="F840" s="133">
        <v>300</v>
      </c>
      <c r="G840" s="133"/>
      <c r="H840" s="134">
        <f t="shared" si="37"/>
        <v>300</v>
      </c>
      <c r="I840" s="134">
        <f t="shared" si="37"/>
        <v>0</v>
      </c>
      <c r="J840" s="134">
        <f t="shared" si="36"/>
        <v>300</v>
      </c>
      <c r="K840" s="135"/>
      <c r="L840" s="136" t="str">
        <f t="shared" si="38"/>
        <v>مدين</v>
      </c>
      <c r="M840" s="137" t="str">
        <f>IF(ISERROR(VLOOKUP(C840,'[1]خريطة الحسابات'!_xlnm.Print_Area,4,FALSE))," ",(VLOOKUP(C840,'[1]خريطة الحسابات'!_xlnm.Print_Area,4,FALSE)))</f>
        <v xml:space="preserve">تكاليف ادارية وعمومية </v>
      </c>
      <c r="N840" s="138" t="str">
        <f>IF(ISERROR(VLOOKUP(C840,'[1]خريطة الحسابات'!_xlnm.Print_Area,5,FALSE))," ",(VLOOKUP(C840,'[1]خريطة الحسابات'!_xlnm.Print_Area,5,FALSE)))</f>
        <v xml:space="preserve">مصروفات </v>
      </c>
      <c r="O840" s="139" t="s">
        <v>1697</v>
      </c>
      <c r="P840" s="139" t="s">
        <v>1664</v>
      </c>
    </row>
    <row r="841" spans="1:16">
      <c r="A841" s="104">
        <v>53</v>
      </c>
      <c r="B841" s="131">
        <v>46113</v>
      </c>
      <c r="C841" s="141">
        <v>99</v>
      </c>
      <c r="D841" s="140" t="str">
        <f>IF(ISERROR(VLOOKUP(C841,'[1]خريطة الحسابات'!_xlnm.Print_Area,3,FALSE))," ",(VLOOKUP(C841,'[1]خريطة الحسابات'!_xlnm.Print_Area,3,FALSE)))</f>
        <v xml:space="preserve">تكاليف ادارية وعمومية </v>
      </c>
      <c r="E841" s="132"/>
      <c r="F841" s="133">
        <v>55</v>
      </c>
      <c r="G841" s="133"/>
      <c r="H841" s="134">
        <f t="shared" si="37"/>
        <v>55</v>
      </c>
      <c r="I841" s="134">
        <f t="shared" si="37"/>
        <v>0</v>
      </c>
      <c r="J841" s="134">
        <f t="shared" si="36"/>
        <v>55</v>
      </c>
      <c r="K841" s="135"/>
      <c r="L841" s="136" t="str">
        <f t="shared" si="38"/>
        <v>مدين</v>
      </c>
      <c r="M841" s="137" t="str">
        <f>IF(ISERROR(VLOOKUP(C841,'[1]خريطة الحسابات'!_xlnm.Print_Area,4,FALSE))," ",(VLOOKUP(C841,'[1]خريطة الحسابات'!_xlnm.Print_Area,4,FALSE)))</f>
        <v xml:space="preserve">تكاليف ادارية وعمومية </v>
      </c>
      <c r="N841" s="138" t="str">
        <f>IF(ISERROR(VLOOKUP(C841,'[1]خريطة الحسابات'!_xlnm.Print_Area,5,FALSE))," ",(VLOOKUP(C841,'[1]خريطة الحسابات'!_xlnm.Print_Area,5,FALSE)))</f>
        <v xml:space="preserve">مصروفات </v>
      </c>
      <c r="O841" s="139" t="s">
        <v>1698</v>
      </c>
      <c r="P841" s="139" t="s">
        <v>1664</v>
      </c>
    </row>
    <row r="842" spans="1:16">
      <c r="A842" s="104">
        <v>53</v>
      </c>
      <c r="B842" s="131">
        <v>46116</v>
      </c>
      <c r="C842" s="141">
        <v>99</v>
      </c>
      <c r="D842" s="140" t="str">
        <f>IF(ISERROR(VLOOKUP(C842,'[1]خريطة الحسابات'!_xlnm.Print_Area,3,FALSE))," ",(VLOOKUP(C842,'[1]خريطة الحسابات'!_xlnm.Print_Area,3,FALSE)))</f>
        <v xml:space="preserve">تكاليف ادارية وعمومية </v>
      </c>
      <c r="E842" s="132"/>
      <c r="F842" s="133">
        <v>1500</v>
      </c>
      <c r="G842" s="133"/>
      <c r="H842" s="134">
        <f t="shared" si="37"/>
        <v>1500</v>
      </c>
      <c r="I842" s="134">
        <f t="shared" si="37"/>
        <v>0</v>
      </c>
      <c r="J842" s="134">
        <f t="shared" si="36"/>
        <v>1500</v>
      </c>
      <c r="K842" s="135"/>
      <c r="L842" s="136" t="str">
        <f t="shared" si="38"/>
        <v>مدين</v>
      </c>
      <c r="M842" s="137" t="str">
        <f>IF(ISERROR(VLOOKUP(C842,'[1]خريطة الحسابات'!_xlnm.Print_Area,4,FALSE))," ",(VLOOKUP(C842,'[1]خريطة الحسابات'!_xlnm.Print_Area,4,FALSE)))</f>
        <v xml:space="preserve">تكاليف ادارية وعمومية </v>
      </c>
      <c r="N842" s="138" t="str">
        <f>IF(ISERROR(VLOOKUP(C842,'[1]خريطة الحسابات'!_xlnm.Print_Area,5,FALSE))," ",(VLOOKUP(C842,'[1]خريطة الحسابات'!_xlnm.Print_Area,5,FALSE)))</f>
        <v xml:space="preserve">مصروفات </v>
      </c>
      <c r="O842" s="139" t="s">
        <v>1699</v>
      </c>
      <c r="P842" s="139" t="s">
        <v>1664</v>
      </c>
    </row>
    <row r="843" spans="1:16">
      <c r="A843" s="104">
        <v>53</v>
      </c>
      <c r="B843" s="131">
        <v>46118</v>
      </c>
      <c r="C843" s="141">
        <v>99</v>
      </c>
      <c r="D843" s="140" t="str">
        <f>IF(ISERROR(VLOOKUP(C843,'[1]خريطة الحسابات'!_xlnm.Print_Area,3,FALSE))," ",(VLOOKUP(C843,'[1]خريطة الحسابات'!_xlnm.Print_Area,3,FALSE)))</f>
        <v xml:space="preserve">تكاليف ادارية وعمومية </v>
      </c>
      <c r="E843" s="132"/>
      <c r="F843" s="133">
        <v>6920</v>
      </c>
      <c r="G843" s="133"/>
      <c r="H843" s="134">
        <f t="shared" si="37"/>
        <v>6920</v>
      </c>
      <c r="I843" s="134">
        <f t="shared" si="37"/>
        <v>0</v>
      </c>
      <c r="J843" s="134">
        <f t="shared" si="36"/>
        <v>6920</v>
      </c>
      <c r="K843" s="135"/>
      <c r="L843" s="136" t="str">
        <f t="shared" si="38"/>
        <v>مدين</v>
      </c>
      <c r="M843" s="137" t="str">
        <f>IF(ISERROR(VLOOKUP(C843,'[1]خريطة الحسابات'!_xlnm.Print_Area,4,FALSE))," ",(VLOOKUP(C843,'[1]خريطة الحسابات'!_xlnm.Print_Area,4,FALSE)))</f>
        <v xml:space="preserve">تكاليف ادارية وعمومية </v>
      </c>
      <c r="N843" s="138" t="str">
        <f>IF(ISERROR(VLOOKUP(C843,'[1]خريطة الحسابات'!_xlnm.Print_Area,5,FALSE))," ",(VLOOKUP(C843,'[1]خريطة الحسابات'!_xlnm.Print_Area,5,FALSE)))</f>
        <v xml:space="preserve">مصروفات </v>
      </c>
      <c r="O843" s="139" t="s">
        <v>1700</v>
      </c>
      <c r="P843" s="139" t="s">
        <v>1664</v>
      </c>
    </row>
    <row r="844" spans="1:16">
      <c r="A844" s="104">
        <v>53</v>
      </c>
      <c r="B844" s="131">
        <v>46118</v>
      </c>
      <c r="C844" s="141">
        <v>99</v>
      </c>
      <c r="D844" s="140" t="str">
        <f>IF(ISERROR(VLOOKUP(C844,'[1]خريطة الحسابات'!_xlnm.Print_Area,3,FALSE))," ",(VLOOKUP(C844,'[1]خريطة الحسابات'!_xlnm.Print_Area,3,FALSE)))</f>
        <v xml:space="preserve">تكاليف ادارية وعمومية </v>
      </c>
      <c r="E844" s="132"/>
      <c r="F844" s="133">
        <v>80</v>
      </c>
      <c r="G844" s="133"/>
      <c r="H844" s="134">
        <f t="shared" si="37"/>
        <v>80</v>
      </c>
      <c r="I844" s="134">
        <f t="shared" si="37"/>
        <v>0</v>
      </c>
      <c r="J844" s="134">
        <f t="shared" si="36"/>
        <v>80</v>
      </c>
      <c r="K844" s="135"/>
      <c r="L844" s="136" t="str">
        <f t="shared" si="38"/>
        <v>مدين</v>
      </c>
      <c r="M844" s="137" t="str">
        <f>IF(ISERROR(VLOOKUP(C844,'[1]خريطة الحسابات'!_xlnm.Print_Area,4,FALSE))," ",(VLOOKUP(C844,'[1]خريطة الحسابات'!_xlnm.Print_Area,4,FALSE)))</f>
        <v xml:space="preserve">تكاليف ادارية وعمومية </v>
      </c>
      <c r="N844" s="138" t="str">
        <f>IF(ISERROR(VLOOKUP(C844,'[1]خريطة الحسابات'!_xlnm.Print_Area,5,FALSE))," ",(VLOOKUP(C844,'[1]خريطة الحسابات'!_xlnm.Print_Area,5,FALSE)))</f>
        <v xml:space="preserve">مصروفات </v>
      </c>
      <c r="O844" s="139" t="s">
        <v>1701</v>
      </c>
      <c r="P844" s="139" t="s">
        <v>1664</v>
      </c>
    </row>
    <row r="845" spans="1:16">
      <c r="A845" s="104">
        <v>53</v>
      </c>
      <c r="B845" s="131">
        <v>46121</v>
      </c>
      <c r="C845" s="141">
        <v>99</v>
      </c>
      <c r="D845" s="140" t="str">
        <f>IF(ISERROR(VLOOKUP(C845,'[1]خريطة الحسابات'!_xlnm.Print_Area,3,FALSE))," ",(VLOOKUP(C845,'[1]خريطة الحسابات'!_xlnm.Print_Area,3,FALSE)))</f>
        <v xml:space="preserve">تكاليف ادارية وعمومية </v>
      </c>
      <c r="E845" s="132"/>
      <c r="F845" s="133">
        <v>110</v>
      </c>
      <c r="G845" s="133"/>
      <c r="H845" s="134">
        <f t="shared" si="37"/>
        <v>110</v>
      </c>
      <c r="I845" s="134">
        <f t="shared" si="37"/>
        <v>0</v>
      </c>
      <c r="J845" s="134">
        <f t="shared" si="36"/>
        <v>110</v>
      </c>
      <c r="K845" s="135"/>
      <c r="L845" s="136" t="str">
        <f t="shared" si="38"/>
        <v>مدين</v>
      </c>
      <c r="M845" s="137" t="str">
        <f>IF(ISERROR(VLOOKUP(C845,'[1]خريطة الحسابات'!_xlnm.Print_Area,4,FALSE))," ",(VLOOKUP(C845,'[1]خريطة الحسابات'!_xlnm.Print_Area,4,FALSE)))</f>
        <v xml:space="preserve">تكاليف ادارية وعمومية </v>
      </c>
      <c r="N845" s="138" t="str">
        <f>IF(ISERROR(VLOOKUP(C845,'[1]خريطة الحسابات'!_xlnm.Print_Area,5,FALSE))," ",(VLOOKUP(C845,'[1]خريطة الحسابات'!_xlnm.Print_Area,5,FALSE)))</f>
        <v xml:space="preserve">مصروفات </v>
      </c>
      <c r="O845" s="139" t="s">
        <v>1702</v>
      </c>
      <c r="P845" s="139" t="s">
        <v>1664</v>
      </c>
    </row>
    <row r="846" spans="1:16">
      <c r="A846" s="104">
        <v>53</v>
      </c>
      <c r="B846" s="131">
        <v>46121</v>
      </c>
      <c r="C846" s="141">
        <v>99</v>
      </c>
      <c r="D846" s="140" t="str">
        <f>IF(ISERROR(VLOOKUP(C846,'[1]خريطة الحسابات'!_xlnm.Print_Area,3,FALSE))," ",(VLOOKUP(C846,'[1]خريطة الحسابات'!_xlnm.Print_Area,3,FALSE)))</f>
        <v xml:space="preserve">تكاليف ادارية وعمومية </v>
      </c>
      <c r="E846" s="132"/>
      <c r="F846" s="133">
        <v>190</v>
      </c>
      <c r="G846" s="133"/>
      <c r="H846" s="134">
        <f t="shared" si="37"/>
        <v>190</v>
      </c>
      <c r="I846" s="134">
        <f t="shared" si="37"/>
        <v>0</v>
      </c>
      <c r="J846" s="134">
        <f t="shared" si="36"/>
        <v>190</v>
      </c>
      <c r="K846" s="135"/>
      <c r="L846" s="136" t="str">
        <f t="shared" si="38"/>
        <v>مدين</v>
      </c>
      <c r="M846" s="137" t="str">
        <f>IF(ISERROR(VLOOKUP(C846,'[1]خريطة الحسابات'!_xlnm.Print_Area,4,FALSE))," ",(VLOOKUP(C846,'[1]خريطة الحسابات'!_xlnm.Print_Area,4,FALSE)))</f>
        <v xml:space="preserve">تكاليف ادارية وعمومية </v>
      </c>
      <c r="N846" s="138" t="str">
        <f>IF(ISERROR(VLOOKUP(C846,'[1]خريطة الحسابات'!_xlnm.Print_Area,5,FALSE))," ",(VLOOKUP(C846,'[1]خريطة الحسابات'!_xlnm.Print_Area,5,FALSE)))</f>
        <v xml:space="preserve">مصروفات </v>
      </c>
      <c r="O846" s="139" t="s">
        <v>1703</v>
      </c>
      <c r="P846" s="139" t="s">
        <v>1664</v>
      </c>
    </row>
    <row r="847" spans="1:16">
      <c r="A847" s="104">
        <v>53</v>
      </c>
      <c r="B847" s="131">
        <v>46121</v>
      </c>
      <c r="C847" s="141">
        <v>99</v>
      </c>
      <c r="D847" s="140" t="str">
        <f>IF(ISERROR(VLOOKUP(C847,'[1]خريطة الحسابات'!_xlnm.Print_Area,3,FALSE))," ",(VLOOKUP(C847,'[1]خريطة الحسابات'!_xlnm.Print_Area,3,FALSE)))</f>
        <v xml:space="preserve">تكاليف ادارية وعمومية </v>
      </c>
      <c r="E847" s="132"/>
      <c r="F847" s="133">
        <v>600</v>
      </c>
      <c r="G847" s="133"/>
      <c r="H847" s="134">
        <f t="shared" si="37"/>
        <v>600</v>
      </c>
      <c r="I847" s="134">
        <f t="shared" si="37"/>
        <v>0</v>
      </c>
      <c r="J847" s="134">
        <f t="shared" si="36"/>
        <v>600</v>
      </c>
      <c r="K847" s="135"/>
      <c r="L847" s="136" t="str">
        <f t="shared" si="38"/>
        <v>مدين</v>
      </c>
      <c r="M847" s="137" t="str">
        <f>IF(ISERROR(VLOOKUP(C847,'[1]خريطة الحسابات'!_xlnm.Print_Area,4,FALSE))," ",(VLOOKUP(C847,'[1]خريطة الحسابات'!_xlnm.Print_Area,4,FALSE)))</f>
        <v xml:space="preserve">تكاليف ادارية وعمومية </v>
      </c>
      <c r="N847" s="138" t="str">
        <f>IF(ISERROR(VLOOKUP(C847,'[1]خريطة الحسابات'!_xlnm.Print_Area,5,FALSE))," ",(VLOOKUP(C847,'[1]خريطة الحسابات'!_xlnm.Print_Area,5,FALSE)))</f>
        <v xml:space="preserve">مصروفات </v>
      </c>
      <c r="O847" s="139" t="s">
        <v>1704</v>
      </c>
      <c r="P847" s="139" t="s">
        <v>1664</v>
      </c>
    </row>
    <row r="848" spans="1:16">
      <c r="A848" s="104">
        <v>53</v>
      </c>
      <c r="B848" s="131">
        <v>46121</v>
      </c>
      <c r="C848" s="141">
        <v>99</v>
      </c>
      <c r="D848" s="140" t="str">
        <f>IF(ISERROR(VLOOKUP(C848,'[1]خريطة الحسابات'!_xlnm.Print_Area,3,FALSE))," ",(VLOOKUP(C848,'[1]خريطة الحسابات'!_xlnm.Print_Area,3,FALSE)))</f>
        <v xml:space="preserve">تكاليف ادارية وعمومية </v>
      </c>
      <c r="E848" s="132"/>
      <c r="F848" s="133">
        <v>450</v>
      </c>
      <c r="G848" s="133"/>
      <c r="H848" s="134">
        <f t="shared" si="37"/>
        <v>450</v>
      </c>
      <c r="I848" s="134">
        <f t="shared" si="37"/>
        <v>0</v>
      </c>
      <c r="J848" s="134">
        <f t="shared" si="36"/>
        <v>450</v>
      </c>
      <c r="K848" s="135"/>
      <c r="L848" s="136" t="str">
        <f t="shared" si="38"/>
        <v>مدين</v>
      </c>
      <c r="M848" s="137" t="str">
        <f>IF(ISERROR(VLOOKUP(C848,'[1]خريطة الحسابات'!_xlnm.Print_Area,4,FALSE))," ",(VLOOKUP(C848,'[1]خريطة الحسابات'!_xlnm.Print_Area,4,FALSE)))</f>
        <v xml:space="preserve">تكاليف ادارية وعمومية </v>
      </c>
      <c r="N848" s="138" t="str">
        <f>IF(ISERROR(VLOOKUP(C848,'[1]خريطة الحسابات'!_xlnm.Print_Area,5,FALSE))," ",(VLOOKUP(C848,'[1]خريطة الحسابات'!_xlnm.Print_Area,5,FALSE)))</f>
        <v xml:space="preserve">مصروفات </v>
      </c>
      <c r="O848" s="139" t="s">
        <v>1705</v>
      </c>
      <c r="P848" s="139" t="s">
        <v>1664</v>
      </c>
    </row>
    <row r="849" spans="1:16">
      <c r="A849" s="104">
        <v>53</v>
      </c>
      <c r="B849" s="131">
        <v>46121</v>
      </c>
      <c r="C849" s="141">
        <v>99</v>
      </c>
      <c r="D849" s="140" t="str">
        <f>IF(ISERROR(VLOOKUP(C849,'[1]خريطة الحسابات'!_xlnm.Print_Area,3,FALSE))," ",(VLOOKUP(C849,'[1]خريطة الحسابات'!_xlnm.Print_Area,3,FALSE)))</f>
        <v xml:space="preserve">تكاليف ادارية وعمومية </v>
      </c>
      <c r="E849" s="132"/>
      <c r="F849" s="133">
        <v>350</v>
      </c>
      <c r="G849" s="133"/>
      <c r="H849" s="134">
        <f t="shared" si="37"/>
        <v>350</v>
      </c>
      <c r="I849" s="134">
        <f t="shared" si="37"/>
        <v>0</v>
      </c>
      <c r="J849" s="134">
        <f t="shared" si="36"/>
        <v>350</v>
      </c>
      <c r="K849" s="135"/>
      <c r="L849" s="136" t="str">
        <f t="shared" si="38"/>
        <v>مدين</v>
      </c>
      <c r="M849" s="137" t="str">
        <f>IF(ISERROR(VLOOKUP(C849,'[1]خريطة الحسابات'!_xlnm.Print_Area,4,FALSE))," ",(VLOOKUP(C849,'[1]خريطة الحسابات'!_xlnm.Print_Area,4,FALSE)))</f>
        <v xml:space="preserve">تكاليف ادارية وعمومية </v>
      </c>
      <c r="N849" s="138" t="str">
        <f>IF(ISERROR(VLOOKUP(C849,'[1]خريطة الحسابات'!_xlnm.Print_Area,5,FALSE))," ",(VLOOKUP(C849,'[1]خريطة الحسابات'!_xlnm.Print_Area,5,FALSE)))</f>
        <v xml:space="preserve">مصروفات </v>
      </c>
      <c r="O849" s="139" t="s">
        <v>1706</v>
      </c>
      <c r="P849" s="139" t="s">
        <v>1664</v>
      </c>
    </row>
    <row r="850" spans="1:16">
      <c r="A850" s="104">
        <v>53</v>
      </c>
      <c r="B850" s="131">
        <v>46121</v>
      </c>
      <c r="C850" s="141">
        <v>99</v>
      </c>
      <c r="D850" s="140" t="str">
        <f>IF(ISERROR(VLOOKUP(C850,'[1]خريطة الحسابات'!_xlnm.Print_Area,3,FALSE))," ",(VLOOKUP(C850,'[1]خريطة الحسابات'!_xlnm.Print_Area,3,FALSE)))</f>
        <v xml:space="preserve">تكاليف ادارية وعمومية </v>
      </c>
      <c r="E850" s="132"/>
      <c r="F850" s="133">
        <v>650</v>
      </c>
      <c r="G850" s="133"/>
      <c r="H850" s="134">
        <f t="shared" si="37"/>
        <v>650</v>
      </c>
      <c r="I850" s="134">
        <f t="shared" si="37"/>
        <v>0</v>
      </c>
      <c r="J850" s="134">
        <f t="shared" si="36"/>
        <v>650</v>
      </c>
      <c r="K850" s="135"/>
      <c r="L850" s="136" t="str">
        <f t="shared" si="38"/>
        <v>مدين</v>
      </c>
      <c r="M850" s="137" t="str">
        <f>IF(ISERROR(VLOOKUP(C850,'[1]خريطة الحسابات'!_xlnm.Print_Area,4,FALSE))," ",(VLOOKUP(C850,'[1]خريطة الحسابات'!_xlnm.Print_Area,4,FALSE)))</f>
        <v xml:space="preserve">تكاليف ادارية وعمومية </v>
      </c>
      <c r="N850" s="138" t="str">
        <f>IF(ISERROR(VLOOKUP(C850,'[1]خريطة الحسابات'!_xlnm.Print_Area,5,FALSE))," ",(VLOOKUP(C850,'[1]خريطة الحسابات'!_xlnm.Print_Area,5,FALSE)))</f>
        <v xml:space="preserve">مصروفات </v>
      </c>
      <c r="O850" s="139" t="s">
        <v>1707</v>
      </c>
      <c r="P850" s="139" t="s">
        <v>1664</v>
      </c>
    </row>
    <row r="851" spans="1:16">
      <c r="A851" s="104">
        <v>53</v>
      </c>
      <c r="B851" s="131">
        <v>46123</v>
      </c>
      <c r="C851" s="141">
        <v>99</v>
      </c>
      <c r="D851" s="140" t="str">
        <f>IF(ISERROR(VLOOKUP(C851,'[1]خريطة الحسابات'!_xlnm.Print_Area,3,FALSE))," ",(VLOOKUP(C851,'[1]خريطة الحسابات'!_xlnm.Print_Area,3,FALSE)))</f>
        <v xml:space="preserve">تكاليف ادارية وعمومية </v>
      </c>
      <c r="E851" s="132"/>
      <c r="F851" s="133">
        <v>5000</v>
      </c>
      <c r="G851" s="133"/>
      <c r="H851" s="134">
        <f t="shared" si="37"/>
        <v>5000</v>
      </c>
      <c r="I851" s="134">
        <f t="shared" si="37"/>
        <v>0</v>
      </c>
      <c r="J851" s="134">
        <f t="shared" si="36"/>
        <v>5000</v>
      </c>
      <c r="K851" s="135"/>
      <c r="L851" s="136" t="str">
        <f t="shared" si="38"/>
        <v>مدين</v>
      </c>
      <c r="M851" s="137" t="str">
        <f>IF(ISERROR(VLOOKUP(C851,'[1]خريطة الحسابات'!_xlnm.Print_Area,4,FALSE))," ",(VLOOKUP(C851,'[1]خريطة الحسابات'!_xlnm.Print_Area,4,FALSE)))</f>
        <v xml:space="preserve">تكاليف ادارية وعمومية </v>
      </c>
      <c r="N851" s="138" t="str">
        <f>IF(ISERROR(VLOOKUP(C851,'[1]خريطة الحسابات'!_xlnm.Print_Area,5,FALSE))," ",(VLOOKUP(C851,'[1]خريطة الحسابات'!_xlnm.Print_Area,5,FALSE)))</f>
        <v xml:space="preserve">مصروفات </v>
      </c>
      <c r="O851" s="139" t="s">
        <v>1708</v>
      </c>
      <c r="P851" s="139" t="s">
        <v>1664</v>
      </c>
    </row>
    <row r="852" spans="1:16">
      <c r="A852" s="104">
        <v>53</v>
      </c>
      <c r="B852" s="131">
        <v>46123</v>
      </c>
      <c r="C852" s="141">
        <v>99</v>
      </c>
      <c r="D852" s="140" t="str">
        <f>IF(ISERROR(VLOOKUP(C852,'[1]خريطة الحسابات'!_xlnm.Print_Area,3,FALSE))," ",(VLOOKUP(C852,'[1]خريطة الحسابات'!_xlnm.Print_Area,3,FALSE)))</f>
        <v xml:space="preserve">تكاليف ادارية وعمومية </v>
      </c>
      <c r="E852" s="132"/>
      <c r="F852" s="133">
        <v>50</v>
      </c>
      <c r="G852" s="133"/>
      <c r="H852" s="134">
        <f t="shared" si="37"/>
        <v>50</v>
      </c>
      <c r="I852" s="134">
        <f t="shared" si="37"/>
        <v>0</v>
      </c>
      <c r="J852" s="134">
        <f t="shared" si="36"/>
        <v>50</v>
      </c>
      <c r="K852" s="135"/>
      <c r="L852" s="136" t="str">
        <f t="shared" si="38"/>
        <v>مدين</v>
      </c>
      <c r="M852" s="137" t="str">
        <f>IF(ISERROR(VLOOKUP(C852,'[1]خريطة الحسابات'!_xlnm.Print_Area,4,FALSE))," ",(VLOOKUP(C852,'[1]خريطة الحسابات'!_xlnm.Print_Area,4,FALSE)))</f>
        <v xml:space="preserve">تكاليف ادارية وعمومية </v>
      </c>
      <c r="N852" s="138" t="str">
        <f>IF(ISERROR(VLOOKUP(C852,'[1]خريطة الحسابات'!_xlnm.Print_Area,5,FALSE))," ",(VLOOKUP(C852,'[1]خريطة الحسابات'!_xlnm.Print_Area,5,FALSE)))</f>
        <v xml:space="preserve">مصروفات </v>
      </c>
      <c r="O852" s="139" t="s">
        <v>1709</v>
      </c>
      <c r="P852" s="139" t="s">
        <v>1664</v>
      </c>
    </row>
    <row r="853" spans="1:16">
      <c r="A853" s="104">
        <v>53</v>
      </c>
      <c r="B853" s="131">
        <v>46124</v>
      </c>
      <c r="C853" s="141">
        <v>99</v>
      </c>
      <c r="D853" s="140" t="str">
        <f>IF(ISERROR(VLOOKUP(C853,'[1]خريطة الحسابات'!_xlnm.Print_Area,3,FALSE))," ",(VLOOKUP(C853,'[1]خريطة الحسابات'!_xlnm.Print_Area,3,FALSE)))</f>
        <v xml:space="preserve">تكاليف ادارية وعمومية </v>
      </c>
      <c r="E853" s="132"/>
      <c r="F853" s="133">
        <v>600</v>
      </c>
      <c r="G853" s="133"/>
      <c r="H853" s="134">
        <f t="shared" si="37"/>
        <v>600</v>
      </c>
      <c r="I853" s="134">
        <f t="shared" si="37"/>
        <v>0</v>
      </c>
      <c r="J853" s="134">
        <f t="shared" si="36"/>
        <v>600</v>
      </c>
      <c r="K853" s="135"/>
      <c r="L853" s="136" t="str">
        <f t="shared" si="38"/>
        <v>مدين</v>
      </c>
      <c r="M853" s="137" t="str">
        <f>IF(ISERROR(VLOOKUP(C853,'[1]خريطة الحسابات'!_xlnm.Print_Area,4,FALSE))," ",(VLOOKUP(C853,'[1]خريطة الحسابات'!_xlnm.Print_Area,4,FALSE)))</f>
        <v xml:space="preserve">تكاليف ادارية وعمومية </v>
      </c>
      <c r="N853" s="138" t="str">
        <f>IF(ISERROR(VLOOKUP(C853,'[1]خريطة الحسابات'!_xlnm.Print_Area,5,FALSE))," ",(VLOOKUP(C853,'[1]خريطة الحسابات'!_xlnm.Print_Area,5,FALSE)))</f>
        <v xml:space="preserve">مصروفات </v>
      </c>
      <c r="O853" s="139" t="s">
        <v>1710</v>
      </c>
      <c r="P853" s="139" t="s">
        <v>1664</v>
      </c>
    </row>
    <row r="854" spans="1:16">
      <c r="A854" s="104">
        <v>53</v>
      </c>
      <c r="B854" s="131">
        <v>46126</v>
      </c>
      <c r="C854" s="141">
        <v>99</v>
      </c>
      <c r="D854" s="140" t="str">
        <f>IF(ISERROR(VLOOKUP(C854,'[1]خريطة الحسابات'!_xlnm.Print_Area,3,FALSE))," ",(VLOOKUP(C854,'[1]خريطة الحسابات'!_xlnm.Print_Area,3,FALSE)))</f>
        <v xml:space="preserve">تكاليف ادارية وعمومية </v>
      </c>
      <c r="E854" s="132"/>
      <c r="F854" s="133">
        <v>925</v>
      </c>
      <c r="G854" s="133"/>
      <c r="H854" s="134">
        <f t="shared" si="37"/>
        <v>925</v>
      </c>
      <c r="I854" s="134">
        <f t="shared" si="37"/>
        <v>0</v>
      </c>
      <c r="J854" s="134">
        <f t="shared" si="36"/>
        <v>925</v>
      </c>
      <c r="K854" s="135"/>
      <c r="L854" s="136" t="str">
        <f t="shared" si="38"/>
        <v>مدين</v>
      </c>
      <c r="M854" s="137" t="str">
        <f>IF(ISERROR(VLOOKUP(C854,'[1]خريطة الحسابات'!_xlnm.Print_Area,4,FALSE))," ",(VLOOKUP(C854,'[1]خريطة الحسابات'!_xlnm.Print_Area,4,FALSE)))</f>
        <v xml:space="preserve">تكاليف ادارية وعمومية </v>
      </c>
      <c r="N854" s="138" t="str">
        <f>IF(ISERROR(VLOOKUP(C854,'[1]خريطة الحسابات'!_xlnm.Print_Area,5,FALSE))," ",(VLOOKUP(C854,'[1]خريطة الحسابات'!_xlnm.Print_Area,5,FALSE)))</f>
        <v xml:space="preserve">مصروفات </v>
      </c>
      <c r="O854" s="139" t="s">
        <v>1693</v>
      </c>
      <c r="P854" s="139" t="s">
        <v>1664</v>
      </c>
    </row>
    <row r="855" spans="1:16">
      <c r="A855" s="104">
        <v>53</v>
      </c>
      <c r="B855" s="131">
        <v>46127</v>
      </c>
      <c r="C855" s="141">
        <v>99</v>
      </c>
      <c r="D855" s="140" t="str">
        <f>IF(ISERROR(VLOOKUP(C855,'[1]خريطة الحسابات'!_xlnm.Print_Area,3,FALSE))," ",(VLOOKUP(C855,'[1]خريطة الحسابات'!_xlnm.Print_Area,3,FALSE)))</f>
        <v xml:space="preserve">تكاليف ادارية وعمومية </v>
      </c>
      <c r="E855" s="132"/>
      <c r="F855" s="133">
        <v>8300</v>
      </c>
      <c r="G855" s="133"/>
      <c r="H855" s="134">
        <f t="shared" si="37"/>
        <v>8300</v>
      </c>
      <c r="I855" s="134">
        <f t="shared" si="37"/>
        <v>0</v>
      </c>
      <c r="J855" s="134">
        <f t="shared" si="36"/>
        <v>8300</v>
      </c>
      <c r="K855" s="135"/>
      <c r="L855" s="136" t="str">
        <f t="shared" si="38"/>
        <v>مدين</v>
      </c>
      <c r="M855" s="137" t="str">
        <f>IF(ISERROR(VLOOKUP(C855,'[1]خريطة الحسابات'!_xlnm.Print_Area,4,FALSE))," ",(VLOOKUP(C855,'[1]خريطة الحسابات'!_xlnm.Print_Area,4,FALSE)))</f>
        <v xml:space="preserve">تكاليف ادارية وعمومية </v>
      </c>
      <c r="N855" s="138" t="str">
        <f>IF(ISERROR(VLOOKUP(C855,'[1]خريطة الحسابات'!_xlnm.Print_Area,5,FALSE))," ",(VLOOKUP(C855,'[1]خريطة الحسابات'!_xlnm.Print_Area,5,FALSE)))</f>
        <v xml:space="preserve">مصروفات </v>
      </c>
      <c r="O855" s="139" t="s">
        <v>1711</v>
      </c>
      <c r="P855" s="139" t="s">
        <v>1664</v>
      </c>
    </row>
    <row r="856" spans="1:16">
      <c r="A856" s="104">
        <v>53</v>
      </c>
      <c r="B856" s="131">
        <v>46127</v>
      </c>
      <c r="C856" s="141">
        <v>99</v>
      </c>
      <c r="D856" s="140" t="str">
        <f>IF(ISERROR(VLOOKUP(C856,'[1]خريطة الحسابات'!_xlnm.Print_Area,3,FALSE))," ",(VLOOKUP(C856,'[1]خريطة الحسابات'!_xlnm.Print_Area,3,FALSE)))</f>
        <v xml:space="preserve">تكاليف ادارية وعمومية </v>
      </c>
      <c r="E856" s="132"/>
      <c r="F856" s="133">
        <v>1180</v>
      </c>
      <c r="G856" s="133"/>
      <c r="H856" s="134">
        <f t="shared" si="37"/>
        <v>1180</v>
      </c>
      <c r="I856" s="134">
        <f t="shared" si="37"/>
        <v>0</v>
      </c>
      <c r="J856" s="134">
        <f t="shared" ref="J856:J919" si="39">H856-I856</f>
        <v>1180</v>
      </c>
      <c r="K856" s="135"/>
      <c r="L856" s="136" t="str">
        <f t="shared" si="38"/>
        <v>مدين</v>
      </c>
      <c r="M856" s="137" t="str">
        <f>IF(ISERROR(VLOOKUP(C856,'[1]خريطة الحسابات'!_xlnm.Print_Area,4,FALSE))," ",(VLOOKUP(C856,'[1]خريطة الحسابات'!_xlnm.Print_Area,4,FALSE)))</f>
        <v xml:space="preserve">تكاليف ادارية وعمومية </v>
      </c>
      <c r="N856" s="138" t="str">
        <f>IF(ISERROR(VLOOKUP(C856,'[1]خريطة الحسابات'!_xlnm.Print_Area,5,FALSE))," ",(VLOOKUP(C856,'[1]خريطة الحسابات'!_xlnm.Print_Area,5,FALSE)))</f>
        <v xml:space="preserve">مصروفات </v>
      </c>
      <c r="O856" s="139" t="s">
        <v>1712</v>
      </c>
      <c r="P856" s="139" t="s">
        <v>1664</v>
      </c>
    </row>
    <row r="857" spans="1:16">
      <c r="A857" s="104">
        <v>53</v>
      </c>
      <c r="B857" s="131">
        <v>46132</v>
      </c>
      <c r="C857" s="141">
        <v>99</v>
      </c>
      <c r="D857" s="140" t="str">
        <f>IF(ISERROR(VLOOKUP(C857,'[1]خريطة الحسابات'!_xlnm.Print_Area,3,FALSE))," ",(VLOOKUP(C857,'[1]خريطة الحسابات'!_xlnm.Print_Area,3,FALSE)))</f>
        <v xml:space="preserve">تكاليف ادارية وعمومية </v>
      </c>
      <c r="E857" s="132"/>
      <c r="F857" s="133">
        <v>200</v>
      </c>
      <c r="G857" s="133"/>
      <c r="H857" s="134">
        <f t="shared" ref="H857:I920" si="40">IF($E857=2,F857*3.465,F857)</f>
        <v>200</v>
      </c>
      <c r="I857" s="134">
        <f t="shared" si="40"/>
        <v>0</v>
      </c>
      <c r="J857" s="134">
        <f t="shared" si="39"/>
        <v>200</v>
      </c>
      <c r="K857" s="135"/>
      <c r="L857" s="136" t="str">
        <f t="shared" si="38"/>
        <v>مدين</v>
      </c>
      <c r="M857" s="137" t="str">
        <f>IF(ISERROR(VLOOKUP(C857,'[1]خريطة الحسابات'!_xlnm.Print_Area,4,FALSE))," ",(VLOOKUP(C857,'[1]خريطة الحسابات'!_xlnm.Print_Area,4,FALSE)))</f>
        <v xml:space="preserve">تكاليف ادارية وعمومية </v>
      </c>
      <c r="N857" s="138" t="str">
        <f>IF(ISERROR(VLOOKUP(C857,'[1]خريطة الحسابات'!_xlnm.Print_Area,5,FALSE))," ",(VLOOKUP(C857,'[1]خريطة الحسابات'!_xlnm.Print_Area,5,FALSE)))</f>
        <v xml:space="preserve">مصروفات </v>
      </c>
      <c r="O857" s="139" t="s">
        <v>1713</v>
      </c>
      <c r="P857" s="139" t="s">
        <v>1664</v>
      </c>
    </row>
    <row r="858" spans="1:16">
      <c r="A858" s="104">
        <v>53</v>
      </c>
      <c r="B858" s="131">
        <v>46132</v>
      </c>
      <c r="C858" s="141">
        <v>99</v>
      </c>
      <c r="D858" s="140" t="str">
        <f>IF(ISERROR(VLOOKUP(C858,'[1]خريطة الحسابات'!_xlnm.Print_Area,3,FALSE))," ",(VLOOKUP(C858,'[1]خريطة الحسابات'!_xlnm.Print_Area,3,FALSE)))</f>
        <v xml:space="preserve">تكاليف ادارية وعمومية </v>
      </c>
      <c r="E858" s="132"/>
      <c r="F858" s="133">
        <v>500</v>
      </c>
      <c r="G858" s="133"/>
      <c r="H858" s="134">
        <f t="shared" si="40"/>
        <v>500</v>
      </c>
      <c r="I858" s="134">
        <f t="shared" si="40"/>
        <v>0</v>
      </c>
      <c r="J858" s="134">
        <f t="shared" si="39"/>
        <v>500</v>
      </c>
      <c r="K858" s="135"/>
      <c r="L858" s="136" t="str">
        <f t="shared" si="38"/>
        <v>مدين</v>
      </c>
      <c r="M858" s="137" t="str">
        <f>IF(ISERROR(VLOOKUP(C858,'[1]خريطة الحسابات'!_xlnm.Print_Area,4,FALSE))," ",(VLOOKUP(C858,'[1]خريطة الحسابات'!_xlnm.Print_Area,4,FALSE)))</f>
        <v xml:space="preserve">تكاليف ادارية وعمومية </v>
      </c>
      <c r="N858" s="138" t="str">
        <f>IF(ISERROR(VLOOKUP(C858,'[1]خريطة الحسابات'!_xlnm.Print_Area,5,FALSE))," ",(VLOOKUP(C858,'[1]خريطة الحسابات'!_xlnm.Print_Area,5,FALSE)))</f>
        <v xml:space="preserve">مصروفات </v>
      </c>
      <c r="O858" s="139" t="s">
        <v>1714</v>
      </c>
      <c r="P858" s="139" t="s">
        <v>1664</v>
      </c>
    </row>
    <row r="859" spans="1:16">
      <c r="A859" s="104">
        <v>53</v>
      </c>
      <c r="B859" s="131">
        <v>46132</v>
      </c>
      <c r="C859" s="141">
        <v>99</v>
      </c>
      <c r="D859" s="140" t="str">
        <f>IF(ISERROR(VLOOKUP(C859,'[1]خريطة الحسابات'!_xlnm.Print_Area,3,FALSE))," ",(VLOOKUP(C859,'[1]خريطة الحسابات'!_xlnm.Print_Area,3,FALSE)))</f>
        <v xml:space="preserve">تكاليف ادارية وعمومية </v>
      </c>
      <c r="E859" s="132"/>
      <c r="F859" s="133">
        <v>75</v>
      </c>
      <c r="G859" s="133"/>
      <c r="H859" s="134">
        <f t="shared" si="40"/>
        <v>75</v>
      </c>
      <c r="I859" s="134">
        <f t="shared" si="40"/>
        <v>0</v>
      </c>
      <c r="J859" s="134">
        <f t="shared" si="39"/>
        <v>75</v>
      </c>
      <c r="K859" s="135"/>
      <c r="L859" s="136" t="str">
        <f t="shared" ref="L859:L922" si="41">IF(J859&lt;0,"دائن",IF(J859&gt;0,"مدين",""))</f>
        <v>مدين</v>
      </c>
      <c r="M859" s="137" t="str">
        <f>IF(ISERROR(VLOOKUP(C859,'[1]خريطة الحسابات'!_xlnm.Print_Area,4,FALSE))," ",(VLOOKUP(C859,'[1]خريطة الحسابات'!_xlnm.Print_Area,4,FALSE)))</f>
        <v xml:space="preserve">تكاليف ادارية وعمومية </v>
      </c>
      <c r="N859" s="138" t="str">
        <f>IF(ISERROR(VLOOKUP(C859,'[1]خريطة الحسابات'!_xlnm.Print_Area,5,FALSE))," ",(VLOOKUP(C859,'[1]خريطة الحسابات'!_xlnm.Print_Area,5,FALSE)))</f>
        <v xml:space="preserve">مصروفات </v>
      </c>
      <c r="O859" s="139" t="s">
        <v>1715</v>
      </c>
      <c r="P859" s="139" t="s">
        <v>1664</v>
      </c>
    </row>
    <row r="860" spans="1:16">
      <c r="A860" s="104">
        <v>53</v>
      </c>
      <c r="B860" s="131">
        <v>46133</v>
      </c>
      <c r="C860" s="141">
        <v>99</v>
      </c>
      <c r="D860" s="140" t="str">
        <f>IF(ISERROR(VLOOKUP(C860,'[1]خريطة الحسابات'!_xlnm.Print_Area,3,FALSE))," ",(VLOOKUP(C860,'[1]خريطة الحسابات'!_xlnm.Print_Area,3,FALSE)))</f>
        <v xml:space="preserve">تكاليف ادارية وعمومية </v>
      </c>
      <c r="E860" s="132"/>
      <c r="F860" s="133">
        <v>1555</v>
      </c>
      <c r="G860" s="133"/>
      <c r="H860" s="134">
        <f t="shared" si="40"/>
        <v>1555</v>
      </c>
      <c r="I860" s="134">
        <f t="shared" si="40"/>
        <v>0</v>
      </c>
      <c r="J860" s="134">
        <f t="shared" si="39"/>
        <v>1555</v>
      </c>
      <c r="K860" s="135"/>
      <c r="L860" s="136" t="str">
        <f t="shared" si="41"/>
        <v>مدين</v>
      </c>
      <c r="M860" s="137" t="str">
        <f>IF(ISERROR(VLOOKUP(C860,'[1]خريطة الحسابات'!_xlnm.Print_Area,4,FALSE))," ",(VLOOKUP(C860,'[1]خريطة الحسابات'!_xlnm.Print_Area,4,FALSE)))</f>
        <v xml:space="preserve">تكاليف ادارية وعمومية </v>
      </c>
      <c r="N860" s="138" t="str">
        <f>IF(ISERROR(VLOOKUP(C860,'[1]خريطة الحسابات'!_xlnm.Print_Area,5,FALSE))," ",(VLOOKUP(C860,'[1]خريطة الحسابات'!_xlnm.Print_Area,5,FALSE)))</f>
        <v xml:space="preserve">مصروفات </v>
      </c>
      <c r="O860" s="139" t="s">
        <v>1716</v>
      </c>
      <c r="P860" s="139" t="s">
        <v>1664</v>
      </c>
    </row>
    <row r="861" spans="1:16">
      <c r="A861" s="104">
        <v>53</v>
      </c>
      <c r="B861" s="131">
        <v>46133</v>
      </c>
      <c r="C861" s="141">
        <v>99</v>
      </c>
      <c r="D861" s="140" t="str">
        <f>IF(ISERROR(VLOOKUP(C861,'[1]خريطة الحسابات'!_xlnm.Print_Area,3,FALSE))," ",(VLOOKUP(C861,'[1]خريطة الحسابات'!_xlnm.Print_Area,3,FALSE)))</f>
        <v xml:space="preserve">تكاليف ادارية وعمومية </v>
      </c>
      <c r="E861" s="132"/>
      <c r="F861" s="133">
        <v>200</v>
      </c>
      <c r="G861" s="133"/>
      <c r="H861" s="134">
        <f t="shared" si="40"/>
        <v>200</v>
      </c>
      <c r="I861" s="134">
        <f t="shared" si="40"/>
        <v>0</v>
      </c>
      <c r="J861" s="134">
        <f t="shared" si="39"/>
        <v>200</v>
      </c>
      <c r="K861" s="135"/>
      <c r="L861" s="136" t="str">
        <f t="shared" si="41"/>
        <v>مدين</v>
      </c>
      <c r="M861" s="137" t="str">
        <f>IF(ISERROR(VLOOKUP(C861,'[1]خريطة الحسابات'!_xlnm.Print_Area,4,FALSE))," ",(VLOOKUP(C861,'[1]خريطة الحسابات'!_xlnm.Print_Area,4,FALSE)))</f>
        <v xml:space="preserve">تكاليف ادارية وعمومية </v>
      </c>
      <c r="N861" s="138" t="str">
        <f>IF(ISERROR(VLOOKUP(C861,'[1]خريطة الحسابات'!_xlnm.Print_Area,5,FALSE))," ",(VLOOKUP(C861,'[1]خريطة الحسابات'!_xlnm.Print_Area,5,FALSE)))</f>
        <v xml:space="preserve">مصروفات </v>
      </c>
      <c r="O861" s="139" t="s">
        <v>1717</v>
      </c>
      <c r="P861" s="139" t="s">
        <v>1664</v>
      </c>
    </row>
    <row r="862" spans="1:16">
      <c r="A862" s="104">
        <v>53</v>
      </c>
      <c r="B862" s="131">
        <v>46133</v>
      </c>
      <c r="C862" s="141">
        <v>99</v>
      </c>
      <c r="D862" s="140" t="str">
        <f>IF(ISERROR(VLOOKUP(C862,'[1]خريطة الحسابات'!_xlnm.Print_Area,3,FALSE))," ",(VLOOKUP(C862,'[1]خريطة الحسابات'!_xlnm.Print_Area,3,FALSE)))</f>
        <v xml:space="preserve">تكاليف ادارية وعمومية </v>
      </c>
      <c r="E862" s="132"/>
      <c r="F862" s="133">
        <v>85</v>
      </c>
      <c r="G862" s="133"/>
      <c r="H862" s="134">
        <f t="shared" si="40"/>
        <v>85</v>
      </c>
      <c r="I862" s="134">
        <f t="shared" si="40"/>
        <v>0</v>
      </c>
      <c r="J862" s="134">
        <f t="shared" si="39"/>
        <v>85</v>
      </c>
      <c r="K862" s="135"/>
      <c r="L862" s="136" t="str">
        <f t="shared" si="41"/>
        <v>مدين</v>
      </c>
      <c r="M862" s="137" t="str">
        <f>IF(ISERROR(VLOOKUP(C862,'[1]خريطة الحسابات'!_xlnm.Print_Area,4,FALSE))," ",(VLOOKUP(C862,'[1]خريطة الحسابات'!_xlnm.Print_Area,4,FALSE)))</f>
        <v xml:space="preserve">تكاليف ادارية وعمومية </v>
      </c>
      <c r="N862" s="138" t="str">
        <f>IF(ISERROR(VLOOKUP(C862,'[1]خريطة الحسابات'!_xlnm.Print_Area,5,FALSE))," ",(VLOOKUP(C862,'[1]خريطة الحسابات'!_xlnm.Print_Area,5,FALSE)))</f>
        <v xml:space="preserve">مصروفات </v>
      </c>
      <c r="O862" s="139" t="s">
        <v>1718</v>
      </c>
      <c r="P862" s="139" t="s">
        <v>1664</v>
      </c>
    </row>
    <row r="863" spans="1:16">
      <c r="A863" s="104">
        <v>53</v>
      </c>
      <c r="B863" s="131">
        <v>46133</v>
      </c>
      <c r="C863" s="141">
        <v>99</v>
      </c>
      <c r="D863" s="140" t="str">
        <f>IF(ISERROR(VLOOKUP(C863,'[1]خريطة الحسابات'!_xlnm.Print_Area,3,FALSE))," ",(VLOOKUP(C863,'[1]خريطة الحسابات'!_xlnm.Print_Area,3,FALSE)))</f>
        <v xml:space="preserve">تكاليف ادارية وعمومية </v>
      </c>
      <c r="E863" s="132"/>
      <c r="F863" s="133">
        <v>2300</v>
      </c>
      <c r="G863" s="133"/>
      <c r="H863" s="134">
        <f t="shared" si="40"/>
        <v>2300</v>
      </c>
      <c r="I863" s="134">
        <f t="shared" si="40"/>
        <v>0</v>
      </c>
      <c r="J863" s="134">
        <f t="shared" si="39"/>
        <v>2300</v>
      </c>
      <c r="K863" s="135"/>
      <c r="L863" s="136" t="str">
        <f t="shared" si="41"/>
        <v>مدين</v>
      </c>
      <c r="M863" s="137" t="str">
        <f>IF(ISERROR(VLOOKUP(C863,'[1]خريطة الحسابات'!_xlnm.Print_Area,4,FALSE))," ",(VLOOKUP(C863,'[1]خريطة الحسابات'!_xlnm.Print_Area,4,FALSE)))</f>
        <v xml:space="preserve">تكاليف ادارية وعمومية </v>
      </c>
      <c r="N863" s="138" t="str">
        <f>IF(ISERROR(VLOOKUP(C863,'[1]خريطة الحسابات'!_xlnm.Print_Area,5,FALSE))," ",(VLOOKUP(C863,'[1]خريطة الحسابات'!_xlnm.Print_Area,5,FALSE)))</f>
        <v xml:space="preserve">مصروفات </v>
      </c>
      <c r="O863" s="139" t="s">
        <v>1719</v>
      </c>
      <c r="P863" s="139" t="s">
        <v>1664</v>
      </c>
    </row>
    <row r="864" spans="1:16">
      <c r="A864" s="104">
        <v>53</v>
      </c>
      <c r="B864" s="131">
        <v>46133</v>
      </c>
      <c r="C864" s="141">
        <v>99</v>
      </c>
      <c r="D864" s="140" t="str">
        <f>IF(ISERROR(VLOOKUP(C864,'[1]خريطة الحسابات'!_xlnm.Print_Area,3,FALSE))," ",(VLOOKUP(C864,'[1]خريطة الحسابات'!_xlnm.Print_Area,3,FALSE)))</f>
        <v xml:space="preserve">تكاليف ادارية وعمومية </v>
      </c>
      <c r="E864" s="132"/>
      <c r="F864" s="133">
        <v>1000</v>
      </c>
      <c r="G864" s="133"/>
      <c r="H864" s="134">
        <f t="shared" si="40"/>
        <v>1000</v>
      </c>
      <c r="I864" s="134">
        <f t="shared" si="40"/>
        <v>0</v>
      </c>
      <c r="J864" s="134">
        <f t="shared" si="39"/>
        <v>1000</v>
      </c>
      <c r="K864" s="135"/>
      <c r="L864" s="136" t="str">
        <f t="shared" si="41"/>
        <v>مدين</v>
      </c>
      <c r="M864" s="137" t="str">
        <f>IF(ISERROR(VLOOKUP(C864,'[1]خريطة الحسابات'!_xlnm.Print_Area,4,FALSE))," ",(VLOOKUP(C864,'[1]خريطة الحسابات'!_xlnm.Print_Area,4,FALSE)))</f>
        <v xml:space="preserve">تكاليف ادارية وعمومية </v>
      </c>
      <c r="N864" s="138" t="str">
        <f>IF(ISERROR(VLOOKUP(C864,'[1]خريطة الحسابات'!_xlnm.Print_Area,5,FALSE))," ",(VLOOKUP(C864,'[1]خريطة الحسابات'!_xlnm.Print_Area,5,FALSE)))</f>
        <v xml:space="preserve">مصروفات </v>
      </c>
      <c r="O864" s="139" t="s">
        <v>1720</v>
      </c>
      <c r="P864" s="139" t="s">
        <v>1664</v>
      </c>
    </row>
    <row r="865" spans="1:16">
      <c r="A865" s="104">
        <v>53</v>
      </c>
      <c r="B865" s="131">
        <v>46133</v>
      </c>
      <c r="C865" s="141">
        <v>99</v>
      </c>
      <c r="D865" s="140" t="str">
        <f>IF(ISERROR(VLOOKUP(C865,'[1]خريطة الحسابات'!_xlnm.Print_Area,3,FALSE))," ",(VLOOKUP(C865,'[1]خريطة الحسابات'!_xlnm.Print_Area,3,FALSE)))</f>
        <v xml:space="preserve">تكاليف ادارية وعمومية </v>
      </c>
      <c r="E865" s="132"/>
      <c r="F865" s="133">
        <v>500</v>
      </c>
      <c r="G865" s="133"/>
      <c r="H865" s="134">
        <f t="shared" si="40"/>
        <v>500</v>
      </c>
      <c r="I865" s="134">
        <f t="shared" si="40"/>
        <v>0</v>
      </c>
      <c r="J865" s="134">
        <f t="shared" si="39"/>
        <v>500</v>
      </c>
      <c r="K865" s="135"/>
      <c r="L865" s="136" t="str">
        <f t="shared" si="41"/>
        <v>مدين</v>
      </c>
      <c r="M865" s="137" t="str">
        <f>IF(ISERROR(VLOOKUP(C865,'[1]خريطة الحسابات'!_xlnm.Print_Area,4,FALSE))," ",(VLOOKUP(C865,'[1]خريطة الحسابات'!_xlnm.Print_Area,4,FALSE)))</f>
        <v xml:space="preserve">تكاليف ادارية وعمومية </v>
      </c>
      <c r="N865" s="138" t="str">
        <f>IF(ISERROR(VLOOKUP(C865,'[1]خريطة الحسابات'!_xlnm.Print_Area,5,FALSE))," ",(VLOOKUP(C865,'[1]خريطة الحسابات'!_xlnm.Print_Area,5,FALSE)))</f>
        <v xml:space="preserve">مصروفات </v>
      </c>
      <c r="O865" s="139" t="s">
        <v>1721</v>
      </c>
      <c r="P865" s="139" t="s">
        <v>1664</v>
      </c>
    </row>
    <row r="866" spans="1:16">
      <c r="A866" s="104">
        <v>53</v>
      </c>
      <c r="B866" s="131">
        <v>46134</v>
      </c>
      <c r="C866" s="141">
        <v>99</v>
      </c>
      <c r="D866" s="140" t="str">
        <f>IF(ISERROR(VLOOKUP(C866,'[1]خريطة الحسابات'!_xlnm.Print_Area,3,FALSE))," ",(VLOOKUP(C866,'[1]خريطة الحسابات'!_xlnm.Print_Area,3,FALSE)))</f>
        <v xml:space="preserve">تكاليف ادارية وعمومية </v>
      </c>
      <c r="E866" s="132"/>
      <c r="F866" s="133">
        <v>2150</v>
      </c>
      <c r="G866" s="133"/>
      <c r="H866" s="134">
        <f t="shared" si="40"/>
        <v>2150</v>
      </c>
      <c r="I866" s="134">
        <f t="shared" si="40"/>
        <v>0</v>
      </c>
      <c r="J866" s="134">
        <f t="shared" si="39"/>
        <v>2150</v>
      </c>
      <c r="K866" s="135"/>
      <c r="L866" s="136" t="str">
        <f t="shared" si="41"/>
        <v>مدين</v>
      </c>
      <c r="M866" s="137" t="str">
        <f>IF(ISERROR(VLOOKUP(C866,'[1]خريطة الحسابات'!_xlnm.Print_Area,4,FALSE))," ",(VLOOKUP(C866,'[1]خريطة الحسابات'!_xlnm.Print_Area,4,FALSE)))</f>
        <v xml:space="preserve">تكاليف ادارية وعمومية </v>
      </c>
      <c r="N866" s="138" t="str">
        <f>IF(ISERROR(VLOOKUP(C866,'[1]خريطة الحسابات'!_xlnm.Print_Area,5,FALSE))," ",(VLOOKUP(C866,'[1]خريطة الحسابات'!_xlnm.Print_Area,5,FALSE)))</f>
        <v xml:space="preserve">مصروفات </v>
      </c>
      <c r="O866" s="139" t="s">
        <v>1722</v>
      </c>
      <c r="P866" s="139" t="s">
        <v>1664</v>
      </c>
    </row>
    <row r="867" spans="1:16">
      <c r="A867" s="104">
        <v>53</v>
      </c>
      <c r="B867" s="131">
        <v>46134</v>
      </c>
      <c r="C867" s="141">
        <v>99</v>
      </c>
      <c r="D867" s="140" t="str">
        <f>IF(ISERROR(VLOOKUP(C867,'[1]خريطة الحسابات'!_xlnm.Print_Area,3,FALSE))," ",(VLOOKUP(C867,'[1]خريطة الحسابات'!_xlnm.Print_Area,3,FALSE)))</f>
        <v xml:space="preserve">تكاليف ادارية وعمومية </v>
      </c>
      <c r="E867" s="132"/>
      <c r="F867" s="133">
        <v>200</v>
      </c>
      <c r="G867" s="133"/>
      <c r="H867" s="134">
        <f t="shared" si="40"/>
        <v>200</v>
      </c>
      <c r="I867" s="134">
        <f t="shared" si="40"/>
        <v>0</v>
      </c>
      <c r="J867" s="134">
        <f t="shared" si="39"/>
        <v>200</v>
      </c>
      <c r="K867" s="135"/>
      <c r="L867" s="136" t="str">
        <f t="shared" si="41"/>
        <v>مدين</v>
      </c>
      <c r="M867" s="137" t="str">
        <f>IF(ISERROR(VLOOKUP(C867,'[1]خريطة الحسابات'!_xlnm.Print_Area,4,FALSE))," ",(VLOOKUP(C867,'[1]خريطة الحسابات'!_xlnm.Print_Area,4,FALSE)))</f>
        <v xml:space="preserve">تكاليف ادارية وعمومية </v>
      </c>
      <c r="N867" s="138" t="str">
        <f>IF(ISERROR(VLOOKUP(C867,'[1]خريطة الحسابات'!_xlnm.Print_Area,5,FALSE))," ",(VLOOKUP(C867,'[1]خريطة الحسابات'!_xlnm.Print_Area,5,FALSE)))</f>
        <v xml:space="preserve">مصروفات </v>
      </c>
      <c r="O867" s="139" t="s">
        <v>1723</v>
      </c>
      <c r="P867" s="139" t="s">
        <v>1664</v>
      </c>
    </row>
    <row r="868" spans="1:16">
      <c r="A868" s="104">
        <v>53</v>
      </c>
      <c r="B868" s="131">
        <v>46135</v>
      </c>
      <c r="C868" s="141">
        <v>99</v>
      </c>
      <c r="D868" s="140" t="str">
        <f>IF(ISERROR(VLOOKUP(C868,'[1]خريطة الحسابات'!_xlnm.Print_Area,3,FALSE))," ",(VLOOKUP(C868,'[1]خريطة الحسابات'!_xlnm.Print_Area,3,FALSE)))</f>
        <v xml:space="preserve">تكاليف ادارية وعمومية </v>
      </c>
      <c r="E868" s="132"/>
      <c r="F868" s="133">
        <v>200</v>
      </c>
      <c r="G868" s="133"/>
      <c r="H868" s="134">
        <f t="shared" si="40"/>
        <v>200</v>
      </c>
      <c r="I868" s="134">
        <f t="shared" si="40"/>
        <v>0</v>
      </c>
      <c r="J868" s="134">
        <f t="shared" si="39"/>
        <v>200</v>
      </c>
      <c r="K868" s="135"/>
      <c r="L868" s="136" t="str">
        <f t="shared" si="41"/>
        <v>مدين</v>
      </c>
      <c r="M868" s="137" t="str">
        <f>IF(ISERROR(VLOOKUP(C868,'[1]خريطة الحسابات'!_xlnm.Print_Area,4,FALSE))," ",(VLOOKUP(C868,'[1]خريطة الحسابات'!_xlnm.Print_Area,4,FALSE)))</f>
        <v xml:space="preserve">تكاليف ادارية وعمومية </v>
      </c>
      <c r="N868" s="138" t="str">
        <f>IF(ISERROR(VLOOKUP(C868,'[1]خريطة الحسابات'!_xlnm.Print_Area,5,FALSE))," ",(VLOOKUP(C868,'[1]خريطة الحسابات'!_xlnm.Print_Area,5,FALSE)))</f>
        <v xml:space="preserve">مصروفات </v>
      </c>
      <c r="O868" s="139" t="s">
        <v>1724</v>
      </c>
      <c r="P868" s="139" t="s">
        <v>1664</v>
      </c>
    </row>
    <row r="869" spans="1:16">
      <c r="A869" s="104">
        <v>53</v>
      </c>
      <c r="B869" s="131">
        <v>46135</v>
      </c>
      <c r="C869" s="141">
        <v>99</v>
      </c>
      <c r="D869" s="140" t="str">
        <f>IF(ISERROR(VLOOKUP(C869,'[1]خريطة الحسابات'!_xlnm.Print_Area,3,FALSE))," ",(VLOOKUP(C869,'[1]خريطة الحسابات'!_xlnm.Print_Area,3,FALSE)))</f>
        <v xml:space="preserve">تكاليف ادارية وعمومية </v>
      </c>
      <c r="E869" s="132"/>
      <c r="F869" s="133">
        <v>375</v>
      </c>
      <c r="G869" s="133"/>
      <c r="H869" s="134">
        <f t="shared" si="40"/>
        <v>375</v>
      </c>
      <c r="I869" s="134">
        <f t="shared" si="40"/>
        <v>0</v>
      </c>
      <c r="J869" s="134">
        <f t="shared" si="39"/>
        <v>375</v>
      </c>
      <c r="K869" s="135"/>
      <c r="L869" s="136" t="str">
        <f t="shared" si="41"/>
        <v>مدين</v>
      </c>
      <c r="M869" s="137" t="str">
        <f>IF(ISERROR(VLOOKUP(C869,'[1]خريطة الحسابات'!_xlnm.Print_Area,4,FALSE))," ",(VLOOKUP(C869,'[1]خريطة الحسابات'!_xlnm.Print_Area,4,FALSE)))</f>
        <v xml:space="preserve">تكاليف ادارية وعمومية </v>
      </c>
      <c r="N869" s="138" t="str">
        <f>IF(ISERROR(VLOOKUP(C869,'[1]خريطة الحسابات'!_xlnm.Print_Area,5,FALSE))," ",(VLOOKUP(C869,'[1]خريطة الحسابات'!_xlnm.Print_Area,5,FALSE)))</f>
        <v xml:space="preserve">مصروفات </v>
      </c>
      <c r="O869" s="139" t="s">
        <v>1725</v>
      </c>
      <c r="P869" s="139" t="s">
        <v>1664</v>
      </c>
    </row>
    <row r="870" spans="1:16">
      <c r="A870" s="104">
        <v>53</v>
      </c>
      <c r="B870" s="131">
        <v>46138</v>
      </c>
      <c r="C870" s="141">
        <v>99</v>
      </c>
      <c r="D870" s="140" t="str">
        <f>IF(ISERROR(VLOOKUP(C870,'[1]خريطة الحسابات'!_xlnm.Print_Area,3,FALSE))," ",(VLOOKUP(C870,'[1]خريطة الحسابات'!_xlnm.Print_Area,3,FALSE)))</f>
        <v xml:space="preserve">تكاليف ادارية وعمومية </v>
      </c>
      <c r="E870" s="132"/>
      <c r="F870" s="133">
        <v>150</v>
      </c>
      <c r="G870" s="133"/>
      <c r="H870" s="134">
        <f t="shared" si="40"/>
        <v>150</v>
      </c>
      <c r="I870" s="134">
        <f t="shared" si="40"/>
        <v>0</v>
      </c>
      <c r="J870" s="134">
        <f t="shared" si="39"/>
        <v>150</v>
      </c>
      <c r="K870" s="135"/>
      <c r="L870" s="136" t="str">
        <f t="shared" si="41"/>
        <v>مدين</v>
      </c>
      <c r="M870" s="137" t="str">
        <f>IF(ISERROR(VLOOKUP(C870,'[1]خريطة الحسابات'!_xlnm.Print_Area,4,FALSE))," ",(VLOOKUP(C870,'[1]خريطة الحسابات'!_xlnm.Print_Area,4,FALSE)))</f>
        <v xml:space="preserve">تكاليف ادارية وعمومية </v>
      </c>
      <c r="N870" s="138" t="str">
        <f>IF(ISERROR(VLOOKUP(C870,'[1]خريطة الحسابات'!_xlnm.Print_Area,5,FALSE))," ",(VLOOKUP(C870,'[1]خريطة الحسابات'!_xlnm.Print_Area,5,FALSE)))</f>
        <v xml:space="preserve">مصروفات </v>
      </c>
      <c r="O870" s="139" t="s">
        <v>1726</v>
      </c>
      <c r="P870" s="139" t="s">
        <v>1664</v>
      </c>
    </row>
    <row r="871" spans="1:16">
      <c r="A871" s="104">
        <v>53</v>
      </c>
      <c r="B871" s="131">
        <v>46139</v>
      </c>
      <c r="C871" s="141">
        <v>99</v>
      </c>
      <c r="D871" s="140" t="str">
        <f>IF(ISERROR(VLOOKUP(C871,'[1]خريطة الحسابات'!_xlnm.Print_Area,3,FALSE))," ",(VLOOKUP(C871,'[1]خريطة الحسابات'!_xlnm.Print_Area,3,FALSE)))</f>
        <v xml:space="preserve">تكاليف ادارية وعمومية </v>
      </c>
      <c r="E871" s="132"/>
      <c r="F871" s="133">
        <v>925</v>
      </c>
      <c r="G871" s="133"/>
      <c r="H871" s="134">
        <f t="shared" si="40"/>
        <v>925</v>
      </c>
      <c r="I871" s="134">
        <f t="shared" si="40"/>
        <v>0</v>
      </c>
      <c r="J871" s="134">
        <f t="shared" si="39"/>
        <v>925</v>
      </c>
      <c r="K871" s="135"/>
      <c r="L871" s="136" t="str">
        <f t="shared" si="41"/>
        <v>مدين</v>
      </c>
      <c r="M871" s="137" t="str">
        <f>IF(ISERROR(VLOOKUP(C871,'[1]خريطة الحسابات'!_xlnm.Print_Area,4,FALSE))," ",(VLOOKUP(C871,'[1]خريطة الحسابات'!_xlnm.Print_Area,4,FALSE)))</f>
        <v xml:space="preserve">تكاليف ادارية وعمومية </v>
      </c>
      <c r="N871" s="138" t="str">
        <f>IF(ISERROR(VLOOKUP(C871,'[1]خريطة الحسابات'!_xlnm.Print_Area,5,FALSE))," ",(VLOOKUP(C871,'[1]خريطة الحسابات'!_xlnm.Print_Area,5,FALSE)))</f>
        <v xml:space="preserve">مصروفات </v>
      </c>
      <c r="O871" s="139" t="s">
        <v>1727</v>
      </c>
      <c r="P871" s="139" t="s">
        <v>1664</v>
      </c>
    </row>
    <row r="872" spans="1:16">
      <c r="A872" s="104">
        <v>53</v>
      </c>
      <c r="B872" s="131">
        <v>46139</v>
      </c>
      <c r="C872" s="141">
        <v>99</v>
      </c>
      <c r="D872" s="140" t="str">
        <f>IF(ISERROR(VLOOKUP(C872,'[1]خريطة الحسابات'!_xlnm.Print_Area,3,FALSE))," ",(VLOOKUP(C872,'[1]خريطة الحسابات'!_xlnm.Print_Area,3,FALSE)))</f>
        <v xml:space="preserve">تكاليف ادارية وعمومية </v>
      </c>
      <c r="E872" s="132"/>
      <c r="F872" s="133">
        <v>2234</v>
      </c>
      <c r="G872" s="133"/>
      <c r="H872" s="134">
        <f t="shared" si="40"/>
        <v>2234</v>
      </c>
      <c r="I872" s="134">
        <f t="shared" si="40"/>
        <v>0</v>
      </c>
      <c r="J872" s="134">
        <f t="shared" si="39"/>
        <v>2234</v>
      </c>
      <c r="K872" s="135"/>
      <c r="L872" s="136" t="str">
        <f t="shared" si="41"/>
        <v>مدين</v>
      </c>
      <c r="M872" s="137" t="str">
        <f>IF(ISERROR(VLOOKUP(C872,'[1]خريطة الحسابات'!_xlnm.Print_Area,4,FALSE))," ",(VLOOKUP(C872,'[1]خريطة الحسابات'!_xlnm.Print_Area,4,FALSE)))</f>
        <v xml:space="preserve">تكاليف ادارية وعمومية </v>
      </c>
      <c r="N872" s="138" t="str">
        <f>IF(ISERROR(VLOOKUP(C872,'[1]خريطة الحسابات'!_xlnm.Print_Area,5,FALSE))," ",(VLOOKUP(C872,'[1]خريطة الحسابات'!_xlnm.Print_Area,5,FALSE)))</f>
        <v xml:space="preserve">مصروفات </v>
      </c>
      <c r="O872" s="139" t="s">
        <v>1728</v>
      </c>
      <c r="P872" s="139" t="s">
        <v>1664</v>
      </c>
    </row>
    <row r="873" spans="1:16">
      <c r="A873" s="104">
        <v>53</v>
      </c>
      <c r="B873" s="131">
        <v>46142</v>
      </c>
      <c r="C873" s="141">
        <v>99</v>
      </c>
      <c r="D873" s="140" t="str">
        <f>IF(ISERROR(VLOOKUP(C873,'[1]خريطة الحسابات'!_xlnm.Print_Area,3,FALSE))," ",(VLOOKUP(C873,'[1]خريطة الحسابات'!_xlnm.Print_Area,3,FALSE)))</f>
        <v xml:space="preserve">تكاليف ادارية وعمومية </v>
      </c>
      <c r="E873" s="132"/>
      <c r="F873" s="133">
        <v>2250</v>
      </c>
      <c r="G873" s="133"/>
      <c r="H873" s="134">
        <f t="shared" si="40"/>
        <v>2250</v>
      </c>
      <c r="I873" s="134">
        <f t="shared" si="40"/>
        <v>0</v>
      </c>
      <c r="J873" s="134">
        <f t="shared" si="39"/>
        <v>2250</v>
      </c>
      <c r="K873" s="135"/>
      <c r="L873" s="136" t="str">
        <f t="shared" si="41"/>
        <v>مدين</v>
      </c>
      <c r="M873" s="137" t="str">
        <f>IF(ISERROR(VLOOKUP(C873,'[1]خريطة الحسابات'!_xlnm.Print_Area,4,FALSE))," ",(VLOOKUP(C873,'[1]خريطة الحسابات'!_xlnm.Print_Area,4,FALSE)))</f>
        <v xml:space="preserve">تكاليف ادارية وعمومية </v>
      </c>
      <c r="N873" s="138" t="str">
        <f>IF(ISERROR(VLOOKUP(C873,'[1]خريطة الحسابات'!_xlnm.Print_Area,5,FALSE))," ",(VLOOKUP(C873,'[1]خريطة الحسابات'!_xlnm.Print_Area,5,FALSE)))</f>
        <v xml:space="preserve">مصروفات </v>
      </c>
      <c r="O873" s="139" t="s">
        <v>1727</v>
      </c>
      <c r="P873" s="139" t="s">
        <v>1664</v>
      </c>
    </row>
    <row r="874" spans="1:16">
      <c r="A874" s="104">
        <v>53</v>
      </c>
      <c r="B874" s="131">
        <v>46144</v>
      </c>
      <c r="C874" s="141">
        <v>99</v>
      </c>
      <c r="D874" s="140" t="str">
        <f>IF(ISERROR(VLOOKUP(C874,'[1]خريطة الحسابات'!_xlnm.Print_Area,3,FALSE))," ",(VLOOKUP(C874,'[1]خريطة الحسابات'!_xlnm.Print_Area,3,FALSE)))</f>
        <v xml:space="preserve">تكاليف ادارية وعمومية </v>
      </c>
      <c r="E874" s="132"/>
      <c r="F874" s="133">
        <v>3475</v>
      </c>
      <c r="G874" s="133"/>
      <c r="H874" s="134">
        <f t="shared" si="40"/>
        <v>3475</v>
      </c>
      <c r="I874" s="134">
        <f t="shared" si="40"/>
        <v>0</v>
      </c>
      <c r="J874" s="134">
        <f t="shared" si="39"/>
        <v>3475</v>
      </c>
      <c r="K874" s="135"/>
      <c r="L874" s="136" t="str">
        <f t="shared" si="41"/>
        <v>مدين</v>
      </c>
      <c r="M874" s="137" t="str">
        <f>IF(ISERROR(VLOOKUP(C874,'[1]خريطة الحسابات'!_xlnm.Print_Area,4,FALSE))," ",(VLOOKUP(C874,'[1]خريطة الحسابات'!_xlnm.Print_Area,4,FALSE)))</f>
        <v xml:space="preserve">تكاليف ادارية وعمومية </v>
      </c>
      <c r="N874" s="138" t="str">
        <f>IF(ISERROR(VLOOKUP(C874,'[1]خريطة الحسابات'!_xlnm.Print_Area,5,FALSE))," ",(VLOOKUP(C874,'[1]خريطة الحسابات'!_xlnm.Print_Area,5,FALSE)))</f>
        <v xml:space="preserve">مصروفات </v>
      </c>
      <c r="O874" s="139" t="s">
        <v>1729</v>
      </c>
      <c r="P874" s="139" t="s">
        <v>1664</v>
      </c>
    </row>
    <row r="875" spans="1:16">
      <c r="A875" s="104">
        <v>53</v>
      </c>
      <c r="B875" s="131">
        <v>46144</v>
      </c>
      <c r="C875" s="141">
        <v>99</v>
      </c>
      <c r="D875" s="140" t="str">
        <f>IF(ISERROR(VLOOKUP(C875,'[1]خريطة الحسابات'!_xlnm.Print_Area,3,FALSE))," ",(VLOOKUP(C875,'[1]خريطة الحسابات'!_xlnm.Print_Area,3,FALSE)))</f>
        <v xml:space="preserve">تكاليف ادارية وعمومية </v>
      </c>
      <c r="E875" s="132"/>
      <c r="F875" s="133">
        <v>300</v>
      </c>
      <c r="G875" s="133"/>
      <c r="H875" s="134">
        <f t="shared" si="40"/>
        <v>300</v>
      </c>
      <c r="I875" s="134">
        <f t="shared" si="40"/>
        <v>0</v>
      </c>
      <c r="J875" s="134">
        <f t="shared" si="39"/>
        <v>300</v>
      </c>
      <c r="K875" s="135"/>
      <c r="L875" s="136" t="str">
        <f t="shared" si="41"/>
        <v>مدين</v>
      </c>
      <c r="M875" s="137" t="str">
        <f>IF(ISERROR(VLOOKUP(C875,'[1]خريطة الحسابات'!_xlnm.Print_Area,4,FALSE))," ",(VLOOKUP(C875,'[1]خريطة الحسابات'!_xlnm.Print_Area,4,FALSE)))</f>
        <v xml:space="preserve">تكاليف ادارية وعمومية </v>
      </c>
      <c r="N875" s="138" t="str">
        <f>IF(ISERROR(VLOOKUP(C875,'[1]خريطة الحسابات'!_xlnm.Print_Area,5,FALSE))," ",(VLOOKUP(C875,'[1]خريطة الحسابات'!_xlnm.Print_Area,5,FALSE)))</f>
        <v xml:space="preserve">مصروفات </v>
      </c>
      <c r="O875" s="139" t="s">
        <v>1730</v>
      </c>
      <c r="P875" s="139" t="s">
        <v>1664</v>
      </c>
    </row>
    <row r="876" spans="1:16">
      <c r="A876" s="104">
        <v>53</v>
      </c>
      <c r="B876" s="131">
        <v>46144</v>
      </c>
      <c r="C876" s="141">
        <v>99</v>
      </c>
      <c r="D876" s="140" t="str">
        <f>IF(ISERROR(VLOOKUP(C876,'[1]خريطة الحسابات'!_xlnm.Print_Area,3,FALSE))," ",(VLOOKUP(C876,'[1]خريطة الحسابات'!_xlnm.Print_Area,3,FALSE)))</f>
        <v xml:space="preserve">تكاليف ادارية وعمومية </v>
      </c>
      <c r="E876" s="132"/>
      <c r="F876" s="133">
        <v>400</v>
      </c>
      <c r="G876" s="133"/>
      <c r="H876" s="134">
        <f t="shared" si="40"/>
        <v>400</v>
      </c>
      <c r="I876" s="134">
        <f t="shared" si="40"/>
        <v>0</v>
      </c>
      <c r="J876" s="134">
        <f t="shared" si="39"/>
        <v>400</v>
      </c>
      <c r="K876" s="135"/>
      <c r="L876" s="136" t="str">
        <f t="shared" si="41"/>
        <v>مدين</v>
      </c>
      <c r="M876" s="137" t="str">
        <f>IF(ISERROR(VLOOKUP(C876,'[1]خريطة الحسابات'!_xlnm.Print_Area,4,FALSE))," ",(VLOOKUP(C876,'[1]خريطة الحسابات'!_xlnm.Print_Area,4,FALSE)))</f>
        <v xml:space="preserve">تكاليف ادارية وعمومية </v>
      </c>
      <c r="N876" s="138" t="str">
        <f>IF(ISERROR(VLOOKUP(C876,'[1]خريطة الحسابات'!_xlnm.Print_Area,5,FALSE))," ",(VLOOKUP(C876,'[1]خريطة الحسابات'!_xlnm.Print_Area,5,FALSE)))</f>
        <v xml:space="preserve">مصروفات </v>
      </c>
      <c r="O876" s="139" t="s">
        <v>1731</v>
      </c>
      <c r="P876" s="139" t="s">
        <v>1664</v>
      </c>
    </row>
    <row r="877" spans="1:16">
      <c r="A877" s="104">
        <v>53</v>
      </c>
      <c r="B877" s="131">
        <v>46144</v>
      </c>
      <c r="C877" s="141">
        <v>99</v>
      </c>
      <c r="D877" s="140" t="str">
        <f>IF(ISERROR(VLOOKUP(C877,'[1]خريطة الحسابات'!_xlnm.Print_Area,3,FALSE))," ",(VLOOKUP(C877,'[1]خريطة الحسابات'!_xlnm.Print_Area,3,FALSE)))</f>
        <v xml:space="preserve">تكاليف ادارية وعمومية </v>
      </c>
      <c r="E877" s="132"/>
      <c r="F877" s="133">
        <v>275</v>
      </c>
      <c r="G877" s="133"/>
      <c r="H877" s="134">
        <f t="shared" si="40"/>
        <v>275</v>
      </c>
      <c r="I877" s="134">
        <f t="shared" si="40"/>
        <v>0</v>
      </c>
      <c r="J877" s="134">
        <f t="shared" si="39"/>
        <v>275</v>
      </c>
      <c r="K877" s="135"/>
      <c r="L877" s="136" t="str">
        <f t="shared" si="41"/>
        <v>مدين</v>
      </c>
      <c r="M877" s="137" t="str">
        <f>IF(ISERROR(VLOOKUP(C877,'[1]خريطة الحسابات'!_xlnm.Print_Area,4,FALSE))," ",(VLOOKUP(C877,'[1]خريطة الحسابات'!_xlnm.Print_Area,4,FALSE)))</f>
        <v xml:space="preserve">تكاليف ادارية وعمومية </v>
      </c>
      <c r="N877" s="138" t="str">
        <f>IF(ISERROR(VLOOKUP(C877,'[1]خريطة الحسابات'!_xlnm.Print_Area,5,FALSE))," ",(VLOOKUP(C877,'[1]خريطة الحسابات'!_xlnm.Print_Area,5,FALSE)))</f>
        <v xml:space="preserve">مصروفات </v>
      </c>
      <c r="O877" s="139" t="s">
        <v>1732</v>
      </c>
      <c r="P877" s="139" t="s">
        <v>1664</v>
      </c>
    </row>
    <row r="878" spans="1:16">
      <c r="A878" s="104">
        <v>53</v>
      </c>
      <c r="B878" s="131">
        <v>46145</v>
      </c>
      <c r="C878" s="141">
        <v>99</v>
      </c>
      <c r="D878" s="140" t="str">
        <f>IF(ISERROR(VLOOKUP(C878,'[1]خريطة الحسابات'!_xlnm.Print_Area,3,FALSE))," ",(VLOOKUP(C878,'[1]خريطة الحسابات'!_xlnm.Print_Area,3,FALSE)))</f>
        <v xml:space="preserve">تكاليف ادارية وعمومية </v>
      </c>
      <c r="E878" s="132"/>
      <c r="F878" s="133">
        <v>600</v>
      </c>
      <c r="G878" s="133"/>
      <c r="H878" s="134">
        <f t="shared" si="40"/>
        <v>600</v>
      </c>
      <c r="I878" s="134">
        <f t="shared" si="40"/>
        <v>0</v>
      </c>
      <c r="J878" s="134">
        <f t="shared" si="39"/>
        <v>600</v>
      </c>
      <c r="K878" s="135"/>
      <c r="L878" s="136" t="str">
        <f t="shared" si="41"/>
        <v>مدين</v>
      </c>
      <c r="M878" s="137" t="str">
        <f>IF(ISERROR(VLOOKUP(C878,'[1]خريطة الحسابات'!_xlnm.Print_Area,4,FALSE))," ",(VLOOKUP(C878,'[1]خريطة الحسابات'!_xlnm.Print_Area,4,FALSE)))</f>
        <v xml:space="preserve">تكاليف ادارية وعمومية </v>
      </c>
      <c r="N878" s="138" t="str">
        <f>IF(ISERROR(VLOOKUP(C878,'[1]خريطة الحسابات'!_xlnm.Print_Area,5,FALSE))," ",(VLOOKUP(C878,'[1]خريطة الحسابات'!_xlnm.Print_Area,5,FALSE)))</f>
        <v xml:space="preserve">مصروفات </v>
      </c>
      <c r="O878" s="139" t="s">
        <v>1733</v>
      </c>
      <c r="P878" s="139" t="s">
        <v>1664</v>
      </c>
    </row>
    <row r="879" spans="1:16">
      <c r="A879" s="104">
        <v>53</v>
      </c>
      <c r="B879" s="131">
        <v>46146</v>
      </c>
      <c r="C879" s="141">
        <v>99</v>
      </c>
      <c r="D879" s="140" t="str">
        <f>IF(ISERROR(VLOOKUP(C879,'[1]خريطة الحسابات'!_xlnm.Print_Area,3,FALSE))," ",(VLOOKUP(C879,'[1]خريطة الحسابات'!_xlnm.Print_Area,3,FALSE)))</f>
        <v xml:space="preserve">تكاليف ادارية وعمومية </v>
      </c>
      <c r="E879" s="132"/>
      <c r="F879" s="133">
        <v>4004</v>
      </c>
      <c r="G879" s="133"/>
      <c r="H879" s="134">
        <f t="shared" si="40"/>
        <v>4004</v>
      </c>
      <c r="I879" s="134">
        <f t="shared" si="40"/>
        <v>0</v>
      </c>
      <c r="J879" s="134">
        <f t="shared" si="39"/>
        <v>4004</v>
      </c>
      <c r="K879" s="135"/>
      <c r="L879" s="136" t="str">
        <f t="shared" si="41"/>
        <v>مدين</v>
      </c>
      <c r="M879" s="137" t="str">
        <f>IF(ISERROR(VLOOKUP(C879,'[1]خريطة الحسابات'!_xlnm.Print_Area,4,FALSE))," ",(VLOOKUP(C879,'[1]خريطة الحسابات'!_xlnm.Print_Area,4,FALSE)))</f>
        <v xml:space="preserve">تكاليف ادارية وعمومية </v>
      </c>
      <c r="N879" s="138" t="str">
        <f>IF(ISERROR(VLOOKUP(C879,'[1]خريطة الحسابات'!_xlnm.Print_Area,5,FALSE))," ",(VLOOKUP(C879,'[1]خريطة الحسابات'!_xlnm.Print_Area,5,FALSE)))</f>
        <v xml:space="preserve">مصروفات </v>
      </c>
      <c r="O879" s="139" t="s">
        <v>1734</v>
      </c>
      <c r="P879" s="139" t="s">
        <v>1664</v>
      </c>
    </row>
    <row r="880" spans="1:16">
      <c r="A880" s="104">
        <v>53</v>
      </c>
      <c r="B880" s="131">
        <v>46146</v>
      </c>
      <c r="C880" s="141">
        <v>99</v>
      </c>
      <c r="D880" s="140" t="str">
        <f>IF(ISERROR(VLOOKUP(C880,'[1]خريطة الحسابات'!_xlnm.Print_Area,3,FALSE))," ",(VLOOKUP(C880,'[1]خريطة الحسابات'!_xlnm.Print_Area,3,FALSE)))</f>
        <v xml:space="preserve">تكاليف ادارية وعمومية </v>
      </c>
      <c r="E880" s="132"/>
      <c r="F880" s="133">
        <v>165</v>
      </c>
      <c r="G880" s="133"/>
      <c r="H880" s="134">
        <f t="shared" si="40"/>
        <v>165</v>
      </c>
      <c r="I880" s="134">
        <f t="shared" si="40"/>
        <v>0</v>
      </c>
      <c r="J880" s="134">
        <f t="shared" si="39"/>
        <v>165</v>
      </c>
      <c r="K880" s="135"/>
      <c r="L880" s="136" t="str">
        <f t="shared" si="41"/>
        <v>مدين</v>
      </c>
      <c r="M880" s="137" t="str">
        <f>IF(ISERROR(VLOOKUP(C880,'[1]خريطة الحسابات'!_xlnm.Print_Area,4,FALSE))," ",(VLOOKUP(C880,'[1]خريطة الحسابات'!_xlnm.Print_Area,4,FALSE)))</f>
        <v xml:space="preserve">تكاليف ادارية وعمومية </v>
      </c>
      <c r="N880" s="138" t="str">
        <f>IF(ISERROR(VLOOKUP(C880,'[1]خريطة الحسابات'!_xlnm.Print_Area,5,FALSE))," ",(VLOOKUP(C880,'[1]خريطة الحسابات'!_xlnm.Print_Area,5,FALSE)))</f>
        <v xml:space="preserve">مصروفات </v>
      </c>
      <c r="O880" s="139" t="s">
        <v>1735</v>
      </c>
      <c r="P880" s="139" t="s">
        <v>1664</v>
      </c>
    </row>
    <row r="881" spans="1:16">
      <c r="A881" s="104">
        <v>53</v>
      </c>
      <c r="B881" s="131">
        <v>46147</v>
      </c>
      <c r="C881" s="141">
        <v>99</v>
      </c>
      <c r="D881" s="140" t="str">
        <f>IF(ISERROR(VLOOKUP(C881,'[1]خريطة الحسابات'!_xlnm.Print_Area,3,FALSE))," ",(VLOOKUP(C881,'[1]خريطة الحسابات'!_xlnm.Print_Area,3,FALSE)))</f>
        <v xml:space="preserve">تكاليف ادارية وعمومية </v>
      </c>
      <c r="E881" s="132"/>
      <c r="F881" s="133">
        <v>550</v>
      </c>
      <c r="G881" s="133"/>
      <c r="H881" s="134">
        <f t="shared" si="40"/>
        <v>550</v>
      </c>
      <c r="I881" s="134">
        <f t="shared" si="40"/>
        <v>0</v>
      </c>
      <c r="J881" s="134">
        <f t="shared" si="39"/>
        <v>550</v>
      </c>
      <c r="K881" s="135"/>
      <c r="L881" s="136" t="str">
        <f t="shared" si="41"/>
        <v>مدين</v>
      </c>
      <c r="M881" s="137" t="str">
        <f>IF(ISERROR(VLOOKUP(C881,'[1]خريطة الحسابات'!_xlnm.Print_Area,4,FALSE))," ",(VLOOKUP(C881,'[1]خريطة الحسابات'!_xlnm.Print_Area,4,FALSE)))</f>
        <v xml:space="preserve">تكاليف ادارية وعمومية </v>
      </c>
      <c r="N881" s="138" t="str">
        <f>IF(ISERROR(VLOOKUP(C881,'[1]خريطة الحسابات'!_xlnm.Print_Area,5,FALSE))," ",(VLOOKUP(C881,'[1]خريطة الحسابات'!_xlnm.Print_Area,5,FALSE)))</f>
        <v xml:space="preserve">مصروفات </v>
      </c>
      <c r="O881" s="139" t="s">
        <v>1736</v>
      </c>
      <c r="P881" s="139" t="s">
        <v>1664</v>
      </c>
    </row>
    <row r="882" spans="1:16">
      <c r="A882" s="104">
        <v>53</v>
      </c>
      <c r="B882" s="131">
        <v>46147</v>
      </c>
      <c r="C882" s="141">
        <v>99</v>
      </c>
      <c r="D882" s="140" t="str">
        <f>IF(ISERROR(VLOOKUP(C882,'[1]خريطة الحسابات'!_xlnm.Print_Area,3,FALSE))," ",(VLOOKUP(C882,'[1]خريطة الحسابات'!_xlnm.Print_Area,3,FALSE)))</f>
        <v xml:space="preserve">تكاليف ادارية وعمومية </v>
      </c>
      <c r="E882" s="132"/>
      <c r="F882" s="133">
        <v>150</v>
      </c>
      <c r="G882" s="133"/>
      <c r="H882" s="134">
        <f t="shared" si="40"/>
        <v>150</v>
      </c>
      <c r="I882" s="134">
        <f t="shared" si="40"/>
        <v>0</v>
      </c>
      <c r="J882" s="134">
        <f t="shared" si="39"/>
        <v>150</v>
      </c>
      <c r="K882" s="135"/>
      <c r="L882" s="136" t="str">
        <f t="shared" si="41"/>
        <v>مدين</v>
      </c>
      <c r="M882" s="137" t="str">
        <f>IF(ISERROR(VLOOKUP(C882,'[1]خريطة الحسابات'!_xlnm.Print_Area,4,FALSE))," ",(VLOOKUP(C882,'[1]خريطة الحسابات'!_xlnm.Print_Area,4,FALSE)))</f>
        <v xml:space="preserve">تكاليف ادارية وعمومية </v>
      </c>
      <c r="N882" s="138" t="str">
        <f>IF(ISERROR(VLOOKUP(C882,'[1]خريطة الحسابات'!_xlnm.Print_Area,5,FALSE))," ",(VLOOKUP(C882,'[1]خريطة الحسابات'!_xlnm.Print_Area,5,FALSE)))</f>
        <v xml:space="preserve">مصروفات </v>
      </c>
      <c r="O882" s="139" t="s">
        <v>1674</v>
      </c>
      <c r="P882" s="139" t="s">
        <v>1664</v>
      </c>
    </row>
    <row r="883" spans="1:16">
      <c r="A883" s="104">
        <v>53</v>
      </c>
      <c r="B883" s="131">
        <v>46151</v>
      </c>
      <c r="C883" s="141">
        <v>99</v>
      </c>
      <c r="D883" s="140" t="str">
        <f>IF(ISERROR(VLOOKUP(C883,'[1]خريطة الحسابات'!_xlnm.Print_Area,3,FALSE))," ",(VLOOKUP(C883,'[1]خريطة الحسابات'!_xlnm.Print_Area,3,FALSE)))</f>
        <v xml:space="preserve">تكاليف ادارية وعمومية </v>
      </c>
      <c r="E883" s="132"/>
      <c r="F883" s="133">
        <v>3835</v>
      </c>
      <c r="G883" s="133"/>
      <c r="H883" s="134">
        <f t="shared" si="40"/>
        <v>3835</v>
      </c>
      <c r="I883" s="134">
        <f t="shared" si="40"/>
        <v>0</v>
      </c>
      <c r="J883" s="134">
        <f t="shared" si="39"/>
        <v>3835</v>
      </c>
      <c r="K883" s="135"/>
      <c r="L883" s="136" t="str">
        <f t="shared" si="41"/>
        <v>مدين</v>
      </c>
      <c r="M883" s="137" t="str">
        <f>IF(ISERROR(VLOOKUP(C883,'[1]خريطة الحسابات'!_xlnm.Print_Area,4,FALSE))," ",(VLOOKUP(C883,'[1]خريطة الحسابات'!_xlnm.Print_Area,4,FALSE)))</f>
        <v xml:space="preserve">تكاليف ادارية وعمومية </v>
      </c>
      <c r="N883" s="138" t="str">
        <f>IF(ISERROR(VLOOKUP(C883,'[1]خريطة الحسابات'!_xlnm.Print_Area,5,FALSE))," ",(VLOOKUP(C883,'[1]خريطة الحسابات'!_xlnm.Print_Area,5,FALSE)))</f>
        <v xml:space="preserve">مصروفات </v>
      </c>
      <c r="O883" s="139" t="s">
        <v>1737</v>
      </c>
      <c r="P883" s="139" t="s">
        <v>1664</v>
      </c>
    </row>
    <row r="884" spans="1:16">
      <c r="A884" s="104">
        <v>53</v>
      </c>
      <c r="B884" s="131">
        <v>46151</v>
      </c>
      <c r="C884" s="141">
        <v>99</v>
      </c>
      <c r="D884" s="140" t="str">
        <f>IF(ISERROR(VLOOKUP(C884,'[1]خريطة الحسابات'!_xlnm.Print_Area,3,FALSE))," ",(VLOOKUP(C884,'[1]خريطة الحسابات'!_xlnm.Print_Area,3,FALSE)))</f>
        <v xml:space="preserve">تكاليف ادارية وعمومية </v>
      </c>
      <c r="E884" s="132"/>
      <c r="F884" s="133">
        <v>200</v>
      </c>
      <c r="G884" s="133"/>
      <c r="H884" s="134">
        <f t="shared" si="40"/>
        <v>200</v>
      </c>
      <c r="I884" s="134">
        <f t="shared" si="40"/>
        <v>0</v>
      </c>
      <c r="J884" s="134">
        <f t="shared" si="39"/>
        <v>200</v>
      </c>
      <c r="K884" s="135"/>
      <c r="L884" s="136" t="str">
        <f t="shared" si="41"/>
        <v>مدين</v>
      </c>
      <c r="M884" s="137" t="str">
        <f>IF(ISERROR(VLOOKUP(C884,'[1]خريطة الحسابات'!_xlnm.Print_Area,4,FALSE))," ",(VLOOKUP(C884,'[1]خريطة الحسابات'!_xlnm.Print_Area,4,FALSE)))</f>
        <v xml:space="preserve">تكاليف ادارية وعمومية </v>
      </c>
      <c r="N884" s="138" t="str">
        <f>IF(ISERROR(VLOOKUP(C884,'[1]خريطة الحسابات'!_xlnm.Print_Area,5,FALSE))," ",(VLOOKUP(C884,'[1]خريطة الحسابات'!_xlnm.Print_Area,5,FALSE)))</f>
        <v xml:space="preserve">مصروفات </v>
      </c>
      <c r="O884" s="139" t="s">
        <v>1738</v>
      </c>
      <c r="P884" s="139" t="s">
        <v>1664</v>
      </c>
    </row>
    <row r="885" spans="1:16">
      <c r="A885" s="104">
        <v>53</v>
      </c>
      <c r="B885" s="131">
        <v>46151</v>
      </c>
      <c r="C885" s="141">
        <v>99</v>
      </c>
      <c r="D885" s="140" t="str">
        <f>IF(ISERROR(VLOOKUP(C885,'[1]خريطة الحسابات'!_xlnm.Print_Area,3,FALSE))," ",(VLOOKUP(C885,'[1]خريطة الحسابات'!_xlnm.Print_Area,3,FALSE)))</f>
        <v xml:space="preserve">تكاليف ادارية وعمومية </v>
      </c>
      <c r="E885" s="132"/>
      <c r="F885" s="133">
        <v>500</v>
      </c>
      <c r="G885" s="133"/>
      <c r="H885" s="134">
        <f t="shared" si="40"/>
        <v>500</v>
      </c>
      <c r="I885" s="134">
        <f t="shared" si="40"/>
        <v>0</v>
      </c>
      <c r="J885" s="134">
        <f t="shared" si="39"/>
        <v>500</v>
      </c>
      <c r="K885" s="135"/>
      <c r="L885" s="136" t="str">
        <f t="shared" si="41"/>
        <v>مدين</v>
      </c>
      <c r="M885" s="137" t="str">
        <f>IF(ISERROR(VLOOKUP(C885,'[1]خريطة الحسابات'!_xlnm.Print_Area,4,FALSE))," ",(VLOOKUP(C885,'[1]خريطة الحسابات'!_xlnm.Print_Area,4,FALSE)))</f>
        <v xml:space="preserve">تكاليف ادارية وعمومية </v>
      </c>
      <c r="N885" s="138" t="str">
        <f>IF(ISERROR(VLOOKUP(C885,'[1]خريطة الحسابات'!_xlnm.Print_Area,5,FALSE))," ",(VLOOKUP(C885,'[1]خريطة الحسابات'!_xlnm.Print_Area,5,FALSE)))</f>
        <v xml:space="preserve">مصروفات </v>
      </c>
      <c r="O885" s="139" t="s">
        <v>1739</v>
      </c>
      <c r="P885" s="139" t="s">
        <v>1664</v>
      </c>
    </row>
    <row r="886" spans="1:16">
      <c r="A886" s="104">
        <v>53</v>
      </c>
      <c r="B886" s="131">
        <v>46151</v>
      </c>
      <c r="C886" s="141">
        <v>99</v>
      </c>
      <c r="D886" s="140" t="str">
        <f>IF(ISERROR(VLOOKUP(C886,'[1]خريطة الحسابات'!_xlnm.Print_Area,3,FALSE))," ",(VLOOKUP(C886,'[1]خريطة الحسابات'!_xlnm.Print_Area,3,FALSE)))</f>
        <v xml:space="preserve">تكاليف ادارية وعمومية </v>
      </c>
      <c r="E886" s="132"/>
      <c r="F886" s="133">
        <v>150</v>
      </c>
      <c r="G886" s="133"/>
      <c r="H886" s="134">
        <f t="shared" si="40"/>
        <v>150</v>
      </c>
      <c r="I886" s="134">
        <f t="shared" si="40"/>
        <v>0</v>
      </c>
      <c r="J886" s="134">
        <f t="shared" si="39"/>
        <v>150</v>
      </c>
      <c r="K886" s="135"/>
      <c r="L886" s="136" t="str">
        <f t="shared" si="41"/>
        <v>مدين</v>
      </c>
      <c r="M886" s="137" t="str">
        <f>IF(ISERROR(VLOOKUP(C886,'[1]خريطة الحسابات'!_xlnm.Print_Area,4,FALSE))," ",(VLOOKUP(C886,'[1]خريطة الحسابات'!_xlnm.Print_Area,4,FALSE)))</f>
        <v xml:space="preserve">تكاليف ادارية وعمومية </v>
      </c>
      <c r="N886" s="138" t="str">
        <f>IF(ISERROR(VLOOKUP(C886,'[1]خريطة الحسابات'!_xlnm.Print_Area,5,FALSE))," ",(VLOOKUP(C886,'[1]خريطة الحسابات'!_xlnm.Print_Area,5,FALSE)))</f>
        <v xml:space="preserve">مصروفات </v>
      </c>
      <c r="O886" s="139" t="s">
        <v>1740</v>
      </c>
      <c r="P886" s="139" t="s">
        <v>1664</v>
      </c>
    </row>
    <row r="887" spans="1:16">
      <c r="A887" s="104">
        <v>53</v>
      </c>
      <c r="B887" s="131">
        <v>46153</v>
      </c>
      <c r="C887" s="141">
        <v>99</v>
      </c>
      <c r="D887" s="140" t="str">
        <f>IF(ISERROR(VLOOKUP(C887,'[1]خريطة الحسابات'!_xlnm.Print_Area,3,FALSE))," ",(VLOOKUP(C887,'[1]خريطة الحسابات'!_xlnm.Print_Area,3,FALSE)))</f>
        <v xml:space="preserve">تكاليف ادارية وعمومية </v>
      </c>
      <c r="E887" s="132"/>
      <c r="F887" s="133">
        <v>110</v>
      </c>
      <c r="G887" s="133"/>
      <c r="H887" s="134">
        <f t="shared" si="40"/>
        <v>110</v>
      </c>
      <c r="I887" s="134">
        <f t="shared" si="40"/>
        <v>0</v>
      </c>
      <c r="J887" s="134">
        <f t="shared" si="39"/>
        <v>110</v>
      </c>
      <c r="K887" s="135"/>
      <c r="L887" s="136" t="str">
        <f t="shared" si="41"/>
        <v>مدين</v>
      </c>
      <c r="M887" s="137" t="str">
        <f>IF(ISERROR(VLOOKUP(C887,'[1]خريطة الحسابات'!_xlnm.Print_Area,4,FALSE))," ",(VLOOKUP(C887,'[1]خريطة الحسابات'!_xlnm.Print_Area,4,FALSE)))</f>
        <v xml:space="preserve">تكاليف ادارية وعمومية </v>
      </c>
      <c r="N887" s="138" t="str">
        <f>IF(ISERROR(VLOOKUP(C887,'[1]خريطة الحسابات'!_xlnm.Print_Area,5,FALSE))," ",(VLOOKUP(C887,'[1]خريطة الحسابات'!_xlnm.Print_Area,5,FALSE)))</f>
        <v xml:space="preserve">مصروفات </v>
      </c>
      <c r="O887" s="139" t="s">
        <v>1741</v>
      </c>
      <c r="P887" s="139" t="s">
        <v>1664</v>
      </c>
    </row>
    <row r="888" spans="1:16">
      <c r="A888" s="104">
        <v>53</v>
      </c>
      <c r="B888" s="131">
        <v>46156</v>
      </c>
      <c r="C888" s="141">
        <v>99</v>
      </c>
      <c r="D888" s="140" t="str">
        <f>IF(ISERROR(VLOOKUP(C888,'[1]خريطة الحسابات'!_xlnm.Print_Area,3,FALSE))," ",(VLOOKUP(C888,'[1]خريطة الحسابات'!_xlnm.Print_Area,3,FALSE)))</f>
        <v xml:space="preserve">تكاليف ادارية وعمومية </v>
      </c>
      <c r="E888" s="132"/>
      <c r="F888" s="133">
        <v>100</v>
      </c>
      <c r="G888" s="133"/>
      <c r="H888" s="134">
        <f t="shared" si="40"/>
        <v>100</v>
      </c>
      <c r="I888" s="134">
        <f t="shared" si="40"/>
        <v>0</v>
      </c>
      <c r="J888" s="134">
        <f t="shared" si="39"/>
        <v>100</v>
      </c>
      <c r="K888" s="135"/>
      <c r="L888" s="136" t="str">
        <f t="shared" si="41"/>
        <v>مدين</v>
      </c>
      <c r="M888" s="137" t="str">
        <f>IF(ISERROR(VLOOKUP(C888,'[1]خريطة الحسابات'!_xlnm.Print_Area,4,FALSE))," ",(VLOOKUP(C888,'[1]خريطة الحسابات'!_xlnm.Print_Area,4,FALSE)))</f>
        <v xml:space="preserve">تكاليف ادارية وعمومية </v>
      </c>
      <c r="N888" s="138" t="str">
        <f>IF(ISERROR(VLOOKUP(C888,'[1]خريطة الحسابات'!_xlnm.Print_Area,5,FALSE))," ",(VLOOKUP(C888,'[1]خريطة الحسابات'!_xlnm.Print_Area,5,FALSE)))</f>
        <v xml:space="preserve">مصروفات </v>
      </c>
      <c r="O888" s="139" t="s">
        <v>1742</v>
      </c>
      <c r="P888" s="139" t="s">
        <v>1664</v>
      </c>
    </row>
    <row r="889" spans="1:16">
      <c r="A889" s="104">
        <v>53</v>
      </c>
      <c r="B889" s="131">
        <v>46160</v>
      </c>
      <c r="C889" s="141">
        <v>99</v>
      </c>
      <c r="D889" s="140" t="str">
        <f>IF(ISERROR(VLOOKUP(C889,'[1]خريطة الحسابات'!_xlnm.Print_Area,3,FALSE))," ",(VLOOKUP(C889,'[1]خريطة الحسابات'!_xlnm.Print_Area,3,FALSE)))</f>
        <v xml:space="preserve">تكاليف ادارية وعمومية </v>
      </c>
      <c r="E889" s="132"/>
      <c r="F889" s="133">
        <v>3375</v>
      </c>
      <c r="G889" s="133"/>
      <c r="H889" s="134">
        <f t="shared" si="40"/>
        <v>3375</v>
      </c>
      <c r="I889" s="134">
        <f t="shared" si="40"/>
        <v>0</v>
      </c>
      <c r="J889" s="134">
        <f t="shared" si="39"/>
        <v>3375</v>
      </c>
      <c r="K889" s="135"/>
      <c r="L889" s="136" t="str">
        <f t="shared" si="41"/>
        <v>مدين</v>
      </c>
      <c r="M889" s="137" t="str">
        <f>IF(ISERROR(VLOOKUP(C889,'[1]خريطة الحسابات'!_xlnm.Print_Area,4,FALSE))," ",(VLOOKUP(C889,'[1]خريطة الحسابات'!_xlnm.Print_Area,4,FALSE)))</f>
        <v xml:space="preserve">تكاليف ادارية وعمومية </v>
      </c>
      <c r="N889" s="138" t="str">
        <f>IF(ISERROR(VLOOKUP(C889,'[1]خريطة الحسابات'!_xlnm.Print_Area,5,FALSE))," ",(VLOOKUP(C889,'[1]خريطة الحسابات'!_xlnm.Print_Area,5,FALSE)))</f>
        <v xml:space="preserve">مصروفات </v>
      </c>
      <c r="O889" s="139" t="s">
        <v>1743</v>
      </c>
      <c r="P889" s="139" t="s">
        <v>1664</v>
      </c>
    </row>
    <row r="890" spans="1:16">
      <c r="A890" s="104">
        <v>53</v>
      </c>
      <c r="B890" s="131">
        <v>46161</v>
      </c>
      <c r="C890" s="141">
        <v>99</v>
      </c>
      <c r="D890" s="140" t="str">
        <f>IF(ISERROR(VLOOKUP(C890,'[1]خريطة الحسابات'!_xlnm.Print_Area,3,FALSE))," ",(VLOOKUP(C890,'[1]خريطة الحسابات'!_xlnm.Print_Area,3,FALSE)))</f>
        <v xml:space="preserve">تكاليف ادارية وعمومية </v>
      </c>
      <c r="E890" s="132"/>
      <c r="F890" s="133">
        <v>300</v>
      </c>
      <c r="G890" s="133"/>
      <c r="H890" s="134">
        <f t="shared" si="40"/>
        <v>300</v>
      </c>
      <c r="I890" s="134">
        <f t="shared" si="40"/>
        <v>0</v>
      </c>
      <c r="J890" s="134">
        <f t="shared" si="39"/>
        <v>300</v>
      </c>
      <c r="K890" s="135"/>
      <c r="L890" s="136" t="str">
        <f t="shared" si="41"/>
        <v>مدين</v>
      </c>
      <c r="M890" s="137" t="str">
        <f>IF(ISERROR(VLOOKUP(C890,'[1]خريطة الحسابات'!_xlnm.Print_Area,4,FALSE))," ",(VLOOKUP(C890,'[1]خريطة الحسابات'!_xlnm.Print_Area,4,FALSE)))</f>
        <v xml:space="preserve">تكاليف ادارية وعمومية </v>
      </c>
      <c r="N890" s="138" t="str">
        <f>IF(ISERROR(VLOOKUP(C890,'[1]خريطة الحسابات'!_xlnm.Print_Area,5,FALSE))," ",(VLOOKUP(C890,'[1]خريطة الحسابات'!_xlnm.Print_Area,5,FALSE)))</f>
        <v xml:space="preserve">مصروفات </v>
      </c>
      <c r="O890" s="139" t="s">
        <v>1744</v>
      </c>
      <c r="P890" s="139" t="s">
        <v>1664</v>
      </c>
    </row>
    <row r="891" spans="1:16">
      <c r="A891" s="104">
        <v>53</v>
      </c>
      <c r="B891" s="131">
        <v>46161</v>
      </c>
      <c r="C891" s="141">
        <v>99</v>
      </c>
      <c r="D891" s="140" t="str">
        <f>IF(ISERROR(VLOOKUP(C891,'[1]خريطة الحسابات'!_xlnm.Print_Area,3,FALSE))," ",(VLOOKUP(C891,'[1]خريطة الحسابات'!_xlnm.Print_Area,3,FALSE)))</f>
        <v xml:space="preserve">تكاليف ادارية وعمومية </v>
      </c>
      <c r="E891" s="132"/>
      <c r="F891" s="133">
        <v>700</v>
      </c>
      <c r="G891" s="133"/>
      <c r="H891" s="134">
        <f t="shared" si="40"/>
        <v>700</v>
      </c>
      <c r="I891" s="134">
        <f t="shared" si="40"/>
        <v>0</v>
      </c>
      <c r="J891" s="134">
        <f t="shared" si="39"/>
        <v>700</v>
      </c>
      <c r="K891" s="135"/>
      <c r="L891" s="136" t="str">
        <f t="shared" si="41"/>
        <v>مدين</v>
      </c>
      <c r="M891" s="137" t="str">
        <f>IF(ISERROR(VLOOKUP(C891,'[1]خريطة الحسابات'!_xlnm.Print_Area,4,FALSE))," ",(VLOOKUP(C891,'[1]خريطة الحسابات'!_xlnm.Print_Area,4,FALSE)))</f>
        <v xml:space="preserve">تكاليف ادارية وعمومية </v>
      </c>
      <c r="N891" s="138" t="str">
        <f>IF(ISERROR(VLOOKUP(C891,'[1]خريطة الحسابات'!_xlnm.Print_Area,5,FALSE))," ",(VLOOKUP(C891,'[1]خريطة الحسابات'!_xlnm.Print_Area,5,FALSE)))</f>
        <v xml:space="preserve">مصروفات </v>
      </c>
      <c r="O891" s="139" t="s">
        <v>1745</v>
      </c>
      <c r="P891" s="139" t="s">
        <v>1664</v>
      </c>
    </row>
    <row r="892" spans="1:16">
      <c r="A892" s="104">
        <v>53</v>
      </c>
      <c r="B892" s="131">
        <v>46161</v>
      </c>
      <c r="C892" s="141">
        <v>99</v>
      </c>
      <c r="D892" s="140" t="str">
        <f>IF(ISERROR(VLOOKUP(C892,'[1]خريطة الحسابات'!_xlnm.Print_Area,3,FALSE))," ",(VLOOKUP(C892,'[1]خريطة الحسابات'!_xlnm.Print_Area,3,FALSE)))</f>
        <v xml:space="preserve">تكاليف ادارية وعمومية </v>
      </c>
      <c r="E892" s="132"/>
      <c r="F892" s="133">
        <v>900</v>
      </c>
      <c r="G892" s="133"/>
      <c r="H892" s="134">
        <f t="shared" si="40"/>
        <v>900</v>
      </c>
      <c r="I892" s="134">
        <f t="shared" si="40"/>
        <v>0</v>
      </c>
      <c r="J892" s="134">
        <f t="shared" si="39"/>
        <v>900</v>
      </c>
      <c r="K892" s="135"/>
      <c r="L892" s="136" t="str">
        <f t="shared" si="41"/>
        <v>مدين</v>
      </c>
      <c r="M892" s="137" t="str">
        <f>IF(ISERROR(VLOOKUP(C892,'[1]خريطة الحسابات'!_xlnm.Print_Area,4,FALSE))," ",(VLOOKUP(C892,'[1]خريطة الحسابات'!_xlnm.Print_Area,4,FALSE)))</f>
        <v xml:space="preserve">تكاليف ادارية وعمومية </v>
      </c>
      <c r="N892" s="138" t="str">
        <f>IF(ISERROR(VLOOKUP(C892,'[1]خريطة الحسابات'!_xlnm.Print_Area,5,FALSE))," ",(VLOOKUP(C892,'[1]خريطة الحسابات'!_xlnm.Print_Area,5,FALSE)))</f>
        <v xml:space="preserve">مصروفات </v>
      </c>
      <c r="O892" s="139" t="s">
        <v>1746</v>
      </c>
      <c r="P892" s="139" t="s">
        <v>1664</v>
      </c>
    </row>
    <row r="893" spans="1:16">
      <c r="A893" s="104">
        <v>53</v>
      </c>
      <c r="B893" s="131">
        <v>46163</v>
      </c>
      <c r="C893" s="141">
        <v>99</v>
      </c>
      <c r="D893" s="140" t="str">
        <f>IF(ISERROR(VLOOKUP(C893,'[1]خريطة الحسابات'!_xlnm.Print_Area,3,FALSE))," ",(VLOOKUP(C893,'[1]خريطة الحسابات'!_xlnm.Print_Area,3,FALSE)))</f>
        <v xml:space="preserve">تكاليف ادارية وعمومية </v>
      </c>
      <c r="E893" s="132"/>
      <c r="F893" s="133">
        <v>1500</v>
      </c>
      <c r="G893" s="133"/>
      <c r="H893" s="134">
        <f t="shared" si="40"/>
        <v>1500</v>
      </c>
      <c r="I893" s="134">
        <f t="shared" si="40"/>
        <v>0</v>
      </c>
      <c r="J893" s="134">
        <f t="shared" si="39"/>
        <v>1500</v>
      </c>
      <c r="K893" s="135"/>
      <c r="L893" s="136" t="str">
        <f t="shared" si="41"/>
        <v>مدين</v>
      </c>
      <c r="M893" s="137" t="str">
        <f>IF(ISERROR(VLOOKUP(C893,'[1]خريطة الحسابات'!_xlnm.Print_Area,4,FALSE))," ",(VLOOKUP(C893,'[1]خريطة الحسابات'!_xlnm.Print_Area,4,FALSE)))</f>
        <v xml:space="preserve">تكاليف ادارية وعمومية </v>
      </c>
      <c r="N893" s="138" t="str">
        <f>IF(ISERROR(VLOOKUP(C893,'[1]خريطة الحسابات'!_xlnm.Print_Area,5,FALSE))," ",(VLOOKUP(C893,'[1]خريطة الحسابات'!_xlnm.Print_Area,5,FALSE)))</f>
        <v xml:space="preserve">مصروفات </v>
      </c>
      <c r="O893" s="139" t="s">
        <v>1747</v>
      </c>
      <c r="P893" s="139" t="s">
        <v>1664</v>
      </c>
    </row>
    <row r="894" spans="1:16">
      <c r="A894" s="104">
        <v>53</v>
      </c>
      <c r="B894" s="131">
        <v>46174</v>
      </c>
      <c r="C894" s="141">
        <v>99</v>
      </c>
      <c r="D894" s="140" t="str">
        <f>IF(ISERROR(VLOOKUP(C894,'[1]خريطة الحسابات'!_xlnm.Print_Area,3,FALSE))," ",(VLOOKUP(C894,'[1]خريطة الحسابات'!_xlnm.Print_Area,3,FALSE)))</f>
        <v xml:space="preserve">تكاليف ادارية وعمومية </v>
      </c>
      <c r="E894" s="132"/>
      <c r="F894" s="133">
        <v>1810</v>
      </c>
      <c r="G894" s="133"/>
      <c r="H894" s="134">
        <f t="shared" si="40"/>
        <v>1810</v>
      </c>
      <c r="I894" s="134">
        <f t="shared" si="40"/>
        <v>0</v>
      </c>
      <c r="J894" s="134">
        <f t="shared" si="39"/>
        <v>1810</v>
      </c>
      <c r="K894" s="135"/>
      <c r="L894" s="136" t="str">
        <f t="shared" si="41"/>
        <v>مدين</v>
      </c>
      <c r="M894" s="137" t="str">
        <f>IF(ISERROR(VLOOKUP(C894,'[1]خريطة الحسابات'!_xlnm.Print_Area,4,FALSE))," ",(VLOOKUP(C894,'[1]خريطة الحسابات'!_xlnm.Print_Area,4,FALSE)))</f>
        <v xml:space="preserve">تكاليف ادارية وعمومية </v>
      </c>
      <c r="N894" s="138" t="str">
        <f>IF(ISERROR(VLOOKUP(C894,'[1]خريطة الحسابات'!_xlnm.Print_Area,5,FALSE))," ",(VLOOKUP(C894,'[1]خريطة الحسابات'!_xlnm.Print_Area,5,FALSE)))</f>
        <v xml:space="preserve">مصروفات </v>
      </c>
      <c r="O894" s="139" t="s">
        <v>1748</v>
      </c>
      <c r="P894" s="139" t="s">
        <v>1664</v>
      </c>
    </row>
    <row r="895" spans="1:16">
      <c r="A895" s="104">
        <v>53</v>
      </c>
      <c r="B895" s="131">
        <v>46174</v>
      </c>
      <c r="C895" s="141">
        <v>99</v>
      </c>
      <c r="D895" s="140" t="str">
        <f>IF(ISERROR(VLOOKUP(C895,'[1]خريطة الحسابات'!_xlnm.Print_Area,3,FALSE))," ",(VLOOKUP(C895,'[1]خريطة الحسابات'!_xlnm.Print_Area,3,FALSE)))</f>
        <v xml:space="preserve">تكاليف ادارية وعمومية </v>
      </c>
      <c r="E895" s="132"/>
      <c r="F895" s="133">
        <v>20</v>
      </c>
      <c r="G895" s="133"/>
      <c r="H895" s="134">
        <f t="shared" si="40"/>
        <v>20</v>
      </c>
      <c r="I895" s="134">
        <f t="shared" si="40"/>
        <v>0</v>
      </c>
      <c r="J895" s="134">
        <f t="shared" si="39"/>
        <v>20</v>
      </c>
      <c r="K895" s="135"/>
      <c r="L895" s="136" t="str">
        <f t="shared" si="41"/>
        <v>مدين</v>
      </c>
      <c r="M895" s="137" t="str">
        <f>IF(ISERROR(VLOOKUP(C895,'[1]خريطة الحسابات'!_xlnm.Print_Area,4,FALSE))," ",(VLOOKUP(C895,'[1]خريطة الحسابات'!_xlnm.Print_Area,4,FALSE)))</f>
        <v xml:space="preserve">تكاليف ادارية وعمومية </v>
      </c>
      <c r="N895" s="138" t="str">
        <f>IF(ISERROR(VLOOKUP(C895,'[1]خريطة الحسابات'!_xlnm.Print_Area,5,FALSE))," ",(VLOOKUP(C895,'[1]خريطة الحسابات'!_xlnm.Print_Area,5,FALSE)))</f>
        <v xml:space="preserve">مصروفات </v>
      </c>
      <c r="O895" s="139" t="s">
        <v>1749</v>
      </c>
      <c r="P895" s="139" t="s">
        <v>1664</v>
      </c>
    </row>
    <row r="896" spans="1:16">
      <c r="A896" s="104">
        <v>53</v>
      </c>
      <c r="B896" s="131">
        <v>46174</v>
      </c>
      <c r="C896" s="141">
        <v>99</v>
      </c>
      <c r="D896" s="140" t="str">
        <f>IF(ISERROR(VLOOKUP(C896,'[1]خريطة الحسابات'!_xlnm.Print_Area,3,FALSE))," ",(VLOOKUP(C896,'[1]خريطة الحسابات'!_xlnm.Print_Area,3,FALSE)))</f>
        <v xml:space="preserve">تكاليف ادارية وعمومية </v>
      </c>
      <c r="E896" s="132"/>
      <c r="F896" s="133">
        <v>100</v>
      </c>
      <c r="G896" s="133"/>
      <c r="H896" s="134">
        <f t="shared" si="40"/>
        <v>100</v>
      </c>
      <c r="I896" s="134">
        <f t="shared" si="40"/>
        <v>0</v>
      </c>
      <c r="J896" s="134">
        <f t="shared" si="39"/>
        <v>100</v>
      </c>
      <c r="K896" s="135"/>
      <c r="L896" s="136" t="str">
        <f t="shared" si="41"/>
        <v>مدين</v>
      </c>
      <c r="M896" s="137" t="str">
        <f>IF(ISERROR(VLOOKUP(C896,'[1]خريطة الحسابات'!_xlnm.Print_Area,4,FALSE))," ",(VLOOKUP(C896,'[1]خريطة الحسابات'!_xlnm.Print_Area,4,FALSE)))</f>
        <v xml:space="preserve">تكاليف ادارية وعمومية </v>
      </c>
      <c r="N896" s="138" t="str">
        <f>IF(ISERROR(VLOOKUP(C896,'[1]خريطة الحسابات'!_xlnm.Print_Area,5,FALSE))," ",(VLOOKUP(C896,'[1]خريطة الحسابات'!_xlnm.Print_Area,5,FALSE)))</f>
        <v xml:space="preserve">مصروفات </v>
      </c>
      <c r="O896" s="139" t="s">
        <v>1750</v>
      </c>
      <c r="P896" s="139" t="s">
        <v>1664</v>
      </c>
    </row>
    <row r="897" spans="1:16">
      <c r="A897" s="104">
        <v>53</v>
      </c>
      <c r="B897" s="131">
        <v>46176</v>
      </c>
      <c r="C897" s="141">
        <v>99</v>
      </c>
      <c r="D897" s="140" t="str">
        <f>IF(ISERROR(VLOOKUP(C897,'[1]خريطة الحسابات'!_xlnm.Print_Area,3,FALSE))," ",(VLOOKUP(C897,'[1]خريطة الحسابات'!_xlnm.Print_Area,3,FALSE)))</f>
        <v xml:space="preserve">تكاليف ادارية وعمومية </v>
      </c>
      <c r="E897" s="132"/>
      <c r="F897" s="133">
        <v>2500</v>
      </c>
      <c r="G897" s="133"/>
      <c r="H897" s="134">
        <f t="shared" si="40"/>
        <v>2500</v>
      </c>
      <c r="I897" s="134">
        <f t="shared" si="40"/>
        <v>0</v>
      </c>
      <c r="J897" s="134">
        <f t="shared" si="39"/>
        <v>2500</v>
      </c>
      <c r="K897" s="135"/>
      <c r="L897" s="136" t="str">
        <f t="shared" si="41"/>
        <v>مدين</v>
      </c>
      <c r="M897" s="137" t="str">
        <f>IF(ISERROR(VLOOKUP(C897,'[1]خريطة الحسابات'!_xlnm.Print_Area,4,FALSE))," ",(VLOOKUP(C897,'[1]خريطة الحسابات'!_xlnm.Print_Area,4,FALSE)))</f>
        <v xml:space="preserve">تكاليف ادارية وعمومية </v>
      </c>
      <c r="N897" s="138" t="str">
        <f>IF(ISERROR(VLOOKUP(C897,'[1]خريطة الحسابات'!_xlnm.Print_Area,5,FALSE))," ",(VLOOKUP(C897,'[1]خريطة الحسابات'!_xlnm.Print_Area,5,FALSE)))</f>
        <v xml:space="preserve">مصروفات </v>
      </c>
      <c r="O897" s="139" t="s">
        <v>1751</v>
      </c>
      <c r="P897" s="139" t="s">
        <v>1664</v>
      </c>
    </row>
    <row r="898" spans="1:16">
      <c r="A898" s="104">
        <v>53</v>
      </c>
      <c r="B898" s="131">
        <v>46179</v>
      </c>
      <c r="C898" s="141">
        <v>99</v>
      </c>
      <c r="D898" s="140" t="str">
        <f>IF(ISERROR(VLOOKUP(C898,'[1]خريطة الحسابات'!_xlnm.Print_Area,3,FALSE))," ",(VLOOKUP(C898,'[1]خريطة الحسابات'!_xlnm.Print_Area,3,FALSE)))</f>
        <v xml:space="preserve">تكاليف ادارية وعمومية </v>
      </c>
      <c r="E898" s="132"/>
      <c r="F898" s="133">
        <v>250</v>
      </c>
      <c r="G898" s="133"/>
      <c r="H898" s="134">
        <f t="shared" si="40"/>
        <v>250</v>
      </c>
      <c r="I898" s="134">
        <f t="shared" si="40"/>
        <v>0</v>
      </c>
      <c r="J898" s="134">
        <f t="shared" si="39"/>
        <v>250</v>
      </c>
      <c r="K898" s="135"/>
      <c r="L898" s="136" t="str">
        <f t="shared" si="41"/>
        <v>مدين</v>
      </c>
      <c r="M898" s="137" t="str">
        <f>IF(ISERROR(VLOOKUP(C898,'[1]خريطة الحسابات'!_xlnm.Print_Area,4,FALSE))," ",(VLOOKUP(C898,'[1]خريطة الحسابات'!_xlnm.Print_Area,4,FALSE)))</f>
        <v xml:space="preserve">تكاليف ادارية وعمومية </v>
      </c>
      <c r="N898" s="138" t="str">
        <f>IF(ISERROR(VLOOKUP(C898,'[1]خريطة الحسابات'!_xlnm.Print_Area,5,FALSE))," ",(VLOOKUP(C898,'[1]خريطة الحسابات'!_xlnm.Print_Area,5,FALSE)))</f>
        <v xml:space="preserve">مصروفات </v>
      </c>
      <c r="O898" s="139" t="s">
        <v>1752</v>
      </c>
      <c r="P898" s="139" t="s">
        <v>1664</v>
      </c>
    </row>
    <row r="899" spans="1:16">
      <c r="A899" s="104">
        <v>53</v>
      </c>
      <c r="B899" s="131">
        <v>46179</v>
      </c>
      <c r="C899" s="141">
        <v>99</v>
      </c>
      <c r="D899" s="140" t="str">
        <f>IF(ISERROR(VLOOKUP(C899,'[1]خريطة الحسابات'!_xlnm.Print_Area,3,FALSE))," ",(VLOOKUP(C899,'[1]خريطة الحسابات'!_xlnm.Print_Area,3,FALSE)))</f>
        <v xml:space="preserve">تكاليف ادارية وعمومية </v>
      </c>
      <c r="E899" s="132"/>
      <c r="F899" s="133">
        <v>150</v>
      </c>
      <c r="G899" s="133"/>
      <c r="H899" s="134">
        <f t="shared" si="40"/>
        <v>150</v>
      </c>
      <c r="I899" s="134">
        <f t="shared" si="40"/>
        <v>0</v>
      </c>
      <c r="J899" s="134">
        <f t="shared" si="39"/>
        <v>150</v>
      </c>
      <c r="K899" s="135"/>
      <c r="L899" s="136" t="str">
        <f t="shared" si="41"/>
        <v>مدين</v>
      </c>
      <c r="M899" s="137" t="str">
        <f>IF(ISERROR(VLOOKUP(C899,'[1]خريطة الحسابات'!_xlnm.Print_Area,4,FALSE))," ",(VLOOKUP(C899,'[1]خريطة الحسابات'!_xlnm.Print_Area,4,FALSE)))</f>
        <v xml:space="preserve">تكاليف ادارية وعمومية </v>
      </c>
      <c r="N899" s="138" t="str">
        <f>IF(ISERROR(VLOOKUP(C899,'[1]خريطة الحسابات'!_xlnm.Print_Area,5,FALSE))," ",(VLOOKUP(C899,'[1]خريطة الحسابات'!_xlnm.Print_Area,5,FALSE)))</f>
        <v xml:space="preserve">مصروفات </v>
      </c>
      <c r="O899" s="139" t="s">
        <v>1753</v>
      </c>
      <c r="P899" s="139" t="s">
        <v>1664</v>
      </c>
    </row>
    <row r="900" spans="1:16">
      <c r="A900" s="104">
        <v>53</v>
      </c>
      <c r="B900" s="131">
        <v>46181</v>
      </c>
      <c r="C900" s="141">
        <v>99</v>
      </c>
      <c r="D900" s="140" t="str">
        <f>IF(ISERROR(VLOOKUP(C900,'[1]خريطة الحسابات'!_xlnm.Print_Area,3,FALSE))," ",(VLOOKUP(C900,'[1]خريطة الحسابات'!_xlnm.Print_Area,3,FALSE)))</f>
        <v xml:space="preserve">تكاليف ادارية وعمومية </v>
      </c>
      <c r="E900" s="132"/>
      <c r="F900" s="133">
        <v>2650</v>
      </c>
      <c r="G900" s="133"/>
      <c r="H900" s="134">
        <f t="shared" si="40"/>
        <v>2650</v>
      </c>
      <c r="I900" s="134">
        <f t="shared" si="40"/>
        <v>0</v>
      </c>
      <c r="J900" s="134">
        <f t="shared" si="39"/>
        <v>2650</v>
      </c>
      <c r="K900" s="135"/>
      <c r="L900" s="136" t="str">
        <f t="shared" si="41"/>
        <v>مدين</v>
      </c>
      <c r="M900" s="137" t="str">
        <f>IF(ISERROR(VLOOKUP(C900,'[1]خريطة الحسابات'!_xlnm.Print_Area,4,FALSE))," ",(VLOOKUP(C900,'[1]خريطة الحسابات'!_xlnm.Print_Area,4,FALSE)))</f>
        <v xml:space="preserve">تكاليف ادارية وعمومية </v>
      </c>
      <c r="N900" s="138" t="str">
        <f>IF(ISERROR(VLOOKUP(C900,'[1]خريطة الحسابات'!_xlnm.Print_Area,5,FALSE))," ",(VLOOKUP(C900,'[1]خريطة الحسابات'!_xlnm.Print_Area,5,FALSE)))</f>
        <v xml:space="preserve">مصروفات </v>
      </c>
      <c r="O900" s="139" t="s">
        <v>1754</v>
      </c>
      <c r="P900" s="139" t="s">
        <v>1664</v>
      </c>
    </row>
    <row r="901" spans="1:16">
      <c r="A901" s="104">
        <v>53</v>
      </c>
      <c r="B901" s="131">
        <v>46182</v>
      </c>
      <c r="C901" s="141">
        <v>99</v>
      </c>
      <c r="D901" s="140" t="str">
        <f>IF(ISERROR(VLOOKUP(C901,'[1]خريطة الحسابات'!_xlnm.Print_Area,3,FALSE))," ",(VLOOKUP(C901,'[1]خريطة الحسابات'!_xlnm.Print_Area,3,FALSE)))</f>
        <v xml:space="preserve">تكاليف ادارية وعمومية </v>
      </c>
      <c r="E901" s="132"/>
      <c r="F901" s="133">
        <v>1600</v>
      </c>
      <c r="G901" s="133"/>
      <c r="H901" s="134">
        <f t="shared" si="40"/>
        <v>1600</v>
      </c>
      <c r="I901" s="134">
        <f t="shared" si="40"/>
        <v>0</v>
      </c>
      <c r="J901" s="134">
        <f t="shared" si="39"/>
        <v>1600</v>
      </c>
      <c r="K901" s="135"/>
      <c r="L901" s="136" t="str">
        <f t="shared" si="41"/>
        <v>مدين</v>
      </c>
      <c r="M901" s="137" t="str">
        <f>IF(ISERROR(VLOOKUP(C901,'[1]خريطة الحسابات'!_xlnm.Print_Area,4,FALSE))," ",(VLOOKUP(C901,'[1]خريطة الحسابات'!_xlnm.Print_Area,4,FALSE)))</f>
        <v xml:space="preserve">تكاليف ادارية وعمومية </v>
      </c>
      <c r="N901" s="138" t="str">
        <f>IF(ISERROR(VLOOKUP(C901,'[1]خريطة الحسابات'!_xlnm.Print_Area,5,FALSE))," ",(VLOOKUP(C901,'[1]خريطة الحسابات'!_xlnm.Print_Area,5,FALSE)))</f>
        <v xml:space="preserve">مصروفات </v>
      </c>
      <c r="O901" s="139" t="s">
        <v>1755</v>
      </c>
      <c r="P901" s="139" t="s">
        <v>1664</v>
      </c>
    </row>
    <row r="902" spans="1:16">
      <c r="A902" s="104">
        <v>53</v>
      </c>
      <c r="B902" s="131">
        <v>46184</v>
      </c>
      <c r="C902" s="141">
        <v>99</v>
      </c>
      <c r="D902" s="140" t="str">
        <f>IF(ISERROR(VLOOKUP(C902,'[1]خريطة الحسابات'!_xlnm.Print_Area,3,FALSE))," ",(VLOOKUP(C902,'[1]خريطة الحسابات'!_xlnm.Print_Area,3,FALSE)))</f>
        <v xml:space="preserve">تكاليف ادارية وعمومية </v>
      </c>
      <c r="E902" s="132"/>
      <c r="F902" s="133">
        <v>70</v>
      </c>
      <c r="G902" s="133"/>
      <c r="H902" s="134">
        <f t="shared" si="40"/>
        <v>70</v>
      </c>
      <c r="I902" s="134">
        <f t="shared" si="40"/>
        <v>0</v>
      </c>
      <c r="J902" s="134">
        <f t="shared" si="39"/>
        <v>70</v>
      </c>
      <c r="K902" s="135"/>
      <c r="L902" s="136" t="str">
        <f t="shared" si="41"/>
        <v>مدين</v>
      </c>
      <c r="M902" s="137" t="str">
        <f>IF(ISERROR(VLOOKUP(C902,'[1]خريطة الحسابات'!_xlnm.Print_Area,4,FALSE))," ",(VLOOKUP(C902,'[1]خريطة الحسابات'!_xlnm.Print_Area,4,FALSE)))</f>
        <v xml:space="preserve">تكاليف ادارية وعمومية </v>
      </c>
      <c r="N902" s="138" t="str">
        <f>IF(ISERROR(VLOOKUP(C902,'[1]خريطة الحسابات'!_xlnm.Print_Area,5,FALSE))," ",(VLOOKUP(C902,'[1]خريطة الحسابات'!_xlnm.Print_Area,5,FALSE)))</f>
        <v xml:space="preserve">مصروفات </v>
      </c>
      <c r="O902" s="139" t="s">
        <v>1756</v>
      </c>
      <c r="P902" s="139" t="s">
        <v>1664</v>
      </c>
    </row>
    <row r="903" spans="1:16">
      <c r="A903" s="104">
        <v>53</v>
      </c>
      <c r="B903" s="131">
        <v>46186</v>
      </c>
      <c r="C903" s="141">
        <v>99</v>
      </c>
      <c r="D903" s="140" t="str">
        <f>IF(ISERROR(VLOOKUP(C903,'[1]خريطة الحسابات'!_xlnm.Print_Area,3,FALSE))," ",(VLOOKUP(C903,'[1]خريطة الحسابات'!_xlnm.Print_Area,3,FALSE)))</f>
        <v xml:space="preserve">تكاليف ادارية وعمومية </v>
      </c>
      <c r="E903" s="132"/>
      <c r="F903" s="133">
        <v>10000</v>
      </c>
      <c r="G903" s="133"/>
      <c r="H903" s="134">
        <f t="shared" si="40"/>
        <v>10000</v>
      </c>
      <c r="I903" s="134">
        <f t="shared" si="40"/>
        <v>0</v>
      </c>
      <c r="J903" s="134">
        <f t="shared" si="39"/>
        <v>10000</v>
      </c>
      <c r="K903" s="135"/>
      <c r="L903" s="136" t="str">
        <f t="shared" si="41"/>
        <v>مدين</v>
      </c>
      <c r="M903" s="137" t="str">
        <f>IF(ISERROR(VLOOKUP(C903,'[1]خريطة الحسابات'!_xlnm.Print_Area,4,FALSE))," ",(VLOOKUP(C903,'[1]خريطة الحسابات'!_xlnm.Print_Area,4,FALSE)))</f>
        <v xml:space="preserve">تكاليف ادارية وعمومية </v>
      </c>
      <c r="N903" s="138" t="str">
        <f>IF(ISERROR(VLOOKUP(C903,'[1]خريطة الحسابات'!_xlnm.Print_Area,5,FALSE))," ",(VLOOKUP(C903,'[1]خريطة الحسابات'!_xlnm.Print_Area,5,FALSE)))</f>
        <v xml:space="preserve">مصروفات </v>
      </c>
      <c r="O903" s="139" t="s">
        <v>1757</v>
      </c>
      <c r="P903" s="139" t="s">
        <v>1664</v>
      </c>
    </row>
    <row r="904" spans="1:16">
      <c r="A904" s="104">
        <v>53</v>
      </c>
      <c r="B904" s="131">
        <v>46027</v>
      </c>
      <c r="C904" s="141">
        <v>20</v>
      </c>
      <c r="D904" s="140" t="str">
        <f>IF(ISERROR(VLOOKUP(C904,'[1]خريطة الحسابات'!_xlnm.Print_Area,3,FALSE))," ",(VLOOKUP(C904,'[1]خريطة الحسابات'!_xlnm.Print_Area,3,FALSE)))</f>
        <v xml:space="preserve">الخزينة </v>
      </c>
      <c r="E904" s="132"/>
      <c r="F904" s="133"/>
      <c r="G904" s="133">
        <v>4000</v>
      </c>
      <c r="H904" s="134">
        <f t="shared" si="40"/>
        <v>0</v>
      </c>
      <c r="I904" s="134">
        <f t="shared" si="40"/>
        <v>4000</v>
      </c>
      <c r="J904" s="134">
        <f t="shared" si="39"/>
        <v>-4000</v>
      </c>
      <c r="K904" s="135"/>
      <c r="L904" s="136" t="str">
        <f t="shared" si="41"/>
        <v>دائن</v>
      </c>
      <c r="M904" s="137" t="str">
        <f>IF(ISERROR(VLOOKUP(C904,'[1]خريطة الحسابات'!_xlnm.Print_Area,4,FALSE))," ",(VLOOKUP(C904,'[1]خريطة الحسابات'!_xlnm.Print_Area,4,FALSE)))</f>
        <v xml:space="preserve">أصول متداوله -النقدية ومافي حكمها </v>
      </c>
      <c r="N904" s="138" t="str">
        <f>IF(ISERROR(VLOOKUP(C904,'[1]خريطة الحسابات'!_xlnm.Print_Area,5,FALSE))," ",(VLOOKUP(C904,'[1]خريطة الحسابات'!_xlnm.Print_Area,5,FALSE)))</f>
        <v>الاصول</v>
      </c>
      <c r="O904" s="139" t="s">
        <v>1663</v>
      </c>
      <c r="P904" s="139" t="s">
        <v>1664</v>
      </c>
    </row>
    <row r="905" spans="1:16">
      <c r="A905" s="104">
        <v>53</v>
      </c>
      <c r="B905" s="131">
        <v>46034</v>
      </c>
      <c r="C905" s="141">
        <v>20</v>
      </c>
      <c r="D905" s="140" t="str">
        <f>IF(ISERROR(VLOOKUP(C905,'[1]خريطة الحسابات'!_xlnm.Print_Area,3,FALSE))," ",(VLOOKUP(C905,'[1]خريطة الحسابات'!_xlnm.Print_Area,3,FALSE)))</f>
        <v xml:space="preserve">الخزينة </v>
      </c>
      <c r="E905" s="132"/>
      <c r="F905" s="133"/>
      <c r="G905" s="133">
        <v>1625</v>
      </c>
      <c r="H905" s="134">
        <f t="shared" si="40"/>
        <v>0</v>
      </c>
      <c r="I905" s="134">
        <f t="shared" si="40"/>
        <v>1625</v>
      </c>
      <c r="J905" s="134">
        <f t="shared" si="39"/>
        <v>-1625</v>
      </c>
      <c r="K905" s="135"/>
      <c r="L905" s="136" t="str">
        <f t="shared" si="41"/>
        <v>دائن</v>
      </c>
      <c r="M905" s="137" t="str">
        <f>IF(ISERROR(VLOOKUP(C905,'[1]خريطة الحسابات'!_xlnm.Print_Area,4,FALSE))," ",(VLOOKUP(C905,'[1]خريطة الحسابات'!_xlnm.Print_Area,4,FALSE)))</f>
        <v xml:space="preserve">أصول متداوله -النقدية ومافي حكمها </v>
      </c>
      <c r="N905" s="138" t="str">
        <f>IF(ISERROR(VLOOKUP(C905,'[1]خريطة الحسابات'!_xlnm.Print_Area,5,FALSE))," ",(VLOOKUP(C905,'[1]خريطة الحسابات'!_xlnm.Print_Area,5,FALSE)))</f>
        <v>الاصول</v>
      </c>
      <c r="O905" s="139" t="s">
        <v>1665</v>
      </c>
      <c r="P905" s="139" t="s">
        <v>1664</v>
      </c>
    </row>
    <row r="906" spans="1:16">
      <c r="A906" s="104">
        <v>53</v>
      </c>
      <c r="B906" s="131">
        <v>46036</v>
      </c>
      <c r="C906" s="141">
        <v>20</v>
      </c>
      <c r="D906" s="140" t="str">
        <f>IF(ISERROR(VLOOKUP(C906,'[1]خريطة الحسابات'!_xlnm.Print_Area,3,FALSE))," ",(VLOOKUP(C906,'[1]خريطة الحسابات'!_xlnm.Print_Area,3,FALSE)))</f>
        <v xml:space="preserve">الخزينة </v>
      </c>
      <c r="E906" s="132"/>
      <c r="F906" s="133"/>
      <c r="G906" s="133">
        <v>3000</v>
      </c>
      <c r="H906" s="134">
        <f t="shared" si="40"/>
        <v>0</v>
      </c>
      <c r="I906" s="134">
        <f t="shared" si="40"/>
        <v>3000</v>
      </c>
      <c r="J906" s="134">
        <f t="shared" si="39"/>
        <v>-3000</v>
      </c>
      <c r="K906" s="135"/>
      <c r="L906" s="136" t="str">
        <f t="shared" si="41"/>
        <v>دائن</v>
      </c>
      <c r="M906" s="137" t="str">
        <f>IF(ISERROR(VLOOKUP(C906,'[1]خريطة الحسابات'!_xlnm.Print_Area,4,FALSE))," ",(VLOOKUP(C906,'[1]خريطة الحسابات'!_xlnm.Print_Area,4,FALSE)))</f>
        <v xml:space="preserve">أصول متداوله -النقدية ومافي حكمها </v>
      </c>
      <c r="N906" s="138" t="str">
        <f>IF(ISERROR(VLOOKUP(C906,'[1]خريطة الحسابات'!_xlnm.Print_Area,5,FALSE))," ",(VLOOKUP(C906,'[1]خريطة الحسابات'!_xlnm.Print_Area,5,FALSE)))</f>
        <v>الاصول</v>
      </c>
      <c r="O906" s="139" t="s">
        <v>1666</v>
      </c>
      <c r="P906" s="139" t="s">
        <v>1664</v>
      </c>
    </row>
    <row r="907" spans="1:16">
      <c r="A907" s="104">
        <v>53</v>
      </c>
      <c r="B907" s="131">
        <v>46037</v>
      </c>
      <c r="C907" s="141">
        <v>20</v>
      </c>
      <c r="D907" s="140" t="str">
        <f>IF(ISERROR(VLOOKUP(C907,'[1]خريطة الحسابات'!_xlnm.Print_Area,3,FALSE))," ",(VLOOKUP(C907,'[1]خريطة الحسابات'!_xlnm.Print_Area,3,FALSE)))</f>
        <v xml:space="preserve">الخزينة </v>
      </c>
      <c r="E907" s="132"/>
      <c r="F907" s="133"/>
      <c r="G907" s="133">
        <v>33</v>
      </c>
      <c r="H907" s="134">
        <f t="shared" si="40"/>
        <v>0</v>
      </c>
      <c r="I907" s="134">
        <f t="shared" si="40"/>
        <v>33</v>
      </c>
      <c r="J907" s="134">
        <f t="shared" si="39"/>
        <v>-33</v>
      </c>
      <c r="K907" s="135"/>
      <c r="L907" s="136" t="str">
        <f t="shared" si="41"/>
        <v>دائن</v>
      </c>
      <c r="M907" s="137" t="str">
        <f>IF(ISERROR(VLOOKUP(C907,'[1]خريطة الحسابات'!_xlnm.Print_Area,4,FALSE))," ",(VLOOKUP(C907,'[1]خريطة الحسابات'!_xlnm.Print_Area,4,FALSE)))</f>
        <v xml:space="preserve">أصول متداوله -النقدية ومافي حكمها </v>
      </c>
      <c r="N907" s="138" t="str">
        <f>IF(ISERROR(VLOOKUP(C907,'[1]خريطة الحسابات'!_xlnm.Print_Area,5,FALSE))," ",(VLOOKUP(C907,'[1]خريطة الحسابات'!_xlnm.Print_Area,5,FALSE)))</f>
        <v>الاصول</v>
      </c>
      <c r="O907" s="139" t="s">
        <v>1667</v>
      </c>
      <c r="P907" s="139" t="s">
        <v>1664</v>
      </c>
    </row>
    <row r="908" spans="1:16">
      <c r="A908" s="104">
        <v>53</v>
      </c>
      <c r="B908" s="131">
        <v>46042</v>
      </c>
      <c r="C908" s="141">
        <v>20</v>
      </c>
      <c r="D908" s="140" t="str">
        <f>IF(ISERROR(VLOOKUP(C908,'[1]خريطة الحسابات'!_xlnm.Print_Area,3,FALSE))," ",(VLOOKUP(C908,'[1]خريطة الحسابات'!_xlnm.Print_Area,3,FALSE)))</f>
        <v xml:space="preserve">الخزينة </v>
      </c>
      <c r="E908" s="132"/>
      <c r="F908" s="133"/>
      <c r="G908" s="133">
        <v>100</v>
      </c>
      <c r="H908" s="134">
        <f t="shared" si="40"/>
        <v>0</v>
      </c>
      <c r="I908" s="134">
        <f t="shared" si="40"/>
        <v>100</v>
      </c>
      <c r="J908" s="134">
        <f t="shared" si="39"/>
        <v>-100</v>
      </c>
      <c r="K908" s="135"/>
      <c r="L908" s="136" t="str">
        <f t="shared" si="41"/>
        <v>دائن</v>
      </c>
      <c r="M908" s="137" t="str">
        <f>IF(ISERROR(VLOOKUP(C908,'[1]خريطة الحسابات'!_xlnm.Print_Area,4,FALSE))," ",(VLOOKUP(C908,'[1]خريطة الحسابات'!_xlnm.Print_Area,4,FALSE)))</f>
        <v xml:space="preserve">أصول متداوله -النقدية ومافي حكمها </v>
      </c>
      <c r="N908" s="138" t="str">
        <f>IF(ISERROR(VLOOKUP(C908,'[1]خريطة الحسابات'!_xlnm.Print_Area,5,FALSE))," ",(VLOOKUP(C908,'[1]خريطة الحسابات'!_xlnm.Print_Area,5,FALSE)))</f>
        <v>الاصول</v>
      </c>
      <c r="O908" s="139" t="s">
        <v>1668</v>
      </c>
      <c r="P908" s="139" t="s">
        <v>1664</v>
      </c>
    </row>
    <row r="909" spans="1:16">
      <c r="A909" s="104">
        <v>53</v>
      </c>
      <c r="B909" s="131">
        <v>46044</v>
      </c>
      <c r="C909" s="141">
        <v>20</v>
      </c>
      <c r="D909" s="140" t="str">
        <f>IF(ISERROR(VLOOKUP(C909,'[1]خريطة الحسابات'!_xlnm.Print_Area,3,FALSE))," ",(VLOOKUP(C909,'[1]خريطة الحسابات'!_xlnm.Print_Area,3,FALSE)))</f>
        <v xml:space="preserve">الخزينة </v>
      </c>
      <c r="E909" s="132"/>
      <c r="F909" s="133"/>
      <c r="G909" s="133">
        <v>2350</v>
      </c>
      <c r="H909" s="134">
        <f t="shared" si="40"/>
        <v>0</v>
      </c>
      <c r="I909" s="134">
        <f t="shared" si="40"/>
        <v>2350</v>
      </c>
      <c r="J909" s="134">
        <f t="shared" si="39"/>
        <v>-2350</v>
      </c>
      <c r="K909" s="135"/>
      <c r="L909" s="136" t="str">
        <f t="shared" si="41"/>
        <v>دائن</v>
      </c>
      <c r="M909" s="137" t="str">
        <f>IF(ISERROR(VLOOKUP(C909,'[1]خريطة الحسابات'!_xlnm.Print_Area,4,FALSE))," ",(VLOOKUP(C909,'[1]خريطة الحسابات'!_xlnm.Print_Area,4,FALSE)))</f>
        <v xml:space="preserve">أصول متداوله -النقدية ومافي حكمها </v>
      </c>
      <c r="N909" s="138" t="str">
        <f>IF(ISERROR(VLOOKUP(C909,'[1]خريطة الحسابات'!_xlnm.Print_Area,5,FALSE))," ",(VLOOKUP(C909,'[1]خريطة الحسابات'!_xlnm.Print_Area,5,FALSE)))</f>
        <v>الاصول</v>
      </c>
      <c r="O909" s="139" t="s">
        <v>1669</v>
      </c>
      <c r="P909" s="139" t="s">
        <v>1664</v>
      </c>
    </row>
    <row r="910" spans="1:16">
      <c r="A910" s="104">
        <v>53</v>
      </c>
      <c r="B910" s="131">
        <v>46046</v>
      </c>
      <c r="C910" s="141">
        <v>20</v>
      </c>
      <c r="D910" s="140" t="str">
        <f>IF(ISERROR(VLOOKUP(C910,'[1]خريطة الحسابات'!_xlnm.Print_Area,3,FALSE))," ",(VLOOKUP(C910,'[1]خريطة الحسابات'!_xlnm.Print_Area,3,FALSE)))</f>
        <v xml:space="preserve">الخزينة </v>
      </c>
      <c r="E910" s="132"/>
      <c r="F910" s="133"/>
      <c r="G910" s="133">
        <v>3000</v>
      </c>
      <c r="H910" s="134">
        <f t="shared" si="40"/>
        <v>0</v>
      </c>
      <c r="I910" s="134">
        <f t="shared" si="40"/>
        <v>3000</v>
      </c>
      <c r="J910" s="134">
        <f t="shared" si="39"/>
        <v>-3000</v>
      </c>
      <c r="K910" s="135"/>
      <c r="L910" s="136" t="str">
        <f t="shared" si="41"/>
        <v>دائن</v>
      </c>
      <c r="M910" s="137" t="str">
        <f>IF(ISERROR(VLOOKUP(C910,'[1]خريطة الحسابات'!_xlnm.Print_Area,4,FALSE))," ",(VLOOKUP(C910,'[1]خريطة الحسابات'!_xlnm.Print_Area,4,FALSE)))</f>
        <v xml:space="preserve">أصول متداوله -النقدية ومافي حكمها </v>
      </c>
      <c r="N910" s="138" t="str">
        <f>IF(ISERROR(VLOOKUP(C910,'[1]خريطة الحسابات'!_xlnm.Print_Area,5,FALSE))," ",(VLOOKUP(C910,'[1]خريطة الحسابات'!_xlnm.Print_Area,5,FALSE)))</f>
        <v>الاصول</v>
      </c>
      <c r="O910" s="139" t="s">
        <v>1670</v>
      </c>
      <c r="P910" s="139" t="s">
        <v>1664</v>
      </c>
    </row>
    <row r="911" spans="1:16">
      <c r="A911" s="104">
        <v>53</v>
      </c>
      <c r="B911" s="131">
        <v>46047</v>
      </c>
      <c r="C911" s="141">
        <v>20</v>
      </c>
      <c r="D911" s="140" t="str">
        <f>IF(ISERROR(VLOOKUP(C911,'[1]خريطة الحسابات'!_xlnm.Print_Area,3,FALSE))," ",(VLOOKUP(C911,'[1]خريطة الحسابات'!_xlnm.Print_Area,3,FALSE)))</f>
        <v xml:space="preserve">الخزينة </v>
      </c>
      <c r="E911" s="132"/>
      <c r="F911" s="133"/>
      <c r="G911" s="133">
        <v>4880</v>
      </c>
      <c r="H911" s="134">
        <f t="shared" si="40"/>
        <v>0</v>
      </c>
      <c r="I911" s="134">
        <f t="shared" si="40"/>
        <v>4880</v>
      </c>
      <c r="J911" s="134">
        <f t="shared" si="39"/>
        <v>-4880</v>
      </c>
      <c r="K911" s="135"/>
      <c r="L911" s="136" t="str">
        <f t="shared" si="41"/>
        <v>دائن</v>
      </c>
      <c r="M911" s="137" t="str">
        <f>IF(ISERROR(VLOOKUP(C911,'[1]خريطة الحسابات'!_xlnm.Print_Area,4,FALSE))," ",(VLOOKUP(C911,'[1]خريطة الحسابات'!_xlnm.Print_Area,4,FALSE)))</f>
        <v xml:space="preserve">أصول متداوله -النقدية ومافي حكمها </v>
      </c>
      <c r="N911" s="138" t="str">
        <f>IF(ISERROR(VLOOKUP(C911,'[1]خريطة الحسابات'!_xlnm.Print_Area,5,FALSE))," ",(VLOOKUP(C911,'[1]خريطة الحسابات'!_xlnm.Print_Area,5,FALSE)))</f>
        <v>الاصول</v>
      </c>
      <c r="O911" s="139" t="s">
        <v>1671</v>
      </c>
      <c r="P911" s="139" t="s">
        <v>1664</v>
      </c>
    </row>
    <row r="912" spans="1:16">
      <c r="A912" s="104">
        <v>53</v>
      </c>
      <c r="B912" s="131">
        <v>46049</v>
      </c>
      <c r="C912" s="141">
        <v>20</v>
      </c>
      <c r="D912" s="140" t="str">
        <f>IF(ISERROR(VLOOKUP(C912,'[1]خريطة الحسابات'!_xlnm.Print_Area,3,FALSE))," ",(VLOOKUP(C912,'[1]خريطة الحسابات'!_xlnm.Print_Area,3,FALSE)))</f>
        <v xml:space="preserve">الخزينة </v>
      </c>
      <c r="E912" s="132"/>
      <c r="F912" s="133"/>
      <c r="G912" s="133">
        <v>54</v>
      </c>
      <c r="H912" s="134">
        <f t="shared" si="40"/>
        <v>0</v>
      </c>
      <c r="I912" s="134">
        <f t="shared" si="40"/>
        <v>54</v>
      </c>
      <c r="J912" s="134">
        <f t="shared" si="39"/>
        <v>-54</v>
      </c>
      <c r="K912" s="135"/>
      <c r="L912" s="136" t="str">
        <f t="shared" si="41"/>
        <v>دائن</v>
      </c>
      <c r="M912" s="137" t="str">
        <f>IF(ISERROR(VLOOKUP(C912,'[1]خريطة الحسابات'!_xlnm.Print_Area,4,FALSE))," ",(VLOOKUP(C912,'[1]خريطة الحسابات'!_xlnm.Print_Area,4,FALSE)))</f>
        <v xml:space="preserve">أصول متداوله -النقدية ومافي حكمها </v>
      </c>
      <c r="N912" s="138" t="str">
        <f>IF(ISERROR(VLOOKUP(C912,'[1]خريطة الحسابات'!_xlnm.Print_Area,5,FALSE))," ",(VLOOKUP(C912,'[1]خريطة الحسابات'!_xlnm.Print_Area,5,FALSE)))</f>
        <v>الاصول</v>
      </c>
      <c r="O912" s="139" t="s">
        <v>1672</v>
      </c>
      <c r="P912" s="139" t="s">
        <v>1664</v>
      </c>
    </row>
    <row r="913" spans="1:16">
      <c r="A913" s="104">
        <v>53</v>
      </c>
      <c r="B913" s="131">
        <v>46050</v>
      </c>
      <c r="C913" s="141">
        <v>20</v>
      </c>
      <c r="D913" s="140" t="str">
        <f>IF(ISERROR(VLOOKUP(C913,'[1]خريطة الحسابات'!_xlnm.Print_Area,3,FALSE))," ",(VLOOKUP(C913,'[1]خريطة الحسابات'!_xlnm.Print_Area,3,FALSE)))</f>
        <v xml:space="preserve">الخزينة </v>
      </c>
      <c r="E913" s="132"/>
      <c r="F913" s="133"/>
      <c r="G913" s="133">
        <v>975</v>
      </c>
      <c r="H913" s="134">
        <f t="shared" si="40"/>
        <v>0</v>
      </c>
      <c r="I913" s="134">
        <f t="shared" si="40"/>
        <v>975</v>
      </c>
      <c r="J913" s="134">
        <f t="shared" si="39"/>
        <v>-975</v>
      </c>
      <c r="K913" s="135"/>
      <c r="L913" s="136" t="str">
        <f t="shared" si="41"/>
        <v>دائن</v>
      </c>
      <c r="M913" s="137" t="str">
        <f>IF(ISERROR(VLOOKUP(C913,'[1]خريطة الحسابات'!_xlnm.Print_Area,4,FALSE))," ",(VLOOKUP(C913,'[1]خريطة الحسابات'!_xlnm.Print_Area,4,FALSE)))</f>
        <v xml:space="preserve">أصول متداوله -النقدية ومافي حكمها </v>
      </c>
      <c r="N913" s="138" t="str">
        <f>IF(ISERROR(VLOOKUP(C913,'[1]خريطة الحسابات'!_xlnm.Print_Area,5,FALSE))," ",(VLOOKUP(C913,'[1]خريطة الحسابات'!_xlnm.Print_Area,5,FALSE)))</f>
        <v>الاصول</v>
      </c>
      <c r="O913" s="139" t="s">
        <v>1673</v>
      </c>
      <c r="P913" s="139" t="s">
        <v>1664</v>
      </c>
    </row>
    <row r="914" spans="1:16">
      <c r="A914" s="104">
        <v>53</v>
      </c>
      <c r="B914" s="131">
        <v>46062</v>
      </c>
      <c r="C914" s="141">
        <v>20</v>
      </c>
      <c r="D914" s="140" t="str">
        <f>IF(ISERROR(VLOOKUP(C914,'[1]خريطة الحسابات'!_xlnm.Print_Area,3,FALSE))," ",(VLOOKUP(C914,'[1]خريطة الحسابات'!_xlnm.Print_Area,3,FALSE)))</f>
        <v xml:space="preserve">الخزينة </v>
      </c>
      <c r="E914" s="132"/>
      <c r="F914" s="133"/>
      <c r="G914" s="133">
        <v>150</v>
      </c>
      <c r="H914" s="134">
        <f t="shared" si="40"/>
        <v>0</v>
      </c>
      <c r="I914" s="134">
        <f t="shared" si="40"/>
        <v>150</v>
      </c>
      <c r="J914" s="134">
        <f t="shared" si="39"/>
        <v>-150</v>
      </c>
      <c r="K914" s="135"/>
      <c r="L914" s="136" t="str">
        <f t="shared" si="41"/>
        <v>دائن</v>
      </c>
      <c r="M914" s="137" t="str">
        <f>IF(ISERROR(VLOOKUP(C914,'[1]خريطة الحسابات'!_xlnm.Print_Area,4,FALSE))," ",(VLOOKUP(C914,'[1]خريطة الحسابات'!_xlnm.Print_Area,4,FALSE)))</f>
        <v xml:space="preserve">أصول متداوله -النقدية ومافي حكمها </v>
      </c>
      <c r="N914" s="138" t="str">
        <f>IF(ISERROR(VLOOKUP(C914,'[1]خريطة الحسابات'!_xlnm.Print_Area,5,FALSE))," ",(VLOOKUP(C914,'[1]خريطة الحسابات'!_xlnm.Print_Area,5,FALSE)))</f>
        <v>الاصول</v>
      </c>
      <c r="O914" s="139" t="s">
        <v>1674</v>
      </c>
      <c r="P914" s="139" t="s">
        <v>1664</v>
      </c>
    </row>
    <row r="915" spans="1:16">
      <c r="A915" s="104">
        <v>53</v>
      </c>
      <c r="B915" s="131">
        <v>46062</v>
      </c>
      <c r="C915" s="141">
        <v>20</v>
      </c>
      <c r="D915" s="140" t="str">
        <f>IF(ISERROR(VLOOKUP(C915,'[1]خريطة الحسابات'!_xlnm.Print_Area,3,FALSE))," ",(VLOOKUP(C915,'[1]خريطة الحسابات'!_xlnm.Print_Area,3,FALSE)))</f>
        <v xml:space="preserve">الخزينة </v>
      </c>
      <c r="E915" s="132"/>
      <c r="F915" s="133"/>
      <c r="G915" s="133">
        <v>2980</v>
      </c>
      <c r="H915" s="134">
        <f t="shared" si="40"/>
        <v>0</v>
      </c>
      <c r="I915" s="134">
        <f t="shared" si="40"/>
        <v>2980</v>
      </c>
      <c r="J915" s="134">
        <f t="shared" si="39"/>
        <v>-2980</v>
      </c>
      <c r="K915" s="135"/>
      <c r="L915" s="136" t="str">
        <f t="shared" si="41"/>
        <v>دائن</v>
      </c>
      <c r="M915" s="137" t="str">
        <f>IF(ISERROR(VLOOKUP(C915,'[1]خريطة الحسابات'!_xlnm.Print_Area,4,FALSE))," ",(VLOOKUP(C915,'[1]خريطة الحسابات'!_xlnm.Print_Area,4,FALSE)))</f>
        <v xml:space="preserve">أصول متداوله -النقدية ومافي حكمها </v>
      </c>
      <c r="N915" s="138" t="str">
        <f>IF(ISERROR(VLOOKUP(C915,'[1]خريطة الحسابات'!_xlnm.Print_Area,5,FALSE))," ",(VLOOKUP(C915,'[1]خريطة الحسابات'!_xlnm.Print_Area,5,FALSE)))</f>
        <v>الاصول</v>
      </c>
      <c r="O915" s="139" t="s">
        <v>1675</v>
      </c>
      <c r="P915" s="139" t="s">
        <v>1664</v>
      </c>
    </row>
    <row r="916" spans="1:16">
      <c r="A916" s="104">
        <v>53</v>
      </c>
      <c r="B916" s="131">
        <v>46063</v>
      </c>
      <c r="C916" s="141">
        <v>20</v>
      </c>
      <c r="D916" s="140" t="str">
        <f>IF(ISERROR(VLOOKUP(C916,'[1]خريطة الحسابات'!_xlnm.Print_Area,3,FALSE))," ",(VLOOKUP(C916,'[1]خريطة الحسابات'!_xlnm.Print_Area,3,FALSE)))</f>
        <v xml:space="preserve">الخزينة </v>
      </c>
      <c r="E916" s="132"/>
      <c r="F916" s="133"/>
      <c r="G916" s="133">
        <v>45</v>
      </c>
      <c r="H916" s="134">
        <f t="shared" si="40"/>
        <v>0</v>
      </c>
      <c r="I916" s="134">
        <f t="shared" si="40"/>
        <v>45</v>
      </c>
      <c r="J916" s="134">
        <f t="shared" si="39"/>
        <v>-45</v>
      </c>
      <c r="K916" s="135"/>
      <c r="L916" s="136" t="str">
        <f t="shared" si="41"/>
        <v>دائن</v>
      </c>
      <c r="M916" s="137" t="str">
        <f>IF(ISERROR(VLOOKUP(C916,'[1]خريطة الحسابات'!_xlnm.Print_Area,4,FALSE))," ",(VLOOKUP(C916,'[1]خريطة الحسابات'!_xlnm.Print_Area,4,FALSE)))</f>
        <v xml:space="preserve">أصول متداوله -النقدية ومافي حكمها </v>
      </c>
      <c r="N916" s="138" t="str">
        <f>IF(ISERROR(VLOOKUP(C916,'[1]خريطة الحسابات'!_xlnm.Print_Area,5,FALSE))," ",(VLOOKUP(C916,'[1]خريطة الحسابات'!_xlnm.Print_Area,5,FALSE)))</f>
        <v>الاصول</v>
      </c>
      <c r="O916" s="139" t="s">
        <v>1676</v>
      </c>
      <c r="P916" s="139" t="s">
        <v>1664</v>
      </c>
    </row>
    <row r="917" spans="1:16">
      <c r="A917" s="104">
        <v>53</v>
      </c>
      <c r="B917" s="131">
        <v>46064</v>
      </c>
      <c r="C917" s="141">
        <v>20</v>
      </c>
      <c r="D917" s="140" t="str">
        <f>IF(ISERROR(VLOOKUP(C917,'[1]خريطة الحسابات'!_xlnm.Print_Area,3,FALSE))," ",(VLOOKUP(C917,'[1]خريطة الحسابات'!_xlnm.Print_Area,3,FALSE)))</f>
        <v xml:space="preserve">الخزينة </v>
      </c>
      <c r="E917" s="132"/>
      <c r="F917" s="133"/>
      <c r="G917" s="133">
        <v>1000</v>
      </c>
      <c r="H917" s="134">
        <f t="shared" si="40"/>
        <v>0</v>
      </c>
      <c r="I917" s="134">
        <f t="shared" si="40"/>
        <v>1000</v>
      </c>
      <c r="J917" s="134">
        <f t="shared" si="39"/>
        <v>-1000</v>
      </c>
      <c r="K917" s="135"/>
      <c r="L917" s="136" t="str">
        <f t="shared" si="41"/>
        <v>دائن</v>
      </c>
      <c r="M917" s="137" t="str">
        <f>IF(ISERROR(VLOOKUP(C917,'[1]خريطة الحسابات'!_xlnm.Print_Area,4,FALSE))," ",(VLOOKUP(C917,'[1]خريطة الحسابات'!_xlnm.Print_Area,4,FALSE)))</f>
        <v xml:space="preserve">أصول متداوله -النقدية ومافي حكمها </v>
      </c>
      <c r="N917" s="138" t="str">
        <f>IF(ISERROR(VLOOKUP(C917,'[1]خريطة الحسابات'!_xlnm.Print_Area,5,FALSE))," ",(VLOOKUP(C917,'[1]خريطة الحسابات'!_xlnm.Print_Area,5,FALSE)))</f>
        <v>الاصول</v>
      </c>
      <c r="O917" s="139" t="s">
        <v>1677</v>
      </c>
      <c r="P917" s="139" t="s">
        <v>1664</v>
      </c>
    </row>
    <row r="918" spans="1:16">
      <c r="A918" s="104">
        <v>53</v>
      </c>
      <c r="B918" s="131">
        <v>46064</v>
      </c>
      <c r="C918" s="141">
        <v>20</v>
      </c>
      <c r="D918" s="140" t="str">
        <f>IF(ISERROR(VLOOKUP(C918,'[1]خريطة الحسابات'!_xlnm.Print_Area,3,FALSE))," ",(VLOOKUP(C918,'[1]خريطة الحسابات'!_xlnm.Print_Area,3,FALSE)))</f>
        <v xml:space="preserve">الخزينة </v>
      </c>
      <c r="E918" s="132"/>
      <c r="F918" s="133"/>
      <c r="G918" s="133">
        <v>2000</v>
      </c>
      <c r="H918" s="134">
        <f t="shared" si="40"/>
        <v>0</v>
      </c>
      <c r="I918" s="134">
        <f t="shared" si="40"/>
        <v>2000</v>
      </c>
      <c r="J918" s="134">
        <f t="shared" si="39"/>
        <v>-2000</v>
      </c>
      <c r="K918" s="135"/>
      <c r="L918" s="136" t="str">
        <f t="shared" si="41"/>
        <v>دائن</v>
      </c>
      <c r="M918" s="137" t="str">
        <f>IF(ISERROR(VLOOKUP(C918,'[1]خريطة الحسابات'!_xlnm.Print_Area,4,FALSE))," ",(VLOOKUP(C918,'[1]خريطة الحسابات'!_xlnm.Print_Area,4,FALSE)))</f>
        <v xml:space="preserve">أصول متداوله -النقدية ومافي حكمها </v>
      </c>
      <c r="N918" s="138" t="str">
        <f>IF(ISERROR(VLOOKUP(C918,'[1]خريطة الحسابات'!_xlnm.Print_Area,5,FALSE))," ",(VLOOKUP(C918,'[1]خريطة الحسابات'!_xlnm.Print_Area,5,FALSE)))</f>
        <v>الاصول</v>
      </c>
      <c r="O918" s="139" t="s">
        <v>1678</v>
      </c>
      <c r="P918" s="139" t="s">
        <v>1664</v>
      </c>
    </row>
    <row r="919" spans="1:16">
      <c r="A919" s="104">
        <v>53</v>
      </c>
      <c r="B919" s="131">
        <v>46068</v>
      </c>
      <c r="C919" s="141">
        <v>20</v>
      </c>
      <c r="D919" s="140" t="str">
        <f>IF(ISERROR(VLOOKUP(C919,'[1]خريطة الحسابات'!_xlnm.Print_Area,3,FALSE))," ",(VLOOKUP(C919,'[1]خريطة الحسابات'!_xlnm.Print_Area,3,FALSE)))</f>
        <v xml:space="preserve">الخزينة </v>
      </c>
      <c r="E919" s="132"/>
      <c r="F919" s="133"/>
      <c r="G919" s="133">
        <v>110</v>
      </c>
      <c r="H919" s="134">
        <f t="shared" si="40"/>
        <v>0</v>
      </c>
      <c r="I919" s="134">
        <f t="shared" si="40"/>
        <v>110</v>
      </c>
      <c r="J919" s="134">
        <f t="shared" si="39"/>
        <v>-110</v>
      </c>
      <c r="K919" s="135"/>
      <c r="L919" s="136" t="str">
        <f t="shared" si="41"/>
        <v>دائن</v>
      </c>
      <c r="M919" s="137" t="str">
        <f>IF(ISERROR(VLOOKUP(C919,'[1]خريطة الحسابات'!_xlnm.Print_Area,4,FALSE))," ",(VLOOKUP(C919,'[1]خريطة الحسابات'!_xlnm.Print_Area,4,FALSE)))</f>
        <v xml:space="preserve">أصول متداوله -النقدية ومافي حكمها </v>
      </c>
      <c r="N919" s="138" t="str">
        <f>IF(ISERROR(VLOOKUP(C919,'[1]خريطة الحسابات'!_xlnm.Print_Area,5,FALSE))," ",(VLOOKUP(C919,'[1]خريطة الحسابات'!_xlnm.Print_Area,5,FALSE)))</f>
        <v>الاصول</v>
      </c>
      <c r="O919" s="139" t="s">
        <v>1679</v>
      </c>
      <c r="P919" s="139" t="s">
        <v>1664</v>
      </c>
    </row>
    <row r="920" spans="1:16">
      <c r="A920" s="104">
        <v>53</v>
      </c>
      <c r="B920" s="131">
        <v>46069</v>
      </c>
      <c r="C920" s="141">
        <v>20</v>
      </c>
      <c r="D920" s="140" t="str">
        <f>IF(ISERROR(VLOOKUP(C920,'[1]خريطة الحسابات'!_xlnm.Print_Area,3,FALSE))," ",(VLOOKUP(C920,'[1]خريطة الحسابات'!_xlnm.Print_Area,3,FALSE)))</f>
        <v xml:space="preserve">الخزينة </v>
      </c>
      <c r="E920" s="132"/>
      <c r="F920" s="133"/>
      <c r="G920" s="133">
        <v>300</v>
      </c>
      <c r="H920" s="134">
        <f t="shared" si="40"/>
        <v>0</v>
      </c>
      <c r="I920" s="134">
        <f t="shared" si="40"/>
        <v>300</v>
      </c>
      <c r="J920" s="134">
        <f t="shared" ref="J920:J983" si="42">H920-I920</f>
        <v>-300</v>
      </c>
      <c r="K920" s="135"/>
      <c r="L920" s="136" t="str">
        <f t="shared" si="41"/>
        <v>دائن</v>
      </c>
      <c r="M920" s="137" t="str">
        <f>IF(ISERROR(VLOOKUP(C920,'[1]خريطة الحسابات'!_xlnm.Print_Area,4,FALSE))," ",(VLOOKUP(C920,'[1]خريطة الحسابات'!_xlnm.Print_Area,4,FALSE)))</f>
        <v xml:space="preserve">أصول متداوله -النقدية ومافي حكمها </v>
      </c>
      <c r="N920" s="138" t="str">
        <f>IF(ISERROR(VLOOKUP(C920,'[1]خريطة الحسابات'!_xlnm.Print_Area,5,FALSE))," ",(VLOOKUP(C920,'[1]خريطة الحسابات'!_xlnm.Print_Area,5,FALSE)))</f>
        <v>الاصول</v>
      </c>
      <c r="O920" s="139" t="s">
        <v>1680</v>
      </c>
      <c r="P920" s="139" t="s">
        <v>1664</v>
      </c>
    </row>
    <row r="921" spans="1:16">
      <c r="A921" s="104">
        <v>53</v>
      </c>
      <c r="B921" s="131">
        <v>46069</v>
      </c>
      <c r="C921" s="141">
        <v>20</v>
      </c>
      <c r="D921" s="140" t="str">
        <f>IF(ISERROR(VLOOKUP(C921,'[1]خريطة الحسابات'!_xlnm.Print_Area,3,FALSE))," ",(VLOOKUP(C921,'[1]خريطة الحسابات'!_xlnm.Print_Area,3,FALSE)))</f>
        <v xml:space="preserve">الخزينة </v>
      </c>
      <c r="E921" s="132"/>
      <c r="F921" s="133"/>
      <c r="G921" s="133">
        <v>610</v>
      </c>
      <c r="H921" s="134">
        <f t="shared" ref="H921:I984" si="43">IF($E921=2,F921*3.465,F921)</f>
        <v>0</v>
      </c>
      <c r="I921" s="134">
        <f t="shared" si="43"/>
        <v>610</v>
      </c>
      <c r="J921" s="134">
        <f t="shared" si="42"/>
        <v>-610</v>
      </c>
      <c r="K921" s="135"/>
      <c r="L921" s="136" t="str">
        <f t="shared" si="41"/>
        <v>دائن</v>
      </c>
      <c r="M921" s="137" t="str">
        <f>IF(ISERROR(VLOOKUP(C921,'[1]خريطة الحسابات'!_xlnm.Print_Area,4,FALSE))," ",(VLOOKUP(C921,'[1]خريطة الحسابات'!_xlnm.Print_Area,4,FALSE)))</f>
        <v xml:space="preserve">أصول متداوله -النقدية ومافي حكمها </v>
      </c>
      <c r="N921" s="138" t="str">
        <f>IF(ISERROR(VLOOKUP(C921,'[1]خريطة الحسابات'!_xlnm.Print_Area,5,FALSE))," ",(VLOOKUP(C921,'[1]خريطة الحسابات'!_xlnm.Print_Area,5,FALSE)))</f>
        <v>الاصول</v>
      </c>
      <c r="O921" s="139" t="s">
        <v>1681</v>
      </c>
      <c r="P921" s="139" t="s">
        <v>1664</v>
      </c>
    </row>
    <row r="922" spans="1:16">
      <c r="A922" s="104">
        <v>53</v>
      </c>
      <c r="B922" s="131">
        <v>46070</v>
      </c>
      <c r="C922" s="141">
        <v>20</v>
      </c>
      <c r="D922" s="140" t="str">
        <f>IF(ISERROR(VLOOKUP(C922,'[1]خريطة الحسابات'!_xlnm.Print_Area,3,FALSE))," ",(VLOOKUP(C922,'[1]خريطة الحسابات'!_xlnm.Print_Area,3,FALSE)))</f>
        <v xml:space="preserve">الخزينة </v>
      </c>
      <c r="E922" s="132"/>
      <c r="F922" s="133"/>
      <c r="G922" s="133">
        <v>5000</v>
      </c>
      <c r="H922" s="134">
        <f t="shared" si="43"/>
        <v>0</v>
      </c>
      <c r="I922" s="134">
        <f t="shared" si="43"/>
        <v>5000</v>
      </c>
      <c r="J922" s="134">
        <f t="shared" si="42"/>
        <v>-5000</v>
      </c>
      <c r="K922" s="135"/>
      <c r="L922" s="136" t="str">
        <f t="shared" si="41"/>
        <v>دائن</v>
      </c>
      <c r="M922" s="137" t="str">
        <f>IF(ISERROR(VLOOKUP(C922,'[1]خريطة الحسابات'!_xlnm.Print_Area,4,FALSE))," ",(VLOOKUP(C922,'[1]خريطة الحسابات'!_xlnm.Print_Area,4,FALSE)))</f>
        <v xml:space="preserve">أصول متداوله -النقدية ومافي حكمها </v>
      </c>
      <c r="N922" s="138" t="str">
        <f>IF(ISERROR(VLOOKUP(C922,'[1]خريطة الحسابات'!_xlnm.Print_Area,5,FALSE))," ",(VLOOKUP(C922,'[1]خريطة الحسابات'!_xlnm.Print_Area,5,FALSE)))</f>
        <v>الاصول</v>
      </c>
      <c r="O922" s="139" t="s">
        <v>1682</v>
      </c>
      <c r="P922" s="139" t="s">
        <v>1664</v>
      </c>
    </row>
    <row r="923" spans="1:16">
      <c r="A923" s="104">
        <v>53</v>
      </c>
      <c r="B923" s="131">
        <v>46071</v>
      </c>
      <c r="C923" s="141">
        <v>20</v>
      </c>
      <c r="D923" s="140" t="str">
        <f>IF(ISERROR(VLOOKUP(C923,'[1]خريطة الحسابات'!_xlnm.Print_Area,3,FALSE))," ",(VLOOKUP(C923,'[1]خريطة الحسابات'!_xlnm.Print_Area,3,FALSE)))</f>
        <v xml:space="preserve">الخزينة </v>
      </c>
      <c r="E923" s="132"/>
      <c r="F923" s="133"/>
      <c r="G923" s="133">
        <v>500</v>
      </c>
      <c r="H923" s="134">
        <f t="shared" si="43"/>
        <v>0</v>
      </c>
      <c r="I923" s="134">
        <f t="shared" si="43"/>
        <v>500</v>
      </c>
      <c r="J923" s="134">
        <f t="shared" si="42"/>
        <v>-500</v>
      </c>
      <c r="K923" s="135"/>
      <c r="L923" s="136" t="str">
        <f t="shared" ref="L923:L986" si="44">IF(J923&lt;0,"دائن",IF(J923&gt;0,"مدين",""))</f>
        <v>دائن</v>
      </c>
      <c r="M923" s="137" t="str">
        <f>IF(ISERROR(VLOOKUP(C923,'[1]خريطة الحسابات'!_xlnm.Print_Area,4,FALSE))," ",(VLOOKUP(C923,'[1]خريطة الحسابات'!_xlnm.Print_Area,4,FALSE)))</f>
        <v xml:space="preserve">أصول متداوله -النقدية ومافي حكمها </v>
      </c>
      <c r="N923" s="138" t="str">
        <f>IF(ISERROR(VLOOKUP(C923,'[1]خريطة الحسابات'!_xlnm.Print_Area,5,FALSE))," ",(VLOOKUP(C923,'[1]خريطة الحسابات'!_xlnm.Print_Area,5,FALSE)))</f>
        <v>الاصول</v>
      </c>
      <c r="O923" s="139" t="s">
        <v>1683</v>
      </c>
      <c r="P923" s="139" t="s">
        <v>1684</v>
      </c>
    </row>
    <row r="924" spans="1:16">
      <c r="A924" s="104">
        <v>53</v>
      </c>
      <c r="B924" s="131">
        <v>46077</v>
      </c>
      <c r="C924" s="141">
        <v>20</v>
      </c>
      <c r="D924" s="140" t="str">
        <f>IF(ISERROR(VLOOKUP(C924,'[1]خريطة الحسابات'!_xlnm.Print_Area,3,FALSE))," ",(VLOOKUP(C924,'[1]خريطة الحسابات'!_xlnm.Print_Area,3,FALSE)))</f>
        <v xml:space="preserve">الخزينة </v>
      </c>
      <c r="E924" s="132"/>
      <c r="F924" s="133"/>
      <c r="G924" s="133">
        <v>5400</v>
      </c>
      <c r="H924" s="134">
        <f t="shared" si="43"/>
        <v>0</v>
      </c>
      <c r="I924" s="134">
        <f t="shared" si="43"/>
        <v>5400</v>
      </c>
      <c r="J924" s="134">
        <f t="shared" si="42"/>
        <v>-5400</v>
      </c>
      <c r="K924" s="135"/>
      <c r="L924" s="136" t="str">
        <f t="shared" si="44"/>
        <v>دائن</v>
      </c>
      <c r="M924" s="137" t="str">
        <f>IF(ISERROR(VLOOKUP(C924,'[1]خريطة الحسابات'!_xlnm.Print_Area,4,FALSE))," ",(VLOOKUP(C924,'[1]خريطة الحسابات'!_xlnm.Print_Area,4,FALSE)))</f>
        <v xml:space="preserve">أصول متداوله -النقدية ومافي حكمها </v>
      </c>
      <c r="N924" s="138" t="str">
        <f>IF(ISERROR(VLOOKUP(C924,'[1]خريطة الحسابات'!_xlnm.Print_Area,5,FALSE))," ",(VLOOKUP(C924,'[1]خريطة الحسابات'!_xlnm.Print_Area,5,FALSE)))</f>
        <v>الاصول</v>
      </c>
      <c r="O924" s="139" t="s">
        <v>1685</v>
      </c>
      <c r="P924" s="139" t="s">
        <v>1664</v>
      </c>
    </row>
    <row r="925" spans="1:16">
      <c r="A925" s="104">
        <v>53</v>
      </c>
      <c r="B925" s="131">
        <v>46079</v>
      </c>
      <c r="C925" s="141">
        <v>99</v>
      </c>
      <c r="D925" s="140" t="str">
        <f>IF(ISERROR(VLOOKUP(C925,'[1]خريطة الحسابات'!_xlnm.Print_Area,3,FALSE))," ",(VLOOKUP(C925,'[1]خريطة الحسابات'!_xlnm.Print_Area,3,FALSE)))</f>
        <v xml:space="preserve">تكاليف ادارية وعمومية </v>
      </c>
      <c r="E925" s="132"/>
      <c r="F925" s="133"/>
      <c r="G925" s="133">
        <v>0</v>
      </c>
      <c r="H925" s="134">
        <f t="shared" si="43"/>
        <v>0</v>
      </c>
      <c r="I925" s="134">
        <f t="shared" si="43"/>
        <v>0</v>
      </c>
      <c r="J925" s="134">
        <f t="shared" si="42"/>
        <v>0</v>
      </c>
      <c r="K925" s="135"/>
      <c r="L925" s="136" t="str">
        <f t="shared" si="44"/>
        <v/>
      </c>
      <c r="M925" s="137" t="str">
        <f>IF(ISERROR(VLOOKUP(C925,'[1]خريطة الحسابات'!_xlnm.Print_Area,4,FALSE))," ",(VLOOKUP(C925,'[1]خريطة الحسابات'!_xlnm.Print_Area,4,FALSE)))</f>
        <v xml:space="preserve">تكاليف ادارية وعمومية </v>
      </c>
      <c r="N925" s="138" t="str">
        <f>IF(ISERROR(VLOOKUP(C925,'[1]خريطة الحسابات'!_xlnm.Print_Area,5,FALSE))," ",(VLOOKUP(C925,'[1]خريطة الحسابات'!_xlnm.Print_Area,5,FALSE)))</f>
        <v xml:space="preserve">مصروفات </v>
      </c>
      <c r="O925" s="139" t="s">
        <v>1686</v>
      </c>
      <c r="P925" s="139" t="s">
        <v>1664</v>
      </c>
    </row>
    <row r="926" spans="1:16">
      <c r="A926" s="104">
        <v>53</v>
      </c>
      <c r="B926" s="131">
        <v>46085</v>
      </c>
      <c r="C926" s="141">
        <v>20</v>
      </c>
      <c r="D926" s="140" t="str">
        <f>IF(ISERROR(VLOOKUP(C926,'[1]خريطة الحسابات'!_xlnm.Print_Area,3,FALSE))," ",(VLOOKUP(C926,'[1]خريطة الحسابات'!_xlnm.Print_Area,3,FALSE)))</f>
        <v xml:space="preserve">الخزينة </v>
      </c>
      <c r="E926" s="132"/>
      <c r="F926" s="133"/>
      <c r="G926" s="133">
        <v>10000</v>
      </c>
      <c r="H926" s="134">
        <f t="shared" si="43"/>
        <v>0</v>
      </c>
      <c r="I926" s="134">
        <f t="shared" si="43"/>
        <v>10000</v>
      </c>
      <c r="J926" s="134">
        <f t="shared" si="42"/>
        <v>-10000</v>
      </c>
      <c r="K926" s="135"/>
      <c r="L926" s="136" t="str">
        <f t="shared" si="44"/>
        <v>دائن</v>
      </c>
      <c r="M926" s="137" t="str">
        <f>IF(ISERROR(VLOOKUP(C926,'[1]خريطة الحسابات'!_xlnm.Print_Area,4,FALSE))," ",(VLOOKUP(C926,'[1]خريطة الحسابات'!_xlnm.Print_Area,4,FALSE)))</f>
        <v xml:space="preserve">أصول متداوله -النقدية ومافي حكمها </v>
      </c>
      <c r="N926" s="138" t="str">
        <f>IF(ISERROR(VLOOKUP(C926,'[1]خريطة الحسابات'!_xlnm.Print_Area,5,FALSE))," ",(VLOOKUP(C926,'[1]خريطة الحسابات'!_xlnm.Print_Area,5,FALSE)))</f>
        <v>الاصول</v>
      </c>
      <c r="O926" s="139" t="s">
        <v>1687</v>
      </c>
      <c r="P926" s="139" t="s">
        <v>1664</v>
      </c>
    </row>
    <row r="927" spans="1:16">
      <c r="A927" s="104">
        <v>53</v>
      </c>
      <c r="B927" s="131">
        <v>46089</v>
      </c>
      <c r="C927" s="141">
        <v>20</v>
      </c>
      <c r="D927" s="140" t="str">
        <f>IF(ISERROR(VLOOKUP(C927,'[1]خريطة الحسابات'!_xlnm.Print_Area,3,FALSE))," ",(VLOOKUP(C927,'[1]خريطة الحسابات'!_xlnm.Print_Area,3,FALSE)))</f>
        <v xml:space="preserve">الخزينة </v>
      </c>
      <c r="E927" s="132"/>
      <c r="F927" s="133"/>
      <c r="G927" s="133">
        <v>150</v>
      </c>
      <c r="H927" s="134">
        <f t="shared" si="43"/>
        <v>0</v>
      </c>
      <c r="I927" s="134">
        <f t="shared" si="43"/>
        <v>150</v>
      </c>
      <c r="J927" s="134">
        <f t="shared" si="42"/>
        <v>-150</v>
      </c>
      <c r="K927" s="135"/>
      <c r="L927" s="136" t="str">
        <f t="shared" si="44"/>
        <v>دائن</v>
      </c>
      <c r="M927" s="137" t="str">
        <f>IF(ISERROR(VLOOKUP(C927,'[1]خريطة الحسابات'!_xlnm.Print_Area,4,FALSE))," ",(VLOOKUP(C927,'[1]خريطة الحسابات'!_xlnm.Print_Area,4,FALSE)))</f>
        <v xml:space="preserve">أصول متداوله -النقدية ومافي حكمها </v>
      </c>
      <c r="N927" s="138" t="str">
        <f>IF(ISERROR(VLOOKUP(C927,'[1]خريطة الحسابات'!_xlnm.Print_Area,5,FALSE))," ",(VLOOKUP(C927,'[1]خريطة الحسابات'!_xlnm.Print_Area,5,FALSE)))</f>
        <v>الاصول</v>
      </c>
      <c r="O927" s="139" t="s">
        <v>1674</v>
      </c>
      <c r="P927" s="139" t="s">
        <v>1664</v>
      </c>
    </row>
    <row r="928" spans="1:16">
      <c r="A928" s="104">
        <v>53</v>
      </c>
      <c r="B928" s="131">
        <v>46090</v>
      </c>
      <c r="C928" s="141">
        <v>20</v>
      </c>
      <c r="D928" s="140" t="str">
        <f>IF(ISERROR(VLOOKUP(C928,'[1]خريطة الحسابات'!_xlnm.Print_Area,3,FALSE))," ",(VLOOKUP(C928,'[1]خريطة الحسابات'!_xlnm.Print_Area,3,FALSE)))</f>
        <v xml:space="preserve">الخزينة </v>
      </c>
      <c r="E928" s="132"/>
      <c r="F928" s="133"/>
      <c r="G928" s="133">
        <v>3003</v>
      </c>
      <c r="H928" s="134">
        <f t="shared" si="43"/>
        <v>0</v>
      </c>
      <c r="I928" s="134">
        <f t="shared" si="43"/>
        <v>3003</v>
      </c>
      <c r="J928" s="134">
        <f t="shared" si="42"/>
        <v>-3003</v>
      </c>
      <c r="K928" s="135"/>
      <c r="L928" s="136" t="str">
        <f t="shared" si="44"/>
        <v>دائن</v>
      </c>
      <c r="M928" s="137" t="str">
        <f>IF(ISERROR(VLOOKUP(C928,'[1]خريطة الحسابات'!_xlnm.Print_Area,4,FALSE))," ",(VLOOKUP(C928,'[1]خريطة الحسابات'!_xlnm.Print_Area,4,FALSE)))</f>
        <v xml:space="preserve">أصول متداوله -النقدية ومافي حكمها </v>
      </c>
      <c r="N928" s="138" t="str">
        <f>IF(ISERROR(VLOOKUP(C928,'[1]خريطة الحسابات'!_xlnm.Print_Area,5,FALSE))," ",(VLOOKUP(C928,'[1]خريطة الحسابات'!_xlnm.Print_Area,5,FALSE)))</f>
        <v>الاصول</v>
      </c>
      <c r="O928" s="139" t="s">
        <v>1688</v>
      </c>
      <c r="P928" s="139" t="s">
        <v>1664</v>
      </c>
    </row>
    <row r="929" spans="1:16">
      <c r="A929" s="104">
        <v>53</v>
      </c>
      <c r="B929" s="131">
        <v>46091</v>
      </c>
      <c r="C929" s="141">
        <v>20</v>
      </c>
      <c r="D929" s="140" t="str">
        <f>IF(ISERROR(VLOOKUP(C929,'[1]خريطة الحسابات'!_xlnm.Print_Area,3,FALSE))," ",(VLOOKUP(C929,'[1]خريطة الحسابات'!_xlnm.Print_Area,3,FALSE)))</f>
        <v xml:space="preserve">الخزينة </v>
      </c>
      <c r="E929" s="132"/>
      <c r="F929" s="133"/>
      <c r="G929" s="133">
        <v>2500</v>
      </c>
      <c r="H929" s="134">
        <f t="shared" si="43"/>
        <v>0</v>
      </c>
      <c r="I929" s="134">
        <f t="shared" si="43"/>
        <v>2500</v>
      </c>
      <c r="J929" s="134">
        <f t="shared" si="42"/>
        <v>-2500</v>
      </c>
      <c r="K929" s="135"/>
      <c r="L929" s="136" t="str">
        <f t="shared" si="44"/>
        <v>دائن</v>
      </c>
      <c r="M929" s="137" t="str">
        <f>IF(ISERROR(VLOOKUP(C929,'[1]خريطة الحسابات'!_xlnm.Print_Area,4,FALSE))," ",(VLOOKUP(C929,'[1]خريطة الحسابات'!_xlnm.Print_Area,4,FALSE)))</f>
        <v xml:space="preserve">أصول متداوله -النقدية ومافي حكمها </v>
      </c>
      <c r="N929" s="138" t="str">
        <f>IF(ISERROR(VLOOKUP(C929,'[1]خريطة الحسابات'!_xlnm.Print_Area,5,FALSE))," ",(VLOOKUP(C929,'[1]خريطة الحسابات'!_xlnm.Print_Area,5,FALSE)))</f>
        <v>الاصول</v>
      </c>
      <c r="O929" s="139" t="s">
        <v>1689</v>
      </c>
      <c r="P929" s="139" t="s">
        <v>1664</v>
      </c>
    </row>
    <row r="930" spans="1:16">
      <c r="A930" s="104">
        <v>53</v>
      </c>
      <c r="B930" s="131">
        <v>46098</v>
      </c>
      <c r="C930" s="141">
        <v>20</v>
      </c>
      <c r="D930" s="140" t="str">
        <f>IF(ISERROR(VLOOKUP(C930,'[1]خريطة الحسابات'!_xlnm.Print_Area,3,FALSE))," ",(VLOOKUP(C930,'[1]خريطة الحسابات'!_xlnm.Print_Area,3,FALSE)))</f>
        <v xml:space="preserve">الخزينة </v>
      </c>
      <c r="E930" s="132"/>
      <c r="F930" s="133"/>
      <c r="G930" s="133">
        <v>20000</v>
      </c>
      <c r="H930" s="134">
        <f t="shared" si="43"/>
        <v>0</v>
      </c>
      <c r="I930" s="134">
        <f t="shared" si="43"/>
        <v>20000</v>
      </c>
      <c r="J930" s="134">
        <f t="shared" si="42"/>
        <v>-20000</v>
      </c>
      <c r="K930" s="135"/>
      <c r="L930" s="136" t="str">
        <f t="shared" si="44"/>
        <v>دائن</v>
      </c>
      <c r="M930" s="137" t="str">
        <f>IF(ISERROR(VLOOKUP(C930,'[1]خريطة الحسابات'!_xlnm.Print_Area,4,FALSE))," ",(VLOOKUP(C930,'[1]خريطة الحسابات'!_xlnm.Print_Area,4,FALSE)))</f>
        <v xml:space="preserve">أصول متداوله -النقدية ومافي حكمها </v>
      </c>
      <c r="N930" s="138" t="str">
        <f>IF(ISERROR(VLOOKUP(C930,'[1]خريطة الحسابات'!_xlnm.Print_Area,5,FALSE))," ",(VLOOKUP(C930,'[1]خريطة الحسابات'!_xlnm.Print_Area,5,FALSE)))</f>
        <v>الاصول</v>
      </c>
      <c r="O930" s="139" t="s">
        <v>1690</v>
      </c>
      <c r="P930" s="139" t="s">
        <v>1664</v>
      </c>
    </row>
    <row r="931" spans="1:16">
      <c r="A931" s="104">
        <v>53</v>
      </c>
      <c r="B931" s="131">
        <v>46098</v>
      </c>
      <c r="C931" s="141">
        <v>20</v>
      </c>
      <c r="D931" s="140" t="str">
        <f>IF(ISERROR(VLOOKUP(C931,'[1]خريطة الحسابات'!_xlnm.Print_Area,3,FALSE))," ",(VLOOKUP(C931,'[1]خريطة الحسابات'!_xlnm.Print_Area,3,FALSE)))</f>
        <v xml:space="preserve">الخزينة </v>
      </c>
      <c r="E931" s="132"/>
      <c r="F931" s="133"/>
      <c r="G931" s="133">
        <v>550</v>
      </c>
      <c r="H931" s="134">
        <f t="shared" si="43"/>
        <v>0</v>
      </c>
      <c r="I931" s="134">
        <f t="shared" si="43"/>
        <v>550</v>
      </c>
      <c r="J931" s="134">
        <f t="shared" si="42"/>
        <v>-550</v>
      </c>
      <c r="K931" s="135"/>
      <c r="L931" s="136" t="str">
        <f t="shared" si="44"/>
        <v>دائن</v>
      </c>
      <c r="M931" s="137" t="str">
        <f>IF(ISERROR(VLOOKUP(C931,'[1]خريطة الحسابات'!_xlnm.Print_Area,4,FALSE))," ",(VLOOKUP(C931,'[1]خريطة الحسابات'!_xlnm.Print_Area,4,FALSE)))</f>
        <v xml:space="preserve">أصول متداوله -النقدية ومافي حكمها </v>
      </c>
      <c r="N931" s="138" t="str">
        <f>IF(ISERROR(VLOOKUP(C931,'[1]خريطة الحسابات'!_xlnm.Print_Area,5,FALSE))," ",(VLOOKUP(C931,'[1]خريطة الحسابات'!_xlnm.Print_Area,5,FALSE)))</f>
        <v>الاصول</v>
      </c>
      <c r="O931" s="139" t="s">
        <v>1691</v>
      </c>
      <c r="P931" s="139" t="s">
        <v>1664</v>
      </c>
    </row>
    <row r="932" spans="1:16">
      <c r="A932" s="104">
        <v>53</v>
      </c>
      <c r="B932" s="131">
        <v>46099</v>
      </c>
      <c r="C932" s="141">
        <v>20</v>
      </c>
      <c r="D932" s="140" t="str">
        <f>IF(ISERROR(VLOOKUP(C932,'[1]خريطة الحسابات'!_xlnm.Print_Area,3,FALSE))," ",(VLOOKUP(C932,'[1]خريطة الحسابات'!_xlnm.Print_Area,3,FALSE)))</f>
        <v xml:space="preserve">الخزينة </v>
      </c>
      <c r="E932" s="132"/>
      <c r="F932" s="133"/>
      <c r="G932" s="133">
        <v>1800</v>
      </c>
      <c r="H932" s="134">
        <f t="shared" si="43"/>
        <v>0</v>
      </c>
      <c r="I932" s="134">
        <f t="shared" si="43"/>
        <v>1800</v>
      </c>
      <c r="J932" s="134">
        <f t="shared" si="42"/>
        <v>-1800</v>
      </c>
      <c r="K932" s="135"/>
      <c r="L932" s="136" t="str">
        <f t="shared" si="44"/>
        <v>دائن</v>
      </c>
      <c r="M932" s="137" t="str">
        <f>IF(ISERROR(VLOOKUP(C932,'[1]خريطة الحسابات'!_xlnm.Print_Area,4,FALSE))," ",(VLOOKUP(C932,'[1]خريطة الحسابات'!_xlnm.Print_Area,4,FALSE)))</f>
        <v xml:space="preserve">أصول متداوله -النقدية ومافي حكمها </v>
      </c>
      <c r="N932" s="138" t="str">
        <f>IF(ISERROR(VLOOKUP(C932,'[1]خريطة الحسابات'!_xlnm.Print_Area,5,FALSE))," ",(VLOOKUP(C932,'[1]خريطة الحسابات'!_xlnm.Print_Area,5,FALSE)))</f>
        <v>الاصول</v>
      </c>
      <c r="O932" s="139" t="s">
        <v>1692</v>
      </c>
      <c r="P932" s="139" t="s">
        <v>1664</v>
      </c>
    </row>
    <row r="933" spans="1:16">
      <c r="A933" s="104">
        <v>53</v>
      </c>
      <c r="B933" s="131">
        <v>46109</v>
      </c>
      <c r="C933" s="141">
        <v>20</v>
      </c>
      <c r="D933" s="140" t="str">
        <f>IF(ISERROR(VLOOKUP(C933,'[1]خريطة الحسابات'!_xlnm.Print_Area,3,FALSE))," ",(VLOOKUP(C933,'[1]خريطة الحسابات'!_xlnm.Print_Area,3,FALSE)))</f>
        <v xml:space="preserve">الخزينة </v>
      </c>
      <c r="E933" s="132"/>
      <c r="F933" s="133"/>
      <c r="G933" s="133">
        <v>1725</v>
      </c>
      <c r="H933" s="134">
        <f t="shared" si="43"/>
        <v>0</v>
      </c>
      <c r="I933" s="134">
        <f t="shared" si="43"/>
        <v>1725</v>
      </c>
      <c r="J933" s="134">
        <f t="shared" si="42"/>
        <v>-1725</v>
      </c>
      <c r="K933" s="135"/>
      <c r="L933" s="136" t="str">
        <f t="shared" si="44"/>
        <v>دائن</v>
      </c>
      <c r="M933" s="137" t="str">
        <f>IF(ISERROR(VLOOKUP(C933,'[1]خريطة الحسابات'!_xlnm.Print_Area,4,FALSE))," ",(VLOOKUP(C933,'[1]خريطة الحسابات'!_xlnm.Print_Area,4,FALSE)))</f>
        <v xml:space="preserve">أصول متداوله -النقدية ومافي حكمها </v>
      </c>
      <c r="N933" s="138" t="str">
        <f>IF(ISERROR(VLOOKUP(C933,'[1]خريطة الحسابات'!_xlnm.Print_Area,5,FALSE))," ",(VLOOKUP(C933,'[1]خريطة الحسابات'!_xlnm.Print_Area,5,FALSE)))</f>
        <v>الاصول</v>
      </c>
      <c r="O933" s="139" t="s">
        <v>1693</v>
      </c>
      <c r="P933" s="139" t="s">
        <v>1664</v>
      </c>
    </row>
    <row r="934" spans="1:16">
      <c r="A934" s="104">
        <v>53</v>
      </c>
      <c r="B934" s="131">
        <v>46111</v>
      </c>
      <c r="C934" s="141">
        <v>20</v>
      </c>
      <c r="D934" s="140" t="str">
        <f>IF(ISERROR(VLOOKUP(C934,'[1]خريطة الحسابات'!_xlnm.Print_Area,3,FALSE))," ",(VLOOKUP(C934,'[1]خريطة الحسابات'!_xlnm.Print_Area,3,FALSE)))</f>
        <v xml:space="preserve">الخزينة </v>
      </c>
      <c r="E934" s="132"/>
      <c r="F934" s="133"/>
      <c r="G934" s="133">
        <v>1600</v>
      </c>
      <c r="H934" s="134">
        <f t="shared" si="43"/>
        <v>0</v>
      </c>
      <c r="I934" s="134">
        <f t="shared" si="43"/>
        <v>1600</v>
      </c>
      <c r="J934" s="134">
        <f t="shared" si="42"/>
        <v>-1600</v>
      </c>
      <c r="K934" s="135"/>
      <c r="L934" s="136" t="str">
        <f t="shared" si="44"/>
        <v>دائن</v>
      </c>
      <c r="M934" s="137" t="str">
        <f>IF(ISERROR(VLOOKUP(C934,'[1]خريطة الحسابات'!_xlnm.Print_Area,4,FALSE))," ",(VLOOKUP(C934,'[1]خريطة الحسابات'!_xlnm.Print_Area,4,FALSE)))</f>
        <v xml:space="preserve">أصول متداوله -النقدية ومافي حكمها </v>
      </c>
      <c r="N934" s="138" t="str">
        <f>IF(ISERROR(VLOOKUP(C934,'[1]خريطة الحسابات'!_xlnm.Print_Area,5,FALSE))," ",(VLOOKUP(C934,'[1]خريطة الحسابات'!_xlnm.Print_Area,5,FALSE)))</f>
        <v>الاصول</v>
      </c>
      <c r="O934" s="139" t="s">
        <v>1694</v>
      </c>
      <c r="P934" s="139" t="s">
        <v>1664</v>
      </c>
    </row>
    <row r="935" spans="1:16">
      <c r="A935" s="104">
        <v>53</v>
      </c>
      <c r="B935" s="131">
        <v>46111</v>
      </c>
      <c r="C935" s="141">
        <v>20</v>
      </c>
      <c r="D935" s="140" t="str">
        <f>IF(ISERROR(VLOOKUP(C935,'[1]خريطة الحسابات'!_xlnm.Print_Area,3,FALSE))," ",(VLOOKUP(C935,'[1]خريطة الحسابات'!_xlnm.Print_Area,3,FALSE)))</f>
        <v xml:space="preserve">الخزينة </v>
      </c>
      <c r="E935" s="132"/>
      <c r="F935" s="133"/>
      <c r="G935" s="133">
        <v>940</v>
      </c>
      <c r="H935" s="134">
        <f t="shared" si="43"/>
        <v>0</v>
      </c>
      <c r="I935" s="134">
        <f t="shared" si="43"/>
        <v>940</v>
      </c>
      <c r="J935" s="134">
        <f t="shared" si="42"/>
        <v>-940</v>
      </c>
      <c r="K935" s="135"/>
      <c r="L935" s="136" t="str">
        <f t="shared" si="44"/>
        <v>دائن</v>
      </c>
      <c r="M935" s="137" t="str">
        <f>IF(ISERROR(VLOOKUP(C935,'[1]خريطة الحسابات'!_xlnm.Print_Area,4,FALSE))," ",(VLOOKUP(C935,'[1]خريطة الحسابات'!_xlnm.Print_Area,4,FALSE)))</f>
        <v xml:space="preserve">أصول متداوله -النقدية ومافي حكمها </v>
      </c>
      <c r="N935" s="138" t="str">
        <f>IF(ISERROR(VLOOKUP(C935,'[1]خريطة الحسابات'!_xlnm.Print_Area,5,FALSE))," ",(VLOOKUP(C935,'[1]خريطة الحسابات'!_xlnm.Print_Area,5,FALSE)))</f>
        <v>الاصول</v>
      </c>
      <c r="O935" s="139" t="s">
        <v>1695</v>
      </c>
      <c r="P935" s="139" t="s">
        <v>1664</v>
      </c>
    </row>
    <row r="936" spans="1:16">
      <c r="A936" s="104">
        <v>53</v>
      </c>
      <c r="B936" s="131">
        <v>46111</v>
      </c>
      <c r="C936" s="141">
        <v>20</v>
      </c>
      <c r="D936" s="140" t="str">
        <f>IF(ISERROR(VLOOKUP(C936,'[1]خريطة الحسابات'!_xlnm.Print_Area,3,FALSE))," ",(VLOOKUP(C936,'[1]خريطة الحسابات'!_xlnm.Print_Area,3,FALSE)))</f>
        <v xml:space="preserve">الخزينة </v>
      </c>
      <c r="E936" s="132"/>
      <c r="F936" s="133"/>
      <c r="G936" s="133">
        <v>360</v>
      </c>
      <c r="H936" s="134">
        <f t="shared" si="43"/>
        <v>0</v>
      </c>
      <c r="I936" s="134">
        <f t="shared" si="43"/>
        <v>360</v>
      </c>
      <c r="J936" s="134">
        <f t="shared" si="42"/>
        <v>-360</v>
      </c>
      <c r="K936" s="135"/>
      <c r="L936" s="136" t="str">
        <f t="shared" si="44"/>
        <v>دائن</v>
      </c>
      <c r="M936" s="137" t="str">
        <f>IF(ISERROR(VLOOKUP(C936,'[1]خريطة الحسابات'!_xlnm.Print_Area,4,FALSE))," ",(VLOOKUP(C936,'[1]خريطة الحسابات'!_xlnm.Print_Area,4,FALSE)))</f>
        <v xml:space="preserve">أصول متداوله -النقدية ومافي حكمها </v>
      </c>
      <c r="N936" s="138" t="str">
        <f>IF(ISERROR(VLOOKUP(C936,'[1]خريطة الحسابات'!_xlnm.Print_Area,5,FALSE))," ",(VLOOKUP(C936,'[1]خريطة الحسابات'!_xlnm.Print_Area,5,FALSE)))</f>
        <v>الاصول</v>
      </c>
      <c r="O936" s="139" t="s">
        <v>1696</v>
      </c>
      <c r="P936" s="139" t="s">
        <v>1664</v>
      </c>
    </row>
    <row r="937" spans="1:16">
      <c r="A937" s="104">
        <v>53</v>
      </c>
      <c r="B937" s="131">
        <v>46111</v>
      </c>
      <c r="C937" s="141">
        <v>20</v>
      </c>
      <c r="D937" s="140" t="str">
        <f>IF(ISERROR(VLOOKUP(C937,'[1]خريطة الحسابات'!_xlnm.Print_Area,3,FALSE))," ",(VLOOKUP(C937,'[1]خريطة الحسابات'!_xlnm.Print_Area,3,FALSE)))</f>
        <v xml:space="preserve">الخزينة </v>
      </c>
      <c r="E937" s="132"/>
      <c r="F937" s="133"/>
      <c r="G937" s="133">
        <v>300</v>
      </c>
      <c r="H937" s="134">
        <f t="shared" si="43"/>
        <v>0</v>
      </c>
      <c r="I937" s="134">
        <f t="shared" si="43"/>
        <v>300</v>
      </c>
      <c r="J937" s="134">
        <f t="shared" si="42"/>
        <v>-300</v>
      </c>
      <c r="K937" s="135"/>
      <c r="L937" s="136" t="str">
        <f t="shared" si="44"/>
        <v>دائن</v>
      </c>
      <c r="M937" s="137" t="str">
        <f>IF(ISERROR(VLOOKUP(C937,'[1]خريطة الحسابات'!_xlnm.Print_Area,4,FALSE))," ",(VLOOKUP(C937,'[1]خريطة الحسابات'!_xlnm.Print_Area,4,FALSE)))</f>
        <v xml:space="preserve">أصول متداوله -النقدية ومافي حكمها </v>
      </c>
      <c r="N937" s="138" t="str">
        <f>IF(ISERROR(VLOOKUP(C937,'[1]خريطة الحسابات'!_xlnm.Print_Area,5,FALSE))," ",(VLOOKUP(C937,'[1]خريطة الحسابات'!_xlnm.Print_Area,5,FALSE)))</f>
        <v>الاصول</v>
      </c>
      <c r="O937" s="139" t="s">
        <v>1697</v>
      </c>
      <c r="P937" s="139" t="s">
        <v>1664</v>
      </c>
    </row>
    <row r="938" spans="1:16">
      <c r="A938" s="104">
        <v>53</v>
      </c>
      <c r="B938" s="131">
        <v>46113</v>
      </c>
      <c r="C938" s="141">
        <v>20</v>
      </c>
      <c r="D938" s="140" t="str">
        <f>IF(ISERROR(VLOOKUP(C938,'[1]خريطة الحسابات'!_xlnm.Print_Area,3,FALSE))," ",(VLOOKUP(C938,'[1]خريطة الحسابات'!_xlnm.Print_Area,3,FALSE)))</f>
        <v xml:space="preserve">الخزينة </v>
      </c>
      <c r="E938" s="132"/>
      <c r="F938" s="133"/>
      <c r="G938" s="133">
        <v>55</v>
      </c>
      <c r="H938" s="134">
        <f t="shared" si="43"/>
        <v>0</v>
      </c>
      <c r="I938" s="134">
        <f t="shared" si="43"/>
        <v>55</v>
      </c>
      <c r="J938" s="134">
        <f t="shared" si="42"/>
        <v>-55</v>
      </c>
      <c r="K938" s="135"/>
      <c r="L938" s="136" t="str">
        <f t="shared" si="44"/>
        <v>دائن</v>
      </c>
      <c r="M938" s="137" t="str">
        <f>IF(ISERROR(VLOOKUP(C938,'[1]خريطة الحسابات'!_xlnm.Print_Area,4,FALSE))," ",(VLOOKUP(C938,'[1]خريطة الحسابات'!_xlnm.Print_Area,4,FALSE)))</f>
        <v xml:space="preserve">أصول متداوله -النقدية ومافي حكمها </v>
      </c>
      <c r="N938" s="138" t="str">
        <f>IF(ISERROR(VLOOKUP(C938,'[1]خريطة الحسابات'!_xlnm.Print_Area,5,FALSE))," ",(VLOOKUP(C938,'[1]خريطة الحسابات'!_xlnm.Print_Area,5,FALSE)))</f>
        <v>الاصول</v>
      </c>
      <c r="O938" s="139" t="s">
        <v>1698</v>
      </c>
      <c r="P938" s="139" t="s">
        <v>1664</v>
      </c>
    </row>
    <row r="939" spans="1:16">
      <c r="A939" s="104">
        <v>53</v>
      </c>
      <c r="B939" s="131">
        <v>46116</v>
      </c>
      <c r="C939" s="141">
        <v>20</v>
      </c>
      <c r="D939" s="140" t="str">
        <f>IF(ISERROR(VLOOKUP(C939,'[1]خريطة الحسابات'!_xlnm.Print_Area,3,FALSE))," ",(VLOOKUP(C939,'[1]خريطة الحسابات'!_xlnm.Print_Area,3,FALSE)))</f>
        <v xml:space="preserve">الخزينة </v>
      </c>
      <c r="E939" s="132"/>
      <c r="F939" s="133"/>
      <c r="G939" s="133">
        <v>1500</v>
      </c>
      <c r="H939" s="134">
        <f t="shared" si="43"/>
        <v>0</v>
      </c>
      <c r="I939" s="134">
        <f t="shared" si="43"/>
        <v>1500</v>
      </c>
      <c r="J939" s="134">
        <f t="shared" si="42"/>
        <v>-1500</v>
      </c>
      <c r="K939" s="135"/>
      <c r="L939" s="136" t="str">
        <f t="shared" si="44"/>
        <v>دائن</v>
      </c>
      <c r="M939" s="137" t="str">
        <f>IF(ISERROR(VLOOKUP(C939,'[1]خريطة الحسابات'!_xlnm.Print_Area,4,FALSE))," ",(VLOOKUP(C939,'[1]خريطة الحسابات'!_xlnm.Print_Area,4,FALSE)))</f>
        <v xml:space="preserve">أصول متداوله -النقدية ومافي حكمها </v>
      </c>
      <c r="N939" s="138" t="str">
        <f>IF(ISERROR(VLOOKUP(C939,'[1]خريطة الحسابات'!_xlnm.Print_Area,5,FALSE))," ",(VLOOKUP(C939,'[1]خريطة الحسابات'!_xlnm.Print_Area,5,FALSE)))</f>
        <v>الاصول</v>
      </c>
      <c r="O939" s="139" t="s">
        <v>1699</v>
      </c>
      <c r="P939" s="139" t="s">
        <v>1664</v>
      </c>
    </row>
    <row r="940" spans="1:16">
      <c r="A940" s="104">
        <v>53</v>
      </c>
      <c r="B940" s="131">
        <v>46118</v>
      </c>
      <c r="C940" s="141">
        <v>20</v>
      </c>
      <c r="D940" s="140" t="str">
        <f>IF(ISERROR(VLOOKUP(C940,'[1]خريطة الحسابات'!_xlnm.Print_Area,3,FALSE))," ",(VLOOKUP(C940,'[1]خريطة الحسابات'!_xlnm.Print_Area,3,FALSE)))</f>
        <v xml:space="preserve">الخزينة </v>
      </c>
      <c r="E940" s="132"/>
      <c r="F940" s="133"/>
      <c r="G940" s="133">
        <v>6920</v>
      </c>
      <c r="H940" s="134">
        <f t="shared" si="43"/>
        <v>0</v>
      </c>
      <c r="I940" s="134">
        <f t="shared" si="43"/>
        <v>6920</v>
      </c>
      <c r="J940" s="134">
        <f t="shared" si="42"/>
        <v>-6920</v>
      </c>
      <c r="K940" s="135"/>
      <c r="L940" s="136" t="str">
        <f t="shared" si="44"/>
        <v>دائن</v>
      </c>
      <c r="M940" s="137" t="str">
        <f>IF(ISERROR(VLOOKUP(C940,'[1]خريطة الحسابات'!_xlnm.Print_Area,4,FALSE))," ",(VLOOKUP(C940,'[1]خريطة الحسابات'!_xlnm.Print_Area,4,FALSE)))</f>
        <v xml:space="preserve">أصول متداوله -النقدية ومافي حكمها </v>
      </c>
      <c r="N940" s="138" t="str">
        <f>IF(ISERROR(VLOOKUP(C940,'[1]خريطة الحسابات'!_xlnm.Print_Area,5,FALSE))," ",(VLOOKUP(C940,'[1]خريطة الحسابات'!_xlnm.Print_Area,5,FALSE)))</f>
        <v>الاصول</v>
      </c>
      <c r="O940" s="139" t="s">
        <v>1700</v>
      </c>
      <c r="P940" s="139" t="s">
        <v>1664</v>
      </c>
    </row>
    <row r="941" spans="1:16">
      <c r="A941" s="104">
        <v>53</v>
      </c>
      <c r="B941" s="131">
        <v>46118</v>
      </c>
      <c r="C941" s="141">
        <v>20</v>
      </c>
      <c r="D941" s="140" t="str">
        <f>IF(ISERROR(VLOOKUP(C941,'[1]خريطة الحسابات'!_xlnm.Print_Area,3,FALSE))," ",(VLOOKUP(C941,'[1]خريطة الحسابات'!_xlnm.Print_Area,3,FALSE)))</f>
        <v xml:space="preserve">الخزينة </v>
      </c>
      <c r="E941" s="132"/>
      <c r="F941" s="133"/>
      <c r="G941" s="133">
        <v>80</v>
      </c>
      <c r="H941" s="134">
        <f t="shared" si="43"/>
        <v>0</v>
      </c>
      <c r="I941" s="134">
        <f t="shared" si="43"/>
        <v>80</v>
      </c>
      <c r="J941" s="134">
        <f t="shared" si="42"/>
        <v>-80</v>
      </c>
      <c r="K941" s="135"/>
      <c r="L941" s="136" t="str">
        <f t="shared" si="44"/>
        <v>دائن</v>
      </c>
      <c r="M941" s="137" t="str">
        <f>IF(ISERROR(VLOOKUP(C941,'[1]خريطة الحسابات'!_xlnm.Print_Area,4,FALSE))," ",(VLOOKUP(C941,'[1]خريطة الحسابات'!_xlnm.Print_Area,4,FALSE)))</f>
        <v xml:space="preserve">أصول متداوله -النقدية ومافي حكمها </v>
      </c>
      <c r="N941" s="138" t="str">
        <f>IF(ISERROR(VLOOKUP(C941,'[1]خريطة الحسابات'!_xlnm.Print_Area,5,FALSE))," ",(VLOOKUP(C941,'[1]خريطة الحسابات'!_xlnm.Print_Area,5,FALSE)))</f>
        <v>الاصول</v>
      </c>
      <c r="O941" s="139" t="s">
        <v>1701</v>
      </c>
      <c r="P941" s="139" t="s">
        <v>1664</v>
      </c>
    </row>
    <row r="942" spans="1:16">
      <c r="A942" s="104">
        <v>53</v>
      </c>
      <c r="B942" s="131">
        <v>46121</v>
      </c>
      <c r="C942" s="141">
        <v>20</v>
      </c>
      <c r="D942" s="140" t="str">
        <f>IF(ISERROR(VLOOKUP(C942,'[1]خريطة الحسابات'!_xlnm.Print_Area,3,FALSE))," ",(VLOOKUP(C942,'[1]خريطة الحسابات'!_xlnm.Print_Area,3,FALSE)))</f>
        <v xml:space="preserve">الخزينة </v>
      </c>
      <c r="E942" s="132"/>
      <c r="F942" s="133"/>
      <c r="G942" s="133">
        <v>110</v>
      </c>
      <c r="H942" s="134">
        <f t="shared" si="43"/>
        <v>0</v>
      </c>
      <c r="I942" s="134">
        <f t="shared" si="43"/>
        <v>110</v>
      </c>
      <c r="J942" s="134">
        <f t="shared" si="42"/>
        <v>-110</v>
      </c>
      <c r="K942" s="135"/>
      <c r="L942" s="136" t="str">
        <f t="shared" si="44"/>
        <v>دائن</v>
      </c>
      <c r="M942" s="137" t="str">
        <f>IF(ISERROR(VLOOKUP(C942,'[1]خريطة الحسابات'!_xlnm.Print_Area,4,FALSE))," ",(VLOOKUP(C942,'[1]خريطة الحسابات'!_xlnm.Print_Area,4,FALSE)))</f>
        <v xml:space="preserve">أصول متداوله -النقدية ومافي حكمها </v>
      </c>
      <c r="N942" s="138" t="str">
        <f>IF(ISERROR(VLOOKUP(C942,'[1]خريطة الحسابات'!_xlnm.Print_Area,5,FALSE))," ",(VLOOKUP(C942,'[1]خريطة الحسابات'!_xlnm.Print_Area,5,FALSE)))</f>
        <v>الاصول</v>
      </c>
      <c r="O942" s="139" t="s">
        <v>1702</v>
      </c>
      <c r="P942" s="139" t="s">
        <v>1664</v>
      </c>
    </row>
    <row r="943" spans="1:16">
      <c r="A943" s="104">
        <v>53</v>
      </c>
      <c r="B943" s="131">
        <v>46121</v>
      </c>
      <c r="C943" s="141">
        <v>20</v>
      </c>
      <c r="D943" s="140" t="str">
        <f>IF(ISERROR(VLOOKUP(C943,'[1]خريطة الحسابات'!_xlnm.Print_Area,3,FALSE))," ",(VLOOKUP(C943,'[1]خريطة الحسابات'!_xlnm.Print_Area,3,FALSE)))</f>
        <v xml:space="preserve">الخزينة </v>
      </c>
      <c r="E943" s="132"/>
      <c r="F943" s="133"/>
      <c r="G943" s="133">
        <v>190</v>
      </c>
      <c r="H943" s="134">
        <f t="shared" si="43"/>
        <v>0</v>
      </c>
      <c r="I943" s="134">
        <f t="shared" si="43"/>
        <v>190</v>
      </c>
      <c r="J943" s="134">
        <f t="shared" si="42"/>
        <v>-190</v>
      </c>
      <c r="K943" s="135"/>
      <c r="L943" s="136" t="str">
        <f t="shared" si="44"/>
        <v>دائن</v>
      </c>
      <c r="M943" s="137" t="str">
        <f>IF(ISERROR(VLOOKUP(C943,'[1]خريطة الحسابات'!_xlnm.Print_Area,4,FALSE))," ",(VLOOKUP(C943,'[1]خريطة الحسابات'!_xlnm.Print_Area,4,FALSE)))</f>
        <v xml:space="preserve">أصول متداوله -النقدية ومافي حكمها </v>
      </c>
      <c r="N943" s="138" t="str">
        <f>IF(ISERROR(VLOOKUP(C943,'[1]خريطة الحسابات'!_xlnm.Print_Area,5,FALSE))," ",(VLOOKUP(C943,'[1]خريطة الحسابات'!_xlnm.Print_Area,5,FALSE)))</f>
        <v>الاصول</v>
      </c>
      <c r="O943" s="139" t="s">
        <v>1703</v>
      </c>
      <c r="P943" s="139" t="s">
        <v>1664</v>
      </c>
    </row>
    <row r="944" spans="1:16">
      <c r="A944" s="104">
        <v>53</v>
      </c>
      <c r="B944" s="131">
        <v>46121</v>
      </c>
      <c r="C944" s="141">
        <v>20</v>
      </c>
      <c r="D944" s="140" t="str">
        <f>IF(ISERROR(VLOOKUP(C944,'[1]خريطة الحسابات'!_xlnm.Print_Area,3,FALSE))," ",(VLOOKUP(C944,'[1]خريطة الحسابات'!_xlnm.Print_Area,3,FALSE)))</f>
        <v xml:space="preserve">الخزينة </v>
      </c>
      <c r="E944" s="132"/>
      <c r="F944" s="133"/>
      <c r="G944" s="133">
        <v>600</v>
      </c>
      <c r="H944" s="134">
        <f t="shared" si="43"/>
        <v>0</v>
      </c>
      <c r="I944" s="134">
        <f t="shared" si="43"/>
        <v>600</v>
      </c>
      <c r="J944" s="134">
        <f t="shared" si="42"/>
        <v>-600</v>
      </c>
      <c r="K944" s="135"/>
      <c r="L944" s="136" t="str">
        <f t="shared" si="44"/>
        <v>دائن</v>
      </c>
      <c r="M944" s="137" t="str">
        <f>IF(ISERROR(VLOOKUP(C944,'[1]خريطة الحسابات'!_xlnm.Print_Area,4,FALSE))," ",(VLOOKUP(C944,'[1]خريطة الحسابات'!_xlnm.Print_Area,4,FALSE)))</f>
        <v xml:space="preserve">أصول متداوله -النقدية ومافي حكمها </v>
      </c>
      <c r="N944" s="138" t="str">
        <f>IF(ISERROR(VLOOKUP(C944,'[1]خريطة الحسابات'!_xlnm.Print_Area,5,FALSE))," ",(VLOOKUP(C944,'[1]خريطة الحسابات'!_xlnm.Print_Area,5,FALSE)))</f>
        <v>الاصول</v>
      </c>
      <c r="O944" s="139" t="s">
        <v>1704</v>
      </c>
      <c r="P944" s="139" t="s">
        <v>1664</v>
      </c>
    </row>
    <row r="945" spans="1:16">
      <c r="A945" s="104">
        <v>53</v>
      </c>
      <c r="B945" s="131">
        <v>46121</v>
      </c>
      <c r="C945" s="141">
        <v>20</v>
      </c>
      <c r="D945" s="140" t="str">
        <f>IF(ISERROR(VLOOKUP(C945,'[1]خريطة الحسابات'!_xlnm.Print_Area,3,FALSE))," ",(VLOOKUP(C945,'[1]خريطة الحسابات'!_xlnm.Print_Area,3,FALSE)))</f>
        <v xml:space="preserve">الخزينة </v>
      </c>
      <c r="E945" s="132"/>
      <c r="F945" s="133"/>
      <c r="G945" s="133">
        <v>450</v>
      </c>
      <c r="H945" s="134">
        <f t="shared" si="43"/>
        <v>0</v>
      </c>
      <c r="I945" s="134">
        <f t="shared" si="43"/>
        <v>450</v>
      </c>
      <c r="J945" s="134">
        <f t="shared" si="42"/>
        <v>-450</v>
      </c>
      <c r="K945" s="135"/>
      <c r="L945" s="136" t="str">
        <f t="shared" si="44"/>
        <v>دائن</v>
      </c>
      <c r="M945" s="137" t="str">
        <f>IF(ISERROR(VLOOKUP(C945,'[1]خريطة الحسابات'!_xlnm.Print_Area,4,FALSE))," ",(VLOOKUP(C945,'[1]خريطة الحسابات'!_xlnm.Print_Area,4,FALSE)))</f>
        <v xml:space="preserve">أصول متداوله -النقدية ومافي حكمها </v>
      </c>
      <c r="N945" s="138" t="str">
        <f>IF(ISERROR(VLOOKUP(C945,'[1]خريطة الحسابات'!_xlnm.Print_Area,5,FALSE))," ",(VLOOKUP(C945,'[1]خريطة الحسابات'!_xlnm.Print_Area,5,FALSE)))</f>
        <v>الاصول</v>
      </c>
      <c r="O945" s="139" t="s">
        <v>1705</v>
      </c>
      <c r="P945" s="139" t="s">
        <v>1664</v>
      </c>
    </row>
    <row r="946" spans="1:16">
      <c r="A946" s="104">
        <v>53</v>
      </c>
      <c r="B946" s="131">
        <v>46121</v>
      </c>
      <c r="C946" s="141">
        <v>20</v>
      </c>
      <c r="D946" s="140" t="str">
        <f>IF(ISERROR(VLOOKUP(C946,'[1]خريطة الحسابات'!_xlnm.Print_Area,3,FALSE))," ",(VLOOKUP(C946,'[1]خريطة الحسابات'!_xlnm.Print_Area,3,FALSE)))</f>
        <v xml:space="preserve">الخزينة </v>
      </c>
      <c r="E946" s="132"/>
      <c r="F946" s="133"/>
      <c r="G946" s="133">
        <v>350</v>
      </c>
      <c r="H946" s="134">
        <f t="shared" si="43"/>
        <v>0</v>
      </c>
      <c r="I946" s="134">
        <f t="shared" si="43"/>
        <v>350</v>
      </c>
      <c r="J946" s="134">
        <f t="shared" si="42"/>
        <v>-350</v>
      </c>
      <c r="K946" s="135"/>
      <c r="L946" s="136" t="str">
        <f t="shared" si="44"/>
        <v>دائن</v>
      </c>
      <c r="M946" s="137" t="str">
        <f>IF(ISERROR(VLOOKUP(C946,'[1]خريطة الحسابات'!_xlnm.Print_Area,4,FALSE))," ",(VLOOKUP(C946,'[1]خريطة الحسابات'!_xlnm.Print_Area,4,FALSE)))</f>
        <v xml:space="preserve">أصول متداوله -النقدية ومافي حكمها </v>
      </c>
      <c r="N946" s="138" t="str">
        <f>IF(ISERROR(VLOOKUP(C946,'[1]خريطة الحسابات'!_xlnm.Print_Area,5,FALSE))," ",(VLOOKUP(C946,'[1]خريطة الحسابات'!_xlnm.Print_Area,5,FALSE)))</f>
        <v>الاصول</v>
      </c>
      <c r="O946" s="139" t="s">
        <v>1706</v>
      </c>
      <c r="P946" s="139" t="s">
        <v>1664</v>
      </c>
    </row>
    <row r="947" spans="1:16">
      <c r="A947" s="104">
        <v>53</v>
      </c>
      <c r="B947" s="131">
        <v>46121</v>
      </c>
      <c r="C947" s="141">
        <v>20</v>
      </c>
      <c r="D947" s="140" t="str">
        <f>IF(ISERROR(VLOOKUP(C947,'[1]خريطة الحسابات'!_xlnm.Print_Area,3,FALSE))," ",(VLOOKUP(C947,'[1]خريطة الحسابات'!_xlnm.Print_Area,3,FALSE)))</f>
        <v xml:space="preserve">الخزينة </v>
      </c>
      <c r="E947" s="132"/>
      <c r="F947" s="133"/>
      <c r="G947" s="133">
        <v>650</v>
      </c>
      <c r="H947" s="134">
        <f t="shared" si="43"/>
        <v>0</v>
      </c>
      <c r="I947" s="134">
        <f t="shared" si="43"/>
        <v>650</v>
      </c>
      <c r="J947" s="134">
        <f t="shared" si="42"/>
        <v>-650</v>
      </c>
      <c r="K947" s="135"/>
      <c r="L947" s="136" t="str">
        <f t="shared" si="44"/>
        <v>دائن</v>
      </c>
      <c r="M947" s="137" t="str">
        <f>IF(ISERROR(VLOOKUP(C947,'[1]خريطة الحسابات'!_xlnm.Print_Area,4,FALSE))," ",(VLOOKUP(C947,'[1]خريطة الحسابات'!_xlnm.Print_Area,4,FALSE)))</f>
        <v xml:space="preserve">أصول متداوله -النقدية ومافي حكمها </v>
      </c>
      <c r="N947" s="138" t="str">
        <f>IF(ISERROR(VLOOKUP(C947,'[1]خريطة الحسابات'!_xlnm.Print_Area,5,FALSE))," ",(VLOOKUP(C947,'[1]خريطة الحسابات'!_xlnm.Print_Area,5,FALSE)))</f>
        <v>الاصول</v>
      </c>
      <c r="O947" s="139" t="s">
        <v>1707</v>
      </c>
      <c r="P947" s="139" t="s">
        <v>1664</v>
      </c>
    </row>
    <row r="948" spans="1:16">
      <c r="A948" s="104">
        <v>53</v>
      </c>
      <c r="B948" s="131">
        <v>46123</v>
      </c>
      <c r="C948" s="141">
        <v>20</v>
      </c>
      <c r="D948" s="140" t="str">
        <f>IF(ISERROR(VLOOKUP(C948,'[1]خريطة الحسابات'!_xlnm.Print_Area,3,FALSE))," ",(VLOOKUP(C948,'[1]خريطة الحسابات'!_xlnm.Print_Area,3,FALSE)))</f>
        <v xml:space="preserve">الخزينة </v>
      </c>
      <c r="E948" s="132"/>
      <c r="F948" s="133"/>
      <c r="G948" s="133">
        <v>5000</v>
      </c>
      <c r="H948" s="134">
        <f t="shared" si="43"/>
        <v>0</v>
      </c>
      <c r="I948" s="134">
        <f t="shared" si="43"/>
        <v>5000</v>
      </c>
      <c r="J948" s="134">
        <f t="shared" si="42"/>
        <v>-5000</v>
      </c>
      <c r="K948" s="135"/>
      <c r="L948" s="136" t="str">
        <f t="shared" si="44"/>
        <v>دائن</v>
      </c>
      <c r="M948" s="137" t="str">
        <f>IF(ISERROR(VLOOKUP(C948,'[1]خريطة الحسابات'!_xlnm.Print_Area,4,FALSE))," ",(VLOOKUP(C948,'[1]خريطة الحسابات'!_xlnm.Print_Area,4,FALSE)))</f>
        <v xml:space="preserve">أصول متداوله -النقدية ومافي حكمها </v>
      </c>
      <c r="N948" s="138" t="str">
        <f>IF(ISERROR(VLOOKUP(C948,'[1]خريطة الحسابات'!_xlnm.Print_Area,5,FALSE))," ",(VLOOKUP(C948,'[1]خريطة الحسابات'!_xlnm.Print_Area,5,FALSE)))</f>
        <v>الاصول</v>
      </c>
      <c r="O948" s="139" t="s">
        <v>1708</v>
      </c>
      <c r="P948" s="139" t="s">
        <v>1664</v>
      </c>
    </row>
    <row r="949" spans="1:16">
      <c r="A949" s="104">
        <v>53</v>
      </c>
      <c r="B949" s="131">
        <v>46123</v>
      </c>
      <c r="C949" s="141">
        <v>20</v>
      </c>
      <c r="D949" s="140" t="str">
        <f>IF(ISERROR(VLOOKUP(C949,'[1]خريطة الحسابات'!_xlnm.Print_Area,3,FALSE))," ",(VLOOKUP(C949,'[1]خريطة الحسابات'!_xlnm.Print_Area,3,FALSE)))</f>
        <v xml:space="preserve">الخزينة </v>
      </c>
      <c r="E949" s="132"/>
      <c r="F949" s="133"/>
      <c r="G949" s="133">
        <v>50</v>
      </c>
      <c r="H949" s="134">
        <f t="shared" si="43"/>
        <v>0</v>
      </c>
      <c r="I949" s="134">
        <f t="shared" si="43"/>
        <v>50</v>
      </c>
      <c r="J949" s="134">
        <f t="shared" si="42"/>
        <v>-50</v>
      </c>
      <c r="K949" s="135"/>
      <c r="L949" s="136" t="str">
        <f t="shared" si="44"/>
        <v>دائن</v>
      </c>
      <c r="M949" s="137" t="str">
        <f>IF(ISERROR(VLOOKUP(C949,'[1]خريطة الحسابات'!_xlnm.Print_Area,4,FALSE))," ",(VLOOKUP(C949,'[1]خريطة الحسابات'!_xlnm.Print_Area,4,FALSE)))</f>
        <v xml:space="preserve">أصول متداوله -النقدية ومافي حكمها </v>
      </c>
      <c r="N949" s="138" t="str">
        <f>IF(ISERROR(VLOOKUP(C949,'[1]خريطة الحسابات'!_xlnm.Print_Area,5,FALSE))," ",(VLOOKUP(C949,'[1]خريطة الحسابات'!_xlnm.Print_Area,5,FALSE)))</f>
        <v>الاصول</v>
      </c>
      <c r="O949" s="139" t="s">
        <v>1709</v>
      </c>
      <c r="P949" s="139" t="s">
        <v>1664</v>
      </c>
    </row>
    <row r="950" spans="1:16">
      <c r="A950" s="104">
        <v>53</v>
      </c>
      <c r="B950" s="131">
        <v>46124</v>
      </c>
      <c r="C950" s="141">
        <v>20</v>
      </c>
      <c r="D950" s="140" t="str">
        <f>IF(ISERROR(VLOOKUP(C950,'[1]خريطة الحسابات'!_xlnm.Print_Area,3,FALSE))," ",(VLOOKUP(C950,'[1]خريطة الحسابات'!_xlnm.Print_Area,3,FALSE)))</f>
        <v xml:space="preserve">الخزينة </v>
      </c>
      <c r="E950" s="132"/>
      <c r="F950" s="133"/>
      <c r="G950" s="133">
        <v>600</v>
      </c>
      <c r="H950" s="134">
        <f t="shared" si="43"/>
        <v>0</v>
      </c>
      <c r="I950" s="134">
        <f t="shared" si="43"/>
        <v>600</v>
      </c>
      <c r="J950" s="134">
        <f t="shared" si="42"/>
        <v>-600</v>
      </c>
      <c r="K950" s="135"/>
      <c r="L950" s="136" t="str">
        <f t="shared" si="44"/>
        <v>دائن</v>
      </c>
      <c r="M950" s="137" t="str">
        <f>IF(ISERROR(VLOOKUP(C950,'[1]خريطة الحسابات'!_xlnm.Print_Area,4,FALSE))," ",(VLOOKUP(C950,'[1]خريطة الحسابات'!_xlnm.Print_Area,4,FALSE)))</f>
        <v xml:space="preserve">أصول متداوله -النقدية ومافي حكمها </v>
      </c>
      <c r="N950" s="138" t="str">
        <f>IF(ISERROR(VLOOKUP(C950,'[1]خريطة الحسابات'!_xlnm.Print_Area,5,FALSE))," ",(VLOOKUP(C950,'[1]خريطة الحسابات'!_xlnm.Print_Area,5,FALSE)))</f>
        <v>الاصول</v>
      </c>
      <c r="O950" s="139" t="s">
        <v>1710</v>
      </c>
      <c r="P950" s="139" t="s">
        <v>1664</v>
      </c>
    </row>
    <row r="951" spans="1:16">
      <c r="A951" s="104">
        <v>53</v>
      </c>
      <c r="B951" s="131">
        <v>46126</v>
      </c>
      <c r="C951" s="141">
        <v>20</v>
      </c>
      <c r="D951" s="140" t="str">
        <f>IF(ISERROR(VLOOKUP(C951,'[1]خريطة الحسابات'!_xlnm.Print_Area,3,FALSE))," ",(VLOOKUP(C951,'[1]خريطة الحسابات'!_xlnm.Print_Area,3,FALSE)))</f>
        <v xml:space="preserve">الخزينة </v>
      </c>
      <c r="E951" s="132"/>
      <c r="F951" s="133"/>
      <c r="G951" s="133">
        <v>925</v>
      </c>
      <c r="H951" s="134">
        <f t="shared" si="43"/>
        <v>0</v>
      </c>
      <c r="I951" s="134">
        <f t="shared" si="43"/>
        <v>925</v>
      </c>
      <c r="J951" s="134">
        <f t="shared" si="42"/>
        <v>-925</v>
      </c>
      <c r="K951" s="135"/>
      <c r="L951" s="136" t="str">
        <f t="shared" si="44"/>
        <v>دائن</v>
      </c>
      <c r="M951" s="137" t="str">
        <f>IF(ISERROR(VLOOKUP(C951,'[1]خريطة الحسابات'!_xlnm.Print_Area,4,FALSE))," ",(VLOOKUP(C951,'[1]خريطة الحسابات'!_xlnm.Print_Area,4,FALSE)))</f>
        <v xml:space="preserve">أصول متداوله -النقدية ومافي حكمها </v>
      </c>
      <c r="N951" s="138" t="str">
        <f>IF(ISERROR(VLOOKUP(C951,'[1]خريطة الحسابات'!_xlnm.Print_Area,5,FALSE))," ",(VLOOKUP(C951,'[1]خريطة الحسابات'!_xlnm.Print_Area,5,FALSE)))</f>
        <v>الاصول</v>
      </c>
      <c r="O951" s="139" t="s">
        <v>1693</v>
      </c>
      <c r="P951" s="139" t="s">
        <v>1664</v>
      </c>
    </row>
    <row r="952" spans="1:16">
      <c r="A952" s="104">
        <v>53</v>
      </c>
      <c r="B952" s="131">
        <v>46127</v>
      </c>
      <c r="C952" s="141">
        <v>20</v>
      </c>
      <c r="D952" s="140" t="str">
        <f>IF(ISERROR(VLOOKUP(C952,'[1]خريطة الحسابات'!_xlnm.Print_Area,3,FALSE))," ",(VLOOKUP(C952,'[1]خريطة الحسابات'!_xlnm.Print_Area,3,FALSE)))</f>
        <v xml:space="preserve">الخزينة </v>
      </c>
      <c r="E952" s="132"/>
      <c r="F952" s="133"/>
      <c r="G952" s="133">
        <v>8300</v>
      </c>
      <c r="H952" s="134">
        <f t="shared" si="43"/>
        <v>0</v>
      </c>
      <c r="I952" s="134">
        <f t="shared" si="43"/>
        <v>8300</v>
      </c>
      <c r="J952" s="134">
        <f t="shared" si="42"/>
        <v>-8300</v>
      </c>
      <c r="K952" s="135"/>
      <c r="L952" s="136" t="str">
        <f t="shared" si="44"/>
        <v>دائن</v>
      </c>
      <c r="M952" s="137" t="str">
        <f>IF(ISERROR(VLOOKUP(C952,'[1]خريطة الحسابات'!_xlnm.Print_Area,4,FALSE))," ",(VLOOKUP(C952,'[1]خريطة الحسابات'!_xlnm.Print_Area,4,FALSE)))</f>
        <v xml:space="preserve">أصول متداوله -النقدية ومافي حكمها </v>
      </c>
      <c r="N952" s="138" t="str">
        <f>IF(ISERROR(VLOOKUP(C952,'[1]خريطة الحسابات'!_xlnm.Print_Area,5,FALSE))," ",(VLOOKUP(C952,'[1]خريطة الحسابات'!_xlnm.Print_Area,5,FALSE)))</f>
        <v>الاصول</v>
      </c>
      <c r="O952" s="139" t="s">
        <v>1711</v>
      </c>
      <c r="P952" s="139" t="s">
        <v>1664</v>
      </c>
    </row>
    <row r="953" spans="1:16">
      <c r="A953" s="104">
        <v>53</v>
      </c>
      <c r="B953" s="131">
        <v>46127</v>
      </c>
      <c r="C953" s="141">
        <v>20</v>
      </c>
      <c r="D953" s="140" t="str">
        <f>IF(ISERROR(VLOOKUP(C953,'[1]خريطة الحسابات'!_xlnm.Print_Area,3,FALSE))," ",(VLOOKUP(C953,'[1]خريطة الحسابات'!_xlnm.Print_Area,3,FALSE)))</f>
        <v xml:space="preserve">الخزينة </v>
      </c>
      <c r="E953" s="132"/>
      <c r="F953" s="133"/>
      <c r="G953" s="133">
        <v>1180</v>
      </c>
      <c r="H953" s="134">
        <f t="shared" si="43"/>
        <v>0</v>
      </c>
      <c r="I953" s="134">
        <f t="shared" si="43"/>
        <v>1180</v>
      </c>
      <c r="J953" s="134">
        <f t="shared" si="42"/>
        <v>-1180</v>
      </c>
      <c r="K953" s="135"/>
      <c r="L953" s="136" t="str">
        <f t="shared" si="44"/>
        <v>دائن</v>
      </c>
      <c r="M953" s="137" t="str">
        <f>IF(ISERROR(VLOOKUP(C953,'[1]خريطة الحسابات'!_xlnm.Print_Area,4,FALSE))," ",(VLOOKUP(C953,'[1]خريطة الحسابات'!_xlnm.Print_Area,4,FALSE)))</f>
        <v xml:space="preserve">أصول متداوله -النقدية ومافي حكمها </v>
      </c>
      <c r="N953" s="138" t="str">
        <f>IF(ISERROR(VLOOKUP(C953,'[1]خريطة الحسابات'!_xlnm.Print_Area,5,FALSE))," ",(VLOOKUP(C953,'[1]خريطة الحسابات'!_xlnm.Print_Area,5,FALSE)))</f>
        <v>الاصول</v>
      </c>
      <c r="O953" s="139" t="s">
        <v>1712</v>
      </c>
      <c r="P953" s="139" t="s">
        <v>1664</v>
      </c>
    </row>
    <row r="954" spans="1:16">
      <c r="A954" s="104">
        <v>53</v>
      </c>
      <c r="B954" s="131">
        <v>46132</v>
      </c>
      <c r="C954" s="141">
        <v>20</v>
      </c>
      <c r="D954" s="140" t="str">
        <f>IF(ISERROR(VLOOKUP(C954,'[1]خريطة الحسابات'!_xlnm.Print_Area,3,FALSE))," ",(VLOOKUP(C954,'[1]خريطة الحسابات'!_xlnm.Print_Area,3,FALSE)))</f>
        <v xml:space="preserve">الخزينة </v>
      </c>
      <c r="E954" s="132"/>
      <c r="F954" s="133"/>
      <c r="G954" s="133">
        <v>200</v>
      </c>
      <c r="H954" s="134">
        <f t="shared" si="43"/>
        <v>0</v>
      </c>
      <c r="I954" s="134">
        <f t="shared" si="43"/>
        <v>200</v>
      </c>
      <c r="J954" s="134">
        <f t="shared" si="42"/>
        <v>-200</v>
      </c>
      <c r="K954" s="135"/>
      <c r="L954" s="136" t="str">
        <f t="shared" si="44"/>
        <v>دائن</v>
      </c>
      <c r="M954" s="137" t="str">
        <f>IF(ISERROR(VLOOKUP(C954,'[1]خريطة الحسابات'!_xlnm.Print_Area,4,FALSE))," ",(VLOOKUP(C954,'[1]خريطة الحسابات'!_xlnm.Print_Area,4,FALSE)))</f>
        <v xml:space="preserve">أصول متداوله -النقدية ومافي حكمها </v>
      </c>
      <c r="N954" s="138" t="str">
        <f>IF(ISERROR(VLOOKUP(C954,'[1]خريطة الحسابات'!_xlnm.Print_Area,5,FALSE))," ",(VLOOKUP(C954,'[1]خريطة الحسابات'!_xlnm.Print_Area,5,FALSE)))</f>
        <v>الاصول</v>
      </c>
      <c r="O954" s="139" t="s">
        <v>1713</v>
      </c>
      <c r="P954" s="139" t="s">
        <v>1664</v>
      </c>
    </row>
    <row r="955" spans="1:16">
      <c r="A955" s="104">
        <v>53</v>
      </c>
      <c r="B955" s="131">
        <v>46132</v>
      </c>
      <c r="C955" s="141">
        <v>20</v>
      </c>
      <c r="D955" s="140" t="str">
        <f>IF(ISERROR(VLOOKUP(C955,'[1]خريطة الحسابات'!_xlnm.Print_Area,3,FALSE))," ",(VLOOKUP(C955,'[1]خريطة الحسابات'!_xlnm.Print_Area,3,FALSE)))</f>
        <v xml:space="preserve">الخزينة </v>
      </c>
      <c r="E955" s="132"/>
      <c r="F955" s="133"/>
      <c r="G955" s="133">
        <v>500</v>
      </c>
      <c r="H955" s="134">
        <f t="shared" si="43"/>
        <v>0</v>
      </c>
      <c r="I955" s="134">
        <f t="shared" si="43"/>
        <v>500</v>
      </c>
      <c r="J955" s="134">
        <f t="shared" si="42"/>
        <v>-500</v>
      </c>
      <c r="K955" s="135"/>
      <c r="L955" s="136" t="str">
        <f t="shared" si="44"/>
        <v>دائن</v>
      </c>
      <c r="M955" s="137" t="str">
        <f>IF(ISERROR(VLOOKUP(C955,'[1]خريطة الحسابات'!_xlnm.Print_Area,4,FALSE))," ",(VLOOKUP(C955,'[1]خريطة الحسابات'!_xlnm.Print_Area,4,FALSE)))</f>
        <v xml:space="preserve">أصول متداوله -النقدية ومافي حكمها </v>
      </c>
      <c r="N955" s="138" t="str">
        <f>IF(ISERROR(VLOOKUP(C955,'[1]خريطة الحسابات'!_xlnm.Print_Area,5,FALSE))," ",(VLOOKUP(C955,'[1]خريطة الحسابات'!_xlnm.Print_Area,5,FALSE)))</f>
        <v>الاصول</v>
      </c>
      <c r="O955" s="139" t="s">
        <v>1714</v>
      </c>
      <c r="P955" s="139" t="s">
        <v>1664</v>
      </c>
    </row>
    <row r="956" spans="1:16">
      <c r="A956" s="104">
        <v>53</v>
      </c>
      <c r="B956" s="131">
        <v>46132</v>
      </c>
      <c r="C956" s="141">
        <v>20</v>
      </c>
      <c r="D956" s="140" t="str">
        <f>IF(ISERROR(VLOOKUP(C956,'[1]خريطة الحسابات'!_xlnm.Print_Area,3,FALSE))," ",(VLOOKUP(C956,'[1]خريطة الحسابات'!_xlnm.Print_Area,3,FALSE)))</f>
        <v xml:space="preserve">الخزينة </v>
      </c>
      <c r="E956" s="132"/>
      <c r="F956" s="133"/>
      <c r="G956" s="133">
        <v>75</v>
      </c>
      <c r="H956" s="134">
        <f t="shared" si="43"/>
        <v>0</v>
      </c>
      <c r="I956" s="134">
        <f t="shared" si="43"/>
        <v>75</v>
      </c>
      <c r="J956" s="134">
        <f t="shared" si="42"/>
        <v>-75</v>
      </c>
      <c r="K956" s="135"/>
      <c r="L956" s="136" t="str">
        <f t="shared" si="44"/>
        <v>دائن</v>
      </c>
      <c r="M956" s="137" t="str">
        <f>IF(ISERROR(VLOOKUP(C956,'[1]خريطة الحسابات'!_xlnm.Print_Area,4,FALSE))," ",(VLOOKUP(C956,'[1]خريطة الحسابات'!_xlnm.Print_Area,4,FALSE)))</f>
        <v xml:space="preserve">أصول متداوله -النقدية ومافي حكمها </v>
      </c>
      <c r="N956" s="138" t="str">
        <f>IF(ISERROR(VLOOKUP(C956,'[1]خريطة الحسابات'!_xlnm.Print_Area,5,FALSE))," ",(VLOOKUP(C956,'[1]خريطة الحسابات'!_xlnm.Print_Area,5,FALSE)))</f>
        <v>الاصول</v>
      </c>
      <c r="O956" s="139" t="s">
        <v>1715</v>
      </c>
      <c r="P956" s="139" t="s">
        <v>1664</v>
      </c>
    </row>
    <row r="957" spans="1:16">
      <c r="A957" s="104">
        <v>53</v>
      </c>
      <c r="B957" s="131">
        <v>46133</v>
      </c>
      <c r="C957" s="141">
        <v>20</v>
      </c>
      <c r="D957" s="140" t="str">
        <f>IF(ISERROR(VLOOKUP(C957,'[1]خريطة الحسابات'!_xlnm.Print_Area,3,FALSE))," ",(VLOOKUP(C957,'[1]خريطة الحسابات'!_xlnm.Print_Area,3,FALSE)))</f>
        <v xml:space="preserve">الخزينة </v>
      </c>
      <c r="E957" s="132"/>
      <c r="F957" s="133"/>
      <c r="G957" s="133">
        <v>1555</v>
      </c>
      <c r="H957" s="134">
        <f t="shared" si="43"/>
        <v>0</v>
      </c>
      <c r="I957" s="134">
        <f t="shared" si="43"/>
        <v>1555</v>
      </c>
      <c r="J957" s="134">
        <f t="shared" si="42"/>
        <v>-1555</v>
      </c>
      <c r="K957" s="135"/>
      <c r="L957" s="136" t="str">
        <f t="shared" si="44"/>
        <v>دائن</v>
      </c>
      <c r="M957" s="137" t="str">
        <f>IF(ISERROR(VLOOKUP(C957,'[1]خريطة الحسابات'!_xlnm.Print_Area,4,FALSE))," ",(VLOOKUP(C957,'[1]خريطة الحسابات'!_xlnm.Print_Area,4,FALSE)))</f>
        <v xml:space="preserve">أصول متداوله -النقدية ومافي حكمها </v>
      </c>
      <c r="N957" s="138" t="str">
        <f>IF(ISERROR(VLOOKUP(C957,'[1]خريطة الحسابات'!_xlnm.Print_Area,5,FALSE))," ",(VLOOKUP(C957,'[1]خريطة الحسابات'!_xlnm.Print_Area,5,FALSE)))</f>
        <v>الاصول</v>
      </c>
      <c r="O957" s="139" t="s">
        <v>1716</v>
      </c>
      <c r="P957" s="139" t="s">
        <v>1664</v>
      </c>
    </row>
    <row r="958" spans="1:16">
      <c r="A958" s="104">
        <v>53</v>
      </c>
      <c r="B958" s="131">
        <v>46133</v>
      </c>
      <c r="C958" s="141">
        <v>20</v>
      </c>
      <c r="D958" s="140" t="str">
        <f>IF(ISERROR(VLOOKUP(C958,'[1]خريطة الحسابات'!_xlnm.Print_Area,3,FALSE))," ",(VLOOKUP(C958,'[1]خريطة الحسابات'!_xlnm.Print_Area,3,FALSE)))</f>
        <v xml:space="preserve">الخزينة </v>
      </c>
      <c r="E958" s="132"/>
      <c r="F958" s="133"/>
      <c r="G958" s="133">
        <v>200</v>
      </c>
      <c r="H958" s="134">
        <f t="shared" si="43"/>
        <v>0</v>
      </c>
      <c r="I958" s="134">
        <f t="shared" si="43"/>
        <v>200</v>
      </c>
      <c r="J958" s="134">
        <f t="shared" si="42"/>
        <v>-200</v>
      </c>
      <c r="K958" s="135"/>
      <c r="L958" s="136" t="str">
        <f t="shared" si="44"/>
        <v>دائن</v>
      </c>
      <c r="M958" s="137" t="str">
        <f>IF(ISERROR(VLOOKUP(C958,'[1]خريطة الحسابات'!_xlnm.Print_Area,4,FALSE))," ",(VLOOKUP(C958,'[1]خريطة الحسابات'!_xlnm.Print_Area,4,FALSE)))</f>
        <v xml:space="preserve">أصول متداوله -النقدية ومافي حكمها </v>
      </c>
      <c r="N958" s="138" t="str">
        <f>IF(ISERROR(VLOOKUP(C958,'[1]خريطة الحسابات'!_xlnm.Print_Area,5,FALSE))," ",(VLOOKUP(C958,'[1]خريطة الحسابات'!_xlnm.Print_Area,5,FALSE)))</f>
        <v>الاصول</v>
      </c>
      <c r="O958" s="139" t="s">
        <v>1717</v>
      </c>
      <c r="P958" s="139" t="s">
        <v>1664</v>
      </c>
    </row>
    <row r="959" spans="1:16">
      <c r="A959" s="104">
        <v>53</v>
      </c>
      <c r="B959" s="131">
        <v>46133</v>
      </c>
      <c r="C959" s="141">
        <v>20</v>
      </c>
      <c r="D959" s="140" t="str">
        <f>IF(ISERROR(VLOOKUP(C959,'[1]خريطة الحسابات'!_xlnm.Print_Area,3,FALSE))," ",(VLOOKUP(C959,'[1]خريطة الحسابات'!_xlnm.Print_Area,3,FALSE)))</f>
        <v xml:space="preserve">الخزينة </v>
      </c>
      <c r="E959" s="132"/>
      <c r="F959" s="133"/>
      <c r="G959" s="133">
        <v>85</v>
      </c>
      <c r="H959" s="134">
        <f t="shared" si="43"/>
        <v>0</v>
      </c>
      <c r="I959" s="134">
        <f t="shared" si="43"/>
        <v>85</v>
      </c>
      <c r="J959" s="134">
        <f t="shared" si="42"/>
        <v>-85</v>
      </c>
      <c r="K959" s="135"/>
      <c r="L959" s="136" t="str">
        <f t="shared" si="44"/>
        <v>دائن</v>
      </c>
      <c r="M959" s="137" t="str">
        <f>IF(ISERROR(VLOOKUP(C959,'[1]خريطة الحسابات'!_xlnm.Print_Area,4,FALSE))," ",(VLOOKUP(C959,'[1]خريطة الحسابات'!_xlnm.Print_Area,4,FALSE)))</f>
        <v xml:space="preserve">أصول متداوله -النقدية ومافي حكمها </v>
      </c>
      <c r="N959" s="138" t="str">
        <f>IF(ISERROR(VLOOKUP(C959,'[1]خريطة الحسابات'!_xlnm.Print_Area,5,FALSE))," ",(VLOOKUP(C959,'[1]خريطة الحسابات'!_xlnm.Print_Area,5,FALSE)))</f>
        <v>الاصول</v>
      </c>
      <c r="O959" s="139" t="s">
        <v>1718</v>
      </c>
      <c r="P959" s="139" t="s">
        <v>1664</v>
      </c>
    </row>
    <row r="960" spans="1:16">
      <c r="A960" s="104">
        <v>53</v>
      </c>
      <c r="B960" s="131">
        <v>46133</v>
      </c>
      <c r="C960" s="141">
        <v>20</v>
      </c>
      <c r="D960" s="140" t="str">
        <f>IF(ISERROR(VLOOKUP(C960,'[1]خريطة الحسابات'!_xlnm.Print_Area,3,FALSE))," ",(VLOOKUP(C960,'[1]خريطة الحسابات'!_xlnm.Print_Area,3,FALSE)))</f>
        <v xml:space="preserve">الخزينة </v>
      </c>
      <c r="E960" s="132"/>
      <c r="F960" s="133"/>
      <c r="G960" s="133">
        <v>2300</v>
      </c>
      <c r="H960" s="134">
        <f t="shared" si="43"/>
        <v>0</v>
      </c>
      <c r="I960" s="134">
        <f t="shared" si="43"/>
        <v>2300</v>
      </c>
      <c r="J960" s="134">
        <f t="shared" si="42"/>
        <v>-2300</v>
      </c>
      <c r="K960" s="135"/>
      <c r="L960" s="136" t="str">
        <f t="shared" si="44"/>
        <v>دائن</v>
      </c>
      <c r="M960" s="137" t="str">
        <f>IF(ISERROR(VLOOKUP(C960,'[1]خريطة الحسابات'!_xlnm.Print_Area,4,FALSE))," ",(VLOOKUP(C960,'[1]خريطة الحسابات'!_xlnm.Print_Area,4,FALSE)))</f>
        <v xml:space="preserve">أصول متداوله -النقدية ومافي حكمها </v>
      </c>
      <c r="N960" s="138" t="str">
        <f>IF(ISERROR(VLOOKUP(C960,'[1]خريطة الحسابات'!_xlnm.Print_Area,5,FALSE))," ",(VLOOKUP(C960,'[1]خريطة الحسابات'!_xlnm.Print_Area,5,FALSE)))</f>
        <v>الاصول</v>
      </c>
      <c r="O960" s="139" t="s">
        <v>1719</v>
      </c>
      <c r="P960" s="139" t="s">
        <v>1664</v>
      </c>
    </row>
    <row r="961" spans="1:16">
      <c r="A961" s="104">
        <v>53</v>
      </c>
      <c r="B961" s="131">
        <v>46133</v>
      </c>
      <c r="C961" s="141">
        <v>20</v>
      </c>
      <c r="D961" s="140" t="str">
        <f>IF(ISERROR(VLOOKUP(C961,'[1]خريطة الحسابات'!_xlnm.Print_Area,3,FALSE))," ",(VLOOKUP(C961,'[1]خريطة الحسابات'!_xlnm.Print_Area,3,FALSE)))</f>
        <v xml:space="preserve">الخزينة </v>
      </c>
      <c r="E961" s="132"/>
      <c r="F961" s="133"/>
      <c r="G961" s="133">
        <v>1000</v>
      </c>
      <c r="H961" s="134">
        <f t="shared" si="43"/>
        <v>0</v>
      </c>
      <c r="I961" s="134">
        <f t="shared" si="43"/>
        <v>1000</v>
      </c>
      <c r="J961" s="134">
        <f t="shared" si="42"/>
        <v>-1000</v>
      </c>
      <c r="K961" s="135"/>
      <c r="L961" s="136" t="str">
        <f t="shared" si="44"/>
        <v>دائن</v>
      </c>
      <c r="M961" s="137" t="str">
        <f>IF(ISERROR(VLOOKUP(C961,'[1]خريطة الحسابات'!_xlnm.Print_Area,4,FALSE))," ",(VLOOKUP(C961,'[1]خريطة الحسابات'!_xlnm.Print_Area,4,FALSE)))</f>
        <v xml:space="preserve">أصول متداوله -النقدية ومافي حكمها </v>
      </c>
      <c r="N961" s="138" t="str">
        <f>IF(ISERROR(VLOOKUP(C961,'[1]خريطة الحسابات'!_xlnm.Print_Area,5,FALSE))," ",(VLOOKUP(C961,'[1]خريطة الحسابات'!_xlnm.Print_Area,5,FALSE)))</f>
        <v>الاصول</v>
      </c>
      <c r="O961" s="139" t="s">
        <v>1720</v>
      </c>
      <c r="P961" s="139" t="s">
        <v>1664</v>
      </c>
    </row>
    <row r="962" spans="1:16">
      <c r="A962" s="104">
        <v>53</v>
      </c>
      <c r="B962" s="131">
        <v>46133</v>
      </c>
      <c r="C962" s="141">
        <v>20</v>
      </c>
      <c r="D962" s="140" t="str">
        <f>IF(ISERROR(VLOOKUP(C962,'[1]خريطة الحسابات'!_xlnm.Print_Area,3,FALSE))," ",(VLOOKUP(C962,'[1]خريطة الحسابات'!_xlnm.Print_Area,3,FALSE)))</f>
        <v xml:space="preserve">الخزينة </v>
      </c>
      <c r="E962" s="132"/>
      <c r="F962" s="133"/>
      <c r="G962" s="133">
        <v>500</v>
      </c>
      <c r="H962" s="134">
        <f t="shared" si="43"/>
        <v>0</v>
      </c>
      <c r="I962" s="134">
        <f t="shared" si="43"/>
        <v>500</v>
      </c>
      <c r="J962" s="134">
        <f t="shared" si="42"/>
        <v>-500</v>
      </c>
      <c r="K962" s="135"/>
      <c r="L962" s="136" t="str">
        <f t="shared" si="44"/>
        <v>دائن</v>
      </c>
      <c r="M962" s="137" t="str">
        <f>IF(ISERROR(VLOOKUP(C962,'[1]خريطة الحسابات'!_xlnm.Print_Area,4,FALSE))," ",(VLOOKUP(C962,'[1]خريطة الحسابات'!_xlnm.Print_Area,4,FALSE)))</f>
        <v xml:space="preserve">أصول متداوله -النقدية ومافي حكمها </v>
      </c>
      <c r="N962" s="138" t="str">
        <f>IF(ISERROR(VLOOKUP(C962,'[1]خريطة الحسابات'!_xlnm.Print_Area,5,FALSE))," ",(VLOOKUP(C962,'[1]خريطة الحسابات'!_xlnm.Print_Area,5,FALSE)))</f>
        <v>الاصول</v>
      </c>
      <c r="O962" s="139" t="s">
        <v>1721</v>
      </c>
      <c r="P962" s="139" t="s">
        <v>1664</v>
      </c>
    </row>
    <row r="963" spans="1:16">
      <c r="A963" s="104">
        <v>53</v>
      </c>
      <c r="B963" s="131">
        <v>46134</v>
      </c>
      <c r="C963" s="141">
        <v>20</v>
      </c>
      <c r="D963" s="140" t="str">
        <f>IF(ISERROR(VLOOKUP(C963,'[1]خريطة الحسابات'!_xlnm.Print_Area,3,FALSE))," ",(VLOOKUP(C963,'[1]خريطة الحسابات'!_xlnm.Print_Area,3,FALSE)))</f>
        <v xml:space="preserve">الخزينة </v>
      </c>
      <c r="E963" s="132"/>
      <c r="F963" s="133"/>
      <c r="G963" s="133">
        <v>2150</v>
      </c>
      <c r="H963" s="134">
        <f t="shared" si="43"/>
        <v>0</v>
      </c>
      <c r="I963" s="134">
        <f t="shared" si="43"/>
        <v>2150</v>
      </c>
      <c r="J963" s="134">
        <f t="shared" si="42"/>
        <v>-2150</v>
      </c>
      <c r="K963" s="135"/>
      <c r="L963" s="136" t="str">
        <f t="shared" si="44"/>
        <v>دائن</v>
      </c>
      <c r="M963" s="137" t="str">
        <f>IF(ISERROR(VLOOKUP(C963,'[1]خريطة الحسابات'!_xlnm.Print_Area,4,FALSE))," ",(VLOOKUP(C963,'[1]خريطة الحسابات'!_xlnm.Print_Area,4,FALSE)))</f>
        <v xml:space="preserve">أصول متداوله -النقدية ومافي حكمها </v>
      </c>
      <c r="N963" s="138" t="str">
        <f>IF(ISERROR(VLOOKUP(C963,'[1]خريطة الحسابات'!_xlnm.Print_Area,5,FALSE))," ",(VLOOKUP(C963,'[1]خريطة الحسابات'!_xlnm.Print_Area,5,FALSE)))</f>
        <v>الاصول</v>
      </c>
      <c r="O963" s="139" t="s">
        <v>1722</v>
      </c>
      <c r="P963" s="139" t="s">
        <v>1664</v>
      </c>
    </row>
    <row r="964" spans="1:16">
      <c r="A964" s="104">
        <v>53</v>
      </c>
      <c r="B964" s="131">
        <v>46134</v>
      </c>
      <c r="C964" s="141">
        <v>20</v>
      </c>
      <c r="D964" s="140" t="str">
        <f>IF(ISERROR(VLOOKUP(C964,'[1]خريطة الحسابات'!_xlnm.Print_Area,3,FALSE))," ",(VLOOKUP(C964,'[1]خريطة الحسابات'!_xlnm.Print_Area,3,FALSE)))</f>
        <v xml:space="preserve">الخزينة </v>
      </c>
      <c r="E964" s="132"/>
      <c r="F964" s="133"/>
      <c r="G964" s="133">
        <v>200</v>
      </c>
      <c r="H964" s="134">
        <f t="shared" si="43"/>
        <v>0</v>
      </c>
      <c r="I964" s="134">
        <f t="shared" si="43"/>
        <v>200</v>
      </c>
      <c r="J964" s="134">
        <f t="shared" si="42"/>
        <v>-200</v>
      </c>
      <c r="K964" s="135"/>
      <c r="L964" s="136" t="str">
        <f t="shared" si="44"/>
        <v>دائن</v>
      </c>
      <c r="M964" s="137" t="str">
        <f>IF(ISERROR(VLOOKUP(C964,'[1]خريطة الحسابات'!_xlnm.Print_Area,4,FALSE))," ",(VLOOKUP(C964,'[1]خريطة الحسابات'!_xlnm.Print_Area,4,FALSE)))</f>
        <v xml:space="preserve">أصول متداوله -النقدية ومافي حكمها </v>
      </c>
      <c r="N964" s="138" t="str">
        <f>IF(ISERROR(VLOOKUP(C964,'[1]خريطة الحسابات'!_xlnm.Print_Area,5,FALSE))," ",(VLOOKUP(C964,'[1]خريطة الحسابات'!_xlnm.Print_Area,5,FALSE)))</f>
        <v>الاصول</v>
      </c>
      <c r="O964" s="139" t="s">
        <v>1723</v>
      </c>
      <c r="P964" s="139" t="s">
        <v>1664</v>
      </c>
    </row>
    <row r="965" spans="1:16">
      <c r="A965" s="104">
        <v>53</v>
      </c>
      <c r="B965" s="131">
        <v>46135</v>
      </c>
      <c r="C965" s="141">
        <v>20</v>
      </c>
      <c r="D965" s="140" t="str">
        <f>IF(ISERROR(VLOOKUP(C965,'[1]خريطة الحسابات'!_xlnm.Print_Area,3,FALSE))," ",(VLOOKUP(C965,'[1]خريطة الحسابات'!_xlnm.Print_Area,3,FALSE)))</f>
        <v xml:space="preserve">الخزينة </v>
      </c>
      <c r="E965" s="132"/>
      <c r="F965" s="133"/>
      <c r="G965" s="133">
        <v>200</v>
      </c>
      <c r="H965" s="134">
        <f t="shared" si="43"/>
        <v>0</v>
      </c>
      <c r="I965" s="134">
        <f t="shared" si="43"/>
        <v>200</v>
      </c>
      <c r="J965" s="134">
        <f t="shared" si="42"/>
        <v>-200</v>
      </c>
      <c r="K965" s="135"/>
      <c r="L965" s="136" t="str">
        <f t="shared" si="44"/>
        <v>دائن</v>
      </c>
      <c r="M965" s="137" t="str">
        <f>IF(ISERROR(VLOOKUP(C965,'[1]خريطة الحسابات'!_xlnm.Print_Area,4,FALSE))," ",(VLOOKUP(C965,'[1]خريطة الحسابات'!_xlnm.Print_Area,4,FALSE)))</f>
        <v xml:space="preserve">أصول متداوله -النقدية ومافي حكمها </v>
      </c>
      <c r="N965" s="138" t="str">
        <f>IF(ISERROR(VLOOKUP(C965,'[1]خريطة الحسابات'!_xlnm.Print_Area,5,FALSE))," ",(VLOOKUP(C965,'[1]خريطة الحسابات'!_xlnm.Print_Area,5,FALSE)))</f>
        <v>الاصول</v>
      </c>
      <c r="O965" s="139" t="s">
        <v>1724</v>
      </c>
      <c r="P965" s="139" t="s">
        <v>1664</v>
      </c>
    </row>
    <row r="966" spans="1:16">
      <c r="A966" s="104">
        <v>53</v>
      </c>
      <c r="B966" s="131">
        <v>46135</v>
      </c>
      <c r="C966" s="141">
        <v>20</v>
      </c>
      <c r="D966" s="140" t="str">
        <f>IF(ISERROR(VLOOKUP(C966,'[1]خريطة الحسابات'!_xlnm.Print_Area,3,FALSE))," ",(VLOOKUP(C966,'[1]خريطة الحسابات'!_xlnm.Print_Area,3,FALSE)))</f>
        <v xml:space="preserve">الخزينة </v>
      </c>
      <c r="E966" s="132"/>
      <c r="F966" s="133"/>
      <c r="G966" s="133">
        <v>375</v>
      </c>
      <c r="H966" s="134">
        <f t="shared" si="43"/>
        <v>0</v>
      </c>
      <c r="I966" s="134">
        <f t="shared" si="43"/>
        <v>375</v>
      </c>
      <c r="J966" s="134">
        <f t="shared" si="42"/>
        <v>-375</v>
      </c>
      <c r="K966" s="135"/>
      <c r="L966" s="136" t="str">
        <f t="shared" si="44"/>
        <v>دائن</v>
      </c>
      <c r="M966" s="137" t="str">
        <f>IF(ISERROR(VLOOKUP(C966,'[1]خريطة الحسابات'!_xlnm.Print_Area,4,FALSE))," ",(VLOOKUP(C966,'[1]خريطة الحسابات'!_xlnm.Print_Area,4,FALSE)))</f>
        <v xml:space="preserve">أصول متداوله -النقدية ومافي حكمها </v>
      </c>
      <c r="N966" s="138" t="str">
        <f>IF(ISERROR(VLOOKUP(C966,'[1]خريطة الحسابات'!_xlnm.Print_Area,5,FALSE))," ",(VLOOKUP(C966,'[1]خريطة الحسابات'!_xlnm.Print_Area,5,FALSE)))</f>
        <v>الاصول</v>
      </c>
      <c r="O966" s="139" t="s">
        <v>1725</v>
      </c>
      <c r="P966" s="139" t="s">
        <v>1664</v>
      </c>
    </row>
    <row r="967" spans="1:16">
      <c r="A967" s="104">
        <v>53</v>
      </c>
      <c r="B967" s="131">
        <v>46138</v>
      </c>
      <c r="C967" s="141">
        <v>20</v>
      </c>
      <c r="D967" s="140" t="str">
        <f>IF(ISERROR(VLOOKUP(C967,'[1]خريطة الحسابات'!_xlnm.Print_Area,3,FALSE))," ",(VLOOKUP(C967,'[1]خريطة الحسابات'!_xlnm.Print_Area,3,FALSE)))</f>
        <v xml:space="preserve">الخزينة </v>
      </c>
      <c r="E967" s="132"/>
      <c r="F967" s="133"/>
      <c r="G967" s="133">
        <v>150</v>
      </c>
      <c r="H967" s="134">
        <f t="shared" si="43"/>
        <v>0</v>
      </c>
      <c r="I967" s="134">
        <f t="shared" si="43"/>
        <v>150</v>
      </c>
      <c r="J967" s="134">
        <f t="shared" si="42"/>
        <v>-150</v>
      </c>
      <c r="K967" s="135"/>
      <c r="L967" s="136" t="str">
        <f t="shared" si="44"/>
        <v>دائن</v>
      </c>
      <c r="M967" s="137" t="str">
        <f>IF(ISERROR(VLOOKUP(C967,'[1]خريطة الحسابات'!_xlnm.Print_Area,4,FALSE))," ",(VLOOKUP(C967,'[1]خريطة الحسابات'!_xlnm.Print_Area,4,FALSE)))</f>
        <v xml:space="preserve">أصول متداوله -النقدية ومافي حكمها </v>
      </c>
      <c r="N967" s="138" t="str">
        <f>IF(ISERROR(VLOOKUP(C967,'[1]خريطة الحسابات'!_xlnm.Print_Area,5,FALSE))," ",(VLOOKUP(C967,'[1]خريطة الحسابات'!_xlnm.Print_Area,5,FALSE)))</f>
        <v>الاصول</v>
      </c>
      <c r="O967" s="139" t="s">
        <v>1726</v>
      </c>
      <c r="P967" s="139" t="s">
        <v>1664</v>
      </c>
    </row>
    <row r="968" spans="1:16">
      <c r="A968" s="104">
        <v>53</v>
      </c>
      <c r="B968" s="131">
        <v>46139</v>
      </c>
      <c r="C968" s="141">
        <v>20</v>
      </c>
      <c r="D968" s="140" t="str">
        <f>IF(ISERROR(VLOOKUP(C968,'[1]خريطة الحسابات'!_xlnm.Print_Area,3,FALSE))," ",(VLOOKUP(C968,'[1]خريطة الحسابات'!_xlnm.Print_Area,3,FALSE)))</f>
        <v xml:space="preserve">الخزينة </v>
      </c>
      <c r="E968" s="132"/>
      <c r="F968" s="133"/>
      <c r="G968" s="133">
        <v>925</v>
      </c>
      <c r="H968" s="134">
        <f t="shared" si="43"/>
        <v>0</v>
      </c>
      <c r="I968" s="134">
        <f t="shared" si="43"/>
        <v>925</v>
      </c>
      <c r="J968" s="134">
        <f t="shared" si="42"/>
        <v>-925</v>
      </c>
      <c r="K968" s="135"/>
      <c r="L968" s="136" t="str">
        <f t="shared" si="44"/>
        <v>دائن</v>
      </c>
      <c r="M968" s="137" t="str">
        <f>IF(ISERROR(VLOOKUP(C968,'[1]خريطة الحسابات'!_xlnm.Print_Area,4,FALSE))," ",(VLOOKUP(C968,'[1]خريطة الحسابات'!_xlnm.Print_Area,4,FALSE)))</f>
        <v xml:space="preserve">أصول متداوله -النقدية ومافي حكمها </v>
      </c>
      <c r="N968" s="138" t="str">
        <f>IF(ISERROR(VLOOKUP(C968,'[1]خريطة الحسابات'!_xlnm.Print_Area,5,FALSE))," ",(VLOOKUP(C968,'[1]خريطة الحسابات'!_xlnm.Print_Area,5,FALSE)))</f>
        <v>الاصول</v>
      </c>
      <c r="O968" s="139" t="s">
        <v>1727</v>
      </c>
      <c r="P968" s="139" t="s">
        <v>1664</v>
      </c>
    </row>
    <row r="969" spans="1:16">
      <c r="A969" s="104">
        <v>53</v>
      </c>
      <c r="B969" s="131">
        <v>46139</v>
      </c>
      <c r="C969" s="141">
        <v>20</v>
      </c>
      <c r="D969" s="140" t="str">
        <f>IF(ISERROR(VLOOKUP(C969,'[1]خريطة الحسابات'!_xlnm.Print_Area,3,FALSE))," ",(VLOOKUP(C969,'[1]خريطة الحسابات'!_xlnm.Print_Area,3,FALSE)))</f>
        <v xml:space="preserve">الخزينة </v>
      </c>
      <c r="E969" s="132"/>
      <c r="F969" s="133"/>
      <c r="G969" s="133">
        <v>2234</v>
      </c>
      <c r="H969" s="134">
        <f t="shared" si="43"/>
        <v>0</v>
      </c>
      <c r="I969" s="134">
        <f t="shared" si="43"/>
        <v>2234</v>
      </c>
      <c r="J969" s="134">
        <f t="shared" si="42"/>
        <v>-2234</v>
      </c>
      <c r="K969" s="135"/>
      <c r="L969" s="136" t="str">
        <f t="shared" si="44"/>
        <v>دائن</v>
      </c>
      <c r="M969" s="137" t="str">
        <f>IF(ISERROR(VLOOKUP(C969,'[1]خريطة الحسابات'!_xlnm.Print_Area,4,FALSE))," ",(VLOOKUP(C969,'[1]خريطة الحسابات'!_xlnm.Print_Area,4,FALSE)))</f>
        <v xml:space="preserve">أصول متداوله -النقدية ومافي حكمها </v>
      </c>
      <c r="N969" s="138" t="str">
        <f>IF(ISERROR(VLOOKUP(C969,'[1]خريطة الحسابات'!_xlnm.Print_Area,5,FALSE))," ",(VLOOKUP(C969,'[1]خريطة الحسابات'!_xlnm.Print_Area,5,FALSE)))</f>
        <v>الاصول</v>
      </c>
      <c r="O969" s="139" t="s">
        <v>1728</v>
      </c>
      <c r="P969" s="139" t="s">
        <v>1664</v>
      </c>
    </row>
    <row r="970" spans="1:16">
      <c r="A970" s="104">
        <v>53</v>
      </c>
      <c r="B970" s="131">
        <v>46142</v>
      </c>
      <c r="C970" s="141">
        <v>20</v>
      </c>
      <c r="D970" s="140" t="str">
        <f>IF(ISERROR(VLOOKUP(C970,'[1]خريطة الحسابات'!_xlnm.Print_Area,3,FALSE))," ",(VLOOKUP(C970,'[1]خريطة الحسابات'!_xlnm.Print_Area,3,FALSE)))</f>
        <v xml:space="preserve">الخزينة </v>
      </c>
      <c r="E970" s="132"/>
      <c r="F970" s="133"/>
      <c r="G970" s="133">
        <v>2250</v>
      </c>
      <c r="H970" s="134">
        <f t="shared" si="43"/>
        <v>0</v>
      </c>
      <c r="I970" s="134">
        <f t="shared" si="43"/>
        <v>2250</v>
      </c>
      <c r="J970" s="134">
        <f t="shared" si="42"/>
        <v>-2250</v>
      </c>
      <c r="K970" s="135"/>
      <c r="L970" s="136" t="str">
        <f t="shared" si="44"/>
        <v>دائن</v>
      </c>
      <c r="M970" s="137" t="str">
        <f>IF(ISERROR(VLOOKUP(C970,'[1]خريطة الحسابات'!_xlnm.Print_Area,4,FALSE))," ",(VLOOKUP(C970,'[1]خريطة الحسابات'!_xlnm.Print_Area,4,FALSE)))</f>
        <v xml:space="preserve">أصول متداوله -النقدية ومافي حكمها </v>
      </c>
      <c r="N970" s="138" t="str">
        <f>IF(ISERROR(VLOOKUP(C970,'[1]خريطة الحسابات'!_xlnm.Print_Area,5,FALSE))," ",(VLOOKUP(C970,'[1]خريطة الحسابات'!_xlnm.Print_Area,5,FALSE)))</f>
        <v>الاصول</v>
      </c>
      <c r="O970" s="139" t="s">
        <v>1727</v>
      </c>
      <c r="P970" s="139" t="s">
        <v>1664</v>
      </c>
    </row>
    <row r="971" spans="1:16">
      <c r="A971" s="104">
        <v>53</v>
      </c>
      <c r="B971" s="131">
        <v>46144</v>
      </c>
      <c r="C971" s="141">
        <v>20</v>
      </c>
      <c r="D971" s="140" t="str">
        <f>IF(ISERROR(VLOOKUP(C971,'[1]خريطة الحسابات'!_xlnm.Print_Area,3,FALSE))," ",(VLOOKUP(C971,'[1]خريطة الحسابات'!_xlnm.Print_Area,3,FALSE)))</f>
        <v xml:space="preserve">الخزينة </v>
      </c>
      <c r="E971" s="132"/>
      <c r="F971" s="133"/>
      <c r="G971" s="133">
        <v>3475</v>
      </c>
      <c r="H971" s="134">
        <f t="shared" si="43"/>
        <v>0</v>
      </c>
      <c r="I971" s="134">
        <f t="shared" si="43"/>
        <v>3475</v>
      </c>
      <c r="J971" s="134">
        <f t="shared" si="42"/>
        <v>-3475</v>
      </c>
      <c r="K971" s="135"/>
      <c r="L971" s="136" t="str">
        <f t="shared" si="44"/>
        <v>دائن</v>
      </c>
      <c r="M971" s="137" t="str">
        <f>IF(ISERROR(VLOOKUP(C971,'[1]خريطة الحسابات'!_xlnm.Print_Area,4,FALSE))," ",(VLOOKUP(C971,'[1]خريطة الحسابات'!_xlnm.Print_Area,4,FALSE)))</f>
        <v xml:space="preserve">أصول متداوله -النقدية ومافي حكمها </v>
      </c>
      <c r="N971" s="138" t="str">
        <f>IF(ISERROR(VLOOKUP(C971,'[1]خريطة الحسابات'!_xlnm.Print_Area,5,FALSE))," ",(VLOOKUP(C971,'[1]خريطة الحسابات'!_xlnm.Print_Area,5,FALSE)))</f>
        <v>الاصول</v>
      </c>
      <c r="O971" s="139" t="s">
        <v>1729</v>
      </c>
      <c r="P971" s="139" t="s">
        <v>1664</v>
      </c>
    </row>
    <row r="972" spans="1:16">
      <c r="A972" s="104">
        <v>53</v>
      </c>
      <c r="B972" s="131">
        <v>46144</v>
      </c>
      <c r="C972" s="141">
        <v>20</v>
      </c>
      <c r="D972" s="140" t="str">
        <f>IF(ISERROR(VLOOKUP(C972,'[1]خريطة الحسابات'!_xlnm.Print_Area,3,FALSE))," ",(VLOOKUP(C972,'[1]خريطة الحسابات'!_xlnm.Print_Area,3,FALSE)))</f>
        <v xml:space="preserve">الخزينة </v>
      </c>
      <c r="E972" s="132"/>
      <c r="F972" s="133"/>
      <c r="G972" s="133">
        <v>300</v>
      </c>
      <c r="H972" s="134">
        <f t="shared" si="43"/>
        <v>0</v>
      </c>
      <c r="I972" s="134">
        <f t="shared" si="43"/>
        <v>300</v>
      </c>
      <c r="J972" s="134">
        <f t="shared" si="42"/>
        <v>-300</v>
      </c>
      <c r="K972" s="135"/>
      <c r="L972" s="136" t="str">
        <f t="shared" si="44"/>
        <v>دائن</v>
      </c>
      <c r="M972" s="137" t="str">
        <f>IF(ISERROR(VLOOKUP(C972,'[1]خريطة الحسابات'!_xlnm.Print_Area,4,FALSE))," ",(VLOOKUP(C972,'[1]خريطة الحسابات'!_xlnm.Print_Area,4,FALSE)))</f>
        <v xml:space="preserve">أصول متداوله -النقدية ومافي حكمها </v>
      </c>
      <c r="N972" s="138" t="str">
        <f>IF(ISERROR(VLOOKUP(C972,'[1]خريطة الحسابات'!_xlnm.Print_Area,5,FALSE))," ",(VLOOKUP(C972,'[1]خريطة الحسابات'!_xlnm.Print_Area,5,FALSE)))</f>
        <v>الاصول</v>
      </c>
      <c r="O972" s="139" t="s">
        <v>1730</v>
      </c>
      <c r="P972" s="139" t="s">
        <v>1664</v>
      </c>
    </row>
    <row r="973" spans="1:16">
      <c r="A973" s="104">
        <v>53</v>
      </c>
      <c r="B973" s="131">
        <v>46144</v>
      </c>
      <c r="C973" s="141">
        <v>20</v>
      </c>
      <c r="D973" s="140" t="str">
        <f>IF(ISERROR(VLOOKUP(C973,'[1]خريطة الحسابات'!_xlnm.Print_Area,3,FALSE))," ",(VLOOKUP(C973,'[1]خريطة الحسابات'!_xlnm.Print_Area,3,FALSE)))</f>
        <v xml:space="preserve">الخزينة </v>
      </c>
      <c r="E973" s="132"/>
      <c r="F973" s="133"/>
      <c r="G973" s="133">
        <v>400</v>
      </c>
      <c r="H973" s="134">
        <f t="shared" si="43"/>
        <v>0</v>
      </c>
      <c r="I973" s="134">
        <f t="shared" si="43"/>
        <v>400</v>
      </c>
      <c r="J973" s="134">
        <f t="shared" si="42"/>
        <v>-400</v>
      </c>
      <c r="K973" s="135"/>
      <c r="L973" s="136" t="str">
        <f t="shared" si="44"/>
        <v>دائن</v>
      </c>
      <c r="M973" s="137" t="str">
        <f>IF(ISERROR(VLOOKUP(C973,'[1]خريطة الحسابات'!_xlnm.Print_Area,4,FALSE))," ",(VLOOKUP(C973,'[1]خريطة الحسابات'!_xlnm.Print_Area,4,FALSE)))</f>
        <v xml:space="preserve">أصول متداوله -النقدية ومافي حكمها </v>
      </c>
      <c r="N973" s="138" t="str">
        <f>IF(ISERROR(VLOOKUP(C973,'[1]خريطة الحسابات'!_xlnm.Print_Area,5,FALSE))," ",(VLOOKUP(C973,'[1]خريطة الحسابات'!_xlnm.Print_Area,5,FALSE)))</f>
        <v>الاصول</v>
      </c>
      <c r="O973" s="139" t="s">
        <v>1731</v>
      </c>
      <c r="P973" s="139" t="s">
        <v>1664</v>
      </c>
    </row>
    <row r="974" spans="1:16">
      <c r="A974" s="104">
        <v>53</v>
      </c>
      <c r="B974" s="131">
        <v>46144</v>
      </c>
      <c r="C974" s="141">
        <v>20</v>
      </c>
      <c r="D974" s="140" t="str">
        <f>IF(ISERROR(VLOOKUP(C974,'[1]خريطة الحسابات'!_xlnm.Print_Area,3,FALSE))," ",(VLOOKUP(C974,'[1]خريطة الحسابات'!_xlnm.Print_Area,3,FALSE)))</f>
        <v xml:space="preserve">الخزينة </v>
      </c>
      <c r="E974" s="132"/>
      <c r="F974" s="133"/>
      <c r="G974" s="133">
        <v>275</v>
      </c>
      <c r="H974" s="134">
        <f t="shared" si="43"/>
        <v>0</v>
      </c>
      <c r="I974" s="134">
        <f t="shared" si="43"/>
        <v>275</v>
      </c>
      <c r="J974" s="134">
        <f t="shared" si="42"/>
        <v>-275</v>
      </c>
      <c r="K974" s="135"/>
      <c r="L974" s="136" t="str">
        <f t="shared" si="44"/>
        <v>دائن</v>
      </c>
      <c r="M974" s="137" t="str">
        <f>IF(ISERROR(VLOOKUP(C974,'[1]خريطة الحسابات'!_xlnm.Print_Area,4,FALSE))," ",(VLOOKUP(C974,'[1]خريطة الحسابات'!_xlnm.Print_Area,4,FALSE)))</f>
        <v xml:space="preserve">أصول متداوله -النقدية ومافي حكمها </v>
      </c>
      <c r="N974" s="138" t="str">
        <f>IF(ISERROR(VLOOKUP(C974,'[1]خريطة الحسابات'!_xlnm.Print_Area,5,FALSE))," ",(VLOOKUP(C974,'[1]خريطة الحسابات'!_xlnm.Print_Area,5,FALSE)))</f>
        <v>الاصول</v>
      </c>
      <c r="O974" s="139" t="s">
        <v>1732</v>
      </c>
      <c r="P974" s="139" t="s">
        <v>1664</v>
      </c>
    </row>
    <row r="975" spans="1:16">
      <c r="A975" s="104">
        <v>53</v>
      </c>
      <c r="B975" s="131">
        <v>46145</v>
      </c>
      <c r="C975" s="141">
        <v>20</v>
      </c>
      <c r="D975" s="140" t="str">
        <f>IF(ISERROR(VLOOKUP(C975,'[1]خريطة الحسابات'!_xlnm.Print_Area,3,FALSE))," ",(VLOOKUP(C975,'[1]خريطة الحسابات'!_xlnm.Print_Area,3,FALSE)))</f>
        <v xml:space="preserve">الخزينة </v>
      </c>
      <c r="E975" s="132"/>
      <c r="F975" s="133"/>
      <c r="G975" s="133">
        <v>600</v>
      </c>
      <c r="H975" s="134">
        <f t="shared" si="43"/>
        <v>0</v>
      </c>
      <c r="I975" s="134">
        <f t="shared" si="43"/>
        <v>600</v>
      </c>
      <c r="J975" s="134">
        <f t="shared" si="42"/>
        <v>-600</v>
      </c>
      <c r="K975" s="135"/>
      <c r="L975" s="136" t="str">
        <f t="shared" si="44"/>
        <v>دائن</v>
      </c>
      <c r="M975" s="137" t="str">
        <f>IF(ISERROR(VLOOKUP(C975,'[1]خريطة الحسابات'!_xlnm.Print_Area,4,FALSE))," ",(VLOOKUP(C975,'[1]خريطة الحسابات'!_xlnm.Print_Area,4,FALSE)))</f>
        <v xml:space="preserve">أصول متداوله -النقدية ومافي حكمها </v>
      </c>
      <c r="N975" s="138" t="str">
        <f>IF(ISERROR(VLOOKUP(C975,'[1]خريطة الحسابات'!_xlnm.Print_Area,5,FALSE))," ",(VLOOKUP(C975,'[1]خريطة الحسابات'!_xlnm.Print_Area,5,FALSE)))</f>
        <v>الاصول</v>
      </c>
      <c r="O975" s="139" t="s">
        <v>1733</v>
      </c>
      <c r="P975" s="139" t="s">
        <v>1664</v>
      </c>
    </row>
    <row r="976" spans="1:16">
      <c r="A976" s="104">
        <v>53</v>
      </c>
      <c r="B976" s="131">
        <v>46146</v>
      </c>
      <c r="C976" s="141">
        <v>20</v>
      </c>
      <c r="D976" s="140" t="str">
        <f>IF(ISERROR(VLOOKUP(C976,'[1]خريطة الحسابات'!_xlnm.Print_Area,3,FALSE))," ",(VLOOKUP(C976,'[1]خريطة الحسابات'!_xlnm.Print_Area,3,FALSE)))</f>
        <v xml:space="preserve">الخزينة </v>
      </c>
      <c r="E976" s="132"/>
      <c r="F976" s="133"/>
      <c r="G976" s="133">
        <v>4004</v>
      </c>
      <c r="H976" s="134">
        <f t="shared" si="43"/>
        <v>0</v>
      </c>
      <c r="I976" s="134">
        <f t="shared" si="43"/>
        <v>4004</v>
      </c>
      <c r="J976" s="134">
        <f t="shared" si="42"/>
        <v>-4004</v>
      </c>
      <c r="K976" s="135"/>
      <c r="L976" s="136" t="str">
        <f t="shared" si="44"/>
        <v>دائن</v>
      </c>
      <c r="M976" s="137" t="str">
        <f>IF(ISERROR(VLOOKUP(C976,'[1]خريطة الحسابات'!_xlnm.Print_Area,4,FALSE))," ",(VLOOKUP(C976,'[1]خريطة الحسابات'!_xlnm.Print_Area,4,FALSE)))</f>
        <v xml:space="preserve">أصول متداوله -النقدية ومافي حكمها </v>
      </c>
      <c r="N976" s="138" t="str">
        <f>IF(ISERROR(VLOOKUP(C976,'[1]خريطة الحسابات'!_xlnm.Print_Area,5,FALSE))," ",(VLOOKUP(C976,'[1]خريطة الحسابات'!_xlnm.Print_Area,5,FALSE)))</f>
        <v>الاصول</v>
      </c>
      <c r="O976" s="139" t="s">
        <v>1734</v>
      </c>
      <c r="P976" s="139" t="s">
        <v>1664</v>
      </c>
    </row>
    <row r="977" spans="1:16">
      <c r="A977" s="104">
        <v>53</v>
      </c>
      <c r="B977" s="131">
        <v>46146</v>
      </c>
      <c r="C977" s="141">
        <v>20</v>
      </c>
      <c r="D977" s="140" t="str">
        <f>IF(ISERROR(VLOOKUP(C977,'[1]خريطة الحسابات'!_xlnm.Print_Area,3,FALSE))," ",(VLOOKUP(C977,'[1]خريطة الحسابات'!_xlnm.Print_Area,3,FALSE)))</f>
        <v xml:space="preserve">الخزينة </v>
      </c>
      <c r="E977" s="132"/>
      <c r="F977" s="133"/>
      <c r="G977" s="133">
        <v>165</v>
      </c>
      <c r="H977" s="134">
        <f t="shared" si="43"/>
        <v>0</v>
      </c>
      <c r="I977" s="134">
        <f t="shared" si="43"/>
        <v>165</v>
      </c>
      <c r="J977" s="134">
        <f t="shared" si="42"/>
        <v>-165</v>
      </c>
      <c r="K977" s="135"/>
      <c r="L977" s="136" t="str">
        <f t="shared" si="44"/>
        <v>دائن</v>
      </c>
      <c r="M977" s="137" t="str">
        <f>IF(ISERROR(VLOOKUP(C977,'[1]خريطة الحسابات'!_xlnm.Print_Area,4,FALSE))," ",(VLOOKUP(C977,'[1]خريطة الحسابات'!_xlnm.Print_Area,4,FALSE)))</f>
        <v xml:space="preserve">أصول متداوله -النقدية ومافي حكمها </v>
      </c>
      <c r="N977" s="138" t="str">
        <f>IF(ISERROR(VLOOKUP(C977,'[1]خريطة الحسابات'!_xlnm.Print_Area,5,FALSE))," ",(VLOOKUP(C977,'[1]خريطة الحسابات'!_xlnm.Print_Area,5,FALSE)))</f>
        <v>الاصول</v>
      </c>
      <c r="O977" s="139" t="s">
        <v>1735</v>
      </c>
      <c r="P977" s="139" t="s">
        <v>1664</v>
      </c>
    </row>
    <row r="978" spans="1:16">
      <c r="A978" s="104">
        <v>53</v>
      </c>
      <c r="B978" s="131">
        <v>46147</v>
      </c>
      <c r="C978" s="141">
        <v>20</v>
      </c>
      <c r="D978" s="140" t="str">
        <f>IF(ISERROR(VLOOKUP(C978,'[1]خريطة الحسابات'!_xlnm.Print_Area,3,FALSE))," ",(VLOOKUP(C978,'[1]خريطة الحسابات'!_xlnm.Print_Area,3,FALSE)))</f>
        <v xml:space="preserve">الخزينة </v>
      </c>
      <c r="E978" s="132"/>
      <c r="F978" s="133"/>
      <c r="G978" s="133">
        <v>550</v>
      </c>
      <c r="H978" s="134">
        <f t="shared" si="43"/>
        <v>0</v>
      </c>
      <c r="I978" s="134">
        <f t="shared" si="43"/>
        <v>550</v>
      </c>
      <c r="J978" s="134">
        <f t="shared" si="42"/>
        <v>-550</v>
      </c>
      <c r="K978" s="135"/>
      <c r="L978" s="136" t="str">
        <f t="shared" si="44"/>
        <v>دائن</v>
      </c>
      <c r="M978" s="137" t="str">
        <f>IF(ISERROR(VLOOKUP(C978,'[1]خريطة الحسابات'!_xlnm.Print_Area,4,FALSE))," ",(VLOOKUP(C978,'[1]خريطة الحسابات'!_xlnm.Print_Area,4,FALSE)))</f>
        <v xml:space="preserve">أصول متداوله -النقدية ومافي حكمها </v>
      </c>
      <c r="N978" s="138" t="str">
        <f>IF(ISERROR(VLOOKUP(C978,'[1]خريطة الحسابات'!_xlnm.Print_Area,5,FALSE))," ",(VLOOKUP(C978,'[1]خريطة الحسابات'!_xlnm.Print_Area,5,FALSE)))</f>
        <v>الاصول</v>
      </c>
      <c r="O978" s="139" t="s">
        <v>1736</v>
      </c>
      <c r="P978" s="139" t="s">
        <v>1664</v>
      </c>
    </row>
    <row r="979" spans="1:16">
      <c r="A979" s="104">
        <v>53</v>
      </c>
      <c r="B979" s="131">
        <v>46147</v>
      </c>
      <c r="C979" s="141">
        <v>20</v>
      </c>
      <c r="D979" s="140" t="str">
        <f>IF(ISERROR(VLOOKUP(C979,'[1]خريطة الحسابات'!_xlnm.Print_Area,3,FALSE))," ",(VLOOKUP(C979,'[1]خريطة الحسابات'!_xlnm.Print_Area,3,FALSE)))</f>
        <v xml:space="preserve">الخزينة </v>
      </c>
      <c r="E979" s="132"/>
      <c r="F979" s="133"/>
      <c r="G979" s="133">
        <v>150</v>
      </c>
      <c r="H979" s="134">
        <f t="shared" si="43"/>
        <v>0</v>
      </c>
      <c r="I979" s="134">
        <f t="shared" si="43"/>
        <v>150</v>
      </c>
      <c r="J979" s="134">
        <f t="shared" si="42"/>
        <v>-150</v>
      </c>
      <c r="K979" s="135"/>
      <c r="L979" s="136" t="str">
        <f t="shared" si="44"/>
        <v>دائن</v>
      </c>
      <c r="M979" s="137" t="str">
        <f>IF(ISERROR(VLOOKUP(C979,'[1]خريطة الحسابات'!_xlnm.Print_Area,4,FALSE))," ",(VLOOKUP(C979,'[1]خريطة الحسابات'!_xlnm.Print_Area,4,FALSE)))</f>
        <v xml:space="preserve">أصول متداوله -النقدية ومافي حكمها </v>
      </c>
      <c r="N979" s="138" t="str">
        <f>IF(ISERROR(VLOOKUP(C979,'[1]خريطة الحسابات'!_xlnm.Print_Area,5,FALSE))," ",(VLOOKUP(C979,'[1]خريطة الحسابات'!_xlnm.Print_Area,5,FALSE)))</f>
        <v>الاصول</v>
      </c>
      <c r="O979" s="139" t="s">
        <v>1674</v>
      </c>
      <c r="P979" s="139" t="s">
        <v>1664</v>
      </c>
    </row>
    <row r="980" spans="1:16">
      <c r="A980" s="104">
        <v>53</v>
      </c>
      <c r="B980" s="131">
        <v>46151</v>
      </c>
      <c r="C980" s="141">
        <v>20</v>
      </c>
      <c r="D980" s="140" t="str">
        <f>IF(ISERROR(VLOOKUP(C980,'[1]خريطة الحسابات'!_xlnm.Print_Area,3,FALSE))," ",(VLOOKUP(C980,'[1]خريطة الحسابات'!_xlnm.Print_Area,3,FALSE)))</f>
        <v xml:space="preserve">الخزينة </v>
      </c>
      <c r="E980" s="132"/>
      <c r="F980" s="133"/>
      <c r="G980" s="133">
        <v>3835</v>
      </c>
      <c r="H980" s="134">
        <f t="shared" si="43"/>
        <v>0</v>
      </c>
      <c r="I980" s="134">
        <f t="shared" si="43"/>
        <v>3835</v>
      </c>
      <c r="J980" s="134">
        <f t="shared" si="42"/>
        <v>-3835</v>
      </c>
      <c r="K980" s="135"/>
      <c r="L980" s="136" t="str">
        <f t="shared" si="44"/>
        <v>دائن</v>
      </c>
      <c r="M980" s="137" t="str">
        <f>IF(ISERROR(VLOOKUP(C980,'[1]خريطة الحسابات'!_xlnm.Print_Area,4,FALSE))," ",(VLOOKUP(C980,'[1]خريطة الحسابات'!_xlnm.Print_Area,4,FALSE)))</f>
        <v xml:space="preserve">أصول متداوله -النقدية ومافي حكمها </v>
      </c>
      <c r="N980" s="138" t="str">
        <f>IF(ISERROR(VLOOKUP(C980,'[1]خريطة الحسابات'!_xlnm.Print_Area,5,FALSE))," ",(VLOOKUP(C980,'[1]خريطة الحسابات'!_xlnm.Print_Area,5,FALSE)))</f>
        <v>الاصول</v>
      </c>
      <c r="O980" s="139" t="s">
        <v>1737</v>
      </c>
      <c r="P980" s="139" t="s">
        <v>1664</v>
      </c>
    </row>
    <row r="981" spans="1:16">
      <c r="A981" s="104">
        <v>53</v>
      </c>
      <c r="B981" s="131">
        <v>46151</v>
      </c>
      <c r="C981" s="141">
        <v>20</v>
      </c>
      <c r="D981" s="140" t="str">
        <f>IF(ISERROR(VLOOKUP(C981,'[1]خريطة الحسابات'!_xlnm.Print_Area,3,FALSE))," ",(VLOOKUP(C981,'[1]خريطة الحسابات'!_xlnm.Print_Area,3,FALSE)))</f>
        <v xml:space="preserve">الخزينة </v>
      </c>
      <c r="E981" s="132"/>
      <c r="F981" s="133"/>
      <c r="G981" s="133">
        <v>200</v>
      </c>
      <c r="H981" s="134">
        <f t="shared" si="43"/>
        <v>0</v>
      </c>
      <c r="I981" s="134">
        <f t="shared" si="43"/>
        <v>200</v>
      </c>
      <c r="J981" s="134">
        <f t="shared" si="42"/>
        <v>-200</v>
      </c>
      <c r="K981" s="135"/>
      <c r="L981" s="136" t="str">
        <f t="shared" si="44"/>
        <v>دائن</v>
      </c>
      <c r="M981" s="137" t="str">
        <f>IF(ISERROR(VLOOKUP(C981,'[1]خريطة الحسابات'!_xlnm.Print_Area,4,FALSE))," ",(VLOOKUP(C981,'[1]خريطة الحسابات'!_xlnm.Print_Area,4,FALSE)))</f>
        <v xml:space="preserve">أصول متداوله -النقدية ومافي حكمها </v>
      </c>
      <c r="N981" s="138" t="str">
        <f>IF(ISERROR(VLOOKUP(C981,'[1]خريطة الحسابات'!_xlnm.Print_Area,5,FALSE))," ",(VLOOKUP(C981,'[1]خريطة الحسابات'!_xlnm.Print_Area,5,FALSE)))</f>
        <v>الاصول</v>
      </c>
      <c r="O981" s="139" t="s">
        <v>1738</v>
      </c>
      <c r="P981" s="139" t="s">
        <v>1664</v>
      </c>
    </row>
    <row r="982" spans="1:16">
      <c r="A982" s="104">
        <v>53</v>
      </c>
      <c r="B982" s="131">
        <v>46151</v>
      </c>
      <c r="C982" s="141">
        <v>20</v>
      </c>
      <c r="D982" s="140" t="str">
        <f>IF(ISERROR(VLOOKUP(C982,'[1]خريطة الحسابات'!_xlnm.Print_Area,3,FALSE))," ",(VLOOKUP(C982,'[1]خريطة الحسابات'!_xlnm.Print_Area,3,FALSE)))</f>
        <v xml:space="preserve">الخزينة </v>
      </c>
      <c r="E982" s="132"/>
      <c r="F982" s="133"/>
      <c r="G982" s="133">
        <v>500</v>
      </c>
      <c r="H982" s="134">
        <f t="shared" si="43"/>
        <v>0</v>
      </c>
      <c r="I982" s="134">
        <f t="shared" si="43"/>
        <v>500</v>
      </c>
      <c r="J982" s="134">
        <f t="shared" si="42"/>
        <v>-500</v>
      </c>
      <c r="K982" s="135"/>
      <c r="L982" s="136" t="str">
        <f t="shared" si="44"/>
        <v>دائن</v>
      </c>
      <c r="M982" s="137" t="str">
        <f>IF(ISERROR(VLOOKUP(C982,'[1]خريطة الحسابات'!_xlnm.Print_Area,4,FALSE))," ",(VLOOKUP(C982,'[1]خريطة الحسابات'!_xlnm.Print_Area,4,FALSE)))</f>
        <v xml:space="preserve">أصول متداوله -النقدية ومافي حكمها </v>
      </c>
      <c r="N982" s="138" t="str">
        <f>IF(ISERROR(VLOOKUP(C982,'[1]خريطة الحسابات'!_xlnm.Print_Area,5,FALSE))," ",(VLOOKUP(C982,'[1]خريطة الحسابات'!_xlnm.Print_Area,5,FALSE)))</f>
        <v>الاصول</v>
      </c>
      <c r="O982" s="139" t="s">
        <v>1739</v>
      </c>
      <c r="P982" s="139" t="s">
        <v>1664</v>
      </c>
    </row>
    <row r="983" spans="1:16">
      <c r="A983" s="104">
        <v>53</v>
      </c>
      <c r="B983" s="131">
        <v>46151</v>
      </c>
      <c r="C983" s="141">
        <v>20</v>
      </c>
      <c r="D983" s="140" t="str">
        <f>IF(ISERROR(VLOOKUP(C983,'[1]خريطة الحسابات'!_xlnm.Print_Area,3,FALSE))," ",(VLOOKUP(C983,'[1]خريطة الحسابات'!_xlnm.Print_Area,3,FALSE)))</f>
        <v xml:space="preserve">الخزينة </v>
      </c>
      <c r="E983" s="132"/>
      <c r="F983" s="133"/>
      <c r="G983" s="133">
        <v>150</v>
      </c>
      <c r="H983" s="134">
        <f t="shared" si="43"/>
        <v>0</v>
      </c>
      <c r="I983" s="134">
        <f t="shared" si="43"/>
        <v>150</v>
      </c>
      <c r="J983" s="134">
        <f t="shared" si="42"/>
        <v>-150</v>
      </c>
      <c r="K983" s="135"/>
      <c r="L983" s="136" t="str">
        <f t="shared" si="44"/>
        <v>دائن</v>
      </c>
      <c r="M983" s="137" t="str">
        <f>IF(ISERROR(VLOOKUP(C983,'[1]خريطة الحسابات'!_xlnm.Print_Area,4,FALSE))," ",(VLOOKUP(C983,'[1]خريطة الحسابات'!_xlnm.Print_Area,4,FALSE)))</f>
        <v xml:space="preserve">أصول متداوله -النقدية ومافي حكمها </v>
      </c>
      <c r="N983" s="138" t="str">
        <f>IF(ISERROR(VLOOKUP(C983,'[1]خريطة الحسابات'!_xlnm.Print_Area,5,FALSE))," ",(VLOOKUP(C983,'[1]خريطة الحسابات'!_xlnm.Print_Area,5,FALSE)))</f>
        <v>الاصول</v>
      </c>
      <c r="O983" s="139" t="s">
        <v>1740</v>
      </c>
      <c r="P983" s="139" t="s">
        <v>1664</v>
      </c>
    </row>
    <row r="984" spans="1:16">
      <c r="A984" s="104">
        <v>53</v>
      </c>
      <c r="B984" s="131">
        <v>46153</v>
      </c>
      <c r="C984" s="141">
        <v>20</v>
      </c>
      <c r="D984" s="140" t="str">
        <f>IF(ISERROR(VLOOKUP(C984,'[1]خريطة الحسابات'!_xlnm.Print_Area,3,FALSE))," ",(VLOOKUP(C984,'[1]خريطة الحسابات'!_xlnm.Print_Area,3,FALSE)))</f>
        <v xml:space="preserve">الخزينة </v>
      </c>
      <c r="E984" s="132"/>
      <c r="F984" s="133"/>
      <c r="G984" s="133">
        <v>110</v>
      </c>
      <c r="H984" s="134">
        <f t="shared" si="43"/>
        <v>0</v>
      </c>
      <c r="I984" s="134">
        <f t="shared" si="43"/>
        <v>110</v>
      </c>
      <c r="J984" s="134">
        <f t="shared" ref="J984:J1047" si="45">H984-I984</f>
        <v>-110</v>
      </c>
      <c r="K984" s="135"/>
      <c r="L984" s="136" t="str">
        <f t="shared" si="44"/>
        <v>دائن</v>
      </c>
      <c r="M984" s="137" t="str">
        <f>IF(ISERROR(VLOOKUP(C984,'[1]خريطة الحسابات'!_xlnm.Print_Area,4,FALSE))," ",(VLOOKUP(C984,'[1]خريطة الحسابات'!_xlnm.Print_Area,4,FALSE)))</f>
        <v xml:space="preserve">أصول متداوله -النقدية ومافي حكمها </v>
      </c>
      <c r="N984" s="138" t="str">
        <f>IF(ISERROR(VLOOKUP(C984,'[1]خريطة الحسابات'!_xlnm.Print_Area,5,FALSE))," ",(VLOOKUP(C984,'[1]خريطة الحسابات'!_xlnm.Print_Area,5,FALSE)))</f>
        <v>الاصول</v>
      </c>
      <c r="O984" s="139" t="s">
        <v>1741</v>
      </c>
      <c r="P984" s="139" t="s">
        <v>1664</v>
      </c>
    </row>
    <row r="985" spans="1:16">
      <c r="A985" s="104">
        <v>53</v>
      </c>
      <c r="B985" s="131">
        <v>46156</v>
      </c>
      <c r="C985" s="141">
        <v>20</v>
      </c>
      <c r="D985" s="140" t="str">
        <f>IF(ISERROR(VLOOKUP(C985,'[1]خريطة الحسابات'!_xlnm.Print_Area,3,FALSE))," ",(VLOOKUP(C985,'[1]خريطة الحسابات'!_xlnm.Print_Area,3,FALSE)))</f>
        <v xml:space="preserve">الخزينة </v>
      </c>
      <c r="E985" s="132"/>
      <c r="F985" s="133"/>
      <c r="G985" s="133">
        <v>100</v>
      </c>
      <c r="H985" s="134">
        <f t="shared" ref="H985:I1048" si="46">IF($E985=2,F985*3.465,F985)</f>
        <v>0</v>
      </c>
      <c r="I985" s="134">
        <f t="shared" si="46"/>
        <v>100</v>
      </c>
      <c r="J985" s="134">
        <f t="shared" si="45"/>
        <v>-100</v>
      </c>
      <c r="K985" s="135"/>
      <c r="L985" s="136" t="str">
        <f t="shared" si="44"/>
        <v>دائن</v>
      </c>
      <c r="M985" s="137" t="str">
        <f>IF(ISERROR(VLOOKUP(C985,'[1]خريطة الحسابات'!_xlnm.Print_Area,4,FALSE))," ",(VLOOKUP(C985,'[1]خريطة الحسابات'!_xlnm.Print_Area,4,FALSE)))</f>
        <v xml:space="preserve">أصول متداوله -النقدية ومافي حكمها </v>
      </c>
      <c r="N985" s="138" t="str">
        <f>IF(ISERROR(VLOOKUP(C985,'[1]خريطة الحسابات'!_xlnm.Print_Area,5,FALSE))," ",(VLOOKUP(C985,'[1]خريطة الحسابات'!_xlnm.Print_Area,5,FALSE)))</f>
        <v>الاصول</v>
      </c>
      <c r="O985" s="139" t="s">
        <v>1742</v>
      </c>
      <c r="P985" s="139" t="s">
        <v>1664</v>
      </c>
    </row>
    <row r="986" spans="1:16">
      <c r="A986" s="104">
        <v>53</v>
      </c>
      <c r="B986" s="131">
        <v>46160</v>
      </c>
      <c r="C986" s="141">
        <v>20</v>
      </c>
      <c r="D986" s="140" t="str">
        <f>IF(ISERROR(VLOOKUP(C986,'[1]خريطة الحسابات'!_xlnm.Print_Area,3,FALSE))," ",(VLOOKUP(C986,'[1]خريطة الحسابات'!_xlnm.Print_Area,3,FALSE)))</f>
        <v xml:space="preserve">الخزينة </v>
      </c>
      <c r="E986" s="132"/>
      <c r="F986" s="133"/>
      <c r="G986" s="133">
        <v>3375</v>
      </c>
      <c r="H986" s="134">
        <f t="shared" si="46"/>
        <v>0</v>
      </c>
      <c r="I986" s="134">
        <f t="shared" si="46"/>
        <v>3375</v>
      </c>
      <c r="J986" s="134">
        <f t="shared" si="45"/>
        <v>-3375</v>
      </c>
      <c r="K986" s="135"/>
      <c r="L986" s="136" t="str">
        <f t="shared" si="44"/>
        <v>دائن</v>
      </c>
      <c r="M986" s="137" t="str">
        <f>IF(ISERROR(VLOOKUP(C986,'[1]خريطة الحسابات'!_xlnm.Print_Area,4,FALSE))," ",(VLOOKUP(C986,'[1]خريطة الحسابات'!_xlnm.Print_Area,4,FALSE)))</f>
        <v xml:space="preserve">أصول متداوله -النقدية ومافي حكمها </v>
      </c>
      <c r="N986" s="138" t="str">
        <f>IF(ISERROR(VLOOKUP(C986,'[1]خريطة الحسابات'!_xlnm.Print_Area,5,FALSE))," ",(VLOOKUP(C986,'[1]خريطة الحسابات'!_xlnm.Print_Area,5,FALSE)))</f>
        <v>الاصول</v>
      </c>
      <c r="O986" s="139" t="s">
        <v>1743</v>
      </c>
      <c r="P986" s="139" t="s">
        <v>1664</v>
      </c>
    </row>
    <row r="987" spans="1:16">
      <c r="A987" s="104">
        <v>53</v>
      </c>
      <c r="B987" s="131">
        <v>46161</v>
      </c>
      <c r="C987" s="141">
        <v>20</v>
      </c>
      <c r="D987" s="140" t="str">
        <f>IF(ISERROR(VLOOKUP(C987,'[1]خريطة الحسابات'!_xlnm.Print_Area,3,FALSE))," ",(VLOOKUP(C987,'[1]خريطة الحسابات'!_xlnm.Print_Area,3,FALSE)))</f>
        <v xml:space="preserve">الخزينة </v>
      </c>
      <c r="E987" s="132"/>
      <c r="F987" s="133"/>
      <c r="G987" s="133">
        <v>300</v>
      </c>
      <c r="H987" s="134">
        <f t="shared" si="46"/>
        <v>0</v>
      </c>
      <c r="I987" s="134">
        <f t="shared" si="46"/>
        <v>300</v>
      </c>
      <c r="J987" s="134">
        <f t="shared" si="45"/>
        <v>-300</v>
      </c>
      <c r="K987" s="135"/>
      <c r="L987" s="136" t="str">
        <f t="shared" ref="L987:L1050" si="47">IF(J987&lt;0,"دائن",IF(J987&gt;0,"مدين",""))</f>
        <v>دائن</v>
      </c>
      <c r="M987" s="137" t="str">
        <f>IF(ISERROR(VLOOKUP(C987,'[1]خريطة الحسابات'!_xlnm.Print_Area,4,FALSE))," ",(VLOOKUP(C987,'[1]خريطة الحسابات'!_xlnm.Print_Area,4,FALSE)))</f>
        <v xml:space="preserve">أصول متداوله -النقدية ومافي حكمها </v>
      </c>
      <c r="N987" s="138" t="str">
        <f>IF(ISERROR(VLOOKUP(C987,'[1]خريطة الحسابات'!_xlnm.Print_Area,5,FALSE))," ",(VLOOKUP(C987,'[1]خريطة الحسابات'!_xlnm.Print_Area,5,FALSE)))</f>
        <v>الاصول</v>
      </c>
      <c r="O987" s="139" t="s">
        <v>1744</v>
      </c>
      <c r="P987" s="139" t="s">
        <v>1664</v>
      </c>
    </row>
    <row r="988" spans="1:16">
      <c r="A988" s="104">
        <v>53</v>
      </c>
      <c r="B988" s="131">
        <v>46161</v>
      </c>
      <c r="C988" s="141">
        <v>20</v>
      </c>
      <c r="D988" s="140" t="str">
        <f>IF(ISERROR(VLOOKUP(C988,'[1]خريطة الحسابات'!_xlnm.Print_Area,3,FALSE))," ",(VLOOKUP(C988,'[1]خريطة الحسابات'!_xlnm.Print_Area,3,FALSE)))</f>
        <v xml:space="preserve">الخزينة </v>
      </c>
      <c r="E988" s="132"/>
      <c r="F988" s="133"/>
      <c r="G988" s="133">
        <v>700</v>
      </c>
      <c r="H988" s="134">
        <f t="shared" si="46"/>
        <v>0</v>
      </c>
      <c r="I988" s="134">
        <f t="shared" si="46"/>
        <v>700</v>
      </c>
      <c r="J988" s="134">
        <f t="shared" si="45"/>
        <v>-700</v>
      </c>
      <c r="K988" s="135"/>
      <c r="L988" s="136" t="str">
        <f t="shared" si="47"/>
        <v>دائن</v>
      </c>
      <c r="M988" s="137" t="str">
        <f>IF(ISERROR(VLOOKUP(C988,'[1]خريطة الحسابات'!_xlnm.Print_Area,4,FALSE))," ",(VLOOKUP(C988,'[1]خريطة الحسابات'!_xlnm.Print_Area,4,FALSE)))</f>
        <v xml:space="preserve">أصول متداوله -النقدية ومافي حكمها </v>
      </c>
      <c r="N988" s="138" t="str">
        <f>IF(ISERROR(VLOOKUP(C988,'[1]خريطة الحسابات'!_xlnm.Print_Area,5,FALSE))," ",(VLOOKUP(C988,'[1]خريطة الحسابات'!_xlnm.Print_Area,5,FALSE)))</f>
        <v>الاصول</v>
      </c>
      <c r="O988" s="139" t="s">
        <v>1745</v>
      </c>
      <c r="P988" s="139" t="s">
        <v>1664</v>
      </c>
    </row>
    <row r="989" spans="1:16">
      <c r="A989" s="104">
        <v>53</v>
      </c>
      <c r="B989" s="131">
        <v>46161</v>
      </c>
      <c r="C989" s="141">
        <v>20</v>
      </c>
      <c r="D989" s="140" t="str">
        <f>IF(ISERROR(VLOOKUP(C989,'[1]خريطة الحسابات'!_xlnm.Print_Area,3,FALSE))," ",(VLOOKUP(C989,'[1]خريطة الحسابات'!_xlnm.Print_Area,3,FALSE)))</f>
        <v xml:space="preserve">الخزينة </v>
      </c>
      <c r="E989" s="132"/>
      <c r="F989" s="133"/>
      <c r="G989" s="133">
        <v>900</v>
      </c>
      <c r="H989" s="134">
        <f t="shared" si="46"/>
        <v>0</v>
      </c>
      <c r="I989" s="134">
        <f t="shared" si="46"/>
        <v>900</v>
      </c>
      <c r="J989" s="134">
        <f t="shared" si="45"/>
        <v>-900</v>
      </c>
      <c r="K989" s="135"/>
      <c r="L989" s="136" t="str">
        <f t="shared" si="47"/>
        <v>دائن</v>
      </c>
      <c r="M989" s="137" t="str">
        <f>IF(ISERROR(VLOOKUP(C989,'[1]خريطة الحسابات'!_xlnm.Print_Area,4,FALSE))," ",(VLOOKUP(C989,'[1]خريطة الحسابات'!_xlnm.Print_Area,4,FALSE)))</f>
        <v xml:space="preserve">أصول متداوله -النقدية ومافي حكمها </v>
      </c>
      <c r="N989" s="138" t="str">
        <f>IF(ISERROR(VLOOKUP(C989,'[1]خريطة الحسابات'!_xlnm.Print_Area,5,FALSE))," ",(VLOOKUP(C989,'[1]خريطة الحسابات'!_xlnm.Print_Area,5,FALSE)))</f>
        <v>الاصول</v>
      </c>
      <c r="O989" s="139" t="s">
        <v>1746</v>
      </c>
      <c r="P989" s="139" t="s">
        <v>1664</v>
      </c>
    </row>
    <row r="990" spans="1:16">
      <c r="A990" s="104">
        <v>53</v>
      </c>
      <c r="B990" s="131">
        <v>46163</v>
      </c>
      <c r="C990" s="141">
        <v>20</v>
      </c>
      <c r="D990" s="140" t="str">
        <f>IF(ISERROR(VLOOKUP(C990,'[1]خريطة الحسابات'!_xlnm.Print_Area,3,FALSE))," ",(VLOOKUP(C990,'[1]خريطة الحسابات'!_xlnm.Print_Area,3,FALSE)))</f>
        <v xml:space="preserve">الخزينة </v>
      </c>
      <c r="E990" s="132"/>
      <c r="F990" s="133"/>
      <c r="G990" s="133">
        <v>1500</v>
      </c>
      <c r="H990" s="134">
        <f t="shared" si="46"/>
        <v>0</v>
      </c>
      <c r="I990" s="134">
        <f t="shared" si="46"/>
        <v>1500</v>
      </c>
      <c r="J990" s="134">
        <f t="shared" si="45"/>
        <v>-1500</v>
      </c>
      <c r="K990" s="135"/>
      <c r="L990" s="136" t="str">
        <f t="shared" si="47"/>
        <v>دائن</v>
      </c>
      <c r="M990" s="137" t="str">
        <f>IF(ISERROR(VLOOKUP(C990,'[1]خريطة الحسابات'!_xlnm.Print_Area,4,FALSE))," ",(VLOOKUP(C990,'[1]خريطة الحسابات'!_xlnm.Print_Area,4,FALSE)))</f>
        <v xml:space="preserve">أصول متداوله -النقدية ومافي حكمها </v>
      </c>
      <c r="N990" s="138" t="str">
        <f>IF(ISERROR(VLOOKUP(C990,'[1]خريطة الحسابات'!_xlnm.Print_Area,5,FALSE))," ",(VLOOKUP(C990,'[1]خريطة الحسابات'!_xlnm.Print_Area,5,FALSE)))</f>
        <v>الاصول</v>
      </c>
      <c r="O990" s="139" t="s">
        <v>1747</v>
      </c>
      <c r="P990" s="139" t="s">
        <v>1664</v>
      </c>
    </row>
    <row r="991" spans="1:16">
      <c r="A991" s="104">
        <v>53</v>
      </c>
      <c r="B991" s="131">
        <v>46174</v>
      </c>
      <c r="C991" s="141">
        <v>20</v>
      </c>
      <c r="D991" s="140" t="str">
        <f>IF(ISERROR(VLOOKUP(C991,'[1]خريطة الحسابات'!_xlnm.Print_Area,3,FALSE))," ",(VLOOKUP(C991,'[1]خريطة الحسابات'!_xlnm.Print_Area,3,FALSE)))</f>
        <v xml:space="preserve">الخزينة </v>
      </c>
      <c r="E991" s="132"/>
      <c r="F991" s="133"/>
      <c r="G991" s="133">
        <v>1810</v>
      </c>
      <c r="H991" s="134">
        <f t="shared" si="46"/>
        <v>0</v>
      </c>
      <c r="I991" s="134">
        <f t="shared" si="46"/>
        <v>1810</v>
      </c>
      <c r="J991" s="134">
        <f t="shared" si="45"/>
        <v>-1810</v>
      </c>
      <c r="K991" s="135"/>
      <c r="L991" s="136" t="str">
        <f t="shared" si="47"/>
        <v>دائن</v>
      </c>
      <c r="M991" s="137" t="str">
        <f>IF(ISERROR(VLOOKUP(C991,'[1]خريطة الحسابات'!_xlnm.Print_Area,4,FALSE))," ",(VLOOKUP(C991,'[1]خريطة الحسابات'!_xlnm.Print_Area,4,FALSE)))</f>
        <v xml:space="preserve">أصول متداوله -النقدية ومافي حكمها </v>
      </c>
      <c r="N991" s="138" t="str">
        <f>IF(ISERROR(VLOOKUP(C991,'[1]خريطة الحسابات'!_xlnm.Print_Area,5,FALSE))," ",(VLOOKUP(C991,'[1]خريطة الحسابات'!_xlnm.Print_Area,5,FALSE)))</f>
        <v>الاصول</v>
      </c>
      <c r="O991" s="139" t="s">
        <v>1748</v>
      </c>
      <c r="P991" s="139" t="s">
        <v>1664</v>
      </c>
    </row>
    <row r="992" spans="1:16">
      <c r="A992" s="104">
        <v>53</v>
      </c>
      <c r="B992" s="131">
        <v>46174</v>
      </c>
      <c r="C992" s="141">
        <v>20</v>
      </c>
      <c r="D992" s="140" t="str">
        <f>IF(ISERROR(VLOOKUP(C992,'[1]خريطة الحسابات'!_xlnm.Print_Area,3,FALSE))," ",(VLOOKUP(C992,'[1]خريطة الحسابات'!_xlnm.Print_Area,3,FALSE)))</f>
        <v xml:space="preserve">الخزينة </v>
      </c>
      <c r="E992" s="132"/>
      <c r="F992" s="133"/>
      <c r="G992" s="133">
        <v>20</v>
      </c>
      <c r="H992" s="134">
        <f t="shared" si="46"/>
        <v>0</v>
      </c>
      <c r="I992" s="134">
        <f t="shared" si="46"/>
        <v>20</v>
      </c>
      <c r="J992" s="134">
        <f t="shared" si="45"/>
        <v>-20</v>
      </c>
      <c r="K992" s="135"/>
      <c r="L992" s="136" t="str">
        <f t="shared" si="47"/>
        <v>دائن</v>
      </c>
      <c r="M992" s="137" t="str">
        <f>IF(ISERROR(VLOOKUP(C992,'[1]خريطة الحسابات'!_xlnm.Print_Area,4,FALSE))," ",(VLOOKUP(C992,'[1]خريطة الحسابات'!_xlnm.Print_Area,4,FALSE)))</f>
        <v xml:space="preserve">أصول متداوله -النقدية ومافي حكمها </v>
      </c>
      <c r="N992" s="138" t="str">
        <f>IF(ISERROR(VLOOKUP(C992,'[1]خريطة الحسابات'!_xlnm.Print_Area,5,FALSE))," ",(VLOOKUP(C992,'[1]خريطة الحسابات'!_xlnm.Print_Area,5,FALSE)))</f>
        <v>الاصول</v>
      </c>
      <c r="O992" s="139" t="s">
        <v>1749</v>
      </c>
      <c r="P992" s="139" t="s">
        <v>1664</v>
      </c>
    </row>
    <row r="993" spans="1:16">
      <c r="A993" s="104">
        <v>53</v>
      </c>
      <c r="B993" s="131">
        <v>46174</v>
      </c>
      <c r="C993" s="141">
        <v>20</v>
      </c>
      <c r="D993" s="140" t="str">
        <f>IF(ISERROR(VLOOKUP(C993,'[1]خريطة الحسابات'!_xlnm.Print_Area,3,FALSE))," ",(VLOOKUP(C993,'[1]خريطة الحسابات'!_xlnm.Print_Area,3,FALSE)))</f>
        <v xml:space="preserve">الخزينة </v>
      </c>
      <c r="E993" s="132"/>
      <c r="F993" s="133"/>
      <c r="G993" s="133">
        <v>100</v>
      </c>
      <c r="H993" s="134">
        <f t="shared" si="46"/>
        <v>0</v>
      </c>
      <c r="I993" s="134">
        <f t="shared" si="46"/>
        <v>100</v>
      </c>
      <c r="J993" s="134">
        <f t="shared" si="45"/>
        <v>-100</v>
      </c>
      <c r="K993" s="135"/>
      <c r="L993" s="136" t="str">
        <f t="shared" si="47"/>
        <v>دائن</v>
      </c>
      <c r="M993" s="137" t="str">
        <f>IF(ISERROR(VLOOKUP(C993,'[1]خريطة الحسابات'!_xlnm.Print_Area,4,FALSE))," ",(VLOOKUP(C993,'[1]خريطة الحسابات'!_xlnm.Print_Area,4,FALSE)))</f>
        <v xml:space="preserve">أصول متداوله -النقدية ومافي حكمها </v>
      </c>
      <c r="N993" s="138" t="str">
        <f>IF(ISERROR(VLOOKUP(C993,'[1]خريطة الحسابات'!_xlnm.Print_Area,5,FALSE))," ",(VLOOKUP(C993,'[1]خريطة الحسابات'!_xlnm.Print_Area,5,FALSE)))</f>
        <v>الاصول</v>
      </c>
      <c r="O993" s="139" t="s">
        <v>1750</v>
      </c>
      <c r="P993" s="139" t="s">
        <v>1664</v>
      </c>
    </row>
    <row r="994" spans="1:16">
      <c r="A994" s="104">
        <v>53</v>
      </c>
      <c r="B994" s="131">
        <v>46176</v>
      </c>
      <c r="C994" s="141">
        <v>20</v>
      </c>
      <c r="D994" s="140" t="str">
        <f>IF(ISERROR(VLOOKUP(C994,'[1]خريطة الحسابات'!_xlnm.Print_Area,3,FALSE))," ",(VLOOKUP(C994,'[1]خريطة الحسابات'!_xlnm.Print_Area,3,FALSE)))</f>
        <v xml:space="preserve">الخزينة </v>
      </c>
      <c r="E994" s="132"/>
      <c r="F994" s="133"/>
      <c r="G994" s="133">
        <v>2500</v>
      </c>
      <c r="H994" s="134">
        <f t="shared" si="46"/>
        <v>0</v>
      </c>
      <c r="I994" s="134">
        <f t="shared" si="46"/>
        <v>2500</v>
      </c>
      <c r="J994" s="134">
        <f t="shared" si="45"/>
        <v>-2500</v>
      </c>
      <c r="K994" s="135"/>
      <c r="L994" s="136" t="str">
        <f t="shared" si="47"/>
        <v>دائن</v>
      </c>
      <c r="M994" s="137" t="str">
        <f>IF(ISERROR(VLOOKUP(C994,'[1]خريطة الحسابات'!_xlnm.Print_Area,4,FALSE))," ",(VLOOKUP(C994,'[1]خريطة الحسابات'!_xlnm.Print_Area,4,FALSE)))</f>
        <v xml:space="preserve">أصول متداوله -النقدية ومافي حكمها </v>
      </c>
      <c r="N994" s="138" t="str">
        <f>IF(ISERROR(VLOOKUP(C994,'[1]خريطة الحسابات'!_xlnm.Print_Area,5,FALSE))," ",(VLOOKUP(C994,'[1]خريطة الحسابات'!_xlnm.Print_Area,5,FALSE)))</f>
        <v>الاصول</v>
      </c>
      <c r="O994" s="139" t="s">
        <v>1751</v>
      </c>
      <c r="P994" s="139" t="s">
        <v>1664</v>
      </c>
    </row>
    <row r="995" spans="1:16">
      <c r="A995" s="104">
        <v>53</v>
      </c>
      <c r="B995" s="131">
        <v>46179</v>
      </c>
      <c r="C995" s="141">
        <v>20</v>
      </c>
      <c r="D995" s="140" t="str">
        <f>IF(ISERROR(VLOOKUP(C995,'[1]خريطة الحسابات'!_xlnm.Print_Area,3,FALSE))," ",(VLOOKUP(C995,'[1]خريطة الحسابات'!_xlnm.Print_Area,3,FALSE)))</f>
        <v xml:space="preserve">الخزينة </v>
      </c>
      <c r="E995" s="132"/>
      <c r="F995" s="133"/>
      <c r="G995" s="133">
        <v>250</v>
      </c>
      <c r="H995" s="134">
        <f t="shared" si="46"/>
        <v>0</v>
      </c>
      <c r="I995" s="134">
        <f t="shared" si="46"/>
        <v>250</v>
      </c>
      <c r="J995" s="134">
        <f t="shared" si="45"/>
        <v>-250</v>
      </c>
      <c r="K995" s="135"/>
      <c r="L995" s="136" t="str">
        <f t="shared" si="47"/>
        <v>دائن</v>
      </c>
      <c r="M995" s="137" t="str">
        <f>IF(ISERROR(VLOOKUP(C995,'[1]خريطة الحسابات'!_xlnm.Print_Area,4,FALSE))," ",(VLOOKUP(C995,'[1]خريطة الحسابات'!_xlnm.Print_Area,4,FALSE)))</f>
        <v xml:space="preserve">أصول متداوله -النقدية ومافي حكمها </v>
      </c>
      <c r="N995" s="138" t="str">
        <f>IF(ISERROR(VLOOKUP(C995,'[1]خريطة الحسابات'!_xlnm.Print_Area,5,FALSE))," ",(VLOOKUP(C995,'[1]خريطة الحسابات'!_xlnm.Print_Area,5,FALSE)))</f>
        <v>الاصول</v>
      </c>
      <c r="O995" s="139" t="s">
        <v>1752</v>
      </c>
      <c r="P995" s="139" t="s">
        <v>1664</v>
      </c>
    </row>
    <row r="996" spans="1:16">
      <c r="A996" s="104">
        <v>53</v>
      </c>
      <c r="B996" s="131">
        <v>46179</v>
      </c>
      <c r="C996" s="141">
        <v>20</v>
      </c>
      <c r="D996" s="140" t="str">
        <f>IF(ISERROR(VLOOKUP(C996,'[1]خريطة الحسابات'!_xlnm.Print_Area,3,FALSE))," ",(VLOOKUP(C996,'[1]خريطة الحسابات'!_xlnm.Print_Area,3,FALSE)))</f>
        <v xml:space="preserve">الخزينة </v>
      </c>
      <c r="E996" s="132"/>
      <c r="F996" s="133"/>
      <c r="G996" s="133">
        <v>150</v>
      </c>
      <c r="H996" s="134">
        <f t="shared" si="46"/>
        <v>0</v>
      </c>
      <c r="I996" s="134">
        <f t="shared" si="46"/>
        <v>150</v>
      </c>
      <c r="J996" s="134">
        <f t="shared" si="45"/>
        <v>-150</v>
      </c>
      <c r="K996" s="135"/>
      <c r="L996" s="136" t="str">
        <f t="shared" si="47"/>
        <v>دائن</v>
      </c>
      <c r="M996" s="137" t="str">
        <f>IF(ISERROR(VLOOKUP(C996,'[1]خريطة الحسابات'!_xlnm.Print_Area,4,FALSE))," ",(VLOOKUP(C996,'[1]خريطة الحسابات'!_xlnm.Print_Area,4,FALSE)))</f>
        <v xml:space="preserve">أصول متداوله -النقدية ومافي حكمها </v>
      </c>
      <c r="N996" s="138" t="str">
        <f>IF(ISERROR(VLOOKUP(C996,'[1]خريطة الحسابات'!_xlnm.Print_Area,5,FALSE))," ",(VLOOKUP(C996,'[1]خريطة الحسابات'!_xlnm.Print_Area,5,FALSE)))</f>
        <v>الاصول</v>
      </c>
      <c r="O996" s="139" t="s">
        <v>1753</v>
      </c>
      <c r="P996" s="139" t="s">
        <v>1664</v>
      </c>
    </row>
    <row r="997" spans="1:16">
      <c r="A997" s="104">
        <v>53</v>
      </c>
      <c r="B997" s="131">
        <v>46181</v>
      </c>
      <c r="C997" s="141">
        <v>20</v>
      </c>
      <c r="D997" s="140" t="str">
        <f>IF(ISERROR(VLOOKUP(C997,'[1]خريطة الحسابات'!_xlnm.Print_Area,3,FALSE))," ",(VLOOKUP(C997,'[1]خريطة الحسابات'!_xlnm.Print_Area,3,FALSE)))</f>
        <v xml:space="preserve">الخزينة </v>
      </c>
      <c r="E997" s="132"/>
      <c r="F997" s="133"/>
      <c r="G997" s="133">
        <v>2650</v>
      </c>
      <c r="H997" s="134">
        <f t="shared" si="46"/>
        <v>0</v>
      </c>
      <c r="I997" s="134">
        <f t="shared" si="46"/>
        <v>2650</v>
      </c>
      <c r="J997" s="134">
        <f t="shared" si="45"/>
        <v>-2650</v>
      </c>
      <c r="K997" s="135"/>
      <c r="L997" s="136" t="str">
        <f t="shared" si="47"/>
        <v>دائن</v>
      </c>
      <c r="M997" s="137" t="str">
        <f>IF(ISERROR(VLOOKUP(C997,'[1]خريطة الحسابات'!_xlnm.Print_Area,4,FALSE))," ",(VLOOKUP(C997,'[1]خريطة الحسابات'!_xlnm.Print_Area,4,FALSE)))</f>
        <v xml:space="preserve">أصول متداوله -النقدية ومافي حكمها </v>
      </c>
      <c r="N997" s="138" t="str">
        <f>IF(ISERROR(VLOOKUP(C997,'[1]خريطة الحسابات'!_xlnm.Print_Area,5,FALSE))," ",(VLOOKUP(C997,'[1]خريطة الحسابات'!_xlnm.Print_Area,5,FALSE)))</f>
        <v>الاصول</v>
      </c>
      <c r="O997" s="139" t="s">
        <v>1754</v>
      </c>
      <c r="P997" s="139" t="s">
        <v>1664</v>
      </c>
    </row>
    <row r="998" spans="1:16">
      <c r="A998" s="104">
        <v>53</v>
      </c>
      <c r="B998" s="131">
        <v>46182</v>
      </c>
      <c r="C998" s="141">
        <v>20</v>
      </c>
      <c r="D998" s="140" t="str">
        <f>IF(ISERROR(VLOOKUP(C998,'[1]خريطة الحسابات'!_xlnm.Print_Area,3,FALSE))," ",(VLOOKUP(C998,'[1]خريطة الحسابات'!_xlnm.Print_Area,3,FALSE)))</f>
        <v xml:space="preserve">الخزينة </v>
      </c>
      <c r="E998" s="132"/>
      <c r="F998" s="133"/>
      <c r="G998" s="133">
        <v>1600</v>
      </c>
      <c r="H998" s="134">
        <f t="shared" si="46"/>
        <v>0</v>
      </c>
      <c r="I998" s="134">
        <f t="shared" si="46"/>
        <v>1600</v>
      </c>
      <c r="J998" s="134">
        <f t="shared" si="45"/>
        <v>-1600</v>
      </c>
      <c r="K998" s="135"/>
      <c r="L998" s="136" t="str">
        <f t="shared" si="47"/>
        <v>دائن</v>
      </c>
      <c r="M998" s="137" t="str">
        <f>IF(ISERROR(VLOOKUP(C998,'[1]خريطة الحسابات'!_xlnm.Print_Area,4,FALSE))," ",(VLOOKUP(C998,'[1]خريطة الحسابات'!_xlnm.Print_Area,4,FALSE)))</f>
        <v xml:space="preserve">أصول متداوله -النقدية ومافي حكمها </v>
      </c>
      <c r="N998" s="138" t="str">
        <f>IF(ISERROR(VLOOKUP(C998,'[1]خريطة الحسابات'!_xlnm.Print_Area,5,FALSE))," ",(VLOOKUP(C998,'[1]خريطة الحسابات'!_xlnm.Print_Area,5,FALSE)))</f>
        <v>الاصول</v>
      </c>
      <c r="O998" s="139" t="s">
        <v>1755</v>
      </c>
      <c r="P998" s="139" t="s">
        <v>1664</v>
      </c>
    </row>
    <row r="999" spans="1:16">
      <c r="A999" s="104">
        <v>53</v>
      </c>
      <c r="B999" s="131">
        <v>46184</v>
      </c>
      <c r="C999" s="141">
        <v>20</v>
      </c>
      <c r="D999" s="140" t="str">
        <f>IF(ISERROR(VLOOKUP(C999,'[1]خريطة الحسابات'!_xlnm.Print_Area,3,FALSE))," ",(VLOOKUP(C999,'[1]خريطة الحسابات'!_xlnm.Print_Area,3,FALSE)))</f>
        <v xml:space="preserve">الخزينة </v>
      </c>
      <c r="E999" s="132"/>
      <c r="F999" s="133"/>
      <c r="G999" s="133">
        <v>70</v>
      </c>
      <c r="H999" s="134">
        <f t="shared" si="46"/>
        <v>0</v>
      </c>
      <c r="I999" s="134">
        <f t="shared" si="46"/>
        <v>70</v>
      </c>
      <c r="J999" s="134">
        <f t="shared" si="45"/>
        <v>-70</v>
      </c>
      <c r="K999" s="135"/>
      <c r="L999" s="136" t="str">
        <f t="shared" si="47"/>
        <v>دائن</v>
      </c>
      <c r="M999" s="137" t="str">
        <f>IF(ISERROR(VLOOKUP(C999,'[1]خريطة الحسابات'!_xlnm.Print_Area,4,FALSE))," ",(VLOOKUP(C999,'[1]خريطة الحسابات'!_xlnm.Print_Area,4,FALSE)))</f>
        <v xml:space="preserve">أصول متداوله -النقدية ومافي حكمها </v>
      </c>
      <c r="N999" s="138" t="str">
        <f>IF(ISERROR(VLOOKUP(C999,'[1]خريطة الحسابات'!_xlnm.Print_Area,5,FALSE))," ",(VLOOKUP(C999,'[1]خريطة الحسابات'!_xlnm.Print_Area,5,FALSE)))</f>
        <v>الاصول</v>
      </c>
      <c r="O999" s="139" t="s">
        <v>1756</v>
      </c>
      <c r="P999" s="139" t="s">
        <v>1664</v>
      </c>
    </row>
    <row r="1000" spans="1:16">
      <c r="A1000" s="104">
        <v>53</v>
      </c>
      <c r="B1000" s="131">
        <v>46186</v>
      </c>
      <c r="C1000" s="141">
        <v>20</v>
      </c>
      <c r="D1000" s="140" t="str">
        <f>IF(ISERROR(VLOOKUP(C1000,'[1]خريطة الحسابات'!_xlnm.Print_Area,3,FALSE))," ",(VLOOKUP(C1000,'[1]خريطة الحسابات'!_xlnm.Print_Area,3,FALSE)))</f>
        <v xml:space="preserve">الخزينة </v>
      </c>
      <c r="E1000" s="132"/>
      <c r="F1000" s="133"/>
      <c r="G1000" s="133">
        <v>10000</v>
      </c>
      <c r="H1000" s="134">
        <f t="shared" si="46"/>
        <v>0</v>
      </c>
      <c r="I1000" s="134">
        <f t="shared" si="46"/>
        <v>10000</v>
      </c>
      <c r="J1000" s="134">
        <f t="shared" si="45"/>
        <v>-10000</v>
      </c>
      <c r="K1000" s="135"/>
      <c r="L1000" s="136" t="str">
        <f t="shared" si="47"/>
        <v>دائن</v>
      </c>
      <c r="M1000" s="137" t="str">
        <f>IF(ISERROR(VLOOKUP(C1000,'[1]خريطة الحسابات'!_xlnm.Print_Area,4,FALSE))," ",(VLOOKUP(C1000,'[1]خريطة الحسابات'!_xlnm.Print_Area,4,FALSE)))</f>
        <v xml:space="preserve">أصول متداوله -النقدية ومافي حكمها </v>
      </c>
      <c r="N1000" s="138" t="str">
        <f>IF(ISERROR(VLOOKUP(C1000,'[1]خريطة الحسابات'!_xlnm.Print_Area,5,FALSE))," ",(VLOOKUP(C1000,'[1]خريطة الحسابات'!_xlnm.Print_Area,5,FALSE)))</f>
        <v>الاصول</v>
      </c>
      <c r="O1000" s="139" t="s">
        <v>1757</v>
      </c>
      <c r="P1000" s="139" t="s">
        <v>1664</v>
      </c>
    </row>
    <row r="1001" spans="1:16">
      <c r="A1001" s="104">
        <v>54</v>
      </c>
      <c r="B1001" s="131">
        <v>46028</v>
      </c>
      <c r="C1001" s="141" t="s">
        <v>33</v>
      </c>
      <c r="D1001" s="140" t="str">
        <f>IF(ISERROR(VLOOKUP(C1001,'[1]خريطة الحسابات'!_xlnm.Print_Area,3,FALSE))," ",(VLOOKUP(C1001,'[1]خريطة الحسابات'!_xlnm.Print_Area,3,FALSE)))</f>
        <v>مرتبات</v>
      </c>
      <c r="E1001" s="132"/>
      <c r="F1001" s="133">
        <v>1000</v>
      </c>
      <c r="G1001" s="133"/>
      <c r="H1001" s="134">
        <f t="shared" si="46"/>
        <v>1000</v>
      </c>
      <c r="I1001" s="134">
        <f t="shared" si="46"/>
        <v>0</v>
      </c>
      <c r="J1001" s="134">
        <f t="shared" si="45"/>
        <v>1000</v>
      </c>
      <c r="K1001" s="135"/>
      <c r="L1001" s="136" t="str">
        <f t="shared" si="47"/>
        <v>مدين</v>
      </c>
      <c r="M1001" s="137" t="str">
        <f>IF(ISERROR(VLOOKUP(C1001,'[1]خريطة الحسابات'!_xlnm.Print_Area,4,FALSE))," ",(VLOOKUP(C1001,'[1]خريطة الحسابات'!_xlnm.Print_Area,4,FALSE)))</f>
        <v xml:space="preserve">تكاليف ادارية وعمومية </v>
      </c>
      <c r="N1001" s="138" t="str">
        <f>IF(ISERROR(VLOOKUP(C1001,'[1]خريطة الحسابات'!_xlnm.Print_Area,5,FALSE))," ",(VLOOKUP(C1001,'[1]خريطة الحسابات'!_xlnm.Print_Area,5,FALSE)))</f>
        <v xml:space="preserve">مصروفات </v>
      </c>
      <c r="O1001" s="139" t="s">
        <v>1758</v>
      </c>
      <c r="P1001" s="139" t="s">
        <v>1759</v>
      </c>
    </row>
    <row r="1002" spans="1:16">
      <c r="A1002" s="104">
        <v>54</v>
      </c>
      <c r="B1002" s="131">
        <v>46029</v>
      </c>
      <c r="C1002" s="141" t="s">
        <v>33</v>
      </c>
      <c r="D1002" s="140" t="str">
        <f>IF(ISERROR(VLOOKUP(C1002,'[1]خريطة الحسابات'!_xlnm.Print_Area,3,FALSE))," ",(VLOOKUP(C1002,'[1]خريطة الحسابات'!_xlnm.Print_Area,3,FALSE)))</f>
        <v>مرتبات</v>
      </c>
      <c r="E1002" s="132"/>
      <c r="F1002" s="133">
        <v>8008</v>
      </c>
      <c r="G1002" s="133"/>
      <c r="H1002" s="134">
        <f t="shared" si="46"/>
        <v>8008</v>
      </c>
      <c r="I1002" s="134">
        <f t="shared" si="46"/>
        <v>0</v>
      </c>
      <c r="J1002" s="134">
        <f t="shared" si="45"/>
        <v>8008</v>
      </c>
      <c r="K1002" s="135"/>
      <c r="L1002" s="136" t="str">
        <f t="shared" si="47"/>
        <v>مدين</v>
      </c>
      <c r="M1002" s="137" t="str">
        <f>IF(ISERROR(VLOOKUP(C1002,'[1]خريطة الحسابات'!_xlnm.Print_Area,4,FALSE))," ",(VLOOKUP(C1002,'[1]خريطة الحسابات'!_xlnm.Print_Area,4,FALSE)))</f>
        <v xml:space="preserve">تكاليف ادارية وعمومية </v>
      </c>
      <c r="N1002" s="138" t="str">
        <f>IF(ISERROR(VLOOKUP(C1002,'[1]خريطة الحسابات'!_xlnm.Print_Area,5,FALSE))," ",(VLOOKUP(C1002,'[1]خريطة الحسابات'!_xlnm.Print_Area,5,FALSE)))</f>
        <v xml:space="preserve">مصروفات </v>
      </c>
      <c r="O1002" s="139" t="s">
        <v>1760</v>
      </c>
      <c r="P1002" s="139" t="s">
        <v>1759</v>
      </c>
    </row>
    <row r="1003" spans="1:16">
      <c r="A1003" s="104">
        <v>54</v>
      </c>
      <c r="B1003" s="131">
        <v>46030</v>
      </c>
      <c r="C1003" s="141" t="s">
        <v>33</v>
      </c>
      <c r="D1003" s="140" t="str">
        <f>IF(ISERROR(VLOOKUP(C1003,'[1]خريطة الحسابات'!_xlnm.Print_Area,3,FALSE))," ",(VLOOKUP(C1003,'[1]خريطة الحسابات'!_xlnm.Print_Area,3,FALSE)))</f>
        <v>مرتبات</v>
      </c>
      <c r="E1003" s="132"/>
      <c r="F1003" s="133">
        <v>1000</v>
      </c>
      <c r="G1003" s="133"/>
      <c r="H1003" s="134">
        <f t="shared" si="46"/>
        <v>1000</v>
      </c>
      <c r="I1003" s="134">
        <f t="shared" si="46"/>
        <v>0</v>
      </c>
      <c r="J1003" s="134">
        <f t="shared" si="45"/>
        <v>1000</v>
      </c>
      <c r="K1003" s="135"/>
      <c r="L1003" s="136" t="str">
        <f t="shared" si="47"/>
        <v>مدين</v>
      </c>
      <c r="M1003" s="137" t="str">
        <f>IF(ISERROR(VLOOKUP(C1003,'[1]خريطة الحسابات'!_xlnm.Print_Area,4,FALSE))," ",(VLOOKUP(C1003,'[1]خريطة الحسابات'!_xlnm.Print_Area,4,FALSE)))</f>
        <v xml:space="preserve">تكاليف ادارية وعمومية </v>
      </c>
      <c r="N1003" s="138" t="str">
        <f>IF(ISERROR(VLOOKUP(C1003,'[1]خريطة الحسابات'!_xlnm.Print_Area,5,FALSE))," ",(VLOOKUP(C1003,'[1]خريطة الحسابات'!_xlnm.Print_Area,5,FALSE)))</f>
        <v xml:space="preserve">مصروفات </v>
      </c>
      <c r="O1003" s="139" t="s">
        <v>1761</v>
      </c>
      <c r="P1003" s="139" t="s">
        <v>1759</v>
      </c>
    </row>
    <row r="1004" spans="1:16">
      <c r="A1004" s="104">
        <v>54</v>
      </c>
      <c r="B1004" s="131">
        <v>46042</v>
      </c>
      <c r="C1004" s="141" t="s">
        <v>33</v>
      </c>
      <c r="D1004" s="140" t="str">
        <f>IF(ISERROR(VLOOKUP(C1004,'[1]خريطة الحسابات'!_xlnm.Print_Area,3,FALSE))," ",(VLOOKUP(C1004,'[1]خريطة الحسابات'!_xlnm.Print_Area,3,FALSE)))</f>
        <v>مرتبات</v>
      </c>
      <c r="E1004" s="132"/>
      <c r="F1004" s="133">
        <v>7007</v>
      </c>
      <c r="G1004" s="133"/>
      <c r="H1004" s="134">
        <f t="shared" si="46"/>
        <v>7007</v>
      </c>
      <c r="I1004" s="134">
        <f t="shared" si="46"/>
        <v>0</v>
      </c>
      <c r="J1004" s="134">
        <f t="shared" si="45"/>
        <v>7007</v>
      </c>
      <c r="K1004" s="135"/>
      <c r="L1004" s="136" t="str">
        <f t="shared" si="47"/>
        <v>مدين</v>
      </c>
      <c r="M1004" s="137" t="str">
        <f>IF(ISERROR(VLOOKUP(C1004,'[1]خريطة الحسابات'!_xlnm.Print_Area,4,FALSE))," ",(VLOOKUP(C1004,'[1]خريطة الحسابات'!_xlnm.Print_Area,4,FALSE)))</f>
        <v xml:space="preserve">تكاليف ادارية وعمومية </v>
      </c>
      <c r="N1004" s="138" t="str">
        <f>IF(ISERROR(VLOOKUP(C1004,'[1]خريطة الحسابات'!_xlnm.Print_Area,5,FALSE))," ",(VLOOKUP(C1004,'[1]خريطة الحسابات'!_xlnm.Print_Area,5,FALSE)))</f>
        <v xml:space="preserve">مصروفات </v>
      </c>
      <c r="O1004" s="139" t="s">
        <v>1762</v>
      </c>
      <c r="P1004" s="139" t="s">
        <v>1759</v>
      </c>
    </row>
    <row r="1005" spans="1:16">
      <c r="A1005" s="104">
        <v>54</v>
      </c>
      <c r="B1005" s="131">
        <v>46042</v>
      </c>
      <c r="C1005" s="141" t="s">
        <v>33</v>
      </c>
      <c r="D1005" s="140" t="str">
        <f>IF(ISERROR(VLOOKUP(C1005,'[1]خريطة الحسابات'!_xlnm.Print_Area,3,FALSE))," ",(VLOOKUP(C1005,'[1]خريطة الحسابات'!_xlnm.Print_Area,3,FALSE)))</f>
        <v>مرتبات</v>
      </c>
      <c r="E1005" s="132"/>
      <c r="F1005" s="133">
        <v>16016</v>
      </c>
      <c r="G1005" s="133"/>
      <c r="H1005" s="134">
        <f t="shared" si="46"/>
        <v>16016</v>
      </c>
      <c r="I1005" s="134">
        <f t="shared" si="46"/>
        <v>0</v>
      </c>
      <c r="J1005" s="134">
        <f t="shared" si="45"/>
        <v>16016</v>
      </c>
      <c r="K1005" s="135"/>
      <c r="L1005" s="136" t="str">
        <f t="shared" si="47"/>
        <v>مدين</v>
      </c>
      <c r="M1005" s="137" t="str">
        <f>IF(ISERROR(VLOOKUP(C1005,'[1]خريطة الحسابات'!_xlnm.Print_Area,4,FALSE))," ",(VLOOKUP(C1005,'[1]خريطة الحسابات'!_xlnm.Print_Area,4,FALSE)))</f>
        <v xml:space="preserve">تكاليف ادارية وعمومية </v>
      </c>
      <c r="N1005" s="138" t="str">
        <f>IF(ISERROR(VLOOKUP(C1005,'[1]خريطة الحسابات'!_xlnm.Print_Area,5,FALSE))," ",(VLOOKUP(C1005,'[1]خريطة الحسابات'!_xlnm.Print_Area,5,FALSE)))</f>
        <v xml:space="preserve">مصروفات </v>
      </c>
      <c r="O1005" s="139" t="s">
        <v>1763</v>
      </c>
      <c r="P1005" s="139" t="s">
        <v>1759</v>
      </c>
    </row>
    <row r="1006" spans="1:16">
      <c r="A1006" s="104">
        <v>54</v>
      </c>
      <c r="B1006" s="131">
        <v>46049</v>
      </c>
      <c r="C1006" s="141" t="s">
        <v>33</v>
      </c>
      <c r="D1006" s="140" t="str">
        <f>IF(ISERROR(VLOOKUP(C1006,'[1]خريطة الحسابات'!_xlnm.Print_Area,3,FALSE))," ",(VLOOKUP(C1006,'[1]خريطة الحسابات'!_xlnm.Print_Area,3,FALSE)))</f>
        <v>مرتبات</v>
      </c>
      <c r="E1006" s="132"/>
      <c r="F1006" s="133">
        <v>2000</v>
      </c>
      <c r="G1006" s="133"/>
      <c r="H1006" s="134">
        <f t="shared" si="46"/>
        <v>2000</v>
      </c>
      <c r="I1006" s="134">
        <f t="shared" si="46"/>
        <v>0</v>
      </c>
      <c r="J1006" s="134">
        <f t="shared" si="45"/>
        <v>2000</v>
      </c>
      <c r="K1006" s="135"/>
      <c r="L1006" s="136" t="str">
        <f t="shared" si="47"/>
        <v>مدين</v>
      </c>
      <c r="M1006" s="137" t="str">
        <f>IF(ISERROR(VLOOKUP(C1006,'[1]خريطة الحسابات'!_xlnm.Print_Area,4,FALSE))," ",(VLOOKUP(C1006,'[1]خريطة الحسابات'!_xlnm.Print_Area,4,FALSE)))</f>
        <v xml:space="preserve">تكاليف ادارية وعمومية </v>
      </c>
      <c r="N1006" s="138" t="str">
        <f>IF(ISERROR(VLOOKUP(C1006,'[1]خريطة الحسابات'!_xlnm.Print_Area,5,FALSE))," ",(VLOOKUP(C1006,'[1]خريطة الحسابات'!_xlnm.Print_Area,5,FALSE)))</f>
        <v xml:space="preserve">مصروفات </v>
      </c>
      <c r="O1006" s="139" t="s">
        <v>1764</v>
      </c>
      <c r="P1006" s="139" t="s">
        <v>1759</v>
      </c>
    </row>
    <row r="1007" spans="1:16">
      <c r="A1007" s="104">
        <v>54</v>
      </c>
      <c r="B1007" s="131">
        <v>46049</v>
      </c>
      <c r="C1007" s="141" t="s">
        <v>33</v>
      </c>
      <c r="D1007" s="140" t="str">
        <f>IF(ISERROR(VLOOKUP(C1007,'[1]خريطة الحسابات'!_xlnm.Print_Area,3,FALSE))," ",(VLOOKUP(C1007,'[1]خريطة الحسابات'!_xlnm.Print_Area,3,FALSE)))</f>
        <v>مرتبات</v>
      </c>
      <c r="E1007" s="132"/>
      <c r="F1007" s="133">
        <v>3000</v>
      </c>
      <c r="G1007" s="133"/>
      <c r="H1007" s="134">
        <f t="shared" si="46"/>
        <v>3000</v>
      </c>
      <c r="I1007" s="134">
        <f t="shared" si="46"/>
        <v>0</v>
      </c>
      <c r="J1007" s="134">
        <f t="shared" si="45"/>
        <v>3000</v>
      </c>
      <c r="K1007" s="135"/>
      <c r="L1007" s="136" t="str">
        <f t="shared" si="47"/>
        <v>مدين</v>
      </c>
      <c r="M1007" s="137" t="str">
        <f>IF(ISERROR(VLOOKUP(C1007,'[1]خريطة الحسابات'!_xlnm.Print_Area,4,FALSE))," ",(VLOOKUP(C1007,'[1]خريطة الحسابات'!_xlnm.Print_Area,4,FALSE)))</f>
        <v xml:space="preserve">تكاليف ادارية وعمومية </v>
      </c>
      <c r="N1007" s="138" t="str">
        <f>IF(ISERROR(VLOOKUP(C1007,'[1]خريطة الحسابات'!_xlnm.Print_Area,5,FALSE))," ",(VLOOKUP(C1007,'[1]خريطة الحسابات'!_xlnm.Print_Area,5,FALSE)))</f>
        <v xml:space="preserve">مصروفات </v>
      </c>
      <c r="O1007" s="139" t="s">
        <v>1765</v>
      </c>
      <c r="P1007" s="139" t="s">
        <v>1759</v>
      </c>
    </row>
    <row r="1008" spans="1:16">
      <c r="A1008" s="104">
        <v>54</v>
      </c>
      <c r="B1008" s="131">
        <v>46053</v>
      </c>
      <c r="C1008" s="141" t="s">
        <v>33</v>
      </c>
      <c r="D1008" s="140" t="str">
        <f>IF(ISERROR(VLOOKUP(C1008,'[1]خريطة الحسابات'!_xlnm.Print_Area,3,FALSE))," ",(VLOOKUP(C1008,'[1]خريطة الحسابات'!_xlnm.Print_Area,3,FALSE)))</f>
        <v>مرتبات</v>
      </c>
      <c r="E1008" s="132"/>
      <c r="F1008" s="133">
        <v>300</v>
      </c>
      <c r="G1008" s="133"/>
      <c r="H1008" s="134">
        <f t="shared" si="46"/>
        <v>300</v>
      </c>
      <c r="I1008" s="134">
        <f t="shared" si="46"/>
        <v>0</v>
      </c>
      <c r="J1008" s="134">
        <f t="shared" si="45"/>
        <v>300</v>
      </c>
      <c r="K1008" s="135"/>
      <c r="L1008" s="136" t="str">
        <f t="shared" si="47"/>
        <v>مدين</v>
      </c>
      <c r="M1008" s="137" t="str">
        <f>IF(ISERROR(VLOOKUP(C1008,'[1]خريطة الحسابات'!_xlnm.Print_Area,4,FALSE))," ",(VLOOKUP(C1008,'[1]خريطة الحسابات'!_xlnm.Print_Area,4,FALSE)))</f>
        <v xml:space="preserve">تكاليف ادارية وعمومية </v>
      </c>
      <c r="N1008" s="138" t="str">
        <f>IF(ISERROR(VLOOKUP(C1008,'[1]خريطة الحسابات'!_xlnm.Print_Area,5,FALSE))," ",(VLOOKUP(C1008,'[1]خريطة الحسابات'!_xlnm.Print_Area,5,FALSE)))</f>
        <v xml:space="preserve">مصروفات </v>
      </c>
      <c r="O1008" s="139" t="s">
        <v>1761</v>
      </c>
      <c r="P1008" s="139" t="s">
        <v>1759</v>
      </c>
    </row>
    <row r="1009" spans="1:16">
      <c r="A1009" s="104">
        <v>54</v>
      </c>
      <c r="B1009" s="131">
        <v>46054</v>
      </c>
      <c r="C1009" s="141" t="s">
        <v>33</v>
      </c>
      <c r="D1009" s="140" t="str">
        <f>IF(ISERROR(VLOOKUP(C1009,'[1]خريطة الحسابات'!_xlnm.Print_Area,3,FALSE))," ",(VLOOKUP(C1009,'[1]خريطة الحسابات'!_xlnm.Print_Area,3,FALSE)))</f>
        <v>مرتبات</v>
      </c>
      <c r="E1009" s="132"/>
      <c r="F1009" s="133">
        <v>1300</v>
      </c>
      <c r="G1009" s="133"/>
      <c r="H1009" s="134">
        <f t="shared" si="46"/>
        <v>1300</v>
      </c>
      <c r="I1009" s="134">
        <f t="shared" si="46"/>
        <v>0</v>
      </c>
      <c r="J1009" s="134">
        <f t="shared" si="45"/>
        <v>1300</v>
      </c>
      <c r="K1009" s="135"/>
      <c r="L1009" s="136" t="str">
        <f t="shared" si="47"/>
        <v>مدين</v>
      </c>
      <c r="M1009" s="137" t="str">
        <f>IF(ISERROR(VLOOKUP(C1009,'[1]خريطة الحسابات'!_xlnm.Print_Area,4,FALSE))," ",(VLOOKUP(C1009,'[1]خريطة الحسابات'!_xlnm.Print_Area,4,FALSE)))</f>
        <v xml:space="preserve">تكاليف ادارية وعمومية </v>
      </c>
      <c r="N1009" s="138" t="str">
        <f>IF(ISERROR(VLOOKUP(C1009,'[1]خريطة الحسابات'!_xlnm.Print_Area,5,FALSE))," ",(VLOOKUP(C1009,'[1]خريطة الحسابات'!_xlnm.Print_Area,5,FALSE)))</f>
        <v xml:space="preserve">مصروفات </v>
      </c>
      <c r="O1009" s="139" t="s">
        <v>1766</v>
      </c>
      <c r="P1009" s="139" t="s">
        <v>1759</v>
      </c>
    </row>
    <row r="1010" spans="1:16">
      <c r="A1010" s="104">
        <v>54</v>
      </c>
      <c r="B1010" s="131">
        <v>46054</v>
      </c>
      <c r="C1010" s="141" t="s">
        <v>33</v>
      </c>
      <c r="D1010" s="140" t="str">
        <f>IF(ISERROR(VLOOKUP(C1010,'[1]خريطة الحسابات'!_xlnm.Print_Area,3,FALSE))," ",(VLOOKUP(C1010,'[1]خريطة الحسابات'!_xlnm.Print_Area,3,FALSE)))</f>
        <v>مرتبات</v>
      </c>
      <c r="E1010" s="132"/>
      <c r="F1010" s="133">
        <v>2000</v>
      </c>
      <c r="G1010" s="133"/>
      <c r="H1010" s="134">
        <f t="shared" si="46"/>
        <v>2000</v>
      </c>
      <c r="I1010" s="134">
        <f t="shared" si="46"/>
        <v>0</v>
      </c>
      <c r="J1010" s="134">
        <f t="shared" si="45"/>
        <v>2000</v>
      </c>
      <c r="K1010" s="135"/>
      <c r="L1010" s="136" t="str">
        <f t="shared" si="47"/>
        <v>مدين</v>
      </c>
      <c r="M1010" s="137" t="str">
        <f>IF(ISERROR(VLOOKUP(C1010,'[1]خريطة الحسابات'!_xlnm.Print_Area,4,FALSE))," ",(VLOOKUP(C1010,'[1]خريطة الحسابات'!_xlnm.Print_Area,4,FALSE)))</f>
        <v xml:space="preserve">تكاليف ادارية وعمومية </v>
      </c>
      <c r="N1010" s="138" t="str">
        <f>IF(ISERROR(VLOOKUP(C1010,'[1]خريطة الحسابات'!_xlnm.Print_Area,5,FALSE))," ",(VLOOKUP(C1010,'[1]خريطة الحسابات'!_xlnm.Print_Area,5,FALSE)))</f>
        <v xml:space="preserve">مصروفات </v>
      </c>
      <c r="O1010" s="139" t="s">
        <v>1767</v>
      </c>
      <c r="P1010" s="139" t="s">
        <v>1759</v>
      </c>
    </row>
    <row r="1011" spans="1:16">
      <c r="A1011" s="104">
        <v>54</v>
      </c>
      <c r="B1011" s="131">
        <v>46054</v>
      </c>
      <c r="C1011" s="141" t="s">
        <v>33</v>
      </c>
      <c r="D1011" s="140" t="str">
        <f>IF(ISERROR(VLOOKUP(C1011,'[1]خريطة الحسابات'!_xlnm.Print_Area,3,FALSE))," ",(VLOOKUP(C1011,'[1]خريطة الحسابات'!_xlnm.Print_Area,3,FALSE)))</f>
        <v>مرتبات</v>
      </c>
      <c r="E1011" s="132"/>
      <c r="F1011" s="133">
        <v>226310</v>
      </c>
      <c r="G1011" s="133"/>
      <c r="H1011" s="134">
        <f t="shared" si="46"/>
        <v>226310</v>
      </c>
      <c r="I1011" s="134">
        <f t="shared" si="46"/>
        <v>0</v>
      </c>
      <c r="J1011" s="134">
        <f t="shared" si="45"/>
        <v>226310</v>
      </c>
      <c r="K1011" s="135"/>
      <c r="L1011" s="136" t="str">
        <f t="shared" si="47"/>
        <v>مدين</v>
      </c>
      <c r="M1011" s="137" t="str">
        <f>IF(ISERROR(VLOOKUP(C1011,'[1]خريطة الحسابات'!_xlnm.Print_Area,4,FALSE))," ",(VLOOKUP(C1011,'[1]خريطة الحسابات'!_xlnm.Print_Area,4,FALSE)))</f>
        <v xml:space="preserve">تكاليف ادارية وعمومية </v>
      </c>
      <c r="N1011" s="138" t="str">
        <f>IF(ISERROR(VLOOKUP(C1011,'[1]خريطة الحسابات'!_xlnm.Print_Area,5,FALSE))," ",(VLOOKUP(C1011,'[1]خريطة الحسابات'!_xlnm.Print_Area,5,FALSE)))</f>
        <v xml:space="preserve">مصروفات </v>
      </c>
      <c r="O1011" s="139" t="s">
        <v>1768</v>
      </c>
      <c r="P1011" s="139" t="s">
        <v>1759</v>
      </c>
    </row>
    <row r="1012" spans="1:16">
      <c r="A1012" s="104">
        <v>54</v>
      </c>
      <c r="B1012" s="131">
        <v>46055</v>
      </c>
      <c r="C1012" s="141" t="s">
        <v>33</v>
      </c>
      <c r="D1012" s="140" t="str">
        <f>IF(ISERROR(VLOOKUP(C1012,'[1]خريطة الحسابات'!_xlnm.Print_Area,3,FALSE))," ",(VLOOKUP(C1012,'[1]خريطة الحسابات'!_xlnm.Print_Area,3,FALSE)))</f>
        <v>مرتبات</v>
      </c>
      <c r="E1012" s="132"/>
      <c r="F1012" s="133">
        <v>119147</v>
      </c>
      <c r="G1012" s="133"/>
      <c r="H1012" s="134">
        <f t="shared" si="46"/>
        <v>119147</v>
      </c>
      <c r="I1012" s="134">
        <f t="shared" si="46"/>
        <v>0</v>
      </c>
      <c r="J1012" s="134">
        <f t="shared" si="45"/>
        <v>119147</v>
      </c>
      <c r="K1012" s="135"/>
      <c r="L1012" s="136" t="str">
        <f t="shared" si="47"/>
        <v>مدين</v>
      </c>
      <c r="M1012" s="137" t="str">
        <f>IF(ISERROR(VLOOKUP(C1012,'[1]خريطة الحسابات'!_xlnm.Print_Area,4,FALSE))," ",(VLOOKUP(C1012,'[1]خريطة الحسابات'!_xlnm.Print_Area,4,FALSE)))</f>
        <v xml:space="preserve">تكاليف ادارية وعمومية </v>
      </c>
      <c r="N1012" s="138" t="str">
        <f>IF(ISERROR(VLOOKUP(C1012,'[1]خريطة الحسابات'!_xlnm.Print_Area,5,FALSE))," ",(VLOOKUP(C1012,'[1]خريطة الحسابات'!_xlnm.Print_Area,5,FALSE)))</f>
        <v xml:space="preserve">مصروفات </v>
      </c>
      <c r="O1012" s="139" t="s">
        <v>1768</v>
      </c>
      <c r="P1012" s="139" t="s">
        <v>1759</v>
      </c>
    </row>
    <row r="1013" spans="1:16">
      <c r="A1013" s="104">
        <v>54</v>
      </c>
      <c r="B1013" s="131">
        <v>46056</v>
      </c>
      <c r="C1013" s="141" t="s">
        <v>33</v>
      </c>
      <c r="D1013" s="140" t="str">
        <f>IF(ISERROR(VLOOKUP(C1013,'[1]خريطة الحسابات'!_xlnm.Print_Area,3,FALSE))," ",(VLOOKUP(C1013,'[1]خريطة الحسابات'!_xlnm.Print_Area,3,FALSE)))</f>
        <v>مرتبات</v>
      </c>
      <c r="E1013" s="132"/>
      <c r="F1013" s="133">
        <v>80063</v>
      </c>
      <c r="G1013" s="133"/>
      <c r="H1013" s="134">
        <f t="shared" si="46"/>
        <v>80063</v>
      </c>
      <c r="I1013" s="134">
        <f t="shared" si="46"/>
        <v>0</v>
      </c>
      <c r="J1013" s="134">
        <f t="shared" si="45"/>
        <v>80063</v>
      </c>
      <c r="K1013" s="135"/>
      <c r="L1013" s="136" t="str">
        <f t="shared" si="47"/>
        <v>مدين</v>
      </c>
      <c r="M1013" s="137" t="str">
        <f>IF(ISERROR(VLOOKUP(C1013,'[1]خريطة الحسابات'!_xlnm.Print_Area,4,FALSE))," ",(VLOOKUP(C1013,'[1]خريطة الحسابات'!_xlnm.Print_Area,4,FALSE)))</f>
        <v xml:space="preserve">تكاليف ادارية وعمومية </v>
      </c>
      <c r="N1013" s="138" t="str">
        <f>IF(ISERROR(VLOOKUP(C1013,'[1]خريطة الحسابات'!_xlnm.Print_Area,5,FALSE))," ",(VLOOKUP(C1013,'[1]خريطة الحسابات'!_xlnm.Print_Area,5,FALSE)))</f>
        <v xml:space="preserve">مصروفات </v>
      </c>
      <c r="O1013" s="139" t="s">
        <v>1769</v>
      </c>
      <c r="P1013" s="139" t="s">
        <v>1759</v>
      </c>
    </row>
    <row r="1014" spans="1:16">
      <c r="A1014" s="104">
        <v>54</v>
      </c>
      <c r="B1014" s="131">
        <v>46058</v>
      </c>
      <c r="C1014" s="141" t="s">
        <v>33</v>
      </c>
      <c r="D1014" s="140" t="str">
        <f>IF(ISERROR(VLOOKUP(C1014,'[1]خريطة الحسابات'!_xlnm.Print_Area,3,FALSE))," ",(VLOOKUP(C1014,'[1]خريطة الحسابات'!_xlnm.Print_Area,3,FALSE)))</f>
        <v>مرتبات</v>
      </c>
      <c r="E1014" s="132"/>
      <c r="F1014" s="133">
        <v>10010</v>
      </c>
      <c r="G1014" s="133"/>
      <c r="H1014" s="134">
        <f t="shared" si="46"/>
        <v>10010</v>
      </c>
      <c r="I1014" s="134">
        <f t="shared" si="46"/>
        <v>0</v>
      </c>
      <c r="J1014" s="134">
        <f t="shared" si="45"/>
        <v>10010</v>
      </c>
      <c r="K1014" s="135"/>
      <c r="L1014" s="136" t="str">
        <f t="shared" si="47"/>
        <v>مدين</v>
      </c>
      <c r="M1014" s="137" t="str">
        <f>IF(ISERROR(VLOOKUP(C1014,'[1]خريطة الحسابات'!_xlnm.Print_Area,4,FALSE))," ",(VLOOKUP(C1014,'[1]خريطة الحسابات'!_xlnm.Print_Area,4,FALSE)))</f>
        <v xml:space="preserve">تكاليف ادارية وعمومية </v>
      </c>
      <c r="N1014" s="138" t="str">
        <f>IF(ISERROR(VLOOKUP(C1014,'[1]خريطة الحسابات'!_xlnm.Print_Area,5,FALSE))," ",(VLOOKUP(C1014,'[1]خريطة الحسابات'!_xlnm.Print_Area,5,FALSE)))</f>
        <v xml:space="preserve">مصروفات </v>
      </c>
      <c r="O1014" s="139" t="s">
        <v>1770</v>
      </c>
      <c r="P1014" s="139" t="s">
        <v>1759</v>
      </c>
    </row>
    <row r="1015" spans="1:16">
      <c r="A1015" s="104">
        <v>54</v>
      </c>
      <c r="B1015" s="131">
        <v>46064</v>
      </c>
      <c r="C1015" s="141" t="s">
        <v>33</v>
      </c>
      <c r="D1015" s="140" t="str">
        <f>IF(ISERROR(VLOOKUP(C1015,'[1]خريطة الحسابات'!_xlnm.Print_Area,3,FALSE))," ",(VLOOKUP(C1015,'[1]خريطة الحسابات'!_xlnm.Print_Area,3,FALSE)))</f>
        <v>مرتبات</v>
      </c>
      <c r="E1015" s="132"/>
      <c r="F1015" s="133">
        <v>5000</v>
      </c>
      <c r="G1015" s="133"/>
      <c r="H1015" s="134">
        <f t="shared" si="46"/>
        <v>5000</v>
      </c>
      <c r="I1015" s="134">
        <f t="shared" si="46"/>
        <v>0</v>
      </c>
      <c r="J1015" s="134">
        <f t="shared" si="45"/>
        <v>5000</v>
      </c>
      <c r="K1015" s="135"/>
      <c r="L1015" s="136" t="str">
        <f t="shared" si="47"/>
        <v>مدين</v>
      </c>
      <c r="M1015" s="137" t="str">
        <f>IF(ISERROR(VLOOKUP(C1015,'[1]خريطة الحسابات'!_xlnm.Print_Area,4,FALSE))," ",(VLOOKUP(C1015,'[1]خريطة الحسابات'!_xlnm.Print_Area,4,FALSE)))</f>
        <v xml:space="preserve">تكاليف ادارية وعمومية </v>
      </c>
      <c r="N1015" s="138" t="str">
        <f>IF(ISERROR(VLOOKUP(C1015,'[1]خريطة الحسابات'!_xlnm.Print_Area,5,FALSE))," ",(VLOOKUP(C1015,'[1]خريطة الحسابات'!_xlnm.Print_Area,5,FALSE)))</f>
        <v xml:space="preserve">مصروفات </v>
      </c>
      <c r="O1015" s="139" t="s">
        <v>1771</v>
      </c>
      <c r="P1015" s="139" t="s">
        <v>1759</v>
      </c>
    </row>
    <row r="1016" spans="1:16">
      <c r="A1016" s="104">
        <v>54</v>
      </c>
      <c r="B1016" s="131">
        <v>46069</v>
      </c>
      <c r="C1016" s="141" t="s">
        <v>33</v>
      </c>
      <c r="D1016" s="140" t="str">
        <f>IF(ISERROR(VLOOKUP(C1016,'[1]خريطة الحسابات'!_xlnm.Print_Area,3,FALSE))," ",(VLOOKUP(C1016,'[1]خريطة الحسابات'!_xlnm.Print_Area,3,FALSE)))</f>
        <v>مرتبات</v>
      </c>
      <c r="E1016" s="132"/>
      <c r="F1016" s="133">
        <v>5000</v>
      </c>
      <c r="G1016" s="133"/>
      <c r="H1016" s="134">
        <f t="shared" si="46"/>
        <v>5000</v>
      </c>
      <c r="I1016" s="134">
        <f t="shared" si="46"/>
        <v>0</v>
      </c>
      <c r="J1016" s="134">
        <f t="shared" si="45"/>
        <v>5000</v>
      </c>
      <c r="K1016" s="135"/>
      <c r="L1016" s="136" t="str">
        <f t="shared" si="47"/>
        <v>مدين</v>
      </c>
      <c r="M1016" s="137" t="str">
        <f>IF(ISERROR(VLOOKUP(C1016,'[1]خريطة الحسابات'!_xlnm.Print_Area,4,FALSE))," ",(VLOOKUP(C1016,'[1]خريطة الحسابات'!_xlnm.Print_Area,4,FALSE)))</f>
        <v xml:space="preserve">تكاليف ادارية وعمومية </v>
      </c>
      <c r="N1016" s="138" t="str">
        <f>IF(ISERROR(VLOOKUP(C1016,'[1]خريطة الحسابات'!_xlnm.Print_Area,5,FALSE))," ",(VLOOKUP(C1016,'[1]خريطة الحسابات'!_xlnm.Print_Area,5,FALSE)))</f>
        <v xml:space="preserve">مصروفات </v>
      </c>
      <c r="O1016" s="139" t="s">
        <v>1760</v>
      </c>
      <c r="P1016" s="139" t="s">
        <v>1759</v>
      </c>
    </row>
    <row r="1017" spans="1:16">
      <c r="A1017" s="104">
        <v>54</v>
      </c>
      <c r="B1017" s="131">
        <v>46071</v>
      </c>
      <c r="C1017" s="141" t="s">
        <v>33</v>
      </c>
      <c r="D1017" s="140" t="str">
        <f>IF(ISERROR(VLOOKUP(C1017,'[1]خريطة الحسابات'!_xlnm.Print_Area,3,FALSE))," ",(VLOOKUP(C1017,'[1]خريطة الحسابات'!_xlnm.Print_Area,3,FALSE)))</f>
        <v>مرتبات</v>
      </c>
      <c r="E1017" s="132"/>
      <c r="F1017" s="133">
        <v>2000</v>
      </c>
      <c r="G1017" s="133"/>
      <c r="H1017" s="134">
        <f t="shared" si="46"/>
        <v>2000</v>
      </c>
      <c r="I1017" s="134">
        <f t="shared" si="46"/>
        <v>0</v>
      </c>
      <c r="J1017" s="134">
        <f t="shared" si="45"/>
        <v>2000</v>
      </c>
      <c r="K1017" s="135"/>
      <c r="L1017" s="136" t="str">
        <f t="shared" si="47"/>
        <v>مدين</v>
      </c>
      <c r="M1017" s="137" t="str">
        <f>IF(ISERROR(VLOOKUP(C1017,'[1]خريطة الحسابات'!_xlnm.Print_Area,4,FALSE))," ",(VLOOKUP(C1017,'[1]خريطة الحسابات'!_xlnm.Print_Area,4,FALSE)))</f>
        <v xml:space="preserve">تكاليف ادارية وعمومية </v>
      </c>
      <c r="N1017" s="138" t="str">
        <f>IF(ISERROR(VLOOKUP(C1017,'[1]خريطة الحسابات'!_xlnm.Print_Area,5,FALSE))," ",(VLOOKUP(C1017,'[1]خريطة الحسابات'!_xlnm.Print_Area,5,FALSE)))</f>
        <v xml:space="preserve">مصروفات </v>
      </c>
      <c r="O1017" s="139" t="s">
        <v>1772</v>
      </c>
      <c r="P1017" s="139" t="s">
        <v>1759</v>
      </c>
    </row>
    <row r="1018" spans="1:16">
      <c r="A1018" s="104">
        <v>54</v>
      </c>
      <c r="B1018" s="131">
        <v>46071</v>
      </c>
      <c r="C1018" s="141" t="s">
        <v>33</v>
      </c>
      <c r="D1018" s="140" t="str">
        <f>IF(ISERROR(VLOOKUP(C1018,'[1]خريطة الحسابات'!_xlnm.Print_Area,3,FALSE))," ",(VLOOKUP(C1018,'[1]خريطة الحسابات'!_xlnm.Print_Area,3,FALSE)))</f>
        <v>مرتبات</v>
      </c>
      <c r="E1018" s="132"/>
      <c r="F1018" s="133">
        <v>1000</v>
      </c>
      <c r="G1018" s="133"/>
      <c r="H1018" s="134">
        <f t="shared" si="46"/>
        <v>1000</v>
      </c>
      <c r="I1018" s="134">
        <f t="shared" si="46"/>
        <v>0</v>
      </c>
      <c r="J1018" s="134">
        <f t="shared" si="45"/>
        <v>1000</v>
      </c>
      <c r="K1018" s="135"/>
      <c r="L1018" s="136" t="str">
        <f t="shared" si="47"/>
        <v>مدين</v>
      </c>
      <c r="M1018" s="137" t="str">
        <f>IF(ISERROR(VLOOKUP(C1018,'[1]خريطة الحسابات'!_xlnm.Print_Area,4,FALSE))," ",(VLOOKUP(C1018,'[1]خريطة الحسابات'!_xlnm.Print_Area,4,FALSE)))</f>
        <v xml:space="preserve">تكاليف ادارية وعمومية </v>
      </c>
      <c r="N1018" s="138" t="str">
        <f>IF(ISERROR(VLOOKUP(C1018,'[1]خريطة الحسابات'!_xlnm.Print_Area,5,FALSE))," ",(VLOOKUP(C1018,'[1]خريطة الحسابات'!_xlnm.Print_Area,5,FALSE)))</f>
        <v xml:space="preserve">مصروفات </v>
      </c>
      <c r="O1018" s="139" t="s">
        <v>1761</v>
      </c>
      <c r="P1018" s="139" t="s">
        <v>1759</v>
      </c>
    </row>
    <row r="1019" spans="1:16">
      <c r="A1019" s="104">
        <v>54</v>
      </c>
      <c r="B1019" s="131">
        <v>46081</v>
      </c>
      <c r="C1019" s="141" t="s">
        <v>33</v>
      </c>
      <c r="D1019" s="140" t="str">
        <f>IF(ISERROR(VLOOKUP(C1019,'[1]خريطة الحسابات'!_xlnm.Print_Area,3,FALSE))," ",(VLOOKUP(C1019,'[1]خريطة الحسابات'!_xlnm.Print_Area,3,FALSE)))</f>
        <v>مرتبات</v>
      </c>
      <c r="E1019" s="132"/>
      <c r="F1019" s="133">
        <v>2000</v>
      </c>
      <c r="G1019" s="133"/>
      <c r="H1019" s="134">
        <f t="shared" si="46"/>
        <v>2000</v>
      </c>
      <c r="I1019" s="134">
        <f t="shared" si="46"/>
        <v>0</v>
      </c>
      <c r="J1019" s="134">
        <f t="shared" si="45"/>
        <v>2000</v>
      </c>
      <c r="K1019" s="135"/>
      <c r="L1019" s="136" t="str">
        <f t="shared" si="47"/>
        <v>مدين</v>
      </c>
      <c r="M1019" s="137" t="str">
        <f>IF(ISERROR(VLOOKUP(C1019,'[1]خريطة الحسابات'!_xlnm.Print_Area,4,FALSE))," ",(VLOOKUP(C1019,'[1]خريطة الحسابات'!_xlnm.Print_Area,4,FALSE)))</f>
        <v xml:space="preserve">تكاليف ادارية وعمومية </v>
      </c>
      <c r="N1019" s="138" t="str">
        <f>IF(ISERROR(VLOOKUP(C1019,'[1]خريطة الحسابات'!_xlnm.Print_Area,5,FALSE))," ",(VLOOKUP(C1019,'[1]خريطة الحسابات'!_xlnm.Print_Area,5,FALSE)))</f>
        <v xml:space="preserve">مصروفات </v>
      </c>
      <c r="O1019" s="139" t="s">
        <v>1773</v>
      </c>
      <c r="P1019" s="139" t="s">
        <v>1759</v>
      </c>
    </row>
    <row r="1020" spans="1:16">
      <c r="A1020" s="104">
        <v>54</v>
      </c>
      <c r="B1020" s="131">
        <v>46084</v>
      </c>
      <c r="C1020" s="141" t="s">
        <v>33</v>
      </c>
      <c r="D1020" s="140" t="str">
        <f>IF(ISERROR(VLOOKUP(C1020,'[1]خريطة الحسابات'!_xlnm.Print_Area,3,FALSE))," ",(VLOOKUP(C1020,'[1]خريطة الحسابات'!_xlnm.Print_Area,3,FALSE)))</f>
        <v>مرتبات</v>
      </c>
      <c r="E1020" s="132"/>
      <c r="F1020" s="133">
        <v>423870</v>
      </c>
      <c r="G1020" s="133"/>
      <c r="H1020" s="134">
        <f t="shared" si="46"/>
        <v>423870</v>
      </c>
      <c r="I1020" s="134">
        <f t="shared" si="46"/>
        <v>0</v>
      </c>
      <c r="J1020" s="134">
        <f t="shared" si="45"/>
        <v>423870</v>
      </c>
      <c r="K1020" s="135"/>
      <c r="L1020" s="136" t="str">
        <f t="shared" si="47"/>
        <v>مدين</v>
      </c>
      <c r="M1020" s="137" t="str">
        <f>IF(ISERROR(VLOOKUP(C1020,'[1]خريطة الحسابات'!_xlnm.Print_Area,4,FALSE))," ",(VLOOKUP(C1020,'[1]خريطة الحسابات'!_xlnm.Print_Area,4,FALSE)))</f>
        <v xml:space="preserve">تكاليف ادارية وعمومية </v>
      </c>
      <c r="N1020" s="138" t="str">
        <f>IF(ISERROR(VLOOKUP(C1020,'[1]خريطة الحسابات'!_xlnm.Print_Area,5,FALSE))," ",(VLOOKUP(C1020,'[1]خريطة الحسابات'!_xlnm.Print_Area,5,FALSE)))</f>
        <v xml:space="preserve">مصروفات </v>
      </c>
      <c r="O1020" s="139" t="s">
        <v>1774</v>
      </c>
      <c r="P1020" s="139" t="s">
        <v>1759</v>
      </c>
    </row>
    <row r="1021" spans="1:16">
      <c r="A1021" s="104">
        <v>54</v>
      </c>
      <c r="B1021" s="131">
        <v>46084</v>
      </c>
      <c r="C1021" s="141" t="s">
        <v>33</v>
      </c>
      <c r="D1021" s="140" t="str">
        <f>IF(ISERROR(VLOOKUP(C1021,'[1]خريطة الحسابات'!_xlnm.Print_Area,3,FALSE))," ",(VLOOKUP(C1021,'[1]خريطة الحسابات'!_xlnm.Print_Area,3,FALSE)))</f>
        <v>مرتبات</v>
      </c>
      <c r="E1021" s="132"/>
      <c r="F1021" s="133">
        <v>70000</v>
      </c>
      <c r="G1021" s="133"/>
      <c r="H1021" s="134">
        <f t="shared" si="46"/>
        <v>70000</v>
      </c>
      <c r="I1021" s="134">
        <f t="shared" si="46"/>
        <v>0</v>
      </c>
      <c r="J1021" s="134">
        <f t="shared" si="45"/>
        <v>70000</v>
      </c>
      <c r="K1021" s="135"/>
      <c r="L1021" s="136" t="str">
        <f t="shared" si="47"/>
        <v>مدين</v>
      </c>
      <c r="M1021" s="137" t="str">
        <f>IF(ISERROR(VLOOKUP(C1021,'[1]خريطة الحسابات'!_xlnm.Print_Area,4,FALSE))," ",(VLOOKUP(C1021,'[1]خريطة الحسابات'!_xlnm.Print_Area,4,FALSE)))</f>
        <v xml:space="preserve">تكاليف ادارية وعمومية </v>
      </c>
      <c r="N1021" s="138" t="str">
        <f>IF(ISERROR(VLOOKUP(C1021,'[1]خريطة الحسابات'!_xlnm.Print_Area,5,FALSE))," ",(VLOOKUP(C1021,'[1]خريطة الحسابات'!_xlnm.Print_Area,5,FALSE)))</f>
        <v xml:space="preserve">مصروفات </v>
      </c>
      <c r="O1021" s="139" t="s">
        <v>1775</v>
      </c>
      <c r="P1021" s="139" t="s">
        <v>1759</v>
      </c>
    </row>
    <row r="1022" spans="1:16">
      <c r="A1022" s="104">
        <v>54</v>
      </c>
      <c r="B1022" s="131">
        <v>46096</v>
      </c>
      <c r="C1022" s="141" t="s">
        <v>33</v>
      </c>
      <c r="D1022" s="140" t="str">
        <f>IF(ISERROR(VLOOKUP(C1022,'[1]خريطة الحسابات'!_xlnm.Print_Area,3,FALSE))," ",(VLOOKUP(C1022,'[1]خريطة الحسابات'!_xlnm.Print_Area,3,FALSE)))</f>
        <v>مرتبات</v>
      </c>
      <c r="E1022" s="132"/>
      <c r="F1022" s="133">
        <v>1000</v>
      </c>
      <c r="G1022" s="133"/>
      <c r="H1022" s="134">
        <f t="shared" si="46"/>
        <v>1000</v>
      </c>
      <c r="I1022" s="134">
        <f t="shared" si="46"/>
        <v>0</v>
      </c>
      <c r="J1022" s="134">
        <f t="shared" si="45"/>
        <v>1000</v>
      </c>
      <c r="K1022" s="135"/>
      <c r="L1022" s="136" t="str">
        <f t="shared" si="47"/>
        <v>مدين</v>
      </c>
      <c r="M1022" s="137" t="str">
        <f>IF(ISERROR(VLOOKUP(C1022,'[1]خريطة الحسابات'!_xlnm.Print_Area,4,FALSE))," ",(VLOOKUP(C1022,'[1]خريطة الحسابات'!_xlnm.Print_Area,4,FALSE)))</f>
        <v xml:space="preserve">تكاليف ادارية وعمومية </v>
      </c>
      <c r="N1022" s="138" t="str">
        <f>IF(ISERROR(VLOOKUP(C1022,'[1]خريطة الحسابات'!_xlnm.Print_Area,5,FALSE))," ",(VLOOKUP(C1022,'[1]خريطة الحسابات'!_xlnm.Print_Area,5,FALSE)))</f>
        <v xml:space="preserve">مصروفات </v>
      </c>
      <c r="O1022" s="139" t="s">
        <v>1776</v>
      </c>
      <c r="P1022" s="139" t="s">
        <v>1759</v>
      </c>
    </row>
    <row r="1023" spans="1:16">
      <c r="A1023" s="104">
        <v>54</v>
      </c>
      <c r="B1023" s="131">
        <v>46096</v>
      </c>
      <c r="C1023" s="141" t="s">
        <v>33</v>
      </c>
      <c r="D1023" s="140" t="str">
        <f>IF(ISERROR(VLOOKUP(C1023,'[1]خريطة الحسابات'!_xlnm.Print_Area,3,FALSE))," ",(VLOOKUP(C1023,'[1]خريطة الحسابات'!_xlnm.Print_Area,3,FALSE)))</f>
        <v>مرتبات</v>
      </c>
      <c r="E1023" s="132"/>
      <c r="F1023" s="133">
        <v>1000</v>
      </c>
      <c r="G1023" s="133"/>
      <c r="H1023" s="134">
        <f t="shared" si="46"/>
        <v>1000</v>
      </c>
      <c r="I1023" s="134">
        <f t="shared" si="46"/>
        <v>0</v>
      </c>
      <c r="J1023" s="134">
        <f t="shared" si="45"/>
        <v>1000</v>
      </c>
      <c r="K1023" s="135"/>
      <c r="L1023" s="136" t="str">
        <f t="shared" si="47"/>
        <v>مدين</v>
      </c>
      <c r="M1023" s="137" t="str">
        <f>IF(ISERROR(VLOOKUP(C1023,'[1]خريطة الحسابات'!_xlnm.Print_Area,4,FALSE))," ",(VLOOKUP(C1023,'[1]خريطة الحسابات'!_xlnm.Print_Area,4,FALSE)))</f>
        <v xml:space="preserve">تكاليف ادارية وعمومية </v>
      </c>
      <c r="N1023" s="138" t="str">
        <f>IF(ISERROR(VLOOKUP(C1023,'[1]خريطة الحسابات'!_xlnm.Print_Area,5,FALSE))," ",(VLOOKUP(C1023,'[1]خريطة الحسابات'!_xlnm.Print_Area,5,FALSE)))</f>
        <v xml:space="preserve">مصروفات </v>
      </c>
      <c r="O1023" s="139" t="s">
        <v>1777</v>
      </c>
      <c r="P1023" s="139" t="s">
        <v>1759</v>
      </c>
    </row>
    <row r="1024" spans="1:16">
      <c r="A1024" s="104">
        <v>54</v>
      </c>
      <c r="B1024" s="131">
        <v>46098</v>
      </c>
      <c r="C1024" s="141" t="s">
        <v>33</v>
      </c>
      <c r="D1024" s="140" t="str">
        <f>IF(ISERROR(VLOOKUP(C1024,'[1]خريطة الحسابات'!_xlnm.Print_Area,3,FALSE))," ",(VLOOKUP(C1024,'[1]خريطة الحسابات'!_xlnm.Print_Area,3,FALSE)))</f>
        <v>مرتبات</v>
      </c>
      <c r="E1024" s="132"/>
      <c r="F1024" s="133">
        <v>10000</v>
      </c>
      <c r="G1024" s="133"/>
      <c r="H1024" s="134">
        <f t="shared" si="46"/>
        <v>10000</v>
      </c>
      <c r="I1024" s="134">
        <f t="shared" si="46"/>
        <v>0</v>
      </c>
      <c r="J1024" s="134">
        <f t="shared" si="45"/>
        <v>10000</v>
      </c>
      <c r="K1024" s="135"/>
      <c r="L1024" s="136" t="str">
        <f t="shared" si="47"/>
        <v>مدين</v>
      </c>
      <c r="M1024" s="137" t="str">
        <f>IF(ISERROR(VLOOKUP(C1024,'[1]خريطة الحسابات'!_xlnm.Print_Area,4,FALSE))," ",(VLOOKUP(C1024,'[1]خريطة الحسابات'!_xlnm.Print_Area,4,FALSE)))</f>
        <v xml:space="preserve">تكاليف ادارية وعمومية </v>
      </c>
      <c r="N1024" s="138" t="str">
        <f>IF(ISERROR(VLOOKUP(C1024,'[1]خريطة الحسابات'!_xlnm.Print_Area,5,FALSE))," ",(VLOOKUP(C1024,'[1]خريطة الحسابات'!_xlnm.Print_Area,5,FALSE)))</f>
        <v xml:space="preserve">مصروفات </v>
      </c>
      <c r="O1024" s="139" t="s">
        <v>1778</v>
      </c>
      <c r="P1024" s="139" t="s">
        <v>1759</v>
      </c>
    </row>
    <row r="1025" spans="1:16">
      <c r="A1025" s="104">
        <v>54</v>
      </c>
      <c r="B1025" s="131">
        <v>46098</v>
      </c>
      <c r="C1025" s="141" t="s">
        <v>33</v>
      </c>
      <c r="D1025" s="140" t="str">
        <f>IF(ISERROR(VLOOKUP(C1025,'[1]خريطة الحسابات'!_xlnm.Print_Area,3,FALSE))," ",(VLOOKUP(C1025,'[1]خريطة الحسابات'!_xlnm.Print_Area,3,FALSE)))</f>
        <v>مرتبات</v>
      </c>
      <c r="E1025" s="132"/>
      <c r="F1025" s="133">
        <v>4000</v>
      </c>
      <c r="G1025" s="133"/>
      <c r="H1025" s="134">
        <f t="shared" si="46"/>
        <v>4000</v>
      </c>
      <c r="I1025" s="134">
        <f t="shared" si="46"/>
        <v>0</v>
      </c>
      <c r="J1025" s="134">
        <f t="shared" si="45"/>
        <v>4000</v>
      </c>
      <c r="K1025" s="135"/>
      <c r="L1025" s="136" t="str">
        <f t="shared" si="47"/>
        <v>مدين</v>
      </c>
      <c r="M1025" s="137" t="str">
        <f>IF(ISERROR(VLOOKUP(C1025,'[1]خريطة الحسابات'!_xlnm.Print_Area,4,FALSE))," ",(VLOOKUP(C1025,'[1]خريطة الحسابات'!_xlnm.Print_Area,4,FALSE)))</f>
        <v xml:space="preserve">تكاليف ادارية وعمومية </v>
      </c>
      <c r="N1025" s="138" t="str">
        <f>IF(ISERROR(VLOOKUP(C1025,'[1]خريطة الحسابات'!_xlnm.Print_Area,5,FALSE))," ",(VLOOKUP(C1025,'[1]خريطة الحسابات'!_xlnm.Print_Area,5,FALSE)))</f>
        <v xml:space="preserve">مصروفات </v>
      </c>
      <c r="O1025" s="139" t="s">
        <v>1764</v>
      </c>
      <c r="P1025" s="139" t="s">
        <v>1759</v>
      </c>
    </row>
    <row r="1026" spans="1:16">
      <c r="A1026" s="104">
        <v>54</v>
      </c>
      <c r="B1026" s="131">
        <v>46099</v>
      </c>
      <c r="C1026" s="141" t="s">
        <v>33</v>
      </c>
      <c r="D1026" s="140" t="str">
        <f>IF(ISERROR(VLOOKUP(C1026,'[1]خريطة الحسابات'!_xlnm.Print_Area,3,FALSE))," ",(VLOOKUP(C1026,'[1]خريطة الحسابات'!_xlnm.Print_Area,3,FALSE)))</f>
        <v>مرتبات</v>
      </c>
      <c r="E1026" s="132"/>
      <c r="F1026" s="133">
        <v>10000</v>
      </c>
      <c r="G1026" s="133"/>
      <c r="H1026" s="134">
        <f t="shared" si="46"/>
        <v>10000</v>
      </c>
      <c r="I1026" s="134">
        <f t="shared" si="46"/>
        <v>0</v>
      </c>
      <c r="J1026" s="134">
        <f t="shared" si="45"/>
        <v>10000</v>
      </c>
      <c r="K1026" s="135"/>
      <c r="L1026" s="136" t="str">
        <f t="shared" si="47"/>
        <v>مدين</v>
      </c>
      <c r="M1026" s="137" t="str">
        <f>IF(ISERROR(VLOOKUP(C1026,'[1]خريطة الحسابات'!_xlnm.Print_Area,4,FALSE))," ",(VLOOKUP(C1026,'[1]خريطة الحسابات'!_xlnm.Print_Area,4,FALSE)))</f>
        <v xml:space="preserve">تكاليف ادارية وعمومية </v>
      </c>
      <c r="N1026" s="138" t="str">
        <f>IF(ISERROR(VLOOKUP(C1026,'[1]خريطة الحسابات'!_xlnm.Print_Area,5,FALSE))," ",(VLOOKUP(C1026,'[1]خريطة الحسابات'!_xlnm.Print_Area,5,FALSE)))</f>
        <v xml:space="preserve">مصروفات </v>
      </c>
      <c r="O1026" s="139" t="s">
        <v>1779</v>
      </c>
      <c r="P1026" s="139" t="s">
        <v>1759</v>
      </c>
    </row>
    <row r="1027" spans="1:16">
      <c r="A1027" s="104">
        <v>54</v>
      </c>
      <c r="B1027" s="131">
        <v>46099</v>
      </c>
      <c r="C1027" s="141" t="s">
        <v>33</v>
      </c>
      <c r="D1027" s="140" t="str">
        <f>IF(ISERROR(VLOOKUP(C1027,'[1]خريطة الحسابات'!_xlnm.Print_Area,3,FALSE))," ",(VLOOKUP(C1027,'[1]خريطة الحسابات'!_xlnm.Print_Area,3,FALSE)))</f>
        <v>مرتبات</v>
      </c>
      <c r="E1027" s="132"/>
      <c r="F1027" s="133">
        <v>1000</v>
      </c>
      <c r="G1027" s="133"/>
      <c r="H1027" s="134">
        <f t="shared" si="46"/>
        <v>1000</v>
      </c>
      <c r="I1027" s="134">
        <f t="shared" si="46"/>
        <v>0</v>
      </c>
      <c r="J1027" s="134">
        <f t="shared" si="45"/>
        <v>1000</v>
      </c>
      <c r="K1027" s="135"/>
      <c r="L1027" s="136" t="str">
        <f t="shared" si="47"/>
        <v>مدين</v>
      </c>
      <c r="M1027" s="137" t="str">
        <f>IF(ISERROR(VLOOKUP(C1027,'[1]خريطة الحسابات'!_xlnm.Print_Area,4,FALSE))," ",(VLOOKUP(C1027,'[1]خريطة الحسابات'!_xlnm.Print_Area,4,FALSE)))</f>
        <v xml:space="preserve">تكاليف ادارية وعمومية </v>
      </c>
      <c r="N1027" s="138" t="str">
        <f>IF(ISERROR(VLOOKUP(C1027,'[1]خريطة الحسابات'!_xlnm.Print_Area,5,FALSE))," ",(VLOOKUP(C1027,'[1]خريطة الحسابات'!_xlnm.Print_Area,5,FALSE)))</f>
        <v xml:space="preserve">مصروفات </v>
      </c>
      <c r="O1027" s="139" t="s">
        <v>1761</v>
      </c>
      <c r="P1027" s="139" t="s">
        <v>1759</v>
      </c>
    </row>
    <row r="1028" spans="1:16">
      <c r="A1028" s="104">
        <v>54</v>
      </c>
      <c r="B1028" s="131">
        <v>46099</v>
      </c>
      <c r="C1028" s="141" t="s">
        <v>33</v>
      </c>
      <c r="D1028" s="140" t="str">
        <f>IF(ISERROR(VLOOKUP(C1028,'[1]خريطة الحسابات'!_xlnm.Print_Area,3,FALSE))," ",(VLOOKUP(C1028,'[1]خريطة الحسابات'!_xlnm.Print_Area,3,FALSE)))</f>
        <v>مرتبات</v>
      </c>
      <c r="E1028" s="132"/>
      <c r="F1028" s="133">
        <v>2000</v>
      </c>
      <c r="G1028" s="133"/>
      <c r="H1028" s="134">
        <f t="shared" si="46"/>
        <v>2000</v>
      </c>
      <c r="I1028" s="134">
        <f t="shared" si="46"/>
        <v>0</v>
      </c>
      <c r="J1028" s="134">
        <f t="shared" si="45"/>
        <v>2000</v>
      </c>
      <c r="K1028" s="135"/>
      <c r="L1028" s="136" t="str">
        <f t="shared" si="47"/>
        <v>مدين</v>
      </c>
      <c r="M1028" s="137" t="str">
        <f>IF(ISERROR(VLOOKUP(C1028,'[1]خريطة الحسابات'!_xlnm.Print_Area,4,FALSE))," ",(VLOOKUP(C1028,'[1]خريطة الحسابات'!_xlnm.Print_Area,4,FALSE)))</f>
        <v xml:space="preserve">تكاليف ادارية وعمومية </v>
      </c>
      <c r="N1028" s="138" t="str">
        <f>IF(ISERROR(VLOOKUP(C1028,'[1]خريطة الحسابات'!_xlnm.Print_Area,5,FALSE))," ",(VLOOKUP(C1028,'[1]خريطة الحسابات'!_xlnm.Print_Area,5,FALSE)))</f>
        <v xml:space="preserve">مصروفات </v>
      </c>
      <c r="O1028" s="139" t="s">
        <v>1780</v>
      </c>
      <c r="P1028" s="139" t="s">
        <v>1759</v>
      </c>
    </row>
    <row r="1029" spans="1:16">
      <c r="A1029" s="104">
        <v>54</v>
      </c>
      <c r="B1029" s="131">
        <v>46110</v>
      </c>
      <c r="C1029" s="141" t="s">
        <v>33</v>
      </c>
      <c r="D1029" s="140" t="str">
        <f>IF(ISERROR(VLOOKUP(C1029,'[1]خريطة الحسابات'!_xlnm.Print_Area,3,FALSE))," ",(VLOOKUP(C1029,'[1]خريطة الحسابات'!_xlnm.Print_Area,3,FALSE)))</f>
        <v>مرتبات</v>
      </c>
      <c r="E1029" s="132"/>
      <c r="F1029" s="133">
        <v>1000</v>
      </c>
      <c r="G1029" s="133"/>
      <c r="H1029" s="134">
        <f t="shared" si="46"/>
        <v>1000</v>
      </c>
      <c r="I1029" s="134">
        <f t="shared" si="46"/>
        <v>0</v>
      </c>
      <c r="J1029" s="134">
        <f t="shared" si="45"/>
        <v>1000</v>
      </c>
      <c r="K1029" s="135"/>
      <c r="L1029" s="136" t="str">
        <f t="shared" si="47"/>
        <v>مدين</v>
      </c>
      <c r="M1029" s="137" t="str">
        <f>IF(ISERROR(VLOOKUP(C1029,'[1]خريطة الحسابات'!_xlnm.Print_Area,4,FALSE))," ",(VLOOKUP(C1029,'[1]خريطة الحسابات'!_xlnm.Print_Area,4,FALSE)))</f>
        <v xml:space="preserve">تكاليف ادارية وعمومية </v>
      </c>
      <c r="N1029" s="138" t="str">
        <f>IF(ISERROR(VLOOKUP(C1029,'[1]خريطة الحسابات'!_xlnm.Print_Area,5,FALSE))," ",(VLOOKUP(C1029,'[1]خريطة الحسابات'!_xlnm.Print_Area,5,FALSE)))</f>
        <v xml:space="preserve">مصروفات </v>
      </c>
      <c r="O1029" s="139" t="s">
        <v>1780</v>
      </c>
      <c r="P1029" s="139" t="s">
        <v>1759</v>
      </c>
    </row>
    <row r="1030" spans="1:16">
      <c r="A1030" s="104">
        <v>54</v>
      </c>
      <c r="B1030" s="131">
        <v>46112</v>
      </c>
      <c r="C1030" s="141" t="s">
        <v>33</v>
      </c>
      <c r="D1030" s="140" t="str">
        <f>IF(ISERROR(VLOOKUP(C1030,'[1]خريطة الحسابات'!_xlnm.Print_Area,3,FALSE))," ",(VLOOKUP(C1030,'[1]خريطة الحسابات'!_xlnm.Print_Area,3,FALSE)))</f>
        <v>مرتبات</v>
      </c>
      <c r="E1030" s="132"/>
      <c r="F1030" s="133">
        <v>200</v>
      </c>
      <c r="G1030" s="133"/>
      <c r="H1030" s="134">
        <f t="shared" si="46"/>
        <v>200</v>
      </c>
      <c r="I1030" s="134">
        <f t="shared" si="46"/>
        <v>0</v>
      </c>
      <c r="J1030" s="134">
        <f t="shared" si="45"/>
        <v>200</v>
      </c>
      <c r="K1030" s="135"/>
      <c r="L1030" s="136" t="str">
        <f t="shared" si="47"/>
        <v>مدين</v>
      </c>
      <c r="M1030" s="137" t="str">
        <f>IF(ISERROR(VLOOKUP(C1030,'[1]خريطة الحسابات'!_xlnm.Print_Area,4,FALSE))," ",(VLOOKUP(C1030,'[1]خريطة الحسابات'!_xlnm.Print_Area,4,FALSE)))</f>
        <v xml:space="preserve">تكاليف ادارية وعمومية </v>
      </c>
      <c r="N1030" s="138" t="str">
        <f>IF(ISERROR(VLOOKUP(C1030,'[1]خريطة الحسابات'!_xlnm.Print_Area,5,FALSE))," ",(VLOOKUP(C1030,'[1]خريطة الحسابات'!_xlnm.Print_Area,5,FALSE)))</f>
        <v xml:space="preserve">مصروفات </v>
      </c>
      <c r="O1030" s="139" t="s">
        <v>1761</v>
      </c>
      <c r="P1030" s="139" t="s">
        <v>1759</v>
      </c>
    </row>
    <row r="1031" spans="1:16">
      <c r="A1031" s="104">
        <v>54</v>
      </c>
      <c r="B1031" s="131">
        <v>46112</v>
      </c>
      <c r="C1031" s="141" t="s">
        <v>33</v>
      </c>
      <c r="D1031" s="140" t="str">
        <f>IF(ISERROR(VLOOKUP(C1031,'[1]خريطة الحسابات'!_xlnm.Print_Area,3,FALSE))," ",(VLOOKUP(C1031,'[1]خريطة الحسابات'!_xlnm.Print_Area,3,FALSE)))</f>
        <v>مرتبات</v>
      </c>
      <c r="E1031" s="143"/>
      <c r="F1031" s="133">
        <v>500</v>
      </c>
      <c r="G1031" s="133"/>
      <c r="H1031" s="134">
        <f t="shared" si="46"/>
        <v>500</v>
      </c>
      <c r="I1031" s="134">
        <f t="shared" si="46"/>
        <v>0</v>
      </c>
      <c r="J1031" s="134">
        <f t="shared" si="45"/>
        <v>500</v>
      </c>
      <c r="K1031" s="144"/>
      <c r="L1031" s="136" t="str">
        <f t="shared" si="47"/>
        <v>مدين</v>
      </c>
      <c r="M1031" s="137" t="str">
        <f>IF(ISERROR(VLOOKUP(C1031,'[1]خريطة الحسابات'!_xlnm.Print_Area,4,FALSE))," ",(VLOOKUP(C1031,'[1]خريطة الحسابات'!_xlnm.Print_Area,4,FALSE)))</f>
        <v xml:space="preserve">تكاليف ادارية وعمومية </v>
      </c>
      <c r="N1031" s="138" t="str">
        <f>IF(ISERROR(VLOOKUP(C1031,'[1]خريطة الحسابات'!_xlnm.Print_Area,5,FALSE))," ",(VLOOKUP(C1031,'[1]خريطة الحسابات'!_xlnm.Print_Area,5,FALSE)))</f>
        <v xml:space="preserve">مصروفات </v>
      </c>
      <c r="O1031" s="139" t="s">
        <v>1781</v>
      </c>
      <c r="P1031" s="139" t="s">
        <v>1759</v>
      </c>
    </row>
    <row r="1032" spans="1:16">
      <c r="A1032" s="104">
        <v>54</v>
      </c>
      <c r="B1032" s="131">
        <v>46116</v>
      </c>
      <c r="C1032" s="141" t="s">
        <v>33</v>
      </c>
      <c r="D1032" s="140" t="str">
        <f>IF(ISERROR(VLOOKUP(C1032,'[1]خريطة الحسابات'!_xlnm.Print_Area,3,FALSE))," ",(VLOOKUP(C1032,'[1]خريطة الحسابات'!_xlnm.Print_Area,3,FALSE)))</f>
        <v>مرتبات</v>
      </c>
      <c r="E1032" s="132"/>
      <c r="F1032" s="133">
        <v>445662</v>
      </c>
      <c r="G1032" s="133"/>
      <c r="H1032" s="134">
        <f t="shared" si="46"/>
        <v>445662</v>
      </c>
      <c r="I1032" s="134">
        <f t="shared" si="46"/>
        <v>0</v>
      </c>
      <c r="J1032" s="134">
        <f t="shared" si="45"/>
        <v>445662</v>
      </c>
      <c r="K1032" s="135"/>
      <c r="L1032" s="136" t="str">
        <f t="shared" si="47"/>
        <v>مدين</v>
      </c>
      <c r="M1032" s="137" t="str">
        <f>IF(ISERROR(VLOOKUP(C1032,'[1]خريطة الحسابات'!_xlnm.Print_Area,4,FALSE))," ",(VLOOKUP(C1032,'[1]خريطة الحسابات'!_xlnm.Print_Area,4,FALSE)))</f>
        <v xml:space="preserve">تكاليف ادارية وعمومية </v>
      </c>
      <c r="N1032" s="138" t="str">
        <f>IF(ISERROR(VLOOKUP(C1032,'[1]خريطة الحسابات'!_xlnm.Print_Area,5,FALSE))," ",(VLOOKUP(C1032,'[1]خريطة الحسابات'!_xlnm.Print_Area,5,FALSE)))</f>
        <v xml:space="preserve">مصروفات </v>
      </c>
      <c r="O1032" s="139" t="s">
        <v>1782</v>
      </c>
      <c r="P1032" s="139" t="s">
        <v>1759</v>
      </c>
    </row>
    <row r="1033" spans="1:16">
      <c r="A1033" s="104">
        <v>54</v>
      </c>
      <c r="B1033" s="131">
        <v>46116</v>
      </c>
      <c r="C1033" s="141" t="s">
        <v>33</v>
      </c>
      <c r="D1033" s="140" t="str">
        <f>IF(ISERROR(VLOOKUP(C1033,'[1]خريطة الحسابات'!_xlnm.Print_Area,3,FALSE))," ",(VLOOKUP(C1033,'[1]خريطة الحسابات'!_xlnm.Print_Area,3,FALSE)))</f>
        <v>مرتبات</v>
      </c>
      <c r="E1033" s="132"/>
      <c r="F1033" s="133">
        <v>5005</v>
      </c>
      <c r="G1033" s="133"/>
      <c r="H1033" s="134">
        <f t="shared" si="46"/>
        <v>5005</v>
      </c>
      <c r="I1033" s="134">
        <f t="shared" si="46"/>
        <v>0</v>
      </c>
      <c r="J1033" s="134">
        <f t="shared" si="45"/>
        <v>5005</v>
      </c>
      <c r="K1033" s="135"/>
      <c r="L1033" s="136" t="str">
        <f t="shared" si="47"/>
        <v>مدين</v>
      </c>
      <c r="M1033" s="137" t="str">
        <f>IF(ISERROR(VLOOKUP(C1033,'[1]خريطة الحسابات'!_xlnm.Print_Area,4,FALSE))," ",(VLOOKUP(C1033,'[1]خريطة الحسابات'!_xlnm.Print_Area,4,FALSE)))</f>
        <v xml:space="preserve">تكاليف ادارية وعمومية </v>
      </c>
      <c r="N1033" s="138" t="str">
        <f>IF(ISERROR(VLOOKUP(C1033,'[1]خريطة الحسابات'!_xlnm.Print_Area,5,FALSE))," ",(VLOOKUP(C1033,'[1]خريطة الحسابات'!_xlnm.Print_Area,5,FALSE)))</f>
        <v xml:space="preserve">مصروفات </v>
      </c>
      <c r="O1033" s="139" t="s">
        <v>1783</v>
      </c>
      <c r="P1033" s="139" t="s">
        <v>1759</v>
      </c>
    </row>
    <row r="1034" spans="1:16">
      <c r="A1034" s="104">
        <v>54</v>
      </c>
      <c r="B1034" s="131">
        <v>46117</v>
      </c>
      <c r="C1034" s="141" t="s">
        <v>33</v>
      </c>
      <c r="D1034" s="140" t="str">
        <f>IF(ISERROR(VLOOKUP(C1034,'[1]خريطة الحسابات'!_xlnm.Print_Area,3,FALSE))," ",(VLOOKUP(C1034,'[1]خريطة الحسابات'!_xlnm.Print_Area,3,FALSE)))</f>
        <v>مرتبات</v>
      </c>
      <c r="E1034" s="132"/>
      <c r="F1034" s="133">
        <v>15000</v>
      </c>
      <c r="G1034" s="133"/>
      <c r="H1034" s="134">
        <f t="shared" si="46"/>
        <v>15000</v>
      </c>
      <c r="I1034" s="134">
        <f t="shared" si="46"/>
        <v>0</v>
      </c>
      <c r="J1034" s="134">
        <f t="shared" si="45"/>
        <v>15000</v>
      </c>
      <c r="K1034" s="135"/>
      <c r="L1034" s="136" t="str">
        <f t="shared" si="47"/>
        <v>مدين</v>
      </c>
      <c r="M1034" s="137" t="str">
        <f>IF(ISERROR(VLOOKUP(C1034,'[1]خريطة الحسابات'!_xlnm.Print_Area,4,FALSE))," ",(VLOOKUP(C1034,'[1]خريطة الحسابات'!_xlnm.Print_Area,4,FALSE)))</f>
        <v xml:space="preserve">تكاليف ادارية وعمومية </v>
      </c>
      <c r="N1034" s="138" t="str">
        <f>IF(ISERROR(VLOOKUP(C1034,'[1]خريطة الحسابات'!_xlnm.Print_Area,5,FALSE))," ",(VLOOKUP(C1034,'[1]خريطة الحسابات'!_xlnm.Print_Area,5,FALSE)))</f>
        <v xml:space="preserve">مصروفات </v>
      </c>
      <c r="O1034" s="139" t="s">
        <v>1784</v>
      </c>
      <c r="P1034" s="139" t="s">
        <v>1759</v>
      </c>
    </row>
    <row r="1035" spans="1:16">
      <c r="A1035" s="104">
        <v>54</v>
      </c>
      <c r="B1035" s="131">
        <v>46121</v>
      </c>
      <c r="C1035" s="141" t="s">
        <v>33</v>
      </c>
      <c r="D1035" s="140" t="str">
        <f>IF(ISERROR(VLOOKUP(C1035,'[1]خريطة الحسابات'!_xlnm.Print_Area,3,FALSE))," ",(VLOOKUP(C1035,'[1]خريطة الحسابات'!_xlnm.Print_Area,3,FALSE)))</f>
        <v>مرتبات</v>
      </c>
      <c r="E1035" s="132"/>
      <c r="F1035" s="133">
        <v>7000</v>
      </c>
      <c r="G1035" s="133"/>
      <c r="H1035" s="134">
        <f t="shared" si="46"/>
        <v>7000</v>
      </c>
      <c r="I1035" s="134">
        <f t="shared" si="46"/>
        <v>0</v>
      </c>
      <c r="J1035" s="134">
        <f t="shared" si="45"/>
        <v>7000</v>
      </c>
      <c r="K1035" s="135"/>
      <c r="L1035" s="136" t="str">
        <f t="shared" si="47"/>
        <v>مدين</v>
      </c>
      <c r="M1035" s="137" t="str">
        <f>IF(ISERROR(VLOOKUP(C1035,'[1]خريطة الحسابات'!_xlnm.Print_Area,4,FALSE))," ",(VLOOKUP(C1035,'[1]خريطة الحسابات'!_xlnm.Print_Area,4,FALSE)))</f>
        <v xml:space="preserve">تكاليف ادارية وعمومية </v>
      </c>
      <c r="N1035" s="138" t="str">
        <f>IF(ISERROR(VLOOKUP(C1035,'[1]خريطة الحسابات'!_xlnm.Print_Area,5,FALSE))," ",(VLOOKUP(C1035,'[1]خريطة الحسابات'!_xlnm.Print_Area,5,FALSE)))</f>
        <v xml:space="preserve">مصروفات </v>
      </c>
      <c r="O1035" s="139" t="s">
        <v>1760</v>
      </c>
      <c r="P1035" s="139" t="s">
        <v>1759</v>
      </c>
    </row>
    <row r="1036" spans="1:16">
      <c r="A1036" s="104">
        <v>54</v>
      </c>
      <c r="B1036" s="131">
        <v>46126</v>
      </c>
      <c r="C1036" s="141" t="s">
        <v>33</v>
      </c>
      <c r="D1036" s="140" t="str">
        <f>IF(ISERROR(VLOOKUP(C1036,'[1]خريطة الحسابات'!_xlnm.Print_Area,3,FALSE))," ",(VLOOKUP(C1036,'[1]خريطة الحسابات'!_xlnm.Print_Area,3,FALSE)))</f>
        <v>مرتبات</v>
      </c>
      <c r="E1036" s="132"/>
      <c r="F1036" s="133">
        <v>2000</v>
      </c>
      <c r="G1036" s="133"/>
      <c r="H1036" s="134">
        <f t="shared" si="46"/>
        <v>2000</v>
      </c>
      <c r="I1036" s="134">
        <f t="shared" si="46"/>
        <v>0</v>
      </c>
      <c r="J1036" s="134">
        <f t="shared" si="45"/>
        <v>2000</v>
      </c>
      <c r="K1036" s="135"/>
      <c r="L1036" s="136" t="str">
        <f t="shared" si="47"/>
        <v>مدين</v>
      </c>
      <c r="M1036" s="137" t="str">
        <f>IF(ISERROR(VLOOKUP(C1036,'[1]خريطة الحسابات'!_xlnm.Print_Area,4,FALSE))," ",(VLOOKUP(C1036,'[1]خريطة الحسابات'!_xlnm.Print_Area,4,FALSE)))</f>
        <v xml:space="preserve">تكاليف ادارية وعمومية </v>
      </c>
      <c r="N1036" s="138" t="str">
        <f>IF(ISERROR(VLOOKUP(C1036,'[1]خريطة الحسابات'!_xlnm.Print_Area,5,FALSE))," ",(VLOOKUP(C1036,'[1]خريطة الحسابات'!_xlnm.Print_Area,5,FALSE)))</f>
        <v xml:space="preserve">مصروفات </v>
      </c>
      <c r="O1036" s="139" t="s">
        <v>1785</v>
      </c>
      <c r="P1036" s="139" t="s">
        <v>1759</v>
      </c>
    </row>
    <row r="1037" spans="1:16">
      <c r="A1037" s="104">
        <v>54</v>
      </c>
      <c r="B1037" s="131">
        <v>46128</v>
      </c>
      <c r="C1037" s="141" t="s">
        <v>33</v>
      </c>
      <c r="D1037" s="140" t="str">
        <f>IF(ISERROR(VLOOKUP(C1037,'[1]خريطة الحسابات'!_xlnm.Print_Area,3,FALSE))," ",(VLOOKUP(C1037,'[1]خريطة الحسابات'!_xlnm.Print_Area,3,FALSE)))</f>
        <v>مرتبات</v>
      </c>
      <c r="E1037" s="132"/>
      <c r="F1037" s="133">
        <v>2000</v>
      </c>
      <c r="G1037" s="133"/>
      <c r="H1037" s="134">
        <f t="shared" si="46"/>
        <v>2000</v>
      </c>
      <c r="I1037" s="134">
        <f t="shared" si="46"/>
        <v>0</v>
      </c>
      <c r="J1037" s="134">
        <f t="shared" si="45"/>
        <v>2000</v>
      </c>
      <c r="K1037" s="135"/>
      <c r="L1037" s="136" t="str">
        <f t="shared" si="47"/>
        <v>مدين</v>
      </c>
      <c r="M1037" s="137" t="str">
        <f>IF(ISERROR(VLOOKUP(C1037,'[1]خريطة الحسابات'!_xlnm.Print_Area,4,FALSE))," ",(VLOOKUP(C1037,'[1]خريطة الحسابات'!_xlnm.Print_Area,4,FALSE)))</f>
        <v xml:space="preserve">تكاليف ادارية وعمومية </v>
      </c>
      <c r="N1037" s="138" t="str">
        <f>IF(ISERROR(VLOOKUP(C1037,'[1]خريطة الحسابات'!_xlnm.Print_Area,5,FALSE))," ",(VLOOKUP(C1037,'[1]خريطة الحسابات'!_xlnm.Print_Area,5,FALSE)))</f>
        <v xml:space="preserve">مصروفات </v>
      </c>
      <c r="O1037" s="139" t="s">
        <v>1780</v>
      </c>
      <c r="P1037" s="139" t="s">
        <v>1759</v>
      </c>
    </row>
    <row r="1038" spans="1:16">
      <c r="A1038" s="104">
        <v>54</v>
      </c>
      <c r="B1038" s="131">
        <v>46132</v>
      </c>
      <c r="C1038" s="141" t="s">
        <v>33</v>
      </c>
      <c r="D1038" s="140" t="str">
        <f>IF(ISERROR(VLOOKUP(C1038,'[1]خريطة الحسابات'!_xlnm.Print_Area,3,FALSE))," ",(VLOOKUP(C1038,'[1]خريطة الحسابات'!_xlnm.Print_Area,3,FALSE)))</f>
        <v>مرتبات</v>
      </c>
      <c r="E1038" s="132"/>
      <c r="F1038" s="133">
        <v>1000</v>
      </c>
      <c r="G1038" s="133"/>
      <c r="H1038" s="134">
        <f t="shared" si="46"/>
        <v>1000</v>
      </c>
      <c r="I1038" s="134">
        <f t="shared" si="46"/>
        <v>0</v>
      </c>
      <c r="J1038" s="134">
        <f t="shared" si="45"/>
        <v>1000</v>
      </c>
      <c r="K1038" s="135"/>
      <c r="L1038" s="136" t="str">
        <f t="shared" si="47"/>
        <v>مدين</v>
      </c>
      <c r="M1038" s="137" t="str">
        <f>IF(ISERROR(VLOOKUP(C1038,'[1]خريطة الحسابات'!_xlnm.Print_Area,4,FALSE))," ",(VLOOKUP(C1038,'[1]خريطة الحسابات'!_xlnm.Print_Area,4,FALSE)))</f>
        <v xml:space="preserve">تكاليف ادارية وعمومية </v>
      </c>
      <c r="N1038" s="138" t="str">
        <f>IF(ISERROR(VLOOKUP(C1038,'[1]خريطة الحسابات'!_xlnm.Print_Area,5,FALSE))," ",(VLOOKUP(C1038,'[1]خريطة الحسابات'!_xlnm.Print_Area,5,FALSE)))</f>
        <v xml:space="preserve">مصروفات </v>
      </c>
      <c r="O1038" s="139" t="s">
        <v>1761</v>
      </c>
      <c r="P1038" s="139" t="s">
        <v>1759</v>
      </c>
    </row>
    <row r="1039" spans="1:16">
      <c r="A1039" s="104">
        <v>54</v>
      </c>
      <c r="B1039" s="131">
        <v>46134</v>
      </c>
      <c r="C1039" s="141" t="s">
        <v>33</v>
      </c>
      <c r="D1039" s="140" t="str">
        <f>IF(ISERROR(VLOOKUP(C1039,'[1]خريطة الحسابات'!_xlnm.Print_Area,3,FALSE))," ",(VLOOKUP(C1039,'[1]خريطة الحسابات'!_xlnm.Print_Area,3,FALSE)))</f>
        <v>مرتبات</v>
      </c>
      <c r="E1039" s="132"/>
      <c r="F1039" s="133">
        <v>1000</v>
      </c>
      <c r="G1039" s="133"/>
      <c r="H1039" s="134">
        <f t="shared" si="46"/>
        <v>1000</v>
      </c>
      <c r="I1039" s="134">
        <f t="shared" si="46"/>
        <v>0</v>
      </c>
      <c r="J1039" s="134">
        <f t="shared" si="45"/>
        <v>1000</v>
      </c>
      <c r="K1039" s="135"/>
      <c r="L1039" s="136" t="str">
        <f t="shared" si="47"/>
        <v>مدين</v>
      </c>
      <c r="M1039" s="137" t="str">
        <f>IF(ISERROR(VLOOKUP(C1039,'[1]خريطة الحسابات'!_xlnm.Print_Area,4,FALSE))," ",(VLOOKUP(C1039,'[1]خريطة الحسابات'!_xlnm.Print_Area,4,FALSE)))</f>
        <v xml:space="preserve">تكاليف ادارية وعمومية </v>
      </c>
      <c r="N1039" s="138" t="str">
        <f>IF(ISERROR(VLOOKUP(C1039,'[1]خريطة الحسابات'!_xlnm.Print_Area,5,FALSE))," ",(VLOOKUP(C1039,'[1]خريطة الحسابات'!_xlnm.Print_Area,5,FALSE)))</f>
        <v xml:space="preserve">مصروفات </v>
      </c>
      <c r="O1039" s="139" t="s">
        <v>1780</v>
      </c>
      <c r="P1039" s="139" t="s">
        <v>1759</v>
      </c>
    </row>
    <row r="1040" spans="1:16">
      <c r="A1040" s="104">
        <v>54</v>
      </c>
      <c r="B1040" s="131">
        <v>46138</v>
      </c>
      <c r="C1040" s="141" t="s">
        <v>33</v>
      </c>
      <c r="D1040" s="140" t="str">
        <f>IF(ISERROR(VLOOKUP(C1040,'[1]خريطة الحسابات'!_xlnm.Print_Area,3,FALSE))," ",(VLOOKUP(C1040,'[1]خريطة الحسابات'!_xlnm.Print_Area,3,FALSE)))</f>
        <v>مرتبات</v>
      </c>
      <c r="E1040" s="132"/>
      <c r="F1040" s="133">
        <v>1000</v>
      </c>
      <c r="G1040" s="133"/>
      <c r="H1040" s="134">
        <f t="shared" si="46"/>
        <v>1000</v>
      </c>
      <c r="I1040" s="134">
        <f t="shared" si="46"/>
        <v>0</v>
      </c>
      <c r="J1040" s="134">
        <f t="shared" si="45"/>
        <v>1000</v>
      </c>
      <c r="K1040" s="135"/>
      <c r="L1040" s="136" t="str">
        <f t="shared" si="47"/>
        <v>مدين</v>
      </c>
      <c r="M1040" s="137" t="str">
        <f>IF(ISERROR(VLOOKUP(C1040,'[1]خريطة الحسابات'!_xlnm.Print_Area,4,FALSE))," ",(VLOOKUP(C1040,'[1]خريطة الحسابات'!_xlnm.Print_Area,4,FALSE)))</f>
        <v xml:space="preserve">تكاليف ادارية وعمومية </v>
      </c>
      <c r="N1040" s="138" t="str">
        <f>IF(ISERROR(VLOOKUP(C1040,'[1]خريطة الحسابات'!_xlnm.Print_Area,5,FALSE))," ",(VLOOKUP(C1040,'[1]خريطة الحسابات'!_xlnm.Print_Area,5,FALSE)))</f>
        <v xml:space="preserve">مصروفات </v>
      </c>
      <c r="O1040" s="139" t="s">
        <v>1780</v>
      </c>
      <c r="P1040" s="139" t="s">
        <v>1759</v>
      </c>
    </row>
    <row r="1041" spans="1:16">
      <c r="A1041" s="104">
        <v>54</v>
      </c>
      <c r="B1041" s="131">
        <v>46144</v>
      </c>
      <c r="C1041" s="141" t="s">
        <v>33</v>
      </c>
      <c r="D1041" s="140" t="str">
        <f>IF(ISERROR(VLOOKUP(C1041,'[1]خريطة الحسابات'!_xlnm.Print_Area,3,FALSE))," ",(VLOOKUP(C1041,'[1]خريطة الحسابات'!_xlnm.Print_Area,3,FALSE)))</f>
        <v>مرتبات</v>
      </c>
      <c r="E1041" s="132"/>
      <c r="F1041" s="133">
        <v>481985</v>
      </c>
      <c r="G1041" s="133"/>
      <c r="H1041" s="134">
        <f t="shared" si="46"/>
        <v>481985</v>
      </c>
      <c r="I1041" s="134">
        <f t="shared" si="46"/>
        <v>0</v>
      </c>
      <c r="J1041" s="134">
        <f t="shared" si="45"/>
        <v>481985</v>
      </c>
      <c r="K1041" s="135"/>
      <c r="L1041" s="136" t="str">
        <f t="shared" si="47"/>
        <v>مدين</v>
      </c>
      <c r="M1041" s="137" t="str">
        <f>IF(ISERROR(VLOOKUP(C1041,'[1]خريطة الحسابات'!_xlnm.Print_Area,4,FALSE))," ",(VLOOKUP(C1041,'[1]خريطة الحسابات'!_xlnm.Print_Area,4,FALSE)))</f>
        <v xml:space="preserve">تكاليف ادارية وعمومية </v>
      </c>
      <c r="N1041" s="138" t="str">
        <f>IF(ISERROR(VLOOKUP(C1041,'[1]خريطة الحسابات'!_xlnm.Print_Area,5,FALSE))," ",(VLOOKUP(C1041,'[1]خريطة الحسابات'!_xlnm.Print_Area,5,FALSE)))</f>
        <v xml:space="preserve">مصروفات </v>
      </c>
      <c r="O1041" s="139" t="s">
        <v>1786</v>
      </c>
      <c r="P1041" s="139" t="s">
        <v>1759</v>
      </c>
    </row>
    <row r="1042" spans="1:16">
      <c r="A1042" s="104">
        <v>54</v>
      </c>
      <c r="B1042" s="131">
        <v>46147</v>
      </c>
      <c r="C1042" s="141" t="s">
        <v>33</v>
      </c>
      <c r="D1042" s="140" t="str">
        <f>IF(ISERROR(VLOOKUP(C1042,'[1]خريطة الحسابات'!_xlnm.Print_Area,3,FALSE))," ",(VLOOKUP(C1042,'[1]خريطة الحسابات'!_xlnm.Print_Area,3,FALSE)))</f>
        <v>مرتبات</v>
      </c>
      <c r="E1042" s="132"/>
      <c r="F1042" s="133">
        <v>2700</v>
      </c>
      <c r="G1042" s="133"/>
      <c r="H1042" s="134">
        <f t="shared" si="46"/>
        <v>2700</v>
      </c>
      <c r="I1042" s="134">
        <f t="shared" si="46"/>
        <v>0</v>
      </c>
      <c r="J1042" s="134">
        <f t="shared" si="45"/>
        <v>2700</v>
      </c>
      <c r="K1042" s="135"/>
      <c r="L1042" s="136" t="str">
        <f t="shared" si="47"/>
        <v>مدين</v>
      </c>
      <c r="M1042" s="137" t="str">
        <f>IF(ISERROR(VLOOKUP(C1042,'[1]خريطة الحسابات'!_xlnm.Print_Area,4,FALSE))," ",(VLOOKUP(C1042,'[1]خريطة الحسابات'!_xlnm.Print_Area,4,FALSE)))</f>
        <v xml:space="preserve">تكاليف ادارية وعمومية </v>
      </c>
      <c r="N1042" s="138" t="str">
        <f>IF(ISERROR(VLOOKUP(C1042,'[1]خريطة الحسابات'!_xlnm.Print_Area,5,FALSE))," ",(VLOOKUP(C1042,'[1]خريطة الحسابات'!_xlnm.Print_Area,5,FALSE)))</f>
        <v xml:space="preserve">مصروفات </v>
      </c>
      <c r="O1042" s="139" t="s">
        <v>1787</v>
      </c>
      <c r="P1042" s="139" t="s">
        <v>1759</v>
      </c>
    </row>
    <row r="1043" spans="1:16">
      <c r="A1043" s="104">
        <v>54</v>
      </c>
      <c r="B1043" s="131">
        <v>46147</v>
      </c>
      <c r="C1043" s="141" t="s">
        <v>33</v>
      </c>
      <c r="D1043" s="140" t="str">
        <f>IF(ISERROR(VLOOKUP(C1043,'[1]خريطة الحسابات'!_xlnm.Print_Area,3,FALSE))," ",(VLOOKUP(C1043,'[1]خريطة الحسابات'!_xlnm.Print_Area,3,FALSE)))</f>
        <v>مرتبات</v>
      </c>
      <c r="E1043" s="132"/>
      <c r="F1043" s="133">
        <v>1820</v>
      </c>
      <c r="G1043" s="133"/>
      <c r="H1043" s="134">
        <f t="shared" si="46"/>
        <v>1820</v>
      </c>
      <c r="I1043" s="134">
        <f t="shared" si="46"/>
        <v>0</v>
      </c>
      <c r="J1043" s="134">
        <f t="shared" si="45"/>
        <v>1820</v>
      </c>
      <c r="K1043" s="135"/>
      <c r="L1043" s="136" t="str">
        <f t="shared" si="47"/>
        <v>مدين</v>
      </c>
      <c r="M1043" s="137" t="str">
        <f>IF(ISERROR(VLOOKUP(C1043,'[1]خريطة الحسابات'!_xlnm.Print_Area,4,FALSE))," ",(VLOOKUP(C1043,'[1]خريطة الحسابات'!_xlnm.Print_Area,4,FALSE)))</f>
        <v xml:space="preserve">تكاليف ادارية وعمومية </v>
      </c>
      <c r="N1043" s="138" t="str">
        <f>IF(ISERROR(VLOOKUP(C1043,'[1]خريطة الحسابات'!_xlnm.Print_Area,5,FALSE))," ",(VLOOKUP(C1043,'[1]خريطة الحسابات'!_xlnm.Print_Area,5,FALSE)))</f>
        <v xml:space="preserve">مصروفات </v>
      </c>
      <c r="O1043" s="139" t="s">
        <v>1788</v>
      </c>
      <c r="P1043" s="139" t="s">
        <v>1759</v>
      </c>
    </row>
    <row r="1044" spans="1:16">
      <c r="A1044" s="104">
        <v>54</v>
      </c>
      <c r="B1044" s="131">
        <v>46147</v>
      </c>
      <c r="C1044" s="141" t="s">
        <v>33</v>
      </c>
      <c r="D1044" s="140" t="str">
        <f>IF(ISERROR(VLOOKUP(C1044,'[1]خريطة الحسابات'!_xlnm.Print_Area,3,FALSE))," ",(VLOOKUP(C1044,'[1]خريطة الحسابات'!_xlnm.Print_Area,3,FALSE)))</f>
        <v>مرتبات</v>
      </c>
      <c r="E1044" s="132"/>
      <c r="F1044" s="133">
        <v>2180</v>
      </c>
      <c r="G1044" s="133"/>
      <c r="H1044" s="134">
        <f t="shared" si="46"/>
        <v>2180</v>
      </c>
      <c r="I1044" s="134">
        <f t="shared" si="46"/>
        <v>0</v>
      </c>
      <c r="J1044" s="134">
        <f t="shared" si="45"/>
        <v>2180</v>
      </c>
      <c r="K1044" s="135"/>
      <c r="L1044" s="136" t="str">
        <f t="shared" si="47"/>
        <v>مدين</v>
      </c>
      <c r="M1044" s="137" t="str">
        <f>IF(ISERROR(VLOOKUP(C1044,'[1]خريطة الحسابات'!_xlnm.Print_Area,4,FALSE))," ",(VLOOKUP(C1044,'[1]خريطة الحسابات'!_xlnm.Print_Area,4,FALSE)))</f>
        <v xml:space="preserve">تكاليف ادارية وعمومية </v>
      </c>
      <c r="N1044" s="138" t="str">
        <f>IF(ISERROR(VLOOKUP(C1044,'[1]خريطة الحسابات'!_xlnm.Print_Area,5,FALSE))," ",(VLOOKUP(C1044,'[1]خريطة الحسابات'!_xlnm.Print_Area,5,FALSE)))</f>
        <v xml:space="preserve">مصروفات </v>
      </c>
      <c r="O1044" s="139" t="s">
        <v>1789</v>
      </c>
      <c r="P1044" s="139" t="s">
        <v>1759</v>
      </c>
    </row>
    <row r="1045" spans="1:16">
      <c r="A1045" s="104">
        <v>54</v>
      </c>
      <c r="B1045" s="131">
        <v>46151</v>
      </c>
      <c r="C1045" s="141" t="s">
        <v>33</v>
      </c>
      <c r="D1045" s="140" t="str">
        <f>IF(ISERROR(VLOOKUP(C1045,'[1]خريطة الحسابات'!_xlnm.Print_Area,3,FALSE))," ",(VLOOKUP(C1045,'[1]خريطة الحسابات'!_xlnm.Print_Area,3,FALSE)))</f>
        <v>مرتبات</v>
      </c>
      <c r="E1045" s="132"/>
      <c r="F1045" s="133">
        <v>10000</v>
      </c>
      <c r="G1045" s="133"/>
      <c r="H1045" s="134">
        <f t="shared" si="46"/>
        <v>10000</v>
      </c>
      <c r="I1045" s="134">
        <f t="shared" si="46"/>
        <v>0</v>
      </c>
      <c r="J1045" s="134">
        <f t="shared" si="45"/>
        <v>10000</v>
      </c>
      <c r="K1045" s="135"/>
      <c r="L1045" s="136" t="str">
        <f t="shared" si="47"/>
        <v>مدين</v>
      </c>
      <c r="M1045" s="137" t="str">
        <f>IF(ISERROR(VLOOKUP(C1045,'[1]خريطة الحسابات'!_xlnm.Print_Area,4,FALSE))," ",(VLOOKUP(C1045,'[1]خريطة الحسابات'!_xlnm.Print_Area,4,FALSE)))</f>
        <v xml:space="preserve">تكاليف ادارية وعمومية </v>
      </c>
      <c r="N1045" s="138" t="str">
        <f>IF(ISERROR(VLOOKUP(C1045,'[1]خريطة الحسابات'!_xlnm.Print_Area,5,FALSE))," ",(VLOOKUP(C1045,'[1]خريطة الحسابات'!_xlnm.Print_Area,5,FALSE)))</f>
        <v xml:space="preserve">مصروفات </v>
      </c>
      <c r="O1045" s="139" t="s">
        <v>1760</v>
      </c>
      <c r="P1045" s="139" t="s">
        <v>1759</v>
      </c>
    </row>
    <row r="1046" spans="1:16">
      <c r="A1046" s="104">
        <v>54</v>
      </c>
      <c r="B1046" s="131">
        <v>46159</v>
      </c>
      <c r="C1046" s="141" t="s">
        <v>33</v>
      </c>
      <c r="D1046" s="140" t="str">
        <f>IF(ISERROR(VLOOKUP(C1046,'[1]خريطة الحسابات'!_xlnm.Print_Area,3,FALSE))," ",(VLOOKUP(C1046,'[1]خريطة الحسابات'!_xlnm.Print_Area,3,FALSE)))</f>
        <v>مرتبات</v>
      </c>
      <c r="E1046" s="132"/>
      <c r="F1046" s="133">
        <v>4000</v>
      </c>
      <c r="G1046" s="133"/>
      <c r="H1046" s="134">
        <f t="shared" si="46"/>
        <v>4000</v>
      </c>
      <c r="I1046" s="134">
        <f t="shared" si="46"/>
        <v>0</v>
      </c>
      <c r="J1046" s="134">
        <f t="shared" si="45"/>
        <v>4000</v>
      </c>
      <c r="K1046" s="135"/>
      <c r="L1046" s="136" t="str">
        <f t="shared" si="47"/>
        <v>مدين</v>
      </c>
      <c r="M1046" s="137" t="str">
        <f>IF(ISERROR(VLOOKUP(C1046,'[1]خريطة الحسابات'!_xlnm.Print_Area,4,FALSE))," ",(VLOOKUP(C1046,'[1]خريطة الحسابات'!_xlnm.Print_Area,4,FALSE)))</f>
        <v xml:space="preserve">تكاليف ادارية وعمومية </v>
      </c>
      <c r="N1046" s="138" t="str">
        <f>IF(ISERROR(VLOOKUP(C1046,'[1]خريطة الحسابات'!_xlnm.Print_Area,5,FALSE))," ",(VLOOKUP(C1046,'[1]خريطة الحسابات'!_xlnm.Print_Area,5,FALSE)))</f>
        <v xml:space="preserve">مصروفات </v>
      </c>
      <c r="O1046" s="139" t="s">
        <v>1790</v>
      </c>
      <c r="P1046" s="139" t="s">
        <v>1759</v>
      </c>
    </row>
    <row r="1047" spans="1:16">
      <c r="A1047" s="104">
        <v>54</v>
      </c>
      <c r="B1047" s="131">
        <v>46161</v>
      </c>
      <c r="C1047" s="141" t="s">
        <v>33</v>
      </c>
      <c r="D1047" s="140" t="str">
        <f>IF(ISERROR(VLOOKUP(C1047,'[1]خريطة الحسابات'!_xlnm.Print_Area,3,FALSE))," ",(VLOOKUP(C1047,'[1]خريطة الحسابات'!_xlnm.Print_Area,3,FALSE)))</f>
        <v>مرتبات</v>
      </c>
      <c r="E1047" s="132"/>
      <c r="F1047" s="133">
        <v>20000</v>
      </c>
      <c r="G1047" s="133"/>
      <c r="H1047" s="134">
        <f t="shared" si="46"/>
        <v>20000</v>
      </c>
      <c r="I1047" s="134">
        <f t="shared" si="46"/>
        <v>0</v>
      </c>
      <c r="J1047" s="134">
        <f t="shared" si="45"/>
        <v>20000</v>
      </c>
      <c r="K1047" s="135"/>
      <c r="L1047" s="136" t="str">
        <f t="shared" si="47"/>
        <v>مدين</v>
      </c>
      <c r="M1047" s="137" t="str">
        <f>IF(ISERROR(VLOOKUP(C1047,'[1]خريطة الحسابات'!_xlnm.Print_Area,4,FALSE))," ",(VLOOKUP(C1047,'[1]خريطة الحسابات'!_xlnm.Print_Area,4,FALSE)))</f>
        <v xml:space="preserve">تكاليف ادارية وعمومية </v>
      </c>
      <c r="N1047" s="138" t="str">
        <f>IF(ISERROR(VLOOKUP(C1047,'[1]خريطة الحسابات'!_xlnm.Print_Area,5,FALSE))," ",(VLOOKUP(C1047,'[1]خريطة الحسابات'!_xlnm.Print_Area,5,FALSE)))</f>
        <v xml:space="preserve">مصروفات </v>
      </c>
      <c r="O1047" s="139" t="s">
        <v>1791</v>
      </c>
      <c r="P1047" s="139" t="s">
        <v>1759</v>
      </c>
    </row>
    <row r="1048" spans="1:16">
      <c r="A1048" s="104">
        <v>54</v>
      </c>
      <c r="B1048" s="131">
        <v>46167</v>
      </c>
      <c r="C1048" s="141" t="s">
        <v>33</v>
      </c>
      <c r="D1048" s="140" t="str">
        <f>IF(ISERROR(VLOOKUP(C1048,'[1]خريطة الحسابات'!_xlnm.Print_Area,3,FALSE))," ",(VLOOKUP(C1048,'[1]خريطة الحسابات'!_xlnm.Print_Area,3,FALSE)))</f>
        <v>مرتبات</v>
      </c>
      <c r="E1048" s="132"/>
      <c r="F1048" s="133">
        <v>317975</v>
      </c>
      <c r="G1048" s="133"/>
      <c r="H1048" s="134">
        <f t="shared" si="46"/>
        <v>317975</v>
      </c>
      <c r="I1048" s="134">
        <f t="shared" si="46"/>
        <v>0</v>
      </c>
      <c r="J1048" s="134">
        <f t="shared" ref="J1048:J1111" si="48">H1048-I1048</f>
        <v>317975</v>
      </c>
      <c r="K1048" s="135"/>
      <c r="L1048" s="136" t="str">
        <f t="shared" si="47"/>
        <v>مدين</v>
      </c>
      <c r="M1048" s="137" t="str">
        <f>IF(ISERROR(VLOOKUP(C1048,'[1]خريطة الحسابات'!_xlnm.Print_Area,4,FALSE))," ",(VLOOKUP(C1048,'[1]خريطة الحسابات'!_xlnm.Print_Area,4,FALSE)))</f>
        <v xml:space="preserve">تكاليف ادارية وعمومية </v>
      </c>
      <c r="N1048" s="138" t="str">
        <f>IF(ISERROR(VLOOKUP(C1048,'[1]خريطة الحسابات'!_xlnm.Print_Area,5,FALSE))," ",(VLOOKUP(C1048,'[1]خريطة الحسابات'!_xlnm.Print_Area,5,FALSE)))</f>
        <v xml:space="preserve">مصروفات </v>
      </c>
      <c r="O1048" s="139" t="s">
        <v>1792</v>
      </c>
      <c r="P1048" s="139" t="s">
        <v>1759</v>
      </c>
    </row>
    <row r="1049" spans="1:16">
      <c r="A1049" s="104">
        <v>54</v>
      </c>
      <c r="B1049" s="131">
        <v>46168</v>
      </c>
      <c r="C1049" s="141" t="s">
        <v>33</v>
      </c>
      <c r="D1049" s="140" t="str">
        <f>IF(ISERROR(VLOOKUP(C1049,'[1]خريطة الحسابات'!_xlnm.Print_Area,3,FALSE))," ",(VLOOKUP(C1049,'[1]خريطة الحسابات'!_xlnm.Print_Area,3,FALSE)))</f>
        <v>مرتبات</v>
      </c>
      <c r="E1049" s="132"/>
      <c r="F1049" s="133">
        <v>40344</v>
      </c>
      <c r="G1049" s="133"/>
      <c r="H1049" s="134">
        <f t="shared" ref="H1049:I1112" si="49">IF($E1049=2,F1049*3.465,F1049)</f>
        <v>40344</v>
      </c>
      <c r="I1049" s="134">
        <f t="shared" si="49"/>
        <v>0</v>
      </c>
      <c r="J1049" s="134">
        <f t="shared" si="48"/>
        <v>40344</v>
      </c>
      <c r="K1049" s="135"/>
      <c r="L1049" s="136" t="str">
        <f t="shared" si="47"/>
        <v>مدين</v>
      </c>
      <c r="M1049" s="137" t="str">
        <f>IF(ISERROR(VLOOKUP(C1049,'[1]خريطة الحسابات'!_xlnm.Print_Area,4,FALSE))," ",(VLOOKUP(C1049,'[1]خريطة الحسابات'!_xlnm.Print_Area,4,FALSE)))</f>
        <v xml:space="preserve">تكاليف ادارية وعمومية </v>
      </c>
      <c r="N1049" s="138" t="str">
        <f>IF(ISERROR(VLOOKUP(C1049,'[1]خريطة الحسابات'!_xlnm.Print_Area,5,FALSE))," ",(VLOOKUP(C1049,'[1]خريطة الحسابات'!_xlnm.Print_Area,5,FALSE)))</f>
        <v xml:space="preserve">مصروفات </v>
      </c>
      <c r="O1049" s="139" t="s">
        <v>1793</v>
      </c>
      <c r="P1049" s="139" t="s">
        <v>1759</v>
      </c>
    </row>
    <row r="1050" spans="1:16">
      <c r="A1050" s="104">
        <v>54</v>
      </c>
      <c r="B1050" s="131">
        <v>46174</v>
      </c>
      <c r="C1050" s="141" t="s">
        <v>33</v>
      </c>
      <c r="D1050" s="140" t="str">
        <f>IF(ISERROR(VLOOKUP(C1050,'[1]خريطة الحسابات'!_xlnm.Print_Area,3,FALSE))," ",(VLOOKUP(C1050,'[1]خريطة الحسابات'!_xlnm.Print_Area,3,FALSE)))</f>
        <v>مرتبات</v>
      </c>
      <c r="E1050" s="132"/>
      <c r="F1050" s="133">
        <v>121846</v>
      </c>
      <c r="G1050" s="133"/>
      <c r="H1050" s="134">
        <f t="shared" si="49"/>
        <v>121846</v>
      </c>
      <c r="I1050" s="134">
        <f t="shared" si="49"/>
        <v>0</v>
      </c>
      <c r="J1050" s="134">
        <f t="shared" si="48"/>
        <v>121846</v>
      </c>
      <c r="K1050" s="135"/>
      <c r="L1050" s="136" t="str">
        <f t="shared" si="47"/>
        <v>مدين</v>
      </c>
      <c r="M1050" s="137" t="str">
        <f>IF(ISERROR(VLOOKUP(C1050,'[1]خريطة الحسابات'!_xlnm.Print_Area,4,FALSE))," ",(VLOOKUP(C1050,'[1]خريطة الحسابات'!_xlnm.Print_Area,4,FALSE)))</f>
        <v xml:space="preserve">تكاليف ادارية وعمومية </v>
      </c>
      <c r="N1050" s="138" t="str">
        <f>IF(ISERROR(VLOOKUP(C1050,'[1]خريطة الحسابات'!_xlnm.Print_Area,5,FALSE))," ",(VLOOKUP(C1050,'[1]خريطة الحسابات'!_xlnm.Print_Area,5,FALSE)))</f>
        <v xml:space="preserve">مصروفات </v>
      </c>
      <c r="O1050" s="139" t="s">
        <v>1794</v>
      </c>
      <c r="P1050" s="139" t="s">
        <v>1759</v>
      </c>
    </row>
    <row r="1051" spans="1:16">
      <c r="A1051" s="104">
        <v>54</v>
      </c>
      <c r="B1051" s="131">
        <v>46175</v>
      </c>
      <c r="C1051" s="141" t="s">
        <v>33</v>
      </c>
      <c r="D1051" s="140" t="str">
        <f>IF(ISERROR(VLOOKUP(C1051,'[1]خريطة الحسابات'!_xlnm.Print_Area,3,FALSE))," ",(VLOOKUP(C1051,'[1]خريطة الحسابات'!_xlnm.Print_Area,3,FALSE)))</f>
        <v>مرتبات</v>
      </c>
      <c r="E1051" s="132"/>
      <c r="F1051" s="133">
        <v>12000</v>
      </c>
      <c r="G1051" s="133"/>
      <c r="H1051" s="134">
        <f t="shared" si="49"/>
        <v>12000</v>
      </c>
      <c r="I1051" s="134">
        <f t="shared" si="49"/>
        <v>0</v>
      </c>
      <c r="J1051" s="134">
        <f t="shared" si="48"/>
        <v>12000</v>
      </c>
      <c r="K1051" s="135"/>
      <c r="L1051" s="136" t="str">
        <f t="shared" ref="L1051:L1114" si="50">IF(J1051&lt;0,"دائن",IF(J1051&gt;0,"مدين",""))</f>
        <v>مدين</v>
      </c>
      <c r="M1051" s="137" t="str">
        <f>IF(ISERROR(VLOOKUP(C1051,'[1]خريطة الحسابات'!_xlnm.Print_Area,4,FALSE))," ",(VLOOKUP(C1051,'[1]خريطة الحسابات'!_xlnm.Print_Area,4,FALSE)))</f>
        <v xml:space="preserve">تكاليف ادارية وعمومية </v>
      </c>
      <c r="N1051" s="138" t="str">
        <f>IF(ISERROR(VLOOKUP(C1051,'[1]خريطة الحسابات'!_xlnm.Print_Area,5,FALSE))," ",(VLOOKUP(C1051,'[1]خريطة الحسابات'!_xlnm.Print_Area,5,FALSE)))</f>
        <v xml:space="preserve">مصروفات </v>
      </c>
      <c r="O1051" s="139" t="s">
        <v>1760</v>
      </c>
      <c r="P1051" s="139" t="s">
        <v>1759</v>
      </c>
    </row>
    <row r="1052" spans="1:16">
      <c r="A1052" s="104">
        <v>54</v>
      </c>
      <c r="B1052" s="131">
        <v>46177</v>
      </c>
      <c r="C1052" s="141" t="s">
        <v>33</v>
      </c>
      <c r="D1052" s="140" t="str">
        <f>IF(ISERROR(VLOOKUP(C1052,'[1]خريطة الحسابات'!_xlnm.Print_Area,3,FALSE))," ",(VLOOKUP(C1052,'[1]خريطة الحسابات'!_xlnm.Print_Area,3,FALSE)))</f>
        <v>مرتبات</v>
      </c>
      <c r="E1052" s="132"/>
      <c r="F1052" s="133">
        <v>950</v>
      </c>
      <c r="G1052" s="133"/>
      <c r="H1052" s="134">
        <f t="shared" si="49"/>
        <v>950</v>
      </c>
      <c r="I1052" s="134">
        <f t="shared" si="49"/>
        <v>0</v>
      </c>
      <c r="J1052" s="134">
        <f t="shared" si="48"/>
        <v>950</v>
      </c>
      <c r="K1052" s="135"/>
      <c r="L1052" s="136" t="str">
        <f t="shared" si="50"/>
        <v>مدين</v>
      </c>
      <c r="M1052" s="137" t="str">
        <f>IF(ISERROR(VLOOKUP(C1052,'[1]خريطة الحسابات'!_xlnm.Print_Area,4,FALSE))," ",(VLOOKUP(C1052,'[1]خريطة الحسابات'!_xlnm.Print_Area,4,FALSE)))</f>
        <v xml:space="preserve">تكاليف ادارية وعمومية </v>
      </c>
      <c r="N1052" s="138" t="str">
        <f>IF(ISERROR(VLOOKUP(C1052,'[1]خريطة الحسابات'!_xlnm.Print_Area,5,FALSE))," ",(VLOOKUP(C1052,'[1]خريطة الحسابات'!_xlnm.Print_Area,5,FALSE)))</f>
        <v xml:space="preserve">مصروفات </v>
      </c>
      <c r="O1052" s="139" t="s">
        <v>1795</v>
      </c>
      <c r="P1052" s="139" t="s">
        <v>1759</v>
      </c>
    </row>
    <row r="1053" spans="1:16">
      <c r="A1053" s="104">
        <v>54</v>
      </c>
      <c r="B1053" s="131">
        <v>46177</v>
      </c>
      <c r="C1053" s="141" t="s">
        <v>33</v>
      </c>
      <c r="D1053" s="140" t="str">
        <f>IF(ISERROR(VLOOKUP(C1053,'[1]خريطة الحسابات'!_xlnm.Print_Area,3,FALSE))," ",(VLOOKUP(C1053,'[1]خريطة الحسابات'!_xlnm.Print_Area,3,FALSE)))</f>
        <v>مرتبات</v>
      </c>
      <c r="E1053" s="132"/>
      <c r="F1053" s="133">
        <v>400</v>
      </c>
      <c r="G1053" s="133"/>
      <c r="H1053" s="134">
        <f t="shared" si="49"/>
        <v>400</v>
      </c>
      <c r="I1053" s="134">
        <f t="shared" si="49"/>
        <v>0</v>
      </c>
      <c r="J1053" s="134">
        <f t="shared" si="48"/>
        <v>400</v>
      </c>
      <c r="K1053" s="135"/>
      <c r="L1053" s="136" t="str">
        <f t="shared" si="50"/>
        <v>مدين</v>
      </c>
      <c r="M1053" s="137" t="str">
        <f>IF(ISERROR(VLOOKUP(C1053,'[1]خريطة الحسابات'!_xlnm.Print_Area,4,FALSE))," ",(VLOOKUP(C1053,'[1]خريطة الحسابات'!_xlnm.Print_Area,4,FALSE)))</f>
        <v xml:space="preserve">تكاليف ادارية وعمومية </v>
      </c>
      <c r="N1053" s="138" t="str">
        <f>IF(ISERROR(VLOOKUP(C1053,'[1]خريطة الحسابات'!_xlnm.Print_Area,5,FALSE))," ",(VLOOKUP(C1053,'[1]خريطة الحسابات'!_xlnm.Print_Area,5,FALSE)))</f>
        <v xml:space="preserve">مصروفات </v>
      </c>
      <c r="O1053" s="139" t="s">
        <v>1796</v>
      </c>
      <c r="P1053" s="139" t="s">
        <v>1759</v>
      </c>
    </row>
    <row r="1054" spans="1:16">
      <c r="A1054" s="104">
        <v>54</v>
      </c>
      <c r="B1054" s="131">
        <v>46179</v>
      </c>
      <c r="C1054" s="141" t="s">
        <v>33</v>
      </c>
      <c r="D1054" s="140" t="str">
        <f>IF(ISERROR(VLOOKUP(C1054,'[1]خريطة الحسابات'!_xlnm.Print_Area,3,FALSE))," ",(VLOOKUP(C1054,'[1]خريطة الحسابات'!_xlnm.Print_Area,3,FALSE)))</f>
        <v>مرتبات</v>
      </c>
      <c r="E1054" s="132"/>
      <c r="F1054" s="133">
        <v>9209</v>
      </c>
      <c r="G1054" s="133"/>
      <c r="H1054" s="134">
        <f t="shared" si="49"/>
        <v>9209</v>
      </c>
      <c r="I1054" s="134">
        <f t="shared" si="49"/>
        <v>0</v>
      </c>
      <c r="J1054" s="134">
        <f t="shared" si="48"/>
        <v>9209</v>
      </c>
      <c r="K1054" s="135"/>
      <c r="L1054" s="136" t="str">
        <f t="shared" si="50"/>
        <v>مدين</v>
      </c>
      <c r="M1054" s="137" t="str">
        <f>IF(ISERROR(VLOOKUP(C1054,'[1]خريطة الحسابات'!_xlnm.Print_Area,4,FALSE))," ",(VLOOKUP(C1054,'[1]خريطة الحسابات'!_xlnm.Print_Area,4,FALSE)))</f>
        <v xml:space="preserve">تكاليف ادارية وعمومية </v>
      </c>
      <c r="N1054" s="138" t="str">
        <f>IF(ISERROR(VLOOKUP(C1054,'[1]خريطة الحسابات'!_xlnm.Print_Area,5,FALSE))," ",(VLOOKUP(C1054,'[1]خريطة الحسابات'!_xlnm.Print_Area,5,FALSE)))</f>
        <v xml:space="preserve">مصروفات </v>
      </c>
      <c r="O1054" s="139" t="s">
        <v>1797</v>
      </c>
      <c r="P1054" s="139" t="s">
        <v>1759</v>
      </c>
    </row>
    <row r="1055" spans="1:16">
      <c r="A1055" s="104">
        <v>54</v>
      </c>
      <c r="B1055" s="131">
        <v>46184</v>
      </c>
      <c r="C1055" s="141" t="s">
        <v>33</v>
      </c>
      <c r="D1055" s="140" t="str">
        <f>IF(ISERROR(VLOOKUP(C1055,'[1]خريطة الحسابات'!_xlnm.Print_Area,3,FALSE))," ",(VLOOKUP(C1055,'[1]خريطة الحسابات'!_xlnm.Print_Area,3,FALSE)))</f>
        <v>مرتبات</v>
      </c>
      <c r="E1055" s="132"/>
      <c r="F1055" s="133">
        <v>1000</v>
      </c>
      <c r="G1055" s="133"/>
      <c r="H1055" s="134">
        <f t="shared" si="49"/>
        <v>1000</v>
      </c>
      <c r="I1055" s="134">
        <f t="shared" si="49"/>
        <v>0</v>
      </c>
      <c r="J1055" s="134">
        <f t="shared" si="48"/>
        <v>1000</v>
      </c>
      <c r="K1055" s="135"/>
      <c r="L1055" s="136" t="str">
        <f t="shared" si="50"/>
        <v>مدين</v>
      </c>
      <c r="M1055" s="137" t="str">
        <f>IF(ISERROR(VLOOKUP(C1055,'[1]خريطة الحسابات'!_xlnm.Print_Area,4,FALSE))," ",(VLOOKUP(C1055,'[1]خريطة الحسابات'!_xlnm.Print_Area,4,FALSE)))</f>
        <v xml:space="preserve">تكاليف ادارية وعمومية </v>
      </c>
      <c r="N1055" s="138" t="str">
        <f>IF(ISERROR(VLOOKUP(C1055,'[1]خريطة الحسابات'!_xlnm.Print_Area,5,FALSE))," ",(VLOOKUP(C1055,'[1]خريطة الحسابات'!_xlnm.Print_Area,5,FALSE)))</f>
        <v xml:space="preserve">مصروفات </v>
      </c>
      <c r="O1055" s="139" t="s">
        <v>1798</v>
      </c>
      <c r="P1055" s="139" t="s">
        <v>1759</v>
      </c>
    </row>
    <row r="1056" spans="1:16">
      <c r="A1056" s="104">
        <v>54</v>
      </c>
      <c r="B1056" s="131">
        <v>46028</v>
      </c>
      <c r="C1056" s="141">
        <v>20</v>
      </c>
      <c r="D1056" s="140" t="str">
        <f>IF(ISERROR(VLOOKUP(C1056,'[1]خريطة الحسابات'!_xlnm.Print_Area,3,FALSE))," ",(VLOOKUP(C1056,'[1]خريطة الحسابات'!_xlnm.Print_Area,3,FALSE)))</f>
        <v xml:space="preserve">الخزينة </v>
      </c>
      <c r="E1056" s="132"/>
      <c r="F1056" s="133"/>
      <c r="G1056" s="133">
        <v>1000</v>
      </c>
      <c r="H1056" s="134">
        <f t="shared" si="49"/>
        <v>0</v>
      </c>
      <c r="I1056" s="134">
        <f t="shared" si="49"/>
        <v>1000</v>
      </c>
      <c r="J1056" s="134">
        <f t="shared" si="48"/>
        <v>-1000</v>
      </c>
      <c r="K1056" s="135"/>
      <c r="L1056" s="136" t="str">
        <f t="shared" si="50"/>
        <v>دائن</v>
      </c>
      <c r="M1056" s="137" t="str">
        <f>IF(ISERROR(VLOOKUP(C1056,'[1]خريطة الحسابات'!_xlnm.Print_Area,4,FALSE))," ",(VLOOKUP(C1056,'[1]خريطة الحسابات'!_xlnm.Print_Area,4,FALSE)))</f>
        <v xml:space="preserve">أصول متداوله -النقدية ومافي حكمها </v>
      </c>
      <c r="N1056" s="138" t="str">
        <f>IF(ISERROR(VLOOKUP(C1056,'[1]خريطة الحسابات'!_xlnm.Print_Area,5,FALSE))," ",(VLOOKUP(C1056,'[1]خريطة الحسابات'!_xlnm.Print_Area,5,FALSE)))</f>
        <v>الاصول</v>
      </c>
      <c r="O1056" s="139" t="s">
        <v>1758</v>
      </c>
      <c r="P1056" s="139" t="s">
        <v>1759</v>
      </c>
    </row>
    <row r="1057" spans="1:16">
      <c r="A1057" s="104">
        <v>54</v>
      </c>
      <c r="B1057" s="131">
        <v>46029</v>
      </c>
      <c r="C1057" s="141">
        <v>20</v>
      </c>
      <c r="D1057" s="140" t="str">
        <f>IF(ISERROR(VLOOKUP(C1057,'[1]خريطة الحسابات'!_xlnm.Print_Area,3,FALSE))," ",(VLOOKUP(C1057,'[1]خريطة الحسابات'!_xlnm.Print_Area,3,FALSE)))</f>
        <v xml:space="preserve">الخزينة </v>
      </c>
      <c r="E1057" s="132"/>
      <c r="F1057" s="133"/>
      <c r="G1057" s="133">
        <v>8008</v>
      </c>
      <c r="H1057" s="134">
        <f t="shared" si="49"/>
        <v>0</v>
      </c>
      <c r="I1057" s="134">
        <f t="shared" si="49"/>
        <v>8008</v>
      </c>
      <c r="J1057" s="134">
        <f t="shared" si="48"/>
        <v>-8008</v>
      </c>
      <c r="K1057" s="135"/>
      <c r="L1057" s="136" t="str">
        <f t="shared" si="50"/>
        <v>دائن</v>
      </c>
      <c r="M1057" s="137" t="str">
        <f>IF(ISERROR(VLOOKUP(C1057,'[1]خريطة الحسابات'!_xlnm.Print_Area,4,FALSE))," ",(VLOOKUP(C1057,'[1]خريطة الحسابات'!_xlnm.Print_Area,4,FALSE)))</f>
        <v xml:space="preserve">أصول متداوله -النقدية ومافي حكمها </v>
      </c>
      <c r="N1057" s="138" t="str">
        <f>IF(ISERROR(VLOOKUP(C1057,'[1]خريطة الحسابات'!_xlnm.Print_Area,5,FALSE))," ",(VLOOKUP(C1057,'[1]خريطة الحسابات'!_xlnm.Print_Area,5,FALSE)))</f>
        <v>الاصول</v>
      </c>
      <c r="O1057" s="139" t="s">
        <v>1760</v>
      </c>
      <c r="P1057" s="139" t="s">
        <v>1759</v>
      </c>
    </row>
    <row r="1058" spans="1:16">
      <c r="A1058" s="104">
        <v>54</v>
      </c>
      <c r="B1058" s="131">
        <v>46030</v>
      </c>
      <c r="C1058" s="141">
        <v>20</v>
      </c>
      <c r="D1058" s="140" t="str">
        <f>IF(ISERROR(VLOOKUP(C1058,'[1]خريطة الحسابات'!_xlnm.Print_Area,3,FALSE))," ",(VLOOKUP(C1058,'[1]خريطة الحسابات'!_xlnm.Print_Area,3,FALSE)))</f>
        <v xml:space="preserve">الخزينة </v>
      </c>
      <c r="E1058" s="132"/>
      <c r="F1058" s="133"/>
      <c r="G1058" s="133">
        <v>1000</v>
      </c>
      <c r="H1058" s="134">
        <f t="shared" si="49"/>
        <v>0</v>
      </c>
      <c r="I1058" s="134">
        <f t="shared" si="49"/>
        <v>1000</v>
      </c>
      <c r="J1058" s="134">
        <f t="shared" si="48"/>
        <v>-1000</v>
      </c>
      <c r="K1058" s="135"/>
      <c r="L1058" s="136" t="str">
        <f t="shared" si="50"/>
        <v>دائن</v>
      </c>
      <c r="M1058" s="137" t="str">
        <f>IF(ISERROR(VLOOKUP(C1058,'[1]خريطة الحسابات'!_xlnm.Print_Area,4,FALSE))," ",(VLOOKUP(C1058,'[1]خريطة الحسابات'!_xlnm.Print_Area,4,FALSE)))</f>
        <v xml:space="preserve">أصول متداوله -النقدية ومافي حكمها </v>
      </c>
      <c r="N1058" s="138" t="str">
        <f>IF(ISERROR(VLOOKUP(C1058,'[1]خريطة الحسابات'!_xlnm.Print_Area,5,FALSE))," ",(VLOOKUP(C1058,'[1]خريطة الحسابات'!_xlnm.Print_Area,5,FALSE)))</f>
        <v>الاصول</v>
      </c>
      <c r="O1058" s="139" t="s">
        <v>1761</v>
      </c>
      <c r="P1058" s="139" t="s">
        <v>1759</v>
      </c>
    </row>
    <row r="1059" spans="1:16">
      <c r="A1059" s="104">
        <v>54</v>
      </c>
      <c r="B1059" s="131">
        <v>46042</v>
      </c>
      <c r="C1059" s="141">
        <v>20</v>
      </c>
      <c r="D1059" s="140" t="str">
        <f>IF(ISERROR(VLOOKUP(C1059,'[1]خريطة الحسابات'!_xlnm.Print_Area,3,FALSE))," ",(VLOOKUP(C1059,'[1]خريطة الحسابات'!_xlnm.Print_Area,3,FALSE)))</f>
        <v xml:space="preserve">الخزينة </v>
      </c>
      <c r="E1059" s="132"/>
      <c r="F1059" s="133"/>
      <c r="G1059" s="133">
        <v>7007</v>
      </c>
      <c r="H1059" s="134">
        <f t="shared" si="49"/>
        <v>0</v>
      </c>
      <c r="I1059" s="134">
        <f t="shared" si="49"/>
        <v>7007</v>
      </c>
      <c r="J1059" s="134">
        <f t="shared" si="48"/>
        <v>-7007</v>
      </c>
      <c r="K1059" s="135"/>
      <c r="L1059" s="136" t="str">
        <f t="shared" si="50"/>
        <v>دائن</v>
      </c>
      <c r="M1059" s="137" t="str">
        <f>IF(ISERROR(VLOOKUP(C1059,'[1]خريطة الحسابات'!_xlnm.Print_Area,4,FALSE))," ",(VLOOKUP(C1059,'[1]خريطة الحسابات'!_xlnm.Print_Area,4,FALSE)))</f>
        <v xml:space="preserve">أصول متداوله -النقدية ومافي حكمها </v>
      </c>
      <c r="N1059" s="138" t="str">
        <f>IF(ISERROR(VLOOKUP(C1059,'[1]خريطة الحسابات'!_xlnm.Print_Area,5,FALSE))," ",(VLOOKUP(C1059,'[1]خريطة الحسابات'!_xlnm.Print_Area,5,FALSE)))</f>
        <v>الاصول</v>
      </c>
      <c r="O1059" s="139" t="s">
        <v>1762</v>
      </c>
      <c r="P1059" s="139" t="s">
        <v>1759</v>
      </c>
    </row>
    <row r="1060" spans="1:16">
      <c r="A1060" s="104">
        <v>54</v>
      </c>
      <c r="B1060" s="131">
        <v>46042</v>
      </c>
      <c r="C1060" s="141">
        <v>20</v>
      </c>
      <c r="D1060" s="140" t="str">
        <f>IF(ISERROR(VLOOKUP(C1060,'[1]خريطة الحسابات'!_xlnm.Print_Area,3,FALSE))," ",(VLOOKUP(C1060,'[1]خريطة الحسابات'!_xlnm.Print_Area,3,FALSE)))</f>
        <v xml:space="preserve">الخزينة </v>
      </c>
      <c r="E1060" s="132"/>
      <c r="F1060" s="133"/>
      <c r="G1060" s="133">
        <v>16016</v>
      </c>
      <c r="H1060" s="134">
        <f t="shared" si="49"/>
        <v>0</v>
      </c>
      <c r="I1060" s="134">
        <f t="shared" si="49"/>
        <v>16016</v>
      </c>
      <c r="J1060" s="134">
        <f t="shared" si="48"/>
        <v>-16016</v>
      </c>
      <c r="K1060" s="135"/>
      <c r="L1060" s="136" t="str">
        <f t="shared" si="50"/>
        <v>دائن</v>
      </c>
      <c r="M1060" s="137" t="str">
        <f>IF(ISERROR(VLOOKUP(C1060,'[1]خريطة الحسابات'!_xlnm.Print_Area,4,FALSE))," ",(VLOOKUP(C1060,'[1]خريطة الحسابات'!_xlnm.Print_Area,4,FALSE)))</f>
        <v xml:space="preserve">أصول متداوله -النقدية ومافي حكمها </v>
      </c>
      <c r="N1060" s="138" t="str">
        <f>IF(ISERROR(VLOOKUP(C1060,'[1]خريطة الحسابات'!_xlnm.Print_Area,5,FALSE))," ",(VLOOKUP(C1060,'[1]خريطة الحسابات'!_xlnm.Print_Area,5,FALSE)))</f>
        <v>الاصول</v>
      </c>
      <c r="O1060" s="139" t="s">
        <v>1763</v>
      </c>
      <c r="P1060" s="139" t="s">
        <v>1759</v>
      </c>
    </row>
    <row r="1061" spans="1:16">
      <c r="A1061" s="104">
        <v>54</v>
      </c>
      <c r="B1061" s="131">
        <v>46049</v>
      </c>
      <c r="C1061" s="141">
        <v>20</v>
      </c>
      <c r="D1061" s="140" t="str">
        <f>IF(ISERROR(VLOOKUP(C1061,'[1]خريطة الحسابات'!_xlnm.Print_Area,3,FALSE))," ",(VLOOKUP(C1061,'[1]خريطة الحسابات'!_xlnm.Print_Area,3,FALSE)))</f>
        <v xml:space="preserve">الخزينة </v>
      </c>
      <c r="E1061" s="132"/>
      <c r="F1061" s="133"/>
      <c r="G1061" s="133">
        <v>2000</v>
      </c>
      <c r="H1061" s="134">
        <f t="shared" si="49"/>
        <v>0</v>
      </c>
      <c r="I1061" s="134">
        <f t="shared" si="49"/>
        <v>2000</v>
      </c>
      <c r="J1061" s="134">
        <f t="shared" si="48"/>
        <v>-2000</v>
      </c>
      <c r="K1061" s="135"/>
      <c r="L1061" s="136" t="str">
        <f t="shared" si="50"/>
        <v>دائن</v>
      </c>
      <c r="M1061" s="137" t="str">
        <f>IF(ISERROR(VLOOKUP(C1061,'[1]خريطة الحسابات'!_xlnm.Print_Area,4,FALSE))," ",(VLOOKUP(C1061,'[1]خريطة الحسابات'!_xlnm.Print_Area,4,FALSE)))</f>
        <v xml:space="preserve">أصول متداوله -النقدية ومافي حكمها </v>
      </c>
      <c r="N1061" s="138" t="str">
        <f>IF(ISERROR(VLOOKUP(C1061,'[1]خريطة الحسابات'!_xlnm.Print_Area,5,FALSE))," ",(VLOOKUP(C1061,'[1]خريطة الحسابات'!_xlnm.Print_Area,5,FALSE)))</f>
        <v>الاصول</v>
      </c>
      <c r="O1061" s="139" t="s">
        <v>1764</v>
      </c>
      <c r="P1061" s="139" t="s">
        <v>1759</v>
      </c>
    </row>
    <row r="1062" spans="1:16">
      <c r="A1062" s="104">
        <v>54</v>
      </c>
      <c r="B1062" s="131">
        <v>46049</v>
      </c>
      <c r="C1062" s="141">
        <v>20</v>
      </c>
      <c r="D1062" s="140" t="str">
        <f>IF(ISERROR(VLOOKUP(C1062,'[1]خريطة الحسابات'!_xlnm.Print_Area,3,FALSE))," ",(VLOOKUP(C1062,'[1]خريطة الحسابات'!_xlnm.Print_Area,3,FALSE)))</f>
        <v xml:space="preserve">الخزينة </v>
      </c>
      <c r="E1062" s="132"/>
      <c r="F1062" s="133"/>
      <c r="G1062" s="133">
        <v>3000</v>
      </c>
      <c r="H1062" s="134">
        <f t="shared" si="49"/>
        <v>0</v>
      </c>
      <c r="I1062" s="134">
        <f t="shared" si="49"/>
        <v>3000</v>
      </c>
      <c r="J1062" s="134">
        <f t="shared" si="48"/>
        <v>-3000</v>
      </c>
      <c r="K1062" s="135"/>
      <c r="L1062" s="136" t="str">
        <f t="shared" si="50"/>
        <v>دائن</v>
      </c>
      <c r="M1062" s="137" t="str">
        <f>IF(ISERROR(VLOOKUP(C1062,'[1]خريطة الحسابات'!_xlnm.Print_Area,4,FALSE))," ",(VLOOKUP(C1062,'[1]خريطة الحسابات'!_xlnm.Print_Area,4,FALSE)))</f>
        <v xml:space="preserve">أصول متداوله -النقدية ومافي حكمها </v>
      </c>
      <c r="N1062" s="138" t="str">
        <f>IF(ISERROR(VLOOKUP(C1062,'[1]خريطة الحسابات'!_xlnm.Print_Area,5,FALSE))," ",(VLOOKUP(C1062,'[1]خريطة الحسابات'!_xlnm.Print_Area,5,FALSE)))</f>
        <v>الاصول</v>
      </c>
      <c r="O1062" s="139" t="s">
        <v>1765</v>
      </c>
      <c r="P1062" s="139" t="s">
        <v>1759</v>
      </c>
    </row>
    <row r="1063" spans="1:16">
      <c r="A1063" s="104">
        <v>54</v>
      </c>
      <c r="B1063" s="131">
        <v>46053</v>
      </c>
      <c r="C1063" s="141">
        <v>20</v>
      </c>
      <c r="D1063" s="140" t="str">
        <f>IF(ISERROR(VLOOKUP(C1063,'[1]خريطة الحسابات'!_xlnm.Print_Area,3,FALSE))," ",(VLOOKUP(C1063,'[1]خريطة الحسابات'!_xlnm.Print_Area,3,FALSE)))</f>
        <v xml:space="preserve">الخزينة </v>
      </c>
      <c r="E1063" s="132"/>
      <c r="F1063" s="133"/>
      <c r="G1063" s="133">
        <v>300</v>
      </c>
      <c r="H1063" s="134">
        <f t="shared" si="49"/>
        <v>0</v>
      </c>
      <c r="I1063" s="134">
        <f t="shared" si="49"/>
        <v>300</v>
      </c>
      <c r="J1063" s="134">
        <f t="shared" si="48"/>
        <v>-300</v>
      </c>
      <c r="K1063" s="135"/>
      <c r="L1063" s="136" t="str">
        <f t="shared" si="50"/>
        <v>دائن</v>
      </c>
      <c r="M1063" s="137" t="str">
        <f>IF(ISERROR(VLOOKUP(C1063,'[1]خريطة الحسابات'!_xlnm.Print_Area,4,FALSE))," ",(VLOOKUP(C1063,'[1]خريطة الحسابات'!_xlnm.Print_Area,4,FALSE)))</f>
        <v xml:space="preserve">أصول متداوله -النقدية ومافي حكمها </v>
      </c>
      <c r="N1063" s="138" t="str">
        <f>IF(ISERROR(VLOOKUP(C1063,'[1]خريطة الحسابات'!_xlnm.Print_Area,5,FALSE))," ",(VLOOKUP(C1063,'[1]خريطة الحسابات'!_xlnm.Print_Area,5,FALSE)))</f>
        <v>الاصول</v>
      </c>
      <c r="O1063" s="139" t="s">
        <v>1761</v>
      </c>
      <c r="P1063" s="139" t="s">
        <v>1759</v>
      </c>
    </row>
    <row r="1064" spans="1:16">
      <c r="A1064" s="104">
        <v>54</v>
      </c>
      <c r="B1064" s="131">
        <v>46054</v>
      </c>
      <c r="C1064" s="141">
        <v>20</v>
      </c>
      <c r="D1064" s="140" t="str">
        <f>IF(ISERROR(VLOOKUP(C1064,'[1]خريطة الحسابات'!_xlnm.Print_Area,3,FALSE))," ",(VLOOKUP(C1064,'[1]خريطة الحسابات'!_xlnm.Print_Area,3,FALSE)))</f>
        <v xml:space="preserve">الخزينة </v>
      </c>
      <c r="E1064" s="132"/>
      <c r="F1064" s="133"/>
      <c r="G1064" s="133">
        <v>1300</v>
      </c>
      <c r="H1064" s="134">
        <f t="shared" si="49"/>
        <v>0</v>
      </c>
      <c r="I1064" s="134">
        <f t="shared" si="49"/>
        <v>1300</v>
      </c>
      <c r="J1064" s="134">
        <f t="shared" si="48"/>
        <v>-1300</v>
      </c>
      <c r="K1064" s="135"/>
      <c r="L1064" s="136" t="str">
        <f t="shared" si="50"/>
        <v>دائن</v>
      </c>
      <c r="M1064" s="137" t="str">
        <f>IF(ISERROR(VLOOKUP(C1064,'[1]خريطة الحسابات'!_xlnm.Print_Area,4,FALSE))," ",(VLOOKUP(C1064,'[1]خريطة الحسابات'!_xlnm.Print_Area,4,FALSE)))</f>
        <v xml:space="preserve">أصول متداوله -النقدية ومافي حكمها </v>
      </c>
      <c r="N1064" s="138" t="str">
        <f>IF(ISERROR(VLOOKUP(C1064,'[1]خريطة الحسابات'!_xlnm.Print_Area,5,FALSE))," ",(VLOOKUP(C1064,'[1]خريطة الحسابات'!_xlnm.Print_Area,5,FALSE)))</f>
        <v>الاصول</v>
      </c>
      <c r="O1064" s="139" t="s">
        <v>1766</v>
      </c>
      <c r="P1064" s="139" t="s">
        <v>1759</v>
      </c>
    </row>
    <row r="1065" spans="1:16">
      <c r="A1065" s="104">
        <v>54</v>
      </c>
      <c r="B1065" s="131">
        <v>46054</v>
      </c>
      <c r="C1065" s="141">
        <v>20</v>
      </c>
      <c r="D1065" s="140" t="str">
        <f>IF(ISERROR(VLOOKUP(C1065,'[1]خريطة الحسابات'!_xlnm.Print_Area,3,FALSE))," ",(VLOOKUP(C1065,'[1]خريطة الحسابات'!_xlnm.Print_Area,3,FALSE)))</f>
        <v xml:space="preserve">الخزينة </v>
      </c>
      <c r="E1065" s="132"/>
      <c r="F1065" s="133"/>
      <c r="G1065" s="133">
        <v>2000</v>
      </c>
      <c r="H1065" s="134">
        <f t="shared" si="49"/>
        <v>0</v>
      </c>
      <c r="I1065" s="134">
        <f t="shared" si="49"/>
        <v>2000</v>
      </c>
      <c r="J1065" s="134">
        <f t="shared" si="48"/>
        <v>-2000</v>
      </c>
      <c r="K1065" s="135"/>
      <c r="L1065" s="136" t="str">
        <f t="shared" si="50"/>
        <v>دائن</v>
      </c>
      <c r="M1065" s="137" t="str">
        <f>IF(ISERROR(VLOOKUP(C1065,'[1]خريطة الحسابات'!_xlnm.Print_Area,4,FALSE))," ",(VLOOKUP(C1065,'[1]خريطة الحسابات'!_xlnm.Print_Area,4,FALSE)))</f>
        <v xml:space="preserve">أصول متداوله -النقدية ومافي حكمها </v>
      </c>
      <c r="N1065" s="138" t="str">
        <f>IF(ISERROR(VLOOKUP(C1065,'[1]خريطة الحسابات'!_xlnm.Print_Area,5,FALSE))," ",(VLOOKUP(C1065,'[1]خريطة الحسابات'!_xlnm.Print_Area,5,FALSE)))</f>
        <v>الاصول</v>
      </c>
      <c r="O1065" s="139" t="s">
        <v>1767</v>
      </c>
      <c r="P1065" s="139" t="s">
        <v>1759</v>
      </c>
    </row>
    <row r="1066" spans="1:16">
      <c r="A1066" s="104">
        <v>54</v>
      </c>
      <c r="B1066" s="131">
        <v>46054</v>
      </c>
      <c r="C1066" s="141">
        <v>20</v>
      </c>
      <c r="D1066" s="140" t="str">
        <f>IF(ISERROR(VLOOKUP(C1066,'[1]خريطة الحسابات'!_xlnm.Print_Area,3,FALSE))," ",(VLOOKUP(C1066,'[1]خريطة الحسابات'!_xlnm.Print_Area,3,FALSE)))</f>
        <v xml:space="preserve">الخزينة </v>
      </c>
      <c r="E1066" s="132"/>
      <c r="F1066" s="133"/>
      <c r="G1066" s="133">
        <v>226310</v>
      </c>
      <c r="H1066" s="134">
        <f t="shared" si="49"/>
        <v>0</v>
      </c>
      <c r="I1066" s="134">
        <f t="shared" si="49"/>
        <v>226310</v>
      </c>
      <c r="J1066" s="134">
        <f t="shared" si="48"/>
        <v>-226310</v>
      </c>
      <c r="K1066" s="135"/>
      <c r="L1066" s="136" t="str">
        <f t="shared" si="50"/>
        <v>دائن</v>
      </c>
      <c r="M1066" s="137" t="str">
        <f>IF(ISERROR(VLOOKUP(C1066,'[1]خريطة الحسابات'!_xlnm.Print_Area,4,FALSE))," ",(VLOOKUP(C1066,'[1]خريطة الحسابات'!_xlnm.Print_Area,4,FALSE)))</f>
        <v xml:space="preserve">أصول متداوله -النقدية ومافي حكمها </v>
      </c>
      <c r="N1066" s="138" t="str">
        <f>IF(ISERROR(VLOOKUP(C1066,'[1]خريطة الحسابات'!_xlnm.Print_Area,5,FALSE))," ",(VLOOKUP(C1066,'[1]خريطة الحسابات'!_xlnm.Print_Area,5,FALSE)))</f>
        <v>الاصول</v>
      </c>
      <c r="O1066" s="139" t="s">
        <v>1768</v>
      </c>
      <c r="P1066" s="139" t="s">
        <v>1759</v>
      </c>
    </row>
    <row r="1067" spans="1:16">
      <c r="A1067" s="104">
        <v>54</v>
      </c>
      <c r="B1067" s="131">
        <v>46055</v>
      </c>
      <c r="C1067" s="141">
        <v>20</v>
      </c>
      <c r="D1067" s="140" t="str">
        <f>IF(ISERROR(VLOOKUP(C1067,'[1]خريطة الحسابات'!_xlnm.Print_Area,3,FALSE))," ",(VLOOKUP(C1067,'[1]خريطة الحسابات'!_xlnm.Print_Area,3,FALSE)))</f>
        <v xml:space="preserve">الخزينة </v>
      </c>
      <c r="E1067" s="132"/>
      <c r="F1067" s="133"/>
      <c r="G1067" s="133">
        <v>119147</v>
      </c>
      <c r="H1067" s="134">
        <f t="shared" si="49"/>
        <v>0</v>
      </c>
      <c r="I1067" s="134">
        <f t="shared" si="49"/>
        <v>119147</v>
      </c>
      <c r="J1067" s="134">
        <f t="shared" si="48"/>
        <v>-119147</v>
      </c>
      <c r="K1067" s="135"/>
      <c r="L1067" s="136" t="str">
        <f t="shared" si="50"/>
        <v>دائن</v>
      </c>
      <c r="M1067" s="137" t="str">
        <f>IF(ISERROR(VLOOKUP(C1067,'[1]خريطة الحسابات'!_xlnm.Print_Area,4,FALSE))," ",(VLOOKUP(C1067,'[1]خريطة الحسابات'!_xlnm.Print_Area,4,FALSE)))</f>
        <v xml:space="preserve">أصول متداوله -النقدية ومافي حكمها </v>
      </c>
      <c r="N1067" s="138" t="str">
        <f>IF(ISERROR(VLOOKUP(C1067,'[1]خريطة الحسابات'!_xlnm.Print_Area,5,FALSE))," ",(VLOOKUP(C1067,'[1]خريطة الحسابات'!_xlnm.Print_Area,5,FALSE)))</f>
        <v>الاصول</v>
      </c>
      <c r="O1067" s="139" t="s">
        <v>1768</v>
      </c>
      <c r="P1067" s="139" t="s">
        <v>1759</v>
      </c>
    </row>
    <row r="1068" spans="1:16">
      <c r="A1068" s="104">
        <v>54</v>
      </c>
      <c r="B1068" s="131">
        <v>46056</v>
      </c>
      <c r="C1068" s="141">
        <v>20</v>
      </c>
      <c r="D1068" s="140" t="str">
        <f>IF(ISERROR(VLOOKUP(C1068,'[1]خريطة الحسابات'!_xlnm.Print_Area,3,FALSE))," ",(VLOOKUP(C1068,'[1]خريطة الحسابات'!_xlnm.Print_Area,3,FALSE)))</f>
        <v xml:space="preserve">الخزينة </v>
      </c>
      <c r="E1068" s="132"/>
      <c r="F1068" s="133"/>
      <c r="G1068" s="133">
        <v>80063</v>
      </c>
      <c r="H1068" s="134">
        <f t="shared" si="49"/>
        <v>0</v>
      </c>
      <c r="I1068" s="134">
        <f t="shared" si="49"/>
        <v>80063</v>
      </c>
      <c r="J1068" s="134">
        <f t="shared" si="48"/>
        <v>-80063</v>
      </c>
      <c r="K1068" s="135"/>
      <c r="L1068" s="136" t="str">
        <f t="shared" si="50"/>
        <v>دائن</v>
      </c>
      <c r="M1068" s="137" t="str">
        <f>IF(ISERROR(VLOOKUP(C1068,'[1]خريطة الحسابات'!_xlnm.Print_Area,4,FALSE))," ",(VLOOKUP(C1068,'[1]خريطة الحسابات'!_xlnm.Print_Area,4,FALSE)))</f>
        <v xml:space="preserve">أصول متداوله -النقدية ومافي حكمها </v>
      </c>
      <c r="N1068" s="138" t="str">
        <f>IF(ISERROR(VLOOKUP(C1068,'[1]خريطة الحسابات'!_xlnm.Print_Area,5,FALSE))," ",(VLOOKUP(C1068,'[1]خريطة الحسابات'!_xlnm.Print_Area,5,FALSE)))</f>
        <v>الاصول</v>
      </c>
      <c r="O1068" s="139" t="s">
        <v>1769</v>
      </c>
      <c r="P1068" s="139" t="s">
        <v>1759</v>
      </c>
    </row>
    <row r="1069" spans="1:16">
      <c r="A1069" s="104">
        <v>54</v>
      </c>
      <c r="B1069" s="131">
        <v>46058</v>
      </c>
      <c r="C1069" s="141">
        <v>20</v>
      </c>
      <c r="D1069" s="140" t="str">
        <f>IF(ISERROR(VLOOKUP(C1069,'[1]خريطة الحسابات'!_xlnm.Print_Area,3,FALSE))," ",(VLOOKUP(C1069,'[1]خريطة الحسابات'!_xlnm.Print_Area,3,FALSE)))</f>
        <v xml:space="preserve">الخزينة </v>
      </c>
      <c r="E1069" s="132"/>
      <c r="F1069" s="133"/>
      <c r="G1069" s="133">
        <v>10010</v>
      </c>
      <c r="H1069" s="134">
        <f t="shared" si="49"/>
        <v>0</v>
      </c>
      <c r="I1069" s="134">
        <f t="shared" si="49"/>
        <v>10010</v>
      </c>
      <c r="J1069" s="134">
        <f t="shared" si="48"/>
        <v>-10010</v>
      </c>
      <c r="K1069" s="135"/>
      <c r="L1069" s="136" t="str">
        <f t="shared" si="50"/>
        <v>دائن</v>
      </c>
      <c r="M1069" s="137" t="str">
        <f>IF(ISERROR(VLOOKUP(C1069,'[1]خريطة الحسابات'!_xlnm.Print_Area,4,FALSE))," ",(VLOOKUP(C1069,'[1]خريطة الحسابات'!_xlnm.Print_Area,4,FALSE)))</f>
        <v xml:space="preserve">أصول متداوله -النقدية ومافي حكمها </v>
      </c>
      <c r="N1069" s="138" t="str">
        <f>IF(ISERROR(VLOOKUP(C1069,'[1]خريطة الحسابات'!_xlnm.Print_Area,5,FALSE))," ",(VLOOKUP(C1069,'[1]خريطة الحسابات'!_xlnm.Print_Area,5,FALSE)))</f>
        <v>الاصول</v>
      </c>
      <c r="O1069" s="139" t="s">
        <v>1770</v>
      </c>
      <c r="P1069" s="139" t="s">
        <v>1759</v>
      </c>
    </row>
    <row r="1070" spans="1:16">
      <c r="A1070" s="104">
        <v>54</v>
      </c>
      <c r="B1070" s="131">
        <v>46064</v>
      </c>
      <c r="C1070" s="141">
        <v>20</v>
      </c>
      <c r="D1070" s="140" t="str">
        <f>IF(ISERROR(VLOOKUP(C1070,'[1]خريطة الحسابات'!_xlnm.Print_Area,3,FALSE))," ",(VLOOKUP(C1070,'[1]خريطة الحسابات'!_xlnm.Print_Area,3,FALSE)))</f>
        <v xml:space="preserve">الخزينة </v>
      </c>
      <c r="E1070" s="132"/>
      <c r="F1070" s="133"/>
      <c r="G1070" s="133">
        <v>5000</v>
      </c>
      <c r="H1070" s="134">
        <f t="shared" si="49"/>
        <v>0</v>
      </c>
      <c r="I1070" s="134">
        <f t="shared" si="49"/>
        <v>5000</v>
      </c>
      <c r="J1070" s="134">
        <f t="shared" si="48"/>
        <v>-5000</v>
      </c>
      <c r="K1070" s="135"/>
      <c r="L1070" s="136" t="str">
        <f t="shared" si="50"/>
        <v>دائن</v>
      </c>
      <c r="M1070" s="137" t="str">
        <f>IF(ISERROR(VLOOKUP(C1070,'[1]خريطة الحسابات'!_xlnm.Print_Area,4,FALSE))," ",(VLOOKUP(C1070,'[1]خريطة الحسابات'!_xlnm.Print_Area,4,FALSE)))</f>
        <v xml:space="preserve">أصول متداوله -النقدية ومافي حكمها </v>
      </c>
      <c r="N1070" s="138" t="str">
        <f>IF(ISERROR(VLOOKUP(C1070,'[1]خريطة الحسابات'!_xlnm.Print_Area,5,FALSE))," ",(VLOOKUP(C1070,'[1]خريطة الحسابات'!_xlnm.Print_Area,5,FALSE)))</f>
        <v>الاصول</v>
      </c>
      <c r="O1070" s="139" t="s">
        <v>1771</v>
      </c>
      <c r="P1070" s="139" t="s">
        <v>1759</v>
      </c>
    </row>
    <row r="1071" spans="1:16">
      <c r="A1071" s="104">
        <v>54</v>
      </c>
      <c r="B1071" s="131">
        <v>46069</v>
      </c>
      <c r="C1071" s="141">
        <v>20</v>
      </c>
      <c r="D1071" s="140" t="str">
        <f>IF(ISERROR(VLOOKUP(C1071,'[1]خريطة الحسابات'!_xlnm.Print_Area,3,FALSE))," ",(VLOOKUP(C1071,'[1]خريطة الحسابات'!_xlnm.Print_Area,3,FALSE)))</f>
        <v xml:space="preserve">الخزينة </v>
      </c>
      <c r="E1071" s="132"/>
      <c r="F1071" s="133"/>
      <c r="G1071" s="133">
        <v>5000</v>
      </c>
      <c r="H1071" s="134">
        <f t="shared" si="49"/>
        <v>0</v>
      </c>
      <c r="I1071" s="134">
        <f t="shared" si="49"/>
        <v>5000</v>
      </c>
      <c r="J1071" s="134">
        <f t="shared" si="48"/>
        <v>-5000</v>
      </c>
      <c r="K1071" s="135"/>
      <c r="L1071" s="136" t="str">
        <f t="shared" si="50"/>
        <v>دائن</v>
      </c>
      <c r="M1071" s="137" t="str">
        <f>IF(ISERROR(VLOOKUP(C1071,'[1]خريطة الحسابات'!_xlnm.Print_Area,4,FALSE))," ",(VLOOKUP(C1071,'[1]خريطة الحسابات'!_xlnm.Print_Area,4,FALSE)))</f>
        <v xml:space="preserve">أصول متداوله -النقدية ومافي حكمها </v>
      </c>
      <c r="N1071" s="138" t="str">
        <f>IF(ISERROR(VLOOKUP(C1071,'[1]خريطة الحسابات'!_xlnm.Print_Area,5,FALSE))," ",(VLOOKUP(C1071,'[1]خريطة الحسابات'!_xlnm.Print_Area,5,FALSE)))</f>
        <v>الاصول</v>
      </c>
      <c r="O1071" s="139" t="s">
        <v>1760</v>
      </c>
      <c r="P1071" s="139" t="s">
        <v>1759</v>
      </c>
    </row>
    <row r="1072" spans="1:16">
      <c r="A1072" s="104">
        <v>54</v>
      </c>
      <c r="B1072" s="131">
        <v>46071</v>
      </c>
      <c r="C1072" s="141">
        <v>20</v>
      </c>
      <c r="D1072" s="140" t="str">
        <f>IF(ISERROR(VLOOKUP(C1072,'[1]خريطة الحسابات'!_xlnm.Print_Area,3,FALSE))," ",(VLOOKUP(C1072,'[1]خريطة الحسابات'!_xlnm.Print_Area,3,FALSE)))</f>
        <v xml:space="preserve">الخزينة </v>
      </c>
      <c r="E1072" s="132"/>
      <c r="F1072" s="133"/>
      <c r="G1072" s="133">
        <v>2000</v>
      </c>
      <c r="H1072" s="134">
        <f t="shared" si="49"/>
        <v>0</v>
      </c>
      <c r="I1072" s="134">
        <f t="shared" si="49"/>
        <v>2000</v>
      </c>
      <c r="J1072" s="134">
        <f t="shared" si="48"/>
        <v>-2000</v>
      </c>
      <c r="K1072" s="135"/>
      <c r="L1072" s="136" t="str">
        <f t="shared" si="50"/>
        <v>دائن</v>
      </c>
      <c r="M1072" s="137" t="str">
        <f>IF(ISERROR(VLOOKUP(C1072,'[1]خريطة الحسابات'!_xlnm.Print_Area,4,FALSE))," ",(VLOOKUP(C1072,'[1]خريطة الحسابات'!_xlnm.Print_Area,4,FALSE)))</f>
        <v xml:space="preserve">أصول متداوله -النقدية ومافي حكمها </v>
      </c>
      <c r="N1072" s="138" t="str">
        <f>IF(ISERROR(VLOOKUP(C1072,'[1]خريطة الحسابات'!_xlnm.Print_Area,5,FALSE))," ",(VLOOKUP(C1072,'[1]خريطة الحسابات'!_xlnm.Print_Area,5,FALSE)))</f>
        <v>الاصول</v>
      </c>
      <c r="O1072" s="139" t="s">
        <v>1772</v>
      </c>
      <c r="P1072" s="139" t="s">
        <v>1759</v>
      </c>
    </row>
    <row r="1073" spans="1:16">
      <c r="A1073" s="104">
        <v>54</v>
      </c>
      <c r="B1073" s="131">
        <v>46071</v>
      </c>
      <c r="C1073" s="141">
        <v>20</v>
      </c>
      <c r="D1073" s="140" t="str">
        <f>IF(ISERROR(VLOOKUP(C1073,'[1]خريطة الحسابات'!_xlnm.Print_Area,3,FALSE))," ",(VLOOKUP(C1073,'[1]خريطة الحسابات'!_xlnm.Print_Area,3,FALSE)))</f>
        <v xml:space="preserve">الخزينة </v>
      </c>
      <c r="E1073" s="132"/>
      <c r="F1073" s="133"/>
      <c r="G1073" s="133">
        <v>1000</v>
      </c>
      <c r="H1073" s="134">
        <f t="shared" si="49"/>
        <v>0</v>
      </c>
      <c r="I1073" s="134">
        <f t="shared" si="49"/>
        <v>1000</v>
      </c>
      <c r="J1073" s="134">
        <f t="shared" si="48"/>
        <v>-1000</v>
      </c>
      <c r="K1073" s="135"/>
      <c r="L1073" s="136" t="str">
        <f t="shared" si="50"/>
        <v>دائن</v>
      </c>
      <c r="M1073" s="137" t="str">
        <f>IF(ISERROR(VLOOKUP(C1073,'[1]خريطة الحسابات'!_xlnm.Print_Area,4,FALSE))," ",(VLOOKUP(C1073,'[1]خريطة الحسابات'!_xlnm.Print_Area,4,FALSE)))</f>
        <v xml:space="preserve">أصول متداوله -النقدية ومافي حكمها </v>
      </c>
      <c r="N1073" s="138" t="str">
        <f>IF(ISERROR(VLOOKUP(C1073,'[1]خريطة الحسابات'!_xlnm.Print_Area,5,FALSE))," ",(VLOOKUP(C1073,'[1]خريطة الحسابات'!_xlnm.Print_Area,5,FALSE)))</f>
        <v>الاصول</v>
      </c>
      <c r="O1073" s="139" t="s">
        <v>1761</v>
      </c>
      <c r="P1073" s="139" t="s">
        <v>1759</v>
      </c>
    </row>
    <row r="1074" spans="1:16">
      <c r="A1074" s="104">
        <v>54</v>
      </c>
      <c r="B1074" s="131">
        <v>46081</v>
      </c>
      <c r="C1074" s="141">
        <v>20</v>
      </c>
      <c r="D1074" s="140" t="str">
        <f>IF(ISERROR(VLOOKUP(C1074,'[1]خريطة الحسابات'!_xlnm.Print_Area,3,FALSE))," ",(VLOOKUP(C1074,'[1]خريطة الحسابات'!_xlnm.Print_Area,3,FALSE)))</f>
        <v xml:space="preserve">الخزينة </v>
      </c>
      <c r="E1074" s="132"/>
      <c r="F1074" s="133"/>
      <c r="G1074" s="133">
        <v>2000</v>
      </c>
      <c r="H1074" s="134">
        <f t="shared" si="49"/>
        <v>0</v>
      </c>
      <c r="I1074" s="134">
        <f t="shared" si="49"/>
        <v>2000</v>
      </c>
      <c r="J1074" s="134">
        <f t="shared" si="48"/>
        <v>-2000</v>
      </c>
      <c r="K1074" s="135"/>
      <c r="L1074" s="136" t="str">
        <f t="shared" si="50"/>
        <v>دائن</v>
      </c>
      <c r="M1074" s="137" t="str">
        <f>IF(ISERROR(VLOOKUP(C1074,'[1]خريطة الحسابات'!_xlnm.Print_Area,4,FALSE))," ",(VLOOKUP(C1074,'[1]خريطة الحسابات'!_xlnm.Print_Area,4,FALSE)))</f>
        <v xml:space="preserve">أصول متداوله -النقدية ومافي حكمها </v>
      </c>
      <c r="N1074" s="138" t="str">
        <f>IF(ISERROR(VLOOKUP(C1074,'[1]خريطة الحسابات'!_xlnm.Print_Area,5,FALSE))," ",(VLOOKUP(C1074,'[1]خريطة الحسابات'!_xlnm.Print_Area,5,FALSE)))</f>
        <v>الاصول</v>
      </c>
      <c r="O1074" s="139" t="s">
        <v>1773</v>
      </c>
      <c r="P1074" s="139" t="s">
        <v>1759</v>
      </c>
    </row>
    <row r="1075" spans="1:16">
      <c r="A1075" s="104">
        <v>54</v>
      </c>
      <c r="B1075" s="131">
        <v>46084</v>
      </c>
      <c r="C1075" s="141">
        <v>20</v>
      </c>
      <c r="D1075" s="140" t="str">
        <f>IF(ISERROR(VLOOKUP(C1075,'[1]خريطة الحسابات'!_xlnm.Print_Area,3,FALSE))," ",(VLOOKUP(C1075,'[1]خريطة الحسابات'!_xlnm.Print_Area,3,FALSE)))</f>
        <v xml:space="preserve">الخزينة </v>
      </c>
      <c r="E1075" s="132"/>
      <c r="F1075" s="133"/>
      <c r="G1075" s="133">
        <v>423870</v>
      </c>
      <c r="H1075" s="134">
        <f t="shared" si="49"/>
        <v>0</v>
      </c>
      <c r="I1075" s="134">
        <f t="shared" si="49"/>
        <v>423870</v>
      </c>
      <c r="J1075" s="134">
        <f t="shared" si="48"/>
        <v>-423870</v>
      </c>
      <c r="K1075" s="135"/>
      <c r="L1075" s="136" t="str">
        <f t="shared" si="50"/>
        <v>دائن</v>
      </c>
      <c r="M1075" s="137" t="str">
        <f>IF(ISERROR(VLOOKUP(C1075,'[1]خريطة الحسابات'!_xlnm.Print_Area,4,FALSE))," ",(VLOOKUP(C1075,'[1]خريطة الحسابات'!_xlnm.Print_Area,4,FALSE)))</f>
        <v xml:space="preserve">أصول متداوله -النقدية ومافي حكمها </v>
      </c>
      <c r="N1075" s="138" t="str">
        <f>IF(ISERROR(VLOOKUP(C1075,'[1]خريطة الحسابات'!_xlnm.Print_Area,5,FALSE))," ",(VLOOKUP(C1075,'[1]خريطة الحسابات'!_xlnm.Print_Area,5,FALSE)))</f>
        <v>الاصول</v>
      </c>
      <c r="O1075" s="139" t="s">
        <v>1774</v>
      </c>
      <c r="P1075" s="139" t="s">
        <v>1759</v>
      </c>
    </row>
    <row r="1076" spans="1:16">
      <c r="A1076" s="104">
        <v>54</v>
      </c>
      <c r="B1076" s="131">
        <v>46084</v>
      </c>
      <c r="C1076" s="141">
        <v>20</v>
      </c>
      <c r="D1076" s="140" t="str">
        <f>IF(ISERROR(VLOOKUP(C1076,'[1]خريطة الحسابات'!_xlnm.Print_Area,3,FALSE))," ",(VLOOKUP(C1076,'[1]خريطة الحسابات'!_xlnm.Print_Area,3,FALSE)))</f>
        <v xml:space="preserve">الخزينة </v>
      </c>
      <c r="E1076" s="132"/>
      <c r="F1076" s="133"/>
      <c r="G1076" s="133">
        <v>70000</v>
      </c>
      <c r="H1076" s="134">
        <f t="shared" si="49"/>
        <v>0</v>
      </c>
      <c r="I1076" s="134">
        <f t="shared" si="49"/>
        <v>70000</v>
      </c>
      <c r="J1076" s="134">
        <f t="shared" si="48"/>
        <v>-70000</v>
      </c>
      <c r="K1076" s="135"/>
      <c r="L1076" s="136" t="str">
        <f t="shared" si="50"/>
        <v>دائن</v>
      </c>
      <c r="M1076" s="137" t="str">
        <f>IF(ISERROR(VLOOKUP(C1076,'[1]خريطة الحسابات'!_xlnm.Print_Area,4,FALSE))," ",(VLOOKUP(C1076,'[1]خريطة الحسابات'!_xlnm.Print_Area,4,FALSE)))</f>
        <v xml:space="preserve">أصول متداوله -النقدية ومافي حكمها </v>
      </c>
      <c r="N1076" s="138" t="str">
        <f>IF(ISERROR(VLOOKUP(C1076,'[1]خريطة الحسابات'!_xlnm.Print_Area,5,FALSE))," ",(VLOOKUP(C1076,'[1]خريطة الحسابات'!_xlnm.Print_Area,5,FALSE)))</f>
        <v>الاصول</v>
      </c>
      <c r="O1076" s="139" t="s">
        <v>1775</v>
      </c>
      <c r="P1076" s="139" t="s">
        <v>1759</v>
      </c>
    </row>
    <row r="1077" spans="1:16">
      <c r="A1077" s="104">
        <v>54</v>
      </c>
      <c r="B1077" s="131">
        <v>46096</v>
      </c>
      <c r="C1077" s="141">
        <v>20</v>
      </c>
      <c r="D1077" s="140" t="str">
        <f>IF(ISERROR(VLOOKUP(C1077,'[1]خريطة الحسابات'!_xlnm.Print_Area,3,FALSE))," ",(VLOOKUP(C1077,'[1]خريطة الحسابات'!_xlnm.Print_Area,3,FALSE)))</f>
        <v xml:space="preserve">الخزينة </v>
      </c>
      <c r="E1077" s="132"/>
      <c r="F1077" s="133"/>
      <c r="G1077" s="133">
        <v>1000</v>
      </c>
      <c r="H1077" s="134">
        <f t="shared" si="49"/>
        <v>0</v>
      </c>
      <c r="I1077" s="134">
        <f t="shared" si="49"/>
        <v>1000</v>
      </c>
      <c r="J1077" s="134">
        <f t="shared" si="48"/>
        <v>-1000</v>
      </c>
      <c r="K1077" s="135"/>
      <c r="L1077" s="136" t="str">
        <f t="shared" si="50"/>
        <v>دائن</v>
      </c>
      <c r="M1077" s="137" t="str">
        <f>IF(ISERROR(VLOOKUP(C1077,'[1]خريطة الحسابات'!_xlnm.Print_Area,4,FALSE))," ",(VLOOKUP(C1077,'[1]خريطة الحسابات'!_xlnm.Print_Area,4,FALSE)))</f>
        <v xml:space="preserve">أصول متداوله -النقدية ومافي حكمها </v>
      </c>
      <c r="N1077" s="138" t="str">
        <f>IF(ISERROR(VLOOKUP(C1077,'[1]خريطة الحسابات'!_xlnm.Print_Area,5,FALSE))," ",(VLOOKUP(C1077,'[1]خريطة الحسابات'!_xlnm.Print_Area,5,FALSE)))</f>
        <v>الاصول</v>
      </c>
      <c r="O1077" s="139" t="s">
        <v>1776</v>
      </c>
      <c r="P1077" s="139" t="s">
        <v>1759</v>
      </c>
    </row>
    <row r="1078" spans="1:16">
      <c r="A1078" s="104">
        <v>54</v>
      </c>
      <c r="B1078" s="131">
        <v>46096</v>
      </c>
      <c r="C1078" s="141">
        <v>20</v>
      </c>
      <c r="D1078" s="140" t="str">
        <f>IF(ISERROR(VLOOKUP(C1078,'[1]خريطة الحسابات'!_xlnm.Print_Area,3,FALSE))," ",(VLOOKUP(C1078,'[1]خريطة الحسابات'!_xlnm.Print_Area,3,FALSE)))</f>
        <v xml:space="preserve">الخزينة </v>
      </c>
      <c r="E1078" s="132"/>
      <c r="F1078" s="133"/>
      <c r="G1078" s="133">
        <v>1000</v>
      </c>
      <c r="H1078" s="134">
        <f t="shared" si="49"/>
        <v>0</v>
      </c>
      <c r="I1078" s="134">
        <f t="shared" si="49"/>
        <v>1000</v>
      </c>
      <c r="J1078" s="134">
        <f t="shared" si="48"/>
        <v>-1000</v>
      </c>
      <c r="K1078" s="135"/>
      <c r="L1078" s="136" t="str">
        <f t="shared" si="50"/>
        <v>دائن</v>
      </c>
      <c r="M1078" s="137" t="str">
        <f>IF(ISERROR(VLOOKUP(C1078,'[1]خريطة الحسابات'!_xlnm.Print_Area,4,FALSE))," ",(VLOOKUP(C1078,'[1]خريطة الحسابات'!_xlnm.Print_Area,4,FALSE)))</f>
        <v xml:space="preserve">أصول متداوله -النقدية ومافي حكمها </v>
      </c>
      <c r="N1078" s="138" t="str">
        <f>IF(ISERROR(VLOOKUP(C1078,'[1]خريطة الحسابات'!_xlnm.Print_Area,5,FALSE))," ",(VLOOKUP(C1078,'[1]خريطة الحسابات'!_xlnm.Print_Area,5,FALSE)))</f>
        <v>الاصول</v>
      </c>
      <c r="O1078" s="139" t="s">
        <v>1777</v>
      </c>
      <c r="P1078" s="139" t="s">
        <v>1759</v>
      </c>
    </row>
    <row r="1079" spans="1:16">
      <c r="A1079" s="104">
        <v>54</v>
      </c>
      <c r="B1079" s="131">
        <v>46098</v>
      </c>
      <c r="C1079" s="141">
        <v>20</v>
      </c>
      <c r="D1079" s="140" t="str">
        <f>IF(ISERROR(VLOOKUP(C1079,'[1]خريطة الحسابات'!_xlnm.Print_Area,3,FALSE))," ",(VLOOKUP(C1079,'[1]خريطة الحسابات'!_xlnm.Print_Area,3,FALSE)))</f>
        <v xml:space="preserve">الخزينة </v>
      </c>
      <c r="E1079" s="132"/>
      <c r="F1079" s="133"/>
      <c r="G1079" s="133">
        <v>10000</v>
      </c>
      <c r="H1079" s="134">
        <f t="shared" si="49"/>
        <v>0</v>
      </c>
      <c r="I1079" s="134">
        <f t="shared" si="49"/>
        <v>10000</v>
      </c>
      <c r="J1079" s="134">
        <f t="shared" si="48"/>
        <v>-10000</v>
      </c>
      <c r="K1079" s="135"/>
      <c r="L1079" s="136" t="str">
        <f t="shared" si="50"/>
        <v>دائن</v>
      </c>
      <c r="M1079" s="137" t="str">
        <f>IF(ISERROR(VLOOKUP(C1079,'[1]خريطة الحسابات'!_xlnm.Print_Area,4,FALSE))," ",(VLOOKUP(C1079,'[1]خريطة الحسابات'!_xlnm.Print_Area,4,FALSE)))</f>
        <v xml:space="preserve">أصول متداوله -النقدية ومافي حكمها </v>
      </c>
      <c r="N1079" s="138" t="str">
        <f>IF(ISERROR(VLOOKUP(C1079,'[1]خريطة الحسابات'!_xlnm.Print_Area,5,FALSE))," ",(VLOOKUP(C1079,'[1]خريطة الحسابات'!_xlnm.Print_Area,5,FALSE)))</f>
        <v>الاصول</v>
      </c>
      <c r="O1079" s="139" t="s">
        <v>1778</v>
      </c>
      <c r="P1079" s="139" t="s">
        <v>1759</v>
      </c>
    </row>
    <row r="1080" spans="1:16">
      <c r="A1080" s="104">
        <v>54</v>
      </c>
      <c r="B1080" s="131">
        <v>46098</v>
      </c>
      <c r="C1080" s="141">
        <v>20</v>
      </c>
      <c r="D1080" s="140" t="str">
        <f>IF(ISERROR(VLOOKUP(C1080,'[1]خريطة الحسابات'!_xlnm.Print_Area,3,FALSE))," ",(VLOOKUP(C1080,'[1]خريطة الحسابات'!_xlnm.Print_Area,3,FALSE)))</f>
        <v xml:space="preserve">الخزينة </v>
      </c>
      <c r="E1080" s="132"/>
      <c r="F1080" s="133"/>
      <c r="G1080" s="133">
        <v>4000</v>
      </c>
      <c r="H1080" s="134">
        <f t="shared" si="49"/>
        <v>0</v>
      </c>
      <c r="I1080" s="134">
        <f t="shared" si="49"/>
        <v>4000</v>
      </c>
      <c r="J1080" s="134">
        <f t="shared" si="48"/>
        <v>-4000</v>
      </c>
      <c r="K1080" s="135"/>
      <c r="L1080" s="136" t="str">
        <f t="shared" si="50"/>
        <v>دائن</v>
      </c>
      <c r="M1080" s="137" t="str">
        <f>IF(ISERROR(VLOOKUP(C1080,'[1]خريطة الحسابات'!_xlnm.Print_Area,4,FALSE))," ",(VLOOKUP(C1080,'[1]خريطة الحسابات'!_xlnm.Print_Area,4,FALSE)))</f>
        <v xml:space="preserve">أصول متداوله -النقدية ومافي حكمها </v>
      </c>
      <c r="N1080" s="138" t="str">
        <f>IF(ISERROR(VLOOKUP(C1080,'[1]خريطة الحسابات'!_xlnm.Print_Area,5,FALSE))," ",(VLOOKUP(C1080,'[1]خريطة الحسابات'!_xlnm.Print_Area,5,FALSE)))</f>
        <v>الاصول</v>
      </c>
      <c r="O1080" s="139" t="s">
        <v>1764</v>
      </c>
      <c r="P1080" s="139" t="s">
        <v>1759</v>
      </c>
    </row>
    <row r="1081" spans="1:16">
      <c r="A1081" s="104">
        <v>54</v>
      </c>
      <c r="B1081" s="131">
        <v>46099</v>
      </c>
      <c r="C1081" s="141">
        <v>20</v>
      </c>
      <c r="D1081" s="140" t="str">
        <f>IF(ISERROR(VLOOKUP(C1081,'[1]خريطة الحسابات'!_xlnm.Print_Area,3,FALSE))," ",(VLOOKUP(C1081,'[1]خريطة الحسابات'!_xlnm.Print_Area,3,FALSE)))</f>
        <v xml:space="preserve">الخزينة </v>
      </c>
      <c r="E1081" s="132"/>
      <c r="F1081" s="133"/>
      <c r="G1081" s="133">
        <v>10000</v>
      </c>
      <c r="H1081" s="134">
        <f t="shared" si="49"/>
        <v>0</v>
      </c>
      <c r="I1081" s="134">
        <f t="shared" si="49"/>
        <v>10000</v>
      </c>
      <c r="J1081" s="134">
        <f t="shared" si="48"/>
        <v>-10000</v>
      </c>
      <c r="K1081" s="135"/>
      <c r="L1081" s="136" t="str">
        <f t="shared" si="50"/>
        <v>دائن</v>
      </c>
      <c r="M1081" s="137" t="str">
        <f>IF(ISERROR(VLOOKUP(C1081,'[1]خريطة الحسابات'!_xlnm.Print_Area,4,FALSE))," ",(VLOOKUP(C1081,'[1]خريطة الحسابات'!_xlnm.Print_Area,4,FALSE)))</f>
        <v xml:space="preserve">أصول متداوله -النقدية ومافي حكمها </v>
      </c>
      <c r="N1081" s="138" t="str">
        <f>IF(ISERROR(VLOOKUP(C1081,'[1]خريطة الحسابات'!_xlnm.Print_Area,5,FALSE))," ",(VLOOKUP(C1081,'[1]خريطة الحسابات'!_xlnm.Print_Area,5,FALSE)))</f>
        <v>الاصول</v>
      </c>
      <c r="O1081" s="139" t="s">
        <v>1779</v>
      </c>
      <c r="P1081" s="139" t="s">
        <v>1759</v>
      </c>
    </row>
    <row r="1082" spans="1:16">
      <c r="A1082" s="104">
        <v>54</v>
      </c>
      <c r="B1082" s="131">
        <v>46099</v>
      </c>
      <c r="C1082" s="141">
        <v>20</v>
      </c>
      <c r="D1082" s="140" t="str">
        <f>IF(ISERROR(VLOOKUP(C1082,'[1]خريطة الحسابات'!_xlnm.Print_Area,3,FALSE))," ",(VLOOKUP(C1082,'[1]خريطة الحسابات'!_xlnm.Print_Area,3,FALSE)))</f>
        <v xml:space="preserve">الخزينة </v>
      </c>
      <c r="E1082" s="132"/>
      <c r="F1082" s="133"/>
      <c r="G1082" s="133">
        <v>1000</v>
      </c>
      <c r="H1082" s="134">
        <f t="shared" si="49"/>
        <v>0</v>
      </c>
      <c r="I1082" s="134">
        <f t="shared" si="49"/>
        <v>1000</v>
      </c>
      <c r="J1082" s="134">
        <f t="shared" si="48"/>
        <v>-1000</v>
      </c>
      <c r="K1082" s="135"/>
      <c r="L1082" s="136" t="str">
        <f t="shared" si="50"/>
        <v>دائن</v>
      </c>
      <c r="M1082" s="137" t="str">
        <f>IF(ISERROR(VLOOKUP(C1082,'[1]خريطة الحسابات'!_xlnm.Print_Area,4,FALSE))," ",(VLOOKUP(C1082,'[1]خريطة الحسابات'!_xlnm.Print_Area,4,FALSE)))</f>
        <v xml:space="preserve">أصول متداوله -النقدية ومافي حكمها </v>
      </c>
      <c r="N1082" s="138" t="str">
        <f>IF(ISERROR(VLOOKUP(C1082,'[1]خريطة الحسابات'!_xlnm.Print_Area,5,FALSE))," ",(VLOOKUP(C1082,'[1]خريطة الحسابات'!_xlnm.Print_Area,5,FALSE)))</f>
        <v>الاصول</v>
      </c>
      <c r="O1082" s="139" t="s">
        <v>1761</v>
      </c>
      <c r="P1082" s="139" t="s">
        <v>1759</v>
      </c>
    </row>
    <row r="1083" spans="1:16">
      <c r="A1083" s="104">
        <v>54</v>
      </c>
      <c r="B1083" s="131">
        <v>46099</v>
      </c>
      <c r="C1083" s="141">
        <v>20</v>
      </c>
      <c r="D1083" s="140" t="str">
        <f>IF(ISERROR(VLOOKUP(C1083,'[1]خريطة الحسابات'!_xlnm.Print_Area,3,FALSE))," ",(VLOOKUP(C1083,'[1]خريطة الحسابات'!_xlnm.Print_Area,3,FALSE)))</f>
        <v xml:space="preserve">الخزينة </v>
      </c>
      <c r="E1083" s="132"/>
      <c r="F1083" s="133"/>
      <c r="G1083" s="133">
        <v>2000</v>
      </c>
      <c r="H1083" s="134">
        <f t="shared" si="49"/>
        <v>0</v>
      </c>
      <c r="I1083" s="134">
        <f t="shared" si="49"/>
        <v>2000</v>
      </c>
      <c r="J1083" s="134">
        <f t="shared" si="48"/>
        <v>-2000</v>
      </c>
      <c r="K1083" s="135"/>
      <c r="L1083" s="136" t="str">
        <f t="shared" si="50"/>
        <v>دائن</v>
      </c>
      <c r="M1083" s="137" t="str">
        <f>IF(ISERROR(VLOOKUP(C1083,'[1]خريطة الحسابات'!_xlnm.Print_Area,4,FALSE))," ",(VLOOKUP(C1083,'[1]خريطة الحسابات'!_xlnm.Print_Area,4,FALSE)))</f>
        <v xml:space="preserve">أصول متداوله -النقدية ومافي حكمها </v>
      </c>
      <c r="N1083" s="138" t="str">
        <f>IF(ISERROR(VLOOKUP(C1083,'[1]خريطة الحسابات'!_xlnm.Print_Area,5,FALSE))," ",(VLOOKUP(C1083,'[1]خريطة الحسابات'!_xlnm.Print_Area,5,FALSE)))</f>
        <v>الاصول</v>
      </c>
      <c r="O1083" s="139" t="s">
        <v>1780</v>
      </c>
      <c r="P1083" s="139" t="s">
        <v>1759</v>
      </c>
    </row>
    <row r="1084" spans="1:16">
      <c r="A1084" s="104">
        <v>54</v>
      </c>
      <c r="B1084" s="131">
        <v>46110</v>
      </c>
      <c r="C1084" s="141">
        <v>20</v>
      </c>
      <c r="D1084" s="140" t="str">
        <f>IF(ISERROR(VLOOKUP(C1084,'[1]خريطة الحسابات'!_xlnm.Print_Area,3,FALSE))," ",(VLOOKUP(C1084,'[1]خريطة الحسابات'!_xlnm.Print_Area,3,FALSE)))</f>
        <v xml:space="preserve">الخزينة </v>
      </c>
      <c r="E1084" s="132"/>
      <c r="F1084" s="133"/>
      <c r="G1084" s="133">
        <v>1000</v>
      </c>
      <c r="H1084" s="134">
        <f t="shared" si="49"/>
        <v>0</v>
      </c>
      <c r="I1084" s="134">
        <f t="shared" si="49"/>
        <v>1000</v>
      </c>
      <c r="J1084" s="134">
        <f t="shared" si="48"/>
        <v>-1000</v>
      </c>
      <c r="K1084" s="135"/>
      <c r="L1084" s="136" t="str">
        <f t="shared" si="50"/>
        <v>دائن</v>
      </c>
      <c r="M1084" s="137" t="str">
        <f>IF(ISERROR(VLOOKUP(C1084,'[1]خريطة الحسابات'!_xlnm.Print_Area,4,FALSE))," ",(VLOOKUP(C1084,'[1]خريطة الحسابات'!_xlnm.Print_Area,4,FALSE)))</f>
        <v xml:space="preserve">أصول متداوله -النقدية ومافي حكمها </v>
      </c>
      <c r="N1084" s="138" t="str">
        <f>IF(ISERROR(VLOOKUP(C1084,'[1]خريطة الحسابات'!_xlnm.Print_Area,5,FALSE))," ",(VLOOKUP(C1084,'[1]خريطة الحسابات'!_xlnm.Print_Area,5,FALSE)))</f>
        <v>الاصول</v>
      </c>
      <c r="O1084" s="139" t="s">
        <v>1780</v>
      </c>
      <c r="P1084" s="139" t="s">
        <v>1759</v>
      </c>
    </row>
    <row r="1085" spans="1:16">
      <c r="A1085" s="104">
        <v>54</v>
      </c>
      <c r="B1085" s="131">
        <v>46112</v>
      </c>
      <c r="C1085" s="141">
        <v>20</v>
      </c>
      <c r="D1085" s="140" t="str">
        <f>IF(ISERROR(VLOOKUP(C1085,'[1]خريطة الحسابات'!_xlnm.Print_Area,3,FALSE))," ",(VLOOKUP(C1085,'[1]خريطة الحسابات'!_xlnm.Print_Area,3,FALSE)))</f>
        <v xml:space="preserve">الخزينة </v>
      </c>
      <c r="E1085" s="132"/>
      <c r="F1085" s="133"/>
      <c r="G1085" s="133">
        <v>200</v>
      </c>
      <c r="H1085" s="134">
        <f t="shared" si="49"/>
        <v>0</v>
      </c>
      <c r="I1085" s="134">
        <f t="shared" si="49"/>
        <v>200</v>
      </c>
      <c r="J1085" s="134">
        <f t="shared" si="48"/>
        <v>-200</v>
      </c>
      <c r="K1085" s="135"/>
      <c r="L1085" s="136" t="str">
        <f t="shared" si="50"/>
        <v>دائن</v>
      </c>
      <c r="M1085" s="137" t="str">
        <f>IF(ISERROR(VLOOKUP(C1085,'[1]خريطة الحسابات'!_xlnm.Print_Area,4,FALSE))," ",(VLOOKUP(C1085,'[1]خريطة الحسابات'!_xlnm.Print_Area,4,FALSE)))</f>
        <v xml:space="preserve">أصول متداوله -النقدية ومافي حكمها </v>
      </c>
      <c r="N1085" s="138" t="str">
        <f>IF(ISERROR(VLOOKUP(C1085,'[1]خريطة الحسابات'!_xlnm.Print_Area,5,FALSE))," ",(VLOOKUP(C1085,'[1]خريطة الحسابات'!_xlnm.Print_Area,5,FALSE)))</f>
        <v>الاصول</v>
      </c>
      <c r="O1085" s="139" t="s">
        <v>1761</v>
      </c>
      <c r="P1085" s="139" t="s">
        <v>1759</v>
      </c>
    </row>
    <row r="1086" spans="1:16">
      <c r="A1086" s="104">
        <v>54</v>
      </c>
      <c r="B1086" s="131">
        <v>46112</v>
      </c>
      <c r="C1086" s="141">
        <v>20</v>
      </c>
      <c r="D1086" s="140" t="str">
        <f>IF(ISERROR(VLOOKUP(C1086,'[1]خريطة الحسابات'!_xlnm.Print_Area,3,FALSE))," ",(VLOOKUP(C1086,'[1]خريطة الحسابات'!_xlnm.Print_Area,3,FALSE)))</f>
        <v xml:space="preserve">الخزينة </v>
      </c>
      <c r="E1086" s="132"/>
      <c r="F1086" s="133"/>
      <c r="G1086" s="133">
        <v>500</v>
      </c>
      <c r="H1086" s="134">
        <f t="shared" si="49"/>
        <v>0</v>
      </c>
      <c r="I1086" s="134">
        <f t="shared" si="49"/>
        <v>500</v>
      </c>
      <c r="J1086" s="134">
        <f t="shared" si="48"/>
        <v>-500</v>
      </c>
      <c r="K1086" s="135"/>
      <c r="L1086" s="136" t="str">
        <f t="shared" si="50"/>
        <v>دائن</v>
      </c>
      <c r="M1086" s="137" t="str">
        <f>IF(ISERROR(VLOOKUP(C1086,'[1]خريطة الحسابات'!_xlnm.Print_Area,4,FALSE))," ",(VLOOKUP(C1086,'[1]خريطة الحسابات'!_xlnm.Print_Area,4,FALSE)))</f>
        <v xml:space="preserve">أصول متداوله -النقدية ومافي حكمها </v>
      </c>
      <c r="N1086" s="138" t="str">
        <f>IF(ISERROR(VLOOKUP(C1086,'[1]خريطة الحسابات'!_xlnm.Print_Area,5,FALSE))," ",(VLOOKUP(C1086,'[1]خريطة الحسابات'!_xlnm.Print_Area,5,FALSE)))</f>
        <v>الاصول</v>
      </c>
      <c r="O1086" s="139" t="s">
        <v>1781</v>
      </c>
      <c r="P1086" s="139" t="s">
        <v>1759</v>
      </c>
    </row>
    <row r="1087" spans="1:16">
      <c r="A1087" s="104">
        <v>54</v>
      </c>
      <c r="B1087" s="131">
        <v>46116</v>
      </c>
      <c r="C1087" s="141">
        <v>20</v>
      </c>
      <c r="D1087" s="140" t="str">
        <f>IF(ISERROR(VLOOKUP(C1087,'[1]خريطة الحسابات'!_xlnm.Print_Area,3,FALSE))," ",(VLOOKUP(C1087,'[1]خريطة الحسابات'!_xlnm.Print_Area,3,FALSE)))</f>
        <v xml:space="preserve">الخزينة </v>
      </c>
      <c r="E1087" s="132"/>
      <c r="F1087" s="133"/>
      <c r="G1087" s="133">
        <v>445662</v>
      </c>
      <c r="H1087" s="134">
        <f t="shared" si="49"/>
        <v>0</v>
      </c>
      <c r="I1087" s="134">
        <f t="shared" si="49"/>
        <v>445662</v>
      </c>
      <c r="J1087" s="134">
        <f t="shared" si="48"/>
        <v>-445662</v>
      </c>
      <c r="K1087" s="135"/>
      <c r="L1087" s="136" t="str">
        <f t="shared" si="50"/>
        <v>دائن</v>
      </c>
      <c r="M1087" s="137" t="str">
        <f>IF(ISERROR(VLOOKUP(C1087,'[1]خريطة الحسابات'!_xlnm.Print_Area,4,FALSE))," ",(VLOOKUP(C1087,'[1]خريطة الحسابات'!_xlnm.Print_Area,4,FALSE)))</f>
        <v xml:space="preserve">أصول متداوله -النقدية ومافي حكمها </v>
      </c>
      <c r="N1087" s="138" t="str">
        <f>IF(ISERROR(VLOOKUP(C1087,'[1]خريطة الحسابات'!_xlnm.Print_Area,5,FALSE))," ",(VLOOKUP(C1087,'[1]خريطة الحسابات'!_xlnm.Print_Area,5,FALSE)))</f>
        <v>الاصول</v>
      </c>
      <c r="O1087" s="139" t="s">
        <v>1782</v>
      </c>
      <c r="P1087" s="139" t="s">
        <v>1759</v>
      </c>
    </row>
    <row r="1088" spans="1:16">
      <c r="A1088" s="104">
        <v>54</v>
      </c>
      <c r="B1088" s="131">
        <v>46116</v>
      </c>
      <c r="C1088" s="141">
        <v>20</v>
      </c>
      <c r="D1088" s="140" t="str">
        <f>IF(ISERROR(VLOOKUP(C1088,'[1]خريطة الحسابات'!_xlnm.Print_Area,3,FALSE))," ",(VLOOKUP(C1088,'[1]خريطة الحسابات'!_xlnm.Print_Area,3,FALSE)))</f>
        <v xml:space="preserve">الخزينة </v>
      </c>
      <c r="E1088" s="132"/>
      <c r="F1088" s="133"/>
      <c r="G1088" s="133">
        <v>5005</v>
      </c>
      <c r="H1088" s="134">
        <f t="shared" si="49"/>
        <v>0</v>
      </c>
      <c r="I1088" s="134">
        <f t="shared" si="49"/>
        <v>5005</v>
      </c>
      <c r="J1088" s="134">
        <f t="shared" si="48"/>
        <v>-5005</v>
      </c>
      <c r="K1088" s="135"/>
      <c r="L1088" s="136" t="str">
        <f t="shared" si="50"/>
        <v>دائن</v>
      </c>
      <c r="M1088" s="137" t="str">
        <f>IF(ISERROR(VLOOKUP(C1088,'[1]خريطة الحسابات'!_xlnm.Print_Area,4,FALSE))," ",(VLOOKUP(C1088,'[1]خريطة الحسابات'!_xlnm.Print_Area,4,FALSE)))</f>
        <v xml:space="preserve">أصول متداوله -النقدية ومافي حكمها </v>
      </c>
      <c r="N1088" s="138" t="str">
        <f>IF(ISERROR(VLOOKUP(C1088,'[1]خريطة الحسابات'!_xlnm.Print_Area,5,FALSE))," ",(VLOOKUP(C1088,'[1]خريطة الحسابات'!_xlnm.Print_Area,5,FALSE)))</f>
        <v>الاصول</v>
      </c>
      <c r="O1088" s="139" t="s">
        <v>1783</v>
      </c>
      <c r="P1088" s="139" t="s">
        <v>1759</v>
      </c>
    </row>
    <row r="1089" spans="1:16">
      <c r="A1089" s="104">
        <v>54</v>
      </c>
      <c r="B1089" s="131">
        <v>46117</v>
      </c>
      <c r="C1089" s="141">
        <v>20</v>
      </c>
      <c r="D1089" s="140" t="str">
        <f>IF(ISERROR(VLOOKUP(C1089,'[1]خريطة الحسابات'!_xlnm.Print_Area,3,FALSE))," ",(VLOOKUP(C1089,'[1]خريطة الحسابات'!_xlnm.Print_Area,3,FALSE)))</f>
        <v xml:space="preserve">الخزينة </v>
      </c>
      <c r="E1089" s="132"/>
      <c r="F1089" s="133"/>
      <c r="G1089" s="133">
        <v>15000</v>
      </c>
      <c r="H1089" s="134">
        <f t="shared" si="49"/>
        <v>0</v>
      </c>
      <c r="I1089" s="134">
        <f t="shared" si="49"/>
        <v>15000</v>
      </c>
      <c r="J1089" s="134">
        <f t="shared" si="48"/>
        <v>-15000</v>
      </c>
      <c r="K1089" s="135"/>
      <c r="L1089" s="136" t="str">
        <f t="shared" si="50"/>
        <v>دائن</v>
      </c>
      <c r="M1089" s="137" t="str">
        <f>IF(ISERROR(VLOOKUP(C1089,'[1]خريطة الحسابات'!_xlnm.Print_Area,4,FALSE))," ",(VLOOKUP(C1089,'[1]خريطة الحسابات'!_xlnm.Print_Area,4,FALSE)))</f>
        <v xml:space="preserve">أصول متداوله -النقدية ومافي حكمها </v>
      </c>
      <c r="N1089" s="138" t="str">
        <f>IF(ISERROR(VLOOKUP(C1089,'[1]خريطة الحسابات'!_xlnm.Print_Area,5,FALSE))," ",(VLOOKUP(C1089,'[1]خريطة الحسابات'!_xlnm.Print_Area,5,FALSE)))</f>
        <v>الاصول</v>
      </c>
      <c r="O1089" s="139" t="s">
        <v>1784</v>
      </c>
      <c r="P1089" s="139" t="s">
        <v>1759</v>
      </c>
    </row>
    <row r="1090" spans="1:16">
      <c r="A1090" s="104">
        <v>54</v>
      </c>
      <c r="B1090" s="131">
        <v>46121</v>
      </c>
      <c r="C1090" s="141">
        <v>20</v>
      </c>
      <c r="D1090" s="140" t="str">
        <f>IF(ISERROR(VLOOKUP(C1090,'[1]خريطة الحسابات'!_xlnm.Print_Area,3,FALSE))," ",(VLOOKUP(C1090,'[1]خريطة الحسابات'!_xlnm.Print_Area,3,FALSE)))</f>
        <v xml:space="preserve">الخزينة </v>
      </c>
      <c r="E1090" s="132"/>
      <c r="F1090" s="133"/>
      <c r="G1090" s="133">
        <v>7000</v>
      </c>
      <c r="H1090" s="134">
        <f t="shared" si="49"/>
        <v>0</v>
      </c>
      <c r="I1090" s="134">
        <f t="shared" si="49"/>
        <v>7000</v>
      </c>
      <c r="J1090" s="134">
        <f t="shared" si="48"/>
        <v>-7000</v>
      </c>
      <c r="K1090" s="135"/>
      <c r="L1090" s="136" t="str">
        <f t="shared" si="50"/>
        <v>دائن</v>
      </c>
      <c r="M1090" s="137" t="str">
        <f>IF(ISERROR(VLOOKUP(C1090,'[1]خريطة الحسابات'!_xlnm.Print_Area,4,FALSE))," ",(VLOOKUP(C1090,'[1]خريطة الحسابات'!_xlnm.Print_Area,4,FALSE)))</f>
        <v xml:space="preserve">أصول متداوله -النقدية ومافي حكمها </v>
      </c>
      <c r="N1090" s="138" t="str">
        <f>IF(ISERROR(VLOOKUP(C1090,'[1]خريطة الحسابات'!_xlnm.Print_Area,5,FALSE))," ",(VLOOKUP(C1090,'[1]خريطة الحسابات'!_xlnm.Print_Area,5,FALSE)))</f>
        <v>الاصول</v>
      </c>
      <c r="O1090" s="139" t="s">
        <v>1760</v>
      </c>
      <c r="P1090" s="139" t="s">
        <v>1759</v>
      </c>
    </row>
    <row r="1091" spans="1:16">
      <c r="A1091" s="104">
        <v>54</v>
      </c>
      <c r="B1091" s="131">
        <v>46126</v>
      </c>
      <c r="C1091" s="141">
        <v>20</v>
      </c>
      <c r="D1091" s="140" t="str">
        <f>IF(ISERROR(VLOOKUP(C1091,'[1]خريطة الحسابات'!_xlnm.Print_Area,3,FALSE))," ",(VLOOKUP(C1091,'[1]خريطة الحسابات'!_xlnm.Print_Area,3,FALSE)))</f>
        <v xml:space="preserve">الخزينة </v>
      </c>
      <c r="E1091" s="132"/>
      <c r="F1091" s="133"/>
      <c r="G1091" s="133">
        <v>2000</v>
      </c>
      <c r="H1091" s="134">
        <f t="shared" si="49"/>
        <v>0</v>
      </c>
      <c r="I1091" s="134">
        <f t="shared" si="49"/>
        <v>2000</v>
      </c>
      <c r="J1091" s="134">
        <f t="shared" si="48"/>
        <v>-2000</v>
      </c>
      <c r="K1091" s="135"/>
      <c r="L1091" s="136" t="str">
        <f t="shared" si="50"/>
        <v>دائن</v>
      </c>
      <c r="M1091" s="137" t="str">
        <f>IF(ISERROR(VLOOKUP(C1091,'[1]خريطة الحسابات'!_xlnm.Print_Area,4,FALSE))," ",(VLOOKUP(C1091,'[1]خريطة الحسابات'!_xlnm.Print_Area,4,FALSE)))</f>
        <v xml:space="preserve">أصول متداوله -النقدية ومافي حكمها </v>
      </c>
      <c r="N1091" s="138" t="str">
        <f>IF(ISERROR(VLOOKUP(C1091,'[1]خريطة الحسابات'!_xlnm.Print_Area,5,FALSE))," ",(VLOOKUP(C1091,'[1]خريطة الحسابات'!_xlnm.Print_Area,5,FALSE)))</f>
        <v>الاصول</v>
      </c>
      <c r="O1091" s="139" t="s">
        <v>1785</v>
      </c>
      <c r="P1091" s="139" t="s">
        <v>1759</v>
      </c>
    </row>
    <row r="1092" spans="1:16">
      <c r="A1092" s="104">
        <v>54</v>
      </c>
      <c r="B1092" s="131">
        <v>46128</v>
      </c>
      <c r="C1092" s="141">
        <v>20</v>
      </c>
      <c r="D1092" s="140" t="str">
        <f>IF(ISERROR(VLOOKUP(C1092,'[1]خريطة الحسابات'!_xlnm.Print_Area,3,FALSE))," ",(VLOOKUP(C1092,'[1]خريطة الحسابات'!_xlnm.Print_Area,3,FALSE)))</f>
        <v xml:space="preserve">الخزينة </v>
      </c>
      <c r="E1092" s="132"/>
      <c r="F1092" s="133"/>
      <c r="G1092" s="133">
        <v>2000</v>
      </c>
      <c r="H1092" s="134">
        <f t="shared" si="49"/>
        <v>0</v>
      </c>
      <c r="I1092" s="134">
        <f t="shared" si="49"/>
        <v>2000</v>
      </c>
      <c r="J1092" s="134">
        <f t="shared" si="48"/>
        <v>-2000</v>
      </c>
      <c r="K1092" s="135"/>
      <c r="L1092" s="136" t="str">
        <f t="shared" si="50"/>
        <v>دائن</v>
      </c>
      <c r="M1092" s="137" t="str">
        <f>IF(ISERROR(VLOOKUP(C1092,'[1]خريطة الحسابات'!_xlnm.Print_Area,4,FALSE))," ",(VLOOKUP(C1092,'[1]خريطة الحسابات'!_xlnm.Print_Area,4,FALSE)))</f>
        <v xml:space="preserve">أصول متداوله -النقدية ومافي حكمها </v>
      </c>
      <c r="N1092" s="138" t="str">
        <f>IF(ISERROR(VLOOKUP(C1092,'[1]خريطة الحسابات'!_xlnm.Print_Area,5,FALSE))," ",(VLOOKUP(C1092,'[1]خريطة الحسابات'!_xlnm.Print_Area,5,FALSE)))</f>
        <v>الاصول</v>
      </c>
      <c r="O1092" s="139" t="s">
        <v>1780</v>
      </c>
      <c r="P1092" s="139" t="s">
        <v>1759</v>
      </c>
    </row>
    <row r="1093" spans="1:16">
      <c r="A1093" s="104">
        <v>54</v>
      </c>
      <c r="B1093" s="131">
        <v>46132</v>
      </c>
      <c r="C1093" s="141">
        <v>20</v>
      </c>
      <c r="D1093" s="140" t="str">
        <f>IF(ISERROR(VLOOKUP(C1093,'[1]خريطة الحسابات'!_xlnm.Print_Area,3,FALSE))," ",(VLOOKUP(C1093,'[1]خريطة الحسابات'!_xlnm.Print_Area,3,FALSE)))</f>
        <v xml:space="preserve">الخزينة </v>
      </c>
      <c r="E1093" s="132"/>
      <c r="F1093" s="133"/>
      <c r="G1093" s="133">
        <v>1000</v>
      </c>
      <c r="H1093" s="134">
        <f t="shared" si="49"/>
        <v>0</v>
      </c>
      <c r="I1093" s="134">
        <f t="shared" si="49"/>
        <v>1000</v>
      </c>
      <c r="J1093" s="134">
        <f t="shared" si="48"/>
        <v>-1000</v>
      </c>
      <c r="K1093" s="135"/>
      <c r="L1093" s="136" t="str">
        <f t="shared" si="50"/>
        <v>دائن</v>
      </c>
      <c r="M1093" s="137" t="str">
        <f>IF(ISERROR(VLOOKUP(C1093,'[1]خريطة الحسابات'!_xlnm.Print_Area,4,FALSE))," ",(VLOOKUP(C1093,'[1]خريطة الحسابات'!_xlnm.Print_Area,4,FALSE)))</f>
        <v xml:space="preserve">أصول متداوله -النقدية ومافي حكمها </v>
      </c>
      <c r="N1093" s="138" t="str">
        <f>IF(ISERROR(VLOOKUP(C1093,'[1]خريطة الحسابات'!_xlnm.Print_Area,5,FALSE))," ",(VLOOKUP(C1093,'[1]خريطة الحسابات'!_xlnm.Print_Area,5,FALSE)))</f>
        <v>الاصول</v>
      </c>
      <c r="O1093" s="139" t="s">
        <v>1761</v>
      </c>
      <c r="P1093" s="139" t="s">
        <v>1759</v>
      </c>
    </row>
    <row r="1094" spans="1:16">
      <c r="A1094" s="104">
        <v>54</v>
      </c>
      <c r="B1094" s="131">
        <v>46134</v>
      </c>
      <c r="C1094" s="141">
        <v>20</v>
      </c>
      <c r="D1094" s="140" t="str">
        <f>IF(ISERROR(VLOOKUP(C1094,'[1]خريطة الحسابات'!_xlnm.Print_Area,3,FALSE))," ",(VLOOKUP(C1094,'[1]خريطة الحسابات'!_xlnm.Print_Area,3,FALSE)))</f>
        <v xml:space="preserve">الخزينة </v>
      </c>
      <c r="E1094" s="132"/>
      <c r="F1094" s="133"/>
      <c r="G1094" s="133">
        <v>1000</v>
      </c>
      <c r="H1094" s="134">
        <f t="shared" si="49"/>
        <v>0</v>
      </c>
      <c r="I1094" s="134">
        <f t="shared" si="49"/>
        <v>1000</v>
      </c>
      <c r="J1094" s="134">
        <f t="shared" si="48"/>
        <v>-1000</v>
      </c>
      <c r="K1094" s="135"/>
      <c r="L1094" s="136" t="str">
        <f t="shared" si="50"/>
        <v>دائن</v>
      </c>
      <c r="M1094" s="137" t="str">
        <f>IF(ISERROR(VLOOKUP(C1094,'[1]خريطة الحسابات'!_xlnm.Print_Area,4,FALSE))," ",(VLOOKUP(C1094,'[1]خريطة الحسابات'!_xlnm.Print_Area,4,FALSE)))</f>
        <v xml:space="preserve">أصول متداوله -النقدية ومافي حكمها </v>
      </c>
      <c r="N1094" s="138" t="str">
        <f>IF(ISERROR(VLOOKUP(C1094,'[1]خريطة الحسابات'!_xlnm.Print_Area,5,FALSE))," ",(VLOOKUP(C1094,'[1]خريطة الحسابات'!_xlnm.Print_Area,5,FALSE)))</f>
        <v>الاصول</v>
      </c>
      <c r="O1094" s="139" t="s">
        <v>1780</v>
      </c>
      <c r="P1094" s="139" t="s">
        <v>1759</v>
      </c>
    </row>
    <row r="1095" spans="1:16">
      <c r="A1095" s="104">
        <v>54</v>
      </c>
      <c r="B1095" s="131">
        <v>46138</v>
      </c>
      <c r="C1095" s="141">
        <v>20</v>
      </c>
      <c r="D1095" s="140" t="str">
        <f>IF(ISERROR(VLOOKUP(C1095,'[1]خريطة الحسابات'!_xlnm.Print_Area,3,FALSE))," ",(VLOOKUP(C1095,'[1]خريطة الحسابات'!_xlnm.Print_Area,3,FALSE)))</f>
        <v xml:space="preserve">الخزينة </v>
      </c>
      <c r="E1095" s="132"/>
      <c r="F1095" s="133"/>
      <c r="G1095" s="133">
        <v>1000</v>
      </c>
      <c r="H1095" s="134">
        <f t="shared" si="49"/>
        <v>0</v>
      </c>
      <c r="I1095" s="134">
        <f t="shared" si="49"/>
        <v>1000</v>
      </c>
      <c r="J1095" s="134">
        <f t="shared" si="48"/>
        <v>-1000</v>
      </c>
      <c r="K1095" s="135"/>
      <c r="L1095" s="136" t="str">
        <f t="shared" si="50"/>
        <v>دائن</v>
      </c>
      <c r="M1095" s="137" t="str">
        <f>IF(ISERROR(VLOOKUP(C1095,'[1]خريطة الحسابات'!_xlnm.Print_Area,4,FALSE))," ",(VLOOKUP(C1095,'[1]خريطة الحسابات'!_xlnm.Print_Area,4,FALSE)))</f>
        <v xml:space="preserve">أصول متداوله -النقدية ومافي حكمها </v>
      </c>
      <c r="N1095" s="138" t="str">
        <f>IF(ISERROR(VLOOKUP(C1095,'[1]خريطة الحسابات'!_xlnm.Print_Area,5,FALSE))," ",(VLOOKUP(C1095,'[1]خريطة الحسابات'!_xlnm.Print_Area,5,FALSE)))</f>
        <v>الاصول</v>
      </c>
      <c r="O1095" s="139" t="s">
        <v>1780</v>
      </c>
      <c r="P1095" s="139" t="s">
        <v>1759</v>
      </c>
    </row>
    <row r="1096" spans="1:16">
      <c r="A1096" s="104">
        <v>54</v>
      </c>
      <c r="B1096" s="131">
        <v>46144</v>
      </c>
      <c r="C1096" s="141">
        <v>20</v>
      </c>
      <c r="D1096" s="140" t="str">
        <f>IF(ISERROR(VLOOKUP(C1096,'[1]خريطة الحسابات'!_xlnm.Print_Area,3,FALSE))," ",(VLOOKUP(C1096,'[1]خريطة الحسابات'!_xlnm.Print_Area,3,FALSE)))</f>
        <v xml:space="preserve">الخزينة </v>
      </c>
      <c r="E1096" s="132"/>
      <c r="F1096" s="133"/>
      <c r="G1096" s="133">
        <v>481985</v>
      </c>
      <c r="H1096" s="134">
        <f t="shared" si="49"/>
        <v>0</v>
      </c>
      <c r="I1096" s="134">
        <f t="shared" si="49"/>
        <v>481985</v>
      </c>
      <c r="J1096" s="134">
        <f t="shared" si="48"/>
        <v>-481985</v>
      </c>
      <c r="K1096" s="135"/>
      <c r="L1096" s="136" t="str">
        <f t="shared" si="50"/>
        <v>دائن</v>
      </c>
      <c r="M1096" s="137" t="str">
        <f>IF(ISERROR(VLOOKUP(C1096,'[1]خريطة الحسابات'!_xlnm.Print_Area,4,FALSE))," ",(VLOOKUP(C1096,'[1]خريطة الحسابات'!_xlnm.Print_Area,4,FALSE)))</f>
        <v xml:space="preserve">أصول متداوله -النقدية ومافي حكمها </v>
      </c>
      <c r="N1096" s="138" t="str">
        <f>IF(ISERROR(VLOOKUP(C1096,'[1]خريطة الحسابات'!_xlnm.Print_Area,5,FALSE))," ",(VLOOKUP(C1096,'[1]خريطة الحسابات'!_xlnm.Print_Area,5,FALSE)))</f>
        <v>الاصول</v>
      </c>
      <c r="O1096" s="139" t="s">
        <v>1786</v>
      </c>
      <c r="P1096" s="139" t="s">
        <v>1759</v>
      </c>
    </row>
    <row r="1097" spans="1:16">
      <c r="A1097" s="104">
        <v>54</v>
      </c>
      <c r="B1097" s="131">
        <v>46147</v>
      </c>
      <c r="C1097" s="141">
        <v>20</v>
      </c>
      <c r="D1097" s="140" t="str">
        <f>IF(ISERROR(VLOOKUP(C1097,'[1]خريطة الحسابات'!_xlnm.Print_Area,3,FALSE))," ",(VLOOKUP(C1097,'[1]خريطة الحسابات'!_xlnm.Print_Area,3,FALSE)))</f>
        <v xml:space="preserve">الخزينة </v>
      </c>
      <c r="E1097" s="132"/>
      <c r="F1097" s="133"/>
      <c r="G1097" s="133">
        <v>2700</v>
      </c>
      <c r="H1097" s="134">
        <f t="shared" si="49"/>
        <v>0</v>
      </c>
      <c r="I1097" s="134">
        <f t="shared" si="49"/>
        <v>2700</v>
      </c>
      <c r="J1097" s="134">
        <f t="shared" si="48"/>
        <v>-2700</v>
      </c>
      <c r="K1097" s="135"/>
      <c r="L1097" s="136" t="str">
        <f t="shared" si="50"/>
        <v>دائن</v>
      </c>
      <c r="M1097" s="137" t="str">
        <f>IF(ISERROR(VLOOKUP(C1097,'[1]خريطة الحسابات'!_xlnm.Print_Area,4,FALSE))," ",(VLOOKUP(C1097,'[1]خريطة الحسابات'!_xlnm.Print_Area,4,FALSE)))</f>
        <v xml:space="preserve">أصول متداوله -النقدية ومافي حكمها </v>
      </c>
      <c r="N1097" s="138" t="str">
        <f>IF(ISERROR(VLOOKUP(C1097,'[1]خريطة الحسابات'!_xlnm.Print_Area,5,FALSE))," ",(VLOOKUP(C1097,'[1]خريطة الحسابات'!_xlnm.Print_Area,5,FALSE)))</f>
        <v>الاصول</v>
      </c>
      <c r="O1097" s="139" t="s">
        <v>1787</v>
      </c>
      <c r="P1097" s="139" t="s">
        <v>1759</v>
      </c>
    </row>
    <row r="1098" spans="1:16">
      <c r="A1098" s="104">
        <v>54</v>
      </c>
      <c r="B1098" s="131">
        <v>46147</v>
      </c>
      <c r="C1098" s="141">
        <v>20</v>
      </c>
      <c r="D1098" s="140" t="str">
        <f>IF(ISERROR(VLOOKUP(C1098,'[1]خريطة الحسابات'!_xlnm.Print_Area,3,FALSE))," ",(VLOOKUP(C1098,'[1]خريطة الحسابات'!_xlnm.Print_Area,3,FALSE)))</f>
        <v xml:space="preserve">الخزينة </v>
      </c>
      <c r="E1098" s="132"/>
      <c r="F1098" s="133"/>
      <c r="G1098" s="133">
        <v>1820</v>
      </c>
      <c r="H1098" s="134">
        <f t="shared" si="49"/>
        <v>0</v>
      </c>
      <c r="I1098" s="134">
        <f t="shared" si="49"/>
        <v>1820</v>
      </c>
      <c r="J1098" s="134">
        <f t="shared" si="48"/>
        <v>-1820</v>
      </c>
      <c r="K1098" s="135"/>
      <c r="L1098" s="136" t="str">
        <f t="shared" si="50"/>
        <v>دائن</v>
      </c>
      <c r="M1098" s="137" t="str">
        <f>IF(ISERROR(VLOOKUP(C1098,'[1]خريطة الحسابات'!_xlnm.Print_Area,4,FALSE))," ",(VLOOKUP(C1098,'[1]خريطة الحسابات'!_xlnm.Print_Area,4,FALSE)))</f>
        <v xml:space="preserve">أصول متداوله -النقدية ومافي حكمها </v>
      </c>
      <c r="N1098" s="138" t="str">
        <f>IF(ISERROR(VLOOKUP(C1098,'[1]خريطة الحسابات'!_xlnm.Print_Area,5,FALSE))," ",(VLOOKUP(C1098,'[1]خريطة الحسابات'!_xlnm.Print_Area,5,FALSE)))</f>
        <v>الاصول</v>
      </c>
      <c r="O1098" s="139" t="s">
        <v>1788</v>
      </c>
      <c r="P1098" s="139" t="s">
        <v>1759</v>
      </c>
    </row>
    <row r="1099" spans="1:16">
      <c r="A1099" s="104">
        <v>54</v>
      </c>
      <c r="B1099" s="131">
        <v>46147</v>
      </c>
      <c r="C1099" s="141">
        <v>20</v>
      </c>
      <c r="D1099" s="140" t="str">
        <f>IF(ISERROR(VLOOKUP(C1099,'[1]خريطة الحسابات'!_xlnm.Print_Area,3,FALSE))," ",(VLOOKUP(C1099,'[1]خريطة الحسابات'!_xlnm.Print_Area,3,FALSE)))</f>
        <v xml:space="preserve">الخزينة </v>
      </c>
      <c r="E1099" s="132"/>
      <c r="F1099" s="133"/>
      <c r="G1099" s="133">
        <v>2180</v>
      </c>
      <c r="H1099" s="134">
        <f t="shared" si="49"/>
        <v>0</v>
      </c>
      <c r="I1099" s="134">
        <f t="shared" si="49"/>
        <v>2180</v>
      </c>
      <c r="J1099" s="134">
        <f t="shared" si="48"/>
        <v>-2180</v>
      </c>
      <c r="K1099" s="135"/>
      <c r="L1099" s="136" t="str">
        <f t="shared" si="50"/>
        <v>دائن</v>
      </c>
      <c r="M1099" s="137" t="str">
        <f>IF(ISERROR(VLOOKUP(C1099,'[1]خريطة الحسابات'!_xlnm.Print_Area,4,FALSE))," ",(VLOOKUP(C1099,'[1]خريطة الحسابات'!_xlnm.Print_Area,4,FALSE)))</f>
        <v xml:space="preserve">أصول متداوله -النقدية ومافي حكمها </v>
      </c>
      <c r="N1099" s="138" t="str">
        <f>IF(ISERROR(VLOOKUP(C1099,'[1]خريطة الحسابات'!_xlnm.Print_Area,5,FALSE))," ",(VLOOKUP(C1099,'[1]خريطة الحسابات'!_xlnm.Print_Area,5,FALSE)))</f>
        <v>الاصول</v>
      </c>
      <c r="O1099" s="139" t="s">
        <v>1789</v>
      </c>
      <c r="P1099" s="139" t="s">
        <v>1759</v>
      </c>
    </row>
    <row r="1100" spans="1:16">
      <c r="A1100" s="104">
        <v>54</v>
      </c>
      <c r="B1100" s="131">
        <v>46151</v>
      </c>
      <c r="C1100" s="141">
        <v>20</v>
      </c>
      <c r="D1100" s="140" t="str">
        <f>IF(ISERROR(VLOOKUP(C1100,'[1]خريطة الحسابات'!_xlnm.Print_Area,3,FALSE))," ",(VLOOKUP(C1100,'[1]خريطة الحسابات'!_xlnm.Print_Area,3,FALSE)))</f>
        <v xml:space="preserve">الخزينة </v>
      </c>
      <c r="E1100" s="132"/>
      <c r="F1100" s="133"/>
      <c r="G1100" s="133">
        <v>10000</v>
      </c>
      <c r="H1100" s="134">
        <f t="shared" si="49"/>
        <v>0</v>
      </c>
      <c r="I1100" s="134">
        <f t="shared" si="49"/>
        <v>10000</v>
      </c>
      <c r="J1100" s="134">
        <f t="shared" si="48"/>
        <v>-10000</v>
      </c>
      <c r="K1100" s="135"/>
      <c r="L1100" s="136" t="str">
        <f t="shared" si="50"/>
        <v>دائن</v>
      </c>
      <c r="M1100" s="137" t="str">
        <f>IF(ISERROR(VLOOKUP(C1100,'[1]خريطة الحسابات'!_xlnm.Print_Area,4,FALSE))," ",(VLOOKUP(C1100,'[1]خريطة الحسابات'!_xlnm.Print_Area,4,FALSE)))</f>
        <v xml:space="preserve">أصول متداوله -النقدية ومافي حكمها </v>
      </c>
      <c r="N1100" s="138" t="str">
        <f>IF(ISERROR(VLOOKUP(C1100,'[1]خريطة الحسابات'!_xlnm.Print_Area,5,FALSE))," ",(VLOOKUP(C1100,'[1]خريطة الحسابات'!_xlnm.Print_Area,5,FALSE)))</f>
        <v>الاصول</v>
      </c>
      <c r="O1100" s="139" t="s">
        <v>1760</v>
      </c>
      <c r="P1100" s="139" t="s">
        <v>1759</v>
      </c>
    </row>
    <row r="1101" spans="1:16">
      <c r="A1101" s="104">
        <v>54</v>
      </c>
      <c r="B1101" s="131">
        <v>46159</v>
      </c>
      <c r="C1101" s="141">
        <v>20</v>
      </c>
      <c r="D1101" s="140" t="str">
        <f>IF(ISERROR(VLOOKUP(C1101,'[1]خريطة الحسابات'!_xlnm.Print_Area,3,FALSE))," ",(VLOOKUP(C1101,'[1]خريطة الحسابات'!_xlnm.Print_Area,3,FALSE)))</f>
        <v xml:space="preserve">الخزينة </v>
      </c>
      <c r="E1101" s="132"/>
      <c r="F1101" s="133"/>
      <c r="G1101" s="133">
        <v>4000</v>
      </c>
      <c r="H1101" s="134">
        <f t="shared" si="49"/>
        <v>0</v>
      </c>
      <c r="I1101" s="134">
        <f t="shared" si="49"/>
        <v>4000</v>
      </c>
      <c r="J1101" s="134">
        <f t="shared" si="48"/>
        <v>-4000</v>
      </c>
      <c r="K1101" s="135"/>
      <c r="L1101" s="136" t="str">
        <f t="shared" si="50"/>
        <v>دائن</v>
      </c>
      <c r="M1101" s="137" t="str">
        <f>IF(ISERROR(VLOOKUP(C1101,'[1]خريطة الحسابات'!_xlnm.Print_Area,4,FALSE))," ",(VLOOKUP(C1101,'[1]خريطة الحسابات'!_xlnm.Print_Area,4,FALSE)))</f>
        <v xml:space="preserve">أصول متداوله -النقدية ومافي حكمها </v>
      </c>
      <c r="N1101" s="138" t="str">
        <f>IF(ISERROR(VLOOKUP(C1101,'[1]خريطة الحسابات'!_xlnm.Print_Area,5,FALSE))," ",(VLOOKUP(C1101,'[1]خريطة الحسابات'!_xlnm.Print_Area,5,FALSE)))</f>
        <v>الاصول</v>
      </c>
      <c r="O1101" s="139" t="s">
        <v>1790</v>
      </c>
      <c r="P1101" s="139" t="s">
        <v>1759</v>
      </c>
    </row>
    <row r="1102" spans="1:16">
      <c r="A1102" s="104">
        <v>54</v>
      </c>
      <c r="B1102" s="131">
        <v>46161</v>
      </c>
      <c r="C1102" s="141">
        <v>20</v>
      </c>
      <c r="D1102" s="140" t="str">
        <f>IF(ISERROR(VLOOKUP(C1102,'[1]خريطة الحسابات'!_xlnm.Print_Area,3,FALSE))," ",(VLOOKUP(C1102,'[1]خريطة الحسابات'!_xlnm.Print_Area,3,FALSE)))</f>
        <v xml:space="preserve">الخزينة </v>
      </c>
      <c r="E1102" s="132"/>
      <c r="F1102" s="133"/>
      <c r="G1102" s="133">
        <v>20000</v>
      </c>
      <c r="H1102" s="134">
        <f t="shared" si="49"/>
        <v>0</v>
      </c>
      <c r="I1102" s="134">
        <f t="shared" si="49"/>
        <v>20000</v>
      </c>
      <c r="J1102" s="134">
        <f t="shared" si="48"/>
        <v>-20000</v>
      </c>
      <c r="K1102" s="135"/>
      <c r="L1102" s="136" t="str">
        <f t="shared" si="50"/>
        <v>دائن</v>
      </c>
      <c r="M1102" s="137" t="str">
        <f>IF(ISERROR(VLOOKUP(C1102,'[1]خريطة الحسابات'!_xlnm.Print_Area,4,FALSE))," ",(VLOOKUP(C1102,'[1]خريطة الحسابات'!_xlnm.Print_Area,4,FALSE)))</f>
        <v xml:space="preserve">أصول متداوله -النقدية ومافي حكمها </v>
      </c>
      <c r="N1102" s="138" t="str">
        <f>IF(ISERROR(VLOOKUP(C1102,'[1]خريطة الحسابات'!_xlnm.Print_Area,5,FALSE))," ",(VLOOKUP(C1102,'[1]خريطة الحسابات'!_xlnm.Print_Area,5,FALSE)))</f>
        <v>الاصول</v>
      </c>
      <c r="O1102" s="139" t="s">
        <v>1791</v>
      </c>
      <c r="P1102" s="139" t="s">
        <v>1759</v>
      </c>
    </row>
    <row r="1103" spans="1:16">
      <c r="A1103" s="104">
        <v>54</v>
      </c>
      <c r="B1103" s="131">
        <v>46167</v>
      </c>
      <c r="C1103" s="141">
        <v>20</v>
      </c>
      <c r="D1103" s="140" t="str">
        <f>IF(ISERROR(VLOOKUP(C1103,'[1]خريطة الحسابات'!_xlnm.Print_Area,3,FALSE))," ",(VLOOKUP(C1103,'[1]خريطة الحسابات'!_xlnm.Print_Area,3,FALSE)))</f>
        <v xml:space="preserve">الخزينة </v>
      </c>
      <c r="E1103" s="132"/>
      <c r="F1103" s="133"/>
      <c r="G1103" s="133">
        <v>317975</v>
      </c>
      <c r="H1103" s="134">
        <f t="shared" si="49"/>
        <v>0</v>
      </c>
      <c r="I1103" s="134">
        <f t="shared" si="49"/>
        <v>317975</v>
      </c>
      <c r="J1103" s="134">
        <f t="shared" si="48"/>
        <v>-317975</v>
      </c>
      <c r="K1103" s="135"/>
      <c r="L1103" s="136" t="str">
        <f t="shared" si="50"/>
        <v>دائن</v>
      </c>
      <c r="M1103" s="137" t="str">
        <f>IF(ISERROR(VLOOKUP(C1103,'[1]خريطة الحسابات'!_xlnm.Print_Area,4,FALSE))," ",(VLOOKUP(C1103,'[1]خريطة الحسابات'!_xlnm.Print_Area,4,FALSE)))</f>
        <v xml:space="preserve">أصول متداوله -النقدية ومافي حكمها </v>
      </c>
      <c r="N1103" s="138" t="str">
        <f>IF(ISERROR(VLOOKUP(C1103,'[1]خريطة الحسابات'!_xlnm.Print_Area,5,FALSE))," ",(VLOOKUP(C1103,'[1]خريطة الحسابات'!_xlnm.Print_Area,5,FALSE)))</f>
        <v>الاصول</v>
      </c>
      <c r="O1103" s="139" t="s">
        <v>1792</v>
      </c>
      <c r="P1103" s="139" t="s">
        <v>1759</v>
      </c>
    </row>
    <row r="1104" spans="1:16">
      <c r="A1104" s="104">
        <v>54</v>
      </c>
      <c r="B1104" s="131">
        <v>46168</v>
      </c>
      <c r="C1104" s="141">
        <v>20</v>
      </c>
      <c r="D1104" s="140" t="str">
        <f>IF(ISERROR(VLOOKUP(C1104,'[1]خريطة الحسابات'!_xlnm.Print_Area,3,FALSE))," ",(VLOOKUP(C1104,'[1]خريطة الحسابات'!_xlnm.Print_Area,3,FALSE)))</f>
        <v xml:space="preserve">الخزينة </v>
      </c>
      <c r="E1104" s="132"/>
      <c r="F1104" s="133"/>
      <c r="G1104" s="133">
        <v>40344</v>
      </c>
      <c r="H1104" s="134">
        <f t="shared" si="49"/>
        <v>0</v>
      </c>
      <c r="I1104" s="134">
        <f t="shared" si="49"/>
        <v>40344</v>
      </c>
      <c r="J1104" s="134">
        <f t="shared" si="48"/>
        <v>-40344</v>
      </c>
      <c r="K1104" s="135"/>
      <c r="L1104" s="136" t="str">
        <f t="shared" si="50"/>
        <v>دائن</v>
      </c>
      <c r="M1104" s="137" t="str">
        <f>IF(ISERROR(VLOOKUP(C1104,'[1]خريطة الحسابات'!_xlnm.Print_Area,4,FALSE))," ",(VLOOKUP(C1104,'[1]خريطة الحسابات'!_xlnm.Print_Area,4,FALSE)))</f>
        <v xml:space="preserve">أصول متداوله -النقدية ومافي حكمها </v>
      </c>
      <c r="N1104" s="138" t="str">
        <f>IF(ISERROR(VLOOKUP(C1104,'[1]خريطة الحسابات'!_xlnm.Print_Area,5,FALSE))," ",(VLOOKUP(C1104,'[1]خريطة الحسابات'!_xlnm.Print_Area,5,FALSE)))</f>
        <v>الاصول</v>
      </c>
      <c r="O1104" s="139" t="s">
        <v>1793</v>
      </c>
      <c r="P1104" s="139" t="s">
        <v>1759</v>
      </c>
    </row>
    <row r="1105" spans="1:16">
      <c r="A1105" s="104">
        <v>54</v>
      </c>
      <c r="B1105" s="131">
        <v>46174</v>
      </c>
      <c r="C1105" s="141">
        <v>20</v>
      </c>
      <c r="D1105" s="140" t="str">
        <f>IF(ISERROR(VLOOKUP(C1105,'[1]خريطة الحسابات'!_xlnm.Print_Area,3,FALSE))," ",(VLOOKUP(C1105,'[1]خريطة الحسابات'!_xlnm.Print_Area,3,FALSE)))</f>
        <v xml:space="preserve">الخزينة </v>
      </c>
      <c r="E1105" s="132"/>
      <c r="F1105" s="133"/>
      <c r="G1105" s="133">
        <v>121846</v>
      </c>
      <c r="H1105" s="134">
        <f t="shared" si="49"/>
        <v>0</v>
      </c>
      <c r="I1105" s="134">
        <f t="shared" si="49"/>
        <v>121846</v>
      </c>
      <c r="J1105" s="134">
        <f t="shared" si="48"/>
        <v>-121846</v>
      </c>
      <c r="K1105" s="135"/>
      <c r="L1105" s="136" t="str">
        <f t="shared" si="50"/>
        <v>دائن</v>
      </c>
      <c r="M1105" s="137" t="str">
        <f>IF(ISERROR(VLOOKUP(C1105,'[1]خريطة الحسابات'!_xlnm.Print_Area,4,FALSE))," ",(VLOOKUP(C1105,'[1]خريطة الحسابات'!_xlnm.Print_Area,4,FALSE)))</f>
        <v xml:space="preserve">أصول متداوله -النقدية ومافي حكمها </v>
      </c>
      <c r="N1105" s="138" t="str">
        <f>IF(ISERROR(VLOOKUP(C1105,'[1]خريطة الحسابات'!_xlnm.Print_Area,5,FALSE))," ",(VLOOKUP(C1105,'[1]خريطة الحسابات'!_xlnm.Print_Area,5,FALSE)))</f>
        <v>الاصول</v>
      </c>
      <c r="O1105" s="139" t="s">
        <v>1794</v>
      </c>
      <c r="P1105" s="139" t="s">
        <v>1759</v>
      </c>
    </row>
    <row r="1106" spans="1:16">
      <c r="A1106" s="104">
        <v>54</v>
      </c>
      <c r="B1106" s="131">
        <v>46175</v>
      </c>
      <c r="C1106" s="141">
        <v>20</v>
      </c>
      <c r="D1106" s="140" t="str">
        <f>IF(ISERROR(VLOOKUP(C1106,'[1]خريطة الحسابات'!_xlnm.Print_Area,3,FALSE))," ",(VLOOKUP(C1106,'[1]خريطة الحسابات'!_xlnm.Print_Area,3,FALSE)))</f>
        <v xml:space="preserve">الخزينة </v>
      </c>
      <c r="E1106" s="132"/>
      <c r="F1106" s="133"/>
      <c r="G1106" s="133">
        <v>12000</v>
      </c>
      <c r="H1106" s="134">
        <f t="shared" si="49"/>
        <v>0</v>
      </c>
      <c r="I1106" s="134">
        <f t="shared" si="49"/>
        <v>12000</v>
      </c>
      <c r="J1106" s="134">
        <f t="shared" si="48"/>
        <v>-12000</v>
      </c>
      <c r="K1106" s="135"/>
      <c r="L1106" s="136" t="str">
        <f t="shared" si="50"/>
        <v>دائن</v>
      </c>
      <c r="M1106" s="137" t="str">
        <f>IF(ISERROR(VLOOKUP(C1106,'[1]خريطة الحسابات'!_xlnm.Print_Area,4,FALSE))," ",(VLOOKUP(C1106,'[1]خريطة الحسابات'!_xlnm.Print_Area,4,FALSE)))</f>
        <v xml:space="preserve">أصول متداوله -النقدية ومافي حكمها </v>
      </c>
      <c r="N1106" s="138" t="str">
        <f>IF(ISERROR(VLOOKUP(C1106,'[1]خريطة الحسابات'!_xlnm.Print_Area,5,FALSE))," ",(VLOOKUP(C1106,'[1]خريطة الحسابات'!_xlnm.Print_Area,5,FALSE)))</f>
        <v>الاصول</v>
      </c>
      <c r="O1106" s="139" t="s">
        <v>1760</v>
      </c>
      <c r="P1106" s="139" t="s">
        <v>1759</v>
      </c>
    </row>
    <row r="1107" spans="1:16">
      <c r="A1107" s="104">
        <v>54</v>
      </c>
      <c r="B1107" s="131">
        <v>46177</v>
      </c>
      <c r="C1107" s="141">
        <v>20</v>
      </c>
      <c r="D1107" s="140" t="str">
        <f>IF(ISERROR(VLOOKUP(C1107,'[1]خريطة الحسابات'!_xlnm.Print_Area,3,FALSE))," ",(VLOOKUP(C1107,'[1]خريطة الحسابات'!_xlnm.Print_Area,3,FALSE)))</f>
        <v xml:space="preserve">الخزينة </v>
      </c>
      <c r="E1107" s="132"/>
      <c r="F1107" s="133"/>
      <c r="G1107" s="133">
        <v>950</v>
      </c>
      <c r="H1107" s="134">
        <f t="shared" si="49"/>
        <v>0</v>
      </c>
      <c r="I1107" s="134">
        <f t="shared" si="49"/>
        <v>950</v>
      </c>
      <c r="J1107" s="134">
        <f t="shared" si="48"/>
        <v>-950</v>
      </c>
      <c r="K1107" s="135"/>
      <c r="L1107" s="136" t="str">
        <f t="shared" si="50"/>
        <v>دائن</v>
      </c>
      <c r="M1107" s="137" t="str">
        <f>IF(ISERROR(VLOOKUP(C1107,'[1]خريطة الحسابات'!_xlnm.Print_Area,4,FALSE))," ",(VLOOKUP(C1107,'[1]خريطة الحسابات'!_xlnm.Print_Area,4,FALSE)))</f>
        <v xml:space="preserve">أصول متداوله -النقدية ومافي حكمها </v>
      </c>
      <c r="N1107" s="138" t="str">
        <f>IF(ISERROR(VLOOKUP(C1107,'[1]خريطة الحسابات'!_xlnm.Print_Area,5,FALSE))," ",(VLOOKUP(C1107,'[1]خريطة الحسابات'!_xlnm.Print_Area,5,FALSE)))</f>
        <v>الاصول</v>
      </c>
      <c r="O1107" s="139" t="s">
        <v>1795</v>
      </c>
      <c r="P1107" s="139" t="s">
        <v>1759</v>
      </c>
    </row>
    <row r="1108" spans="1:16">
      <c r="A1108" s="104">
        <v>54</v>
      </c>
      <c r="B1108" s="131">
        <v>46177</v>
      </c>
      <c r="C1108" s="141">
        <v>20</v>
      </c>
      <c r="D1108" s="140" t="str">
        <f>IF(ISERROR(VLOOKUP(C1108,'[1]خريطة الحسابات'!_xlnm.Print_Area,3,FALSE))," ",(VLOOKUP(C1108,'[1]خريطة الحسابات'!_xlnm.Print_Area,3,FALSE)))</f>
        <v xml:space="preserve">الخزينة </v>
      </c>
      <c r="E1108" s="132"/>
      <c r="F1108" s="133"/>
      <c r="G1108" s="133">
        <v>400</v>
      </c>
      <c r="H1108" s="134">
        <f t="shared" si="49"/>
        <v>0</v>
      </c>
      <c r="I1108" s="134">
        <f t="shared" si="49"/>
        <v>400</v>
      </c>
      <c r="J1108" s="134">
        <f t="shared" si="48"/>
        <v>-400</v>
      </c>
      <c r="K1108" s="135"/>
      <c r="L1108" s="136" t="str">
        <f t="shared" si="50"/>
        <v>دائن</v>
      </c>
      <c r="M1108" s="137" t="str">
        <f>IF(ISERROR(VLOOKUP(C1108,'[1]خريطة الحسابات'!_xlnm.Print_Area,4,FALSE))," ",(VLOOKUP(C1108,'[1]خريطة الحسابات'!_xlnm.Print_Area,4,FALSE)))</f>
        <v xml:space="preserve">أصول متداوله -النقدية ومافي حكمها </v>
      </c>
      <c r="N1108" s="138" t="str">
        <f>IF(ISERROR(VLOOKUP(C1108,'[1]خريطة الحسابات'!_xlnm.Print_Area,5,FALSE))," ",(VLOOKUP(C1108,'[1]خريطة الحسابات'!_xlnm.Print_Area,5,FALSE)))</f>
        <v>الاصول</v>
      </c>
      <c r="O1108" s="139" t="s">
        <v>1796</v>
      </c>
      <c r="P1108" s="139" t="s">
        <v>1759</v>
      </c>
    </row>
    <row r="1109" spans="1:16">
      <c r="A1109" s="104">
        <v>54</v>
      </c>
      <c r="B1109" s="131">
        <v>46179</v>
      </c>
      <c r="C1109" s="141">
        <v>20</v>
      </c>
      <c r="D1109" s="140" t="str">
        <f>IF(ISERROR(VLOOKUP(C1109,'[1]خريطة الحسابات'!_xlnm.Print_Area,3,FALSE))," ",(VLOOKUP(C1109,'[1]خريطة الحسابات'!_xlnm.Print_Area,3,FALSE)))</f>
        <v xml:space="preserve">الخزينة </v>
      </c>
      <c r="E1109" s="132"/>
      <c r="F1109" s="133"/>
      <c r="G1109" s="133">
        <v>9209</v>
      </c>
      <c r="H1109" s="134">
        <f t="shared" si="49"/>
        <v>0</v>
      </c>
      <c r="I1109" s="134">
        <f t="shared" si="49"/>
        <v>9209</v>
      </c>
      <c r="J1109" s="134">
        <f t="shared" si="48"/>
        <v>-9209</v>
      </c>
      <c r="K1109" s="135"/>
      <c r="L1109" s="136" t="str">
        <f t="shared" si="50"/>
        <v>دائن</v>
      </c>
      <c r="M1109" s="137" t="str">
        <f>IF(ISERROR(VLOOKUP(C1109,'[1]خريطة الحسابات'!_xlnm.Print_Area,4,FALSE))," ",(VLOOKUP(C1109,'[1]خريطة الحسابات'!_xlnm.Print_Area,4,FALSE)))</f>
        <v xml:space="preserve">أصول متداوله -النقدية ومافي حكمها </v>
      </c>
      <c r="N1109" s="138" t="str">
        <f>IF(ISERROR(VLOOKUP(C1109,'[1]خريطة الحسابات'!_xlnm.Print_Area,5,FALSE))," ",(VLOOKUP(C1109,'[1]خريطة الحسابات'!_xlnm.Print_Area,5,FALSE)))</f>
        <v>الاصول</v>
      </c>
      <c r="O1109" s="139" t="s">
        <v>1797</v>
      </c>
      <c r="P1109" s="139" t="s">
        <v>1759</v>
      </c>
    </row>
    <row r="1110" spans="1:16">
      <c r="A1110" s="104">
        <v>54</v>
      </c>
      <c r="B1110" s="131">
        <v>46184</v>
      </c>
      <c r="C1110" s="141">
        <v>20</v>
      </c>
      <c r="D1110" s="140" t="str">
        <f>IF(ISERROR(VLOOKUP(C1110,'[1]خريطة الحسابات'!_xlnm.Print_Area,3,FALSE))," ",(VLOOKUP(C1110,'[1]خريطة الحسابات'!_xlnm.Print_Area,3,FALSE)))</f>
        <v xml:space="preserve">الخزينة </v>
      </c>
      <c r="E1110" s="132"/>
      <c r="F1110" s="133"/>
      <c r="G1110" s="133">
        <v>1000</v>
      </c>
      <c r="H1110" s="134">
        <f t="shared" si="49"/>
        <v>0</v>
      </c>
      <c r="I1110" s="134">
        <f t="shared" si="49"/>
        <v>1000</v>
      </c>
      <c r="J1110" s="134">
        <f t="shared" si="48"/>
        <v>-1000</v>
      </c>
      <c r="K1110" s="135"/>
      <c r="L1110" s="136" t="str">
        <f t="shared" si="50"/>
        <v>دائن</v>
      </c>
      <c r="M1110" s="137" t="str">
        <f>IF(ISERROR(VLOOKUP(C1110,'[1]خريطة الحسابات'!_xlnm.Print_Area,4,FALSE))," ",(VLOOKUP(C1110,'[1]خريطة الحسابات'!_xlnm.Print_Area,4,FALSE)))</f>
        <v xml:space="preserve">أصول متداوله -النقدية ومافي حكمها </v>
      </c>
      <c r="N1110" s="138" t="str">
        <f>IF(ISERROR(VLOOKUP(C1110,'[1]خريطة الحسابات'!_xlnm.Print_Area,5,FALSE))," ",(VLOOKUP(C1110,'[1]خريطة الحسابات'!_xlnm.Print_Area,5,FALSE)))</f>
        <v>الاصول</v>
      </c>
      <c r="O1110" s="139" t="s">
        <v>1798</v>
      </c>
      <c r="P1110" s="139" t="s">
        <v>1759</v>
      </c>
    </row>
    <row r="1111" spans="1:16">
      <c r="A1111" s="104">
        <v>55</v>
      </c>
      <c r="B1111" s="131">
        <v>46133</v>
      </c>
      <c r="C1111" s="141" t="s">
        <v>815</v>
      </c>
      <c r="D1111" s="140" t="str">
        <f>IF(ISERROR(VLOOKUP(C1111,'[1]خريطة الحسابات'!_xlnm.Print_Area,3,FALSE))," ",(VLOOKUP(C1111,'[1]خريطة الحسابات'!_xlnm.Print_Area,3,FALSE)))</f>
        <v>خامات ومصنعية بند السباكة والصحي</v>
      </c>
      <c r="E1111" s="132"/>
      <c r="F1111" s="133">
        <v>38375</v>
      </c>
      <c r="G1111" s="133"/>
      <c r="H1111" s="134">
        <f t="shared" si="49"/>
        <v>38375</v>
      </c>
      <c r="I1111" s="134">
        <f t="shared" si="49"/>
        <v>0</v>
      </c>
      <c r="J1111" s="134">
        <f t="shared" si="48"/>
        <v>38375</v>
      </c>
      <c r="K1111" s="135"/>
      <c r="L1111" s="136" t="str">
        <f t="shared" si="50"/>
        <v>مدين</v>
      </c>
      <c r="M1111" s="137" t="str">
        <f>IF(ISERROR(VLOOKUP(C1111,'[1]خريطة الحسابات'!_xlnm.Print_Area,4,FALSE))," ",(VLOOKUP(C1111,'[1]خريطة الحسابات'!_xlnm.Print_Area,4,FALSE)))</f>
        <v>تكاليف مشروع احمد زايد 401</v>
      </c>
      <c r="N1111" s="138" t="str">
        <f>IF(ISERROR(VLOOKUP(C1111,'[1]خريطة الحسابات'!_xlnm.Print_Area,5,FALSE))," ",(VLOOKUP(C1111,'[1]خريطة الحسابات'!_xlnm.Print_Area,5,FALSE)))</f>
        <v xml:space="preserve">تكاليف العمليات </v>
      </c>
      <c r="O1111" s="139" t="s">
        <v>1799</v>
      </c>
      <c r="P1111" s="139" t="s">
        <v>1345</v>
      </c>
    </row>
    <row r="1112" spans="1:16">
      <c r="A1112" s="104">
        <v>55</v>
      </c>
      <c r="B1112" s="131">
        <v>46151</v>
      </c>
      <c r="C1112" s="141" t="s">
        <v>815</v>
      </c>
      <c r="D1112" s="140" t="str">
        <f>IF(ISERROR(VLOOKUP(C1112,'[1]خريطة الحسابات'!_xlnm.Print_Area,3,FALSE))," ",(VLOOKUP(C1112,'[1]خريطة الحسابات'!_xlnm.Print_Area,3,FALSE)))</f>
        <v>خامات ومصنعية بند السباكة والصحي</v>
      </c>
      <c r="E1112" s="132"/>
      <c r="F1112" s="133">
        <v>250</v>
      </c>
      <c r="G1112" s="133"/>
      <c r="H1112" s="134">
        <f t="shared" si="49"/>
        <v>250</v>
      </c>
      <c r="I1112" s="134">
        <f t="shared" si="49"/>
        <v>0</v>
      </c>
      <c r="J1112" s="134">
        <f t="shared" ref="J1112:J1175" si="51">H1112-I1112</f>
        <v>250</v>
      </c>
      <c r="K1112" s="135"/>
      <c r="L1112" s="136" t="str">
        <f t="shared" si="50"/>
        <v>مدين</v>
      </c>
      <c r="M1112" s="137" t="str">
        <f>IF(ISERROR(VLOOKUP(C1112,'[1]خريطة الحسابات'!_xlnm.Print_Area,4,FALSE))," ",(VLOOKUP(C1112,'[1]خريطة الحسابات'!_xlnm.Print_Area,4,FALSE)))</f>
        <v>تكاليف مشروع احمد زايد 401</v>
      </c>
      <c r="N1112" s="138" t="str">
        <f>IF(ISERROR(VLOOKUP(C1112,'[1]خريطة الحسابات'!_xlnm.Print_Area,5,FALSE))," ",(VLOOKUP(C1112,'[1]خريطة الحسابات'!_xlnm.Print_Area,5,FALSE)))</f>
        <v xml:space="preserve">تكاليف العمليات </v>
      </c>
      <c r="O1112" s="139" t="s">
        <v>1800</v>
      </c>
      <c r="P1112" s="139" t="s">
        <v>1345</v>
      </c>
    </row>
    <row r="1113" spans="1:16">
      <c r="A1113" s="104">
        <v>55</v>
      </c>
      <c r="B1113" s="131">
        <v>46159</v>
      </c>
      <c r="C1113" s="141" t="s">
        <v>815</v>
      </c>
      <c r="D1113" s="140" t="str">
        <f>IF(ISERROR(VLOOKUP(C1113,'[1]خريطة الحسابات'!_xlnm.Print_Area,3,FALSE))," ",(VLOOKUP(C1113,'[1]خريطة الحسابات'!_xlnm.Print_Area,3,FALSE)))</f>
        <v>خامات ومصنعية بند السباكة والصحي</v>
      </c>
      <c r="E1113" s="132"/>
      <c r="F1113" s="133">
        <v>1100</v>
      </c>
      <c r="G1113" s="133"/>
      <c r="H1113" s="134">
        <f t="shared" ref="H1113:I1176" si="52">IF($E1113=2,F1113*3.465,F1113)</f>
        <v>1100</v>
      </c>
      <c r="I1113" s="134">
        <f t="shared" si="52"/>
        <v>0</v>
      </c>
      <c r="J1113" s="134">
        <f t="shared" si="51"/>
        <v>1100</v>
      </c>
      <c r="K1113" s="135"/>
      <c r="L1113" s="136" t="str">
        <f t="shared" si="50"/>
        <v>مدين</v>
      </c>
      <c r="M1113" s="137" t="str">
        <f>IF(ISERROR(VLOOKUP(C1113,'[1]خريطة الحسابات'!_xlnm.Print_Area,4,FALSE))," ",(VLOOKUP(C1113,'[1]خريطة الحسابات'!_xlnm.Print_Area,4,FALSE)))</f>
        <v>تكاليف مشروع احمد زايد 401</v>
      </c>
      <c r="N1113" s="138" t="str">
        <f>IF(ISERROR(VLOOKUP(C1113,'[1]خريطة الحسابات'!_xlnm.Print_Area,5,FALSE))," ",(VLOOKUP(C1113,'[1]خريطة الحسابات'!_xlnm.Print_Area,5,FALSE)))</f>
        <v xml:space="preserve">تكاليف العمليات </v>
      </c>
      <c r="O1113" s="139" t="s">
        <v>1801</v>
      </c>
      <c r="P1113" s="139" t="s">
        <v>1345</v>
      </c>
    </row>
    <row r="1114" spans="1:16">
      <c r="A1114" s="104">
        <v>55</v>
      </c>
      <c r="B1114" s="131">
        <v>46065</v>
      </c>
      <c r="C1114" s="141" t="s">
        <v>710</v>
      </c>
      <c r="D1114" s="140" t="str">
        <f>IF(ISERROR(VLOOKUP(C1114,'[1]خريطة الحسابات'!_xlnm.Print_Area,3,FALSE))," ",(VLOOKUP(C1114,'[1]خريطة الحسابات'!_xlnm.Print_Area,3,FALSE)))</f>
        <v>خامات ومصنعية بند السباكة والصحي</v>
      </c>
      <c r="E1114" s="132"/>
      <c r="F1114" s="133">
        <v>3900</v>
      </c>
      <c r="G1114" s="133"/>
      <c r="H1114" s="134">
        <f t="shared" si="52"/>
        <v>3900</v>
      </c>
      <c r="I1114" s="134">
        <f t="shared" si="52"/>
        <v>0</v>
      </c>
      <c r="J1114" s="134">
        <f t="shared" si="51"/>
        <v>3900</v>
      </c>
      <c r="K1114" s="135"/>
      <c r="L1114" s="136" t="str">
        <f t="shared" si="50"/>
        <v>مدين</v>
      </c>
      <c r="M1114" s="137" t="str">
        <f>IF(ISERROR(VLOOKUP(C1114,'[1]خريطة الحسابات'!_xlnm.Print_Area,4,FALSE))," ",(VLOOKUP(C1114,'[1]خريطة الحسابات'!_xlnm.Print_Area,4,FALSE)))</f>
        <v>تكاليف مشروع اشرف الشروق 372</v>
      </c>
      <c r="N1114" s="138" t="str">
        <f>IF(ISERROR(VLOOKUP(C1114,'[1]خريطة الحسابات'!_xlnm.Print_Area,5,FALSE))," ",(VLOOKUP(C1114,'[1]خريطة الحسابات'!_xlnm.Print_Area,5,FALSE)))</f>
        <v xml:space="preserve">تكاليف العمليات </v>
      </c>
      <c r="O1114" s="139" t="s">
        <v>1802</v>
      </c>
      <c r="P1114" s="139" t="s">
        <v>1340</v>
      </c>
    </row>
    <row r="1115" spans="1:16">
      <c r="A1115" s="104">
        <v>55</v>
      </c>
      <c r="B1115" s="131">
        <v>46037</v>
      </c>
      <c r="C1115" s="147" t="s">
        <v>640</v>
      </c>
      <c r="D1115" s="140" t="str">
        <f>IF(ISERROR(VLOOKUP(C1115,'[1]خريطة الحسابات'!_xlnm.Print_Area,3,FALSE))," ",(VLOOKUP(C1115,'[1]خريطة الحسابات'!_xlnm.Print_Area,3,FALSE)))</f>
        <v>خامات ومصنعية بند السباكة والصحي</v>
      </c>
      <c r="E1115" s="132"/>
      <c r="F1115" s="133">
        <v>7720</v>
      </c>
      <c r="G1115" s="133"/>
      <c r="H1115" s="134">
        <f t="shared" si="52"/>
        <v>7720</v>
      </c>
      <c r="I1115" s="134">
        <f t="shared" si="52"/>
        <v>0</v>
      </c>
      <c r="J1115" s="134">
        <f t="shared" si="51"/>
        <v>7720</v>
      </c>
      <c r="K1115" s="135"/>
      <c r="L1115" s="136" t="str">
        <f t="shared" ref="L1115:L1178" si="53">IF(J1115&lt;0,"دائن",IF(J1115&gt;0,"مدين",""))</f>
        <v>مدين</v>
      </c>
      <c r="M1115" s="137" t="str">
        <f>IF(ISERROR(VLOOKUP(C1115,'[1]خريطة الحسابات'!_xlnm.Print_Area,4,FALSE))," ",(VLOOKUP(C1115,'[1]خريطة الحسابات'!_xlnm.Print_Area,4,FALSE)))</f>
        <v>تكاليف مشروع الاندلس 364</v>
      </c>
      <c r="N1115" s="138" t="str">
        <f>IF(ISERROR(VLOOKUP(C1115,'[1]خريطة الحسابات'!_xlnm.Print_Area,5,FALSE))," ",(VLOOKUP(C1115,'[1]خريطة الحسابات'!_xlnm.Print_Area,5,FALSE)))</f>
        <v xml:space="preserve">تكاليف العمليات </v>
      </c>
      <c r="O1115" s="139" t="s">
        <v>1803</v>
      </c>
      <c r="P1115" s="139" t="s">
        <v>1299</v>
      </c>
    </row>
    <row r="1116" spans="1:16">
      <c r="A1116" s="104">
        <v>55</v>
      </c>
      <c r="B1116" s="131">
        <v>46063</v>
      </c>
      <c r="C1116" s="147" t="s">
        <v>640</v>
      </c>
      <c r="D1116" s="140" t="str">
        <f>IF(ISERROR(VLOOKUP(C1116,'[1]خريطة الحسابات'!_xlnm.Print_Area,3,FALSE))," ",(VLOOKUP(C1116,'[1]خريطة الحسابات'!_xlnm.Print_Area,3,FALSE)))</f>
        <v>خامات ومصنعية بند السباكة والصحي</v>
      </c>
      <c r="E1116" s="132"/>
      <c r="F1116" s="133">
        <v>800</v>
      </c>
      <c r="G1116" s="133"/>
      <c r="H1116" s="134">
        <f t="shared" si="52"/>
        <v>800</v>
      </c>
      <c r="I1116" s="134">
        <f t="shared" si="52"/>
        <v>0</v>
      </c>
      <c r="J1116" s="134">
        <f t="shared" si="51"/>
        <v>800</v>
      </c>
      <c r="K1116" s="135"/>
      <c r="L1116" s="136" t="str">
        <f t="shared" si="53"/>
        <v>مدين</v>
      </c>
      <c r="M1116" s="137" t="str">
        <f>IF(ISERROR(VLOOKUP(C1116,'[1]خريطة الحسابات'!_xlnm.Print_Area,4,FALSE))," ",(VLOOKUP(C1116,'[1]خريطة الحسابات'!_xlnm.Print_Area,4,FALSE)))</f>
        <v>تكاليف مشروع الاندلس 364</v>
      </c>
      <c r="N1116" s="138" t="str">
        <f>IF(ISERROR(VLOOKUP(C1116,'[1]خريطة الحسابات'!_xlnm.Print_Area,5,FALSE))," ",(VLOOKUP(C1116,'[1]خريطة الحسابات'!_xlnm.Print_Area,5,FALSE)))</f>
        <v xml:space="preserve">تكاليف العمليات </v>
      </c>
      <c r="O1116" s="139" t="s">
        <v>1804</v>
      </c>
      <c r="P1116" s="139" t="s">
        <v>1299</v>
      </c>
    </row>
    <row r="1117" spans="1:16">
      <c r="A1117" s="104">
        <v>55</v>
      </c>
      <c r="B1117" s="131">
        <v>46063</v>
      </c>
      <c r="C1117" s="147" t="s">
        <v>640</v>
      </c>
      <c r="D1117" s="140" t="str">
        <f>IF(ISERROR(VLOOKUP(C1117,'[1]خريطة الحسابات'!_xlnm.Print_Area,3,FALSE))," ",(VLOOKUP(C1117,'[1]خريطة الحسابات'!_xlnm.Print_Area,3,FALSE)))</f>
        <v>خامات ومصنعية بند السباكة والصحي</v>
      </c>
      <c r="E1117" s="132"/>
      <c r="F1117" s="133">
        <v>520</v>
      </c>
      <c r="G1117" s="133"/>
      <c r="H1117" s="134">
        <f t="shared" si="52"/>
        <v>520</v>
      </c>
      <c r="I1117" s="134">
        <f t="shared" si="52"/>
        <v>0</v>
      </c>
      <c r="J1117" s="134">
        <f t="shared" si="51"/>
        <v>520</v>
      </c>
      <c r="K1117" s="135"/>
      <c r="L1117" s="136" t="str">
        <f t="shared" si="53"/>
        <v>مدين</v>
      </c>
      <c r="M1117" s="137" t="str">
        <f>IF(ISERROR(VLOOKUP(C1117,'[1]خريطة الحسابات'!_xlnm.Print_Area,4,FALSE))," ",(VLOOKUP(C1117,'[1]خريطة الحسابات'!_xlnm.Print_Area,4,FALSE)))</f>
        <v>تكاليف مشروع الاندلس 364</v>
      </c>
      <c r="N1117" s="138" t="str">
        <f>IF(ISERROR(VLOOKUP(C1117,'[1]خريطة الحسابات'!_xlnm.Print_Area,5,FALSE))," ",(VLOOKUP(C1117,'[1]خريطة الحسابات'!_xlnm.Print_Area,5,FALSE)))</f>
        <v xml:space="preserve">تكاليف العمليات </v>
      </c>
      <c r="O1117" s="139" t="s">
        <v>1805</v>
      </c>
      <c r="P1117" s="139" t="s">
        <v>1299</v>
      </c>
    </row>
    <row r="1118" spans="1:16">
      <c r="A1118" s="104">
        <v>55</v>
      </c>
      <c r="B1118" s="131">
        <v>46077</v>
      </c>
      <c r="C1118" s="147" t="s">
        <v>640</v>
      </c>
      <c r="D1118" s="140" t="str">
        <f>IF(ISERROR(VLOOKUP(C1118,'[1]خريطة الحسابات'!_xlnm.Print_Area,3,FALSE))," ",(VLOOKUP(C1118,'[1]خريطة الحسابات'!_xlnm.Print_Area,3,FALSE)))</f>
        <v>خامات ومصنعية بند السباكة والصحي</v>
      </c>
      <c r="E1118" s="132"/>
      <c r="F1118" s="133">
        <v>700</v>
      </c>
      <c r="G1118" s="133"/>
      <c r="H1118" s="134">
        <f t="shared" si="52"/>
        <v>700</v>
      </c>
      <c r="I1118" s="134">
        <f t="shared" si="52"/>
        <v>0</v>
      </c>
      <c r="J1118" s="134">
        <f t="shared" si="51"/>
        <v>700</v>
      </c>
      <c r="K1118" s="135"/>
      <c r="L1118" s="136" t="str">
        <f t="shared" si="53"/>
        <v>مدين</v>
      </c>
      <c r="M1118" s="137" t="str">
        <f>IF(ISERROR(VLOOKUP(C1118,'[1]خريطة الحسابات'!_xlnm.Print_Area,4,FALSE))," ",(VLOOKUP(C1118,'[1]خريطة الحسابات'!_xlnm.Print_Area,4,FALSE)))</f>
        <v>تكاليف مشروع الاندلس 364</v>
      </c>
      <c r="N1118" s="138" t="str">
        <f>IF(ISERROR(VLOOKUP(C1118,'[1]خريطة الحسابات'!_xlnm.Print_Area,5,FALSE))," ",(VLOOKUP(C1118,'[1]خريطة الحسابات'!_xlnm.Print_Area,5,FALSE)))</f>
        <v xml:space="preserve">تكاليف العمليات </v>
      </c>
      <c r="O1118" s="139" t="s">
        <v>1806</v>
      </c>
      <c r="P1118" s="139" t="s">
        <v>1299</v>
      </c>
    </row>
    <row r="1119" spans="1:16">
      <c r="A1119" s="104">
        <v>55</v>
      </c>
      <c r="B1119" s="131">
        <v>46029</v>
      </c>
      <c r="C1119" s="141" t="s">
        <v>185</v>
      </c>
      <c r="D1119" s="140" t="str">
        <f>IF(ISERROR(VLOOKUP(C1119,'[1]خريطة الحسابات'!_xlnm.Print_Area,3,FALSE))," ",(VLOOKUP(C1119,'[1]خريطة الحسابات'!_xlnm.Print_Area,3,FALSE)))</f>
        <v>خامات ومصنعية بند السباكة والصحي</v>
      </c>
      <c r="E1119" s="132"/>
      <c r="F1119" s="133">
        <v>593</v>
      </c>
      <c r="G1119" s="133"/>
      <c r="H1119" s="134">
        <f t="shared" si="52"/>
        <v>593</v>
      </c>
      <c r="I1119" s="134">
        <f t="shared" si="52"/>
        <v>0</v>
      </c>
      <c r="J1119" s="134">
        <f t="shared" si="51"/>
        <v>593</v>
      </c>
      <c r="K1119" s="135"/>
      <c r="L1119" s="136" t="str">
        <f t="shared" si="53"/>
        <v>مدين</v>
      </c>
      <c r="M1119" s="137" t="str">
        <f>IF(ISERROR(VLOOKUP(C1119,'[1]خريطة الحسابات'!_xlnm.Print_Area,4,FALSE))," ",(VLOOKUP(C1119,'[1]خريطة الحسابات'!_xlnm.Print_Area,4,FALSE)))</f>
        <v>تكاليف مشروع الباتيو 235</v>
      </c>
      <c r="N1119" s="138" t="str">
        <f>IF(ISERROR(VLOOKUP(C1119,'[1]خريطة الحسابات'!_xlnm.Print_Area,5,FALSE))," ",(VLOOKUP(C1119,'[1]خريطة الحسابات'!_xlnm.Print_Area,5,FALSE)))</f>
        <v xml:space="preserve">تكاليف العمليات </v>
      </c>
      <c r="O1119" s="139" t="s">
        <v>1807</v>
      </c>
      <c r="P1119" s="139" t="s">
        <v>1304</v>
      </c>
    </row>
    <row r="1120" spans="1:16">
      <c r="A1120" s="104">
        <v>55</v>
      </c>
      <c r="B1120" s="131">
        <v>46039</v>
      </c>
      <c r="C1120" s="141" t="s">
        <v>185</v>
      </c>
      <c r="D1120" s="140" t="str">
        <f>IF(ISERROR(VLOOKUP(C1120,'[1]خريطة الحسابات'!_xlnm.Print_Area,3,FALSE))," ",(VLOOKUP(C1120,'[1]خريطة الحسابات'!_xlnm.Print_Area,3,FALSE)))</f>
        <v>خامات ومصنعية بند السباكة والصحي</v>
      </c>
      <c r="E1120" s="132"/>
      <c r="F1120" s="133">
        <v>385</v>
      </c>
      <c r="G1120" s="133"/>
      <c r="H1120" s="134">
        <f t="shared" si="52"/>
        <v>385</v>
      </c>
      <c r="I1120" s="134">
        <f t="shared" si="52"/>
        <v>0</v>
      </c>
      <c r="J1120" s="134">
        <f t="shared" si="51"/>
        <v>385</v>
      </c>
      <c r="K1120" s="135"/>
      <c r="L1120" s="136" t="str">
        <f t="shared" si="53"/>
        <v>مدين</v>
      </c>
      <c r="M1120" s="137" t="str">
        <f>IF(ISERROR(VLOOKUP(C1120,'[1]خريطة الحسابات'!_xlnm.Print_Area,4,FALSE))," ",(VLOOKUP(C1120,'[1]خريطة الحسابات'!_xlnm.Print_Area,4,FALSE)))</f>
        <v>تكاليف مشروع الباتيو 235</v>
      </c>
      <c r="N1120" s="138" t="str">
        <f>IF(ISERROR(VLOOKUP(C1120,'[1]خريطة الحسابات'!_xlnm.Print_Area,5,FALSE))," ",(VLOOKUP(C1120,'[1]خريطة الحسابات'!_xlnm.Print_Area,5,FALSE)))</f>
        <v xml:space="preserve">تكاليف العمليات </v>
      </c>
      <c r="O1120" s="139" t="s">
        <v>1808</v>
      </c>
      <c r="P1120" s="139" t="s">
        <v>1304</v>
      </c>
    </row>
    <row r="1121" spans="1:16">
      <c r="A1121" s="104">
        <v>55</v>
      </c>
      <c r="B1121" s="131">
        <v>46043</v>
      </c>
      <c r="C1121" s="141" t="s">
        <v>185</v>
      </c>
      <c r="D1121" s="140" t="str">
        <f>IF(ISERROR(VLOOKUP(C1121,'[1]خريطة الحسابات'!_xlnm.Print_Area,3,FALSE))," ",(VLOOKUP(C1121,'[1]خريطة الحسابات'!_xlnm.Print_Area,3,FALSE)))</f>
        <v>خامات ومصنعية بند السباكة والصحي</v>
      </c>
      <c r="E1121" s="132"/>
      <c r="F1121" s="133">
        <v>700</v>
      </c>
      <c r="G1121" s="133"/>
      <c r="H1121" s="134">
        <f t="shared" si="52"/>
        <v>700</v>
      </c>
      <c r="I1121" s="134">
        <f t="shared" si="52"/>
        <v>0</v>
      </c>
      <c r="J1121" s="134">
        <f t="shared" si="51"/>
        <v>700</v>
      </c>
      <c r="K1121" s="135"/>
      <c r="L1121" s="136" t="str">
        <f t="shared" si="53"/>
        <v>مدين</v>
      </c>
      <c r="M1121" s="137" t="str">
        <f>IF(ISERROR(VLOOKUP(C1121,'[1]خريطة الحسابات'!_xlnm.Print_Area,4,FALSE))," ",(VLOOKUP(C1121,'[1]خريطة الحسابات'!_xlnm.Print_Area,4,FALSE)))</f>
        <v>تكاليف مشروع الباتيو 235</v>
      </c>
      <c r="N1121" s="138" t="str">
        <f>IF(ISERROR(VLOOKUP(C1121,'[1]خريطة الحسابات'!_xlnm.Print_Area,5,FALSE))," ",(VLOOKUP(C1121,'[1]خريطة الحسابات'!_xlnm.Print_Area,5,FALSE)))</f>
        <v xml:space="preserve">تكاليف العمليات </v>
      </c>
      <c r="O1121" s="139" t="s">
        <v>1809</v>
      </c>
      <c r="P1121" s="139" t="s">
        <v>1304</v>
      </c>
    </row>
    <row r="1122" spans="1:16">
      <c r="A1122" s="104">
        <v>55</v>
      </c>
      <c r="B1122" s="131">
        <v>46051</v>
      </c>
      <c r="C1122" s="141" t="s">
        <v>185</v>
      </c>
      <c r="D1122" s="140" t="str">
        <f>IF(ISERROR(VLOOKUP(C1122,'[1]خريطة الحسابات'!_xlnm.Print_Area,3,FALSE))," ",(VLOOKUP(C1122,'[1]خريطة الحسابات'!_xlnm.Print_Area,3,FALSE)))</f>
        <v>خامات ومصنعية بند السباكة والصحي</v>
      </c>
      <c r="E1122" s="132"/>
      <c r="F1122" s="133">
        <v>2613</v>
      </c>
      <c r="G1122" s="133"/>
      <c r="H1122" s="134">
        <f t="shared" si="52"/>
        <v>2613</v>
      </c>
      <c r="I1122" s="134">
        <f t="shared" si="52"/>
        <v>0</v>
      </c>
      <c r="J1122" s="134">
        <f t="shared" si="51"/>
        <v>2613</v>
      </c>
      <c r="K1122" s="135"/>
      <c r="L1122" s="136" t="str">
        <f t="shared" si="53"/>
        <v>مدين</v>
      </c>
      <c r="M1122" s="137" t="str">
        <f>IF(ISERROR(VLOOKUP(C1122,'[1]خريطة الحسابات'!_xlnm.Print_Area,4,FALSE))," ",(VLOOKUP(C1122,'[1]خريطة الحسابات'!_xlnm.Print_Area,4,FALSE)))</f>
        <v>تكاليف مشروع الباتيو 235</v>
      </c>
      <c r="N1122" s="138" t="str">
        <f>IF(ISERROR(VLOOKUP(C1122,'[1]خريطة الحسابات'!_xlnm.Print_Area,5,FALSE))," ",(VLOOKUP(C1122,'[1]خريطة الحسابات'!_xlnm.Print_Area,5,FALSE)))</f>
        <v xml:space="preserve">تكاليف العمليات </v>
      </c>
      <c r="O1122" s="139" t="s">
        <v>1810</v>
      </c>
      <c r="P1122" s="139" t="s">
        <v>1304</v>
      </c>
    </row>
    <row r="1123" spans="1:16">
      <c r="A1123" s="104">
        <v>55</v>
      </c>
      <c r="B1123" s="131">
        <v>46058</v>
      </c>
      <c r="C1123" s="141" t="s">
        <v>185</v>
      </c>
      <c r="D1123" s="140" t="str">
        <f>IF(ISERROR(VLOOKUP(C1123,'[1]خريطة الحسابات'!_xlnm.Print_Area,3,FALSE))," ",(VLOOKUP(C1123,'[1]خريطة الحسابات'!_xlnm.Print_Area,3,FALSE)))</f>
        <v>خامات ومصنعية بند السباكة والصحي</v>
      </c>
      <c r="E1123" s="132"/>
      <c r="F1123" s="133">
        <v>450</v>
      </c>
      <c r="G1123" s="133"/>
      <c r="H1123" s="134">
        <f t="shared" si="52"/>
        <v>450</v>
      </c>
      <c r="I1123" s="134">
        <f t="shared" si="52"/>
        <v>0</v>
      </c>
      <c r="J1123" s="134">
        <f t="shared" si="51"/>
        <v>450</v>
      </c>
      <c r="K1123" s="135"/>
      <c r="L1123" s="136" t="str">
        <f t="shared" si="53"/>
        <v>مدين</v>
      </c>
      <c r="M1123" s="137" t="str">
        <f>IF(ISERROR(VLOOKUP(C1123,'[1]خريطة الحسابات'!_xlnm.Print_Area,4,FALSE))," ",(VLOOKUP(C1123,'[1]خريطة الحسابات'!_xlnm.Print_Area,4,FALSE)))</f>
        <v>تكاليف مشروع الباتيو 235</v>
      </c>
      <c r="N1123" s="138" t="str">
        <f>IF(ISERROR(VLOOKUP(C1123,'[1]خريطة الحسابات'!_xlnm.Print_Area,5,FALSE))," ",(VLOOKUP(C1123,'[1]خريطة الحسابات'!_xlnm.Print_Area,5,FALSE)))</f>
        <v xml:space="preserve">تكاليف العمليات </v>
      </c>
      <c r="O1123" s="139" t="s">
        <v>1811</v>
      </c>
      <c r="P1123" s="139" t="s">
        <v>1304</v>
      </c>
    </row>
    <row r="1124" spans="1:16">
      <c r="A1124" s="104">
        <v>55</v>
      </c>
      <c r="B1124" s="131">
        <v>46058</v>
      </c>
      <c r="C1124" s="141" t="s">
        <v>185</v>
      </c>
      <c r="D1124" s="140" t="str">
        <f>IF(ISERROR(VLOOKUP(C1124,'[1]خريطة الحسابات'!_xlnm.Print_Area,3,FALSE))," ",(VLOOKUP(C1124,'[1]خريطة الحسابات'!_xlnm.Print_Area,3,FALSE)))</f>
        <v>خامات ومصنعية بند السباكة والصحي</v>
      </c>
      <c r="E1124" s="132"/>
      <c r="F1124" s="133">
        <v>295</v>
      </c>
      <c r="G1124" s="133"/>
      <c r="H1124" s="134">
        <f t="shared" si="52"/>
        <v>295</v>
      </c>
      <c r="I1124" s="134">
        <f t="shared" si="52"/>
        <v>0</v>
      </c>
      <c r="J1124" s="134">
        <f t="shared" si="51"/>
        <v>295</v>
      </c>
      <c r="K1124" s="135"/>
      <c r="L1124" s="136" t="str">
        <f t="shared" si="53"/>
        <v>مدين</v>
      </c>
      <c r="M1124" s="137" t="str">
        <f>IF(ISERROR(VLOOKUP(C1124,'[1]خريطة الحسابات'!_xlnm.Print_Area,4,FALSE))," ",(VLOOKUP(C1124,'[1]خريطة الحسابات'!_xlnm.Print_Area,4,FALSE)))</f>
        <v>تكاليف مشروع الباتيو 235</v>
      </c>
      <c r="N1124" s="138" t="str">
        <f>IF(ISERROR(VLOOKUP(C1124,'[1]خريطة الحسابات'!_xlnm.Print_Area,5,FALSE))," ",(VLOOKUP(C1124,'[1]خريطة الحسابات'!_xlnm.Print_Area,5,FALSE)))</f>
        <v xml:space="preserve">تكاليف العمليات </v>
      </c>
      <c r="O1124" s="139" t="s">
        <v>1812</v>
      </c>
      <c r="P1124" s="139" t="s">
        <v>1304</v>
      </c>
    </row>
    <row r="1125" spans="1:16">
      <c r="A1125" s="104">
        <v>55</v>
      </c>
      <c r="B1125" s="131">
        <v>46084</v>
      </c>
      <c r="C1125" s="141" t="s">
        <v>185</v>
      </c>
      <c r="D1125" s="140" t="str">
        <f>IF(ISERROR(VLOOKUP(C1125,'[1]خريطة الحسابات'!_xlnm.Print_Area,3,FALSE))," ",(VLOOKUP(C1125,'[1]خريطة الحسابات'!_xlnm.Print_Area,3,FALSE)))</f>
        <v>خامات ومصنعية بند السباكة والصحي</v>
      </c>
      <c r="E1125" s="132"/>
      <c r="F1125" s="133">
        <v>600</v>
      </c>
      <c r="G1125" s="133"/>
      <c r="H1125" s="134">
        <f t="shared" si="52"/>
        <v>600</v>
      </c>
      <c r="I1125" s="134">
        <f t="shared" si="52"/>
        <v>0</v>
      </c>
      <c r="J1125" s="134">
        <f t="shared" si="51"/>
        <v>600</v>
      </c>
      <c r="K1125" s="135"/>
      <c r="L1125" s="136" t="str">
        <f t="shared" si="53"/>
        <v>مدين</v>
      </c>
      <c r="M1125" s="137" t="str">
        <f>IF(ISERROR(VLOOKUP(C1125,'[1]خريطة الحسابات'!_xlnm.Print_Area,4,FALSE))," ",(VLOOKUP(C1125,'[1]خريطة الحسابات'!_xlnm.Print_Area,4,FALSE)))</f>
        <v>تكاليف مشروع الباتيو 235</v>
      </c>
      <c r="N1125" s="138" t="str">
        <f>IF(ISERROR(VLOOKUP(C1125,'[1]خريطة الحسابات'!_xlnm.Print_Area,5,FALSE))," ",(VLOOKUP(C1125,'[1]خريطة الحسابات'!_xlnm.Print_Area,5,FALSE)))</f>
        <v xml:space="preserve">تكاليف العمليات </v>
      </c>
      <c r="O1125" s="139" t="s">
        <v>1813</v>
      </c>
      <c r="P1125" s="139" t="s">
        <v>1304</v>
      </c>
    </row>
    <row r="1126" spans="1:16">
      <c r="A1126" s="104">
        <v>55</v>
      </c>
      <c r="B1126" s="131">
        <v>46065</v>
      </c>
      <c r="C1126" s="147" t="s">
        <v>325</v>
      </c>
      <c r="D1126" s="140" t="str">
        <f>IF(ISERROR(VLOOKUP(C1126,'[1]خريطة الحسابات'!_xlnm.Print_Area,3,FALSE))," ",(VLOOKUP(C1126,'[1]خريطة الحسابات'!_xlnm.Print_Area,3,FALSE)))</f>
        <v>خامات ومصنعية بند السباكة والصحي</v>
      </c>
      <c r="E1126" s="132"/>
      <c r="F1126" s="133">
        <v>5860</v>
      </c>
      <c r="G1126" s="133"/>
      <c r="H1126" s="134">
        <f t="shared" si="52"/>
        <v>5860</v>
      </c>
      <c r="I1126" s="134">
        <f t="shared" si="52"/>
        <v>0</v>
      </c>
      <c r="J1126" s="134">
        <f t="shared" si="51"/>
        <v>5860</v>
      </c>
      <c r="K1126" s="135"/>
      <c r="L1126" s="136" t="str">
        <f t="shared" si="53"/>
        <v>مدين</v>
      </c>
      <c r="M1126" s="137" t="str">
        <f>IF(ISERROR(VLOOKUP(C1126,'[1]خريطة الحسابات'!_xlnm.Print_Area,4,FALSE))," ",(VLOOKUP(C1126,'[1]خريطة الحسابات'!_xlnm.Print_Area,4,FALSE)))</f>
        <v>تكاليف مشروع العبور 306</v>
      </c>
      <c r="N1126" s="138" t="str">
        <f>IF(ISERROR(VLOOKUP(C1126,'[1]خريطة الحسابات'!_xlnm.Print_Area,5,FALSE))," ",(VLOOKUP(C1126,'[1]خريطة الحسابات'!_xlnm.Print_Area,5,FALSE)))</f>
        <v xml:space="preserve">تكاليف العمليات </v>
      </c>
      <c r="O1126" s="139" t="s">
        <v>1802</v>
      </c>
      <c r="P1126" s="139" t="s">
        <v>1292</v>
      </c>
    </row>
    <row r="1127" spans="1:16">
      <c r="A1127" s="104">
        <v>55</v>
      </c>
      <c r="B1127" s="131">
        <v>46161</v>
      </c>
      <c r="C1127" s="147" t="s">
        <v>325</v>
      </c>
      <c r="D1127" s="140" t="str">
        <f>IF(ISERROR(VLOOKUP(C1127,'[1]خريطة الحسابات'!_xlnm.Print_Area,3,FALSE))," ",(VLOOKUP(C1127,'[1]خريطة الحسابات'!_xlnm.Print_Area,3,FALSE)))</f>
        <v>خامات ومصنعية بند السباكة والصحي</v>
      </c>
      <c r="E1127" s="132"/>
      <c r="F1127" s="133">
        <v>400</v>
      </c>
      <c r="G1127" s="133"/>
      <c r="H1127" s="134">
        <f t="shared" si="52"/>
        <v>400</v>
      </c>
      <c r="I1127" s="134">
        <f t="shared" si="52"/>
        <v>0</v>
      </c>
      <c r="J1127" s="134">
        <f t="shared" si="51"/>
        <v>400</v>
      </c>
      <c r="K1127" s="135"/>
      <c r="L1127" s="136" t="str">
        <f t="shared" si="53"/>
        <v>مدين</v>
      </c>
      <c r="M1127" s="137" t="str">
        <f>IF(ISERROR(VLOOKUP(C1127,'[1]خريطة الحسابات'!_xlnm.Print_Area,4,FALSE))," ",(VLOOKUP(C1127,'[1]خريطة الحسابات'!_xlnm.Print_Area,4,FALSE)))</f>
        <v>تكاليف مشروع العبور 306</v>
      </c>
      <c r="N1127" s="138" t="str">
        <f>IF(ISERROR(VLOOKUP(C1127,'[1]خريطة الحسابات'!_xlnm.Print_Area,5,FALSE))," ",(VLOOKUP(C1127,'[1]خريطة الحسابات'!_xlnm.Print_Area,5,FALSE)))</f>
        <v xml:space="preserve">تكاليف العمليات </v>
      </c>
      <c r="O1127" s="139" t="s">
        <v>1814</v>
      </c>
      <c r="P1127" s="139" t="s">
        <v>1292</v>
      </c>
    </row>
    <row r="1128" spans="1:16">
      <c r="A1128" s="104">
        <v>55</v>
      </c>
      <c r="B1128" s="131">
        <v>46121</v>
      </c>
      <c r="C1128" s="141" t="s">
        <v>605</v>
      </c>
      <c r="D1128" s="140" t="str">
        <f>IF(ISERROR(VLOOKUP(C1128,'[1]خريطة الحسابات'!_xlnm.Print_Area,3,FALSE))," ",(VLOOKUP(C1128,'[1]خريطة الحسابات'!_xlnm.Print_Area,3,FALSE)))</f>
        <v>خامات ومصنعية بند السباكة والصحي</v>
      </c>
      <c r="E1128" s="132"/>
      <c r="F1128" s="133">
        <v>1700</v>
      </c>
      <c r="G1128" s="133"/>
      <c r="H1128" s="134">
        <f t="shared" si="52"/>
        <v>1700</v>
      </c>
      <c r="I1128" s="134">
        <f t="shared" si="52"/>
        <v>0</v>
      </c>
      <c r="J1128" s="134">
        <f t="shared" si="51"/>
        <v>1700</v>
      </c>
      <c r="K1128" s="135"/>
      <c r="L1128" s="136" t="str">
        <f t="shared" si="53"/>
        <v>مدين</v>
      </c>
      <c r="M1128" s="137" t="str">
        <f>IF(ISERROR(VLOOKUP(C1128,'[1]خريطة الحسابات'!_xlnm.Print_Area,4,FALSE))," ",(VLOOKUP(C1128,'[1]خريطة الحسابات'!_xlnm.Print_Area,4,FALSE)))</f>
        <v>تكاليف مشروع اللوتس 361</v>
      </c>
      <c r="N1128" s="138" t="str">
        <f>IF(ISERROR(VLOOKUP(C1128,'[1]خريطة الحسابات'!_xlnm.Print_Area,5,FALSE))," ",(VLOOKUP(C1128,'[1]خريطة الحسابات'!_xlnm.Print_Area,5,FALSE)))</f>
        <v xml:space="preserve">تكاليف العمليات </v>
      </c>
      <c r="O1128" s="139" t="s">
        <v>1815</v>
      </c>
      <c r="P1128" s="139" t="s">
        <v>1295</v>
      </c>
    </row>
    <row r="1129" spans="1:16">
      <c r="A1129" s="104">
        <v>55</v>
      </c>
      <c r="B1129" s="131">
        <v>46078</v>
      </c>
      <c r="C1129" s="141" t="s">
        <v>430</v>
      </c>
      <c r="D1129" s="140" t="str">
        <f>IF(ISERROR(VLOOKUP(C1129,'[1]خريطة الحسابات'!_xlnm.Print_Area,3,FALSE))," ",(VLOOKUP(C1129,'[1]خريطة الحسابات'!_xlnm.Print_Area,3,FALSE)))</f>
        <v>خامات ومصنعية بند السباكة والصحي</v>
      </c>
      <c r="E1129" s="132"/>
      <c r="F1129" s="133">
        <v>7670</v>
      </c>
      <c r="G1129" s="133"/>
      <c r="H1129" s="134">
        <f t="shared" si="52"/>
        <v>7670</v>
      </c>
      <c r="I1129" s="134">
        <f t="shared" si="52"/>
        <v>0</v>
      </c>
      <c r="J1129" s="134">
        <f t="shared" si="51"/>
        <v>7670</v>
      </c>
      <c r="K1129" s="135"/>
      <c r="L1129" s="136" t="str">
        <f t="shared" si="53"/>
        <v>مدين</v>
      </c>
      <c r="M1129" s="137" t="str">
        <f>IF(ISERROR(VLOOKUP(C1129,'[1]خريطة الحسابات'!_xlnm.Print_Area,4,FALSE))," ",(VLOOKUP(C1129,'[1]خريطة الحسابات'!_xlnm.Print_Area,4,FALSE)))</f>
        <v>345 تكاليف مشروع بالم هيلز</v>
      </c>
      <c r="N1129" s="138" t="str">
        <f>IF(ISERROR(VLOOKUP(C1129,'[1]خريطة الحسابات'!_xlnm.Print_Area,5,FALSE))," ",(VLOOKUP(C1129,'[1]خريطة الحسابات'!_xlnm.Print_Area,5,FALSE)))</f>
        <v xml:space="preserve">تكاليف العمليات </v>
      </c>
      <c r="O1129" s="139" t="s">
        <v>1816</v>
      </c>
      <c r="P1129" s="139" t="s">
        <v>1327</v>
      </c>
    </row>
    <row r="1130" spans="1:16">
      <c r="A1130" s="104">
        <v>55</v>
      </c>
      <c r="B1130" s="131">
        <v>46086</v>
      </c>
      <c r="C1130" s="141" t="s">
        <v>430</v>
      </c>
      <c r="D1130" s="140" t="str">
        <f>IF(ISERROR(VLOOKUP(C1130,'[1]خريطة الحسابات'!_xlnm.Print_Area,3,FALSE))," ",(VLOOKUP(C1130,'[1]خريطة الحسابات'!_xlnm.Print_Area,3,FALSE)))</f>
        <v>خامات ومصنعية بند السباكة والصحي</v>
      </c>
      <c r="E1130" s="132"/>
      <c r="F1130" s="133">
        <v>1170</v>
      </c>
      <c r="G1130" s="133"/>
      <c r="H1130" s="134">
        <f t="shared" si="52"/>
        <v>1170</v>
      </c>
      <c r="I1130" s="134">
        <f t="shared" si="52"/>
        <v>0</v>
      </c>
      <c r="J1130" s="134">
        <f t="shared" si="51"/>
        <v>1170</v>
      </c>
      <c r="K1130" s="135"/>
      <c r="L1130" s="136" t="str">
        <f t="shared" si="53"/>
        <v>مدين</v>
      </c>
      <c r="M1130" s="137" t="str">
        <f>IF(ISERROR(VLOOKUP(C1130,'[1]خريطة الحسابات'!_xlnm.Print_Area,4,FALSE))," ",(VLOOKUP(C1130,'[1]خريطة الحسابات'!_xlnm.Print_Area,4,FALSE)))</f>
        <v>345 تكاليف مشروع بالم هيلز</v>
      </c>
      <c r="N1130" s="138" t="str">
        <f>IF(ISERROR(VLOOKUP(C1130,'[1]خريطة الحسابات'!_xlnm.Print_Area,5,FALSE))," ",(VLOOKUP(C1130,'[1]خريطة الحسابات'!_xlnm.Print_Area,5,FALSE)))</f>
        <v xml:space="preserve">تكاليف العمليات </v>
      </c>
      <c r="O1130" s="139" t="s">
        <v>1817</v>
      </c>
      <c r="P1130" s="139" t="s">
        <v>1327</v>
      </c>
    </row>
    <row r="1131" spans="1:16">
      <c r="A1131" s="104">
        <v>55</v>
      </c>
      <c r="B1131" s="131">
        <v>46111</v>
      </c>
      <c r="C1131" s="141" t="s">
        <v>430</v>
      </c>
      <c r="D1131" s="140" t="str">
        <f>IF(ISERROR(VLOOKUP(C1131,'[1]خريطة الحسابات'!_xlnm.Print_Area,3,FALSE))," ",(VLOOKUP(C1131,'[1]خريطة الحسابات'!_xlnm.Print_Area,3,FALSE)))</f>
        <v>خامات ومصنعية بند السباكة والصحي</v>
      </c>
      <c r="E1131" s="132"/>
      <c r="F1131" s="133">
        <v>542</v>
      </c>
      <c r="G1131" s="133"/>
      <c r="H1131" s="134">
        <f t="shared" si="52"/>
        <v>542</v>
      </c>
      <c r="I1131" s="134">
        <f t="shared" si="52"/>
        <v>0</v>
      </c>
      <c r="J1131" s="134">
        <f t="shared" si="51"/>
        <v>542</v>
      </c>
      <c r="K1131" s="135"/>
      <c r="L1131" s="136" t="str">
        <f t="shared" si="53"/>
        <v>مدين</v>
      </c>
      <c r="M1131" s="137" t="str">
        <f>IF(ISERROR(VLOOKUP(C1131,'[1]خريطة الحسابات'!_xlnm.Print_Area,4,FALSE))," ",(VLOOKUP(C1131,'[1]خريطة الحسابات'!_xlnm.Print_Area,4,FALSE)))</f>
        <v>345 تكاليف مشروع بالم هيلز</v>
      </c>
      <c r="N1131" s="138" t="str">
        <f>IF(ISERROR(VLOOKUP(C1131,'[1]خريطة الحسابات'!_xlnm.Print_Area,5,FALSE))," ",(VLOOKUP(C1131,'[1]خريطة الحسابات'!_xlnm.Print_Area,5,FALSE)))</f>
        <v xml:space="preserve">تكاليف العمليات </v>
      </c>
      <c r="O1131" s="139" t="s">
        <v>1818</v>
      </c>
      <c r="P1131" s="139" t="s">
        <v>1327</v>
      </c>
    </row>
    <row r="1132" spans="1:16">
      <c r="A1132" s="104">
        <v>55</v>
      </c>
      <c r="B1132" s="131">
        <v>46126</v>
      </c>
      <c r="C1132" s="141" t="s">
        <v>430</v>
      </c>
      <c r="D1132" s="140" t="str">
        <f>IF(ISERROR(VLOOKUP(C1132,'[1]خريطة الحسابات'!_xlnm.Print_Area,3,FALSE))," ",(VLOOKUP(C1132,'[1]خريطة الحسابات'!_xlnm.Print_Area,3,FALSE)))</f>
        <v>خامات ومصنعية بند السباكة والصحي</v>
      </c>
      <c r="E1132" s="132"/>
      <c r="F1132" s="133">
        <v>270</v>
      </c>
      <c r="G1132" s="133"/>
      <c r="H1132" s="134">
        <f t="shared" si="52"/>
        <v>270</v>
      </c>
      <c r="I1132" s="134">
        <f t="shared" si="52"/>
        <v>0</v>
      </c>
      <c r="J1132" s="134">
        <f t="shared" si="51"/>
        <v>270</v>
      </c>
      <c r="K1132" s="135"/>
      <c r="L1132" s="136" t="str">
        <f t="shared" si="53"/>
        <v>مدين</v>
      </c>
      <c r="M1132" s="137" t="str">
        <f>IF(ISERROR(VLOOKUP(C1132,'[1]خريطة الحسابات'!_xlnm.Print_Area,4,FALSE))," ",(VLOOKUP(C1132,'[1]خريطة الحسابات'!_xlnm.Print_Area,4,FALSE)))</f>
        <v>345 تكاليف مشروع بالم هيلز</v>
      </c>
      <c r="N1132" s="138" t="str">
        <f>IF(ISERROR(VLOOKUP(C1132,'[1]خريطة الحسابات'!_xlnm.Print_Area,5,FALSE))," ",(VLOOKUP(C1132,'[1]خريطة الحسابات'!_xlnm.Print_Area,5,FALSE)))</f>
        <v xml:space="preserve">تكاليف العمليات </v>
      </c>
      <c r="O1132" s="148" t="s">
        <v>1819</v>
      </c>
      <c r="P1132" s="139" t="s">
        <v>1327</v>
      </c>
    </row>
    <row r="1133" spans="1:16">
      <c r="A1133" s="104">
        <v>55</v>
      </c>
      <c r="B1133" s="131">
        <v>46063</v>
      </c>
      <c r="C1133" s="141" t="s">
        <v>850</v>
      </c>
      <c r="D1133" s="140" t="str">
        <f>IF(ISERROR(VLOOKUP(C1133,'[1]خريطة الحسابات'!_xlnm.Print_Area,3,FALSE))," ",(VLOOKUP(C1133,'[1]خريطة الحسابات'!_xlnm.Print_Area,3,FALSE)))</f>
        <v>خامات ومصنعية بند السباكة والصحي</v>
      </c>
      <c r="E1133" s="132"/>
      <c r="F1133" s="133">
        <v>1200</v>
      </c>
      <c r="G1133" s="133"/>
      <c r="H1133" s="134">
        <f t="shared" si="52"/>
        <v>1200</v>
      </c>
      <c r="I1133" s="134">
        <f t="shared" si="52"/>
        <v>0</v>
      </c>
      <c r="J1133" s="134">
        <f t="shared" si="51"/>
        <v>1200</v>
      </c>
      <c r="K1133" s="135"/>
      <c r="L1133" s="136" t="str">
        <f t="shared" si="53"/>
        <v>مدين</v>
      </c>
      <c r="M1133" s="137" t="str">
        <f>IF(ISERROR(VLOOKUP(C1133,'[1]خريطة الحسابات'!_xlnm.Print_Area,4,FALSE))," ",(VLOOKUP(C1133,'[1]خريطة الحسابات'!_xlnm.Print_Area,4,FALSE)))</f>
        <v>تكاليف مشروع رأس الحكمة</v>
      </c>
      <c r="N1133" s="138" t="str">
        <f>IF(ISERROR(VLOOKUP(C1133,'[1]خريطة الحسابات'!_xlnm.Print_Area,5,FALSE))," ",(VLOOKUP(C1133,'[1]خريطة الحسابات'!_xlnm.Print_Area,5,FALSE)))</f>
        <v xml:space="preserve">تكاليف العمليات </v>
      </c>
      <c r="O1133" s="148" t="s">
        <v>1820</v>
      </c>
      <c r="P1133" s="139" t="s">
        <v>1493</v>
      </c>
    </row>
    <row r="1134" spans="1:16">
      <c r="A1134" s="104">
        <v>55</v>
      </c>
      <c r="B1134" s="131">
        <v>46047</v>
      </c>
      <c r="C1134" s="141" t="s">
        <v>95</v>
      </c>
      <c r="D1134" s="140" t="str">
        <f>IF(ISERROR(VLOOKUP(C1134,'[1]خريطة الحسابات'!_xlnm.Print_Area,3,FALSE))," ",(VLOOKUP(C1134,'[1]خريطة الحسابات'!_xlnm.Print_Area,3,FALSE)))</f>
        <v>خامات ومصنعية بند السباكة والصحي</v>
      </c>
      <c r="E1134" s="132"/>
      <c r="F1134" s="133">
        <v>6055</v>
      </c>
      <c r="G1134" s="133"/>
      <c r="H1134" s="134">
        <f t="shared" si="52"/>
        <v>6055</v>
      </c>
      <c r="I1134" s="134">
        <f t="shared" si="52"/>
        <v>0</v>
      </c>
      <c r="J1134" s="134">
        <f t="shared" si="51"/>
        <v>6055</v>
      </c>
      <c r="K1134" s="135"/>
      <c r="L1134" s="136" t="str">
        <f t="shared" si="53"/>
        <v>مدين</v>
      </c>
      <c r="M1134" s="137" t="str">
        <f>IF(ISERROR(VLOOKUP(C1134,'[1]خريطة الحسابات'!_xlnm.Print_Area,4,FALSE))," ",(VLOOKUP(C1134,'[1]خريطة الحسابات'!_xlnm.Print_Area,4,FALSE)))</f>
        <v>تكاليف مشروع سوديك  341</v>
      </c>
      <c r="N1134" s="138" t="str">
        <f>IF(ISERROR(VLOOKUP(C1134,'[1]خريطة الحسابات'!_xlnm.Print_Area,5,FALSE))," ",(VLOOKUP(C1134,'[1]خريطة الحسابات'!_xlnm.Print_Area,5,FALSE)))</f>
        <v xml:space="preserve">تكاليف العمليات </v>
      </c>
      <c r="O1134" s="139" t="s">
        <v>1821</v>
      </c>
      <c r="P1134" s="139" t="s">
        <v>1290</v>
      </c>
    </row>
    <row r="1135" spans="1:16">
      <c r="A1135" s="104">
        <v>55</v>
      </c>
      <c r="B1135" s="131">
        <v>46071</v>
      </c>
      <c r="C1135" s="141" t="s">
        <v>95</v>
      </c>
      <c r="D1135" s="140" t="str">
        <f>IF(ISERROR(VLOOKUP(C1135,'[1]خريطة الحسابات'!_xlnm.Print_Area,3,FALSE))," ",(VLOOKUP(C1135,'[1]خريطة الحسابات'!_xlnm.Print_Area,3,FALSE)))</f>
        <v>خامات ومصنعية بند السباكة والصحي</v>
      </c>
      <c r="E1135" s="132"/>
      <c r="F1135" s="133">
        <v>385</v>
      </c>
      <c r="G1135" s="133"/>
      <c r="H1135" s="134">
        <f t="shared" si="52"/>
        <v>385</v>
      </c>
      <c r="I1135" s="134">
        <f t="shared" si="52"/>
        <v>0</v>
      </c>
      <c r="J1135" s="134">
        <f t="shared" si="51"/>
        <v>385</v>
      </c>
      <c r="K1135" s="135"/>
      <c r="L1135" s="136" t="str">
        <f t="shared" si="53"/>
        <v>مدين</v>
      </c>
      <c r="M1135" s="137" t="str">
        <f>IF(ISERROR(VLOOKUP(C1135,'[1]خريطة الحسابات'!_xlnm.Print_Area,4,FALSE))," ",(VLOOKUP(C1135,'[1]خريطة الحسابات'!_xlnm.Print_Area,4,FALSE)))</f>
        <v>تكاليف مشروع سوديك  341</v>
      </c>
      <c r="N1135" s="138" t="str">
        <f>IF(ISERROR(VLOOKUP(C1135,'[1]خريطة الحسابات'!_xlnm.Print_Area,5,FALSE))," ",(VLOOKUP(C1135,'[1]خريطة الحسابات'!_xlnm.Print_Area,5,FALSE)))</f>
        <v xml:space="preserve">تكاليف العمليات </v>
      </c>
      <c r="O1135" s="139" t="s">
        <v>1822</v>
      </c>
      <c r="P1135" s="139" t="s">
        <v>1290</v>
      </c>
    </row>
    <row r="1136" spans="1:16">
      <c r="A1136" s="104">
        <v>55</v>
      </c>
      <c r="B1136" s="131">
        <v>46092</v>
      </c>
      <c r="C1136" s="141" t="s">
        <v>95</v>
      </c>
      <c r="D1136" s="140" t="str">
        <f>IF(ISERROR(VLOOKUP(C1136,'[1]خريطة الحسابات'!_xlnm.Print_Area,3,FALSE))," ",(VLOOKUP(C1136,'[1]خريطة الحسابات'!_xlnm.Print_Area,3,FALSE)))</f>
        <v>خامات ومصنعية بند السباكة والصحي</v>
      </c>
      <c r="E1136" s="132"/>
      <c r="F1136" s="133">
        <v>608</v>
      </c>
      <c r="G1136" s="133"/>
      <c r="H1136" s="134">
        <f t="shared" si="52"/>
        <v>608</v>
      </c>
      <c r="I1136" s="134">
        <f t="shared" si="52"/>
        <v>0</v>
      </c>
      <c r="J1136" s="134">
        <f t="shared" si="51"/>
        <v>608</v>
      </c>
      <c r="K1136" s="135"/>
      <c r="L1136" s="136" t="str">
        <f t="shared" si="53"/>
        <v>مدين</v>
      </c>
      <c r="M1136" s="137" t="str">
        <f>IF(ISERROR(VLOOKUP(C1136,'[1]خريطة الحسابات'!_xlnm.Print_Area,4,FALSE))," ",(VLOOKUP(C1136,'[1]خريطة الحسابات'!_xlnm.Print_Area,4,FALSE)))</f>
        <v>تكاليف مشروع سوديك  341</v>
      </c>
      <c r="N1136" s="138" t="str">
        <f>IF(ISERROR(VLOOKUP(C1136,'[1]خريطة الحسابات'!_xlnm.Print_Area,5,FALSE))," ",(VLOOKUP(C1136,'[1]خريطة الحسابات'!_xlnm.Print_Area,5,FALSE)))</f>
        <v xml:space="preserve">تكاليف العمليات </v>
      </c>
      <c r="O1136" s="139" t="s">
        <v>1823</v>
      </c>
      <c r="P1136" s="139" t="s">
        <v>1290</v>
      </c>
    </row>
    <row r="1137" spans="1:16">
      <c r="A1137" s="104">
        <v>55</v>
      </c>
      <c r="B1137" s="131">
        <v>46121</v>
      </c>
      <c r="C1137" s="141" t="s">
        <v>95</v>
      </c>
      <c r="D1137" s="140" t="str">
        <f>IF(ISERROR(VLOOKUP(C1137,'[1]خريطة الحسابات'!_xlnm.Print_Area,3,FALSE))," ",(VLOOKUP(C1137,'[1]خريطة الحسابات'!_xlnm.Print_Area,3,FALSE)))</f>
        <v>خامات ومصنعية بند السباكة والصحي</v>
      </c>
      <c r="E1137" s="132"/>
      <c r="F1137" s="133">
        <v>170</v>
      </c>
      <c r="G1137" s="133"/>
      <c r="H1137" s="134">
        <f t="shared" si="52"/>
        <v>170</v>
      </c>
      <c r="I1137" s="134">
        <f t="shared" si="52"/>
        <v>0</v>
      </c>
      <c r="J1137" s="134">
        <f t="shared" si="51"/>
        <v>170</v>
      </c>
      <c r="K1137" s="135"/>
      <c r="L1137" s="136" t="str">
        <f t="shared" si="53"/>
        <v>مدين</v>
      </c>
      <c r="M1137" s="137" t="str">
        <f>IF(ISERROR(VLOOKUP(C1137,'[1]خريطة الحسابات'!_xlnm.Print_Area,4,FALSE))," ",(VLOOKUP(C1137,'[1]خريطة الحسابات'!_xlnm.Print_Area,4,FALSE)))</f>
        <v>تكاليف مشروع سوديك  341</v>
      </c>
      <c r="N1137" s="138" t="str">
        <f>IF(ISERROR(VLOOKUP(C1137,'[1]خريطة الحسابات'!_xlnm.Print_Area,5,FALSE))," ",(VLOOKUP(C1137,'[1]خريطة الحسابات'!_xlnm.Print_Area,5,FALSE)))</f>
        <v xml:space="preserve">تكاليف العمليات </v>
      </c>
      <c r="O1137" s="139" t="s">
        <v>1824</v>
      </c>
      <c r="P1137" s="139" t="s">
        <v>1290</v>
      </c>
    </row>
    <row r="1138" spans="1:16">
      <c r="A1138" s="104">
        <v>55</v>
      </c>
      <c r="B1138" s="131">
        <v>46123</v>
      </c>
      <c r="C1138" s="141" t="s">
        <v>95</v>
      </c>
      <c r="D1138" s="140" t="str">
        <f>IF(ISERROR(VLOOKUP(C1138,'[1]خريطة الحسابات'!_xlnm.Print_Area,3,FALSE))," ",(VLOOKUP(C1138,'[1]خريطة الحسابات'!_xlnm.Print_Area,3,FALSE)))</f>
        <v>خامات ومصنعية بند السباكة والصحي</v>
      </c>
      <c r="E1138" s="132"/>
      <c r="F1138" s="133">
        <v>305</v>
      </c>
      <c r="G1138" s="133"/>
      <c r="H1138" s="134">
        <f t="shared" si="52"/>
        <v>305</v>
      </c>
      <c r="I1138" s="134">
        <f t="shared" si="52"/>
        <v>0</v>
      </c>
      <c r="J1138" s="134">
        <f t="shared" si="51"/>
        <v>305</v>
      </c>
      <c r="K1138" s="135"/>
      <c r="L1138" s="136" t="str">
        <f t="shared" si="53"/>
        <v>مدين</v>
      </c>
      <c r="M1138" s="137" t="str">
        <f>IF(ISERROR(VLOOKUP(C1138,'[1]خريطة الحسابات'!_xlnm.Print_Area,4,FALSE))," ",(VLOOKUP(C1138,'[1]خريطة الحسابات'!_xlnm.Print_Area,4,FALSE)))</f>
        <v>تكاليف مشروع سوديك  341</v>
      </c>
      <c r="N1138" s="138" t="str">
        <f>IF(ISERROR(VLOOKUP(C1138,'[1]خريطة الحسابات'!_xlnm.Print_Area,5,FALSE))," ",(VLOOKUP(C1138,'[1]خريطة الحسابات'!_xlnm.Print_Area,5,FALSE)))</f>
        <v xml:space="preserve">تكاليف العمليات </v>
      </c>
      <c r="O1138" s="139" t="s">
        <v>1825</v>
      </c>
      <c r="P1138" s="139" t="s">
        <v>1290</v>
      </c>
    </row>
    <row r="1139" spans="1:16">
      <c r="A1139" s="104">
        <v>55</v>
      </c>
      <c r="B1139" s="131">
        <v>46156</v>
      </c>
      <c r="C1139" s="141" t="s">
        <v>95</v>
      </c>
      <c r="D1139" s="140" t="str">
        <f>IF(ISERROR(VLOOKUP(C1139,'[1]خريطة الحسابات'!_xlnm.Print_Area,3,FALSE))," ",(VLOOKUP(C1139,'[1]خريطة الحسابات'!_xlnm.Print_Area,3,FALSE)))</f>
        <v>خامات ومصنعية بند السباكة والصحي</v>
      </c>
      <c r="E1139" s="132"/>
      <c r="F1139" s="133">
        <v>6186</v>
      </c>
      <c r="G1139" s="133"/>
      <c r="H1139" s="134">
        <f t="shared" si="52"/>
        <v>6186</v>
      </c>
      <c r="I1139" s="134">
        <f t="shared" si="52"/>
        <v>0</v>
      </c>
      <c r="J1139" s="134">
        <f t="shared" si="51"/>
        <v>6186</v>
      </c>
      <c r="K1139" s="135"/>
      <c r="L1139" s="136" t="str">
        <f t="shared" si="53"/>
        <v>مدين</v>
      </c>
      <c r="M1139" s="137" t="str">
        <f>IF(ISERROR(VLOOKUP(C1139,'[1]خريطة الحسابات'!_xlnm.Print_Area,4,FALSE))," ",(VLOOKUP(C1139,'[1]خريطة الحسابات'!_xlnm.Print_Area,4,FALSE)))</f>
        <v>تكاليف مشروع سوديك  341</v>
      </c>
      <c r="N1139" s="138" t="str">
        <f>IF(ISERROR(VLOOKUP(C1139,'[1]خريطة الحسابات'!_xlnm.Print_Area,5,FALSE))," ",(VLOOKUP(C1139,'[1]خريطة الحسابات'!_xlnm.Print_Area,5,FALSE)))</f>
        <v xml:space="preserve">تكاليف العمليات </v>
      </c>
      <c r="O1139" s="139" t="s">
        <v>1826</v>
      </c>
      <c r="P1139" s="139" t="s">
        <v>1290</v>
      </c>
    </row>
    <row r="1140" spans="1:16">
      <c r="A1140" s="104">
        <v>55</v>
      </c>
      <c r="B1140" s="131">
        <v>46161</v>
      </c>
      <c r="C1140" s="141" t="s">
        <v>95</v>
      </c>
      <c r="D1140" s="140" t="str">
        <f>IF(ISERROR(VLOOKUP(C1140,'[1]خريطة الحسابات'!_xlnm.Print_Area,3,FALSE))," ",(VLOOKUP(C1140,'[1]خريطة الحسابات'!_xlnm.Print_Area,3,FALSE)))</f>
        <v>خامات ومصنعية بند السباكة والصحي</v>
      </c>
      <c r="E1140" s="132"/>
      <c r="F1140" s="133">
        <v>1101</v>
      </c>
      <c r="G1140" s="133"/>
      <c r="H1140" s="134">
        <f t="shared" si="52"/>
        <v>1101</v>
      </c>
      <c r="I1140" s="134">
        <f t="shared" si="52"/>
        <v>0</v>
      </c>
      <c r="J1140" s="134">
        <f t="shared" si="51"/>
        <v>1101</v>
      </c>
      <c r="K1140" s="135"/>
      <c r="L1140" s="136" t="str">
        <f t="shared" si="53"/>
        <v>مدين</v>
      </c>
      <c r="M1140" s="137" t="str">
        <f>IF(ISERROR(VLOOKUP(C1140,'[1]خريطة الحسابات'!_xlnm.Print_Area,4,FALSE))," ",(VLOOKUP(C1140,'[1]خريطة الحسابات'!_xlnm.Print_Area,4,FALSE)))</f>
        <v>تكاليف مشروع سوديك  341</v>
      </c>
      <c r="N1140" s="138" t="str">
        <f>IF(ISERROR(VLOOKUP(C1140,'[1]خريطة الحسابات'!_xlnm.Print_Area,5,FALSE))," ",(VLOOKUP(C1140,'[1]خريطة الحسابات'!_xlnm.Print_Area,5,FALSE)))</f>
        <v xml:space="preserve">تكاليف العمليات </v>
      </c>
      <c r="O1140" s="139" t="s">
        <v>1827</v>
      </c>
      <c r="P1140" s="139" t="s">
        <v>1290</v>
      </c>
    </row>
    <row r="1141" spans="1:16">
      <c r="A1141" s="104">
        <v>55</v>
      </c>
      <c r="B1141" s="131">
        <v>46163</v>
      </c>
      <c r="C1141" s="141" t="s">
        <v>95</v>
      </c>
      <c r="D1141" s="140" t="str">
        <f>IF(ISERROR(VLOOKUP(C1141,'[1]خريطة الحسابات'!_xlnm.Print_Area,3,FALSE))," ",(VLOOKUP(C1141,'[1]خريطة الحسابات'!_xlnm.Print_Area,3,FALSE)))</f>
        <v>خامات ومصنعية بند السباكة والصحي</v>
      </c>
      <c r="E1141" s="132"/>
      <c r="F1141" s="133">
        <v>1705</v>
      </c>
      <c r="G1141" s="133"/>
      <c r="H1141" s="134">
        <f t="shared" si="52"/>
        <v>1705</v>
      </c>
      <c r="I1141" s="134">
        <f t="shared" si="52"/>
        <v>0</v>
      </c>
      <c r="J1141" s="134">
        <f t="shared" si="51"/>
        <v>1705</v>
      </c>
      <c r="K1141" s="135"/>
      <c r="L1141" s="136" t="str">
        <f t="shared" si="53"/>
        <v>مدين</v>
      </c>
      <c r="M1141" s="137" t="str">
        <f>IF(ISERROR(VLOOKUP(C1141,'[1]خريطة الحسابات'!_xlnm.Print_Area,4,FALSE))," ",(VLOOKUP(C1141,'[1]خريطة الحسابات'!_xlnm.Print_Area,4,FALSE)))</f>
        <v>تكاليف مشروع سوديك  341</v>
      </c>
      <c r="N1141" s="138" t="str">
        <f>IF(ISERROR(VLOOKUP(C1141,'[1]خريطة الحسابات'!_xlnm.Print_Area,5,FALSE))," ",(VLOOKUP(C1141,'[1]خريطة الحسابات'!_xlnm.Print_Area,5,FALSE)))</f>
        <v xml:space="preserve">تكاليف العمليات </v>
      </c>
      <c r="O1141" s="139" t="s">
        <v>1828</v>
      </c>
      <c r="P1141" s="139" t="s">
        <v>1290</v>
      </c>
    </row>
    <row r="1142" spans="1:16">
      <c r="A1142" s="104">
        <v>55</v>
      </c>
      <c r="B1142" s="131">
        <v>46037</v>
      </c>
      <c r="C1142" s="141" t="s">
        <v>780</v>
      </c>
      <c r="D1142" s="140" t="str">
        <f>IF(ISERROR(VLOOKUP(C1142,'[1]خريطة الحسابات'!_xlnm.Print_Area,3,FALSE))," ",(VLOOKUP(C1142,'[1]خريطة الحسابات'!_xlnm.Print_Area,3,FALSE)))</f>
        <v>خامات ومصنعية بند السباكة والصحي</v>
      </c>
      <c r="E1142" s="132"/>
      <c r="F1142" s="133">
        <v>15500</v>
      </c>
      <c r="G1142" s="133"/>
      <c r="H1142" s="134">
        <f t="shared" si="52"/>
        <v>15500</v>
      </c>
      <c r="I1142" s="134">
        <f t="shared" si="52"/>
        <v>0</v>
      </c>
      <c r="J1142" s="134">
        <f t="shared" si="51"/>
        <v>15500</v>
      </c>
      <c r="K1142" s="135"/>
      <c r="L1142" s="136" t="str">
        <f t="shared" si="53"/>
        <v>مدين</v>
      </c>
      <c r="M1142" s="137" t="str">
        <f>IF(ISERROR(VLOOKUP(C1142,'[1]خريطة الحسابات'!_xlnm.Print_Area,4,FALSE))," ",(VLOOKUP(C1142,'[1]خريطة الحسابات'!_xlnm.Print_Area,4,FALSE)))</f>
        <v>388 تكاليف مشروع الدقي</v>
      </c>
      <c r="N1142" s="138" t="str">
        <f>IF(ISERROR(VLOOKUP(C1142,'[1]خريطة الحسابات'!_xlnm.Print_Area,5,FALSE))," ",(VLOOKUP(C1142,'[1]خريطة الحسابات'!_xlnm.Print_Area,5,FALSE)))</f>
        <v xml:space="preserve">تكاليف العمليات </v>
      </c>
      <c r="O1142" s="139" t="s">
        <v>1829</v>
      </c>
      <c r="P1142" s="139" t="s">
        <v>1315</v>
      </c>
    </row>
    <row r="1143" spans="1:16">
      <c r="A1143" s="104">
        <v>55</v>
      </c>
      <c r="B1143" s="131">
        <v>46037</v>
      </c>
      <c r="C1143" s="141" t="s">
        <v>780</v>
      </c>
      <c r="D1143" s="140" t="str">
        <f>IF(ISERROR(VLOOKUP(C1143,'[1]خريطة الحسابات'!_xlnm.Print_Area,3,FALSE))," ",(VLOOKUP(C1143,'[1]خريطة الحسابات'!_xlnm.Print_Area,3,FALSE)))</f>
        <v>خامات ومصنعية بند السباكة والصحي</v>
      </c>
      <c r="E1143" s="132"/>
      <c r="F1143" s="133">
        <v>23905</v>
      </c>
      <c r="G1143" s="133"/>
      <c r="H1143" s="134">
        <f t="shared" si="52"/>
        <v>23905</v>
      </c>
      <c r="I1143" s="134">
        <f t="shared" si="52"/>
        <v>0</v>
      </c>
      <c r="J1143" s="134">
        <f t="shared" si="51"/>
        <v>23905</v>
      </c>
      <c r="K1143" s="135"/>
      <c r="L1143" s="136" t="str">
        <f t="shared" si="53"/>
        <v>مدين</v>
      </c>
      <c r="M1143" s="137" t="str">
        <f>IF(ISERROR(VLOOKUP(C1143,'[1]خريطة الحسابات'!_xlnm.Print_Area,4,FALSE))," ",(VLOOKUP(C1143,'[1]خريطة الحسابات'!_xlnm.Print_Area,4,FALSE)))</f>
        <v>388 تكاليف مشروع الدقي</v>
      </c>
      <c r="N1143" s="138" t="str">
        <f>IF(ISERROR(VLOOKUP(C1143,'[1]خريطة الحسابات'!_xlnm.Print_Area,5,FALSE))," ",(VLOOKUP(C1143,'[1]خريطة الحسابات'!_xlnm.Print_Area,5,FALSE)))</f>
        <v xml:space="preserve">تكاليف العمليات </v>
      </c>
      <c r="O1143" s="139" t="s">
        <v>1382</v>
      </c>
      <c r="P1143" s="139" t="s">
        <v>1315</v>
      </c>
    </row>
    <row r="1144" spans="1:16">
      <c r="A1144" s="104">
        <v>55</v>
      </c>
      <c r="B1144" s="131">
        <v>46042</v>
      </c>
      <c r="C1144" s="141" t="s">
        <v>780</v>
      </c>
      <c r="D1144" s="140" t="str">
        <f>IF(ISERROR(VLOOKUP(C1144,'[1]خريطة الحسابات'!_xlnm.Print_Area,3,FALSE))," ",(VLOOKUP(C1144,'[1]خريطة الحسابات'!_xlnm.Print_Area,3,FALSE)))</f>
        <v>خامات ومصنعية بند السباكة والصحي</v>
      </c>
      <c r="E1144" s="132"/>
      <c r="F1144" s="133">
        <v>600</v>
      </c>
      <c r="G1144" s="133"/>
      <c r="H1144" s="134">
        <f t="shared" si="52"/>
        <v>600</v>
      </c>
      <c r="I1144" s="134">
        <f t="shared" si="52"/>
        <v>0</v>
      </c>
      <c r="J1144" s="134">
        <f t="shared" si="51"/>
        <v>600</v>
      </c>
      <c r="K1144" s="135"/>
      <c r="L1144" s="136" t="str">
        <f t="shared" si="53"/>
        <v>مدين</v>
      </c>
      <c r="M1144" s="137" t="str">
        <f>IF(ISERROR(VLOOKUP(C1144,'[1]خريطة الحسابات'!_xlnm.Print_Area,4,FALSE))," ",(VLOOKUP(C1144,'[1]خريطة الحسابات'!_xlnm.Print_Area,4,FALSE)))</f>
        <v>388 تكاليف مشروع الدقي</v>
      </c>
      <c r="N1144" s="138" t="str">
        <f>IF(ISERROR(VLOOKUP(C1144,'[1]خريطة الحسابات'!_xlnm.Print_Area,5,FALSE))," ",(VLOOKUP(C1144,'[1]خريطة الحسابات'!_xlnm.Print_Area,5,FALSE)))</f>
        <v xml:space="preserve">تكاليف العمليات </v>
      </c>
      <c r="O1144" s="139" t="s">
        <v>1830</v>
      </c>
      <c r="P1144" s="139" t="s">
        <v>1315</v>
      </c>
    </row>
    <row r="1145" spans="1:16">
      <c r="A1145" s="104">
        <v>55</v>
      </c>
      <c r="B1145" s="131">
        <v>46046</v>
      </c>
      <c r="C1145" s="141" t="s">
        <v>780</v>
      </c>
      <c r="D1145" s="140" t="str">
        <f>IF(ISERROR(VLOOKUP(C1145,'[1]خريطة الحسابات'!_xlnm.Print_Area,3,FALSE))," ",(VLOOKUP(C1145,'[1]خريطة الحسابات'!_xlnm.Print_Area,3,FALSE)))</f>
        <v>خامات ومصنعية بند السباكة والصحي</v>
      </c>
      <c r="E1145" s="132"/>
      <c r="F1145" s="133">
        <v>2350</v>
      </c>
      <c r="G1145" s="133"/>
      <c r="H1145" s="134">
        <f t="shared" si="52"/>
        <v>2350</v>
      </c>
      <c r="I1145" s="134">
        <f t="shared" si="52"/>
        <v>0</v>
      </c>
      <c r="J1145" s="134">
        <f t="shared" si="51"/>
        <v>2350</v>
      </c>
      <c r="K1145" s="135"/>
      <c r="L1145" s="136" t="str">
        <f t="shared" si="53"/>
        <v>مدين</v>
      </c>
      <c r="M1145" s="137" t="str">
        <f>IF(ISERROR(VLOOKUP(C1145,'[1]خريطة الحسابات'!_xlnm.Print_Area,4,FALSE))," ",(VLOOKUP(C1145,'[1]خريطة الحسابات'!_xlnm.Print_Area,4,FALSE)))</f>
        <v>388 تكاليف مشروع الدقي</v>
      </c>
      <c r="N1145" s="138" t="str">
        <f>IF(ISERROR(VLOOKUP(C1145,'[1]خريطة الحسابات'!_xlnm.Print_Area,5,FALSE))," ",(VLOOKUP(C1145,'[1]خريطة الحسابات'!_xlnm.Print_Area,5,FALSE)))</f>
        <v xml:space="preserve">تكاليف العمليات </v>
      </c>
      <c r="O1145" s="139" t="s">
        <v>1831</v>
      </c>
      <c r="P1145" s="139" t="s">
        <v>1315</v>
      </c>
    </row>
    <row r="1146" spans="1:16">
      <c r="A1146" s="104">
        <v>55</v>
      </c>
      <c r="B1146" s="131">
        <v>46046</v>
      </c>
      <c r="C1146" s="141" t="s">
        <v>780</v>
      </c>
      <c r="D1146" s="140" t="str">
        <f>IF(ISERROR(VLOOKUP(C1146,'[1]خريطة الحسابات'!_xlnm.Print_Area,3,FALSE))," ",(VLOOKUP(C1146,'[1]خريطة الحسابات'!_xlnm.Print_Area,3,FALSE)))</f>
        <v>خامات ومصنعية بند السباكة والصحي</v>
      </c>
      <c r="E1146" s="132"/>
      <c r="F1146" s="133">
        <v>412</v>
      </c>
      <c r="G1146" s="133"/>
      <c r="H1146" s="134">
        <f t="shared" si="52"/>
        <v>412</v>
      </c>
      <c r="I1146" s="134">
        <f t="shared" si="52"/>
        <v>0</v>
      </c>
      <c r="J1146" s="134">
        <f t="shared" si="51"/>
        <v>412</v>
      </c>
      <c r="K1146" s="135"/>
      <c r="L1146" s="136" t="str">
        <f t="shared" si="53"/>
        <v>مدين</v>
      </c>
      <c r="M1146" s="137" t="str">
        <f>IF(ISERROR(VLOOKUP(C1146,'[1]خريطة الحسابات'!_xlnm.Print_Area,4,FALSE))," ",(VLOOKUP(C1146,'[1]خريطة الحسابات'!_xlnm.Print_Area,4,FALSE)))</f>
        <v>388 تكاليف مشروع الدقي</v>
      </c>
      <c r="N1146" s="138" t="str">
        <f>IF(ISERROR(VLOOKUP(C1146,'[1]خريطة الحسابات'!_xlnm.Print_Area,5,FALSE))," ",(VLOOKUP(C1146,'[1]خريطة الحسابات'!_xlnm.Print_Area,5,FALSE)))</f>
        <v xml:space="preserve">تكاليف العمليات </v>
      </c>
      <c r="O1146" s="139" t="s">
        <v>1830</v>
      </c>
      <c r="P1146" s="139" t="s">
        <v>1315</v>
      </c>
    </row>
    <row r="1147" spans="1:16">
      <c r="A1147" s="104">
        <v>55</v>
      </c>
      <c r="B1147" s="131">
        <v>46046</v>
      </c>
      <c r="C1147" s="141" t="s">
        <v>780</v>
      </c>
      <c r="D1147" s="140" t="str">
        <f>IF(ISERROR(VLOOKUP(C1147,'[1]خريطة الحسابات'!_xlnm.Print_Area,3,FALSE))," ",(VLOOKUP(C1147,'[1]خريطة الحسابات'!_xlnm.Print_Area,3,FALSE)))</f>
        <v>خامات ومصنعية بند السباكة والصحي</v>
      </c>
      <c r="E1147" s="132"/>
      <c r="F1147" s="133">
        <v>570</v>
      </c>
      <c r="G1147" s="133"/>
      <c r="H1147" s="134">
        <f t="shared" si="52"/>
        <v>570</v>
      </c>
      <c r="I1147" s="134">
        <f t="shared" si="52"/>
        <v>0</v>
      </c>
      <c r="J1147" s="134">
        <f t="shared" si="51"/>
        <v>570</v>
      </c>
      <c r="K1147" s="135"/>
      <c r="L1147" s="136" t="str">
        <f t="shared" si="53"/>
        <v>مدين</v>
      </c>
      <c r="M1147" s="137" t="str">
        <f>IF(ISERROR(VLOOKUP(C1147,'[1]خريطة الحسابات'!_xlnm.Print_Area,4,FALSE))," ",(VLOOKUP(C1147,'[1]خريطة الحسابات'!_xlnm.Print_Area,4,FALSE)))</f>
        <v>388 تكاليف مشروع الدقي</v>
      </c>
      <c r="N1147" s="138" t="str">
        <f>IF(ISERROR(VLOOKUP(C1147,'[1]خريطة الحسابات'!_xlnm.Print_Area,5,FALSE))," ",(VLOOKUP(C1147,'[1]خريطة الحسابات'!_xlnm.Print_Area,5,FALSE)))</f>
        <v xml:space="preserve">تكاليف العمليات </v>
      </c>
      <c r="O1147" s="139" t="s">
        <v>1830</v>
      </c>
      <c r="P1147" s="139" t="s">
        <v>1315</v>
      </c>
    </row>
    <row r="1148" spans="1:16">
      <c r="A1148" s="104">
        <v>55</v>
      </c>
      <c r="B1148" s="131">
        <v>46050</v>
      </c>
      <c r="C1148" s="141" t="s">
        <v>780</v>
      </c>
      <c r="D1148" s="140" t="str">
        <f>IF(ISERROR(VLOOKUP(C1148,'[1]خريطة الحسابات'!_xlnm.Print_Area,3,FALSE))," ",(VLOOKUP(C1148,'[1]خريطة الحسابات'!_xlnm.Print_Area,3,FALSE)))</f>
        <v>خامات ومصنعية بند السباكة والصحي</v>
      </c>
      <c r="E1148" s="132"/>
      <c r="F1148" s="133">
        <v>665</v>
      </c>
      <c r="G1148" s="133"/>
      <c r="H1148" s="134">
        <f t="shared" si="52"/>
        <v>665</v>
      </c>
      <c r="I1148" s="134">
        <f t="shared" si="52"/>
        <v>0</v>
      </c>
      <c r="J1148" s="134">
        <f t="shared" si="51"/>
        <v>665</v>
      </c>
      <c r="K1148" s="135"/>
      <c r="L1148" s="136" t="str">
        <f t="shared" si="53"/>
        <v>مدين</v>
      </c>
      <c r="M1148" s="137" t="str">
        <f>IF(ISERROR(VLOOKUP(C1148,'[1]خريطة الحسابات'!_xlnm.Print_Area,4,FALSE))," ",(VLOOKUP(C1148,'[1]خريطة الحسابات'!_xlnm.Print_Area,4,FALSE)))</f>
        <v>388 تكاليف مشروع الدقي</v>
      </c>
      <c r="N1148" s="138" t="str">
        <f>IF(ISERROR(VLOOKUP(C1148,'[1]خريطة الحسابات'!_xlnm.Print_Area,5,FALSE))," ",(VLOOKUP(C1148,'[1]خريطة الحسابات'!_xlnm.Print_Area,5,FALSE)))</f>
        <v xml:space="preserve">تكاليف العمليات </v>
      </c>
      <c r="O1148" s="139" t="s">
        <v>1832</v>
      </c>
      <c r="P1148" s="139" t="s">
        <v>1315</v>
      </c>
    </row>
    <row r="1149" spans="1:16">
      <c r="A1149" s="104">
        <v>55</v>
      </c>
      <c r="B1149" s="131">
        <v>46121</v>
      </c>
      <c r="C1149" s="141" t="s">
        <v>780</v>
      </c>
      <c r="D1149" s="140" t="str">
        <f>IF(ISERROR(VLOOKUP(C1149,'[1]خريطة الحسابات'!_xlnm.Print_Area,3,FALSE))," ",(VLOOKUP(C1149,'[1]خريطة الحسابات'!_xlnm.Print_Area,3,FALSE)))</f>
        <v>خامات ومصنعية بند السباكة والصحي</v>
      </c>
      <c r="E1149" s="132"/>
      <c r="F1149" s="133">
        <v>3795</v>
      </c>
      <c r="G1149" s="133"/>
      <c r="H1149" s="134">
        <f t="shared" si="52"/>
        <v>3795</v>
      </c>
      <c r="I1149" s="134">
        <f t="shared" si="52"/>
        <v>0</v>
      </c>
      <c r="J1149" s="134">
        <f t="shared" si="51"/>
        <v>3795</v>
      </c>
      <c r="K1149" s="135"/>
      <c r="L1149" s="136" t="str">
        <f t="shared" si="53"/>
        <v>مدين</v>
      </c>
      <c r="M1149" s="137" t="str">
        <f>IF(ISERROR(VLOOKUP(C1149,'[1]خريطة الحسابات'!_xlnm.Print_Area,4,FALSE))," ",(VLOOKUP(C1149,'[1]خريطة الحسابات'!_xlnm.Print_Area,4,FALSE)))</f>
        <v>388 تكاليف مشروع الدقي</v>
      </c>
      <c r="N1149" s="138" t="str">
        <f>IF(ISERROR(VLOOKUP(C1149,'[1]خريطة الحسابات'!_xlnm.Print_Area,5,FALSE))," ",(VLOOKUP(C1149,'[1]خريطة الحسابات'!_xlnm.Print_Area,5,FALSE)))</f>
        <v xml:space="preserve">تكاليف العمليات </v>
      </c>
      <c r="O1149" s="139" t="s">
        <v>1833</v>
      </c>
      <c r="P1149" s="139" t="s">
        <v>1315</v>
      </c>
    </row>
    <row r="1150" spans="1:16">
      <c r="A1150" s="104">
        <v>55</v>
      </c>
      <c r="B1150" s="131">
        <v>46166</v>
      </c>
      <c r="C1150" s="141" t="s">
        <v>780</v>
      </c>
      <c r="D1150" s="140" t="str">
        <f>IF(ISERROR(VLOOKUP(C1150,'[1]خريطة الحسابات'!_xlnm.Print_Area,3,FALSE))," ",(VLOOKUP(C1150,'[1]خريطة الحسابات'!_xlnm.Print_Area,3,FALSE)))</f>
        <v>خامات ومصنعية بند السباكة والصحي</v>
      </c>
      <c r="E1150" s="132"/>
      <c r="F1150" s="133">
        <v>2200</v>
      </c>
      <c r="G1150" s="133"/>
      <c r="H1150" s="134">
        <f t="shared" si="52"/>
        <v>2200</v>
      </c>
      <c r="I1150" s="134">
        <f t="shared" si="52"/>
        <v>0</v>
      </c>
      <c r="J1150" s="134">
        <f t="shared" si="51"/>
        <v>2200</v>
      </c>
      <c r="K1150" s="135"/>
      <c r="L1150" s="136" t="str">
        <f t="shared" si="53"/>
        <v>مدين</v>
      </c>
      <c r="M1150" s="137" t="str">
        <f>IF(ISERROR(VLOOKUP(C1150,'[1]خريطة الحسابات'!_xlnm.Print_Area,4,FALSE))," ",(VLOOKUP(C1150,'[1]خريطة الحسابات'!_xlnm.Print_Area,4,FALSE)))</f>
        <v>388 تكاليف مشروع الدقي</v>
      </c>
      <c r="N1150" s="138" t="str">
        <f>IF(ISERROR(VLOOKUP(C1150,'[1]خريطة الحسابات'!_xlnm.Print_Area,5,FALSE))," ",(VLOOKUP(C1150,'[1]خريطة الحسابات'!_xlnm.Print_Area,5,FALSE)))</f>
        <v xml:space="preserve">تكاليف العمليات </v>
      </c>
      <c r="O1150" s="139" t="s">
        <v>1834</v>
      </c>
      <c r="P1150" s="139" t="s">
        <v>1315</v>
      </c>
    </row>
    <row r="1151" spans="1:16">
      <c r="A1151" s="104">
        <v>55</v>
      </c>
      <c r="B1151" s="131">
        <v>46133</v>
      </c>
      <c r="C1151" s="141" t="s">
        <v>921</v>
      </c>
      <c r="D1151" s="140" t="str">
        <f>IF(ISERROR(VLOOKUP(C1151,'[1]خريطة الحسابات'!_xlnm.Print_Area,3,FALSE))," ",(VLOOKUP(C1151,'[1]خريطة الحسابات'!_xlnm.Print_Area,3,FALSE)))</f>
        <v>خامات ومصنعية بند السباكة والصحي</v>
      </c>
      <c r="E1151" s="132"/>
      <c r="F1151" s="133">
        <v>96837</v>
      </c>
      <c r="G1151" s="133"/>
      <c r="H1151" s="134">
        <f t="shared" si="52"/>
        <v>96837</v>
      </c>
      <c r="I1151" s="134">
        <f t="shared" si="52"/>
        <v>0</v>
      </c>
      <c r="J1151" s="134">
        <f t="shared" si="51"/>
        <v>96837</v>
      </c>
      <c r="K1151" s="135"/>
      <c r="L1151" s="136" t="str">
        <f t="shared" si="53"/>
        <v>مدين</v>
      </c>
      <c r="M1151" s="137" t="str">
        <f>IF(ISERROR(VLOOKUP(C1151,'[1]خريطة الحسابات'!_xlnm.Print_Area,4,FALSE))," ",(VLOOKUP(C1151,'[1]خريطة الحسابات'!_xlnm.Print_Area,4,FALSE)))</f>
        <v>تكاليف مشروع وصال العشري 398</v>
      </c>
      <c r="N1151" s="138" t="str">
        <f>IF(ISERROR(VLOOKUP(C1151,'[1]خريطة الحسابات'!_xlnm.Print_Area,5,FALSE))," ",(VLOOKUP(C1151,'[1]خريطة الحسابات'!_xlnm.Print_Area,5,FALSE)))</f>
        <v xml:space="preserve">تكاليف العمليات </v>
      </c>
      <c r="O1151" s="139" t="s">
        <v>1799</v>
      </c>
      <c r="P1151" s="139" t="s">
        <v>1489</v>
      </c>
    </row>
    <row r="1152" spans="1:16">
      <c r="A1152" s="104">
        <v>55</v>
      </c>
      <c r="B1152" s="131">
        <v>46030</v>
      </c>
      <c r="C1152" s="141" t="s">
        <v>220</v>
      </c>
      <c r="D1152" s="140" t="str">
        <f>IF(ISERROR(VLOOKUP(C1152,'[1]خريطة الحسابات'!_xlnm.Print_Area,3,FALSE))," ",(VLOOKUP(C1152,'[1]خريطة الحسابات'!_xlnm.Print_Area,3,FALSE)))</f>
        <v>خامات ومصنعية بند السباكة والصحي</v>
      </c>
      <c r="E1152" s="132"/>
      <c r="F1152" s="133">
        <v>5005</v>
      </c>
      <c r="G1152" s="133"/>
      <c r="H1152" s="134">
        <f t="shared" si="52"/>
        <v>5005</v>
      </c>
      <c r="I1152" s="134">
        <f t="shared" si="52"/>
        <v>0</v>
      </c>
      <c r="J1152" s="134">
        <f t="shared" si="51"/>
        <v>5005</v>
      </c>
      <c r="K1152" s="135"/>
      <c r="L1152" s="136" t="str">
        <f t="shared" si="53"/>
        <v>مدين</v>
      </c>
      <c r="M1152" s="137" t="str">
        <f>IF(ISERROR(VLOOKUP(C1152,'[1]خريطة الحسابات'!_xlnm.Print_Area,4,FALSE))," ",(VLOOKUP(C1152,'[1]خريطة الحسابات'!_xlnm.Print_Area,4,FALSE)))</f>
        <v>تكاليف مشروع كناريا  273</v>
      </c>
      <c r="N1152" s="138" t="str">
        <f>IF(ISERROR(VLOOKUP(C1152,'[1]خريطة الحسابات'!_xlnm.Print_Area,5,FALSE))," ",(VLOOKUP(C1152,'[1]خريطة الحسابات'!_xlnm.Print_Area,5,FALSE)))</f>
        <v xml:space="preserve">تكاليف العمليات </v>
      </c>
      <c r="O1152" s="139" t="s">
        <v>1835</v>
      </c>
      <c r="P1152" s="139" t="s">
        <v>1405</v>
      </c>
    </row>
    <row r="1153" spans="1:16">
      <c r="A1153" s="104">
        <v>55</v>
      </c>
      <c r="B1153" s="131">
        <v>46097</v>
      </c>
      <c r="C1153" s="141" t="s">
        <v>220</v>
      </c>
      <c r="D1153" s="140" t="str">
        <f>IF(ISERROR(VLOOKUP(C1153,'[1]خريطة الحسابات'!_xlnm.Print_Area,3,FALSE))," ",(VLOOKUP(C1153,'[1]خريطة الحسابات'!_xlnm.Print_Area,3,FALSE)))</f>
        <v>خامات ومصنعية بند السباكة والصحي</v>
      </c>
      <c r="E1153" s="132"/>
      <c r="F1153" s="133">
        <v>4000</v>
      </c>
      <c r="G1153" s="133"/>
      <c r="H1153" s="134">
        <f t="shared" si="52"/>
        <v>4000</v>
      </c>
      <c r="I1153" s="134">
        <f t="shared" si="52"/>
        <v>0</v>
      </c>
      <c r="J1153" s="134">
        <f t="shared" si="51"/>
        <v>4000</v>
      </c>
      <c r="K1153" s="135"/>
      <c r="L1153" s="136" t="str">
        <f t="shared" si="53"/>
        <v>مدين</v>
      </c>
      <c r="M1153" s="137" t="str">
        <f>IF(ISERROR(VLOOKUP(C1153,'[1]خريطة الحسابات'!_xlnm.Print_Area,4,FALSE))," ",(VLOOKUP(C1153,'[1]خريطة الحسابات'!_xlnm.Print_Area,4,FALSE)))</f>
        <v>تكاليف مشروع كناريا  273</v>
      </c>
      <c r="N1153" s="138" t="str">
        <f>IF(ISERROR(VLOOKUP(C1153,'[1]خريطة الحسابات'!_xlnm.Print_Area,5,FALSE))," ",(VLOOKUP(C1153,'[1]خريطة الحسابات'!_xlnm.Print_Area,5,FALSE)))</f>
        <v xml:space="preserve">تكاليف العمليات </v>
      </c>
      <c r="O1153" s="139" t="s">
        <v>1836</v>
      </c>
      <c r="P1153" s="139" t="s">
        <v>1405</v>
      </c>
    </row>
    <row r="1154" spans="1:16">
      <c r="A1154" s="104">
        <v>55</v>
      </c>
      <c r="B1154" s="131">
        <v>46064</v>
      </c>
      <c r="C1154" s="141" t="s">
        <v>465</v>
      </c>
      <c r="D1154" s="140" t="str">
        <f>IF(ISERROR(VLOOKUP(C1154,'[1]خريطة الحسابات'!_xlnm.Print_Area,3,FALSE))," ",(VLOOKUP(C1154,'[1]خريطة الحسابات'!_xlnm.Print_Area,3,FALSE)))</f>
        <v>خامات ومصنعية بند السباكة والصحي</v>
      </c>
      <c r="E1154" s="132"/>
      <c r="F1154" s="133">
        <v>350</v>
      </c>
      <c r="G1154" s="133"/>
      <c r="H1154" s="134">
        <f t="shared" si="52"/>
        <v>350</v>
      </c>
      <c r="I1154" s="134">
        <f t="shared" si="52"/>
        <v>0</v>
      </c>
      <c r="J1154" s="134">
        <f t="shared" si="51"/>
        <v>350</v>
      </c>
      <c r="K1154" s="135"/>
      <c r="L1154" s="136" t="str">
        <f t="shared" si="53"/>
        <v>مدين</v>
      </c>
      <c r="M1154" s="137" t="str">
        <f>IF(ISERROR(VLOOKUP(C1154,'[1]خريطة الحسابات'!_xlnm.Print_Area,4,FALSE))," ",(VLOOKUP(C1154,'[1]خريطة الحسابات'!_xlnm.Print_Area,4,FALSE)))</f>
        <v>350 تكاليف مشروع شفيق</v>
      </c>
      <c r="N1154" s="138" t="str">
        <f>IF(ISERROR(VLOOKUP(C1154,'[1]خريطة الحسابات'!_xlnm.Print_Area,5,FALSE))," ",(VLOOKUP(C1154,'[1]خريطة الحسابات'!_xlnm.Print_Area,5,FALSE)))</f>
        <v xml:space="preserve">تكاليف العمليات </v>
      </c>
      <c r="O1154" s="139" t="s">
        <v>1837</v>
      </c>
      <c r="P1154" s="139" t="s">
        <v>1325</v>
      </c>
    </row>
    <row r="1155" spans="1:16">
      <c r="A1155" s="104">
        <v>55</v>
      </c>
      <c r="B1155" s="131">
        <v>46065</v>
      </c>
      <c r="C1155" s="141" t="s">
        <v>465</v>
      </c>
      <c r="D1155" s="140" t="str">
        <f>IF(ISERROR(VLOOKUP(C1155,'[1]خريطة الحسابات'!_xlnm.Print_Area,3,FALSE))," ",(VLOOKUP(C1155,'[1]خريطة الحسابات'!_xlnm.Print_Area,3,FALSE)))</f>
        <v>خامات ومصنعية بند السباكة والصحي</v>
      </c>
      <c r="E1155" s="132"/>
      <c r="F1155" s="133">
        <v>8590</v>
      </c>
      <c r="G1155" s="133"/>
      <c r="H1155" s="134">
        <f t="shared" si="52"/>
        <v>8590</v>
      </c>
      <c r="I1155" s="134">
        <f t="shared" si="52"/>
        <v>0</v>
      </c>
      <c r="J1155" s="134">
        <f t="shared" si="51"/>
        <v>8590</v>
      </c>
      <c r="K1155" s="135"/>
      <c r="L1155" s="136" t="str">
        <f t="shared" si="53"/>
        <v>مدين</v>
      </c>
      <c r="M1155" s="137" t="str">
        <f>IF(ISERROR(VLOOKUP(C1155,'[1]خريطة الحسابات'!_xlnm.Print_Area,4,FALSE))," ",(VLOOKUP(C1155,'[1]خريطة الحسابات'!_xlnm.Print_Area,4,FALSE)))</f>
        <v>350 تكاليف مشروع شفيق</v>
      </c>
      <c r="N1155" s="138" t="str">
        <f>IF(ISERROR(VLOOKUP(C1155,'[1]خريطة الحسابات'!_xlnm.Print_Area,5,FALSE))," ",(VLOOKUP(C1155,'[1]خريطة الحسابات'!_xlnm.Print_Area,5,FALSE)))</f>
        <v xml:space="preserve">تكاليف العمليات </v>
      </c>
      <c r="O1155" s="139" t="s">
        <v>1838</v>
      </c>
      <c r="P1155" s="139" t="s">
        <v>1325</v>
      </c>
    </row>
    <row r="1156" spans="1:16">
      <c r="A1156" s="104">
        <v>55</v>
      </c>
      <c r="B1156" s="131">
        <v>46070</v>
      </c>
      <c r="C1156" s="141" t="s">
        <v>465</v>
      </c>
      <c r="D1156" s="140" t="str">
        <f>IF(ISERROR(VLOOKUP(C1156,'[1]خريطة الحسابات'!_xlnm.Print_Area,3,FALSE))," ",(VLOOKUP(C1156,'[1]خريطة الحسابات'!_xlnm.Print_Area,3,FALSE)))</f>
        <v>خامات ومصنعية بند السباكة والصحي</v>
      </c>
      <c r="E1156" s="132"/>
      <c r="F1156" s="133">
        <v>2000</v>
      </c>
      <c r="G1156" s="133"/>
      <c r="H1156" s="134">
        <f t="shared" si="52"/>
        <v>2000</v>
      </c>
      <c r="I1156" s="134">
        <f t="shared" si="52"/>
        <v>0</v>
      </c>
      <c r="J1156" s="134">
        <f t="shared" si="51"/>
        <v>2000</v>
      </c>
      <c r="K1156" s="135"/>
      <c r="L1156" s="136" t="str">
        <f t="shared" si="53"/>
        <v>مدين</v>
      </c>
      <c r="M1156" s="137" t="str">
        <f>IF(ISERROR(VLOOKUP(C1156,'[1]خريطة الحسابات'!_xlnm.Print_Area,4,FALSE))," ",(VLOOKUP(C1156,'[1]خريطة الحسابات'!_xlnm.Print_Area,4,FALSE)))</f>
        <v>350 تكاليف مشروع شفيق</v>
      </c>
      <c r="N1156" s="138" t="str">
        <f>IF(ISERROR(VLOOKUP(C1156,'[1]خريطة الحسابات'!_xlnm.Print_Area,5,FALSE))," ",(VLOOKUP(C1156,'[1]خريطة الحسابات'!_xlnm.Print_Area,5,FALSE)))</f>
        <v xml:space="preserve">تكاليف العمليات </v>
      </c>
      <c r="O1156" s="139" t="s">
        <v>1839</v>
      </c>
      <c r="P1156" s="139" t="s">
        <v>1325</v>
      </c>
    </row>
    <row r="1157" spans="1:16">
      <c r="A1157" s="104">
        <v>55</v>
      </c>
      <c r="B1157" s="131">
        <v>46084</v>
      </c>
      <c r="C1157" s="141" t="s">
        <v>465</v>
      </c>
      <c r="D1157" s="140" t="str">
        <f>IF(ISERROR(VLOOKUP(C1157,'[1]خريطة الحسابات'!_xlnm.Print_Area,3,FALSE))," ",(VLOOKUP(C1157,'[1]خريطة الحسابات'!_xlnm.Print_Area,3,FALSE)))</f>
        <v>خامات ومصنعية بند السباكة والصحي</v>
      </c>
      <c r="E1157" s="132"/>
      <c r="F1157" s="133">
        <v>450</v>
      </c>
      <c r="G1157" s="133"/>
      <c r="H1157" s="134">
        <f t="shared" si="52"/>
        <v>450</v>
      </c>
      <c r="I1157" s="134">
        <f t="shared" si="52"/>
        <v>0</v>
      </c>
      <c r="J1157" s="134">
        <f t="shared" si="51"/>
        <v>450</v>
      </c>
      <c r="K1157" s="135"/>
      <c r="L1157" s="136" t="str">
        <f t="shared" si="53"/>
        <v>مدين</v>
      </c>
      <c r="M1157" s="137" t="str">
        <f>IF(ISERROR(VLOOKUP(C1157,'[1]خريطة الحسابات'!_xlnm.Print_Area,4,FALSE))," ",(VLOOKUP(C1157,'[1]خريطة الحسابات'!_xlnm.Print_Area,4,FALSE)))</f>
        <v>350 تكاليف مشروع شفيق</v>
      </c>
      <c r="N1157" s="138" t="str">
        <f>IF(ISERROR(VLOOKUP(C1157,'[1]خريطة الحسابات'!_xlnm.Print_Area,5,FALSE))," ",(VLOOKUP(C1157,'[1]خريطة الحسابات'!_xlnm.Print_Area,5,FALSE)))</f>
        <v xml:space="preserve">تكاليف العمليات </v>
      </c>
      <c r="O1157" s="139" t="s">
        <v>1840</v>
      </c>
      <c r="P1157" s="139" t="s">
        <v>1325</v>
      </c>
    </row>
    <row r="1158" spans="1:16">
      <c r="A1158" s="104">
        <v>55</v>
      </c>
      <c r="B1158" s="131">
        <v>46120</v>
      </c>
      <c r="C1158" s="141" t="s">
        <v>360</v>
      </c>
      <c r="D1158" s="140" t="str">
        <f>IF(ISERROR(VLOOKUP(C1158,'[1]خريطة الحسابات'!_xlnm.Print_Area,3,FALSE))," ",(VLOOKUP(C1158,'[1]خريطة الحسابات'!_xlnm.Print_Area,3,FALSE)))</f>
        <v>خامات ومصنعية بند السباكة والصحي</v>
      </c>
      <c r="E1158" s="132"/>
      <c r="F1158" s="133">
        <v>525</v>
      </c>
      <c r="G1158" s="133"/>
      <c r="H1158" s="134">
        <f t="shared" si="52"/>
        <v>525</v>
      </c>
      <c r="I1158" s="134">
        <f t="shared" si="52"/>
        <v>0</v>
      </c>
      <c r="J1158" s="134">
        <f t="shared" si="51"/>
        <v>525</v>
      </c>
      <c r="K1158" s="135"/>
      <c r="L1158" s="136" t="str">
        <f t="shared" si="53"/>
        <v>مدين</v>
      </c>
      <c r="M1158" s="137" t="str">
        <f>IF(ISERROR(VLOOKUP(C1158,'[1]خريطة الحسابات'!_xlnm.Print_Area,4,FALSE))," ",(VLOOKUP(C1158,'[1]خريطة الحسابات'!_xlnm.Print_Area,4,FALSE)))</f>
        <v>318 تكاليف مشروع  المعادي ديونز</v>
      </c>
      <c r="N1158" s="138" t="str">
        <f>IF(ISERROR(VLOOKUP(C1158,'[1]خريطة الحسابات'!_xlnm.Print_Area,5,FALSE))," ",(VLOOKUP(C1158,'[1]خريطة الحسابات'!_xlnm.Print_Area,5,FALSE)))</f>
        <v xml:space="preserve">تكاليف العمليات </v>
      </c>
      <c r="O1158" s="139" t="s">
        <v>1841</v>
      </c>
      <c r="P1158" s="139" t="s">
        <v>1383</v>
      </c>
    </row>
    <row r="1159" spans="1:16">
      <c r="A1159" s="104">
        <v>55</v>
      </c>
      <c r="B1159" s="131">
        <v>46148</v>
      </c>
      <c r="C1159" s="141" t="s">
        <v>360</v>
      </c>
      <c r="D1159" s="140" t="str">
        <f>IF(ISERROR(VLOOKUP(C1159,'[1]خريطة الحسابات'!_xlnm.Print_Area,3,FALSE))," ",(VLOOKUP(C1159,'[1]خريطة الحسابات'!_xlnm.Print_Area,3,FALSE)))</f>
        <v>خامات ومصنعية بند السباكة والصحي</v>
      </c>
      <c r="E1159" s="132"/>
      <c r="F1159" s="133">
        <v>1200</v>
      </c>
      <c r="G1159" s="133"/>
      <c r="H1159" s="134">
        <f t="shared" si="52"/>
        <v>1200</v>
      </c>
      <c r="I1159" s="134">
        <f t="shared" si="52"/>
        <v>0</v>
      </c>
      <c r="J1159" s="134">
        <f t="shared" si="51"/>
        <v>1200</v>
      </c>
      <c r="K1159" s="135"/>
      <c r="L1159" s="136" t="str">
        <f t="shared" si="53"/>
        <v>مدين</v>
      </c>
      <c r="M1159" s="137" t="str">
        <f>IF(ISERROR(VLOOKUP(C1159,'[1]خريطة الحسابات'!_xlnm.Print_Area,4,FALSE))," ",(VLOOKUP(C1159,'[1]خريطة الحسابات'!_xlnm.Print_Area,4,FALSE)))</f>
        <v>318 تكاليف مشروع  المعادي ديونز</v>
      </c>
      <c r="N1159" s="138" t="str">
        <f>IF(ISERROR(VLOOKUP(C1159,'[1]خريطة الحسابات'!_xlnm.Print_Area,5,FALSE))," ",(VLOOKUP(C1159,'[1]خريطة الحسابات'!_xlnm.Print_Area,5,FALSE)))</f>
        <v xml:space="preserve">تكاليف العمليات </v>
      </c>
      <c r="O1159" s="139" t="s">
        <v>1842</v>
      </c>
      <c r="P1159" s="139" t="s">
        <v>1383</v>
      </c>
    </row>
    <row r="1160" spans="1:16">
      <c r="A1160" s="104">
        <v>55</v>
      </c>
      <c r="B1160" s="131">
        <v>46159</v>
      </c>
      <c r="C1160" s="141" t="s">
        <v>360</v>
      </c>
      <c r="D1160" s="140" t="str">
        <f>IF(ISERROR(VLOOKUP(C1160,'[1]خريطة الحسابات'!_xlnm.Print_Area,3,FALSE))," ",(VLOOKUP(C1160,'[1]خريطة الحسابات'!_xlnm.Print_Area,3,FALSE)))</f>
        <v>خامات ومصنعية بند السباكة والصحي</v>
      </c>
      <c r="E1160" s="132"/>
      <c r="F1160" s="133">
        <v>555</v>
      </c>
      <c r="G1160" s="133"/>
      <c r="H1160" s="134">
        <f t="shared" si="52"/>
        <v>555</v>
      </c>
      <c r="I1160" s="134">
        <f t="shared" si="52"/>
        <v>0</v>
      </c>
      <c r="J1160" s="134">
        <f t="shared" si="51"/>
        <v>555</v>
      </c>
      <c r="K1160" s="135"/>
      <c r="L1160" s="136" t="str">
        <f t="shared" si="53"/>
        <v>مدين</v>
      </c>
      <c r="M1160" s="137" t="str">
        <f>IF(ISERROR(VLOOKUP(C1160,'[1]خريطة الحسابات'!_xlnm.Print_Area,4,FALSE))," ",(VLOOKUP(C1160,'[1]خريطة الحسابات'!_xlnm.Print_Area,4,FALSE)))</f>
        <v>318 تكاليف مشروع  المعادي ديونز</v>
      </c>
      <c r="N1160" s="138" t="str">
        <f>IF(ISERROR(VLOOKUP(C1160,'[1]خريطة الحسابات'!_xlnm.Print_Area,5,FALSE))," ",(VLOOKUP(C1160,'[1]خريطة الحسابات'!_xlnm.Print_Area,5,FALSE)))</f>
        <v xml:space="preserve">تكاليف العمليات </v>
      </c>
      <c r="O1160" s="139" t="s">
        <v>1843</v>
      </c>
      <c r="P1160" s="139" t="s">
        <v>1383</v>
      </c>
    </row>
    <row r="1161" spans="1:16">
      <c r="A1161" s="104">
        <v>55</v>
      </c>
      <c r="B1161" s="131">
        <v>46042</v>
      </c>
      <c r="C1161" s="141" t="s">
        <v>290</v>
      </c>
      <c r="D1161" s="140" t="str">
        <f>IF(ISERROR(VLOOKUP(C1161,'[1]خريطة الحسابات'!_xlnm.Print_Area,3,FALSE))," ",(VLOOKUP(C1161,'[1]خريطة الحسابات'!_xlnm.Print_Area,3,FALSE)))</f>
        <v>خامات ومصنعية بند السباكة والصحي</v>
      </c>
      <c r="E1161" s="132"/>
      <c r="F1161" s="133">
        <v>548</v>
      </c>
      <c r="G1161" s="133"/>
      <c r="H1161" s="134">
        <f t="shared" si="52"/>
        <v>548</v>
      </c>
      <c r="I1161" s="134">
        <f t="shared" si="52"/>
        <v>0</v>
      </c>
      <c r="J1161" s="134">
        <f t="shared" si="51"/>
        <v>548</v>
      </c>
      <c r="K1161" s="135"/>
      <c r="L1161" s="136" t="str">
        <f t="shared" si="53"/>
        <v>مدين</v>
      </c>
      <c r="M1161" s="137" t="str">
        <f>IF(ISERROR(VLOOKUP(C1161,'[1]خريطة الحسابات'!_xlnm.Print_Area,4,FALSE))," ",(VLOOKUP(C1161,'[1]خريطة الحسابات'!_xlnm.Print_Area,4,FALSE)))</f>
        <v>287 تكاليف مشروع المعادي فيو</v>
      </c>
      <c r="N1161" s="138" t="str">
        <f>IF(ISERROR(VLOOKUP(C1161,'[1]خريطة الحسابات'!_xlnm.Print_Area,5,FALSE))," ",(VLOOKUP(C1161,'[1]خريطة الحسابات'!_xlnm.Print_Area,5,FALSE)))</f>
        <v xml:space="preserve">تكاليف العمليات </v>
      </c>
      <c r="O1161" s="139" t="s">
        <v>1844</v>
      </c>
      <c r="P1161" s="139" t="s">
        <v>1415</v>
      </c>
    </row>
    <row r="1162" spans="1:16">
      <c r="A1162" s="104">
        <v>55</v>
      </c>
      <c r="B1162" s="131">
        <v>46121</v>
      </c>
      <c r="C1162" s="141" t="s">
        <v>675</v>
      </c>
      <c r="D1162" s="140" t="str">
        <f>IF(ISERROR(VLOOKUP(C1162,'[1]خريطة الحسابات'!_xlnm.Print_Area,3,FALSE))," ",(VLOOKUP(C1162,'[1]خريطة الحسابات'!_xlnm.Print_Area,3,FALSE)))</f>
        <v>خامات ومصنعية بند السباكة والصحي</v>
      </c>
      <c r="E1162" s="132"/>
      <c r="F1162" s="133">
        <v>870</v>
      </c>
      <c r="G1162" s="133"/>
      <c r="H1162" s="134">
        <f t="shared" si="52"/>
        <v>870</v>
      </c>
      <c r="I1162" s="134">
        <f t="shared" si="52"/>
        <v>0</v>
      </c>
      <c r="J1162" s="134">
        <f t="shared" si="51"/>
        <v>870</v>
      </c>
      <c r="K1162" s="135"/>
      <c r="L1162" s="136" t="str">
        <f t="shared" si="53"/>
        <v>مدين</v>
      </c>
      <c r="M1162" s="137" t="str">
        <f>IF(ISERROR(VLOOKUP(C1162,'[1]خريطة الحسابات'!_xlnm.Print_Area,4,FALSE))," ",(VLOOKUP(C1162,'[1]خريطة الحسابات'!_xlnm.Print_Area,4,FALSE)))</f>
        <v>تكاليف مشروع هاني العبور 365</v>
      </c>
      <c r="N1162" s="138" t="str">
        <f>IF(ISERROR(VLOOKUP(C1162,'[1]خريطة الحسابات'!_xlnm.Print_Area,5,FALSE))," ",(VLOOKUP(C1162,'[1]خريطة الحسابات'!_xlnm.Print_Area,5,FALSE)))</f>
        <v xml:space="preserve">تكاليف العمليات </v>
      </c>
      <c r="O1162" s="139" t="s">
        <v>1845</v>
      </c>
      <c r="P1162" s="139" t="s">
        <v>1317</v>
      </c>
    </row>
    <row r="1163" spans="1:16">
      <c r="A1163" s="104">
        <v>55</v>
      </c>
      <c r="B1163" s="131">
        <v>46133</v>
      </c>
      <c r="C1163" s="141" t="s">
        <v>675</v>
      </c>
      <c r="D1163" s="140" t="str">
        <f>IF(ISERROR(VLOOKUP(C1163,'[1]خريطة الحسابات'!_xlnm.Print_Area,3,FALSE))," ",(VLOOKUP(C1163,'[1]خريطة الحسابات'!_xlnm.Print_Area,3,FALSE)))</f>
        <v>خامات ومصنعية بند السباكة والصحي</v>
      </c>
      <c r="E1163" s="132"/>
      <c r="F1163" s="133">
        <v>149850</v>
      </c>
      <c r="G1163" s="133"/>
      <c r="H1163" s="134">
        <f t="shared" si="52"/>
        <v>149850</v>
      </c>
      <c r="I1163" s="134">
        <f t="shared" si="52"/>
        <v>0</v>
      </c>
      <c r="J1163" s="134">
        <f t="shared" si="51"/>
        <v>149850</v>
      </c>
      <c r="K1163" s="135"/>
      <c r="L1163" s="136" t="str">
        <f t="shared" si="53"/>
        <v>مدين</v>
      </c>
      <c r="M1163" s="137" t="str">
        <f>IF(ISERROR(VLOOKUP(C1163,'[1]خريطة الحسابات'!_xlnm.Print_Area,4,FALSE))," ",(VLOOKUP(C1163,'[1]خريطة الحسابات'!_xlnm.Print_Area,4,FALSE)))</f>
        <v>تكاليف مشروع هاني العبور 365</v>
      </c>
      <c r="N1163" s="138" t="str">
        <f>IF(ISERROR(VLOOKUP(C1163,'[1]خريطة الحسابات'!_xlnm.Print_Area,5,FALSE))," ",(VLOOKUP(C1163,'[1]خريطة الحسابات'!_xlnm.Print_Area,5,FALSE)))</f>
        <v xml:space="preserve">تكاليف العمليات </v>
      </c>
      <c r="O1163" s="139" t="s">
        <v>1799</v>
      </c>
      <c r="P1163" s="139" t="s">
        <v>1317</v>
      </c>
    </row>
    <row r="1164" spans="1:16">
      <c r="A1164" s="104">
        <v>55</v>
      </c>
      <c r="B1164" s="131">
        <v>46184</v>
      </c>
      <c r="C1164" s="141" t="s">
        <v>675</v>
      </c>
      <c r="D1164" s="140" t="str">
        <f>IF(ISERROR(VLOOKUP(C1164,'[1]خريطة الحسابات'!_xlnm.Print_Area,3,FALSE))," ",(VLOOKUP(C1164,'[1]خريطة الحسابات'!_xlnm.Print_Area,3,FALSE)))</f>
        <v>خامات ومصنعية بند السباكة والصحي</v>
      </c>
      <c r="E1164" s="132"/>
      <c r="F1164" s="133">
        <v>15085</v>
      </c>
      <c r="G1164" s="133"/>
      <c r="H1164" s="134">
        <f t="shared" si="52"/>
        <v>15085</v>
      </c>
      <c r="I1164" s="134">
        <f t="shared" si="52"/>
        <v>0</v>
      </c>
      <c r="J1164" s="134">
        <f t="shared" si="51"/>
        <v>15085</v>
      </c>
      <c r="K1164" s="135"/>
      <c r="L1164" s="136" t="str">
        <f t="shared" si="53"/>
        <v>مدين</v>
      </c>
      <c r="M1164" s="137" t="str">
        <f>IF(ISERROR(VLOOKUP(C1164,'[1]خريطة الحسابات'!_xlnm.Print_Area,4,FALSE))," ",(VLOOKUP(C1164,'[1]خريطة الحسابات'!_xlnm.Print_Area,4,FALSE)))</f>
        <v>تكاليف مشروع هاني العبور 365</v>
      </c>
      <c r="N1164" s="138" t="str">
        <f>IF(ISERROR(VLOOKUP(C1164,'[1]خريطة الحسابات'!_xlnm.Print_Area,5,FALSE))," ",(VLOOKUP(C1164,'[1]خريطة الحسابات'!_xlnm.Print_Area,5,FALSE)))</f>
        <v xml:space="preserve">تكاليف العمليات </v>
      </c>
      <c r="O1164" s="139" t="s">
        <v>1846</v>
      </c>
      <c r="P1164" s="139" t="s">
        <v>1317</v>
      </c>
    </row>
    <row r="1165" spans="1:16">
      <c r="A1165" s="104">
        <v>55</v>
      </c>
      <c r="B1165" s="131">
        <v>46187</v>
      </c>
      <c r="C1165" s="141" t="s">
        <v>675</v>
      </c>
      <c r="D1165" s="140" t="str">
        <f>IF(ISERROR(VLOOKUP(C1165,'[1]خريطة الحسابات'!_xlnm.Print_Area,3,FALSE))," ",(VLOOKUP(C1165,'[1]خريطة الحسابات'!_xlnm.Print_Area,3,FALSE)))</f>
        <v>خامات ومصنعية بند السباكة والصحي</v>
      </c>
      <c r="E1165" s="132"/>
      <c r="F1165" s="133">
        <v>5105</v>
      </c>
      <c r="G1165" s="133"/>
      <c r="H1165" s="134">
        <f t="shared" si="52"/>
        <v>5105</v>
      </c>
      <c r="I1165" s="134">
        <f t="shared" si="52"/>
        <v>0</v>
      </c>
      <c r="J1165" s="134">
        <f t="shared" si="51"/>
        <v>5105</v>
      </c>
      <c r="K1165" s="135"/>
      <c r="L1165" s="136" t="str">
        <f t="shared" si="53"/>
        <v>مدين</v>
      </c>
      <c r="M1165" s="137" t="str">
        <f>IF(ISERROR(VLOOKUP(C1165,'[1]خريطة الحسابات'!_xlnm.Print_Area,4,FALSE))," ",(VLOOKUP(C1165,'[1]خريطة الحسابات'!_xlnm.Print_Area,4,FALSE)))</f>
        <v>تكاليف مشروع هاني العبور 365</v>
      </c>
      <c r="N1165" s="138" t="str">
        <f>IF(ISERROR(VLOOKUP(C1165,'[1]خريطة الحسابات'!_xlnm.Print_Area,5,FALSE))," ",(VLOOKUP(C1165,'[1]خريطة الحسابات'!_xlnm.Print_Area,5,FALSE)))</f>
        <v xml:space="preserve">تكاليف العمليات </v>
      </c>
      <c r="O1165" s="139" t="s">
        <v>1847</v>
      </c>
      <c r="P1165" s="139" t="s">
        <v>1317</v>
      </c>
    </row>
    <row r="1166" spans="1:16">
      <c r="A1166" s="104">
        <v>55</v>
      </c>
      <c r="B1166" s="131">
        <v>46146</v>
      </c>
      <c r="C1166" s="141" t="s">
        <v>500</v>
      </c>
      <c r="D1166" s="140" t="str">
        <f>IF(ISERROR(VLOOKUP(C1166,'[1]خريطة الحسابات'!_xlnm.Print_Area,3,FALSE))," ",(VLOOKUP(C1166,'[1]خريطة الحسابات'!_xlnm.Print_Area,3,FALSE)))</f>
        <v>خامات ومصنعية بند السباكة والصحي</v>
      </c>
      <c r="E1166" s="132"/>
      <c r="F1166" s="133">
        <v>2002</v>
      </c>
      <c r="G1166" s="133"/>
      <c r="H1166" s="134">
        <f t="shared" si="52"/>
        <v>2002</v>
      </c>
      <c r="I1166" s="134">
        <f t="shared" si="52"/>
        <v>0</v>
      </c>
      <c r="J1166" s="134">
        <f t="shared" si="51"/>
        <v>2002</v>
      </c>
      <c r="K1166" s="135"/>
      <c r="L1166" s="136" t="str">
        <f t="shared" si="53"/>
        <v>مدين</v>
      </c>
      <c r="M1166" s="137" t="str">
        <f>IF(ISERROR(VLOOKUP(C1166,'[1]خريطة الحسابات'!_xlnm.Print_Area,4,FALSE))," ",(VLOOKUP(C1166,'[1]خريطة الحسابات'!_xlnm.Print_Area,4,FALSE)))</f>
        <v>تكاليف مشروع ياسر القرنفل 354</v>
      </c>
      <c r="N1166" s="138" t="str">
        <f>IF(ISERROR(VLOOKUP(C1166,'[1]خريطة الحسابات'!_xlnm.Print_Area,5,FALSE))," ",(VLOOKUP(C1166,'[1]خريطة الحسابات'!_xlnm.Print_Area,5,FALSE)))</f>
        <v xml:space="preserve">تكاليف العمليات </v>
      </c>
      <c r="O1166" s="139" t="s">
        <v>1848</v>
      </c>
      <c r="P1166" s="139" t="s">
        <v>1393</v>
      </c>
    </row>
    <row r="1167" spans="1:16">
      <c r="A1167" s="104">
        <v>55</v>
      </c>
      <c r="B1167" s="131">
        <v>46184</v>
      </c>
      <c r="C1167" s="141" t="s">
        <v>500</v>
      </c>
      <c r="D1167" s="140" t="str">
        <f>IF(ISERROR(VLOOKUP(C1167,'[1]خريطة الحسابات'!_xlnm.Print_Area,3,FALSE))," ",(VLOOKUP(C1167,'[1]خريطة الحسابات'!_xlnm.Print_Area,3,FALSE)))</f>
        <v>خامات ومصنعية بند السباكة والصحي</v>
      </c>
      <c r="E1167" s="132"/>
      <c r="F1167" s="133">
        <v>2711</v>
      </c>
      <c r="G1167" s="133"/>
      <c r="H1167" s="134">
        <f t="shared" si="52"/>
        <v>2711</v>
      </c>
      <c r="I1167" s="134">
        <f t="shared" si="52"/>
        <v>0</v>
      </c>
      <c r="J1167" s="134">
        <f t="shared" si="51"/>
        <v>2711</v>
      </c>
      <c r="K1167" s="135"/>
      <c r="L1167" s="136" t="str">
        <f t="shared" si="53"/>
        <v>مدين</v>
      </c>
      <c r="M1167" s="137" t="str">
        <f>IF(ISERROR(VLOOKUP(C1167,'[1]خريطة الحسابات'!_xlnm.Print_Area,4,FALSE))," ",(VLOOKUP(C1167,'[1]خريطة الحسابات'!_xlnm.Print_Area,4,FALSE)))</f>
        <v>تكاليف مشروع ياسر القرنفل 354</v>
      </c>
      <c r="N1167" s="138" t="str">
        <f>IF(ISERROR(VLOOKUP(C1167,'[1]خريطة الحسابات'!_xlnm.Print_Area,5,FALSE))," ",(VLOOKUP(C1167,'[1]خريطة الحسابات'!_xlnm.Print_Area,5,FALSE)))</f>
        <v xml:space="preserve">تكاليف العمليات </v>
      </c>
      <c r="O1167" s="139" t="s">
        <v>1849</v>
      </c>
      <c r="P1167" s="139" t="s">
        <v>1393</v>
      </c>
    </row>
    <row r="1168" spans="1:16">
      <c r="A1168" s="104">
        <v>55</v>
      </c>
      <c r="B1168" s="131">
        <v>46133</v>
      </c>
      <c r="C1168" s="141">
        <v>20</v>
      </c>
      <c r="D1168" s="140" t="str">
        <f>IF(ISERROR(VLOOKUP(C1168,'[1]خريطة الحسابات'!_xlnm.Print_Area,3,FALSE))," ",(VLOOKUP(C1168,'[1]خريطة الحسابات'!_xlnm.Print_Area,3,FALSE)))</f>
        <v xml:space="preserve">الخزينة </v>
      </c>
      <c r="E1168" s="132"/>
      <c r="F1168" s="133"/>
      <c r="G1168" s="133">
        <v>38375</v>
      </c>
      <c r="H1168" s="134">
        <f t="shared" si="52"/>
        <v>0</v>
      </c>
      <c r="I1168" s="134">
        <f t="shared" si="52"/>
        <v>38375</v>
      </c>
      <c r="J1168" s="134">
        <f t="shared" si="51"/>
        <v>-38375</v>
      </c>
      <c r="K1168" s="135"/>
      <c r="L1168" s="136" t="str">
        <f t="shared" si="53"/>
        <v>دائن</v>
      </c>
      <c r="M1168" s="137" t="str">
        <f>IF(ISERROR(VLOOKUP(C1168,'[1]خريطة الحسابات'!_xlnm.Print_Area,4,FALSE))," ",(VLOOKUP(C1168,'[1]خريطة الحسابات'!_xlnm.Print_Area,4,FALSE)))</f>
        <v xml:space="preserve">أصول متداوله -النقدية ومافي حكمها </v>
      </c>
      <c r="N1168" s="138" t="str">
        <f>IF(ISERROR(VLOOKUP(C1168,'[1]خريطة الحسابات'!_xlnm.Print_Area,5,FALSE))," ",(VLOOKUP(C1168,'[1]خريطة الحسابات'!_xlnm.Print_Area,5,FALSE)))</f>
        <v>الاصول</v>
      </c>
      <c r="O1168" s="139" t="s">
        <v>1799</v>
      </c>
      <c r="P1168" s="139" t="s">
        <v>1345</v>
      </c>
    </row>
    <row r="1169" spans="1:16">
      <c r="A1169" s="104">
        <v>55</v>
      </c>
      <c r="B1169" s="131">
        <v>46151</v>
      </c>
      <c r="C1169" s="141">
        <v>20</v>
      </c>
      <c r="D1169" s="140" t="str">
        <f>IF(ISERROR(VLOOKUP(C1169,'[1]خريطة الحسابات'!_xlnm.Print_Area,3,FALSE))," ",(VLOOKUP(C1169,'[1]خريطة الحسابات'!_xlnm.Print_Area,3,FALSE)))</f>
        <v xml:space="preserve">الخزينة </v>
      </c>
      <c r="E1169" s="132"/>
      <c r="F1169" s="133"/>
      <c r="G1169" s="133">
        <v>250</v>
      </c>
      <c r="H1169" s="134">
        <f t="shared" si="52"/>
        <v>0</v>
      </c>
      <c r="I1169" s="134">
        <f t="shared" si="52"/>
        <v>250</v>
      </c>
      <c r="J1169" s="134">
        <f t="shared" si="51"/>
        <v>-250</v>
      </c>
      <c r="K1169" s="135"/>
      <c r="L1169" s="136" t="str">
        <f t="shared" si="53"/>
        <v>دائن</v>
      </c>
      <c r="M1169" s="137" t="str">
        <f>IF(ISERROR(VLOOKUP(C1169,'[1]خريطة الحسابات'!_xlnm.Print_Area,4,FALSE))," ",(VLOOKUP(C1169,'[1]خريطة الحسابات'!_xlnm.Print_Area,4,FALSE)))</f>
        <v xml:space="preserve">أصول متداوله -النقدية ومافي حكمها </v>
      </c>
      <c r="N1169" s="138" t="str">
        <f>IF(ISERROR(VLOOKUP(C1169,'[1]خريطة الحسابات'!_xlnm.Print_Area,5,FALSE))," ",(VLOOKUP(C1169,'[1]خريطة الحسابات'!_xlnm.Print_Area,5,FALSE)))</f>
        <v>الاصول</v>
      </c>
      <c r="O1169" s="139" t="s">
        <v>1800</v>
      </c>
      <c r="P1169" s="139" t="s">
        <v>1345</v>
      </c>
    </row>
    <row r="1170" spans="1:16">
      <c r="A1170" s="104">
        <v>55</v>
      </c>
      <c r="B1170" s="131">
        <v>46159</v>
      </c>
      <c r="C1170" s="141">
        <v>20</v>
      </c>
      <c r="D1170" s="140" t="str">
        <f>IF(ISERROR(VLOOKUP(C1170,'[1]خريطة الحسابات'!_xlnm.Print_Area,3,FALSE))," ",(VLOOKUP(C1170,'[1]خريطة الحسابات'!_xlnm.Print_Area,3,FALSE)))</f>
        <v xml:space="preserve">الخزينة </v>
      </c>
      <c r="E1170" s="132"/>
      <c r="F1170" s="133"/>
      <c r="G1170" s="133">
        <v>1100</v>
      </c>
      <c r="H1170" s="134">
        <f t="shared" si="52"/>
        <v>0</v>
      </c>
      <c r="I1170" s="134">
        <f t="shared" si="52"/>
        <v>1100</v>
      </c>
      <c r="J1170" s="134">
        <f t="shared" si="51"/>
        <v>-1100</v>
      </c>
      <c r="K1170" s="135"/>
      <c r="L1170" s="136" t="str">
        <f t="shared" si="53"/>
        <v>دائن</v>
      </c>
      <c r="M1170" s="137" t="str">
        <f>IF(ISERROR(VLOOKUP(C1170,'[1]خريطة الحسابات'!_xlnm.Print_Area,4,FALSE))," ",(VLOOKUP(C1170,'[1]خريطة الحسابات'!_xlnm.Print_Area,4,FALSE)))</f>
        <v xml:space="preserve">أصول متداوله -النقدية ومافي حكمها </v>
      </c>
      <c r="N1170" s="138" t="str">
        <f>IF(ISERROR(VLOOKUP(C1170,'[1]خريطة الحسابات'!_xlnm.Print_Area,5,FALSE))," ",(VLOOKUP(C1170,'[1]خريطة الحسابات'!_xlnm.Print_Area,5,FALSE)))</f>
        <v>الاصول</v>
      </c>
      <c r="O1170" s="139" t="s">
        <v>1801</v>
      </c>
      <c r="P1170" s="139" t="s">
        <v>1345</v>
      </c>
    </row>
    <row r="1171" spans="1:16">
      <c r="A1171" s="104">
        <v>55</v>
      </c>
      <c r="B1171" s="131">
        <v>46065</v>
      </c>
      <c r="C1171" s="141">
        <v>20</v>
      </c>
      <c r="D1171" s="140" t="str">
        <f>IF(ISERROR(VLOOKUP(C1171,'[1]خريطة الحسابات'!_xlnm.Print_Area,3,FALSE))," ",(VLOOKUP(C1171,'[1]خريطة الحسابات'!_xlnm.Print_Area,3,FALSE)))</f>
        <v xml:space="preserve">الخزينة </v>
      </c>
      <c r="E1171" s="132"/>
      <c r="F1171" s="133"/>
      <c r="G1171" s="133">
        <v>3900</v>
      </c>
      <c r="H1171" s="134">
        <f t="shared" si="52"/>
        <v>0</v>
      </c>
      <c r="I1171" s="134">
        <f t="shared" si="52"/>
        <v>3900</v>
      </c>
      <c r="J1171" s="134">
        <f t="shared" si="51"/>
        <v>-3900</v>
      </c>
      <c r="K1171" s="135"/>
      <c r="L1171" s="136" t="str">
        <f t="shared" si="53"/>
        <v>دائن</v>
      </c>
      <c r="M1171" s="137" t="str">
        <f>IF(ISERROR(VLOOKUP(C1171,'[1]خريطة الحسابات'!_xlnm.Print_Area,4,FALSE))," ",(VLOOKUP(C1171,'[1]خريطة الحسابات'!_xlnm.Print_Area,4,FALSE)))</f>
        <v xml:space="preserve">أصول متداوله -النقدية ومافي حكمها </v>
      </c>
      <c r="N1171" s="138" t="str">
        <f>IF(ISERROR(VLOOKUP(C1171,'[1]خريطة الحسابات'!_xlnm.Print_Area,5,FALSE))," ",(VLOOKUP(C1171,'[1]خريطة الحسابات'!_xlnm.Print_Area,5,FALSE)))</f>
        <v>الاصول</v>
      </c>
      <c r="O1171" s="139" t="s">
        <v>1802</v>
      </c>
      <c r="P1171" s="139" t="s">
        <v>1340</v>
      </c>
    </row>
    <row r="1172" spans="1:16">
      <c r="A1172" s="104">
        <v>55</v>
      </c>
      <c r="B1172" s="131">
        <v>46037</v>
      </c>
      <c r="C1172" s="141">
        <v>20</v>
      </c>
      <c r="D1172" s="140" t="str">
        <f>IF(ISERROR(VLOOKUP(C1172,'[1]خريطة الحسابات'!_xlnm.Print_Area,3,FALSE))," ",(VLOOKUP(C1172,'[1]خريطة الحسابات'!_xlnm.Print_Area,3,FALSE)))</f>
        <v xml:space="preserve">الخزينة </v>
      </c>
      <c r="E1172" s="132"/>
      <c r="F1172" s="133"/>
      <c r="G1172" s="133">
        <v>7720</v>
      </c>
      <c r="H1172" s="134">
        <f t="shared" si="52"/>
        <v>0</v>
      </c>
      <c r="I1172" s="134">
        <f t="shared" si="52"/>
        <v>7720</v>
      </c>
      <c r="J1172" s="134">
        <f t="shared" si="51"/>
        <v>-7720</v>
      </c>
      <c r="K1172" s="135"/>
      <c r="L1172" s="136" t="str">
        <f t="shared" si="53"/>
        <v>دائن</v>
      </c>
      <c r="M1172" s="137" t="str">
        <f>IF(ISERROR(VLOOKUP(C1172,'[1]خريطة الحسابات'!_xlnm.Print_Area,4,FALSE))," ",(VLOOKUP(C1172,'[1]خريطة الحسابات'!_xlnm.Print_Area,4,FALSE)))</f>
        <v xml:space="preserve">أصول متداوله -النقدية ومافي حكمها </v>
      </c>
      <c r="N1172" s="138" t="str">
        <f>IF(ISERROR(VLOOKUP(C1172,'[1]خريطة الحسابات'!_xlnm.Print_Area,5,FALSE))," ",(VLOOKUP(C1172,'[1]خريطة الحسابات'!_xlnm.Print_Area,5,FALSE)))</f>
        <v>الاصول</v>
      </c>
      <c r="O1172" s="139" t="s">
        <v>1803</v>
      </c>
      <c r="P1172" s="139" t="s">
        <v>1299</v>
      </c>
    </row>
    <row r="1173" spans="1:16">
      <c r="A1173" s="104">
        <v>55</v>
      </c>
      <c r="B1173" s="131">
        <v>46063</v>
      </c>
      <c r="C1173" s="141">
        <v>20</v>
      </c>
      <c r="D1173" s="140" t="str">
        <f>IF(ISERROR(VLOOKUP(C1173,'[1]خريطة الحسابات'!_xlnm.Print_Area,3,FALSE))," ",(VLOOKUP(C1173,'[1]خريطة الحسابات'!_xlnm.Print_Area,3,FALSE)))</f>
        <v xml:space="preserve">الخزينة </v>
      </c>
      <c r="E1173" s="132"/>
      <c r="F1173" s="133"/>
      <c r="G1173" s="133">
        <v>800</v>
      </c>
      <c r="H1173" s="134">
        <f t="shared" si="52"/>
        <v>0</v>
      </c>
      <c r="I1173" s="134">
        <f t="shared" si="52"/>
        <v>800</v>
      </c>
      <c r="J1173" s="134">
        <f t="shared" si="51"/>
        <v>-800</v>
      </c>
      <c r="K1173" s="135"/>
      <c r="L1173" s="136" t="str">
        <f t="shared" si="53"/>
        <v>دائن</v>
      </c>
      <c r="M1173" s="137" t="str">
        <f>IF(ISERROR(VLOOKUP(C1173,'[1]خريطة الحسابات'!_xlnm.Print_Area,4,FALSE))," ",(VLOOKUP(C1173,'[1]خريطة الحسابات'!_xlnm.Print_Area,4,FALSE)))</f>
        <v xml:space="preserve">أصول متداوله -النقدية ومافي حكمها </v>
      </c>
      <c r="N1173" s="138" t="str">
        <f>IF(ISERROR(VLOOKUP(C1173,'[1]خريطة الحسابات'!_xlnm.Print_Area,5,FALSE))," ",(VLOOKUP(C1173,'[1]خريطة الحسابات'!_xlnm.Print_Area,5,FALSE)))</f>
        <v>الاصول</v>
      </c>
      <c r="O1173" s="139" t="s">
        <v>1804</v>
      </c>
      <c r="P1173" s="139" t="s">
        <v>1299</v>
      </c>
    </row>
    <row r="1174" spans="1:16">
      <c r="A1174" s="104">
        <v>55</v>
      </c>
      <c r="B1174" s="131">
        <v>46063</v>
      </c>
      <c r="C1174" s="141">
        <v>20</v>
      </c>
      <c r="D1174" s="140" t="str">
        <f>IF(ISERROR(VLOOKUP(C1174,'[1]خريطة الحسابات'!_xlnm.Print_Area,3,FALSE))," ",(VLOOKUP(C1174,'[1]خريطة الحسابات'!_xlnm.Print_Area,3,FALSE)))</f>
        <v xml:space="preserve">الخزينة </v>
      </c>
      <c r="E1174" s="132"/>
      <c r="F1174" s="133"/>
      <c r="G1174" s="133">
        <v>520</v>
      </c>
      <c r="H1174" s="134">
        <f t="shared" si="52"/>
        <v>0</v>
      </c>
      <c r="I1174" s="134">
        <f t="shared" si="52"/>
        <v>520</v>
      </c>
      <c r="J1174" s="134">
        <f t="shared" si="51"/>
        <v>-520</v>
      </c>
      <c r="K1174" s="135"/>
      <c r="L1174" s="136" t="str">
        <f t="shared" si="53"/>
        <v>دائن</v>
      </c>
      <c r="M1174" s="137" t="str">
        <f>IF(ISERROR(VLOOKUP(C1174,'[1]خريطة الحسابات'!_xlnm.Print_Area,4,FALSE))," ",(VLOOKUP(C1174,'[1]خريطة الحسابات'!_xlnm.Print_Area,4,FALSE)))</f>
        <v xml:space="preserve">أصول متداوله -النقدية ومافي حكمها </v>
      </c>
      <c r="N1174" s="138" t="str">
        <f>IF(ISERROR(VLOOKUP(C1174,'[1]خريطة الحسابات'!_xlnm.Print_Area,5,FALSE))," ",(VLOOKUP(C1174,'[1]خريطة الحسابات'!_xlnm.Print_Area,5,FALSE)))</f>
        <v>الاصول</v>
      </c>
      <c r="O1174" s="139" t="s">
        <v>1805</v>
      </c>
      <c r="P1174" s="139" t="s">
        <v>1299</v>
      </c>
    </row>
    <row r="1175" spans="1:16">
      <c r="A1175" s="104">
        <v>55</v>
      </c>
      <c r="B1175" s="131">
        <v>46077</v>
      </c>
      <c r="C1175" s="141">
        <v>20</v>
      </c>
      <c r="D1175" s="140" t="str">
        <f>IF(ISERROR(VLOOKUP(C1175,'[1]خريطة الحسابات'!_xlnm.Print_Area,3,FALSE))," ",(VLOOKUP(C1175,'[1]خريطة الحسابات'!_xlnm.Print_Area,3,FALSE)))</f>
        <v xml:space="preserve">الخزينة </v>
      </c>
      <c r="E1175" s="132"/>
      <c r="F1175" s="133"/>
      <c r="G1175" s="133">
        <v>700</v>
      </c>
      <c r="H1175" s="134">
        <f t="shared" si="52"/>
        <v>0</v>
      </c>
      <c r="I1175" s="134">
        <f t="shared" si="52"/>
        <v>700</v>
      </c>
      <c r="J1175" s="134">
        <f t="shared" si="51"/>
        <v>-700</v>
      </c>
      <c r="K1175" s="135"/>
      <c r="L1175" s="136" t="str">
        <f t="shared" si="53"/>
        <v>دائن</v>
      </c>
      <c r="M1175" s="137" t="str">
        <f>IF(ISERROR(VLOOKUP(C1175,'[1]خريطة الحسابات'!_xlnm.Print_Area,4,FALSE))," ",(VLOOKUP(C1175,'[1]خريطة الحسابات'!_xlnm.Print_Area,4,FALSE)))</f>
        <v xml:space="preserve">أصول متداوله -النقدية ومافي حكمها </v>
      </c>
      <c r="N1175" s="138" t="str">
        <f>IF(ISERROR(VLOOKUP(C1175,'[1]خريطة الحسابات'!_xlnm.Print_Area,5,FALSE))," ",(VLOOKUP(C1175,'[1]خريطة الحسابات'!_xlnm.Print_Area,5,FALSE)))</f>
        <v>الاصول</v>
      </c>
      <c r="O1175" s="139" t="s">
        <v>1806</v>
      </c>
      <c r="P1175" s="139" t="s">
        <v>1299</v>
      </c>
    </row>
    <row r="1176" spans="1:16">
      <c r="A1176" s="104">
        <v>55</v>
      </c>
      <c r="B1176" s="131">
        <v>46029</v>
      </c>
      <c r="C1176" s="141">
        <v>20</v>
      </c>
      <c r="D1176" s="140" t="str">
        <f>IF(ISERROR(VLOOKUP(C1176,'[1]خريطة الحسابات'!_xlnm.Print_Area,3,FALSE))," ",(VLOOKUP(C1176,'[1]خريطة الحسابات'!_xlnm.Print_Area,3,FALSE)))</f>
        <v xml:space="preserve">الخزينة </v>
      </c>
      <c r="E1176" s="132"/>
      <c r="F1176" s="133"/>
      <c r="G1176" s="133">
        <v>593</v>
      </c>
      <c r="H1176" s="134">
        <f t="shared" si="52"/>
        <v>0</v>
      </c>
      <c r="I1176" s="134">
        <f t="shared" si="52"/>
        <v>593</v>
      </c>
      <c r="J1176" s="134">
        <f t="shared" ref="J1176:J1239" si="54">H1176-I1176</f>
        <v>-593</v>
      </c>
      <c r="K1176" s="135"/>
      <c r="L1176" s="136" t="str">
        <f t="shared" si="53"/>
        <v>دائن</v>
      </c>
      <c r="M1176" s="137" t="str">
        <f>IF(ISERROR(VLOOKUP(C1176,'[1]خريطة الحسابات'!_xlnm.Print_Area,4,FALSE))," ",(VLOOKUP(C1176,'[1]خريطة الحسابات'!_xlnm.Print_Area,4,FALSE)))</f>
        <v xml:space="preserve">أصول متداوله -النقدية ومافي حكمها </v>
      </c>
      <c r="N1176" s="138" t="str">
        <f>IF(ISERROR(VLOOKUP(C1176,'[1]خريطة الحسابات'!_xlnm.Print_Area,5,FALSE))," ",(VLOOKUP(C1176,'[1]خريطة الحسابات'!_xlnm.Print_Area,5,FALSE)))</f>
        <v>الاصول</v>
      </c>
      <c r="O1176" s="139" t="s">
        <v>1807</v>
      </c>
      <c r="P1176" s="139" t="s">
        <v>1304</v>
      </c>
    </row>
    <row r="1177" spans="1:16">
      <c r="A1177" s="104">
        <v>55</v>
      </c>
      <c r="B1177" s="131">
        <v>46039</v>
      </c>
      <c r="C1177" s="141">
        <v>20</v>
      </c>
      <c r="D1177" s="140" t="str">
        <f>IF(ISERROR(VLOOKUP(C1177,'[1]خريطة الحسابات'!_xlnm.Print_Area,3,FALSE))," ",(VLOOKUP(C1177,'[1]خريطة الحسابات'!_xlnm.Print_Area,3,FALSE)))</f>
        <v xml:space="preserve">الخزينة </v>
      </c>
      <c r="E1177" s="132"/>
      <c r="F1177" s="133"/>
      <c r="G1177" s="133">
        <v>385</v>
      </c>
      <c r="H1177" s="134">
        <f t="shared" ref="H1177:I1240" si="55">IF($E1177=2,F1177*3.465,F1177)</f>
        <v>0</v>
      </c>
      <c r="I1177" s="134">
        <f t="shared" si="55"/>
        <v>385</v>
      </c>
      <c r="J1177" s="134">
        <f t="shared" si="54"/>
        <v>-385</v>
      </c>
      <c r="K1177" s="135"/>
      <c r="L1177" s="136" t="str">
        <f t="shared" si="53"/>
        <v>دائن</v>
      </c>
      <c r="M1177" s="137" t="str">
        <f>IF(ISERROR(VLOOKUP(C1177,'[1]خريطة الحسابات'!_xlnm.Print_Area,4,FALSE))," ",(VLOOKUP(C1177,'[1]خريطة الحسابات'!_xlnm.Print_Area,4,FALSE)))</f>
        <v xml:space="preserve">أصول متداوله -النقدية ومافي حكمها </v>
      </c>
      <c r="N1177" s="138" t="str">
        <f>IF(ISERROR(VLOOKUP(C1177,'[1]خريطة الحسابات'!_xlnm.Print_Area,5,FALSE))," ",(VLOOKUP(C1177,'[1]خريطة الحسابات'!_xlnm.Print_Area,5,FALSE)))</f>
        <v>الاصول</v>
      </c>
      <c r="O1177" s="139" t="s">
        <v>1808</v>
      </c>
      <c r="P1177" s="139" t="s">
        <v>1304</v>
      </c>
    </row>
    <row r="1178" spans="1:16">
      <c r="A1178" s="104">
        <v>55</v>
      </c>
      <c r="B1178" s="131">
        <v>46043</v>
      </c>
      <c r="C1178" s="141">
        <v>20</v>
      </c>
      <c r="D1178" s="140" t="str">
        <f>IF(ISERROR(VLOOKUP(C1178,'[1]خريطة الحسابات'!_xlnm.Print_Area,3,FALSE))," ",(VLOOKUP(C1178,'[1]خريطة الحسابات'!_xlnm.Print_Area,3,FALSE)))</f>
        <v xml:space="preserve">الخزينة </v>
      </c>
      <c r="E1178" s="132"/>
      <c r="F1178" s="133"/>
      <c r="G1178" s="133">
        <v>700</v>
      </c>
      <c r="H1178" s="134">
        <f t="shared" si="55"/>
        <v>0</v>
      </c>
      <c r="I1178" s="134">
        <f t="shared" si="55"/>
        <v>700</v>
      </c>
      <c r="J1178" s="134">
        <f t="shared" si="54"/>
        <v>-700</v>
      </c>
      <c r="K1178" s="135"/>
      <c r="L1178" s="136" t="str">
        <f t="shared" si="53"/>
        <v>دائن</v>
      </c>
      <c r="M1178" s="137" t="str">
        <f>IF(ISERROR(VLOOKUP(C1178,'[1]خريطة الحسابات'!_xlnm.Print_Area,4,FALSE))," ",(VLOOKUP(C1178,'[1]خريطة الحسابات'!_xlnm.Print_Area,4,FALSE)))</f>
        <v xml:space="preserve">أصول متداوله -النقدية ومافي حكمها </v>
      </c>
      <c r="N1178" s="138" t="str">
        <f>IF(ISERROR(VLOOKUP(C1178,'[1]خريطة الحسابات'!_xlnm.Print_Area,5,FALSE))," ",(VLOOKUP(C1178,'[1]خريطة الحسابات'!_xlnm.Print_Area,5,FALSE)))</f>
        <v>الاصول</v>
      </c>
      <c r="O1178" s="139" t="s">
        <v>1809</v>
      </c>
      <c r="P1178" s="139" t="s">
        <v>1304</v>
      </c>
    </row>
    <row r="1179" spans="1:16">
      <c r="A1179" s="104">
        <v>55</v>
      </c>
      <c r="B1179" s="131">
        <v>46051</v>
      </c>
      <c r="C1179" s="141">
        <v>20</v>
      </c>
      <c r="D1179" s="140" t="str">
        <f>IF(ISERROR(VLOOKUP(C1179,'[1]خريطة الحسابات'!_xlnm.Print_Area,3,FALSE))," ",(VLOOKUP(C1179,'[1]خريطة الحسابات'!_xlnm.Print_Area,3,FALSE)))</f>
        <v xml:space="preserve">الخزينة </v>
      </c>
      <c r="E1179" s="132"/>
      <c r="F1179" s="133"/>
      <c r="G1179" s="133">
        <v>2613</v>
      </c>
      <c r="H1179" s="134">
        <f t="shared" si="55"/>
        <v>0</v>
      </c>
      <c r="I1179" s="134">
        <f t="shared" si="55"/>
        <v>2613</v>
      </c>
      <c r="J1179" s="134">
        <f t="shared" si="54"/>
        <v>-2613</v>
      </c>
      <c r="K1179" s="135"/>
      <c r="L1179" s="136" t="str">
        <f t="shared" ref="L1179:L1242" si="56">IF(J1179&lt;0,"دائن",IF(J1179&gt;0,"مدين",""))</f>
        <v>دائن</v>
      </c>
      <c r="M1179" s="137" t="str">
        <f>IF(ISERROR(VLOOKUP(C1179,'[1]خريطة الحسابات'!_xlnm.Print_Area,4,FALSE))," ",(VLOOKUP(C1179,'[1]خريطة الحسابات'!_xlnm.Print_Area,4,FALSE)))</f>
        <v xml:space="preserve">أصول متداوله -النقدية ومافي حكمها </v>
      </c>
      <c r="N1179" s="138" t="str">
        <f>IF(ISERROR(VLOOKUP(C1179,'[1]خريطة الحسابات'!_xlnm.Print_Area,5,FALSE))," ",(VLOOKUP(C1179,'[1]خريطة الحسابات'!_xlnm.Print_Area,5,FALSE)))</f>
        <v>الاصول</v>
      </c>
      <c r="O1179" s="139" t="s">
        <v>1810</v>
      </c>
      <c r="P1179" s="139" t="s">
        <v>1304</v>
      </c>
    </row>
    <row r="1180" spans="1:16">
      <c r="A1180" s="104">
        <v>55</v>
      </c>
      <c r="B1180" s="131">
        <v>46058</v>
      </c>
      <c r="C1180" s="141">
        <v>20</v>
      </c>
      <c r="D1180" s="140" t="str">
        <f>IF(ISERROR(VLOOKUP(C1180,'[1]خريطة الحسابات'!_xlnm.Print_Area,3,FALSE))," ",(VLOOKUP(C1180,'[1]خريطة الحسابات'!_xlnm.Print_Area,3,FALSE)))</f>
        <v xml:space="preserve">الخزينة </v>
      </c>
      <c r="E1180" s="132"/>
      <c r="F1180" s="133"/>
      <c r="G1180" s="133">
        <v>450</v>
      </c>
      <c r="H1180" s="134">
        <f t="shared" si="55"/>
        <v>0</v>
      </c>
      <c r="I1180" s="134">
        <f t="shared" si="55"/>
        <v>450</v>
      </c>
      <c r="J1180" s="134">
        <f t="shared" si="54"/>
        <v>-450</v>
      </c>
      <c r="K1180" s="135"/>
      <c r="L1180" s="136" t="str">
        <f t="shared" si="56"/>
        <v>دائن</v>
      </c>
      <c r="M1180" s="137" t="str">
        <f>IF(ISERROR(VLOOKUP(C1180,'[1]خريطة الحسابات'!_xlnm.Print_Area,4,FALSE))," ",(VLOOKUP(C1180,'[1]خريطة الحسابات'!_xlnm.Print_Area,4,FALSE)))</f>
        <v xml:space="preserve">أصول متداوله -النقدية ومافي حكمها </v>
      </c>
      <c r="N1180" s="138" t="str">
        <f>IF(ISERROR(VLOOKUP(C1180,'[1]خريطة الحسابات'!_xlnm.Print_Area,5,FALSE))," ",(VLOOKUP(C1180,'[1]خريطة الحسابات'!_xlnm.Print_Area,5,FALSE)))</f>
        <v>الاصول</v>
      </c>
      <c r="O1180" s="139" t="s">
        <v>1811</v>
      </c>
      <c r="P1180" s="139" t="s">
        <v>1304</v>
      </c>
    </row>
    <row r="1181" spans="1:16">
      <c r="A1181" s="104">
        <v>55</v>
      </c>
      <c r="B1181" s="131">
        <v>46058</v>
      </c>
      <c r="C1181" s="141">
        <v>20</v>
      </c>
      <c r="D1181" s="140" t="str">
        <f>IF(ISERROR(VLOOKUP(C1181,'[1]خريطة الحسابات'!_xlnm.Print_Area,3,FALSE))," ",(VLOOKUP(C1181,'[1]خريطة الحسابات'!_xlnm.Print_Area,3,FALSE)))</f>
        <v xml:space="preserve">الخزينة </v>
      </c>
      <c r="E1181" s="132"/>
      <c r="F1181" s="133"/>
      <c r="G1181" s="133">
        <v>295</v>
      </c>
      <c r="H1181" s="134">
        <f t="shared" si="55"/>
        <v>0</v>
      </c>
      <c r="I1181" s="134">
        <f t="shared" si="55"/>
        <v>295</v>
      </c>
      <c r="J1181" s="134">
        <f t="shared" si="54"/>
        <v>-295</v>
      </c>
      <c r="K1181" s="135"/>
      <c r="L1181" s="136" t="str">
        <f t="shared" si="56"/>
        <v>دائن</v>
      </c>
      <c r="M1181" s="137" t="str">
        <f>IF(ISERROR(VLOOKUP(C1181,'[1]خريطة الحسابات'!_xlnm.Print_Area,4,FALSE))," ",(VLOOKUP(C1181,'[1]خريطة الحسابات'!_xlnm.Print_Area,4,FALSE)))</f>
        <v xml:space="preserve">أصول متداوله -النقدية ومافي حكمها </v>
      </c>
      <c r="N1181" s="138" t="str">
        <f>IF(ISERROR(VLOOKUP(C1181,'[1]خريطة الحسابات'!_xlnm.Print_Area,5,FALSE))," ",(VLOOKUP(C1181,'[1]خريطة الحسابات'!_xlnm.Print_Area,5,FALSE)))</f>
        <v>الاصول</v>
      </c>
      <c r="O1181" s="139" t="s">
        <v>1812</v>
      </c>
      <c r="P1181" s="139" t="s">
        <v>1304</v>
      </c>
    </row>
    <row r="1182" spans="1:16">
      <c r="A1182" s="104">
        <v>55</v>
      </c>
      <c r="B1182" s="131">
        <v>46084</v>
      </c>
      <c r="C1182" s="141">
        <v>20</v>
      </c>
      <c r="D1182" s="140" t="str">
        <f>IF(ISERROR(VLOOKUP(C1182,'[1]خريطة الحسابات'!_xlnm.Print_Area,3,FALSE))," ",(VLOOKUP(C1182,'[1]خريطة الحسابات'!_xlnm.Print_Area,3,FALSE)))</f>
        <v xml:space="preserve">الخزينة </v>
      </c>
      <c r="E1182" s="132"/>
      <c r="F1182" s="133"/>
      <c r="G1182" s="133">
        <v>600</v>
      </c>
      <c r="H1182" s="134">
        <f t="shared" si="55"/>
        <v>0</v>
      </c>
      <c r="I1182" s="134">
        <f t="shared" si="55"/>
        <v>600</v>
      </c>
      <c r="J1182" s="134">
        <f t="shared" si="54"/>
        <v>-600</v>
      </c>
      <c r="K1182" s="135"/>
      <c r="L1182" s="136" t="str">
        <f t="shared" si="56"/>
        <v>دائن</v>
      </c>
      <c r="M1182" s="137" t="str">
        <f>IF(ISERROR(VLOOKUP(C1182,'[1]خريطة الحسابات'!_xlnm.Print_Area,4,FALSE))," ",(VLOOKUP(C1182,'[1]خريطة الحسابات'!_xlnm.Print_Area,4,FALSE)))</f>
        <v xml:space="preserve">أصول متداوله -النقدية ومافي حكمها </v>
      </c>
      <c r="N1182" s="138" t="str">
        <f>IF(ISERROR(VLOOKUP(C1182,'[1]خريطة الحسابات'!_xlnm.Print_Area,5,FALSE))," ",(VLOOKUP(C1182,'[1]خريطة الحسابات'!_xlnm.Print_Area,5,FALSE)))</f>
        <v>الاصول</v>
      </c>
      <c r="O1182" s="139" t="s">
        <v>1813</v>
      </c>
      <c r="P1182" s="139" t="s">
        <v>1304</v>
      </c>
    </row>
    <row r="1183" spans="1:16">
      <c r="A1183" s="104">
        <v>55</v>
      </c>
      <c r="B1183" s="131">
        <v>46065</v>
      </c>
      <c r="C1183" s="141">
        <v>20</v>
      </c>
      <c r="D1183" s="140" t="str">
        <f>IF(ISERROR(VLOOKUP(C1183,'[1]خريطة الحسابات'!_xlnm.Print_Area,3,FALSE))," ",(VLOOKUP(C1183,'[1]خريطة الحسابات'!_xlnm.Print_Area,3,FALSE)))</f>
        <v xml:space="preserve">الخزينة </v>
      </c>
      <c r="E1183" s="132"/>
      <c r="F1183" s="133"/>
      <c r="G1183" s="133">
        <v>5860</v>
      </c>
      <c r="H1183" s="134">
        <f t="shared" si="55"/>
        <v>0</v>
      </c>
      <c r="I1183" s="134">
        <f t="shared" si="55"/>
        <v>5860</v>
      </c>
      <c r="J1183" s="134">
        <f t="shared" si="54"/>
        <v>-5860</v>
      </c>
      <c r="K1183" s="135"/>
      <c r="L1183" s="136" t="str">
        <f t="shared" si="56"/>
        <v>دائن</v>
      </c>
      <c r="M1183" s="137" t="str">
        <f>IF(ISERROR(VLOOKUP(C1183,'[1]خريطة الحسابات'!_xlnm.Print_Area,4,FALSE))," ",(VLOOKUP(C1183,'[1]خريطة الحسابات'!_xlnm.Print_Area,4,FALSE)))</f>
        <v xml:space="preserve">أصول متداوله -النقدية ومافي حكمها </v>
      </c>
      <c r="N1183" s="138" t="str">
        <f>IF(ISERROR(VLOOKUP(C1183,'[1]خريطة الحسابات'!_xlnm.Print_Area,5,FALSE))," ",(VLOOKUP(C1183,'[1]خريطة الحسابات'!_xlnm.Print_Area,5,FALSE)))</f>
        <v>الاصول</v>
      </c>
      <c r="O1183" s="139" t="s">
        <v>1802</v>
      </c>
      <c r="P1183" s="139" t="s">
        <v>1292</v>
      </c>
    </row>
    <row r="1184" spans="1:16">
      <c r="A1184" s="104">
        <v>55</v>
      </c>
      <c r="B1184" s="131">
        <v>46161</v>
      </c>
      <c r="C1184" s="141">
        <v>20</v>
      </c>
      <c r="D1184" s="140" t="str">
        <f>IF(ISERROR(VLOOKUP(C1184,'[1]خريطة الحسابات'!_xlnm.Print_Area,3,FALSE))," ",(VLOOKUP(C1184,'[1]خريطة الحسابات'!_xlnm.Print_Area,3,FALSE)))</f>
        <v xml:space="preserve">الخزينة </v>
      </c>
      <c r="E1184" s="132"/>
      <c r="F1184" s="133"/>
      <c r="G1184" s="133">
        <v>400</v>
      </c>
      <c r="H1184" s="134">
        <f t="shared" si="55"/>
        <v>0</v>
      </c>
      <c r="I1184" s="134">
        <f t="shared" si="55"/>
        <v>400</v>
      </c>
      <c r="J1184" s="134">
        <f t="shared" si="54"/>
        <v>-400</v>
      </c>
      <c r="K1184" s="135"/>
      <c r="L1184" s="136" t="str">
        <f t="shared" si="56"/>
        <v>دائن</v>
      </c>
      <c r="M1184" s="137" t="str">
        <f>IF(ISERROR(VLOOKUP(C1184,'[1]خريطة الحسابات'!_xlnm.Print_Area,4,FALSE))," ",(VLOOKUP(C1184,'[1]خريطة الحسابات'!_xlnm.Print_Area,4,FALSE)))</f>
        <v xml:space="preserve">أصول متداوله -النقدية ومافي حكمها </v>
      </c>
      <c r="N1184" s="138" t="str">
        <f>IF(ISERROR(VLOOKUP(C1184,'[1]خريطة الحسابات'!_xlnm.Print_Area,5,FALSE))," ",(VLOOKUP(C1184,'[1]خريطة الحسابات'!_xlnm.Print_Area,5,FALSE)))</f>
        <v>الاصول</v>
      </c>
      <c r="O1184" s="139" t="s">
        <v>1814</v>
      </c>
      <c r="P1184" s="139" t="s">
        <v>1292</v>
      </c>
    </row>
    <row r="1185" spans="1:16">
      <c r="A1185" s="104">
        <v>55</v>
      </c>
      <c r="B1185" s="131">
        <v>46121</v>
      </c>
      <c r="C1185" s="141">
        <v>20</v>
      </c>
      <c r="D1185" s="140" t="str">
        <f>IF(ISERROR(VLOOKUP(C1185,'[1]خريطة الحسابات'!_xlnm.Print_Area,3,FALSE))," ",(VLOOKUP(C1185,'[1]خريطة الحسابات'!_xlnm.Print_Area,3,FALSE)))</f>
        <v xml:space="preserve">الخزينة </v>
      </c>
      <c r="E1185" s="132"/>
      <c r="F1185" s="133"/>
      <c r="G1185" s="133">
        <v>1700</v>
      </c>
      <c r="H1185" s="134">
        <f t="shared" si="55"/>
        <v>0</v>
      </c>
      <c r="I1185" s="134">
        <f t="shared" si="55"/>
        <v>1700</v>
      </c>
      <c r="J1185" s="134">
        <f t="shared" si="54"/>
        <v>-1700</v>
      </c>
      <c r="K1185" s="135"/>
      <c r="L1185" s="136" t="str">
        <f t="shared" si="56"/>
        <v>دائن</v>
      </c>
      <c r="M1185" s="137" t="str">
        <f>IF(ISERROR(VLOOKUP(C1185,'[1]خريطة الحسابات'!_xlnm.Print_Area,4,FALSE))," ",(VLOOKUP(C1185,'[1]خريطة الحسابات'!_xlnm.Print_Area,4,FALSE)))</f>
        <v xml:space="preserve">أصول متداوله -النقدية ومافي حكمها </v>
      </c>
      <c r="N1185" s="138" t="str">
        <f>IF(ISERROR(VLOOKUP(C1185,'[1]خريطة الحسابات'!_xlnm.Print_Area,5,FALSE))," ",(VLOOKUP(C1185,'[1]خريطة الحسابات'!_xlnm.Print_Area,5,FALSE)))</f>
        <v>الاصول</v>
      </c>
      <c r="O1185" s="139" t="s">
        <v>1815</v>
      </c>
      <c r="P1185" s="139" t="s">
        <v>1295</v>
      </c>
    </row>
    <row r="1186" spans="1:16">
      <c r="A1186" s="104">
        <v>55</v>
      </c>
      <c r="B1186" s="131">
        <v>46078</v>
      </c>
      <c r="C1186" s="141">
        <v>20</v>
      </c>
      <c r="D1186" s="140" t="str">
        <f>IF(ISERROR(VLOOKUP(C1186,'[1]خريطة الحسابات'!_xlnm.Print_Area,3,FALSE))," ",(VLOOKUP(C1186,'[1]خريطة الحسابات'!_xlnm.Print_Area,3,FALSE)))</f>
        <v xml:space="preserve">الخزينة </v>
      </c>
      <c r="E1186" s="132"/>
      <c r="F1186" s="133"/>
      <c r="G1186" s="133">
        <v>7670</v>
      </c>
      <c r="H1186" s="134">
        <f t="shared" si="55"/>
        <v>0</v>
      </c>
      <c r="I1186" s="134">
        <f t="shared" si="55"/>
        <v>7670</v>
      </c>
      <c r="J1186" s="134">
        <f t="shared" si="54"/>
        <v>-7670</v>
      </c>
      <c r="K1186" s="135"/>
      <c r="L1186" s="136" t="str">
        <f t="shared" si="56"/>
        <v>دائن</v>
      </c>
      <c r="M1186" s="137" t="str">
        <f>IF(ISERROR(VLOOKUP(C1186,'[1]خريطة الحسابات'!_xlnm.Print_Area,4,FALSE))," ",(VLOOKUP(C1186,'[1]خريطة الحسابات'!_xlnm.Print_Area,4,FALSE)))</f>
        <v xml:space="preserve">أصول متداوله -النقدية ومافي حكمها </v>
      </c>
      <c r="N1186" s="138" t="str">
        <f>IF(ISERROR(VLOOKUP(C1186,'[1]خريطة الحسابات'!_xlnm.Print_Area,5,FALSE))," ",(VLOOKUP(C1186,'[1]خريطة الحسابات'!_xlnm.Print_Area,5,FALSE)))</f>
        <v>الاصول</v>
      </c>
      <c r="O1186" s="139" t="s">
        <v>1816</v>
      </c>
      <c r="P1186" s="139" t="s">
        <v>1327</v>
      </c>
    </row>
    <row r="1187" spans="1:16">
      <c r="A1187" s="104">
        <v>55</v>
      </c>
      <c r="B1187" s="131">
        <v>46086</v>
      </c>
      <c r="C1187" s="141">
        <v>20</v>
      </c>
      <c r="D1187" s="140" t="str">
        <f>IF(ISERROR(VLOOKUP(C1187,'[1]خريطة الحسابات'!_xlnm.Print_Area,3,FALSE))," ",(VLOOKUP(C1187,'[1]خريطة الحسابات'!_xlnm.Print_Area,3,FALSE)))</f>
        <v xml:space="preserve">الخزينة </v>
      </c>
      <c r="E1187" s="132"/>
      <c r="F1187" s="133"/>
      <c r="G1187" s="133">
        <v>1170</v>
      </c>
      <c r="H1187" s="134">
        <f t="shared" si="55"/>
        <v>0</v>
      </c>
      <c r="I1187" s="134">
        <f t="shared" si="55"/>
        <v>1170</v>
      </c>
      <c r="J1187" s="134">
        <f t="shared" si="54"/>
        <v>-1170</v>
      </c>
      <c r="K1187" s="135"/>
      <c r="L1187" s="136" t="str">
        <f t="shared" si="56"/>
        <v>دائن</v>
      </c>
      <c r="M1187" s="137" t="str">
        <f>IF(ISERROR(VLOOKUP(C1187,'[1]خريطة الحسابات'!_xlnm.Print_Area,4,FALSE))," ",(VLOOKUP(C1187,'[1]خريطة الحسابات'!_xlnm.Print_Area,4,FALSE)))</f>
        <v xml:space="preserve">أصول متداوله -النقدية ومافي حكمها </v>
      </c>
      <c r="N1187" s="138" t="str">
        <f>IF(ISERROR(VLOOKUP(C1187,'[1]خريطة الحسابات'!_xlnm.Print_Area,5,FALSE))," ",(VLOOKUP(C1187,'[1]خريطة الحسابات'!_xlnm.Print_Area,5,FALSE)))</f>
        <v>الاصول</v>
      </c>
      <c r="O1187" s="139" t="s">
        <v>1817</v>
      </c>
      <c r="P1187" s="139" t="s">
        <v>1327</v>
      </c>
    </row>
    <row r="1188" spans="1:16">
      <c r="A1188" s="104">
        <v>55</v>
      </c>
      <c r="B1188" s="131">
        <v>46111</v>
      </c>
      <c r="C1188" s="141">
        <v>20</v>
      </c>
      <c r="D1188" s="140" t="str">
        <f>IF(ISERROR(VLOOKUP(C1188,'[1]خريطة الحسابات'!_xlnm.Print_Area,3,FALSE))," ",(VLOOKUP(C1188,'[1]خريطة الحسابات'!_xlnm.Print_Area,3,FALSE)))</f>
        <v xml:space="preserve">الخزينة </v>
      </c>
      <c r="E1188" s="132"/>
      <c r="F1188" s="133"/>
      <c r="G1188" s="133">
        <v>542</v>
      </c>
      <c r="H1188" s="134">
        <f t="shared" si="55"/>
        <v>0</v>
      </c>
      <c r="I1188" s="134">
        <f t="shared" si="55"/>
        <v>542</v>
      </c>
      <c r="J1188" s="134">
        <f t="shared" si="54"/>
        <v>-542</v>
      </c>
      <c r="K1188" s="135"/>
      <c r="L1188" s="136" t="str">
        <f t="shared" si="56"/>
        <v>دائن</v>
      </c>
      <c r="M1188" s="137" t="str">
        <f>IF(ISERROR(VLOOKUP(C1188,'[1]خريطة الحسابات'!_xlnm.Print_Area,4,FALSE))," ",(VLOOKUP(C1188,'[1]خريطة الحسابات'!_xlnm.Print_Area,4,FALSE)))</f>
        <v xml:space="preserve">أصول متداوله -النقدية ومافي حكمها </v>
      </c>
      <c r="N1188" s="138" t="str">
        <f>IF(ISERROR(VLOOKUP(C1188,'[1]خريطة الحسابات'!_xlnm.Print_Area,5,FALSE))," ",(VLOOKUP(C1188,'[1]خريطة الحسابات'!_xlnm.Print_Area,5,FALSE)))</f>
        <v>الاصول</v>
      </c>
      <c r="O1188" s="139" t="s">
        <v>1818</v>
      </c>
      <c r="P1188" s="139" t="s">
        <v>1327</v>
      </c>
    </row>
    <row r="1189" spans="1:16">
      <c r="A1189" s="104">
        <v>55</v>
      </c>
      <c r="B1189" s="131">
        <v>46126</v>
      </c>
      <c r="C1189" s="141">
        <v>20</v>
      </c>
      <c r="D1189" s="140" t="str">
        <f>IF(ISERROR(VLOOKUP(C1189,'[1]خريطة الحسابات'!_xlnm.Print_Area,3,FALSE))," ",(VLOOKUP(C1189,'[1]خريطة الحسابات'!_xlnm.Print_Area,3,FALSE)))</f>
        <v xml:space="preserve">الخزينة </v>
      </c>
      <c r="E1189" s="132"/>
      <c r="F1189" s="133"/>
      <c r="G1189" s="133">
        <v>270</v>
      </c>
      <c r="H1189" s="134">
        <f t="shared" si="55"/>
        <v>0</v>
      </c>
      <c r="I1189" s="134">
        <f t="shared" si="55"/>
        <v>270</v>
      </c>
      <c r="J1189" s="134">
        <f t="shared" si="54"/>
        <v>-270</v>
      </c>
      <c r="K1189" s="135"/>
      <c r="L1189" s="136" t="str">
        <f t="shared" si="56"/>
        <v>دائن</v>
      </c>
      <c r="M1189" s="137" t="str">
        <f>IF(ISERROR(VLOOKUP(C1189,'[1]خريطة الحسابات'!_xlnm.Print_Area,4,FALSE))," ",(VLOOKUP(C1189,'[1]خريطة الحسابات'!_xlnm.Print_Area,4,FALSE)))</f>
        <v xml:space="preserve">أصول متداوله -النقدية ومافي حكمها </v>
      </c>
      <c r="N1189" s="138" t="str">
        <f>IF(ISERROR(VLOOKUP(C1189,'[1]خريطة الحسابات'!_xlnm.Print_Area,5,FALSE))," ",(VLOOKUP(C1189,'[1]خريطة الحسابات'!_xlnm.Print_Area,5,FALSE)))</f>
        <v>الاصول</v>
      </c>
      <c r="O1189" s="148" t="s">
        <v>1819</v>
      </c>
      <c r="P1189" s="139" t="s">
        <v>1327</v>
      </c>
    </row>
    <row r="1190" spans="1:16">
      <c r="A1190" s="104">
        <v>55</v>
      </c>
      <c r="B1190" s="131">
        <v>46063</v>
      </c>
      <c r="C1190" s="141">
        <v>20</v>
      </c>
      <c r="D1190" s="140" t="str">
        <f>IF(ISERROR(VLOOKUP(C1190,'[1]خريطة الحسابات'!_xlnm.Print_Area,3,FALSE))," ",(VLOOKUP(C1190,'[1]خريطة الحسابات'!_xlnm.Print_Area,3,FALSE)))</f>
        <v xml:space="preserve">الخزينة </v>
      </c>
      <c r="E1190" s="132"/>
      <c r="F1190" s="133"/>
      <c r="G1190" s="133">
        <v>1200</v>
      </c>
      <c r="H1190" s="134">
        <f t="shared" si="55"/>
        <v>0</v>
      </c>
      <c r="I1190" s="134">
        <f t="shared" si="55"/>
        <v>1200</v>
      </c>
      <c r="J1190" s="134">
        <f t="shared" si="54"/>
        <v>-1200</v>
      </c>
      <c r="K1190" s="135"/>
      <c r="L1190" s="136" t="str">
        <f t="shared" si="56"/>
        <v>دائن</v>
      </c>
      <c r="M1190" s="137" t="str">
        <f>IF(ISERROR(VLOOKUP(C1190,'[1]خريطة الحسابات'!_xlnm.Print_Area,4,FALSE))," ",(VLOOKUP(C1190,'[1]خريطة الحسابات'!_xlnm.Print_Area,4,FALSE)))</f>
        <v xml:space="preserve">أصول متداوله -النقدية ومافي حكمها </v>
      </c>
      <c r="N1190" s="138" t="str">
        <f>IF(ISERROR(VLOOKUP(C1190,'[1]خريطة الحسابات'!_xlnm.Print_Area,5,FALSE))," ",(VLOOKUP(C1190,'[1]خريطة الحسابات'!_xlnm.Print_Area,5,FALSE)))</f>
        <v>الاصول</v>
      </c>
      <c r="O1190" s="148" t="s">
        <v>1820</v>
      </c>
      <c r="P1190" s="139" t="s">
        <v>1493</v>
      </c>
    </row>
    <row r="1191" spans="1:16">
      <c r="A1191" s="104">
        <v>55</v>
      </c>
      <c r="B1191" s="131">
        <v>46047</v>
      </c>
      <c r="C1191" s="141">
        <v>20</v>
      </c>
      <c r="D1191" s="140" t="str">
        <f>IF(ISERROR(VLOOKUP(C1191,'[1]خريطة الحسابات'!_xlnm.Print_Area,3,FALSE))," ",(VLOOKUP(C1191,'[1]خريطة الحسابات'!_xlnm.Print_Area,3,FALSE)))</f>
        <v xml:space="preserve">الخزينة </v>
      </c>
      <c r="E1191" s="132"/>
      <c r="F1191" s="133"/>
      <c r="G1191" s="133">
        <v>6055</v>
      </c>
      <c r="H1191" s="134">
        <f t="shared" si="55"/>
        <v>0</v>
      </c>
      <c r="I1191" s="134">
        <f t="shared" si="55"/>
        <v>6055</v>
      </c>
      <c r="J1191" s="134">
        <f t="shared" si="54"/>
        <v>-6055</v>
      </c>
      <c r="K1191" s="135"/>
      <c r="L1191" s="136" t="str">
        <f t="shared" si="56"/>
        <v>دائن</v>
      </c>
      <c r="M1191" s="137" t="str">
        <f>IF(ISERROR(VLOOKUP(C1191,'[1]خريطة الحسابات'!_xlnm.Print_Area,4,FALSE))," ",(VLOOKUP(C1191,'[1]خريطة الحسابات'!_xlnm.Print_Area,4,FALSE)))</f>
        <v xml:space="preserve">أصول متداوله -النقدية ومافي حكمها </v>
      </c>
      <c r="N1191" s="138" t="str">
        <f>IF(ISERROR(VLOOKUP(C1191,'[1]خريطة الحسابات'!_xlnm.Print_Area,5,FALSE))," ",(VLOOKUP(C1191,'[1]خريطة الحسابات'!_xlnm.Print_Area,5,FALSE)))</f>
        <v>الاصول</v>
      </c>
      <c r="O1191" s="139" t="s">
        <v>1821</v>
      </c>
      <c r="P1191" s="139" t="s">
        <v>1290</v>
      </c>
    </row>
    <row r="1192" spans="1:16">
      <c r="A1192" s="104">
        <v>55</v>
      </c>
      <c r="B1192" s="131">
        <v>46071</v>
      </c>
      <c r="C1192" s="141">
        <v>20</v>
      </c>
      <c r="D1192" s="140" t="str">
        <f>IF(ISERROR(VLOOKUP(C1192,'[1]خريطة الحسابات'!_xlnm.Print_Area,3,FALSE))," ",(VLOOKUP(C1192,'[1]خريطة الحسابات'!_xlnm.Print_Area,3,FALSE)))</f>
        <v xml:space="preserve">الخزينة </v>
      </c>
      <c r="E1192" s="132"/>
      <c r="F1192" s="133"/>
      <c r="G1192" s="133">
        <v>385</v>
      </c>
      <c r="H1192" s="134">
        <f t="shared" si="55"/>
        <v>0</v>
      </c>
      <c r="I1192" s="134">
        <f t="shared" si="55"/>
        <v>385</v>
      </c>
      <c r="J1192" s="134">
        <f t="shared" si="54"/>
        <v>-385</v>
      </c>
      <c r="K1192" s="135"/>
      <c r="L1192" s="136" t="str">
        <f t="shared" si="56"/>
        <v>دائن</v>
      </c>
      <c r="M1192" s="137" t="str">
        <f>IF(ISERROR(VLOOKUP(C1192,'[1]خريطة الحسابات'!_xlnm.Print_Area,4,FALSE))," ",(VLOOKUP(C1192,'[1]خريطة الحسابات'!_xlnm.Print_Area,4,FALSE)))</f>
        <v xml:space="preserve">أصول متداوله -النقدية ومافي حكمها </v>
      </c>
      <c r="N1192" s="138" t="str">
        <f>IF(ISERROR(VLOOKUP(C1192,'[1]خريطة الحسابات'!_xlnm.Print_Area,5,FALSE))," ",(VLOOKUP(C1192,'[1]خريطة الحسابات'!_xlnm.Print_Area,5,FALSE)))</f>
        <v>الاصول</v>
      </c>
      <c r="O1192" s="139" t="s">
        <v>1822</v>
      </c>
      <c r="P1192" s="139" t="s">
        <v>1290</v>
      </c>
    </row>
    <row r="1193" spans="1:16">
      <c r="A1193" s="104">
        <v>55</v>
      </c>
      <c r="B1193" s="131">
        <v>46092</v>
      </c>
      <c r="C1193" s="141">
        <v>20</v>
      </c>
      <c r="D1193" s="140" t="str">
        <f>IF(ISERROR(VLOOKUP(C1193,'[1]خريطة الحسابات'!_xlnm.Print_Area,3,FALSE))," ",(VLOOKUP(C1193,'[1]خريطة الحسابات'!_xlnm.Print_Area,3,FALSE)))</f>
        <v xml:space="preserve">الخزينة </v>
      </c>
      <c r="E1193" s="132"/>
      <c r="F1193" s="133"/>
      <c r="G1193" s="133">
        <v>608</v>
      </c>
      <c r="H1193" s="134">
        <f t="shared" si="55"/>
        <v>0</v>
      </c>
      <c r="I1193" s="134">
        <f t="shared" si="55"/>
        <v>608</v>
      </c>
      <c r="J1193" s="134">
        <f t="shared" si="54"/>
        <v>-608</v>
      </c>
      <c r="K1193" s="135"/>
      <c r="L1193" s="136" t="str">
        <f t="shared" si="56"/>
        <v>دائن</v>
      </c>
      <c r="M1193" s="137" t="str">
        <f>IF(ISERROR(VLOOKUP(C1193,'[1]خريطة الحسابات'!_xlnm.Print_Area,4,FALSE))," ",(VLOOKUP(C1193,'[1]خريطة الحسابات'!_xlnm.Print_Area,4,FALSE)))</f>
        <v xml:space="preserve">أصول متداوله -النقدية ومافي حكمها </v>
      </c>
      <c r="N1193" s="138" t="str">
        <f>IF(ISERROR(VLOOKUP(C1193,'[1]خريطة الحسابات'!_xlnm.Print_Area,5,FALSE))," ",(VLOOKUP(C1193,'[1]خريطة الحسابات'!_xlnm.Print_Area,5,FALSE)))</f>
        <v>الاصول</v>
      </c>
      <c r="O1193" s="139" t="s">
        <v>1823</v>
      </c>
      <c r="P1193" s="139" t="s">
        <v>1290</v>
      </c>
    </row>
    <row r="1194" spans="1:16">
      <c r="A1194" s="104">
        <v>55</v>
      </c>
      <c r="B1194" s="131">
        <v>46121</v>
      </c>
      <c r="C1194" s="141">
        <v>20</v>
      </c>
      <c r="D1194" s="140" t="str">
        <f>IF(ISERROR(VLOOKUP(C1194,'[1]خريطة الحسابات'!_xlnm.Print_Area,3,FALSE))," ",(VLOOKUP(C1194,'[1]خريطة الحسابات'!_xlnm.Print_Area,3,FALSE)))</f>
        <v xml:space="preserve">الخزينة </v>
      </c>
      <c r="E1194" s="132"/>
      <c r="F1194" s="133"/>
      <c r="G1194" s="133">
        <v>170</v>
      </c>
      <c r="H1194" s="134">
        <f t="shared" si="55"/>
        <v>0</v>
      </c>
      <c r="I1194" s="134">
        <f t="shared" si="55"/>
        <v>170</v>
      </c>
      <c r="J1194" s="134">
        <f t="shared" si="54"/>
        <v>-170</v>
      </c>
      <c r="K1194" s="135"/>
      <c r="L1194" s="136" t="str">
        <f t="shared" si="56"/>
        <v>دائن</v>
      </c>
      <c r="M1194" s="137" t="str">
        <f>IF(ISERROR(VLOOKUP(C1194,'[1]خريطة الحسابات'!_xlnm.Print_Area,4,FALSE))," ",(VLOOKUP(C1194,'[1]خريطة الحسابات'!_xlnm.Print_Area,4,FALSE)))</f>
        <v xml:space="preserve">أصول متداوله -النقدية ومافي حكمها </v>
      </c>
      <c r="N1194" s="138" t="str">
        <f>IF(ISERROR(VLOOKUP(C1194,'[1]خريطة الحسابات'!_xlnm.Print_Area,5,FALSE))," ",(VLOOKUP(C1194,'[1]خريطة الحسابات'!_xlnm.Print_Area,5,FALSE)))</f>
        <v>الاصول</v>
      </c>
      <c r="O1194" s="139" t="s">
        <v>1824</v>
      </c>
      <c r="P1194" s="139" t="s">
        <v>1290</v>
      </c>
    </row>
    <row r="1195" spans="1:16">
      <c r="A1195" s="104">
        <v>55</v>
      </c>
      <c r="B1195" s="131">
        <v>46123</v>
      </c>
      <c r="C1195" s="141">
        <v>20</v>
      </c>
      <c r="D1195" s="140" t="str">
        <f>IF(ISERROR(VLOOKUP(C1195,'[1]خريطة الحسابات'!_xlnm.Print_Area,3,FALSE))," ",(VLOOKUP(C1195,'[1]خريطة الحسابات'!_xlnm.Print_Area,3,FALSE)))</f>
        <v xml:space="preserve">الخزينة </v>
      </c>
      <c r="E1195" s="132"/>
      <c r="F1195" s="133"/>
      <c r="G1195" s="133">
        <v>305</v>
      </c>
      <c r="H1195" s="134">
        <f t="shared" si="55"/>
        <v>0</v>
      </c>
      <c r="I1195" s="134">
        <f t="shared" si="55"/>
        <v>305</v>
      </c>
      <c r="J1195" s="134">
        <f t="shared" si="54"/>
        <v>-305</v>
      </c>
      <c r="K1195" s="135"/>
      <c r="L1195" s="136" t="str">
        <f t="shared" si="56"/>
        <v>دائن</v>
      </c>
      <c r="M1195" s="137" t="str">
        <f>IF(ISERROR(VLOOKUP(C1195,'[1]خريطة الحسابات'!_xlnm.Print_Area,4,FALSE))," ",(VLOOKUP(C1195,'[1]خريطة الحسابات'!_xlnm.Print_Area,4,FALSE)))</f>
        <v xml:space="preserve">أصول متداوله -النقدية ومافي حكمها </v>
      </c>
      <c r="N1195" s="138" t="str">
        <f>IF(ISERROR(VLOOKUP(C1195,'[1]خريطة الحسابات'!_xlnm.Print_Area,5,FALSE))," ",(VLOOKUP(C1195,'[1]خريطة الحسابات'!_xlnm.Print_Area,5,FALSE)))</f>
        <v>الاصول</v>
      </c>
      <c r="O1195" s="139" t="s">
        <v>1825</v>
      </c>
      <c r="P1195" s="139" t="s">
        <v>1290</v>
      </c>
    </row>
    <row r="1196" spans="1:16">
      <c r="A1196" s="104">
        <v>55</v>
      </c>
      <c r="B1196" s="131">
        <v>46156</v>
      </c>
      <c r="C1196" s="141">
        <v>20</v>
      </c>
      <c r="D1196" s="140" t="str">
        <f>IF(ISERROR(VLOOKUP(C1196,'[1]خريطة الحسابات'!_xlnm.Print_Area,3,FALSE))," ",(VLOOKUP(C1196,'[1]خريطة الحسابات'!_xlnm.Print_Area,3,FALSE)))</f>
        <v xml:space="preserve">الخزينة </v>
      </c>
      <c r="E1196" s="132"/>
      <c r="F1196" s="133"/>
      <c r="G1196" s="133">
        <v>6186</v>
      </c>
      <c r="H1196" s="134">
        <f t="shared" si="55"/>
        <v>0</v>
      </c>
      <c r="I1196" s="134">
        <f t="shared" si="55"/>
        <v>6186</v>
      </c>
      <c r="J1196" s="134">
        <f t="shared" si="54"/>
        <v>-6186</v>
      </c>
      <c r="K1196" s="135"/>
      <c r="L1196" s="136" t="str">
        <f t="shared" si="56"/>
        <v>دائن</v>
      </c>
      <c r="M1196" s="137" t="str">
        <f>IF(ISERROR(VLOOKUP(C1196,'[1]خريطة الحسابات'!_xlnm.Print_Area,4,FALSE))," ",(VLOOKUP(C1196,'[1]خريطة الحسابات'!_xlnm.Print_Area,4,FALSE)))</f>
        <v xml:space="preserve">أصول متداوله -النقدية ومافي حكمها </v>
      </c>
      <c r="N1196" s="138" t="str">
        <f>IF(ISERROR(VLOOKUP(C1196,'[1]خريطة الحسابات'!_xlnm.Print_Area,5,FALSE))," ",(VLOOKUP(C1196,'[1]خريطة الحسابات'!_xlnm.Print_Area,5,FALSE)))</f>
        <v>الاصول</v>
      </c>
      <c r="O1196" s="139" t="s">
        <v>1826</v>
      </c>
      <c r="P1196" s="139" t="s">
        <v>1290</v>
      </c>
    </row>
    <row r="1197" spans="1:16">
      <c r="A1197" s="104">
        <v>55</v>
      </c>
      <c r="B1197" s="131">
        <v>46161</v>
      </c>
      <c r="C1197" s="141">
        <v>20</v>
      </c>
      <c r="D1197" s="140" t="str">
        <f>IF(ISERROR(VLOOKUP(C1197,'[1]خريطة الحسابات'!_xlnm.Print_Area,3,FALSE))," ",(VLOOKUP(C1197,'[1]خريطة الحسابات'!_xlnm.Print_Area,3,FALSE)))</f>
        <v xml:space="preserve">الخزينة </v>
      </c>
      <c r="E1197" s="132"/>
      <c r="F1197" s="133"/>
      <c r="G1197" s="133">
        <v>1101</v>
      </c>
      <c r="H1197" s="134">
        <f t="shared" si="55"/>
        <v>0</v>
      </c>
      <c r="I1197" s="134">
        <f t="shared" si="55"/>
        <v>1101</v>
      </c>
      <c r="J1197" s="134">
        <f t="shared" si="54"/>
        <v>-1101</v>
      </c>
      <c r="K1197" s="135"/>
      <c r="L1197" s="136" t="str">
        <f t="shared" si="56"/>
        <v>دائن</v>
      </c>
      <c r="M1197" s="137" t="str">
        <f>IF(ISERROR(VLOOKUP(C1197,'[1]خريطة الحسابات'!_xlnm.Print_Area,4,FALSE))," ",(VLOOKUP(C1197,'[1]خريطة الحسابات'!_xlnm.Print_Area,4,FALSE)))</f>
        <v xml:space="preserve">أصول متداوله -النقدية ومافي حكمها </v>
      </c>
      <c r="N1197" s="138" t="str">
        <f>IF(ISERROR(VLOOKUP(C1197,'[1]خريطة الحسابات'!_xlnm.Print_Area,5,FALSE))," ",(VLOOKUP(C1197,'[1]خريطة الحسابات'!_xlnm.Print_Area,5,FALSE)))</f>
        <v>الاصول</v>
      </c>
      <c r="O1197" s="139" t="s">
        <v>1827</v>
      </c>
      <c r="P1197" s="139" t="s">
        <v>1290</v>
      </c>
    </row>
    <row r="1198" spans="1:16">
      <c r="A1198" s="104">
        <v>55</v>
      </c>
      <c r="B1198" s="131">
        <v>46163</v>
      </c>
      <c r="C1198" s="141">
        <v>20</v>
      </c>
      <c r="D1198" s="140" t="str">
        <f>IF(ISERROR(VLOOKUP(C1198,'[1]خريطة الحسابات'!_xlnm.Print_Area,3,FALSE))," ",(VLOOKUP(C1198,'[1]خريطة الحسابات'!_xlnm.Print_Area,3,FALSE)))</f>
        <v xml:space="preserve">الخزينة </v>
      </c>
      <c r="E1198" s="132"/>
      <c r="F1198" s="133"/>
      <c r="G1198" s="133">
        <v>1705</v>
      </c>
      <c r="H1198" s="134">
        <f t="shared" si="55"/>
        <v>0</v>
      </c>
      <c r="I1198" s="134">
        <f t="shared" si="55"/>
        <v>1705</v>
      </c>
      <c r="J1198" s="134">
        <f t="shared" si="54"/>
        <v>-1705</v>
      </c>
      <c r="K1198" s="135"/>
      <c r="L1198" s="136" t="str">
        <f t="shared" si="56"/>
        <v>دائن</v>
      </c>
      <c r="M1198" s="137" t="str">
        <f>IF(ISERROR(VLOOKUP(C1198,'[1]خريطة الحسابات'!_xlnm.Print_Area,4,FALSE))," ",(VLOOKUP(C1198,'[1]خريطة الحسابات'!_xlnm.Print_Area,4,FALSE)))</f>
        <v xml:space="preserve">أصول متداوله -النقدية ومافي حكمها </v>
      </c>
      <c r="N1198" s="138" t="str">
        <f>IF(ISERROR(VLOOKUP(C1198,'[1]خريطة الحسابات'!_xlnm.Print_Area,5,FALSE))," ",(VLOOKUP(C1198,'[1]خريطة الحسابات'!_xlnm.Print_Area,5,FALSE)))</f>
        <v>الاصول</v>
      </c>
      <c r="O1198" s="139" t="s">
        <v>1828</v>
      </c>
      <c r="P1198" s="139" t="s">
        <v>1290</v>
      </c>
    </row>
    <row r="1199" spans="1:16">
      <c r="A1199" s="104">
        <v>55</v>
      </c>
      <c r="B1199" s="131">
        <v>46037</v>
      </c>
      <c r="C1199" s="141">
        <v>20</v>
      </c>
      <c r="D1199" s="140" t="str">
        <f>IF(ISERROR(VLOOKUP(C1199,'[1]خريطة الحسابات'!_xlnm.Print_Area,3,FALSE))," ",(VLOOKUP(C1199,'[1]خريطة الحسابات'!_xlnm.Print_Area,3,FALSE)))</f>
        <v xml:space="preserve">الخزينة </v>
      </c>
      <c r="E1199" s="132"/>
      <c r="F1199" s="133"/>
      <c r="G1199" s="133">
        <v>15500</v>
      </c>
      <c r="H1199" s="134">
        <f t="shared" si="55"/>
        <v>0</v>
      </c>
      <c r="I1199" s="134">
        <f t="shared" si="55"/>
        <v>15500</v>
      </c>
      <c r="J1199" s="134">
        <f t="shared" si="54"/>
        <v>-15500</v>
      </c>
      <c r="K1199" s="135"/>
      <c r="L1199" s="136" t="str">
        <f t="shared" si="56"/>
        <v>دائن</v>
      </c>
      <c r="M1199" s="137" t="str">
        <f>IF(ISERROR(VLOOKUP(C1199,'[1]خريطة الحسابات'!_xlnm.Print_Area,4,FALSE))," ",(VLOOKUP(C1199,'[1]خريطة الحسابات'!_xlnm.Print_Area,4,FALSE)))</f>
        <v xml:space="preserve">أصول متداوله -النقدية ومافي حكمها </v>
      </c>
      <c r="N1199" s="138" t="str">
        <f>IF(ISERROR(VLOOKUP(C1199,'[1]خريطة الحسابات'!_xlnm.Print_Area,5,FALSE))," ",(VLOOKUP(C1199,'[1]خريطة الحسابات'!_xlnm.Print_Area,5,FALSE)))</f>
        <v>الاصول</v>
      </c>
      <c r="O1199" s="139" t="s">
        <v>1829</v>
      </c>
      <c r="P1199" s="139" t="s">
        <v>1315</v>
      </c>
    </row>
    <row r="1200" spans="1:16">
      <c r="A1200" s="104">
        <v>55</v>
      </c>
      <c r="B1200" s="131">
        <v>46037</v>
      </c>
      <c r="C1200" s="141">
        <v>20</v>
      </c>
      <c r="D1200" s="140" t="str">
        <f>IF(ISERROR(VLOOKUP(C1200,'[1]خريطة الحسابات'!_xlnm.Print_Area,3,FALSE))," ",(VLOOKUP(C1200,'[1]خريطة الحسابات'!_xlnm.Print_Area,3,FALSE)))</f>
        <v xml:space="preserve">الخزينة </v>
      </c>
      <c r="E1200" s="132"/>
      <c r="F1200" s="133"/>
      <c r="G1200" s="133">
        <v>23905</v>
      </c>
      <c r="H1200" s="134">
        <f t="shared" si="55"/>
        <v>0</v>
      </c>
      <c r="I1200" s="134">
        <f t="shared" si="55"/>
        <v>23905</v>
      </c>
      <c r="J1200" s="134">
        <f t="shared" si="54"/>
        <v>-23905</v>
      </c>
      <c r="K1200" s="135"/>
      <c r="L1200" s="136" t="str">
        <f t="shared" si="56"/>
        <v>دائن</v>
      </c>
      <c r="M1200" s="137" t="str">
        <f>IF(ISERROR(VLOOKUP(C1200,'[1]خريطة الحسابات'!_xlnm.Print_Area,4,FALSE))," ",(VLOOKUP(C1200,'[1]خريطة الحسابات'!_xlnm.Print_Area,4,FALSE)))</f>
        <v xml:space="preserve">أصول متداوله -النقدية ومافي حكمها </v>
      </c>
      <c r="N1200" s="138" t="str">
        <f>IF(ISERROR(VLOOKUP(C1200,'[1]خريطة الحسابات'!_xlnm.Print_Area,5,FALSE))," ",(VLOOKUP(C1200,'[1]خريطة الحسابات'!_xlnm.Print_Area,5,FALSE)))</f>
        <v>الاصول</v>
      </c>
      <c r="O1200" s="139" t="s">
        <v>1382</v>
      </c>
      <c r="P1200" s="139" t="s">
        <v>1315</v>
      </c>
    </row>
    <row r="1201" spans="1:16">
      <c r="A1201" s="104">
        <v>55</v>
      </c>
      <c r="B1201" s="131">
        <v>46042</v>
      </c>
      <c r="C1201" s="141">
        <v>20</v>
      </c>
      <c r="D1201" s="140" t="str">
        <f>IF(ISERROR(VLOOKUP(C1201,'[1]خريطة الحسابات'!_xlnm.Print_Area,3,FALSE))," ",(VLOOKUP(C1201,'[1]خريطة الحسابات'!_xlnm.Print_Area,3,FALSE)))</f>
        <v xml:space="preserve">الخزينة </v>
      </c>
      <c r="E1201" s="132"/>
      <c r="F1201" s="133"/>
      <c r="G1201" s="133">
        <v>600</v>
      </c>
      <c r="H1201" s="134">
        <f t="shared" si="55"/>
        <v>0</v>
      </c>
      <c r="I1201" s="134">
        <f t="shared" si="55"/>
        <v>600</v>
      </c>
      <c r="J1201" s="134">
        <f t="shared" si="54"/>
        <v>-600</v>
      </c>
      <c r="K1201" s="135"/>
      <c r="L1201" s="136" t="str">
        <f t="shared" si="56"/>
        <v>دائن</v>
      </c>
      <c r="M1201" s="137" t="str">
        <f>IF(ISERROR(VLOOKUP(C1201,'[1]خريطة الحسابات'!_xlnm.Print_Area,4,FALSE))," ",(VLOOKUP(C1201,'[1]خريطة الحسابات'!_xlnm.Print_Area,4,FALSE)))</f>
        <v xml:space="preserve">أصول متداوله -النقدية ومافي حكمها </v>
      </c>
      <c r="N1201" s="138" t="str">
        <f>IF(ISERROR(VLOOKUP(C1201,'[1]خريطة الحسابات'!_xlnm.Print_Area,5,FALSE))," ",(VLOOKUP(C1201,'[1]خريطة الحسابات'!_xlnm.Print_Area,5,FALSE)))</f>
        <v>الاصول</v>
      </c>
      <c r="O1201" s="139" t="s">
        <v>1830</v>
      </c>
      <c r="P1201" s="139" t="s">
        <v>1315</v>
      </c>
    </row>
    <row r="1202" spans="1:16">
      <c r="A1202" s="104">
        <v>55</v>
      </c>
      <c r="B1202" s="131">
        <v>46046</v>
      </c>
      <c r="C1202" s="141">
        <v>20</v>
      </c>
      <c r="D1202" s="140" t="str">
        <f>IF(ISERROR(VLOOKUP(C1202,'[1]خريطة الحسابات'!_xlnm.Print_Area,3,FALSE))," ",(VLOOKUP(C1202,'[1]خريطة الحسابات'!_xlnm.Print_Area,3,FALSE)))</f>
        <v xml:space="preserve">الخزينة </v>
      </c>
      <c r="E1202" s="132"/>
      <c r="F1202" s="133"/>
      <c r="G1202" s="133">
        <v>2350</v>
      </c>
      <c r="H1202" s="134">
        <f t="shared" si="55"/>
        <v>0</v>
      </c>
      <c r="I1202" s="134">
        <f t="shared" si="55"/>
        <v>2350</v>
      </c>
      <c r="J1202" s="134">
        <f t="shared" si="54"/>
        <v>-2350</v>
      </c>
      <c r="K1202" s="135"/>
      <c r="L1202" s="136" t="str">
        <f t="shared" si="56"/>
        <v>دائن</v>
      </c>
      <c r="M1202" s="137" t="str">
        <f>IF(ISERROR(VLOOKUP(C1202,'[1]خريطة الحسابات'!_xlnm.Print_Area,4,FALSE))," ",(VLOOKUP(C1202,'[1]خريطة الحسابات'!_xlnm.Print_Area,4,FALSE)))</f>
        <v xml:space="preserve">أصول متداوله -النقدية ومافي حكمها </v>
      </c>
      <c r="N1202" s="138" t="str">
        <f>IF(ISERROR(VLOOKUP(C1202,'[1]خريطة الحسابات'!_xlnm.Print_Area,5,FALSE))," ",(VLOOKUP(C1202,'[1]خريطة الحسابات'!_xlnm.Print_Area,5,FALSE)))</f>
        <v>الاصول</v>
      </c>
      <c r="O1202" s="139" t="s">
        <v>1831</v>
      </c>
      <c r="P1202" s="139" t="s">
        <v>1315</v>
      </c>
    </row>
    <row r="1203" spans="1:16">
      <c r="A1203" s="104">
        <v>55</v>
      </c>
      <c r="B1203" s="131">
        <v>46046</v>
      </c>
      <c r="C1203" s="141">
        <v>20</v>
      </c>
      <c r="D1203" s="140" t="str">
        <f>IF(ISERROR(VLOOKUP(C1203,'[1]خريطة الحسابات'!_xlnm.Print_Area,3,FALSE))," ",(VLOOKUP(C1203,'[1]خريطة الحسابات'!_xlnm.Print_Area,3,FALSE)))</f>
        <v xml:space="preserve">الخزينة </v>
      </c>
      <c r="E1203" s="132"/>
      <c r="F1203" s="133"/>
      <c r="G1203" s="133">
        <v>412</v>
      </c>
      <c r="H1203" s="134">
        <f t="shared" si="55"/>
        <v>0</v>
      </c>
      <c r="I1203" s="134">
        <f t="shared" si="55"/>
        <v>412</v>
      </c>
      <c r="J1203" s="134">
        <f t="shared" si="54"/>
        <v>-412</v>
      </c>
      <c r="K1203" s="135"/>
      <c r="L1203" s="136" t="str">
        <f t="shared" si="56"/>
        <v>دائن</v>
      </c>
      <c r="M1203" s="137" t="str">
        <f>IF(ISERROR(VLOOKUP(C1203,'[1]خريطة الحسابات'!_xlnm.Print_Area,4,FALSE))," ",(VLOOKUP(C1203,'[1]خريطة الحسابات'!_xlnm.Print_Area,4,FALSE)))</f>
        <v xml:space="preserve">أصول متداوله -النقدية ومافي حكمها </v>
      </c>
      <c r="N1203" s="138" t="str">
        <f>IF(ISERROR(VLOOKUP(C1203,'[1]خريطة الحسابات'!_xlnm.Print_Area,5,FALSE))," ",(VLOOKUP(C1203,'[1]خريطة الحسابات'!_xlnm.Print_Area,5,FALSE)))</f>
        <v>الاصول</v>
      </c>
      <c r="O1203" s="139" t="s">
        <v>1830</v>
      </c>
      <c r="P1203" s="139" t="s">
        <v>1315</v>
      </c>
    </row>
    <row r="1204" spans="1:16">
      <c r="A1204" s="104">
        <v>55</v>
      </c>
      <c r="B1204" s="131">
        <v>46046</v>
      </c>
      <c r="C1204" s="141">
        <v>20</v>
      </c>
      <c r="D1204" s="140" t="str">
        <f>IF(ISERROR(VLOOKUP(C1204,'[1]خريطة الحسابات'!_xlnm.Print_Area,3,FALSE))," ",(VLOOKUP(C1204,'[1]خريطة الحسابات'!_xlnm.Print_Area,3,FALSE)))</f>
        <v xml:space="preserve">الخزينة </v>
      </c>
      <c r="E1204" s="132"/>
      <c r="F1204" s="133"/>
      <c r="G1204" s="133">
        <v>570</v>
      </c>
      <c r="H1204" s="134">
        <f t="shared" si="55"/>
        <v>0</v>
      </c>
      <c r="I1204" s="134">
        <f t="shared" si="55"/>
        <v>570</v>
      </c>
      <c r="J1204" s="134">
        <f t="shared" si="54"/>
        <v>-570</v>
      </c>
      <c r="K1204" s="135"/>
      <c r="L1204" s="136" t="str">
        <f t="shared" si="56"/>
        <v>دائن</v>
      </c>
      <c r="M1204" s="137" t="str">
        <f>IF(ISERROR(VLOOKUP(C1204,'[1]خريطة الحسابات'!_xlnm.Print_Area,4,FALSE))," ",(VLOOKUP(C1204,'[1]خريطة الحسابات'!_xlnm.Print_Area,4,FALSE)))</f>
        <v xml:space="preserve">أصول متداوله -النقدية ومافي حكمها </v>
      </c>
      <c r="N1204" s="138" t="str">
        <f>IF(ISERROR(VLOOKUP(C1204,'[1]خريطة الحسابات'!_xlnm.Print_Area,5,FALSE))," ",(VLOOKUP(C1204,'[1]خريطة الحسابات'!_xlnm.Print_Area,5,FALSE)))</f>
        <v>الاصول</v>
      </c>
      <c r="O1204" s="139" t="s">
        <v>1830</v>
      </c>
      <c r="P1204" s="139" t="s">
        <v>1315</v>
      </c>
    </row>
    <row r="1205" spans="1:16">
      <c r="A1205" s="104">
        <v>55</v>
      </c>
      <c r="B1205" s="131">
        <v>46050</v>
      </c>
      <c r="C1205" s="141">
        <v>20</v>
      </c>
      <c r="D1205" s="140" t="str">
        <f>IF(ISERROR(VLOOKUP(C1205,'[1]خريطة الحسابات'!_xlnm.Print_Area,3,FALSE))," ",(VLOOKUP(C1205,'[1]خريطة الحسابات'!_xlnm.Print_Area,3,FALSE)))</f>
        <v xml:space="preserve">الخزينة </v>
      </c>
      <c r="E1205" s="132"/>
      <c r="F1205" s="133"/>
      <c r="G1205" s="133">
        <v>665</v>
      </c>
      <c r="H1205" s="134">
        <f t="shared" si="55"/>
        <v>0</v>
      </c>
      <c r="I1205" s="134">
        <f t="shared" si="55"/>
        <v>665</v>
      </c>
      <c r="J1205" s="134">
        <f t="shared" si="54"/>
        <v>-665</v>
      </c>
      <c r="K1205" s="135"/>
      <c r="L1205" s="136" t="str">
        <f t="shared" si="56"/>
        <v>دائن</v>
      </c>
      <c r="M1205" s="137" t="str">
        <f>IF(ISERROR(VLOOKUP(C1205,'[1]خريطة الحسابات'!_xlnm.Print_Area,4,FALSE))," ",(VLOOKUP(C1205,'[1]خريطة الحسابات'!_xlnm.Print_Area,4,FALSE)))</f>
        <v xml:space="preserve">أصول متداوله -النقدية ومافي حكمها </v>
      </c>
      <c r="N1205" s="138" t="str">
        <f>IF(ISERROR(VLOOKUP(C1205,'[1]خريطة الحسابات'!_xlnm.Print_Area,5,FALSE))," ",(VLOOKUP(C1205,'[1]خريطة الحسابات'!_xlnm.Print_Area,5,FALSE)))</f>
        <v>الاصول</v>
      </c>
      <c r="O1205" s="139" t="s">
        <v>1832</v>
      </c>
      <c r="P1205" s="139" t="s">
        <v>1315</v>
      </c>
    </row>
    <row r="1206" spans="1:16">
      <c r="A1206" s="104">
        <v>55</v>
      </c>
      <c r="B1206" s="131">
        <v>46121</v>
      </c>
      <c r="C1206" s="141">
        <v>20</v>
      </c>
      <c r="D1206" s="140" t="str">
        <f>IF(ISERROR(VLOOKUP(C1206,'[1]خريطة الحسابات'!_xlnm.Print_Area,3,FALSE))," ",(VLOOKUP(C1206,'[1]خريطة الحسابات'!_xlnm.Print_Area,3,FALSE)))</f>
        <v xml:space="preserve">الخزينة </v>
      </c>
      <c r="E1206" s="132"/>
      <c r="F1206" s="133"/>
      <c r="G1206" s="133">
        <v>3795</v>
      </c>
      <c r="H1206" s="134">
        <f t="shared" si="55"/>
        <v>0</v>
      </c>
      <c r="I1206" s="134">
        <f t="shared" si="55"/>
        <v>3795</v>
      </c>
      <c r="J1206" s="134">
        <f t="shared" si="54"/>
        <v>-3795</v>
      </c>
      <c r="K1206" s="135"/>
      <c r="L1206" s="136" t="str">
        <f t="shared" si="56"/>
        <v>دائن</v>
      </c>
      <c r="M1206" s="137" t="str">
        <f>IF(ISERROR(VLOOKUP(C1206,'[1]خريطة الحسابات'!_xlnm.Print_Area,4,FALSE))," ",(VLOOKUP(C1206,'[1]خريطة الحسابات'!_xlnm.Print_Area,4,FALSE)))</f>
        <v xml:space="preserve">أصول متداوله -النقدية ومافي حكمها </v>
      </c>
      <c r="N1206" s="138" t="str">
        <f>IF(ISERROR(VLOOKUP(C1206,'[1]خريطة الحسابات'!_xlnm.Print_Area,5,FALSE))," ",(VLOOKUP(C1206,'[1]خريطة الحسابات'!_xlnm.Print_Area,5,FALSE)))</f>
        <v>الاصول</v>
      </c>
      <c r="O1206" s="139" t="s">
        <v>1833</v>
      </c>
      <c r="P1206" s="139" t="s">
        <v>1315</v>
      </c>
    </row>
    <row r="1207" spans="1:16">
      <c r="A1207" s="104">
        <v>55</v>
      </c>
      <c r="B1207" s="131">
        <v>46166</v>
      </c>
      <c r="C1207" s="141">
        <v>20</v>
      </c>
      <c r="D1207" s="140" t="str">
        <f>IF(ISERROR(VLOOKUP(C1207,'[1]خريطة الحسابات'!_xlnm.Print_Area,3,FALSE))," ",(VLOOKUP(C1207,'[1]خريطة الحسابات'!_xlnm.Print_Area,3,FALSE)))</f>
        <v xml:space="preserve">الخزينة </v>
      </c>
      <c r="E1207" s="132"/>
      <c r="F1207" s="133"/>
      <c r="G1207" s="133">
        <v>2200</v>
      </c>
      <c r="H1207" s="134">
        <f t="shared" si="55"/>
        <v>0</v>
      </c>
      <c r="I1207" s="134">
        <f t="shared" si="55"/>
        <v>2200</v>
      </c>
      <c r="J1207" s="134">
        <f t="shared" si="54"/>
        <v>-2200</v>
      </c>
      <c r="K1207" s="135"/>
      <c r="L1207" s="136" t="str">
        <f t="shared" si="56"/>
        <v>دائن</v>
      </c>
      <c r="M1207" s="137" t="str">
        <f>IF(ISERROR(VLOOKUP(C1207,'[1]خريطة الحسابات'!_xlnm.Print_Area,4,FALSE))," ",(VLOOKUP(C1207,'[1]خريطة الحسابات'!_xlnm.Print_Area,4,FALSE)))</f>
        <v xml:space="preserve">أصول متداوله -النقدية ومافي حكمها </v>
      </c>
      <c r="N1207" s="138" t="str">
        <f>IF(ISERROR(VLOOKUP(C1207,'[1]خريطة الحسابات'!_xlnm.Print_Area,5,FALSE))," ",(VLOOKUP(C1207,'[1]خريطة الحسابات'!_xlnm.Print_Area,5,FALSE)))</f>
        <v>الاصول</v>
      </c>
      <c r="O1207" s="139" t="s">
        <v>1834</v>
      </c>
      <c r="P1207" s="139" t="s">
        <v>1315</v>
      </c>
    </row>
    <row r="1208" spans="1:16">
      <c r="A1208" s="104">
        <v>55</v>
      </c>
      <c r="B1208" s="131">
        <v>46133</v>
      </c>
      <c r="C1208" s="141">
        <v>20</v>
      </c>
      <c r="D1208" s="140" t="str">
        <f>IF(ISERROR(VLOOKUP(C1208,'[1]خريطة الحسابات'!_xlnm.Print_Area,3,FALSE))," ",(VLOOKUP(C1208,'[1]خريطة الحسابات'!_xlnm.Print_Area,3,FALSE)))</f>
        <v xml:space="preserve">الخزينة </v>
      </c>
      <c r="E1208" s="132"/>
      <c r="F1208" s="133"/>
      <c r="G1208" s="133">
        <v>96837</v>
      </c>
      <c r="H1208" s="134">
        <f t="shared" si="55"/>
        <v>0</v>
      </c>
      <c r="I1208" s="134">
        <f t="shared" si="55"/>
        <v>96837</v>
      </c>
      <c r="J1208" s="134">
        <f t="shared" si="54"/>
        <v>-96837</v>
      </c>
      <c r="K1208" s="135"/>
      <c r="L1208" s="136" t="str">
        <f t="shared" si="56"/>
        <v>دائن</v>
      </c>
      <c r="M1208" s="137" t="str">
        <f>IF(ISERROR(VLOOKUP(C1208,'[1]خريطة الحسابات'!_xlnm.Print_Area,4,FALSE))," ",(VLOOKUP(C1208,'[1]خريطة الحسابات'!_xlnm.Print_Area,4,FALSE)))</f>
        <v xml:space="preserve">أصول متداوله -النقدية ومافي حكمها </v>
      </c>
      <c r="N1208" s="138" t="str">
        <f>IF(ISERROR(VLOOKUP(C1208,'[1]خريطة الحسابات'!_xlnm.Print_Area,5,FALSE))," ",(VLOOKUP(C1208,'[1]خريطة الحسابات'!_xlnm.Print_Area,5,FALSE)))</f>
        <v>الاصول</v>
      </c>
      <c r="O1208" s="139" t="s">
        <v>1799</v>
      </c>
      <c r="P1208" s="139" t="s">
        <v>1489</v>
      </c>
    </row>
    <row r="1209" spans="1:16">
      <c r="A1209" s="104">
        <v>55</v>
      </c>
      <c r="B1209" s="131">
        <v>46030</v>
      </c>
      <c r="C1209" s="141">
        <v>20</v>
      </c>
      <c r="D1209" s="140" t="str">
        <f>IF(ISERROR(VLOOKUP(C1209,'[1]خريطة الحسابات'!_xlnm.Print_Area,3,FALSE))," ",(VLOOKUP(C1209,'[1]خريطة الحسابات'!_xlnm.Print_Area,3,FALSE)))</f>
        <v xml:space="preserve">الخزينة </v>
      </c>
      <c r="E1209" s="132"/>
      <c r="F1209" s="133"/>
      <c r="G1209" s="133">
        <v>5005</v>
      </c>
      <c r="H1209" s="134">
        <f t="shared" si="55"/>
        <v>0</v>
      </c>
      <c r="I1209" s="134">
        <f t="shared" si="55"/>
        <v>5005</v>
      </c>
      <c r="J1209" s="134">
        <f t="shared" si="54"/>
        <v>-5005</v>
      </c>
      <c r="K1209" s="135"/>
      <c r="L1209" s="136" t="str">
        <f t="shared" si="56"/>
        <v>دائن</v>
      </c>
      <c r="M1209" s="137" t="str">
        <f>IF(ISERROR(VLOOKUP(C1209,'[1]خريطة الحسابات'!_xlnm.Print_Area,4,FALSE))," ",(VLOOKUP(C1209,'[1]خريطة الحسابات'!_xlnm.Print_Area,4,FALSE)))</f>
        <v xml:space="preserve">أصول متداوله -النقدية ومافي حكمها </v>
      </c>
      <c r="N1209" s="138" t="str">
        <f>IF(ISERROR(VLOOKUP(C1209,'[1]خريطة الحسابات'!_xlnm.Print_Area,5,FALSE))," ",(VLOOKUP(C1209,'[1]خريطة الحسابات'!_xlnm.Print_Area,5,FALSE)))</f>
        <v>الاصول</v>
      </c>
      <c r="O1209" s="139" t="s">
        <v>1835</v>
      </c>
      <c r="P1209" s="139" t="s">
        <v>1405</v>
      </c>
    </row>
    <row r="1210" spans="1:16">
      <c r="A1210" s="104">
        <v>55</v>
      </c>
      <c r="B1210" s="131">
        <v>46097</v>
      </c>
      <c r="C1210" s="141">
        <v>20</v>
      </c>
      <c r="D1210" s="140" t="str">
        <f>IF(ISERROR(VLOOKUP(C1210,'[1]خريطة الحسابات'!_xlnm.Print_Area,3,FALSE))," ",(VLOOKUP(C1210,'[1]خريطة الحسابات'!_xlnm.Print_Area,3,FALSE)))</f>
        <v xml:space="preserve">الخزينة </v>
      </c>
      <c r="E1210" s="132"/>
      <c r="F1210" s="133"/>
      <c r="G1210" s="133">
        <v>4000</v>
      </c>
      <c r="H1210" s="134">
        <f t="shared" si="55"/>
        <v>0</v>
      </c>
      <c r="I1210" s="134">
        <f t="shared" si="55"/>
        <v>4000</v>
      </c>
      <c r="J1210" s="134">
        <f t="shared" si="54"/>
        <v>-4000</v>
      </c>
      <c r="K1210" s="135"/>
      <c r="L1210" s="136" t="str">
        <f t="shared" si="56"/>
        <v>دائن</v>
      </c>
      <c r="M1210" s="137" t="str">
        <f>IF(ISERROR(VLOOKUP(C1210,'[1]خريطة الحسابات'!_xlnm.Print_Area,4,FALSE))," ",(VLOOKUP(C1210,'[1]خريطة الحسابات'!_xlnm.Print_Area,4,FALSE)))</f>
        <v xml:space="preserve">أصول متداوله -النقدية ومافي حكمها </v>
      </c>
      <c r="N1210" s="138" t="str">
        <f>IF(ISERROR(VLOOKUP(C1210,'[1]خريطة الحسابات'!_xlnm.Print_Area,5,FALSE))," ",(VLOOKUP(C1210,'[1]خريطة الحسابات'!_xlnm.Print_Area,5,FALSE)))</f>
        <v>الاصول</v>
      </c>
      <c r="O1210" s="139" t="s">
        <v>1836</v>
      </c>
      <c r="P1210" s="139" t="s">
        <v>1405</v>
      </c>
    </row>
    <row r="1211" spans="1:16">
      <c r="A1211" s="104">
        <v>55</v>
      </c>
      <c r="B1211" s="131">
        <v>46064</v>
      </c>
      <c r="C1211" s="141">
        <v>20</v>
      </c>
      <c r="D1211" s="140" t="str">
        <f>IF(ISERROR(VLOOKUP(C1211,'[1]خريطة الحسابات'!_xlnm.Print_Area,3,FALSE))," ",(VLOOKUP(C1211,'[1]خريطة الحسابات'!_xlnm.Print_Area,3,FALSE)))</f>
        <v xml:space="preserve">الخزينة </v>
      </c>
      <c r="E1211" s="132"/>
      <c r="F1211" s="133"/>
      <c r="G1211" s="133">
        <v>350</v>
      </c>
      <c r="H1211" s="134">
        <f t="shared" si="55"/>
        <v>0</v>
      </c>
      <c r="I1211" s="134">
        <f t="shared" si="55"/>
        <v>350</v>
      </c>
      <c r="J1211" s="134">
        <f t="shared" si="54"/>
        <v>-350</v>
      </c>
      <c r="K1211" s="135"/>
      <c r="L1211" s="136" t="str">
        <f t="shared" si="56"/>
        <v>دائن</v>
      </c>
      <c r="M1211" s="137" t="str">
        <f>IF(ISERROR(VLOOKUP(C1211,'[1]خريطة الحسابات'!_xlnm.Print_Area,4,FALSE))," ",(VLOOKUP(C1211,'[1]خريطة الحسابات'!_xlnm.Print_Area,4,FALSE)))</f>
        <v xml:space="preserve">أصول متداوله -النقدية ومافي حكمها </v>
      </c>
      <c r="N1211" s="138" t="str">
        <f>IF(ISERROR(VLOOKUP(C1211,'[1]خريطة الحسابات'!_xlnm.Print_Area,5,FALSE))," ",(VLOOKUP(C1211,'[1]خريطة الحسابات'!_xlnm.Print_Area,5,FALSE)))</f>
        <v>الاصول</v>
      </c>
      <c r="O1211" s="139" t="s">
        <v>1837</v>
      </c>
      <c r="P1211" s="139" t="s">
        <v>1325</v>
      </c>
    </row>
    <row r="1212" spans="1:16">
      <c r="A1212" s="104">
        <v>55</v>
      </c>
      <c r="B1212" s="131">
        <v>46065</v>
      </c>
      <c r="C1212" s="141">
        <v>20</v>
      </c>
      <c r="D1212" s="140" t="str">
        <f>IF(ISERROR(VLOOKUP(C1212,'[1]خريطة الحسابات'!_xlnm.Print_Area,3,FALSE))," ",(VLOOKUP(C1212,'[1]خريطة الحسابات'!_xlnm.Print_Area,3,FALSE)))</f>
        <v xml:space="preserve">الخزينة </v>
      </c>
      <c r="E1212" s="132"/>
      <c r="F1212" s="133"/>
      <c r="G1212" s="133">
        <v>8590</v>
      </c>
      <c r="H1212" s="134">
        <f t="shared" si="55"/>
        <v>0</v>
      </c>
      <c r="I1212" s="134">
        <f t="shared" si="55"/>
        <v>8590</v>
      </c>
      <c r="J1212" s="134">
        <f t="shared" si="54"/>
        <v>-8590</v>
      </c>
      <c r="K1212" s="135"/>
      <c r="L1212" s="136" t="str">
        <f t="shared" si="56"/>
        <v>دائن</v>
      </c>
      <c r="M1212" s="137" t="str">
        <f>IF(ISERROR(VLOOKUP(C1212,'[1]خريطة الحسابات'!_xlnm.Print_Area,4,FALSE))," ",(VLOOKUP(C1212,'[1]خريطة الحسابات'!_xlnm.Print_Area,4,FALSE)))</f>
        <v xml:space="preserve">أصول متداوله -النقدية ومافي حكمها </v>
      </c>
      <c r="N1212" s="138" t="str">
        <f>IF(ISERROR(VLOOKUP(C1212,'[1]خريطة الحسابات'!_xlnm.Print_Area,5,FALSE))," ",(VLOOKUP(C1212,'[1]خريطة الحسابات'!_xlnm.Print_Area,5,FALSE)))</f>
        <v>الاصول</v>
      </c>
      <c r="O1212" s="139" t="s">
        <v>1838</v>
      </c>
      <c r="P1212" s="139" t="s">
        <v>1325</v>
      </c>
    </row>
    <row r="1213" spans="1:16">
      <c r="A1213" s="104">
        <v>55</v>
      </c>
      <c r="B1213" s="131">
        <v>46070</v>
      </c>
      <c r="C1213" s="141">
        <v>20</v>
      </c>
      <c r="D1213" s="140" t="str">
        <f>IF(ISERROR(VLOOKUP(C1213,'[1]خريطة الحسابات'!_xlnm.Print_Area,3,FALSE))," ",(VLOOKUP(C1213,'[1]خريطة الحسابات'!_xlnm.Print_Area,3,FALSE)))</f>
        <v xml:space="preserve">الخزينة </v>
      </c>
      <c r="E1213" s="132"/>
      <c r="F1213" s="133"/>
      <c r="G1213" s="133">
        <v>2000</v>
      </c>
      <c r="H1213" s="134">
        <f t="shared" si="55"/>
        <v>0</v>
      </c>
      <c r="I1213" s="134">
        <f t="shared" si="55"/>
        <v>2000</v>
      </c>
      <c r="J1213" s="134">
        <f t="shared" si="54"/>
        <v>-2000</v>
      </c>
      <c r="K1213" s="135"/>
      <c r="L1213" s="136" t="str">
        <f t="shared" si="56"/>
        <v>دائن</v>
      </c>
      <c r="M1213" s="137" t="str">
        <f>IF(ISERROR(VLOOKUP(C1213,'[1]خريطة الحسابات'!_xlnm.Print_Area,4,FALSE))," ",(VLOOKUP(C1213,'[1]خريطة الحسابات'!_xlnm.Print_Area,4,FALSE)))</f>
        <v xml:space="preserve">أصول متداوله -النقدية ومافي حكمها </v>
      </c>
      <c r="N1213" s="138" t="str">
        <f>IF(ISERROR(VLOOKUP(C1213,'[1]خريطة الحسابات'!_xlnm.Print_Area,5,FALSE))," ",(VLOOKUP(C1213,'[1]خريطة الحسابات'!_xlnm.Print_Area,5,FALSE)))</f>
        <v>الاصول</v>
      </c>
      <c r="O1213" s="139" t="s">
        <v>1839</v>
      </c>
      <c r="P1213" s="139" t="s">
        <v>1325</v>
      </c>
    </row>
    <row r="1214" spans="1:16">
      <c r="A1214" s="104">
        <v>55</v>
      </c>
      <c r="B1214" s="131">
        <v>46084</v>
      </c>
      <c r="C1214" s="141">
        <v>20</v>
      </c>
      <c r="D1214" s="140" t="str">
        <f>IF(ISERROR(VLOOKUP(C1214,'[1]خريطة الحسابات'!_xlnm.Print_Area,3,FALSE))," ",(VLOOKUP(C1214,'[1]خريطة الحسابات'!_xlnm.Print_Area,3,FALSE)))</f>
        <v xml:space="preserve">الخزينة </v>
      </c>
      <c r="E1214" s="132"/>
      <c r="F1214" s="133"/>
      <c r="G1214" s="133">
        <v>450</v>
      </c>
      <c r="H1214" s="134">
        <f t="shared" si="55"/>
        <v>0</v>
      </c>
      <c r="I1214" s="134">
        <f t="shared" si="55"/>
        <v>450</v>
      </c>
      <c r="J1214" s="134">
        <f t="shared" si="54"/>
        <v>-450</v>
      </c>
      <c r="K1214" s="135"/>
      <c r="L1214" s="136" t="str">
        <f t="shared" si="56"/>
        <v>دائن</v>
      </c>
      <c r="M1214" s="137" t="str">
        <f>IF(ISERROR(VLOOKUP(C1214,'[1]خريطة الحسابات'!_xlnm.Print_Area,4,FALSE))," ",(VLOOKUP(C1214,'[1]خريطة الحسابات'!_xlnm.Print_Area,4,FALSE)))</f>
        <v xml:space="preserve">أصول متداوله -النقدية ومافي حكمها </v>
      </c>
      <c r="N1214" s="138" t="str">
        <f>IF(ISERROR(VLOOKUP(C1214,'[1]خريطة الحسابات'!_xlnm.Print_Area,5,FALSE))," ",(VLOOKUP(C1214,'[1]خريطة الحسابات'!_xlnm.Print_Area,5,FALSE)))</f>
        <v>الاصول</v>
      </c>
      <c r="O1214" s="139" t="s">
        <v>1840</v>
      </c>
      <c r="P1214" s="139" t="s">
        <v>1325</v>
      </c>
    </row>
    <row r="1215" spans="1:16">
      <c r="A1215" s="104">
        <v>55</v>
      </c>
      <c r="B1215" s="131">
        <v>46120</v>
      </c>
      <c r="C1215" s="141">
        <v>20</v>
      </c>
      <c r="D1215" s="140" t="str">
        <f>IF(ISERROR(VLOOKUP(C1215,'[1]خريطة الحسابات'!_xlnm.Print_Area,3,FALSE))," ",(VLOOKUP(C1215,'[1]خريطة الحسابات'!_xlnm.Print_Area,3,FALSE)))</f>
        <v xml:space="preserve">الخزينة </v>
      </c>
      <c r="E1215" s="132"/>
      <c r="F1215" s="133"/>
      <c r="G1215" s="133">
        <v>525</v>
      </c>
      <c r="H1215" s="134">
        <f t="shared" si="55"/>
        <v>0</v>
      </c>
      <c r="I1215" s="134">
        <f t="shared" si="55"/>
        <v>525</v>
      </c>
      <c r="J1215" s="134">
        <f t="shared" si="54"/>
        <v>-525</v>
      </c>
      <c r="K1215" s="135"/>
      <c r="L1215" s="136" t="str">
        <f t="shared" si="56"/>
        <v>دائن</v>
      </c>
      <c r="M1215" s="137" t="str">
        <f>IF(ISERROR(VLOOKUP(C1215,'[1]خريطة الحسابات'!_xlnm.Print_Area,4,FALSE))," ",(VLOOKUP(C1215,'[1]خريطة الحسابات'!_xlnm.Print_Area,4,FALSE)))</f>
        <v xml:space="preserve">أصول متداوله -النقدية ومافي حكمها </v>
      </c>
      <c r="N1215" s="138" t="str">
        <f>IF(ISERROR(VLOOKUP(C1215,'[1]خريطة الحسابات'!_xlnm.Print_Area,5,FALSE))," ",(VLOOKUP(C1215,'[1]خريطة الحسابات'!_xlnm.Print_Area,5,FALSE)))</f>
        <v>الاصول</v>
      </c>
      <c r="O1215" s="139" t="s">
        <v>1841</v>
      </c>
      <c r="P1215" s="139" t="s">
        <v>1383</v>
      </c>
    </row>
    <row r="1216" spans="1:16">
      <c r="A1216" s="104">
        <v>55</v>
      </c>
      <c r="B1216" s="131">
        <v>46148</v>
      </c>
      <c r="C1216" s="141">
        <v>20</v>
      </c>
      <c r="D1216" s="140" t="str">
        <f>IF(ISERROR(VLOOKUP(C1216,'[1]خريطة الحسابات'!_xlnm.Print_Area,3,FALSE))," ",(VLOOKUP(C1216,'[1]خريطة الحسابات'!_xlnm.Print_Area,3,FALSE)))</f>
        <v xml:space="preserve">الخزينة </v>
      </c>
      <c r="E1216" s="132"/>
      <c r="F1216" s="133"/>
      <c r="G1216" s="133">
        <v>1200</v>
      </c>
      <c r="H1216" s="134">
        <f t="shared" si="55"/>
        <v>0</v>
      </c>
      <c r="I1216" s="134">
        <f t="shared" si="55"/>
        <v>1200</v>
      </c>
      <c r="J1216" s="134">
        <f t="shared" si="54"/>
        <v>-1200</v>
      </c>
      <c r="K1216" s="135"/>
      <c r="L1216" s="136" t="str">
        <f t="shared" si="56"/>
        <v>دائن</v>
      </c>
      <c r="M1216" s="137" t="str">
        <f>IF(ISERROR(VLOOKUP(C1216,'[1]خريطة الحسابات'!_xlnm.Print_Area,4,FALSE))," ",(VLOOKUP(C1216,'[1]خريطة الحسابات'!_xlnm.Print_Area,4,FALSE)))</f>
        <v xml:space="preserve">أصول متداوله -النقدية ومافي حكمها </v>
      </c>
      <c r="N1216" s="138" t="str">
        <f>IF(ISERROR(VLOOKUP(C1216,'[1]خريطة الحسابات'!_xlnm.Print_Area,5,FALSE))," ",(VLOOKUP(C1216,'[1]خريطة الحسابات'!_xlnm.Print_Area,5,FALSE)))</f>
        <v>الاصول</v>
      </c>
      <c r="O1216" s="139" t="s">
        <v>1842</v>
      </c>
      <c r="P1216" s="139" t="s">
        <v>1383</v>
      </c>
    </row>
    <row r="1217" spans="1:16">
      <c r="A1217" s="104">
        <v>55</v>
      </c>
      <c r="B1217" s="131">
        <v>46159</v>
      </c>
      <c r="C1217" s="141">
        <v>20</v>
      </c>
      <c r="D1217" s="140" t="str">
        <f>IF(ISERROR(VLOOKUP(C1217,'[1]خريطة الحسابات'!_xlnm.Print_Area,3,FALSE))," ",(VLOOKUP(C1217,'[1]خريطة الحسابات'!_xlnm.Print_Area,3,FALSE)))</f>
        <v xml:space="preserve">الخزينة </v>
      </c>
      <c r="E1217" s="132"/>
      <c r="F1217" s="133"/>
      <c r="G1217" s="133">
        <v>555</v>
      </c>
      <c r="H1217" s="134">
        <f t="shared" si="55"/>
        <v>0</v>
      </c>
      <c r="I1217" s="134">
        <f t="shared" si="55"/>
        <v>555</v>
      </c>
      <c r="J1217" s="134">
        <f t="shared" si="54"/>
        <v>-555</v>
      </c>
      <c r="K1217" s="135"/>
      <c r="L1217" s="136" t="str">
        <f t="shared" si="56"/>
        <v>دائن</v>
      </c>
      <c r="M1217" s="137" t="str">
        <f>IF(ISERROR(VLOOKUP(C1217,'[1]خريطة الحسابات'!_xlnm.Print_Area,4,FALSE))," ",(VLOOKUP(C1217,'[1]خريطة الحسابات'!_xlnm.Print_Area,4,FALSE)))</f>
        <v xml:space="preserve">أصول متداوله -النقدية ومافي حكمها </v>
      </c>
      <c r="N1217" s="138" t="str">
        <f>IF(ISERROR(VLOOKUP(C1217,'[1]خريطة الحسابات'!_xlnm.Print_Area,5,FALSE))," ",(VLOOKUP(C1217,'[1]خريطة الحسابات'!_xlnm.Print_Area,5,FALSE)))</f>
        <v>الاصول</v>
      </c>
      <c r="O1217" s="139" t="s">
        <v>1843</v>
      </c>
      <c r="P1217" s="139" t="s">
        <v>1383</v>
      </c>
    </row>
    <row r="1218" spans="1:16">
      <c r="A1218" s="104">
        <v>55</v>
      </c>
      <c r="B1218" s="131">
        <v>46042</v>
      </c>
      <c r="C1218" s="141">
        <v>20</v>
      </c>
      <c r="D1218" s="140" t="str">
        <f>IF(ISERROR(VLOOKUP(C1218,'[1]خريطة الحسابات'!_xlnm.Print_Area,3,FALSE))," ",(VLOOKUP(C1218,'[1]خريطة الحسابات'!_xlnm.Print_Area,3,FALSE)))</f>
        <v xml:space="preserve">الخزينة </v>
      </c>
      <c r="E1218" s="132"/>
      <c r="F1218" s="133"/>
      <c r="G1218" s="133">
        <v>548</v>
      </c>
      <c r="H1218" s="134">
        <f t="shared" si="55"/>
        <v>0</v>
      </c>
      <c r="I1218" s="134">
        <f t="shared" si="55"/>
        <v>548</v>
      </c>
      <c r="J1218" s="134">
        <f t="shared" si="54"/>
        <v>-548</v>
      </c>
      <c r="K1218" s="135"/>
      <c r="L1218" s="136" t="str">
        <f t="shared" si="56"/>
        <v>دائن</v>
      </c>
      <c r="M1218" s="137" t="str">
        <f>IF(ISERROR(VLOOKUP(C1218,'[1]خريطة الحسابات'!_xlnm.Print_Area,4,FALSE))," ",(VLOOKUP(C1218,'[1]خريطة الحسابات'!_xlnm.Print_Area,4,FALSE)))</f>
        <v xml:space="preserve">أصول متداوله -النقدية ومافي حكمها </v>
      </c>
      <c r="N1218" s="138" t="str">
        <f>IF(ISERROR(VLOOKUP(C1218,'[1]خريطة الحسابات'!_xlnm.Print_Area,5,FALSE))," ",(VLOOKUP(C1218,'[1]خريطة الحسابات'!_xlnm.Print_Area,5,FALSE)))</f>
        <v>الاصول</v>
      </c>
      <c r="O1218" s="139" t="s">
        <v>1844</v>
      </c>
      <c r="P1218" s="139" t="s">
        <v>1415</v>
      </c>
    </row>
    <row r="1219" spans="1:16">
      <c r="A1219" s="104">
        <v>55</v>
      </c>
      <c r="B1219" s="131">
        <v>46121</v>
      </c>
      <c r="C1219" s="141">
        <v>20</v>
      </c>
      <c r="D1219" s="140" t="str">
        <f>IF(ISERROR(VLOOKUP(C1219,'[1]خريطة الحسابات'!_xlnm.Print_Area,3,FALSE))," ",(VLOOKUP(C1219,'[1]خريطة الحسابات'!_xlnm.Print_Area,3,FALSE)))</f>
        <v xml:space="preserve">الخزينة </v>
      </c>
      <c r="E1219" s="132"/>
      <c r="F1219" s="133"/>
      <c r="G1219" s="133">
        <v>870</v>
      </c>
      <c r="H1219" s="134">
        <f t="shared" si="55"/>
        <v>0</v>
      </c>
      <c r="I1219" s="134">
        <f t="shared" si="55"/>
        <v>870</v>
      </c>
      <c r="J1219" s="134">
        <f t="shared" si="54"/>
        <v>-870</v>
      </c>
      <c r="K1219" s="135"/>
      <c r="L1219" s="136" t="str">
        <f t="shared" si="56"/>
        <v>دائن</v>
      </c>
      <c r="M1219" s="137" t="str">
        <f>IF(ISERROR(VLOOKUP(C1219,'[1]خريطة الحسابات'!_xlnm.Print_Area,4,FALSE))," ",(VLOOKUP(C1219,'[1]خريطة الحسابات'!_xlnm.Print_Area,4,FALSE)))</f>
        <v xml:space="preserve">أصول متداوله -النقدية ومافي حكمها </v>
      </c>
      <c r="N1219" s="138" t="str">
        <f>IF(ISERROR(VLOOKUP(C1219,'[1]خريطة الحسابات'!_xlnm.Print_Area,5,FALSE))," ",(VLOOKUP(C1219,'[1]خريطة الحسابات'!_xlnm.Print_Area,5,FALSE)))</f>
        <v>الاصول</v>
      </c>
      <c r="O1219" s="139" t="s">
        <v>1845</v>
      </c>
      <c r="P1219" s="139" t="s">
        <v>1317</v>
      </c>
    </row>
    <row r="1220" spans="1:16">
      <c r="A1220" s="104">
        <v>55</v>
      </c>
      <c r="B1220" s="131">
        <v>46133</v>
      </c>
      <c r="C1220" s="141">
        <v>20</v>
      </c>
      <c r="D1220" s="140" t="str">
        <f>IF(ISERROR(VLOOKUP(C1220,'[1]خريطة الحسابات'!_xlnm.Print_Area,3,FALSE))," ",(VLOOKUP(C1220,'[1]خريطة الحسابات'!_xlnm.Print_Area,3,FALSE)))</f>
        <v xml:space="preserve">الخزينة </v>
      </c>
      <c r="E1220" s="132"/>
      <c r="F1220" s="133"/>
      <c r="G1220" s="133">
        <v>149850</v>
      </c>
      <c r="H1220" s="134">
        <f t="shared" si="55"/>
        <v>0</v>
      </c>
      <c r="I1220" s="134">
        <f t="shared" si="55"/>
        <v>149850</v>
      </c>
      <c r="J1220" s="134">
        <f t="shared" si="54"/>
        <v>-149850</v>
      </c>
      <c r="K1220" s="135"/>
      <c r="L1220" s="136" t="str">
        <f t="shared" si="56"/>
        <v>دائن</v>
      </c>
      <c r="M1220" s="137" t="str">
        <f>IF(ISERROR(VLOOKUP(C1220,'[1]خريطة الحسابات'!_xlnm.Print_Area,4,FALSE))," ",(VLOOKUP(C1220,'[1]خريطة الحسابات'!_xlnm.Print_Area,4,FALSE)))</f>
        <v xml:space="preserve">أصول متداوله -النقدية ومافي حكمها </v>
      </c>
      <c r="N1220" s="138" t="str">
        <f>IF(ISERROR(VLOOKUP(C1220,'[1]خريطة الحسابات'!_xlnm.Print_Area,5,FALSE))," ",(VLOOKUP(C1220,'[1]خريطة الحسابات'!_xlnm.Print_Area,5,FALSE)))</f>
        <v>الاصول</v>
      </c>
      <c r="O1220" s="139" t="s">
        <v>1799</v>
      </c>
      <c r="P1220" s="139" t="s">
        <v>1317</v>
      </c>
    </row>
    <row r="1221" spans="1:16">
      <c r="A1221" s="104">
        <v>55</v>
      </c>
      <c r="B1221" s="131">
        <v>46184</v>
      </c>
      <c r="C1221" s="141">
        <v>20</v>
      </c>
      <c r="D1221" s="140" t="str">
        <f>IF(ISERROR(VLOOKUP(C1221,'[1]خريطة الحسابات'!_xlnm.Print_Area,3,FALSE))," ",(VLOOKUP(C1221,'[1]خريطة الحسابات'!_xlnm.Print_Area,3,FALSE)))</f>
        <v xml:space="preserve">الخزينة </v>
      </c>
      <c r="E1221" s="132"/>
      <c r="F1221" s="133"/>
      <c r="G1221" s="133">
        <v>15085</v>
      </c>
      <c r="H1221" s="134">
        <f t="shared" si="55"/>
        <v>0</v>
      </c>
      <c r="I1221" s="134">
        <f t="shared" si="55"/>
        <v>15085</v>
      </c>
      <c r="J1221" s="134">
        <f t="shared" si="54"/>
        <v>-15085</v>
      </c>
      <c r="K1221" s="135"/>
      <c r="L1221" s="136" t="str">
        <f t="shared" si="56"/>
        <v>دائن</v>
      </c>
      <c r="M1221" s="137" t="str">
        <f>IF(ISERROR(VLOOKUP(C1221,'[1]خريطة الحسابات'!_xlnm.Print_Area,4,FALSE))," ",(VLOOKUP(C1221,'[1]خريطة الحسابات'!_xlnm.Print_Area,4,FALSE)))</f>
        <v xml:space="preserve">أصول متداوله -النقدية ومافي حكمها </v>
      </c>
      <c r="N1221" s="138" t="str">
        <f>IF(ISERROR(VLOOKUP(C1221,'[1]خريطة الحسابات'!_xlnm.Print_Area,5,FALSE))," ",(VLOOKUP(C1221,'[1]خريطة الحسابات'!_xlnm.Print_Area,5,FALSE)))</f>
        <v>الاصول</v>
      </c>
      <c r="O1221" s="139" t="s">
        <v>1846</v>
      </c>
      <c r="P1221" s="139" t="s">
        <v>1317</v>
      </c>
    </row>
    <row r="1222" spans="1:16">
      <c r="A1222" s="104">
        <v>55</v>
      </c>
      <c r="B1222" s="131">
        <v>46187</v>
      </c>
      <c r="C1222" s="141">
        <v>20</v>
      </c>
      <c r="D1222" s="140" t="str">
        <f>IF(ISERROR(VLOOKUP(C1222,'[1]خريطة الحسابات'!_xlnm.Print_Area,3,FALSE))," ",(VLOOKUP(C1222,'[1]خريطة الحسابات'!_xlnm.Print_Area,3,FALSE)))</f>
        <v xml:space="preserve">الخزينة </v>
      </c>
      <c r="E1222" s="132"/>
      <c r="F1222" s="133"/>
      <c r="G1222" s="133">
        <v>5105</v>
      </c>
      <c r="H1222" s="134">
        <f t="shared" si="55"/>
        <v>0</v>
      </c>
      <c r="I1222" s="134">
        <f t="shared" si="55"/>
        <v>5105</v>
      </c>
      <c r="J1222" s="134">
        <f t="shared" si="54"/>
        <v>-5105</v>
      </c>
      <c r="K1222" s="135"/>
      <c r="L1222" s="136" t="str">
        <f t="shared" si="56"/>
        <v>دائن</v>
      </c>
      <c r="M1222" s="137" t="str">
        <f>IF(ISERROR(VLOOKUP(C1222,'[1]خريطة الحسابات'!_xlnm.Print_Area,4,FALSE))," ",(VLOOKUP(C1222,'[1]خريطة الحسابات'!_xlnm.Print_Area,4,FALSE)))</f>
        <v xml:space="preserve">أصول متداوله -النقدية ومافي حكمها </v>
      </c>
      <c r="N1222" s="138" t="str">
        <f>IF(ISERROR(VLOOKUP(C1222,'[1]خريطة الحسابات'!_xlnm.Print_Area,5,FALSE))," ",(VLOOKUP(C1222,'[1]خريطة الحسابات'!_xlnm.Print_Area,5,FALSE)))</f>
        <v>الاصول</v>
      </c>
      <c r="O1222" s="139" t="s">
        <v>1847</v>
      </c>
      <c r="P1222" s="139" t="s">
        <v>1317</v>
      </c>
    </row>
    <row r="1223" spans="1:16">
      <c r="A1223" s="104">
        <v>55</v>
      </c>
      <c r="B1223" s="131">
        <v>46146</v>
      </c>
      <c r="C1223" s="141">
        <v>20</v>
      </c>
      <c r="D1223" s="140" t="str">
        <f>IF(ISERROR(VLOOKUP(C1223,'[1]خريطة الحسابات'!_xlnm.Print_Area,3,FALSE))," ",(VLOOKUP(C1223,'[1]خريطة الحسابات'!_xlnm.Print_Area,3,FALSE)))</f>
        <v xml:space="preserve">الخزينة </v>
      </c>
      <c r="E1223" s="132"/>
      <c r="F1223" s="133"/>
      <c r="G1223" s="133">
        <v>2002</v>
      </c>
      <c r="H1223" s="134">
        <f t="shared" si="55"/>
        <v>0</v>
      </c>
      <c r="I1223" s="134">
        <f t="shared" si="55"/>
        <v>2002</v>
      </c>
      <c r="J1223" s="134">
        <f t="shared" si="54"/>
        <v>-2002</v>
      </c>
      <c r="K1223" s="135"/>
      <c r="L1223" s="136" t="str">
        <f t="shared" si="56"/>
        <v>دائن</v>
      </c>
      <c r="M1223" s="137" t="str">
        <f>IF(ISERROR(VLOOKUP(C1223,'[1]خريطة الحسابات'!_xlnm.Print_Area,4,FALSE))," ",(VLOOKUP(C1223,'[1]خريطة الحسابات'!_xlnm.Print_Area,4,FALSE)))</f>
        <v xml:space="preserve">أصول متداوله -النقدية ومافي حكمها </v>
      </c>
      <c r="N1223" s="138" t="str">
        <f>IF(ISERROR(VLOOKUP(C1223,'[1]خريطة الحسابات'!_xlnm.Print_Area,5,FALSE))," ",(VLOOKUP(C1223,'[1]خريطة الحسابات'!_xlnm.Print_Area,5,FALSE)))</f>
        <v>الاصول</v>
      </c>
      <c r="O1223" s="139" t="s">
        <v>1848</v>
      </c>
      <c r="P1223" s="139" t="s">
        <v>1393</v>
      </c>
    </row>
    <row r="1224" spans="1:16">
      <c r="A1224" s="104">
        <v>55</v>
      </c>
      <c r="B1224" s="131">
        <v>46184</v>
      </c>
      <c r="C1224" s="141">
        <v>20</v>
      </c>
      <c r="D1224" s="140" t="str">
        <f>IF(ISERROR(VLOOKUP(C1224,'[1]خريطة الحسابات'!_xlnm.Print_Area,3,FALSE))," ",(VLOOKUP(C1224,'[1]خريطة الحسابات'!_xlnm.Print_Area,3,FALSE)))</f>
        <v xml:space="preserve">الخزينة </v>
      </c>
      <c r="E1224" s="132"/>
      <c r="F1224" s="133"/>
      <c r="G1224" s="133">
        <v>2711</v>
      </c>
      <c r="H1224" s="134">
        <f t="shared" si="55"/>
        <v>0</v>
      </c>
      <c r="I1224" s="134">
        <f t="shared" si="55"/>
        <v>2711</v>
      </c>
      <c r="J1224" s="134">
        <f t="shared" si="54"/>
        <v>-2711</v>
      </c>
      <c r="K1224" s="135"/>
      <c r="L1224" s="136" t="str">
        <f t="shared" si="56"/>
        <v>دائن</v>
      </c>
      <c r="M1224" s="137" t="str">
        <f>IF(ISERROR(VLOOKUP(C1224,'[1]خريطة الحسابات'!_xlnm.Print_Area,4,FALSE))," ",(VLOOKUP(C1224,'[1]خريطة الحسابات'!_xlnm.Print_Area,4,FALSE)))</f>
        <v xml:space="preserve">أصول متداوله -النقدية ومافي حكمها </v>
      </c>
      <c r="N1224" s="138" t="str">
        <f>IF(ISERROR(VLOOKUP(C1224,'[1]خريطة الحسابات'!_xlnm.Print_Area,5,FALSE))," ",(VLOOKUP(C1224,'[1]خريطة الحسابات'!_xlnm.Print_Area,5,FALSE)))</f>
        <v>الاصول</v>
      </c>
      <c r="O1224" s="139" t="s">
        <v>1849</v>
      </c>
      <c r="P1224" s="139" t="s">
        <v>1393</v>
      </c>
    </row>
    <row r="1225" spans="1:16">
      <c r="A1225" s="104">
        <v>56</v>
      </c>
      <c r="B1225" s="131">
        <v>46036</v>
      </c>
      <c r="C1225" s="141" t="s">
        <v>465</v>
      </c>
      <c r="D1225" s="140" t="str">
        <f>IF(ISERROR(VLOOKUP(C1225,'[1]خريطة الحسابات'!_xlnm.Print_Area,3,FALSE))," ",(VLOOKUP(C1225,'[1]خريطة الحسابات'!_xlnm.Print_Area,3,FALSE)))</f>
        <v>خامات ومصنعية بند السباكة والصحي</v>
      </c>
      <c r="E1225" s="132"/>
      <c r="F1225" s="133">
        <v>8008</v>
      </c>
      <c r="G1225" s="133"/>
      <c r="H1225" s="134">
        <f t="shared" si="55"/>
        <v>8008</v>
      </c>
      <c r="I1225" s="134">
        <f t="shared" si="55"/>
        <v>0</v>
      </c>
      <c r="J1225" s="134">
        <f t="shared" si="54"/>
        <v>8008</v>
      </c>
      <c r="K1225" s="135"/>
      <c r="L1225" s="136" t="str">
        <f t="shared" si="56"/>
        <v>مدين</v>
      </c>
      <c r="M1225" s="137" t="str">
        <f>IF(ISERROR(VLOOKUP(C1225,'[1]خريطة الحسابات'!_xlnm.Print_Area,4,FALSE))," ",(VLOOKUP(C1225,'[1]خريطة الحسابات'!_xlnm.Print_Area,4,FALSE)))</f>
        <v>350 تكاليف مشروع شفيق</v>
      </c>
      <c r="N1225" s="138" t="str">
        <f>IF(ISERROR(VLOOKUP(C1225,'[1]خريطة الحسابات'!_xlnm.Print_Area,5,FALSE))," ",(VLOOKUP(C1225,'[1]خريطة الحسابات'!_xlnm.Print_Area,5,FALSE)))</f>
        <v xml:space="preserve">تكاليف العمليات </v>
      </c>
      <c r="O1225" s="139" t="s">
        <v>1850</v>
      </c>
      <c r="P1225" s="139" t="s">
        <v>1325</v>
      </c>
    </row>
    <row r="1226" spans="1:16">
      <c r="A1226" s="104">
        <v>56</v>
      </c>
      <c r="B1226" s="131">
        <v>46039</v>
      </c>
      <c r="C1226" s="141" t="s">
        <v>185</v>
      </c>
      <c r="D1226" s="140" t="str">
        <f>IF(ISERROR(VLOOKUP(C1226,'[1]خريطة الحسابات'!_xlnm.Print_Area,3,FALSE))," ",(VLOOKUP(C1226,'[1]خريطة الحسابات'!_xlnm.Print_Area,3,FALSE)))</f>
        <v>خامات ومصنعية بند السباكة والصحي</v>
      </c>
      <c r="E1226" s="142"/>
      <c r="F1226" s="133">
        <v>400</v>
      </c>
      <c r="G1226" s="133"/>
      <c r="H1226" s="134">
        <f t="shared" si="55"/>
        <v>400</v>
      </c>
      <c r="I1226" s="134">
        <f t="shared" si="55"/>
        <v>0</v>
      </c>
      <c r="J1226" s="134">
        <f t="shared" si="54"/>
        <v>400</v>
      </c>
      <c r="K1226" s="135"/>
      <c r="L1226" s="136" t="str">
        <f t="shared" si="56"/>
        <v>مدين</v>
      </c>
      <c r="M1226" s="137" t="str">
        <f>IF(ISERROR(VLOOKUP(C1226,'[1]خريطة الحسابات'!_xlnm.Print_Area,4,FALSE))," ",(VLOOKUP(C1226,'[1]خريطة الحسابات'!_xlnm.Print_Area,4,FALSE)))</f>
        <v>تكاليف مشروع الباتيو 235</v>
      </c>
      <c r="N1226" s="138" t="str">
        <f>IF(ISERROR(VLOOKUP(C1226,'[1]خريطة الحسابات'!_xlnm.Print_Area,5,FALSE))," ",(VLOOKUP(C1226,'[1]خريطة الحسابات'!_xlnm.Print_Area,5,FALSE)))</f>
        <v xml:space="preserve">تكاليف العمليات </v>
      </c>
      <c r="O1226" s="84" t="s">
        <v>1851</v>
      </c>
      <c r="P1226" s="84" t="s">
        <v>1304</v>
      </c>
    </row>
    <row r="1227" spans="1:16">
      <c r="A1227" s="104">
        <v>56</v>
      </c>
      <c r="B1227" s="131">
        <v>46041</v>
      </c>
      <c r="C1227" s="141" t="s">
        <v>640</v>
      </c>
      <c r="D1227" s="140" t="str">
        <f>IF(ISERROR(VLOOKUP(C1227,'[1]خريطة الحسابات'!_xlnm.Print_Area,3,FALSE))," ",(VLOOKUP(C1227,'[1]خريطة الحسابات'!_xlnm.Print_Area,3,FALSE)))</f>
        <v>خامات ومصنعية بند السباكة والصحي</v>
      </c>
      <c r="E1227" s="132"/>
      <c r="F1227" s="133">
        <v>17017</v>
      </c>
      <c r="G1227" s="133"/>
      <c r="H1227" s="134">
        <f t="shared" si="55"/>
        <v>17017</v>
      </c>
      <c r="I1227" s="134">
        <f t="shared" si="55"/>
        <v>0</v>
      </c>
      <c r="J1227" s="134">
        <f t="shared" si="54"/>
        <v>17017</v>
      </c>
      <c r="K1227" s="135"/>
      <c r="L1227" s="136" t="str">
        <f t="shared" si="56"/>
        <v>مدين</v>
      </c>
      <c r="M1227" s="137" t="str">
        <f>IF(ISERROR(VLOOKUP(C1227,'[1]خريطة الحسابات'!_xlnm.Print_Area,4,FALSE))," ",(VLOOKUP(C1227,'[1]خريطة الحسابات'!_xlnm.Print_Area,4,FALSE)))</f>
        <v>تكاليف مشروع الاندلس 364</v>
      </c>
      <c r="N1227" s="138" t="str">
        <f>IF(ISERROR(VLOOKUP(C1227,'[1]خريطة الحسابات'!_xlnm.Print_Area,5,FALSE))," ",(VLOOKUP(C1227,'[1]خريطة الحسابات'!_xlnm.Print_Area,5,FALSE)))</f>
        <v xml:space="preserve">تكاليف العمليات </v>
      </c>
      <c r="O1227" s="139" t="s">
        <v>1852</v>
      </c>
      <c r="P1227" s="139" t="s">
        <v>1299</v>
      </c>
    </row>
    <row r="1228" spans="1:16">
      <c r="A1228" s="104">
        <v>56</v>
      </c>
      <c r="B1228" s="131">
        <v>46047</v>
      </c>
      <c r="C1228" s="141" t="s">
        <v>220</v>
      </c>
      <c r="D1228" s="140" t="str">
        <f>IF(ISERROR(VLOOKUP(C1228,'[1]خريطة الحسابات'!_xlnm.Print_Area,3,FALSE))," ",(VLOOKUP(C1228,'[1]خريطة الحسابات'!_xlnm.Print_Area,3,FALSE)))</f>
        <v>خامات ومصنعية بند السباكة والصحي</v>
      </c>
      <c r="E1228" s="132"/>
      <c r="F1228" s="133">
        <v>82809</v>
      </c>
      <c r="G1228" s="133"/>
      <c r="H1228" s="134">
        <f t="shared" si="55"/>
        <v>82809</v>
      </c>
      <c r="I1228" s="134">
        <f t="shared" si="55"/>
        <v>0</v>
      </c>
      <c r="J1228" s="134">
        <f t="shared" si="54"/>
        <v>82809</v>
      </c>
      <c r="K1228" s="135"/>
      <c r="L1228" s="136" t="str">
        <f t="shared" si="56"/>
        <v>مدين</v>
      </c>
      <c r="M1228" s="137" t="str">
        <f>IF(ISERROR(VLOOKUP(C1228,'[1]خريطة الحسابات'!_xlnm.Print_Area,4,FALSE))," ",(VLOOKUP(C1228,'[1]خريطة الحسابات'!_xlnm.Print_Area,4,FALSE)))</f>
        <v>تكاليف مشروع كناريا  273</v>
      </c>
      <c r="N1228" s="138" t="str">
        <f>IF(ISERROR(VLOOKUP(C1228,'[1]خريطة الحسابات'!_xlnm.Print_Area,5,FALSE))," ",(VLOOKUP(C1228,'[1]خريطة الحسابات'!_xlnm.Print_Area,5,FALSE)))</f>
        <v xml:space="preserve">تكاليف العمليات </v>
      </c>
      <c r="O1228" s="139" t="s">
        <v>1853</v>
      </c>
      <c r="P1228" s="139" t="s">
        <v>1405</v>
      </c>
    </row>
    <row r="1229" spans="1:16">
      <c r="A1229" s="104">
        <v>56</v>
      </c>
      <c r="B1229" s="131">
        <v>46051</v>
      </c>
      <c r="C1229" s="141" t="s">
        <v>640</v>
      </c>
      <c r="D1229" s="140" t="str">
        <f>IF(ISERROR(VLOOKUP(C1229,'[1]خريطة الحسابات'!_xlnm.Print_Area,3,FALSE))," ",(VLOOKUP(C1229,'[1]خريطة الحسابات'!_xlnm.Print_Area,3,FALSE)))</f>
        <v>خامات ومصنعية بند السباكة والصحي</v>
      </c>
      <c r="E1229" s="132"/>
      <c r="F1229" s="133">
        <v>640</v>
      </c>
      <c r="G1229" s="133"/>
      <c r="H1229" s="134">
        <f t="shared" si="55"/>
        <v>640</v>
      </c>
      <c r="I1229" s="134">
        <f t="shared" si="55"/>
        <v>0</v>
      </c>
      <c r="J1229" s="134">
        <f t="shared" si="54"/>
        <v>640</v>
      </c>
      <c r="K1229" s="135"/>
      <c r="L1229" s="136" t="str">
        <f t="shared" si="56"/>
        <v>مدين</v>
      </c>
      <c r="M1229" s="137" t="str">
        <f>IF(ISERROR(VLOOKUP(C1229,'[1]خريطة الحسابات'!_xlnm.Print_Area,4,FALSE))," ",(VLOOKUP(C1229,'[1]خريطة الحسابات'!_xlnm.Print_Area,4,FALSE)))</f>
        <v>تكاليف مشروع الاندلس 364</v>
      </c>
      <c r="N1229" s="138" t="str">
        <f>IF(ISERROR(VLOOKUP(C1229,'[1]خريطة الحسابات'!_xlnm.Print_Area,5,FALSE))," ",(VLOOKUP(C1229,'[1]خريطة الحسابات'!_xlnm.Print_Area,5,FALSE)))</f>
        <v xml:space="preserve">تكاليف العمليات </v>
      </c>
      <c r="O1229" s="139" t="s">
        <v>1854</v>
      </c>
      <c r="P1229" s="139" t="s">
        <v>1299</v>
      </c>
    </row>
    <row r="1230" spans="1:16">
      <c r="A1230" s="104">
        <v>56</v>
      </c>
      <c r="B1230" s="131">
        <v>46051</v>
      </c>
      <c r="C1230" s="141" t="s">
        <v>640</v>
      </c>
      <c r="D1230" s="140" t="str">
        <f>IF(ISERROR(VLOOKUP(C1230,'[1]خريطة الحسابات'!_xlnm.Print_Area,3,FALSE))," ",(VLOOKUP(C1230,'[1]خريطة الحسابات'!_xlnm.Print_Area,3,FALSE)))</f>
        <v>خامات ومصنعية بند السباكة والصحي</v>
      </c>
      <c r="E1230" s="132"/>
      <c r="F1230" s="133">
        <v>2232</v>
      </c>
      <c r="G1230" s="133"/>
      <c r="H1230" s="134">
        <f t="shared" si="55"/>
        <v>2232</v>
      </c>
      <c r="I1230" s="134">
        <f t="shared" si="55"/>
        <v>0</v>
      </c>
      <c r="J1230" s="134">
        <f t="shared" si="54"/>
        <v>2232</v>
      </c>
      <c r="K1230" s="135"/>
      <c r="L1230" s="136" t="str">
        <f t="shared" si="56"/>
        <v>مدين</v>
      </c>
      <c r="M1230" s="137" t="str">
        <f>IF(ISERROR(VLOOKUP(C1230,'[1]خريطة الحسابات'!_xlnm.Print_Area,4,FALSE))," ",(VLOOKUP(C1230,'[1]خريطة الحسابات'!_xlnm.Print_Area,4,FALSE)))</f>
        <v>تكاليف مشروع الاندلس 364</v>
      </c>
      <c r="N1230" s="138" t="str">
        <f>IF(ISERROR(VLOOKUP(C1230,'[1]خريطة الحسابات'!_xlnm.Print_Area,5,FALSE))," ",(VLOOKUP(C1230,'[1]خريطة الحسابات'!_xlnm.Print_Area,5,FALSE)))</f>
        <v xml:space="preserve">تكاليف العمليات </v>
      </c>
      <c r="O1230" s="139" t="s">
        <v>1855</v>
      </c>
      <c r="P1230" s="139" t="s">
        <v>1299</v>
      </c>
    </row>
    <row r="1231" spans="1:16">
      <c r="A1231" s="104">
        <v>56</v>
      </c>
      <c r="B1231" s="131">
        <v>46058</v>
      </c>
      <c r="C1231" s="141" t="s">
        <v>640</v>
      </c>
      <c r="D1231" s="140" t="str">
        <f>IF(ISERROR(VLOOKUP(C1231,'[1]خريطة الحسابات'!_xlnm.Print_Area,3,FALSE))," ",(VLOOKUP(C1231,'[1]خريطة الحسابات'!_xlnm.Print_Area,3,FALSE)))</f>
        <v>خامات ومصنعية بند السباكة والصحي</v>
      </c>
      <c r="E1231" s="132"/>
      <c r="F1231" s="133">
        <v>350</v>
      </c>
      <c r="G1231" s="133"/>
      <c r="H1231" s="134">
        <f t="shared" si="55"/>
        <v>350</v>
      </c>
      <c r="I1231" s="134">
        <f t="shared" si="55"/>
        <v>0</v>
      </c>
      <c r="J1231" s="134">
        <f t="shared" si="54"/>
        <v>350</v>
      </c>
      <c r="K1231" s="135"/>
      <c r="L1231" s="136" t="str">
        <f t="shared" si="56"/>
        <v>مدين</v>
      </c>
      <c r="M1231" s="137" t="str">
        <f>IF(ISERROR(VLOOKUP(C1231,'[1]خريطة الحسابات'!_xlnm.Print_Area,4,FALSE))," ",(VLOOKUP(C1231,'[1]خريطة الحسابات'!_xlnm.Print_Area,4,FALSE)))</f>
        <v>تكاليف مشروع الاندلس 364</v>
      </c>
      <c r="N1231" s="138" t="str">
        <f>IF(ISERROR(VLOOKUP(C1231,'[1]خريطة الحسابات'!_xlnm.Print_Area,5,FALSE))," ",(VLOOKUP(C1231,'[1]خريطة الحسابات'!_xlnm.Print_Area,5,FALSE)))</f>
        <v xml:space="preserve">تكاليف العمليات </v>
      </c>
      <c r="O1231" s="139" t="s">
        <v>1856</v>
      </c>
      <c r="P1231" s="139" t="s">
        <v>1299</v>
      </c>
    </row>
    <row r="1232" spans="1:16">
      <c r="A1232" s="104">
        <v>56</v>
      </c>
      <c r="B1232" s="131">
        <v>46058</v>
      </c>
      <c r="C1232" s="141" t="s">
        <v>640</v>
      </c>
      <c r="D1232" s="140" t="str">
        <f>IF(ISERROR(VLOOKUP(C1232,'[1]خريطة الحسابات'!_xlnm.Print_Area,3,FALSE))," ",(VLOOKUP(C1232,'[1]خريطة الحسابات'!_xlnm.Print_Area,3,FALSE)))</f>
        <v>خامات ومصنعية بند السباكة والصحي</v>
      </c>
      <c r="E1232" s="132"/>
      <c r="F1232" s="133">
        <v>1500</v>
      </c>
      <c r="G1232" s="133"/>
      <c r="H1232" s="134">
        <f t="shared" si="55"/>
        <v>1500</v>
      </c>
      <c r="I1232" s="134">
        <f t="shared" si="55"/>
        <v>0</v>
      </c>
      <c r="J1232" s="134">
        <f t="shared" si="54"/>
        <v>1500</v>
      </c>
      <c r="K1232" s="135"/>
      <c r="L1232" s="136" t="str">
        <f t="shared" si="56"/>
        <v>مدين</v>
      </c>
      <c r="M1232" s="137" t="str">
        <f>IF(ISERROR(VLOOKUP(C1232,'[1]خريطة الحسابات'!_xlnm.Print_Area,4,FALSE))," ",(VLOOKUP(C1232,'[1]خريطة الحسابات'!_xlnm.Print_Area,4,FALSE)))</f>
        <v>تكاليف مشروع الاندلس 364</v>
      </c>
      <c r="N1232" s="138" t="str">
        <f>IF(ISERROR(VLOOKUP(C1232,'[1]خريطة الحسابات'!_xlnm.Print_Area,5,FALSE))," ",(VLOOKUP(C1232,'[1]خريطة الحسابات'!_xlnm.Print_Area,5,FALSE)))</f>
        <v xml:space="preserve">تكاليف العمليات </v>
      </c>
      <c r="O1232" s="139" t="s">
        <v>1857</v>
      </c>
      <c r="P1232" s="139" t="s">
        <v>1299</v>
      </c>
    </row>
    <row r="1233" spans="1:16">
      <c r="A1233" s="104">
        <v>56</v>
      </c>
      <c r="B1233" s="131">
        <v>46062</v>
      </c>
      <c r="C1233" s="141" t="s">
        <v>95</v>
      </c>
      <c r="D1233" s="140" t="str">
        <f>IF(ISERROR(VLOOKUP(C1233,'[1]خريطة الحسابات'!_xlnm.Print_Area,3,FALSE))," ",(VLOOKUP(C1233,'[1]خريطة الحسابات'!_xlnm.Print_Area,3,FALSE)))</f>
        <v>خامات ومصنعية بند السباكة والصحي</v>
      </c>
      <c r="E1233" s="132"/>
      <c r="F1233" s="133">
        <v>17000</v>
      </c>
      <c r="G1233" s="133"/>
      <c r="H1233" s="134">
        <f t="shared" si="55"/>
        <v>17000</v>
      </c>
      <c r="I1233" s="134">
        <f t="shared" si="55"/>
        <v>0</v>
      </c>
      <c r="J1233" s="134">
        <f t="shared" si="54"/>
        <v>17000</v>
      </c>
      <c r="K1233" s="135"/>
      <c r="L1233" s="136" t="str">
        <f t="shared" si="56"/>
        <v>مدين</v>
      </c>
      <c r="M1233" s="137" t="str">
        <f>IF(ISERROR(VLOOKUP(C1233,'[1]خريطة الحسابات'!_xlnm.Print_Area,4,FALSE))," ",(VLOOKUP(C1233,'[1]خريطة الحسابات'!_xlnm.Print_Area,4,FALSE)))</f>
        <v>تكاليف مشروع سوديك  341</v>
      </c>
      <c r="N1233" s="138" t="str">
        <f>IF(ISERROR(VLOOKUP(C1233,'[1]خريطة الحسابات'!_xlnm.Print_Area,5,FALSE))," ",(VLOOKUP(C1233,'[1]خريطة الحسابات'!_xlnm.Print_Area,5,FALSE)))</f>
        <v xml:space="preserve">تكاليف العمليات </v>
      </c>
      <c r="O1233" s="139" t="s">
        <v>1858</v>
      </c>
      <c r="P1233" s="139" t="s">
        <v>1290</v>
      </c>
    </row>
    <row r="1234" spans="1:16">
      <c r="A1234" s="104">
        <v>56</v>
      </c>
      <c r="B1234" s="131">
        <v>46063</v>
      </c>
      <c r="C1234" s="141" t="s">
        <v>640</v>
      </c>
      <c r="D1234" s="140" t="str">
        <f>IF(ISERROR(VLOOKUP(C1234,'[1]خريطة الحسابات'!_xlnm.Print_Area,3,FALSE))," ",(VLOOKUP(C1234,'[1]خريطة الحسابات'!_xlnm.Print_Area,3,FALSE)))</f>
        <v>خامات ومصنعية بند السباكة والصحي</v>
      </c>
      <c r="E1234" s="132"/>
      <c r="F1234" s="133">
        <v>300</v>
      </c>
      <c r="G1234" s="133"/>
      <c r="H1234" s="134">
        <f t="shared" si="55"/>
        <v>300</v>
      </c>
      <c r="I1234" s="134">
        <f t="shared" si="55"/>
        <v>0</v>
      </c>
      <c r="J1234" s="134">
        <f t="shared" si="54"/>
        <v>300</v>
      </c>
      <c r="K1234" s="135"/>
      <c r="L1234" s="136" t="str">
        <f t="shared" si="56"/>
        <v>مدين</v>
      </c>
      <c r="M1234" s="137" t="str">
        <f>IF(ISERROR(VLOOKUP(C1234,'[1]خريطة الحسابات'!_xlnm.Print_Area,4,FALSE))," ",(VLOOKUP(C1234,'[1]خريطة الحسابات'!_xlnm.Print_Area,4,FALSE)))</f>
        <v>تكاليف مشروع الاندلس 364</v>
      </c>
      <c r="N1234" s="138" t="str">
        <f>IF(ISERROR(VLOOKUP(C1234,'[1]خريطة الحسابات'!_xlnm.Print_Area,5,FALSE))," ",(VLOOKUP(C1234,'[1]خريطة الحسابات'!_xlnm.Print_Area,5,FALSE)))</f>
        <v xml:space="preserve">تكاليف العمليات </v>
      </c>
      <c r="O1234" s="139" t="s">
        <v>1859</v>
      </c>
      <c r="P1234" s="139" t="s">
        <v>1299</v>
      </c>
    </row>
    <row r="1235" spans="1:16">
      <c r="A1235" s="104">
        <v>56</v>
      </c>
      <c r="B1235" s="131">
        <v>46064</v>
      </c>
      <c r="C1235" s="141" t="s">
        <v>430</v>
      </c>
      <c r="D1235" s="140" t="str">
        <f>IF(ISERROR(VLOOKUP(C1235,'[1]خريطة الحسابات'!_xlnm.Print_Area,3,FALSE))," ",(VLOOKUP(C1235,'[1]خريطة الحسابات'!_xlnm.Print_Area,3,FALSE)))</f>
        <v>خامات ومصنعية بند السباكة والصحي</v>
      </c>
      <c r="E1235" s="132"/>
      <c r="F1235" s="133">
        <v>300</v>
      </c>
      <c r="G1235" s="133"/>
      <c r="H1235" s="134">
        <f t="shared" si="55"/>
        <v>300</v>
      </c>
      <c r="I1235" s="134">
        <f t="shared" si="55"/>
        <v>0</v>
      </c>
      <c r="J1235" s="134">
        <f t="shared" si="54"/>
        <v>300</v>
      </c>
      <c r="K1235" s="135"/>
      <c r="L1235" s="136" t="str">
        <f t="shared" si="56"/>
        <v>مدين</v>
      </c>
      <c r="M1235" s="137" t="str">
        <f>IF(ISERROR(VLOOKUP(C1235,'[1]خريطة الحسابات'!_xlnm.Print_Area,4,FALSE))," ",(VLOOKUP(C1235,'[1]خريطة الحسابات'!_xlnm.Print_Area,4,FALSE)))</f>
        <v>345 تكاليف مشروع بالم هيلز</v>
      </c>
      <c r="N1235" s="138" t="str">
        <f>IF(ISERROR(VLOOKUP(C1235,'[1]خريطة الحسابات'!_xlnm.Print_Area,5,FALSE))," ",(VLOOKUP(C1235,'[1]خريطة الحسابات'!_xlnm.Print_Area,5,FALSE)))</f>
        <v xml:space="preserve">تكاليف العمليات </v>
      </c>
      <c r="O1235" s="139" t="s">
        <v>1860</v>
      </c>
      <c r="P1235" s="139" t="s">
        <v>1327</v>
      </c>
    </row>
    <row r="1236" spans="1:16">
      <c r="A1236" s="104">
        <v>56</v>
      </c>
      <c r="B1236" s="131">
        <v>46068</v>
      </c>
      <c r="C1236" s="141" t="s">
        <v>185</v>
      </c>
      <c r="D1236" s="140" t="str">
        <f>IF(ISERROR(VLOOKUP(C1236,'[1]خريطة الحسابات'!_xlnm.Print_Area,3,FALSE))," ",(VLOOKUP(C1236,'[1]خريطة الحسابات'!_xlnm.Print_Area,3,FALSE)))</f>
        <v>خامات ومصنعية بند السباكة والصحي</v>
      </c>
      <c r="E1236" s="132"/>
      <c r="F1236" s="133">
        <v>300</v>
      </c>
      <c r="G1236" s="133"/>
      <c r="H1236" s="134">
        <f t="shared" si="55"/>
        <v>300</v>
      </c>
      <c r="I1236" s="134">
        <f t="shared" si="55"/>
        <v>0</v>
      </c>
      <c r="J1236" s="134">
        <f t="shared" si="54"/>
        <v>300</v>
      </c>
      <c r="K1236" s="135"/>
      <c r="L1236" s="136" t="str">
        <f t="shared" si="56"/>
        <v>مدين</v>
      </c>
      <c r="M1236" s="137" t="str">
        <f>IF(ISERROR(VLOOKUP(C1236,'[1]خريطة الحسابات'!_xlnm.Print_Area,4,FALSE))," ",(VLOOKUP(C1236,'[1]خريطة الحسابات'!_xlnm.Print_Area,4,FALSE)))</f>
        <v>تكاليف مشروع الباتيو 235</v>
      </c>
      <c r="N1236" s="138" t="str">
        <f>IF(ISERROR(VLOOKUP(C1236,'[1]خريطة الحسابات'!_xlnm.Print_Area,5,FALSE))," ",(VLOOKUP(C1236,'[1]خريطة الحسابات'!_xlnm.Print_Area,5,FALSE)))</f>
        <v xml:space="preserve">تكاليف العمليات </v>
      </c>
      <c r="O1236" s="139" t="s">
        <v>1861</v>
      </c>
      <c r="P1236" s="139" t="s">
        <v>1304</v>
      </c>
    </row>
    <row r="1237" spans="1:16">
      <c r="A1237" s="104">
        <v>56</v>
      </c>
      <c r="B1237" s="131">
        <v>46089</v>
      </c>
      <c r="C1237" s="141" t="s">
        <v>605</v>
      </c>
      <c r="D1237" s="140" t="str">
        <f>IF(ISERROR(VLOOKUP(C1237,'[1]خريطة الحسابات'!_xlnm.Print_Area,3,FALSE))," ",(VLOOKUP(C1237,'[1]خريطة الحسابات'!_xlnm.Print_Area,3,FALSE)))</f>
        <v>خامات ومصنعية بند السباكة والصحي</v>
      </c>
      <c r="E1237" s="132"/>
      <c r="F1237" s="133">
        <v>11511</v>
      </c>
      <c r="G1237" s="133"/>
      <c r="H1237" s="134">
        <f t="shared" si="55"/>
        <v>11511</v>
      </c>
      <c r="I1237" s="134">
        <f t="shared" si="55"/>
        <v>0</v>
      </c>
      <c r="J1237" s="134">
        <f t="shared" si="54"/>
        <v>11511</v>
      </c>
      <c r="K1237" s="135"/>
      <c r="L1237" s="136" t="str">
        <f t="shared" si="56"/>
        <v>مدين</v>
      </c>
      <c r="M1237" s="137" t="str">
        <f>IF(ISERROR(VLOOKUP(C1237,'[1]خريطة الحسابات'!_xlnm.Print_Area,4,FALSE))," ",(VLOOKUP(C1237,'[1]خريطة الحسابات'!_xlnm.Print_Area,4,FALSE)))</f>
        <v>تكاليف مشروع اللوتس 361</v>
      </c>
      <c r="N1237" s="138" t="str">
        <f>IF(ISERROR(VLOOKUP(C1237,'[1]خريطة الحسابات'!_xlnm.Print_Area,5,FALSE))," ",(VLOOKUP(C1237,'[1]خريطة الحسابات'!_xlnm.Print_Area,5,FALSE)))</f>
        <v xml:space="preserve">تكاليف العمليات </v>
      </c>
      <c r="O1237" s="139" t="s">
        <v>1862</v>
      </c>
      <c r="P1237" s="139" t="s">
        <v>1295</v>
      </c>
    </row>
    <row r="1238" spans="1:16">
      <c r="A1238" s="104">
        <v>56</v>
      </c>
      <c r="B1238" s="131">
        <v>46111</v>
      </c>
      <c r="C1238" s="141" t="s">
        <v>220</v>
      </c>
      <c r="D1238" s="140" t="str">
        <f>IF(ISERROR(VLOOKUP(C1238,'[1]خريطة الحسابات'!_xlnm.Print_Area,3,FALSE))," ",(VLOOKUP(C1238,'[1]خريطة الحسابات'!_xlnm.Print_Area,3,FALSE)))</f>
        <v>خامات ومصنعية بند السباكة والصحي</v>
      </c>
      <c r="E1238" s="132"/>
      <c r="F1238" s="133">
        <v>8000</v>
      </c>
      <c r="G1238" s="133"/>
      <c r="H1238" s="134">
        <f t="shared" si="55"/>
        <v>8000</v>
      </c>
      <c r="I1238" s="134">
        <f t="shared" si="55"/>
        <v>0</v>
      </c>
      <c r="J1238" s="134">
        <f t="shared" si="54"/>
        <v>8000</v>
      </c>
      <c r="K1238" s="135"/>
      <c r="L1238" s="136" t="str">
        <f t="shared" si="56"/>
        <v>مدين</v>
      </c>
      <c r="M1238" s="137" t="str">
        <f>IF(ISERROR(VLOOKUP(C1238,'[1]خريطة الحسابات'!_xlnm.Print_Area,4,FALSE))," ",(VLOOKUP(C1238,'[1]خريطة الحسابات'!_xlnm.Print_Area,4,FALSE)))</f>
        <v>تكاليف مشروع كناريا  273</v>
      </c>
      <c r="N1238" s="138" t="str">
        <f>IF(ISERROR(VLOOKUP(C1238,'[1]خريطة الحسابات'!_xlnm.Print_Area,5,FALSE))," ",(VLOOKUP(C1238,'[1]خريطة الحسابات'!_xlnm.Print_Area,5,FALSE)))</f>
        <v xml:space="preserve">تكاليف العمليات </v>
      </c>
      <c r="O1238" s="139" t="s">
        <v>1863</v>
      </c>
      <c r="P1238" s="139" t="s">
        <v>1405</v>
      </c>
    </row>
    <row r="1239" spans="1:16">
      <c r="A1239" s="104">
        <v>56</v>
      </c>
      <c r="B1239" s="131">
        <v>46181</v>
      </c>
      <c r="C1239" s="141" t="s">
        <v>290</v>
      </c>
      <c r="D1239" s="140" t="str">
        <f>IF(ISERROR(VLOOKUP(C1239,'[1]خريطة الحسابات'!_xlnm.Print_Area,3,FALSE))," ",(VLOOKUP(C1239,'[1]خريطة الحسابات'!_xlnm.Print_Area,3,FALSE)))</f>
        <v>خامات ومصنعية بند السباكة والصحي</v>
      </c>
      <c r="E1239" s="132"/>
      <c r="F1239" s="133">
        <v>227</v>
      </c>
      <c r="G1239" s="133"/>
      <c r="H1239" s="134">
        <f t="shared" si="55"/>
        <v>227</v>
      </c>
      <c r="I1239" s="134">
        <f t="shared" si="55"/>
        <v>0</v>
      </c>
      <c r="J1239" s="134">
        <f t="shared" si="54"/>
        <v>227</v>
      </c>
      <c r="K1239" s="135"/>
      <c r="L1239" s="136" t="str">
        <f t="shared" si="56"/>
        <v>مدين</v>
      </c>
      <c r="M1239" s="137" t="str">
        <f>IF(ISERROR(VLOOKUP(C1239,'[1]خريطة الحسابات'!_xlnm.Print_Area,4,FALSE))," ",(VLOOKUP(C1239,'[1]خريطة الحسابات'!_xlnm.Print_Area,4,FALSE)))</f>
        <v>287 تكاليف مشروع المعادي فيو</v>
      </c>
      <c r="N1239" s="138" t="str">
        <f>IF(ISERROR(VLOOKUP(C1239,'[1]خريطة الحسابات'!_xlnm.Print_Area,5,FALSE))," ",(VLOOKUP(C1239,'[1]خريطة الحسابات'!_xlnm.Print_Area,5,FALSE)))</f>
        <v xml:space="preserve">تكاليف العمليات </v>
      </c>
      <c r="O1239" s="139" t="s">
        <v>1864</v>
      </c>
      <c r="P1239" s="139" t="s">
        <v>1415</v>
      </c>
    </row>
    <row r="1240" spans="1:16">
      <c r="A1240" s="104">
        <v>56</v>
      </c>
      <c r="B1240" s="131">
        <v>46181</v>
      </c>
      <c r="C1240" s="141" t="s">
        <v>780</v>
      </c>
      <c r="D1240" s="140" t="str">
        <f>IF(ISERROR(VLOOKUP(C1240,'[1]خريطة الحسابات'!_xlnm.Print_Area,3,FALSE))," ",(VLOOKUP(C1240,'[1]خريطة الحسابات'!_xlnm.Print_Area,3,FALSE)))</f>
        <v>خامات ومصنعية بند السباكة والصحي</v>
      </c>
      <c r="E1240" s="132"/>
      <c r="F1240" s="133">
        <v>54</v>
      </c>
      <c r="G1240" s="133"/>
      <c r="H1240" s="134">
        <f t="shared" si="55"/>
        <v>54</v>
      </c>
      <c r="I1240" s="134">
        <f t="shared" si="55"/>
        <v>0</v>
      </c>
      <c r="J1240" s="134">
        <f t="shared" ref="J1240:J1303" si="57">H1240-I1240</f>
        <v>54</v>
      </c>
      <c r="K1240" s="135"/>
      <c r="L1240" s="136" t="str">
        <f t="shared" si="56"/>
        <v>مدين</v>
      </c>
      <c r="M1240" s="137" t="str">
        <f>IF(ISERROR(VLOOKUP(C1240,'[1]خريطة الحسابات'!_xlnm.Print_Area,4,FALSE))," ",(VLOOKUP(C1240,'[1]خريطة الحسابات'!_xlnm.Print_Area,4,FALSE)))</f>
        <v>388 تكاليف مشروع الدقي</v>
      </c>
      <c r="N1240" s="138" t="str">
        <f>IF(ISERROR(VLOOKUP(C1240,'[1]خريطة الحسابات'!_xlnm.Print_Area,5,FALSE))," ",(VLOOKUP(C1240,'[1]خريطة الحسابات'!_xlnm.Print_Area,5,FALSE)))</f>
        <v xml:space="preserve">تكاليف العمليات </v>
      </c>
      <c r="O1240" s="139" t="s">
        <v>1865</v>
      </c>
      <c r="P1240" s="139" t="s">
        <v>1315</v>
      </c>
    </row>
    <row r="1241" spans="1:16">
      <c r="A1241" s="104">
        <v>56</v>
      </c>
      <c r="B1241" s="131">
        <v>46036</v>
      </c>
      <c r="C1241" s="141">
        <v>20</v>
      </c>
      <c r="D1241" s="140" t="str">
        <f>IF(ISERROR(VLOOKUP(C1241,'[1]خريطة الحسابات'!_xlnm.Print_Area,3,FALSE))," ",(VLOOKUP(C1241,'[1]خريطة الحسابات'!_xlnm.Print_Area,3,FALSE)))</f>
        <v xml:space="preserve">الخزينة </v>
      </c>
      <c r="E1241" s="132"/>
      <c r="F1241" s="133"/>
      <c r="G1241" s="133">
        <v>8008</v>
      </c>
      <c r="H1241" s="134">
        <f t="shared" ref="H1241:I1304" si="58">IF($E1241=2,F1241*3.465,F1241)</f>
        <v>0</v>
      </c>
      <c r="I1241" s="134">
        <f t="shared" si="58"/>
        <v>8008</v>
      </c>
      <c r="J1241" s="134">
        <f t="shared" si="57"/>
        <v>-8008</v>
      </c>
      <c r="K1241" s="135"/>
      <c r="L1241" s="136" t="str">
        <f t="shared" si="56"/>
        <v>دائن</v>
      </c>
      <c r="M1241" s="137" t="str">
        <f>IF(ISERROR(VLOOKUP(C1241,'[1]خريطة الحسابات'!_xlnm.Print_Area,4,FALSE))," ",(VLOOKUP(C1241,'[1]خريطة الحسابات'!_xlnm.Print_Area,4,FALSE)))</f>
        <v xml:space="preserve">أصول متداوله -النقدية ومافي حكمها </v>
      </c>
      <c r="N1241" s="138" t="str">
        <f>IF(ISERROR(VLOOKUP(C1241,'[1]خريطة الحسابات'!_xlnm.Print_Area,5,FALSE))," ",(VLOOKUP(C1241,'[1]خريطة الحسابات'!_xlnm.Print_Area,5,FALSE)))</f>
        <v>الاصول</v>
      </c>
      <c r="O1241" s="139" t="s">
        <v>1850</v>
      </c>
      <c r="P1241" s="139" t="s">
        <v>1325</v>
      </c>
    </row>
    <row r="1242" spans="1:16">
      <c r="A1242" s="104">
        <v>56</v>
      </c>
      <c r="B1242" s="131">
        <v>46039</v>
      </c>
      <c r="C1242" s="141">
        <v>20</v>
      </c>
      <c r="D1242" s="140" t="str">
        <f>IF(ISERROR(VLOOKUP(C1242,'[1]خريطة الحسابات'!_xlnm.Print_Area,3,FALSE))," ",(VLOOKUP(C1242,'[1]خريطة الحسابات'!_xlnm.Print_Area,3,FALSE)))</f>
        <v xml:space="preserve">الخزينة </v>
      </c>
      <c r="E1242" s="132"/>
      <c r="F1242" s="133"/>
      <c r="G1242" s="133">
        <v>400</v>
      </c>
      <c r="H1242" s="134">
        <f t="shared" si="58"/>
        <v>0</v>
      </c>
      <c r="I1242" s="134">
        <f t="shared" si="58"/>
        <v>400</v>
      </c>
      <c r="J1242" s="134">
        <f t="shared" si="57"/>
        <v>-400</v>
      </c>
      <c r="K1242" s="135"/>
      <c r="L1242" s="136" t="str">
        <f t="shared" si="56"/>
        <v>دائن</v>
      </c>
      <c r="M1242" s="137" t="str">
        <f>IF(ISERROR(VLOOKUP(C1242,'[1]خريطة الحسابات'!_xlnm.Print_Area,4,FALSE))," ",(VLOOKUP(C1242,'[1]خريطة الحسابات'!_xlnm.Print_Area,4,FALSE)))</f>
        <v xml:space="preserve">أصول متداوله -النقدية ومافي حكمها </v>
      </c>
      <c r="N1242" s="138" t="str">
        <f>IF(ISERROR(VLOOKUP(C1242,'[1]خريطة الحسابات'!_xlnm.Print_Area,5,FALSE))," ",(VLOOKUP(C1242,'[1]خريطة الحسابات'!_xlnm.Print_Area,5,FALSE)))</f>
        <v>الاصول</v>
      </c>
      <c r="O1242" s="84" t="s">
        <v>1851</v>
      </c>
      <c r="P1242" s="84" t="s">
        <v>1304</v>
      </c>
    </row>
    <row r="1243" spans="1:16">
      <c r="A1243" s="104">
        <v>56</v>
      </c>
      <c r="B1243" s="131">
        <v>46041</v>
      </c>
      <c r="C1243" s="141">
        <v>20</v>
      </c>
      <c r="D1243" s="140" t="str">
        <f>IF(ISERROR(VLOOKUP(C1243,'[1]خريطة الحسابات'!_xlnm.Print_Area,3,FALSE))," ",(VLOOKUP(C1243,'[1]خريطة الحسابات'!_xlnm.Print_Area,3,FALSE)))</f>
        <v xml:space="preserve">الخزينة </v>
      </c>
      <c r="E1243" s="132"/>
      <c r="F1243" s="133"/>
      <c r="G1243" s="133">
        <v>17017</v>
      </c>
      <c r="H1243" s="134">
        <f t="shared" si="58"/>
        <v>0</v>
      </c>
      <c r="I1243" s="134">
        <f t="shared" si="58"/>
        <v>17017</v>
      </c>
      <c r="J1243" s="134">
        <f t="shared" si="57"/>
        <v>-17017</v>
      </c>
      <c r="K1243" s="135"/>
      <c r="L1243" s="136" t="str">
        <f t="shared" ref="L1243:L1306" si="59">IF(J1243&lt;0,"دائن",IF(J1243&gt;0,"مدين",""))</f>
        <v>دائن</v>
      </c>
      <c r="M1243" s="137" t="str">
        <f>IF(ISERROR(VLOOKUP(C1243,'[1]خريطة الحسابات'!_xlnm.Print_Area,4,FALSE))," ",(VLOOKUP(C1243,'[1]خريطة الحسابات'!_xlnm.Print_Area,4,FALSE)))</f>
        <v xml:space="preserve">أصول متداوله -النقدية ومافي حكمها </v>
      </c>
      <c r="N1243" s="138" t="str">
        <f>IF(ISERROR(VLOOKUP(C1243,'[1]خريطة الحسابات'!_xlnm.Print_Area,5,FALSE))," ",(VLOOKUP(C1243,'[1]خريطة الحسابات'!_xlnm.Print_Area,5,FALSE)))</f>
        <v>الاصول</v>
      </c>
      <c r="O1243" s="139" t="s">
        <v>1852</v>
      </c>
      <c r="P1243" s="139" t="s">
        <v>1299</v>
      </c>
    </row>
    <row r="1244" spans="1:16">
      <c r="A1244" s="104">
        <v>56</v>
      </c>
      <c r="B1244" s="131">
        <v>46047</v>
      </c>
      <c r="C1244" s="141">
        <v>20</v>
      </c>
      <c r="D1244" s="140" t="str">
        <f>IF(ISERROR(VLOOKUP(C1244,'[1]خريطة الحسابات'!_xlnm.Print_Area,3,FALSE))," ",(VLOOKUP(C1244,'[1]خريطة الحسابات'!_xlnm.Print_Area,3,FALSE)))</f>
        <v xml:space="preserve">الخزينة </v>
      </c>
      <c r="E1244" s="132"/>
      <c r="F1244" s="133"/>
      <c r="G1244" s="133">
        <v>82809</v>
      </c>
      <c r="H1244" s="134">
        <f t="shared" si="58"/>
        <v>0</v>
      </c>
      <c r="I1244" s="134">
        <f t="shared" si="58"/>
        <v>82809</v>
      </c>
      <c r="J1244" s="134">
        <f t="shared" si="57"/>
        <v>-82809</v>
      </c>
      <c r="K1244" s="135"/>
      <c r="L1244" s="136" t="str">
        <f t="shared" si="59"/>
        <v>دائن</v>
      </c>
      <c r="M1244" s="137" t="str">
        <f>IF(ISERROR(VLOOKUP(C1244,'[1]خريطة الحسابات'!_xlnm.Print_Area,4,FALSE))," ",(VLOOKUP(C1244,'[1]خريطة الحسابات'!_xlnm.Print_Area,4,FALSE)))</f>
        <v xml:space="preserve">أصول متداوله -النقدية ومافي حكمها </v>
      </c>
      <c r="N1244" s="138" t="str">
        <f>IF(ISERROR(VLOOKUP(C1244,'[1]خريطة الحسابات'!_xlnm.Print_Area,5,FALSE))," ",(VLOOKUP(C1244,'[1]خريطة الحسابات'!_xlnm.Print_Area,5,FALSE)))</f>
        <v>الاصول</v>
      </c>
      <c r="O1244" s="139" t="s">
        <v>1853</v>
      </c>
      <c r="P1244" s="139" t="s">
        <v>1405</v>
      </c>
    </row>
    <row r="1245" spans="1:16">
      <c r="A1245" s="104">
        <v>56</v>
      </c>
      <c r="B1245" s="131">
        <v>46051</v>
      </c>
      <c r="C1245" s="141">
        <v>20</v>
      </c>
      <c r="D1245" s="140" t="str">
        <f>IF(ISERROR(VLOOKUP(C1245,'[1]خريطة الحسابات'!_xlnm.Print_Area,3,FALSE))," ",(VLOOKUP(C1245,'[1]خريطة الحسابات'!_xlnm.Print_Area,3,FALSE)))</f>
        <v xml:space="preserve">الخزينة </v>
      </c>
      <c r="E1245" s="132"/>
      <c r="F1245" s="133"/>
      <c r="G1245" s="133">
        <v>640</v>
      </c>
      <c r="H1245" s="134">
        <f t="shared" si="58"/>
        <v>0</v>
      </c>
      <c r="I1245" s="134">
        <f t="shared" si="58"/>
        <v>640</v>
      </c>
      <c r="J1245" s="134">
        <f t="shared" si="57"/>
        <v>-640</v>
      </c>
      <c r="K1245" s="135"/>
      <c r="L1245" s="136" t="str">
        <f t="shared" si="59"/>
        <v>دائن</v>
      </c>
      <c r="M1245" s="137" t="str">
        <f>IF(ISERROR(VLOOKUP(C1245,'[1]خريطة الحسابات'!_xlnm.Print_Area,4,FALSE))," ",(VLOOKUP(C1245,'[1]خريطة الحسابات'!_xlnm.Print_Area,4,FALSE)))</f>
        <v xml:space="preserve">أصول متداوله -النقدية ومافي حكمها </v>
      </c>
      <c r="N1245" s="138" t="str">
        <f>IF(ISERROR(VLOOKUP(C1245,'[1]خريطة الحسابات'!_xlnm.Print_Area,5,FALSE))," ",(VLOOKUP(C1245,'[1]خريطة الحسابات'!_xlnm.Print_Area,5,FALSE)))</f>
        <v>الاصول</v>
      </c>
      <c r="O1245" s="139" t="s">
        <v>1854</v>
      </c>
      <c r="P1245" s="139" t="s">
        <v>1299</v>
      </c>
    </row>
    <row r="1246" spans="1:16">
      <c r="A1246" s="104">
        <v>56</v>
      </c>
      <c r="B1246" s="131">
        <v>46051</v>
      </c>
      <c r="C1246" s="141">
        <v>20</v>
      </c>
      <c r="D1246" s="140" t="str">
        <f>IF(ISERROR(VLOOKUP(C1246,'[1]خريطة الحسابات'!_xlnm.Print_Area,3,FALSE))," ",(VLOOKUP(C1246,'[1]خريطة الحسابات'!_xlnm.Print_Area,3,FALSE)))</f>
        <v xml:space="preserve">الخزينة </v>
      </c>
      <c r="E1246" s="132"/>
      <c r="F1246" s="133"/>
      <c r="G1246" s="133">
        <v>2232</v>
      </c>
      <c r="H1246" s="134">
        <f t="shared" si="58"/>
        <v>0</v>
      </c>
      <c r="I1246" s="134">
        <f t="shared" si="58"/>
        <v>2232</v>
      </c>
      <c r="J1246" s="134">
        <f t="shared" si="57"/>
        <v>-2232</v>
      </c>
      <c r="K1246" s="135"/>
      <c r="L1246" s="136" t="str">
        <f t="shared" si="59"/>
        <v>دائن</v>
      </c>
      <c r="M1246" s="137" t="str">
        <f>IF(ISERROR(VLOOKUP(C1246,'[1]خريطة الحسابات'!_xlnm.Print_Area,4,FALSE))," ",(VLOOKUP(C1246,'[1]خريطة الحسابات'!_xlnm.Print_Area,4,FALSE)))</f>
        <v xml:space="preserve">أصول متداوله -النقدية ومافي حكمها </v>
      </c>
      <c r="N1246" s="138" t="str">
        <f>IF(ISERROR(VLOOKUP(C1246,'[1]خريطة الحسابات'!_xlnm.Print_Area,5,FALSE))," ",(VLOOKUP(C1246,'[1]خريطة الحسابات'!_xlnm.Print_Area,5,FALSE)))</f>
        <v>الاصول</v>
      </c>
      <c r="O1246" s="139" t="s">
        <v>1855</v>
      </c>
      <c r="P1246" s="139" t="s">
        <v>1299</v>
      </c>
    </row>
    <row r="1247" spans="1:16">
      <c r="A1247" s="104">
        <v>56</v>
      </c>
      <c r="B1247" s="131">
        <v>46058</v>
      </c>
      <c r="C1247" s="141">
        <v>20</v>
      </c>
      <c r="D1247" s="140" t="str">
        <f>IF(ISERROR(VLOOKUP(C1247,'[1]خريطة الحسابات'!_xlnm.Print_Area,3,FALSE))," ",(VLOOKUP(C1247,'[1]خريطة الحسابات'!_xlnm.Print_Area,3,FALSE)))</f>
        <v xml:space="preserve">الخزينة </v>
      </c>
      <c r="E1247" s="132"/>
      <c r="F1247" s="133"/>
      <c r="G1247" s="133">
        <v>350</v>
      </c>
      <c r="H1247" s="134">
        <f t="shared" si="58"/>
        <v>0</v>
      </c>
      <c r="I1247" s="134">
        <f t="shared" si="58"/>
        <v>350</v>
      </c>
      <c r="J1247" s="134">
        <f t="shared" si="57"/>
        <v>-350</v>
      </c>
      <c r="K1247" s="135"/>
      <c r="L1247" s="136" t="str">
        <f t="shared" si="59"/>
        <v>دائن</v>
      </c>
      <c r="M1247" s="137" t="str">
        <f>IF(ISERROR(VLOOKUP(C1247,'[1]خريطة الحسابات'!_xlnm.Print_Area,4,FALSE))," ",(VLOOKUP(C1247,'[1]خريطة الحسابات'!_xlnm.Print_Area,4,FALSE)))</f>
        <v xml:space="preserve">أصول متداوله -النقدية ومافي حكمها </v>
      </c>
      <c r="N1247" s="138" t="str">
        <f>IF(ISERROR(VLOOKUP(C1247,'[1]خريطة الحسابات'!_xlnm.Print_Area,5,FALSE))," ",(VLOOKUP(C1247,'[1]خريطة الحسابات'!_xlnm.Print_Area,5,FALSE)))</f>
        <v>الاصول</v>
      </c>
      <c r="O1247" s="139" t="s">
        <v>1856</v>
      </c>
      <c r="P1247" s="139" t="s">
        <v>1299</v>
      </c>
    </row>
    <row r="1248" spans="1:16">
      <c r="A1248" s="104">
        <v>56</v>
      </c>
      <c r="B1248" s="131">
        <v>46058</v>
      </c>
      <c r="C1248" s="141">
        <v>20</v>
      </c>
      <c r="D1248" s="140" t="str">
        <f>IF(ISERROR(VLOOKUP(C1248,'[1]خريطة الحسابات'!_xlnm.Print_Area,3,FALSE))," ",(VLOOKUP(C1248,'[1]خريطة الحسابات'!_xlnm.Print_Area,3,FALSE)))</f>
        <v xml:space="preserve">الخزينة </v>
      </c>
      <c r="E1248" s="132"/>
      <c r="F1248" s="133"/>
      <c r="G1248" s="133">
        <v>1500</v>
      </c>
      <c r="H1248" s="134">
        <f t="shared" si="58"/>
        <v>0</v>
      </c>
      <c r="I1248" s="134">
        <f t="shared" si="58"/>
        <v>1500</v>
      </c>
      <c r="J1248" s="134">
        <f t="shared" si="57"/>
        <v>-1500</v>
      </c>
      <c r="K1248" s="135"/>
      <c r="L1248" s="136" t="str">
        <f t="shared" si="59"/>
        <v>دائن</v>
      </c>
      <c r="M1248" s="137" t="str">
        <f>IF(ISERROR(VLOOKUP(C1248,'[1]خريطة الحسابات'!_xlnm.Print_Area,4,FALSE))," ",(VLOOKUP(C1248,'[1]خريطة الحسابات'!_xlnm.Print_Area,4,FALSE)))</f>
        <v xml:space="preserve">أصول متداوله -النقدية ومافي حكمها </v>
      </c>
      <c r="N1248" s="138" t="str">
        <f>IF(ISERROR(VLOOKUP(C1248,'[1]خريطة الحسابات'!_xlnm.Print_Area,5,FALSE))," ",(VLOOKUP(C1248,'[1]خريطة الحسابات'!_xlnm.Print_Area,5,FALSE)))</f>
        <v>الاصول</v>
      </c>
      <c r="O1248" s="139" t="s">
        <v>1857</v>
      </c>
      <c r="P1248" s="139" t="s">
        <v>1299</v>
      </c>
    </row>
    <row r="1249" spans="1:16">
      <c r="A1249" s="104">
        <v>56</v>
      </c>
      <c r="B1249" s="131">
        <v>46062</v>
      </c>
      <c r="C1249" s="141">
        <v>20</v>
      </c>
      <c r="D1249" s="140" t="str">
        <f>IF(ISERROR(VLOOKUP(C1249,'[1]خريطة الحسابات'!_xlnm.Print_Area,3,FALSE))," ",(VLOOKUP(C1249,'[1]خريطة الحسابات'!_xlnm.Print_Area,3,FALSE)))</f>
        <v xml:space="preserve">الخزينة </v>
      </c>
      <c r="E1249" s="132"/>
      <c r="F1249" s="133"/>
      <c r="G1249" s="133">
        <v>17000</v>
      </c>
      <c r="H1249" s="134">
        <f t="shared" si="58"/>
        <v>0</v>
      </c>
      <c r="I1249" s="134">
        <f t="shared" si="58"/>
        <v>17000</v>
      </c>
      <c r="J1249" s="134">
        <f t="shared" si="57"/>
        <v>-17000</v>
      </c>
      <c r="K1249" s="135"/>
      <c r="L1249" s="136" t="str">
        <f t="shared" si="59"/>
        <v>دائن</v>
      </c>
      <c r="M1249" s="137" t="str">
        <f>IF(ISERROR(VLOOKUP(C1249,'[1]خريطة الحسابات'!_xlnm.Print_Area,4,FALSE))," ",(VLOOKUP(C1249,'[1]خريطة الحسابات'!_xlnm.Print_Area,4,FALSE)))</f>
        <v xml:space="preserve">أصول متداوله -النقدية ومافي حكمها </v>
      </c>
      <c r="N1249" s="138" t="str">
        <f>IF(ISERROR(VLOOKUP(C1249,'[1]خريطة الحسابات'!_xlnm.Print_Area,5,FALSE))," ",(VLOOKUP(C1249,'[1]خريطة الحسابات'!_xlnm.Print_Area,5,FALSE)))</f>
        <v>الاصول</v>
      </c>
      <c r="O1249" s="139" t="s">
        <v>1858</v>
      </c>
      <c r="P1249" s="139" t="s">
        <v>1290</v>
      </c>
    </row>
    <row r="1250" spans="1:16">
      <c r="A1250" s="104">
        <v>56</v>
      </c>
      <c r="B1250" s="131">
        <v>46063</v>
      </c>
      <c r="C1250" s="141">
        <v>20</v>
      </c>
      <c r="D1250" s="140" t="str">
        <f>IF(ISERROR(VLOOKUP(C1250,'[1]خريطة الحسابات'!_xlnm.Print_Area,3,FALSE))," ",(VLOOKUP(C1250,'[1]خريطة الحسابات'!_xlnm.Print_Area,3,FALSE)))</f>
        <v xml:space="preserve">الخزينة </v>
      </c>
      <c r="E1250" s="132"/>
      <c r="F1250" s="133"/>
      <c r="G1250" s="133">
        <v>300</v>
      </c>
      <c r="H1250" s="134">
        <f t="shared" si="58"/>
        <v>0</v>
      </c>
      <c r="I1250" s="134">
        <f t="shared" si="58"/>
        <v>300</v>
      </c>
      <c r="J1250" s="134">
        <f t="shared" si="57"/>
        <v>-300</v>
      </c>
      <c r="K1250" s="135"/>
      <c r="L1250" s="136" t="str">
        <f t="shared" si="59"/>
        <v>دائن</v>
      </c>
      <c r="M1250" s="137" t="str">
        <f>IF(ISERROR(VLOOKUP(C1250,'[1]خريطة الحسابات'!_xlnm.Print_Area,4,FALSE))," ",(VLOOKUP(C1250,'[1]خريطة الحسابات'!_xlnm.Print_Area,4,FALSE)))</f>
        <v xml:space="preserve">أصول متداوله -النقدية ومافي حكمها </v>
      </c>
      <c r="N1250" s="138" t="str">
        <f>IF(ISERROR(VLOOKUP(C1250,'[1]خريطة الحسابات'!_xlnm.Print_Area,5,FALSE))," ",(VLOOKUP(C1250,'[1]خريطة الحسابات'!_xlnm.Print_Area,5,FALSE)))</f>
        <v>الاصول</v>
      </c>
      <c r="O1250" s="139" t="s">
        <v>1859</v>
      </c>
      <c r="P1250" s="139" t="s">
        <v>1299</v>
      </c>
    </row>
    <row r="1251" spans="1:16">
      <c r="A1251" s="104">
        <v>56</v>
      </c>
      <c r="B1251" s="131">
        <v>46064</v>
      </c>
      <c r="C1251" s="141">
        <v>20</v>
      </c>
      <c r="D1251" s="140" t="str">
        <f>IF(ISERROR(VLOOKUP(C1251,'[1]خريطة الحسابات'!_xlnm.Print_Area,3,FALSE))," ",(VLOOKUP(C1251,'[1]خريطة الحسابات'!_xlnm.Print_Area,3,FALSE)))</f>
        <v xml:space="preserve">الخزينة </v>
      </c>
      <c r="E1251" s="132"/>
      <c r="F1251" s="133"/>
      <c r="G1251" s="133">
        <v>300</v>
      </c>
      <c r="H1251" s="134">
        <f t="shared" si="58"/>
        <v>0</v>
      </c>
      <c r="I1251" s="134">
        <f t="shared" si="58"/>
        <v>300</v>
      </c>
      <c r="J1251" s="134">
        <f t="shared" si="57"/>
        <v>-300</v>
      </c>
      <c r="K1251" s="135"/>
      <c r="L1251" s="136" t="str">
        <f t="shared" si="59"/>
        <v>دائن</v>
      </c>
      <c r="M1251" s="137" t="str">
        <f>IF(ISERROR(VLOOKUP(C1251,'[1]خريطة الحسابات'!_xlnm.Print_Area,4,FALSE))," ",(VLOOKUP(C1251,'[1]خريطة الحسابات'!_xlnm.Print_Area,4,FALSE)))</f>
        <v xml:space="preserve">أصول متداوله -النقدية ومافي حكمها </v>
      </c>
      <c r="N1251" s="138" t="str">
        <f>IF(ISERROR(VLOOKUP(C1251,'[1]خريطة الحسابات'!_xlnm.Print_Area,5,FALSE))," ",(VLOOKUP(C1251,'[1]خريطة الحسابات'!_xlnm.Print_Area,5,FALSE)))</f>
        <v>الاصول</v>
      </c>
      <c r="O1251" s="139" t="s">
        <v>1860</v>
      </c>
      <c r="P1251" s="139" t="s">
        <v>1327</v>
      </c>
    </row>
    <row r="1252" spans="1:16">
      <c r="A1252" s="104">
        <v>56</v>
      </c>
      <c r="B1252" s="131">
        <v>46068</v>
      </c>
      <c r="C1252" s="141">
        <v>20</v>
      </c>
      <c r="D1252" s="140" t="str">
        <f>IF(ISERROR(VLOOKUP(C1252,'[1]خريطة الحسابات'!_xlnm.Print_Area,3,FALSE))," ",(VLOOKUP(C1252,'[1]خريطة الحسابات'!_xlnm.Print_Area,3,FALSE)))</f>
        <v xml:space="preserve">الخزينة </v>
      </c>
      <c r="E1252" s="132"/>
      <c r="F1252" s="133"/>
      <c r="G1252" s="133">
        <v>300</v>
      </c>
      <c r="H1252" s="134">
        <f t="shared" si="58"/>
        <v>0</v>
      </c>
      <c r="I1252" s="134">
        <f t="shared" si="58"/>
        <v>300</v>
      </c>
      <c r="J1252" s="134">
        <f t="shared" si="57"/>
        <v>-300</v>
      </c>
      <c r="K1252" s="135"/>
      <c r="L1252" s="136" t="str">
        <f t="shared" si="59"/>
        <v>دائن</v>
      </c>
      <c r="M1252" s="137" t="str">
        <f>IF(ISERROR(VLOOKUP(C1252,'[1]خريطة الحسابات'!_xlnm.Print_Area,4,FALSE))," ",(VLOOKUP(C1252,'[1]خريطة الحسابات'!_xlnm.Print_Area,4,FALSE)))</f>
        <v xml:space="preserve">أصول متداوله -النقدية ومافي حكمها </v>
      </c>
      <c r="N1252" s="138" t="str">
        <f>IF(ISERROR(VLOOKUP(C1252,'[1]خريطة الحسابات'!_xlnm.Print_Area,5,FALSE))," ",(VLOOKUP(C1252,'[1]خريطة الحسابات'!_xlnm.Print_Area,5,FALSE)))</f>
        <v>الاصول</v>
      </c>
      <c r="O1252" s="139" t="s">
        <v>1861</v>
      </c>
      <c r="P1252" s="139" t="s">
        <v>1304</v>
      </c>
    </row>
    <row r="1253" spans="1:16">
      <c r="A1253" s="104">
        <v>56</v>
      </c>
      <c r="B1253" s="131">
        <v>46089</v>
      </c>
      <c r="C1253" s="141">
        <v>20</v>
      </c>
      <c r="D1253" s="140" t="str">
        <f>IF(ISERROR(VLOOKUP(C1253,'[1]خريطة الحسابات'!_xlnm.Print_Area,3,FALSE))," ",(VLOOKUP(C1253,'[1]خريطة الحسابات'!_xlnm.Print_Area,3,FALSE)))</f>
        <v xml:space="preserve">الخزينة </v>
      </c>
      <c r="E1253" s="132"/>
      <c r="F1253" s="133"/>
      <c r="G1253" s="133">
        <v>11511</v>
      </c>
      <c r="H1253" s="134">
        <f t="shared" si="58"/>
        <v>0</v>
      </c>
      <c r="I1253" s="134">
        <f t="shared" si="58"/>
        <v>11511</v>
      </c>
      <c r="J1253" s="134">
        <f t="shared" si="57"/>
        <v>-11511</v>
      </c>
      <c r="K1253" s="135"/>
      <c r="L1253" s="136" t="str">
        <f t="shared" si="59"/>
        <v>دائن</v>
      </c>
      <c r="M1253" s="137" t="str">
        <f>IF(ISERROR(VLOOKUP(C1253,'[1]خريطة الحسابات'!_xlnm.Print_Area,4,FALSE))," ",(VLOOKUP(C1253,'[1]خريطة الحسابات'!_xlnm.Print_Area,4,FALSE)))</f>
        <v xml:space="preserve">أصول متداوله -النقدية ومافي حكمها </v>
      </c>
      <c r="N1253" s="138" t="str">
        <f>IF(ISERROR(VLOOKUP(C1253,'[1]خريطة الحسابات'!_xlnm.Print_Area,5,FALSE))," ",(VLOOKUP(C1253,'[1]خريطة الحسابات'!_xlnm.Print_Area,5,FALSE)))</f>
        <v>الاصول</v>
      </c>
      <c r="O1253" s="139" t="s">
        <v>1862</v>
      </c>
      <c r="P1253" s="139" t="s">
        <v>1295</v>
      </c>
    </row>
    <row r="1254" spans="1:16">
      <c r="A1254" s="104">
        <v>56</v>
      </c>
      <c r="B1254" s="131">
        <v>46111</v>
      </c>
      <c r="C1254" s="141">
        <v>20</v>
      </c>
      <c r="D1254" s="140" t="str">
        <f>IF(ISERROR(VLOOKUP(C1254,'[1]خريطة الحسابات'!_xlnm.Print_Area,3,FALSE))," ",(VLOOKUP(C1254,'[1]خريطة الحسابات'!_xlnm.Print_Area,3,FALSE)))</f>
        <v xml:space="preserve">الخزينة </v>
      </c>
      <c r="E1254" s="132"/>
      <c r="F1254" s="133"/>
      <c r="G1254" s="133">
        <v>8000</v>
      </c>
      <c r="H1254" s="134">
        <f t="shared" si="58"/>
        <v>0</v>
      </c>
      <c r="I1254" s="134">
        <f t="shared" si="58"/>
        <v>8000</v>
      </c>
      <c r="J1254" s="134">
        <f t="shared" si="57"/>
        <v>-8000</v>
      </c>
      <c r="K1254" s="135"/>
      <c r="L1254" s="136" t="str">
        <f t="shared" si="59"/>
        <v>دائن</v>
      </c>
      <c r="M1254" s="137" t="str">
        <f>IF(ISERROR(VLOOKUP(C1254,'[1]خريطة الحسابات'!_xlnm.Print_Area,4,FALSE))," ",(VLOOKUP(C1254,'[1]خريطة الحسابات'!_xlnm.Print_Area,4,FALSE)))</f>
        <v xml:space="preserve">أصول متداوله -النقدية ومافي حكمها </v>
      </c>
      <c r="N1254" s="138" t="str">
        <f>IF(ISERROR(VLOOKUP(C1254,'[1]خريطة الحسابات'!_xlnm.Print_Area,5,FALSE))," ",(VLOOKUP(C1254,'[1]خريطة الحسابات'!_xlnm.Print_Area,5,FALSE)))</f>
        <v>الاصول</v>
      </c>
      <c r="O1254" s="139" t="s">
        <v>1863</v>
      </c>
      <c r="P1254" s="139" t="s">
        <v>1405</v>
      </c>
    </row>
    <row r="1255" spans="1:16">
      <c r="A1255" s="104">
        <v>56</v>
      </c>
      <c r="B1255" s="131">
        <v>46181</v>
      </c>
      <c r="C1255" s="141">
        <v>20</v>
      </c>
      <c r="D1255" s="140" t="str">
        <f>IF(ISERROR(VLOOKUP(C1255,'[1]خريطة الحسابات'!_xlnm.Print_Area,3,FALSE))," ",(VLOOKUP(C1255,'[1]خريطة الحسابات'!_xlnm.Print_Area,3,FALSE)))</f>
        <v xml:space="preserve">الخزينة </v>
      </c>
      <c r="E1255" s="132"/>
      <c r="F1255" s="133"/>
      <c r="G1255" s="133">
        <v>227</v>
      </c>
      <c r="H1255" s="134">
        <f t="shared" si="58"/>
        <v>0</v>
      </c>
      <c r="I1255" s="134">
        <f t="shared" si="58"/>
        <v>227</v>
      </c>
      <c r="J1255" s="134">
        <f t="shared" si="57"/>
        <v>-227</v>
      </c>
      <c r="K1255" s="135"/>
      <c r="L1255" s="136" t="str">
        <f t="shared" si="59"/>
        <v>دائن</v>
      </c>
      <c r="M1255" s="137" t="str">
        <f>IF(ISERROR(VLOOKUP(C1255,'[1]خريطة الحسابات'!_xlnm.Print_Area,4,FALSE))," ",(VLOOKUP(C1255,'[1]خريطة الحسابات'!_xlnm.Print_Area,4,FALSE)))</f>
        <v xml:space="preserve">أصول متداوله -النقدية ومافي حكمها </v>
      </c>
      <c r="N1255" s="138" t="str">
        <f>IF(ISERROR(VLOOKUP(C1255,'[1]خريطة الحسابات'!_xlnm.Print_Area,5,FALSE))," ",(VLOOKUP(C1255,'[1]خريطة الحسابات'!_xlnm.Print_Area,5,FALSE)))</f>
        <v>الاصول</v>
      </c>
      <c r="O1255" s="139" t="s">
        <v>1864</v>
      </c>
      <c r="P1255" s="139" t="s">
        <v>1415</v>
      </c>
    </row>
    <row r="1256" spans="1:16">
      <c r="A1256" s="104">
        <v>56</v>
      </c>
      <c r="B1256" s="131">
        <v>46181</v>
      </c>
      <c r="C1256" s="141">
        <v>20</v>
      </c>
      <c r="D1256" s="140" t="str">
        <f>IF(ISERROR(VLOOKUP(C1256,'[1]خريطة الحسابات'!_xlnm.Print_Area,3,FALSE))," ",(VLOOKUP(C1256,'[1]خريطة الحسابات'!_xlnm.Print_Area,3,FALSE)))</f>
        <v xml:space="preserve">الخزينة </v>
      </c>
      <c r="E1256" s="132"/>
      <c r="F1256" s="133"/>
      <c r="G1256" s="133">
        <v>54</v>
      </c>
      <c r="H1256" s="134">
        <f t="shared" si="58"/>
        <v>0</v>
      </c>
      <c r="I1256" s="134">
        <f t="shared" si="58"/>
        <v>54</v>
      </c>
      <c r="J1256" s="134">
        <f t="shared" si="57"/>
        <v>-54</v>
      </c>
      <c r="K1256" s="135"/>
      <c r="L1256" s="136" t="str">
        <f t="shared" si="59"/>
        <v>دائن</v>
      </c>
      <c r="M1256" s="137" t="str">
        <f>IF(ISERROR(VLOOKUP(C1256,'[1]خريطة الحسابات'!_xlnm.Print_Area,4,FALSE))," ",(VLOOKUP(C1256,'[1]خريطة الحسابات'!_xlnm.Print_Area,4,FALSE)))</f>
        <v xml:space="preserve">أصول متداوله -النقدية ومافي حكمها </v>
      </c>
      <c r="N1256" s="138" t="str">
        <f>IF(ISERROR(VLOOKUP(C1256,'[1]خريطة الحسابات'!_xlnm.Print_Area,5,FALSE))," ",(VLOOKUP(C1256,'[1]خريطة الحسابات'!_xlnm.Print_Area,5,FALSE)))</f>
        <v>الاصول</v>
      </c>
      <c r="O1256" s="139" t="s">
        <v>1865</v>
      </c>
      <c r="P1256" s="139" t="s">
        <v>1315</v>
      </c>
    </row>
    <row r="1257" spans="1:16">
      <c r="A1257" s="104">
        <v>57</v>
      </c>
      <c r="B1257" s="131">
        <v>46159</v>
      </c>
      <c r="C1257" s="141" t="s">
        <v>809</v>
      </c>
      <c r="D1257" s="140" t="str">
        <f>IF(ISERROR(VLOOKUP(C1257,'[1]خريطة الحسابات'!_xlnm.Print_Area,3,FALSE))," ",(VLOOKUP(C1257,'[1]خريطة الحسابات'!_xlnm.Print_Area,3,FALSE)))</f>
        <v>خامات ومصنعية أعمال المحارة</v>
      </c>
      <c r="E1257" s="132"/>
      <c r="F1257" s="133">
        <v>21000</v>
      </c>
      <c r="G1257" s="133"/>
      <c r="H1257" s="134">
        <f t="shared" si="58"/>
        <v>21000</v>
      </c>
      <c r="I1257" s="134">
        <f t="shared" si="58"/>
        <v>0</v>
      </c>
      <c r="J1257" s="134">
        <f t="shared" si="57"/>
        <v>21000</v>
      </c>
      <c r="K1257" s="135"/>
      <c r="L1257" s="136" t="str">
        <f t="shared" si="59"/>
        <v>مدين</v>
      </c>
      <c r="M1257" s="137" t="str">
        <f>IF(ISERROR(VLOOKUP(C1257,'[1]خريطة الحسابات'!_xlnm.Print_Area,4,FALSE))," ",(VLOOKUP(C1257,'[1]خريطة الحسابات'!_xlnm.Print_Area,4,FALSE)))</f>
        <v>تكاليف مشروع احمد زايد 401</v>
      </c>
      <c r="N1257" s="138" t="str">
        <f>IF(ISERROR(VLOOKUP(C1257,'[1]خريطة الحسابات'!_xlnm.Print_Area,5,FALSE))," ",(VLOOKUP(C1257,'[1]خريطة الحسابات'!_xlnm.Print_Area,5,FALSE)))</f>
        <v xml:space="preserve">تكاليف العمليات </v>
      </c>
      <c r="O1257" s="139" t="s">
        <v>1866</v>
      </c>
      <c r="P1257" s="139" t="s">
        <v>1345</v>
      </c>
    </row>
    <row r="1258" spans="1:16">
      <c r="A1258" s="104">
        <v>57</v>
      </c>
      <c r="B1258" s="131">
        <v>46121</v>
      </c>
      <c r="C1258" s="141" t="s">
        <v>424</v>
      </c>
      <c r="D1258" s="140" t="str">
        <f>IF(ISERROR(VLOOKUP(C1258,'[1]خريطة الحسابات'!_xlnm.Print_Area,3,FALSE))," ",(VLOOKUP(C1258,'[1]خريطة الحسابات'!_xlnm.Print_Area,3,FALSE)))</f>
        <v>خامات ومصنعية أعمال المحارة</v>
      </c>
      <c r="E1258" s="132"/>
      <c r="F1258" s="133">
        <v>225</v>
      </c>
      <c r="G1258" s="133"/>
      <c r="H1258" s="134">
        <f t="shared" si="58"/>
        <v>225</v>
      </c>
      <c r="I1258" s="134">
        <f t="shared" si="58"/>
        <v>0</v>
      </c>
      <c r="J1258" s="134">
        <f t="shared" si="57"/>
        <v>225</v>
      </c>
      <c r="K1258" s="135"/>
      <c r="L1258" s="136" t="str">
        <f t="shared" si="59"/>
        <v>مدين</v>
      </c>
      <c r="M1258" s="137" t="str">
        <f>IF(ISERROR(VLOOKUP(C1258,'[1]خريطة الحسابات'!_xlnm.Print_Area,4,FALSE))," ",(VLOOKUP(C1258,'[1]خريطة الحسابات'!_xlnm.Print_Area,4,FALSE)))</f>
        <v>345 تكاليف مشروع بالم هيلز</v>
      </c>
      <c r="N1258" s="138" t="str">
        <f>IF(ISERROR(VLOOKUP(C1258,'[1]خريطة الحسابات'!_xlnm.Print_Area,5,FALSE))," ",(VLOOKUP(C1258,'[1]خريطة الحسابات'!_xlnm.Print_Area,5,FALSE)))</f>
        <v xml:space="preserve">تكاليف العمليات </v>
      </c>
      <c r="O1258" s="139" t="s">
        <v>1867</v>
      </c>
      <c r="P1258" s="139" t="s">
        <v>1327</v>
      </c>
    </row>
    <row r="1259" spans="1:16">
      <c r="A1259" s="104">
        <v>57</v>
      </c>
      <c r="B1259" s="131">
        <v>46036</v>
      </c>
      <c r="C1259" s="141" t="s">
        <v>774</v>
      </c>
      <c r="D1259" s="140" t="str">
        <f>IF(ISERROR(VLOOKUP(C1259,'[1]خريطة الحسابات'!_xlnm.Print_Area,3,FALSE))," ",(VLOOKUP(C1259,'[1]خريطة الحسابات'!_xlnm.Print_Area,3,FALSE)))</f>
        <v>خامات ومصنعية أعمال المحارة</v>
      </c>
      <c r="E1259" s="132"/>
      <c r="F1259" s="133">
        <v>2400</v>
      </c>
      <c r="G1259" s="133"/>
      <c r="H1259" s="134">
        <f t="shared" si="58"/>
        <v>2400</v>
      </c>
      <c r="I1259" s="134">
        <f t="shared" si="58"/>
        <v>0</v>
      </c>
      <c r="J1259" s="134">
        <f t="shared" si="57"/>
        <v>2400</v>
      </c>
      <c r="K1259" s="135"/>
      <c r="L1259" s="136" t="str">
        <f t="shared" si="59"/>
        <v>مدين</v>
      </c>
      <c r="M1259" s="137" t="str">
        <f>IF(ISERROR(VLOOKUP(C1259,'[1]خريطة الحسابات'!_xlnm.Print_Area,4,FALSE))," ",(VLOOKUP(C1259,'[1]خريطة الحسابات'!_xlnm.Print_Area,4,FALSE)))</f>
        <v>388 تكاليف مشروع الدقي</v>
      </c>
      <c r="N1259" s="138" t="str">
        <f>IF(ISERROR(VLOOKUP(C1259,'[1]خريطة الحسابات'!_xlnm.Print_Area,5,FALSE))," ",(VLOOKUP(C1259,'[1]خريطة الحسابات'!_xlnm.Print_Area,5,FALSE)))</f>
        <v xml:space="preserve">تكاليف العمليات </v>
      </c>
      <c r="O1259" s="139" t="s">
        <v>1868</v>
      </c>
      <c r="P1259" s="139" t="s">
        <v>1315</v>
      </c>
    </row>
    <row r="1260" spans="1:16">
      <c r="A1260" s="104">
        <v>57</v>
      </c>
      <c r="B1260" s="131">
        <v>46046</v>
      </c>
      <c r="C1260" s="141" t="s">
        <v>774</v>
      </c>
      <c r="D1260" s="140" t="str">
        <f>IF(ISERROR(VLOOKUP(C1260,'[1]خريطة الحسابات'!_xlnm.Print_Area,3,FALSE))," ",(VLOOKUP(C1260,'[1]خريطة الحسابات'!_xlnm.Print_Area,3,FALSE)))</f>
        <v>خامات ومصنعية أعمال المحارة</v>
      </c>
      <c r="E1260" s="132"/>
      <c r="F1260" s="133">
        <v>2200</v>
      </c>
      <c r="G1260" s="133"/>
      <c r="H1260" s="134">
        <f t="shared" si="58"/>
        <v>2200</v>
      </c>
      <c r="I1260" s="134">
        <f t="shared" si="58"/>
        <v>0</v>
      </c>
      <c r="J1260" s="134">
        <f t="shared" si="57"/>
        <v>2200</v>
      </c>
      <c r="K1260" s="135"/>
      <c r="L1260" s="136" t="str">
        <f t="shared" si="59"/>
        <v>مدين</v>
      </c>
      <c r="M1260" s="137" t="str">
        <f>IF(ISERROR(VLOOKUP(C1260,'[1]خريطة الحسابات'!_xlnm.Print_Area,4,FALSE))," ",(VLOOKUP(C1260,'[1]خريطة الحسابات'!_xlnm.Print_Area,4,FALSE)))</f>
        <v>388 تكاليف مشروع الدقي</v>
      </c>
      <c r="N1260" s="138" t="str">
        <f>IF(ISERROR(VLOOKUP(C1260,'[1]خريطة الحسابات'!_xlnm.Print_Area,5,FALSE))," ",(VLOOKUP(C1260,'[1]خريطة الحسابات'!_xlnm.Print_Area,5,FALSE)))</f>
        <v xml:space="preserve">تكاليف العمليات </v>
      </c>
      <c r="O1260" s="139" t="s">
        <v>1869</v>
      </c>
      <c r="P1260" s="139" t="s">
        <v>1315</v>
      </c>
    </row>
    <row r="1261" spans="1:16">
      <c r="A1261" s="104">
        <v>57</v>
      </c>
      <c r="B1261" s="131">
        <v>46048</v>
      </c>
      <c r="C1261" s="141" t="s">
        <v>774</v>
      </c>
      <c r="D1261" s="140" t="str">
        <f>IF(ISERROR(VLOOKUP(C1261,'[1]خريطة الحسابات'!_xlnm.Print_Area,3,FALSE))," ",(VLOOKUP(C1261,'[1]خريطة الحسابات'!_xlnm.Print_Area,3,FALSE)))</f>
        <v>خامات ومصنعية أعمال المحارة</v>
      </c>
      <c r="E1261" s="132"/>
      <c r="F1261" s="133">
        <v>13190</v>
      </c>
      <c r="G1261" s="133"/>
      <c r="H1261" s="134">
        <f t="shared" si="58"/>
        <v>13190</v>
      </c>
      <c r="I1261" s="134">
        <f t="shared" si="58"/>
        <v>0</v>
      </c>
      <c r="J1261" s="134">
        <f t="shared" si="57"/>
        <v>13190</v>
      </c>
      <c r="K1261" s="135"/>
      <c r="L1261" s="136" t="str">
        <f t="shared" si="59"/>
        <v>مدين</v>
      </c>
      <c r="M1261" s="137" t="str">
        <f>IF(ISERROR(VLOOKUP(C1261,'[1]خريطة الحسابات'!_xlnm.Print_Area,4,FALSE))," ",(VLOOKUP(C1261,'[1]خريطة الحسابات'!_xlnm.Print_Area,4,FALSE)))</f>
        <v>388 تكاليف مشروع الدقي</v>
      </c>
      <c r="N1261" s="138" t="str">
        <f>IF(ISERROR(VLOOKUP(C1261,'[1]خريطة الحسابات'!_xlnm.Print_Area,5,FALSE))," ",(VLOOKUP(C1261,'[1]خريطة الحسابات'!_xlnm.Print_Area,5,FALSE)))</f>
        <v xml:space="preserve">تكاليف العمليات </v>
      </c>
      <c r="O1261" s="139" t="s">
        <v>1870</v>
      </c>
      <c r="P1261" s="139" t="s">
        <v>1315</v>
      </c>
    </row>
    <row r="1262" spans="1:16">
      <c r="A1262" s="104">
        <v>57</v>
      </c>
      <c r="B1262" s="131">
        <v>46062</v>
      </c>
      <c r="C1262" s="141" t="s">
        <v>774</v>
      </c>
      <c r="D1262" s="140" t="str">
        <f>IF(ISERROR(VLOOKUP(C1262,'[1]خريطة الحسابات'!_xlnm.Print_Area,3,FALSE))," ",(VLOOKUP(C1262,'[1]خريطة الحسابات'!_xlnm.Print_Area,3,FALSE)))</f>
        <v>خامات ومصنعية أعمال المحارة</v>
      </c>
      <c r="E1262" s="132"/>
      <c r="F1262" s="133">
        <v>10960</v>
      </c>
      <c r="G1262" s="133"/>
      <c r="H1262" s="134">
        <f t="shared" si="58"/>
        <v>10960</v>
      </c>
      <c r="I1262" s="134">
        <f t="shared" si="58"/>
        <v>0</v>
      </c>
      <c r="J1262" s="134">
        <f t="shared" si="57"/>
        <v>10960</v>
      </c>
      <c r="K1262" s="135"/>
      <c r="L1262" s="136" t="str">
        <f t="shared" si="59"/>
        <v>مدين</v>
      </c>
      <c r="M1262" s="137" t="str">
        <f>IF(ISERROR(VLOOKUP(C1262,'[1]خريطة الحسابات'!_xlnm.Print_Area,4,FALSE))," ",(VLOOKUP(C1262,'[1]خريطة الحسابات'!_xlnm.Print_Area,4,FALSE)))</f>
        <v>388 تكاليف مشروع الدقي</v>
      </c>
      <c r="N1262" s="138" t="str">
        <f>IF(ISERROR(VLOOKUP(C1262,'[1]خريطة الحسابات'!_xlnm.Print_Area,5,FALSE))," ",(VLOOKUP(C1262,'[1]خريطة الحسابات'!_xlnm.Print_Area,5,FALSE)))</f>
        <v xml:space="preserve">تكاليف العمليات </v>
      </c>
      <c r="O1262" s="139" t="s">
        <v>1871</v>
      </c>
      <c r="P1262" s="139" t="s">
        <v>1315</v>
      </c>
    </row>
    <row r="1263" spans="1:16">
      <c r="A1263" s="104">
        <v>57</v>
      </c>
      <c r="B1263" s="131">
        <v>46065</v>
      </c>
      <c r="C1263" s="141" t="s">
        <v>774</v>
      </c>
      <c r="D1263" s="140" t="str">
        <f>IF(ISERROR(VLOOKUP(C1263,'[1]خريطة الحسابات'!_xlnm.Print_Area,3,FALSE))," ",(VLOOKUP(C1263,'[1]خريطة الحسابات'!_xlnm.Print_Area,3,FALSE)))</f>
        <v>خامات ومصنعية أعمال المحارة</v>
      </c>
      <c r="E1263" s="132"/>
      <c r="F1263" s="133">
        <v>29720</v>
      </c>
      <c r="G1263" s="133"/>
      <c r="H1263" s="134">
        <f t="shared" si="58"/>
        <v>29720</v>
      </c>
      <c r="I1263" s="134">
        <f t="shared" si="58"/>
        <v>0</v>
      </c>
      <c r="J1263" s="134">
        <f t="shared" si="57"/>
        <v>29720</v>
      </c>
      <c r="K1263" s="135"/>
      <c r="L1263" s="136" t="str">
        <f t="shared" si="59"/>
        <v>مدين</v>
      </c>
      <c r="M1263" s="137" t="str">
        <f>IF(ISERROR(VLOOKUP(C1263,'[1]خريطة الحسابات'!_xlnm.Print_Area,4,FALSE))," ",(VLOOKUP(C1263,'[1]خريطة الحسابات'!_xlnm.Print_Area,4,FALSE)))</f>
        <v>388 تكاليف مشروع الدقي</v>
      </c>
      <c r="N1263" s="138" t="str">
        <f>IF(ISERROR(VLOOKUP(C1263,'[1]خريطة الحسابات'!_xlnm.Print_Area,5,FALSE))," ",(VLOOKUP(C1263,'[1]خريطة الحسابات'!_xlnm.Print_Area,5,FALSE)))</f>
        <v xml:space="preserve">تكاليف العمليات </v>
      </c>
      <c r="O1263" s="139" t="s">
        <v>1872</v>
      </c>
      <c r="P1263" s="139" t="s">
        <v>1315</v>
      </c>
    </row>
    <row r="1264" spans="1:16">
      <c r="A1264" s="104">
        <v>57</v>
      </c>
      <c r="B1264" s="131">
        <v>46075</v>
      </c>
      <c r="C1264" s="141" t="s">
        <v>774</v>
      </c>
      <c r="D1264" s="140" t="str">
        <f>IF(ISERROR(VLOOKUP(C1264,'[1]خريطة الحسابات'!_xlnm.Print_Area,3,FALSE))," ",(VLOOKUP(C1264,'[1]خريطة الحسابات'!_xlnm.Print_Area,3,FALSE)))</f>
        <v>خامات ومصنعية أعمال المحارة</v>
      </c>
      <c r="E1264" s="132"/>
      <c r="F1264" s="133">
        <v>2750</v>
      </c>
      <c r="G1264" s="133"/>
      <c r="H1264" s="134">
        <f t="shared" si="58"/>
        <v>2750</v>
      </c>
      <c r="I1264" s="134">
        <f t="shared" si="58"/>
        <v>0</v>
      </c>
      <c r="J1264" s="134">
        <f t="shared" si="57"/>
        <v>2750</v>
      </c>
      <c r="K1264" s="135"/>
      <c r="L1264" s="136" t="str">
        <f t="shared" si="59"/>
        <v>مدين</v>
      </c>
      <c r="M1264" s="137" t="str">
        <f>IF(ISERROR(VLOOKUP(C1264,'[1]خريطة الحسابات'!_xlnm.Print_Area,4,FALSE))," ",(VLOOKUP(C1264,'[1]خريطة الحسابات'!_xlnm.Print_Area,4,FALSE)))</f>
        <v>388 تكاليف مشروع الدقي</v>
      </c>
      <c r="N1264" s="138" t="str">
        <f>IF(ISERROR(VLOOKUP(C1264,'[1]خريطة الحسابات'!_xlnm.Print_Area,5,FALSE))," ",(VLOOKUP(C1264,'[1]خريطة الحسابات'!_xlnm.Print_Area,5,FALSE)))</f>
        <v xml:space="preserve">تكاليف العمليات </v>
      </c>
      <c r="O1264" s="139" t="s">
        <v>1873</v>
      </c>
      <c r="P1264" s="139" t="s">
        <v>1315</v>
      </c>
    </row>
    <row r="1265" spans="1:16">
      <c r="A1265" s="104">
        <v>57</v>
      </c>
      <c r="B1265" s="131">
        <v>46083</v>
      </c>
      <c r="C1265" s="141" t="s">
        <v>774</v>
      </c>
      <c r="D1265" s="140" t="str">
        <f>IF(ISERROR(VLOOKUP(C1265,'[1]خريطة الحسابات'!_xlnm.Print_Area,3,FALSE))," ",(VLOOKUP(C1265,'[1]خريطة الحسابات'!_xlnm.Print_Area,3,FALSE)))</f>
        <v>خامات ومصنعية أعمال المحارة</v>
      </c>
      <c r="E1265" s="132"/>
      <c r="F1265" s="133">
        <v>7400</v>
      </c>
      <c r="G1265" s="133"/>
      <c r="H1265" s="134">
        <f t="shared" si="58"/>
        <v>7400</v>
      </c>
      <c r="I1265" s="134">
        <f t="shared" si="58"/>
        <v>0</v>
      </c>
      <c r="J1265" s="134">
        <f t="shared" si="57"/>
        <v>7400</v>
      </c>
      <c r="K1265" s="135"/>
      <c r="L1265" s="136" t="str">
        <f t="shared" si="59"/>
        <v>مدين</v>
      </c>
      <c r="M1265" s="137" t="str">
        <f>IF(ISERROR(VLOOKUP(C1265,'[1]خريطة الحسابات'!_xlnm.Print_Area,4,FALSE))," ",(VLOOKUP(C1265,'[1]خريطة الحسابات'!_xlnm.Print_Area,4,FALSE)))</f>
        <v>388 تكاليف مشروع الدقي</v>
      </c>
      <c r="N1265" s="138" t="str">
        <f>IF(ISERROR(VLOOKUP(C1265,'[1]خريطة الحسابات'!_xlnm.Print_Area,5,FALSE))," ",(VLOOKUP(C1265,'[1]خريطة الحسابات'!_xlnm.Print_Area,5,FALSE)))</f>
        <v xml:space="preserve">تكاليف العمليات </v>
      </c>
      <c r="O1265" s="139" t="s">
        <v>1874</v>
      </c>
      <c r="P1265" s="139" t="s">
        <v>1315</v>
      </c>
    </row>
    <row r="1266" spans="1:16">
      <c r="A1266" s="104">
        <v>57</v>
      </c>
      <c r="B1266" s="131">
        <v>46093</v>
      </c>
      <c r="C1266" s="141" t="s">
        <v>774</v>
      </c>
      <c r="D1266" s="140" t="str">
        <f>IF(ISERROR(VLOOKUP(C1266,'[1]خريطة الحسابات'!_xlnm.Print_Area,3,FALSE))," ",(VLOOKUP(C1266,'[1]خريطة الحسابات'!_xlnm.Print_Area,3,FALSE)))</f>
        <v>خامات ومصنعية أعمال المحارة</v>
      </c>
      <c r="E1266" s="132"/>
      <c r="F1266" s="133">
        <v>200</v>
      </c>
      <c r="G1266" s="133"/>
      <c r="H1266" s="134">
        <f t="shared" si="58"/>
        <v>200</v>
      </c>
      <c r="I1266" s="134">
        <f t="shared" si="58"/>
        <v>0</v>
      </c>
      <c r="J1266" s="134">
        <f t="shared" si="57"/>
        <v>200</v>
      </c>
      <c r="K1266" s="135"/>
      <c r="L1266" s="136" t="str">
        <f t="shared" si="59"/>
        <v>مدين</v>
      </c>
      <c r="M1266" s="137" t="str">
        <f>IF(ISERROR(VLOOKUP(C1266,'[1]خريطة الحسابات'!_xlnm.Print_Area,4,FALSE))," ",(VLOOKUP(C1266,'[1]خريطة الحسابات'!_xlnm.Print_Area,4,FALSE)))</f>
        <v>388 تكاليف مشروع الدقي</v>
      </c>
      <c r="N1266" s="138" t="str">
        <f>IF(ISERROR(VLOOKUP(C1266,'[1]خريطة الحسابات'!_xlnm.Print_Area,5,FALSE))," ",(VLOOKUP(C1266,'[1]خريطة الحسابات'!_xlnm.Print_Area,5,FALSE)))</f>
        <v xml:space="preserve">تكاليف العمليات </v>
      </c>
      <c r="O1266" s="139" t="s">
        <v>1875</v>
      </c>
      <c r="P1266" s="139" t="s">
        <v>1315</v>
      </c>
    </row>
    <row r="1267" spans="1:16">
      <c r="A1267" s="104">
        <v>57</v>
      </c>
      <c r="B1267" s="131">
        <v>46093</v>
      </c>
      <c r="C1267" s="141" t="s">
        <v>774</v>
      </c>
      <c r="D1267" s="140" t="str">
        <f>IF(ISERROR(VLOOKUP(C1267,'[1]خريطة الحسابات'!_xlnm.Print_Area,3,FALSE))," ",(VLOOKUP(C1267,'[1]خريطة الحسابات'!_xlnm.Print_Area,3,FALSE)))</f>
        <v>خامات ومصنعية أعمال المحارة</v>
      </c>
      <c r="E1267" s="132"/>
      <c r="F1267" s="133">
        <v>700</v>
      </c>
      <c r="G1267" s="133"/>
      <c r="H1267" s="134">
        <f t="shared" si="58"/>
        <v>700</v>
      </c>
      <c r="I1267" s="134">
        <f t="shared" si="58"/>
        <v>0</v>
      </c>
      <c r="J1267" s="134">
        <f t="shared" si="57"/>
        <v>700</v>
      </c>
      <c r="K1267" s="135"/>
      <c r="L1267" s="136" t="str">
        <f t="shared" si="59"/>
        <v>مدين</v>
      </c>
      <c r="M1267" s="137" t="str">
        <f>IF(ISERROR(VLOOKUP(C1267,'[1]خريطة الحسابات'!_xlnm.Print_Area,4,FALSE))," ",(VLOOKUP(C1267,'[1]خريطة الحسابات'!_xlnm.Print_Area,4,FALSE)))</f>
        <v>388 تكاليف مشروع الدقي</v>
      </c>
      <c r="N1267" s="138" t="str">
        <f>IF(ISERROR(VLOOKUP(C1267,'[1]خريطة الحسابات'!_xlnm.Print_Area,5,FALSE))," ",(VLOOKUP(C1267,'[1]خريطة الحسابات'!_xlnm.Print_Area,5,FALSE)))</f>
        <v xml:space="preserve">تكاليف العمليات </v>
      </c>
      <c r="O1267" s="139" t="s">
        <v>1876</v>
      </c>
      <c r="P1267" s="139" t="s">
        <v>1315</v>
      </c>
    </row>
    <row r="1268" spans="1:16">
      <c r="A1268" s="104">
        <v>57</v>
      </c>
      <c r="B1268" s="131">
        <v>46091</v>
      </c>
      <c r="C1268" s="141" t="s">
        <v>529</v>
      </c>
      <c r="D1268" s="140" t="str">
        <f>IF(ISERROR(VLOOKUP(C1268,'[1]خريطة الحسابات'!_xlnm.Print_Area,3,FALSE))," ",(VLOOKUP(C1268,'[1]خريطة الحسابات'!_xlnm.Print_Area,3,FALSE)))</f>
        <v>خامات ومصنعية أعمال المحارة</v>
      </c>
      <c r="E1268" s="132"/>
      <c r="F1268" s="133">
        <v>6436</v>
      </c>
      <c r="G1268" s="133"/>
      <c r="H1268" s="134">
        <f t="shared" si="58"/>
        <v>6436</v>
      </c>
      <c r="I1268" s="134">
        <f t="shared" si="58"/>
        <v>0</v>
      </c>
      <c r="J1268" s="134">
        <f t="shared" si="57"/>
        <v>6436</v>
      </c>
      <c r="K1268" s="135"/>
      <c r="L1268" s="136" t="str">
        <f t="shared" si="59"/>
        <v>مدين</v>
      </c>
      <c r="M1268" s="137" t="str">
        <f>IF(ISERROR(VLOOKUP(C1268,'[1]خريطة الحسابات'!_xlnm.Print_Area,4,FALSE))," ",(VLOOKUP(C1268,'[1]خريطة الحسابات'!_xlnm.Print_Area,4,FALSE)))</f>
        <v>تكاليف مشروع هاني القرنفل 355</v>
      </c>
      <c r="N1268" s="138" t="str">
        <f>IF(ISERROR(VLOOKUP(C1268,'[1]خريطة الحسابات'!_xlnm.Print_Area,5,FALSE))," ",(VLOOKUP(C1268,'[1]خريطة الحسابات'!_xlnm.Print_Area,5,FALSE)))</f>
        <v xml:space="preserve">تكاليف العمليات </v>
      </c>
      <c r="O1268" s="139" t="s">
        <v>1877</v>
      </c>
      <c r="P1268" s="139" t="s">
        <v>1395</v>
      </c>
    </row>
    <row r="1269" spans="1:16">
      <c r="A1269" s="104">
        <v>57</v>
      </c>
      <c r="B1269" s="131">
        <v>46091</v>
      </c>
      <c r="C1269" s="141" t="s">
        <v>494</v>
      </c>
      <c r="D1269" s="140" t="str">
        <f>IF(ISERROR(VLOOKUP(C1269,'[1]خريطة الحسابات'!_xlnm.Print_Area,3,FALSE))," ",(VLOOKUP(C1269,'[1]خريطة الحسابات'!_xlnm.Print_Area,3,FALSE)))</f>
        <v>خامات ومصنعية أعمال المحارة</v>
      </c>
      <c r="E1269" s="142"/>
      <c r="F1269" s="133">
        <v>6436</v>
      </c>
      <c r="G1269" s="133"/>
      <c r="H1269" s="134">
        <f t="shared" si="58"/>
        <v>6436</v>
      </c>
      <c r="I1269" s="134">
        <f t="shared" si="58"/>
        <v>0</v>
      </c>
      <c r="J1269" s="134">
        <f t="shared" si="57"/>
        <v>6436</v>
      </c>
      <c r="K1269" s="135"/>
      <c r="L1269" s="136" t="str">
        <f t="shared" si="59"/>
        <v>مدين</v>
      </c>
      <c r="M1269" s="137" t="str">
        <f>IF(ISERROR(VLOOKUP(C1269,'[1]خريطة الحسابات'!_xlnm.Print_Area,4,FALSE))," ",(VLOOKUP(C1269,'[1]خريطة الحسابات'!_xlnm.Print_Area,4,FALSE)))</f>
        <v>تكاليف مشروع ياسر القرنفل 354</v>
      </c>
      <c r="N1269" s="138" t="str">
        <f>IF(ISERROR(VLOOKUP(C1269,'[1]خريطة الحسابات'!_xlnm.Print_Area,5,FALSE))," ",(VLOOKUP(C1269,'[1]خريطة الحسابات'!_xlnm.Print_Area,5,FALSE)))</f>
        <v xml:space="preserve">تكاليف العمليات </v>
      </c>
      <c r="O1269" s="84" t="s">
        <v>1877</v>
      </c>
      <c r="P1269" s="84" t="s">
        <v>1393</v>
      </c>
    </row>
    <row r="1270" spans="1:16">
      <c r="A1270" s="104">
        <v>57</v>
      </c>
      <c r="B1270" s="131">
        <v>46159</v>
      </c>
      <c r="C1270" s="141">
        <v>20</v>
      </c>
      <c r="D1270" s="140" t="str">
        <f>IF(ISERROR(VLOOKUP(C1270,'[1]خريطة الحسابات'!_xlnm.Print_Area,3,FALSE))," ",(VLOOKUP(C1270,'[1]خريطة الحسابات'!_xlnm.Print_Area,3,FALSE)))</f>
        <v xml:space="preserve">الخزينة </v>
      </c>
      <c r="E1270" s="142"/>
      <c r="F1270" s="133"/>
      <c r="G1270" s="133">
        <v>21000</v>
      </c>
      <c r="H1270" s="134">
        <f t="shared" si="58"/>
        <v>0</v>
      </c>
      <c r="I1270" s="134">
        <f t="shared" si="58"/>
        <v>21000</v>
      </c>
      <c r="J1270" s="134">
        <f t="shared" si="57"/>
        <v>-21000</v>
      </c>
      <c r="K1270" s="135"/>
      <c r="L1270" s="136" t="str">
        <f t="shared" si="59"/>
        <v>دائن</v>
      </c>
      <c r="M1270" s="137" t="str">
        <f>IF(ISERROR(VLOOKUP(C1270,'[1]خريطة الحسابات'!_xlnm.Print_Area,4,FALSE))," ",(VLOOKUP(C1270,'[1]خريطة الحسابات'!_xlnm.Print_Area,4,FALSE)))</f>
        <v xml:space="preserve">أصول متداوله -النقدية ومافي حكمها </v>
      </c>
      <c r="N1270" s="138" t="str">
        <f>IF(ISERROR(VLOOKUP(C1270,'[1]خريطة الحسابات'!_xlnm.Print_Area,5,FALSE))," ",(VLOOKUP(C1270,'[1]خريطة الحسابات'!_xlnm.Print_Area,5,FALSE)))</f>
        <v>الاصول</v>
      </c>
      <c r="O1270" s="139" t="s">
        <v>1866</v>
      </c>
      <c r="P1270" s="139" t="s">
        <v>1345</v>
      </c>
    </row>
    <row r="1271" spans="1:16">
      <c r="A1271" s="104">
        <v>57</v>
      </c>
      <c r="B1271" s="131">
        <v>46121</v>
      </c>
      <c r="C1271" s="141">
        <v>20</v>
      </c>
      <c r="D1271" s="140" t="str">
        <f>IF(ISERROR(VLOOKUP(C1271,'[1]خريطة الحسابات'!_xlnm.Print_Area,3,FALSE))," ",(VLOOKUP(C1271,'[1]خريطة الحسابات'!_xlnm.Print_Area,3,FALSE)))</f>
        <v xml:space="preserve">الخزينة </v>
      </c>
      <c r="E1271" s="142"/>
      <c r="F1271" s="133"/>
      <c r="G1271" s="133">
        <v>225</v>
      </c>
      <c r="H1271" s="134">
        <f t="shared" si="58"/>
        <v>0</v>
      </c>
      <c r="I1271" s="134">
        <f t="shared" si="58"/>
        <v>225</v>
      </c>
      <c r="J1271" s="134">
        <f t="shared" si="57"/>
        <v>-225</v>
      </c>
      <c r="K1271" s="135"/>
      <c r="L1271" s="136" t="str">
        <f t="shared" si="59"/>
        <v>دائن</v>
      </c>
      <c r="M1271" s="137" t="str">
        <f>IF(ISERROR(VLOOKUP(C1271,'[1]خريطة الحسابات'!_xlnm.Print_Area,4,FALSE))," ",(VLOOKUP(C1271,'[1]خريطة الحسابات'!_xlnm.Print_Area,4,FALSE)))</f>
        <v xml:space="preserve">أصول متداوله -النقدية ومافي حكمها </v>
      </c>
      <c r="N1271" s="138" t="str">
        <f>IF(ISERROR(VLOOKUP(C1271,'[1]خريطة الحسابات'!_xlnm.Print_Area,5,FALSE))," ",(VLOOKUP(C1271,'[1]خريطة الحسابات'!_xlnm.Print_Area,5,FALSE)))</f>
        <v>الاصول</v>
      </c>
      <c r="O1271" s="139" t="s">
        <v>1867</v>
      </c>
      <c r="P1271" s="139" t="s">
        <v>1327</v>
      </c>
    </row>
    <row r="1272" spans="1:16">
      <c r="A1272" s="104">
        <v>57</v>
      </c>
      <c r="B1272" s="131">
        <v>46036</v>
      </c>
      <c r="C1272" s="141">
        <v>20</v>
      </c>
      <c r="D1272" s="140" t="str">
        <f>IF(ISERROR(VLOOKUP(C1272,'[1]خريطة الحسابات'!_xlnm.Print_Area,3,FALSE))," ",(VLOOKUP(C1272,'[1]خريطة الحسابات'!_xlnm.Print_Area,3,FALSE)))</f>
        <v xml:space="preserve">الخزينة </v>
      </c>
      <c r="E1272" s="142"/>
      <c r="F1272" s="133"/>
      <c r="G1272" s="133">
        <v>2400</v>
      </c>
      <c r="H1272" s="134">
        <f t="shared" si="58"/>
        <v>0</v>
      </c>
      <c r="I1272" s="134">
        <f t="shared" si="58"/>
        <v>2400</v>
      </c>
      <c r="J1272" s="134">
        <f t="shared" si="57"/>
        <v>-2400</v>
      </c>
      <c r="K1272" s="135"/>
      <c r="L1272" s="136" t="str">
        <f t="shared" si="59"/>
        <v>دائن</v>
      </c>
      <c r="M1272" s="137" t="str">
        <f>IF(ISERROR(VLOOKUP(C1272,'[1]خريطة الحسابات'!_xlnm.Print_Area,4,FALSE))," ",(VLOOKUP(C1272,'[1]خريطة الحسابات'!_xlnm.Print_Area,4,FALSE)))</f>
        <v xml:space="preserve">أصول متداوله -النقدية ومافي حكمها </v>
      </c>
      <c r="N1272" s="138" t="str">
        <f>IF(ISERROR(VLOOKUP(C1272,'[1]خريطة الحسابات'!_xlnm.Print_Area,5,FALSE))," ",(VLOOKUP(C1272,'[1]خريطة الحسابات'!_xlnm.Print_Area,5,FALSE)))</f>
        <v>الاصول</v>
      </c>
      <c r="O1272" s="139" t="s">
        <v>1868</v>
      </c>
      <c r="P1272" s="139" t="s">
        <v>1315</v>
      </c>
    </row>
    <row r="1273" spans="1:16">
      <c r="A1273" s="104">
        <v>57</v>
      </c>
      <c r="B1273" s="131">
        <v>46046</v>
      </c>
      <c r="C1273" s="141">
        <v>20</v>
      </c>
      <c r="D1273" s="140" t="str">
        <f>IF(ISERROR(VLOOKUP(C1273,'[1]خريطة الحسابات'!_xlnm.Print_Area,3,FALSE))," ",(VLOOKUP(C1273,'[1]خريطة الحسابات'!_xlnm.Print_Area,3,FALSE)))</f>
        <v xml:space="preserve">الخزينة </v>
      </c>
      <c r="E1273" s="142"/>
      <c r="F1273" s="133"/>
      <c r="G1273" s="133">
        <v>2200</v>
      </c>
      <c r="H1273" s="134">
        <f t="shared" si="58"/>
        <v>0</v>
      </c>
      <c r="I1273" s="134">
        <f t="shared" si="58"/>
        <v>2200</v>
      </c>
      <c r="J1273" s="134">
        <f t="shared" si="57"/>
        <v>-2200</v>
      </c>
      <c r="K1273" s="135"/>
      <c r="L1273" s="136" t="str">
        <f t="shared" si="59"/>
        <v>دائن</v>
      </c>
      <c r="M1273" s="137" t="str">
        <f>IF(ISERROR(VLOOKUP(C1273,'[1]خريطة الحسابات'!_xlnm.Print_Area,4,FALSE))," ",(VLOOKUP(C1273,'[1]خريطة الحسابات'!_xlnm.Print_Area,4,FALSE)))</f>
        <v xml:space="preserve">أصول متداوله -النقدية ومافي حكمها </v>
      </c>
      <c r="N1273" s="138" t="str">
        <f>IF(ISERROR(VLOOKUP(C1273,'[1]خريطة الحسابات'!_xlnm.Print_Area,5,FALSE))," ",(VLOOKUP(C1273,'[1]خريطة الحسابات'!_xlnm.Print_Area,5,FALSE)))</f>
        <v>الاصول</v>
      </c>
      <c r="O1273" s="139" t="s">
        <v>1869</v>
      </c>
      <c r="P1273" s="139" t="s">
        <v>1315</v>
      </c>
    </row>
    <row r="1274" spans="1:16">
      <c r="A1274" s="104">
        <v>57</v>
      </c>
      <c r="B1274" s="131">
        <v>46048</v>
      </c>
      <c r="C1274" s="141">
        <v>20</v>
      </c>
      <c r="D1274" s="140" t="str">
        <f>IF(ISERROR(VLOOKUP(C1274,'[1]خريطة الحسابات'!_xlnm.Print_Area,3,FALSE))," ",(VLOOKUP(C1274,'[1]خريطة الحسابات'!_xlnm.Print_Area,3,FALSE)))</f>
        <v xml:space="preserve">الخزينة </v>
      </c>
      <c r="E1274" s="142"/>
      <c r="F1274" s="133"/>
      <c r="G1274" s="133">
        <v>13190</v>
      </c>
      <c r="H1274" s="134">
        <f t="shared" si="58"/>
        <v>0</v>
      </c>
      <c r="I1274" s="134">
        <f t="shared" si="58"/>
        <v>13190</v>
      </c>
      <c r="J1274" s="134">
        <f t="shared" si="57"/>
        <v>-13190</v>
      </c>
      <c r="K1274" s="135"/>
      <c r="L1274" s="136" t="str">
        <f t="shared" si="59"/>
        <v>دائن</v>
      </c>
      <c r="M1274" s="137" t="str">
        <f>IF(ISERROR(VLOOKUP(C1274,'[1]خريطة الحسابات'!_xlnm.Print_Area,4,FALSE))," ",(VLOOKUP(C1274,'[1]خريطة الحسابات'!_xlnm.Print_Area,4,FALSE)))</f>
        <v xml:space="preserve">أصول متداوله -النقدية ومافي حكمها </v>
      </c>
      <c r="N1274" s="138" t="str">
        <f>IF(ISERROR(VLOOKUP(C1274,'[1]خريطة الحسابات'!_xlnm.Print_Area,5,FALSE))," ",(VLOOKUP(C1274,'[1]خريطة الحسابات'!_xlnm.Print_Area,5,FALSE)))</f>
        <v>الاصول</v>
      </c>
      <c r="O1274" s="139" t="s">
        <v>1870</v>
      </c>
      <c r="P1274" s="139" t="s">
        <v>1315</v>
      </c>
    </row>
    <row r="1275" spans="1:16">
      <c r="A1275" s="104">
        <v>57</v>
      </c>
      <c r="B1275" s="131">
        <v>46062</v>
      </c>
      <c r="C1275" s="141">
        <v>20</v>
      </c>
      <c r="D1275" s="140" t="str">
        <f>IF(ISERROR(VLOOKUP(C1275,'[1]خريطة الحسابات'!_xlnm.Print_Area,3,FALSE))," ",(VLOOKUP(C1275,'[1]خريطة الحسابات'!_xlnm.Print_Area,3,FALSE)))</f>
        <v xml:space="preserve">الخزينة </v>
      </c>
      <c r="E1275" s="142"/>
      <c r="F1275" s="133"/>
      <c r="G1275" s="133">
        <v>10960</v>
      </c>
      <c r="H1275" s="134">
        <f t="shared" si="58"/>
        <v>0</v>
      </c>
      <c r="I1275" s="134">
        <f t="shared" si="58"/>
        <v>10960</v>
      </c>
      <c r="J1275" s="134">
        <f t="shared" si="57"/>
        <v>-10960</v>
      </c>
      <c r="K1275" s="135"/>
      <c r="L1275" s="136" t="str">
        <f t="shared" si="59"/>
        <v>دائن</v>
      </c>
      <c r="M1275" s="137" t="str">
        <f>IF(ISERROR(VLOOKUP(C1275,'[1]خريطة الحسابات'!_xlnm.Print_Area,4,FALSE))," ",(VLOOKUP(C1275,'[1]خريطة الحسابات'!_xlnm.Print_Area,4,FALSE)))</f>
        <v xml:space="preserve">أصول متداوله -النقدية ومافي حكمها </v>
      </c>
      <c r="N1275" s="138" t="str">
        <f>IF(ISERROR(VLOOKUP(C1275,'[1]خريطة الحسابات'!_xlnm.Print_Area,5,FALSE))," ",(VLOOKUP(C1275,'[1]خريطة الحسابات'!_xlnm.Print_Area,5,FALSE)))</f>
        <v>الاصول</v>
      </c>
      <c r="O1275" s="139" t="s">
        <v>1871</v>
      </c>
      <c r="P1275" s="139" t="s">
        <v>1315</v>
      </c>
    </row>
    <row r="1276" spans="1:16">
      <c r="A1276" s="104">
        <v>57</v>
      </c>
      <c r="B1276" s="131">
        <v>46065</v>
      </c>
      <c r="C1276" s="141">
        <v>20</v>
      </c>
      <c r="D1276" s="140" t="str">
        <f>IF(ISERROR(VLOOKUP(C1276,'[1]خريطة الحسابات'!_xlnm.Print_Area,3,FALSE))," ",(VLOOKUP(C1276,'[1]خريطة الحسابات'!_xlnm.Print_Area,3,FALSE)))</f>
        <v xml:space="preserve">الخزينة </v>
      </c>
      <c r="E1276" s="142"/>
      <c r="F1276" s="133"/>
      <c r="G1276" s="133">
        <v>29720</v>
      </c>
      <c r="H1276" s="134">
        <f t="shared" si="58"/>
        <v>0</v>
      </c>
      <c r="I1276" s="134">
        <f t="shared" si="58"/>
        <v>29720</v>
      </c>
      <c r="J1276" s="134">
        <f t="shared" si="57"/>
        <v>-29720</v>
      </c>
      <c r="K1276" s="135"/>
      <c r="L1276" s="136" t="str">
        <f t="shared" si="59"/>
        <v>دائن</v>
      </c>
      <c r="M1276" s="137" t="str">
        <f>IF(ISERROR(VLOOKUP(C1276,'[1]خريطة الحسابات'!_xlnm.Print_Area,4,FALSE))," ",(VLOOKUP(C1276,'[1]خريطة الحسابات'!_xlnm.Print_Area,4,FALSE)))</f>
        <v xml:space="preserve">أصول متداوله -النقدية ومافي حكمها </v>
      </c>
      <c r="N1276" s="138" t="str">
        <f>IF(ISERROR(VLOOKUP(C1276,'[1]خريطة الحسابات'!_xlnm.Print_Area,5,FALSE))," ",(VLOOKUP(C1276,'[1]خريطة الحسابات'!_xlnm.Print_Area,5,FALSE)))</f>
        <v>الاصول</v>
      </c>
      <c r="O1276" s="139" t="s">
        <v>1872</v>
      </c>
      <c r="P1276" s="139" t="s">
        <v>1315</v>
      </c>
    </row>
    <row r="1277" spans="1:16">
      <c r="A1277" s="104">
        <v>57</v>
      </c>
      <c r="B1277" s="131">
        <v>46075</v>
      </c>
      <c r="C1277" s="141">
        <v>20</v>
      </c>
      <c r="D1277" s="140" t="str">
        <f>IF(ISERROR(VLOOKUP(C1277,'[1]خريطة الحسابات'!_xlnm.Print_Area,3,FALSE))," ",(VLOOKUP(C1277,'[1]خريطة الحسابات'!_xlnm.Print_Area,3,FALSE)))</f>
        <v xml:space="preserve">الخزينة </v>
      </c>
      <c r="E1277" s="142"/>
      <c r="F1277" s="133"/>
      <c r="G1277" s="133">
        <v>2750</v>
      </c>
      <c r="H1277" s="134">
        <f t="shared" si="58"/>
        <v>0</v>
      </c>
      <c r="I1277" s="134">
        <f t="shared" si="58"/>
        <v>2750</v>
      </c>
      <c r="J1277" s="134">
        <f t="shared" si="57"/>
        <v>-2750</v>
      </c>
      <c r="K1277" s="135"/>
      <c r="L1277" s="136" t="str">
        <f t="shared" si="59"/>
        <v>دائن</v>
      </c>
      <c r="M1277" s="137" t="str">
        <f>IF(ISERROR(VLOOKUP(C1277,'[1]خريطة الحسابات'!_xlnm.Print_Area,4,FALSE))," ",(VLOOKUP(C1277,'[1]خريطة الحسابات'!_xlnm.Print_Area,4,FALSE)))</f>
        <v xml:space="preserve">أصول متداوله -النقدية ومافي حكمها </v>
      </c>
      <c r="N1277" s="138" t="str">
        <f>IF(ISERROR(VLOOKUP(C1277,'[1]خريطة الحسابات'!_xlnm.Print_Area,5,FALSE))," ",(VLOOKUP(C1277,'[1]خريطة الحسابات'!_xlnm.Print_Area,5,FALSE)))</f>
        <v>الاصول</v>
      </c>
      <c r="O1277" s="139" t="s">
        <v>1873</v>
      </c>
      <c r="P1277" s="139" t="s">
        <v>1315</v>
      </c>
    </row>
    <row r="1278" spans="1:16">
      <c r="A1278" s="104">
        <v>57</v>
      </c>
      <c r="B1278" s="131">
        <v>46083</v>
      </c>
      <c r="C1278" s="141">
        <v>20</v>
      </c>
      <c r="D1278" s="140" t="str">
        <f>IF(ISERROR(VLOOKUP(C1278,'[1]خريطة الحسابات'!_xlnm.Print_Area,3,FALSE))," ",(VLOOKUP(C1278,'[1]خريطة الحسابات'!_xlnm.Print_Area,3,FALSE)))</f>
        <v xml:space="preserve">الخزينة </v>
      </c>
      <c r="E1278" s="142"/>
      <c r="F1278" s="133"/>
      <c r="G1278" s="133">
        <v>7400</v>
      </c>
      <c r="H1278" s="134">
        <f t="shared" si="58"/>
        <v>0</v>
      </c>
      <c r="I1278" s="134">
        <f t="shared" si="58"/>
        <v>7400</v>
      </c>
      <c r="J1278" s="134">
        <f t="shared" si="57"/>
        <v>-7400</v>
      </c>
      <c r="K1278" s="135"/>
      <c r="L1278" s="136" t="str">
        <f t="shared" si="59"/>
        <v>دائن</v>
      </c>
      <c r="M1278" s="137" t="str">
        <f>IF(ISERROR(VLOOKUP(C1278,'[1]خريطة الحسابات'!_xlnm.Print_Area,4,FALSE))," ",(VLOOKUP(C1278,'[1]خريطة الحسابات'!_xlnm.Print_Area,4,FALSE)))</f>
        <v xml:space="preserve">أصول متداوله -النقدية ومافي حكمها </v>
      </c>
      <c r="N1278" s="138" t="str">
        <f>IF(ISERROR(VLOOKUP(C1278,'[1]خريطة الحسابات'!_xlnm.Print_Area,5,FALSE))," ",(VLOOKUP(C1278,'[1]خريطة الحسابات'!_xlnm.Print_Area,5,FALSE)))</f>
        <v>الاصول</v>
      </c>
      <c r="O1278" s="139" t="s">
        <v>1874</v>
      </c>
      <c r="P1278" s="139" t="s">
        <v>1315</v>
      </c>
    </row>
    <row r="1279" spans="1:16">
      <c r="A1279" s="104">
        <v>57</v>
      </c>
      <c r="B1279" s="131">
        <v>46093</v>
      </c>
      <c r="C1279" s="141">
        <v>20</v>
      </c>
      <c r="D1279" s="140" t="str">
        <f>IF(ISERROR(VLOOKUP(C1279,'[1]خريطة الحسابات'!_xlnm.Print_Area,3,FALSE))," ",(VLOOKUP(C1279,'[1]خريطة الحسابات'!_xlnm.Print_Area,3,FALSE)))</f>
        <v xml:space="preserve">الخزينة </v>
      </c>
      <c r="E1279" s="142"/>
      <c r="F1279" s="133"/>
      <c r="G1279" s="133">
        <v>200</v>
      </c>
      <c r="H1279" s="134">
        <f t="shared" si="58"/>
        <v>0</v>
      </c>
      <c r="I1279" s="134">
        <f t="shared" si="58"/>
        <v>200</v>
      </c>
      <c r="J1279" s="134">
        <f t="shared" si="57"/>
        <v>-200</v>
      </c>
      <c r="K1279" s="135"/>
      <c r="L1279" s="136" t="str">
        <f t="shared" si="59"/>
        <v>دائن</v>
      </c>
      <c r="M1279" s="137" t="str">
        <f>IF(ISERROR(VLOOKUP(C1279,'[1]خريطة الحسابات'!_xlnm.Print_Area,4,FALSE))," ",(VLOOKUP(C1279,'[1]خريطة الحسابات'!_xlnm.Print_Area,4,FALSE)))</f>
        <v xml:space="preserve">أصول متداوله -النقدية ومافي حكمها </v>
      </c>
      <c r="N1279" s="138" t="str">
        <f>IF(ISERROR(VLOOKUP(C1279,'[1]خريطة الحسابات'!_xlnm.Print_Area,5,FALSE))," ",(VLOOKUP(C1279,'[1]خريطة الحسابات'!_xlnm.Print_Area,5,FALSE)))</f>
        <v>الاصول</v>
      </c>
      <c r="O1279" s="139" t="s">
        <v>1875</v>
      </c>
      <c r="P1279" s="139" t="s">
        <v>1315</v>
      </c>
    </row>
    <row r="1280" spans="1:16">
      <c r="A1280" s="104">
        <v>57</v>
      </c>
      <c r="B1280" s="131">
        <v>46093</v>
      </c>
      <c r="C1280" s="141">
        <v>20</v>
      </c>
      <c r="D1280" s="140" t="str">
        <f>IF(ISERROR(VLOOKUP(C1280,'[1]خريطة الحسابات'!_xlnm.Print_Area,3,FALSE))," ",(VLOOKUP(C1280,'[1]خريطة الحسابات'!_xlnm.Print_Area,3,FALSE)))</f>
        <v xml:space="preserve">الخزينة </v>
      </c>
      <c r="E1280" s="142"/>
      <c r="F1280" s="133"/>
      <c r="G1280" s="133">
        <v>700</v>
      </c>
      <c r="H1280" s="134">
        <f t="shared" si="58"/>
        <v>0</v>
      </c>
      <c r="I1280" s="134">
        <f t="shared" si="58"/>
        <v>700</v>
      </c>
      <c r="J1280" s="134">
        <f t="shared" si="57"/>
        <v>-700</v>
      </c>
      <c r="K1280" s="135"/>
      <c r="L1280" s="136" t="str">
        <f t="shared" si="59"/>
        <v>دائن</v>
      </c>
      <c r="M1280" s="137" t="str">
        <f>IF(ISERROR(VLOOKUP(C1280,'[1]خريطة الحسابات'!_xlnm.Print_Area,4,FALSE))," ",(VLOOKUP(C1280,'[1]خريطة الحسابات'!_xlnm.Print_Area,4,FALSE)))</f>
        <v xml:space="preserve">أصول متداوله -النقدية ومافي حكمها </v>
      </c>
      <c r="N1280" s="138" t="str">
        <f>IF(ISERROR(VLOOKUP(C1280,'[1]خريطة الحسابات'!_xlnm.Print_Area,5,FALSE))," ",(VLOOKUP(C1280,'[1]خريطة الحسابات'!_xlnm.Print_Area,5,FALSE)))</f>
        <v>الاصول</v>
      </c>
      <c r="O1280" s="139" t="s">
        <v>1876</v>
      </c>
      <c r="P1280" s="139" t="s">
        <v>1315</v>
      </c>
    </row>
    <row r="1281" spans="1:16">
      <c r="A1281" s="104">
        <v>57</v>
      </c>
      <c r="B1281" s="131">
        <v>46091</v>
      </c>
      <c r="C1281" s="141">
        <v>20</v>
      </c>
      <c r="D1281" s="140" t="str">
        <f>IF(ISERROR(VLOOKUP(C1281,'[1]خريطة الحسابات'!_xlnm.Print_Area,3,FALSE))," ",(VLOOKUP(C1281,'[1]خريطة الحسابات'!_xlnm.Print_Area,3,FALSE)))</f>
        <v xml:space="preserve">الخزينة </v>
      </c>
      <c r="E1281" s="142"/>
      <c r="F1281" s="133"/>
      <c r="G1281" s="133">
        <v>6436</v>
      </c>
      <c r="H1281" s="134">
        <f t="shared" si="58"/>
        <v>0</v>
      </c>
      <c r="I1281" s="134">
        <f t="shared" si="58"/>
        <v>6436</v>
      </c>
      <c r="J1281" s="134">
        <f t="shared" si="57"/>
        <v>-6436</v>
      </c>
      <c r="K1281" s="135"/>
      <c r="L1281" s="136" t="str">
        <f t="shared" si="59"/>
        <v>دائن</v>
      </c>
      <c r="M1281" s="137" t="str">
        <f>IF(ISERROR(VLOOKUP(C1281,'[1]خريطة الحسابات'!_xlnm.Print_Area,4,FALSE))," ",(VLOOKUP(C1281,'[1]خريطة الحسابات'!_xlnm.Print_Area,4,FALSE)))</f>
        <v xml:space="preserve">أصول متداوله -النقدية ومافي حكمها </v>
      </c>
      <c r="N1281" s="138" t="str">
        <f>IF(ISERROR(VLOOKUP(C1281,'[1]خريطة الحسابات'!_xlnm.Print_Area,5,FALSE))," ",(VLOOKUP(C1281,'[1]خريطة الحسابات'!_xlnm.Print_Area,5,FALSE)))</f>
        <v>الاصول</v>
      </c>
      <c r="O1281" s="139" t="s">
        <v>1877</v>
      </c>
      <c r="P1281" s="139" t="s">
        <v>1395</v>
      </c>
    </row>
    <row r="1282" spans="1:16">
      <c r="A1282" s="104">
        <v>57</v>
      </c>
      <c r="B1282" s="131">
        <v>46091</v>
      </c>
      <c r="C1282" s="141">
        <v>20</v>
      </c>
      <c r="D1282" s="140" t="str">
        <f>IF(ISERROR(VLOOKUP(C1282,'[1]خريطة الحسابات'!_xlnm.Print_Area,3,FALSE))," ",(VLOOKUP(C1282,'[1]خريطة الحسابات'!_xlnm.Print_Area,3,FALSE)))</f>
        <v xml:space="preserve">الخزينة </v>
      </c>
      <c r="E1282" s="142"/>
      <c r="F1282" s="133"/>
      <c r="G1282" s="133">
        <v>6436</v>
      </c>
      <c r="H1282" s="134">
        <f t="shared" si="58"/>
        <v>0</v>
      </c>
      <c r="I1282" s="134">
        <f t="shared" si="58"/>
        <v>6436</v>
      </c>
      <c r="J1282" s="134">
        <f t="shared" si="57"/>
        <v>-6436</v>
      </c>
      <c r="K1282" s="135"/>
      <c r="L1282" s="136" t="str">
        <f t="shared" si="59"/>
        <v>دائن</v>
      </c>
      <c r="M1282" s="137" t="str">
        <f>IF(ISERROR(VLOOKUP(C1282,'[1]خريطة الحسابات'!_xlnm.Print_Area,4,FALSE))," ",(VLOOKUP(C1282,'[1]خريطة الحسابات'!_xlnm.Print_Area,4,FALSE)))</f>
        <v xml:space="preserve">أصول متداوله -النقدية ومافي حكمها </v>
      </c>
      <c r="N1282" s="138" t="str">
        <f>IF(ISERROR(VLOOKUP(C1282,'[1]خريطة الحسابات'!_xlnm.Print_Area,5,FALSE))," ",(VLOOKUP(C1282,'[1]خريطة الحسابات'!_xlnm.Print_Area,5,FALSE)))</f>
        <v>الاصول</v>
      </c>
      <c r="O1282" s="84" t="s">
        <v>1877</v>
      </c>
      <c r="P1282" s="84" t="s">
        <v>1393</v>
      </c>
    </row>
    <row r="1283" spans="1:16">
      <c r="A1283" s="104">
        <v>58</v>
      </c>
      <c r="B1283" s="131">
        <v>46156</v>
      </c>
      <c r="C1283" s="141" t="s">
        <v>668</v>
      </c>
      <c r="D1283" s="140" t="str">
        <f>IF(ISERROR(VLOOKUP(C1283,'[1]خريطة الحسابات'!_xlnm.Print_Area,3,FALSE))," ",(VLOOKUP(C1283,'[1]خريطة الحسابات'!_xlnm.Print_Area,3,FALSE)))</f>
        <v>خامات ومصنعية أعمال المباني</v>
      </c>
      <c r="E1283" s="142"/>
      <c r="F1283" s="133">
        <v>6006</v>
      </c>
      <c r="G1283" s="133"/>
      <c r="H1283" s="134">
        <f t="shared" si="58"/>
        <v>6006</v>
      </c>
      <c r="I1283" s="134">
        <f t="shared" si="58"/>
        <v>0</v>
      </c>
      <c r="J1283" s="134">
        <f t="shared" si="57"/>
        <v>6006</v>
      </c>
      <c r="K1283" s="135"/>
      <c r="L1283" s="136" t="str">
        <f t="shared" si="59"/>
        <v>مدين</v>
      </c>
      <c r="M1283" s="137" t="str">
        <f>IF(ISERROR(VLOOKUP(C1283,'[1]خريطة الحسابات'!_xlnm.Print_Area,4,FALSE))," ",(VLOOKUP(C1283,'[1]خريطة الحسابات'!_xlnm.Print_Area,4,FALSE)))</f>
        <v>تكاليف مشروع هاني العبور 365</v>
      </c>
      <c r="N1283" s="138" t="str">
        <f>IF(ISERROR(VLOOKUP(C1283,'[1]خريطة الحسابات'!_xlnm.Print_Area,5,FALSE))," ",(VLOOKUP(C1283,'[1]خريطة الحسابات'!_xlnm.Print_Area,5,FALSE)))</f>
        <v xml:space="preserve">تكاليف العمليات </v>
      </c>
      <c r="O1283" s="84" t="s">
        <v>1878</v>
      </c>
      <c r="P1283" s="84" t="s">
        <v>1317</v>
      </c>
    </row>
    <row r="1284" spans="1:16">
      <c r="A1284" s="104">
        <v>58</v>
      </c>
      <c r="B1284" s="131">
        <v>46156</v>
      </c>
      <c r="C1284" s="141" t="s">
        <v>668</v>
      </c>
      <c r="D1284" s="140" t="str">
        <f>IF(ISERROR(VLOOKUP(C1284,'[1]خريطة الحسابات'!_xlnm.Print_Area,3,FALSE))," ",(VLOOKUP(C1284,'[1]خريطة الحسابات'!_xlnm.Print_Area,3,FALSE)))</f>
        <v>خامات ومصنعية أعمال المباني</v>
      </c>
      <c r="E1284" s="142"/>
      <c r="F1284" s="133">
        <v>3003</v>
      </c>
      <c r="G1284" s="133"/>
      <c r="H1284" s="134">
        <f t="shared" si="58"/>
        <v>3003</v>
      </c>
      <c r="I1284" s="134">
        <f t="shared" si="58"/>
        <v>0</v>
      </c>
      <c r="J1284" s="134">
        <f t="shared" si="57"/>
        <v>3003</v>
      </c>
      <c r="K1284" s="135"/>
      <c r="L1284" s="136" t="str">
        <f t="shared" si="59"/>
        <v>مدين</v>
      </c>
      <c r="M1284" s="137" t="str">
        <f>IF(ISERROR(VLOOKUP(C1284,'[1]خريطة الحسابات'!_xlnm.Print_Area,4,FALSE))," ",(VLOOKUP(C1284,'[1]خريطة الحسابات'!_xlnm.Print_Area,4,FALSE)))</f>
        <v>تكاليف مشروع هاني العبور 365</v>
      </c>
      <c r="N1284" s="138" t="str">
        <f>IF(ISERROR(VLOOKUP(C1284,'[1]خريطة الحسابات'!_xlnm.Print_Area,5,FALSE))," ",(VLOOKUP(C1284,'[1]خريطة الحسابات'!_xlnm.Print_Area,5,FALSE)))</f>
        <v xml:space="preserve">تكاليف العمليات </v>
      </c>
      <c r="O1284" s="84" t="s">
        <v>1879</v>
      </c>
      <c r="P1284" s="84" t="s">
        <v>1317</v>
      </c>
    </row>
    <row r="1285" spans="1:16">
      <c r="A1285" s="104">
        <v>58</v>
      </c>
      <c r="B1285" s="131">
        <v>46156</v>
      </c>
      <c r="C1285" s="141">
        <v>20</v>
      </c>
      <c r="D1285" s="140" t="str">
        <f>IF(ISERROR(VLOOKUP(C1285,'[1]خريطة الحسابات'!_xlnm.Print_Area,3,FALSE))," ",(VLOOKUP(C1285,'[1]خريطة الحسابات'!_xlnm.Print_Area,3,FALSE)))</f>
        <v xml:space="preserve">الخزينة </v>
      </c>
      <c r="E1285" s="142"/>
      <c r="F1285" s="133"/>
      <c r="G1285" s="133">
        <v>6006</v>
      </c>
      <c r="H1285" s="134">
        <f t="shared" si="58"/>
        <v>0</v>
      </c>
      <c r="I1285" s="134">
        <f t="shared" si="58"/>
        <v>6006</v>
      </c>
      <c r="J1285" s="134">
        <f t="shared" si="57"/>
        <v>-6006</v>
      </c>
      <c r="K1285" s="135"/>
      <c r="L1285" s="136" t="str">
        <f t="shared" si="59"/>
        <v>دائن</v>
      </c>
      <c r="M1285" s="137" t="str">
        <f>IF(ISERROR(VLOOKUP(C1285,'[1]خريطة الحسابات'!_xlnm.Print_Area,4,FALSE))," ",(VLOOKUP(C1285,'[1]خريطة الحسابات'!_xlnm.Print_Area,4,FALSE)))</f>
        <v xml:space="preserve">أصول متداوله -النقدية ومافي حكمها </v>
      </c>
      <c r="N1285" s="138" t="str">
        <f>IF(ISERROR(VLOOKUP(C1285,'[1]خريطة الحسابات'!_xlnm.Print_Area,5,FALSE))," ",(VLOOKUP(C1285,'[1]خريطة الحسابات'!_xlnm.Print_Area,5,FALSE)))</f>
        <v>الاصول</v>
      </c>
      <c r="O1285" s="84" t="s">
        <v>1878</v>
      </c>
      <c r="P1285" s="84" t="s">
        <v>1317</v>
      </c>
    </row>
    <row r="1286" spans="1:16">
      <c r="A1286" s="104">
        <v>58</v>
      </c>
      <c r="B1286" s="131">
        <v>46156</v>
      </c>
      <c r="C1286" s="141">
        <v>20</v>
      </c>
      <c r="D1286" s="140" t="str">
        <f>IF(ISERROR(VLOOKUP(C1286,'[1]خريطة الحسابات'!_xlnm.Print_Area,3,FALSE))," ",(VLOOKUP(C1286,'[1]خريطة الحسابات'!_xlnm.Print_Area,3,FALSE)))</f>
        <v xml:space="preserve">الخزينة </v>
      </c>
      <c r="E1286" s="142"/>
      <c r="F1286" s="133"/>
      <c r="G1286" s="133">
        <v>3003</v>
      </c>
      <c r="H1286" s="134">
        <f t="shared" si="58"/>
        <v>0</v>
      </c>
      <c r="I1286" s="134">
        <f t="shared" si="58"/>
        <v>3003</v>
      </c>
      <c r="J1286" s="134">
        <f t="shared" si="57"/>
        <v>-3003</v>
      </c>
      <c r="K1286" s="135"/>
      <c r="L1286" s="136" t="str">
        <f t="shared" si="59"/>
        <v>دائن</v>
      </c>
      <c r="M1286" s="137" t="str">
        <f>IF(ISERROR(VLOOKUP(C1286,'[1]خريطة الحسابات'!_xlnm.Print_Area,4,FALSE))," ",(VLOOKUP(C1286,'[1]خريطة الحسابات'!_xlnm.Print_Area,4,FALSE)))</f>
        <v xml:space="preserve">أصول متداوله -النقدية ومافي حكمها </v>
      </c>
      <c r="N1286" s="138" t="str">
        <f>IF(ISERROR(VLOOKUP(C1286,'[1]خريطة الحسابات'!_xlnm.Print_Area,5,FALSE))," ",(VLOOKUP(C1286,'[1]خريطة الحسابات'!_xlnm.Print_Area,5,FALSE)))</f>
        <v>الاصول</v>
      </c>
      <c r="O1286" s="84" t="s">
        <v>1879</v>
      </c>
      <c r="P1286" s="84" t="s">
        <v>1317</v>
      </c>
    </row>
    <row r="1287" spans="1:16">
      <c r="A1287" s="104">
        <v>59</v>
      </c>
      <c r="B1287" s="131">
        <v>46037</v>
      </c>
      <c r="C1287" s="141" t="s">
        <v>636</v>
      </c>
      <c r="D1287" s="140" t="str">
        <f>IF(ISERROR(VLOOKUP(C1287,'[1]خريطة الحسابات'!_xlnm.Print_Area,3,FALSE))," ",(VLOOKUP(C1287,'[1]خريطة الحسابات'!_xlnm.Print_Area,3,FALSE)))</f>
        <v>خامات ومصنعية أعمال الدهانات</v>
      </c>
      <c r="E1287" s="142"/>
      <c r="F1287" s="133">
        <v>5744</v>
      </c>
      <c r="G1287" s="133"/>
      <c r="H1287" s="134">
        <f t="shared" si="58"/>
        <v>5744</v>
      </c>
      <c r="I1287" s="134">
        <f t="shared" si="58"/>
        <v>0</v>
      </c>
      <c r="J1287" s="134">
        <f t="shared" si="57"/>
        <v>5744</v>
      </c>
      <c r="K1287" s="135"/>
      <c r="L1287" s="136" t="str">
        <f t="shared" si="59"/>
        <v>مدين</v>
      </c>
      <c r="M1287" s="137" t="str">
        <f>IF(ISERROR(VLOOKUP(C1287,'[1]خريطة الحسابات'!_xlnm.Print_Area,4,FALSE))," ",(VLOOKUP(C1287,'[1]خريطة الحسابات'!_xlnm.Print_Area,4,FALSE)))</f>
        <v>تكاليف مشروع الاندلس 364</v>
      </c>
      <c r="N1287" s="138" t="str">
        <f>IF(ISERROR(VLOOKUP(C1287,'[1]خريطة الحسابات'!_xlnm.Print_Area,5,FALSE))," ",(VLOOKUP(C1287,'[1]خريطة الحسابات'!_xlnm.Print_Area,5,FALSE)))</f>
        <v xml:space="preserve">تكاليف العمليات </v>
      </c>
      <c r="O1287" s="84" t="s">
        <v>1880</v>
      </c>
      <c r="P1287" s="84" t="s">
        <v>1299</v>
      </c>
    </row>
    <row r="1288" spans="1:16">
      <c r="A1288" s="104">
        <v>59</v>
      </c>
      <c r="B1288" s="131">
        <v>46037</v>
      </c>
      <c r="C1288" s="141" t="s">
        <v>636</v>
      </c>
      <c r="D1288" s="140" t="str">
        <f>IF(ISERROR(VLOOKUP(C1288,'[1]خريطة الحسابات'!_xlnm.Print_Area,3,FALSE))," ",(VLOOKUP(C1288,'[1]خريطة الحسابات'!_xlnm.Print_Area,3,FALSE)))</f>
        <v>خامات ومصنعية أعمال الدهانات</v>
      </c>
      <c r="E1288" s="142"/>
      <c r="F1288" s="133">
        <v>7650</v>
      </c>
      <c r="G1288" s="133"/>
      <c r="H1288" s="134">
        <f t="shared" si="58"/>
        <v>7650</v>
      </c>
      <c r="I1288" s="134">
        <f t="shared" si="58"/>
        <v>0</v>
      </c>
      <c r="J1288" s="134">
        <f t="shared" si="57"/>
        <v>7650</v>
      </c>
      <c r="K1288" s="135"/>
      <c r="L1288" s="136" t="str">
        <f t="shared" si="59"/>
        <v>مدين</v>
      </c>
      <c r="M1288" s="137" t="str">
        <f>IF(ISERROR(VLOOKUP(C1288,'[1]خريطة الحسابات'!_xlnm.Print_Area,4,FALSE))," ",(VLOOKUP(C1288,'[1]خريطة الحسابات'!_xlnm.Print_Area,4,FALSE)))</f>
        <v>تكاليف مشروع الاندلس 364</v>
      </c>
      <c r="N1288" s="138" t="str">
        <f>IF(ISERROR(VLOOKUP(C1288,'[1]خريطة الحسابات'!_xlnm.Print_Area,5,FALSE))," ",(VLOOKUP(C1288,'[1]خريطة الحسابات'!_xlnm.Print_Area,5,FALSE)))</f>
        <v xml:space="preserve">تكاليف العمليات </v>
      </c>
      <c r="O1288" s="84" t="s">
        <v>1881</v>
      </c>
      <c r="P1288" s="84" t="s">
        <v>1299</v>
      </c>
    </row>
    <row r="1289" spans="1:16">
      <c r="A1289" s="104">
        <v>59</v>
      </c>
      <c r="B1289" s="131">
        <v>46049</v>
      </c>
      <c r="C1289" s="141" t="s">
        <v>636</v>
      </c>
      <c r="D1289" s="140" t="str">
        <f>IF(ISERROR(VLOOKUP(C1289,'[1]خريطة الحسابات'!_xlnm.Print_Area,3,FALSE))," ",(VLOOKUP(C1289,'[1]خريطة الحسابات'!_xlnm.Print_Area,3,FALSE)))</f>
        <v>خامات ومصنعية أعمال الدهانات</v>
      </c>
      <c r="E1289" s="142"/>
      <c r="F1289" s="133">
        <v>12215</v>
      </c>
      <c r="G1289" s="133"/>
      <c r="H1289" s="134">
        <f t="shared" si="58"/>
        <v>12215</v>
      </c>
      <c r="I1289" s="134">
        <f t="shared" si="58"/>
        <v>0</v>
      </c>
      <c r="J1289" s="134">
        <f t="shared" si="57"/>
        <v>12215</v>
      </c>
      <c r="K1289" s="135"/>
      <c r="L1289" s="136" t="str">
        <f t="shared" si="59"/>
        <v>مدين</v>
      </c>
      <c r="M1289" s="137" t="str">
        <f>IF(ISERROR(VLOOKUP(C1289,'[1]خريطة الحسابات'!_xlnm.Print_Area,4,FALSE))," ",(VLOOKUP(C1289,'[1]خريطة الحسابات'!_xlnm.Print_Area,4,FALSE)))</f>
        <v>تكاليف مشروع الاندلس 364</v>
      </c>
      <c r="N1289" s="138" t="str">
        <f>IF(ISERROR(VLOOKUP(C1289,'[1]خريطة الحسابات'!_xlnm.Print_Area,5,FALSE))," ",(VLOOKUP(C1289,'[1]خريطة الحسابات'!_xlnm.Print_Area,5,FALSE)))</f>
        <v xml:space="preserve">تكاليف العمليات </v>
      </c>
      <c r="O1289" s="84" t="s">
        <v>1882</v>
      </c>
      <c r="P1289" s="84" t="s">
        <v>1299</v>
      </c>
    </row>
    <row r="1290" spans="1:16">
      <c r="A1290" s="104">
        <v>59</v>
      </c>
      <c r="B1290" s="131">
        <v>46050</v>
      </c>
      <c r="C1290" s="141" t="s">
        <v>636</v>
      </c>
      <c r="D1290" s="140" t="str">
        <f>IF(ISERROR(VLOOKUP(C1290,'[1]خريطة الحسابات'!_xlnm.Print_Area,3,FALSE))," ",(VLOOKUP(C1290,'[1]خريطة الحسابات'!_xlnm.Print_Area,3,FALSE)))</f>
        <v>خامات ومصنعية أعمال الدهانات</v>
      </c>
      <c r="E1290" s="142"/>
      <c r="F1290" s="133">
        <v>380</v>
      </c>
      <c r="G1290" s="133"/>
      <c r="H1290" s="134">
        <f t="shared" si="58"/>
        <v>380</v>
      </c>
      <c r="I1290" s="134">
        <f t="shared" si="58"/>
        <v>0</v>
      </c>
      <c r="J1290" s="134">
        <f t="shared" si="57"/>
        <v>380</v>
      </c>
      <c r="K1290" s="135"/>
      <c r="L1290" s="136" t="str">
        <f t="shared" si="59"/>
        <v>مدين</v>
      </c>
      <c r="M1290" s="137" t="str">
        <f>IF(ISERROR(VLOOKUP(C1290,'[1]خريطة الحسابات'!_xlnm.Print_Area,4,FALSE))," ",(VLOOKUP(C1290,'[1]خريطة الحسابات'!_xlnm.Print_Area,4,FALSE)))</f>
        <v>تكاليف مشروع الاندلس 364</v>
      </c>
      <c r="N1290" s="138" t="str">
        <f>IF(ISERROR(VLOOKUP(C1290,'[1]خريطة الحسابات'!_xlnm.Print_Area,5,FALSE))," ",(VLOOKUP(C1290,'[1]خريطة الحسابات'!_xlnm.Print_Area,5,FALSE)))</f>
        <v xml:space="preserve">تكاليف العمليات </v>
      </c>
      <c r="O1290" s="84" t="s">
        <v>1883</v>
      </c>
      <c r="P1290" s="84" t="s">
        <v>1299</v>
      </c>
    </row>
    <row r="1291" spans="1:16">
      <c r="A1291" s="104">
        <v>59</v>
      </c>
      <c r="B1291" s="131">
        <v>46050</v>
      </c>
      <c r="C1291" s="141" t="s">
        <v>636</v>
      </c>
      <c r="D1291" s="140" t="str">
        <f>IF(ISERROR(VLOOKUP(C1291,'[1]خريطة الحسابات'!_xlnm.Print_Area,3,FALSE))," ",(VLOOKUP(C1291,'[1]خريطة الحسابات'!_xlnm.Print_Area,3,FALSE)))</f>
        <v>خامات ومصنعية أعمال الدهانات</v>
      </c>
      <c r="E1291" s="142"/>
      <c r="F1291" s="133">
        <v>3744</v>
      </c>
      <c r="G1291" s="133"/>
      <c r="H1291" s="134">
        <f t="shared" si="58"/>
        <v>3744</v>
      </c>
      <c r="I1291" s="134">
        <f t="shared" si="58"/>
        <v>0</v>
      </c>
      <c r="J1291" s="134">
        <f t="shared" si="57"/>
        <v>3744</v>
      </c>
      <c r="K1291" s="135"/>
      <c r="L1291" s="136" t="str">
        <f t="shared" si="59"/>
        <v>مدين</v>
      </c>
      <c r="M1291" s="137" t="str">
        <f>IF(ISERROR(VLOOKUP(C1291,'[1]خريطة الحسابات'!_xlnm.Print_Area,4,FALSE))," ",(VLOOKUP(C1291,'[1]خريطة الحسابات'!_xlnm.Print_Area,4,FALSE)))</f>
        <v>تكاليف مشروع الاندلس 364</v>
      </c>
      <c r="N1291" s="138" t="str">
        <f>IF(ISERROR(VLOOKUP(C1291,'[1]خريطة الحسابات'!_xlnm.Print_Area,5,FALSE))," ",(VLOOKUP(C1291,'[1]خريطة الحسابات'!_xlnm.Print_Area,5,FALSE)))</f>
        <v xml:space="preserve">تكاليف العمليات </v>
      </c>
      <c r="O1291" s="84" t="s">
        <v>1884</v>
      </c>
      <c r="P1291" s="84" t="s">
        <v>1299</v>
      </c>
    </row>
    <row r="1292" spans="1:16">
      <c r="A1292" s="104">
        <v>59</v>
      </c>
      <c r="B1292" s="131">
        <v>46057</v>
      </c>
      <c r="C1292" s="141" t="s">
        <v>636</v>
      </c>
      <c r="D1292" s="140" t="str">
        <f>IF(ISERROR(VLOOKUP(C1292,'[1]خريطة الحسابات'!_xlnm.Print_Area,3,FALSE))," ",(VLOOKUP(C1292,'[1]خريطة الحسابات'!_xlnm.Print_Area,3,FALSE)))</f>
        <v>خامات ومصنعية أعمال الدهانات</v>
      </c>
      <c r="E1292" s="142"/>
      <c r="F1292" s="133">
        <v>590</v>
      </c>
      <c r="G1292" s="133"/>
      <c r="H1292" s="134">
        <f t="shared" si="58"/>
        <v>590</v>
      </c>
      <c r="I1292" s="134">
        <f t="shared" si="58"/>
        <v>0</v>
      </c>
      <c r="J1292" s="134">
        <f t="shared" si="57"/>
        <v>590</v>
      </c>
      <c r="K1292" s="135"/>
      <c r="L1292" s="136" t="str">
        <f t="shared" si="59"/>
        <v>مدين</v>
      </c>
      <c r="M1292" s="137" t="str">
        <f>IF(ISERROR(VLOOKUP(C1292,'[1]خريطة الحسابات'!_xlnm.Print_Area,4,FALSE))," ",(VLOOKUP(C1292,'[1]خريطة الحسابات'!_xlnm.Print_Area,4,FALSE)))</f>
        <v>تكاليف مشروع الاندلس 364</v>
      </c>
      <c r="N1292" s="138" t="str">
        <f>IF(ISERROR(VLOOKUP(C1292,'[1]خريطة الحسابات'!_xlnm.Print_Area,5,FALSE))," ",(VLOOKUP(C1292,'[1]خريطة الحسابات'!_xlnm.Print_Area,5,FALSE)))</f>
        <v xml:space="preserve">تكاليف العمليات </v>
      </c>
      <c r="O1292" s="84" t="s">
        <v>1884</v>
      </c>
      <c r="P1292" s="84" t="s">
        <v>1299</v>
      </c>
    </row>
    <row r="1293" spans="1:16">
      <c r="A1293" s="104">
        <v>59</v>
      </c>
      <c r="B1293" s="131">
        <v>46058</v>
      </c>
      <c r="C1293" s="141" t="s">
        <v>636</v>
      </c>
      <c r="D1293" s="140" t="str">
        <f>IF(ISERROR(VLOOKUP(C1293,'[1]خريطة الحسابات'!_xlnm.Print_Area,3,FALSE))," ",(VLOOKUP(C1293,'[1]خريطة الحسابات'!_xlnm.Print_Area,3,FALSE)))</f>
        <v>خامات ومصنعية أعمال الدهانات</v>
      </c>
      <c r="E1293" s="142"/>
      <c r="F1293" s="133">
        <v>5660</v>
      </c>
      <c r="G1293" s="133"/>
      <c r="H1293" s="134">
        <f t="shared" si="58"/>
        <v>5660</v>
      </c>
      <c r="I1293" s="134">
        <f t="shared" si="58"/>
        <v>0</v>
      </c>
      <c r="J1293" s="134">
        <f t="shared" si="57"/>
        <v>5660</v>
      </c>
      <c r="K1293" s="135"/>
      <c r="L1293" s="136" t="str">
        <f t="shared" si="59"/>
        <v>مدين</v>
      </c>
      <c r="M1293" s="137" t="str">
        <f>IF(ISERROR(VLOOKUP(C1293,'[1]خريطة الحسابات'!_xlnm.Print_Area,4,FALSE))," ",(VLOOKUP(C1293,'[1]خريطة الحسابات'!_xlnm.Print_Area,4,FALSE)))</f>
        <v>تكاليف مشروع الاندلس 364</v>
      </c>
      <c r="N1293" s="138" t="str">
        <f>IF(ISERROR(VLOOKUP(C1293,'[1]خريطة الحسابات'!_xlnm.Print_Area,5,FALSE))," ",(VLOOKUP(C1293,'[1]خريطة الحسابات'!_xlnm.Print_Area,5,FALSE)))</f>
        <v xml:space="preserve">تكاليف العمليات </v>
      </c>
      <c r="O1293" s="84" t="s">
        <v>1885</v>
      </c>
      <c r="P1293" s="84" t="s">
        <v>1299</v>
      </c>
    </row>
    <row r="1294" spans="1:16">
      <c r="A1294" s="104">
        <v>59</v>
      </c>
      <c r="B1294" s="131">
        <v>46062</v>
      </c>
      <c r="C1294" s="141" t="s">
        <v>636</v>
      </c>
      <c r="D1294" s="140" t="str">
        <f>IF(ISERROR(VLOOKUP(C1294,'[1]خريطة الحسابات'!_xlnm.Print_Area,3,FALSE))," ",(VLOOKUP(C1294,'[1]خريطة الحسابات'!_xlnm.Print_Area,3,FALSE)))</f>
        <v>خامات ومصنعية أعمال الدهانات</v>
      </c>
      <c r="E1294" s="142"/>
      <c r="F1294" s="133">
        <v>600</v>
      </c>
      <c r="G1294" s="133"/>
      <c r="H1294" s="134">
        <f t="shared" si="58"/>
        <v>600</v>
      </c>
      <c r="I1294" s="134">
        <f t="shared" si="58"/>
        <v>0</v>
      </c>
      <c r="J1294" s="134">
        <f t="shared" si="57"/>
        <v>600</v>
      </c>
      <c r="K1294" s="135"/>
      <c r="L1294" s="136" t="str">
        <f t="shared" si="59"/>
        <v>مدين</v>
      </c>
      <c r="M1294" s="137" t="str">
        <f>IF(ISERROR(VLOOKUP(C1294,'[1]خريطة الحسابات'!_xlnm.Print_Area,4,FALSE))," ",(VLOOKUP(C1294,'[1]خريطة الحسابات'!_xlnm.Print_Area,4,FALSE)))</f>
        <v>تكاليف مشروع الاندلس 364</v>
      </c>
      <c r="N1294" s="138" t="str">
        <f>IF(ISERROR(VLOOKUP(C1294,'[1]خريطة الحسابات'!_xlnm.Print_Area,5,FALSE))," ",(VLOOKUP(C1294,'[1]خريطة الحسابات'!_xlnm.Print_Area,5,FALSE)))</f>
        <v xml:space="preserve">تكاليف العمليات </v>
      </c>
      <c r="O1294" s="84" t="s">
        <v>1886</v>
      </c>
      <c r="P1294" s="84" t="s">
        <v>1299</v>
      </c>
    </row>
    <row r="1295" spans="1:16">
      <c r="A1295" s="104">
        <v>59</v>
      </c>
      <c r="B1295" s="131">
        <v>46041</v>
      </c>
      <c r="C1295" s="141" t="s">
        <v>636</v>
      </c>
      <c r="D1295" s="140" t="str">
        <f>IF(ISERROR(VLOOKUP(C1295,'[1]خريطة الحسابات'!_xlnm.Print_Area,3,FALSE))," ",(VLOOKUP(C1295,'[1]خريطة الحسابات'!_xlnm.Print_Area,3,FALSE)))</f>
        <v>خامات ومصنعية أعمال الدهانات</v>
      </c>
      <c r="E1295" s="142"/>
      <c r="F1295" s="133">
        <v>85</v>
      </c>
      <c r="G1295" s="133"/>
      <c r="H1295" s="134">
        <f t="shared" si="58"/>
        <v>85</v>
      </c>
      <c r="I1295" s="134">
        <f t="shared" si="58"/>
        <v>0</v>
      </c>
      <c r="J1295" s="134">
        <f t="shared" si="57"/>
        <v>85</v>
      </c>
      <c r="K1295" s="135"/>
      <c r="L1295" s="136" t="str">
        <f t="shared" si="59"/>
        <v>مدين</v>
      </c>
      <c r="M1295" s="137" t="str">
        <f>IF(ISERROR(VLOOKUP(C1295,'[1]خريطة الحسابات'!_xlnm.Print_Area,4,FALSE))," ",(VLOOKUP(C1295,'[1]خريطة الحسابات'!_xlnm.Print_Area,4,FALSE)))</f>
        <v>تكاليف مشروع الاندلس 364</v>
      </c>
      <c r="N1295" s="138" t="str">
        <f>IF(ISERROR(VLOOKUP(C1295,'[1]خريطة الحسابات'!_xlnm.Print_Area,5,FALSE))," ",(VLOOKUP(C1295,'[1]خريطة الحسابات'!_xlnm.Print_Area,5,FALSE)))</f>
        <v xml:space="preserve">تكاليف العمليات </v>
      </c>
      <c r="O1295" s="84" t="s">
        <v>1887</v>
      </c>
      <c r="P1295" s="84" t="s">
        <v>1299</v>
      </c>
    </row>
    <row r="1296" spans="1:16">
      <c r="A1296" s="104">
        <v>59</v>
      </c>
      <c r="B1296" s="131">
        <v>46041</v>
      </c>
      <c r="C1296" s="141" t="s">
        <v>636</v>
      </c>
      <c r="D1296" s="140" t="str">
        <f>IF(ISERROR(VLOOKUP(C1296,'[1]خريطة الحسابات'!_xlnm.Print_Area,3,FALSE))," ",(VLOOKUP(C1296,'[1]خريطة الحسابات'!_xlnm.Print_Area,3,FALSE)))</f>
        <v>خامات ومصنعية أعمال الدهانات</v>
      </c>
      <c r="E1296" s="142"/>
      <c r="F1296" s="133">
        <v>800</v>
      </c>
      <c r="G1296" s="133"/>
      <c r="H1296" s="134">
        <f t="shared" si="58"/>
        <v>800</v>
      </c>
      <c r="I1296" s="134">
        <f t="shared" si="58"/>
        <v>0</v>
      </c>
      <c r="J1296" s="134">
        <f t="shared" si="57"/>
        <v>800</v>
      </c>
      <c r="K1296" s="135"/>
      <c r="L1296" s="136" t="str">
        <f t="shared" si="59"/>
        <v>مدين</v>
      </c>
      <c r="M1296" s="137" t="str">
        <f>IF(ISERROR(VLOOKUP(C1296,'[1]خريطة الحسابات'!_xlnm.Print_Area,4,FALSE))," ",(VLOOKUP(C1296,'[1]خريطة الحسابات'!_xlnm.Print_Area,4,FALSE)))</f>
        <v>تكاليف مشروع الاندلس 364</v>
      </c>
      <c r="N1296" s="138" t="str">
        <f>IF(ISERROR(VLOOKUP(C1296,'[1]خريطة الحسابات'!_xlnm.Print_Area,5,FALSE))," ",(VLOOKUP(C1296,'[1]خريطة الحسابات'!_xlnm.Print_Area,5,FALSE)))</f>
        <v xml:space="preserve">تكاليف العمليات </v>
      </c>
      <c r="O1296" s="84" t="s">
        <v>1888</v>
      </c>
      <c r="P1296" s="84" t="s">
        <v>1299</v>
      </c>
    </row>
    <row r="1297" spans="1:16">
      <c r="A1297" s="104">
        <v>59</v>
      </c>
      <c r="B1297" s="131">
        <v>46082</v>
      </c>
      <c r="C1297" s="141" t="s">
        <v>636</v>
      </c>
      <c r="D1297" s="140" t="str">
        <f>IF(ISERROR(VLOOKUP(C1297,'[1]خريطة الحسابات'!_xlnm.Print_Area,3,FALSE))," ",(VLOOKUP(C1297,'[1]خريطة الحسابات'!_xlnm.Print_Area,3,FALSE)))</f>
        <v>خامات ومصنعية أعمال الدهانات</v>
      </c>
      <c r="E1297" s="142"/>
      <c r="F1297" s="133">
        <v>650</v>
      </c>
      <c r="G1297" s="133"/>
      <c r="H1297" s="134">
        <f t="shared" si="58"/>
        <v>650</v>
      </c>
      <c r="I1297" s="134">
        <f t="shared" si="58"/>
        <v>0</v>
      </c>
      <c r="J1297" s="134">
        <f t="shared" si="57"/>
        <v>650</v>
      </c>
      <c r="K1297" s="135"/>
      <c r="L1297" s="136" t="str">
        <f t="shared" si="59"/>
        <v>مدين</v>
      </c>
      <c r="M1297" s="137" t="str">
        <f>IF(ISERROR(VLOOKUP(C1297,'[1]خريطة الحسابات'!_xlnm.Print_Area,4,FALSE))," ",(VLOOKUP(C1297,'[1]خريطة الحسابات'!_xlnm.Print_Area,4,FALSE)))</f>
        <v>تكاليف مشروع الاندلس 364</v>
      </c>
      <c r="N1297" s="138" t="str">
        <f>IF(ISERROR(VLOOKUP(C1297,'[1]خريطة الحسابات'!_xlnm.Print_Area,5,FALSE))," ",(VLOOKUP(C1297,'[1]خريطة الحسابات'!_xlnm.Print_Area,5,FALSE)))</f>
        <v xml:space="preserve">تكاليف العمليات </v>
      </c>
      <c r="O1297" s="84" t="s">
        <v>1889</v>
      </c>
      <c r="P1297" s="84" t="s">
        <v>1299</v>
      </c>
    </row>
    <row r="1298" spans="1:16">
      <c r="A1298" s="104">
        <v>59</v>
      </c>
      <c r="B1298" s="131">
        <v>46071</v>
      </c>
      <c r="C1298" s="141" t="s">
        <v>181</v>
      </c>
      <c r="D1298" s="140" t="str">
        <f>IF(ISERROR(VLOOKUP(C1298,'[1]خريطة الحسابات'!_xlnm.Print_Area,3,FALSE))," ",(VLOOKUP(C1298,'[1]خريطة الحسابات'!_xlnm.Print_Area,3,FALSE)))</f>
        <v>خامات ومصنعية أعمال الدهانات</v>
      </c>
      <c r="E1298" s="142"/>
      <c r="F1298" s="133">
        <v>170</v>
      </c>
      <c r="G1298" s="133"/>
      <c r="H1298" s="134">
        <f t="shared" si="58"/>
        <v>170</v>
      </c>
      <c r="I1298" s="134">
        <f t="shared" si="58"/>
        <v>0</v>
      </c>
      <c r="J1298" s="134">
        <f t="shared" si="57"/>
        <v>170</v>
      </c>
      <c r="K1298" s="135"/>
      <c r="L1298" s="136" t="str">
        <f t="shared" si="59"/>
        <v>مدين</v>
      </c>
      <c r="M1298" s="137" t="str">
        <f>IF(ISERROR(VLOOKUP(C1298,'[1]خريطة الحسابات'!_xlnm.Print_Area,4,FALSE))," ",(VLOOKUP(C1298,'[1]خريطة الحسابات'!_xlnm.Print_Area,4,FALSE)))</f>
        <v>تكاليف مشروع الباتيو 235</v>
      </c>
      <c r="N1298" s="138" t="str">
        <f>IF(ISERROR(VLOOKUP(C1298,'[1]خريطة الحسابات'!_xlnm.Print_Area,5,FALSE))," ",(VLOOKUP(C1298,'[1]خريطة الحسابات'!_xlnm.Print_Area,5,FALSE)))</f>
        <v xml:space="preserve">تكاليف العمليات </v>
      </c>
      <c r="O1298" s="84" t="s">
        <v>1890</v>
      </c>
      <c r="P1298" s="84" t="s">
        <v>1304</v>
      </c>
    </row>
    <row r="1299" spans="1:16">
      <c r="A1299" s="104">
        <v>59</v>
      </c>
      <c r="B1299" s="131">
        <v>46098</v>
      </c>
      <c r="C1299" s="141" t="s">
        <v>181</v>
      </c>
      <c r="D1299" s="140" t="str">
        <f>IF(ISERROR(VLOOKUP(C1299,'[1]خريطة الحسابات'!_xlnm.Print_Area,3,FALSE))," ",(VLOOKUP(C1299,'[1]خريطة الحسابات'!_xlnm.Print_Area,3,FALSE)))</f>
        <v>خامات ومصنعية أعمال الدهانات</v>
      </c>
      <c r="E1299" s="142"/>
      <c r="F1299" s="133">
        <v>1675</v>
      </c>
      <c r="G1299" s="133"/>
      <c r="H1299" s="134">
        <f t="shared" si="58"/>
        <v>1675</v>
      </c>
      <c r="I1299" s="134">
        <f t="shared" si="58"/>
        <v>0</v>
      </c>
      <c r="J1299" s="134">
        <f t="shared" si="57"/>
        <v>1675</v>
      </c>
      <c r="K1299" s="135"/>
      <c r="L1299" s="136" t="str">
        <f t="shared" si="59"/>
        <v>مدين</v>
      </c>
      <c r="M1299" s="137" t="str">
        <f>IF(ISERROR(VLOOKUP(C1299,'[1]خريطة الحسابات'!_xlnm.Print_Area,4,FALSE))," ",(VLOOKUP(C1299,'[1]خريطة الحسابات'!_xlnm.Print_Area,4,FALSE)))</f>
        <v>تكاليف مشروع الباتيو 235</v>
      </c>
      <c r="N1299" s="138" t="str">
        <f>IF(ISERROR(VLOOKUP(C1299,'[1]خريطة الحسابات'!_xlnm.Print_Area,5,FALSE))," ",(VLOOKUP(C1299,'[1]خريطة الحسابات'!_xlnm.Print_Area,5,FALSE)))</f>
        <v xml:space="preserve">تكاليف العمليات </v>
      </c>
      <c r="O1299" s="84" t="s">
        <v>1891</v>
      </c>
      <c r="P1299" s="84" t="s">
        <v>1304</v>
      </c>
    </row>
    <row r="1300" spans="1:16">
      <c r="A1300" s="104">
        <v>59</v>
      </c>
      <c r="B1300" s="131">
        <v>46163</v>
      </c>
      <c r="C1300" s="141" t="s">
        <v>181</v>
      </c>
      <c r="D1300" s="140" t="str">
        <f>IF(ISERROR(VLOOKUP(C1300,'[1]خريطة الحسابات'!_xlnm.Print_Area,3,FALSE))," ",(VLOOKUP(C1300,'[1]خريطة الحسابات'!_xlnm.Print_Area,3,FALSE)))</f>
        <v>خامات ومصنعية أعمال الدهانات</v>
      </c>
      <c r="E1300" s="142"/>
      <c r="F1300" s="133">
        <v>280</v>
      </c>
      <c r="G1300" s="133"/>
      <c r="H1300" s="134">
        <f t="shared" si="58"/>
        <v>280</v>
      </c>
      <c r="I1300" s="134">
        <f t="shared" si="58"/>
        <v>0</v>
      </c>
      <c r="J1300" s="134">
        <f t="shared" si="57"/>
        <v>280</v>
      </c>
      <c r="K1300" s="135"/>
      <c r="L1300" s="136" t="str">
        <f t="shared" si="59"/>
        <v>مدين</v>
      </c>
      <c r="M1300" s="137" t="str">
        <f>IF(ISERROR(VLOOKUP(C1300,'[1]خريطة الحسابات'!_xlnm.Print_Area,4,FALSE))," ",(VLOOKUP(C1300,'[1]خريطة الحسابات'!_xlnm.Print_Area,4,FALSE)))</f>
        <v>تكاليف مشروع الباتيو 235</v>
      </c>
      <c r="N1300" s="138" t="str">
        <f>IF(ISERROR(VLOOKUP(C1300,'[1]خريطة الحسابات'!_xlnm.Print_Area,5,FALSE))," ",(VLOOKUP(C1300,'[1]خريطة الحسابات'!_xlnm.Print_Area,5,FALSE)))</f>
        <v xml:space="preserve">تكاليف العمليات </v>
      </c>
      <c r="O1300" s="84" t="s">
        <v>1892</v>
      </c>
      <c r="P1300" s="84" t="s">
        <v>1304</v>
      </c>
    </row>
    <row r="1301" spans="1:16">
      <c r="A1301" s="104">
        <v>59</v>
      </c>
      <c r="B1301" s="131">
        <v>46179</v>
      </c>
      <c r="C1301" s="141" t="s">
        <v>181</v>
      </c>
      <c r="D1301" s="140" t="str">
        <f>IF(ISERROR(VLOOKUP(C1301,'[1]خريطة الحسابات'!_xlnm.Print_Area,3,FALSE))," ",(VLOOKUP(C1301,'[1]خريطة الحسابات'!_xlnm.Print_Area,3,FALSE)))</f>
        <v>خامات ومصنعية أعمال الدهانات</v>
      </c>
      <c r="E1301" s="142"/>
      <c r="F1301" s="133">
        <v>100</v>
      </c>
      <c r="G1301" s="133"/>
      <c r="H1301" s="134">
        <f t="shared" si="58"/>
        <v>100</v>
      </c>
      <c r="I1301" s="134">
        <f t="shared" si="58"/>
        <v>0</v>
      </c>
      <c r="J1301" s="134">
        <f t="shared" si="57"/>
        <v>100</v>
      </c>
      <c r="K1301" s="135"/>
      <c r="L1301" s="136" t="str">
        <f t="shared" si="59"/>
        <v>مدين</v>
      </c>
      <c r="M1301" s="137" t="str">
        <f>IF(ISERROR(VLOOKUP(C1301,'[1]خريطة الحسابات'!_xlnm.Print_Area,4,FALSE))," ",(VLOOKUP(C1301,'[1]خريطة الحسابات'!_xlnm.Print_Area,4,FALSE)))</f>
        <v>تكاليف مشروع الباتيو 235</v>
      </c>
      <c r="N1301" s="138" t="str">
        <f>IF(ISERROR(VLOOKUP(C1301,'[1]خريطة الحسابات'!_xlnm.Print_Area,5,FALSE))," ",(VLOOKUP(C1301,'[1]خريطة الحسابات'!_xlnm.Print_Area,5,FALSE)))</f>
        <v xml:space="preserve">تكاليف العمليات </v>
      </c>
      <c r="O1301" s="84" t="s">
        <v>1892</v>
      </c>
      <c r="P1301" s="84" t="s">
        <v>1304</v>
      </c>
    </row>
    <row r="1302" spans="1:16">
      <c r="A1302" s="104">
        <v>59</v>
      </c>
      <c r="B1302" s="131">
        <v>46065</v>
      </c>
      <c r="C1302" s="141" t="s">
        <v>321</v>
      </c>
      <c r="D1302" s="140" t="str">
        <f>IF(ISERROR(VLOOKUP(C1302,'[1]خريطة الحسابات'!_xlnm.Print_Area,3,FALSE))," ",(VLOOKUP(C1302,'[1]خريطة الحسابات'!_xlnm.Print_Area,3,FALSE)))</f>
        <v>خامات ومصنعية أعمال الدهانات</v>
      </c>
      <c r="E1302" s="142"/>
      <c r="F1302" s="133">
        <v>20020</v>
      </c>
      <c r="G1302" s="133"/>
      <c r="H1302" s="134">
        <f t="shared" si="58"/>
        <v>20020</v>
      </c>
      <c r="I1302" s="134">
        <f t="shared" si="58"/>
        <v>0</v>
      </c>
      <c r="J1302" s="134">
        <f t="shared" si="57"/>
        <v>20020</v>
      </c>
      <c r="K1302" s="135"/>
      <c r="L1302" s="136" t="str">
        <f t="shared" si="59"/>
        <v>مدين</v>
      </c>
      <c r="M1302" s="137" t="str">
        <f>IF(ISERROR(VLOOKUP(C1302,'[1]خريطة الحسابات'!_xlnm.Print_Area,4,FALSE))," ",(VLOOKUP(C1302,'[1]خريطة الحسابات'!_xlnm.Print_Area,4,FALSE)))</f>
        <v>تكاليف مشروع العبور 306</v>
      </c>
      <c r="N1302" s="138" t="str">
        <f>IF(ISERROR(VLOOKUP(C1302,'[1]خريطة الحسابات'!_xlnm.Print_Area,5,FALSE))," ",(VLOOKUP(C1302,'[1]خريطة الحسابات'!_xlnm.Print_Area,5,FALSE)))</f>
        <v xml:space="preserve">تكاليف العمليات </v>
      </c>
      <c r="O1302" s="84" t="s">
        <v>1893</v>
      </c>
      <c r="P1302" s="84" t="s">
        <v>1292</v>
      </c>
    </row>
    <row r="1303" spans="1:16">
      <c r="A1303" s="104">
        <v>59</v>
      </c>
      <c r="B1303" s="131">
        <v>46071</v>
      </c>
      <c r="C1303" s="141" t="s">
        <v>321</v>
      </c>
      <c r="D1303" s="140" t="str">
        <f>IF(ISERROR(VLOOKUP(C1303,'[1]خريطة الحسابات'!_xlnm.Print_Area,3,FALSE))," ",(VLOOKUP(C1303,'[1]خريطة الحسابات'!_xlnm.Print_Area,3,FALSE)))</f>
        <v>خامات ومصنعية أعمال الدهانات</v>
      </c>
      <c r="E1303" s="142"/>
      <c r="F1303" s="133">
        <v>10875</v>
      </c>
      <c r="G1303" s="133"/>
      <c r="H1303" s="134">
        <f t="shared" si="58"/>
        <v>10875</v>
      </c>
      <c r="I1303" s="134">
        <f t="shared" si="58"/>
        <v>0</v>
      </c>
      <c r="J1303" s="134">
        <f t="shared" si="57"/>
        <v>10875</v>
      </c>
      <c r="K1303" s="135"/>
      <c r="L1303" s="136" t="str">
        <f t="shared" si="59"/>
        <v>مدين</v>
      </c>
      <c r="M1303" s="137" t="str">
        <f>IF(ISERROR(VLOOKUP(C1303,'[1]خريطة الحسابات'!_xlnm.Print_Area,4,FALSE))," ",(VLOOKUP(C1303,'[1]خريطة الحسابات'!_xlnm.Print_Area,4,FALSE)))</f>
        <v>تكاليف مشروع العبور 306</v>
      </c>
      <c r="N1303" s="138" t="str">
        <f>IF(ISERROR(VLOOKUP(C1303,'[1]خريطة الحسابات'!_xlnm.Print_Area,5,FALSE))," ",(VLOOKUP(C1303,'[1]خريطة الحسابات'!_xlnm.Print_Area,5,FALSE)))</f>
        <v xml:space="preserve">تكاليف العمليات </v>
      </c>
      <c r="O1303" s="84" t="s">
        <v>1894</v>
      </c>
      <c r="P1303" s="84" t="s">
        <v>1292</v>
      </c>
    </row>
    <row r="1304" spans="1:16">
      <c r="A1304" s="104">
        <v>59</v>
      </c>
      <c r="B1304" s="131">
        <v>46086</v>
      </c>
      <c r="C1304" s="141" t="s">
        <v>321</v>
      </c>
      <c r="D1304" s="140" t="str">
        <f>IF(ISERROR(VLOOKUP(C1304,'[1]خريطة الحسابات'!_xlnm.Print_Area,3,FALSE))," ",(VLOOKUP(C1304,'[1]خريطة الحسابات'!_xlnm.Print_Area,3,FALSE)))</f>
        <v>خامات ومصنعية أعمال الدهانات</v>
      </c>
      <c r="E1304" s="142"/>
      <c r="F1304" s="133">
        <v>10100</v>
      </c>
      <c r="G1304" s="133"/>
      <c r="H1304" s="134">
        <f t="shared" si="58"/>
        <v>10100</v>
      </c>
      <c r="I1304" s="134">
        <f t="shared" si="58"/>
        <v>0</v>
      </c>
      <c r="J1304" s="134">
        <f t="shared" ref="J1304:J1367" si="60">H1304-I1304</f>
        <v>10100</v>
      </c>
      <c r="K1304" s="135"/>
      <c r="L1304" s="136" t="str">
        <f t="shared" si="59"/>
        <v>مدين</v>
      </c>
      <c r="M1304" s="137" t="str">
        <f>IF(ISERROR(VLOOKUP(C1304,'[1]خريطة الحسابات'!_xlnm.Print_Area,4,FALSE))," ",(VLOOKUP(C1304,'[1]خريطة الحسابات'!_xlnm.Print_Area,4,FALSE)))</f>
        <v>تكاليف مشروع العبور 306</v>
      </c>
      <c r="N1304" s="138" t="str">
        <f>IF(ISERROR(VLOOKUP(C1304,'[1]خريطة الحسابات'!_xlnm.Print_Area,5,FALSE))," ",(VLOOKUP(C1304,'[1]خريطة الحسابات'!_xlnm.Print_Area,5,FALSE)))</f>
        <v xml:space="preserve">تكاليف العمليات </v>
      </c>
      <c r="O1304" s="84" t="s">
        <v>1895</v>
      </c>
      <c r="P1304" s="84" t="s">
        <v>1292</v>
      </c>
    </row>
    <row r="1305" spans="1:16">
      <c r="A1305" s="104">
        <v>59</v>
      </c>
      <c r="B1305" s="131">
        <v>46139</v>
      </c>
      <c r="C1305" s="141" t="s">
        <v>321</v>
      </c>
      <c r="D1305" s="140" t="str">
        <f>IF(ISERROR(VLOOKUP(C1305,'[1]خريطة الحسابات'!_xlnm.Print_Area,3,FALSE))," ",(VLOOKUP(C1305,'[1]خريطة الحسابات'!_xlnm.Print_Area,3,FALSE)))</f>
        <v>خامات ومصنعية أعمال الدهانات</v>
      </c>
      <c r="E1305" s="142"/>
      <c r="F1305" s="133">
        <v>1000</v>
      </c>
      <c r="G1305" s="133"/>
      <c r="H1305" s="134">
        <f t="shared" ref="H1305:I1368" si="61">IF($E1305=2,F1305*3.465,F1305)</f>
        <v>1000</v>
      </c>
      <c r="I1305" s="134">
        <f t="shared" si="61"/>
        <v>0</v>
      </c>
      <c r="J1305" s="134">
        <f t="shared" si="60"/>
        <v>1000</v>
      </c>
      <c r="K1305" s="135"/>
      <c r="L1305" s="136" t="str">
        <f t="shared" si="59"/>
        <v>مدين</v>
      </c>
      <c r="M1305" s="137" t="str">
        <f>IF(ISERROR(VLOOKUP(C1305,'[1]خريطة الحسابات'!_xlnm.Print_Area,4,FALSE))," ",(VLOOKUP(C1305,'[1]خريطة الحسابات'!_xlnm.Print_Area,4,FALSE)))</f>
        <v>تكاليف مشروع العبور 306</v>
      </c>
      <c r="N1305" s="138" t="str">
        <f>IF(ISERROR(VLOOKUP(C1305,'[1]خريطة الحسابات'!_xlnm.Print_Area,5,FALSE))," ",(VLOOKUP(C1305,'[1]خريطة الحسابات'!_xlnm.Print_Area,5,FALSE)))</f>
        <v xml:space="preserve">تكاليف العمليات </v>
      </c>
      <c r="O1305" s="84" t="s">
        <v>1896</v>
      </c>
      <c r="P1305" s="84" t="s">
        <v>1292</v>
      </c>
    </row>
    <row r="1306" spans="1:16">
      <c r="A1306" s="104">
        <v>59</v>
      </c>
      <c r="B1306" s="131">
        <v>46158</v>
      </c>
      <c r="C1306" s="141" t="s">
        <v>321</v>
      </c>
      <c r="D1306" s="140" t="str">
        <f>IF(ISERROR(VLOOKUP(C1306,'[1]خريطة الحسابات'!_xlnm.Print_Area,3,FALSE))," ",(VLOOKUP(C1306,'[1]خريطة الحسابات'!_xlnm.Print_Area,3,FALSE)))</f>
        <v>خامات ومصنعية أعمال الدهانات</v>
      </c>
      <c r="E1306" s="142"/>
      <c r="F1306" s="133">
        <v>725</v>
      </c>
      <c r="G1306" s="133"/>
      <c r="H1306" s="134">
        <f t="shared" si="61"/>
        <v>725</v>
      </c>
      <c r="I1306" s="134">
        <f t="shared" si="61"/>
        <v>0</v>
      </c>
      <c r="J1306" s="134">
        <f t="shared" si="60"/>
        <v>725</v>
      </c>
      <c r="K1306" s="135"/>
      <c r="L1306" s="136" t="str">
        <f t="shared" si="59"/>
        <v>مدين</v>
      </c>
      <c r="M1306" s="137" t="str">
        <f>IF(ISERROR(VLOOKUP(C1306,'[1]خريطة الحسابات'!_xlnm.Print_Area,4,FALSE))," ",(VLOOKUP(C1306,'[1]خريطة الحسابات'!_xlnm.Print_Area,4,FALSE)))</f>
        <v>تكاليف مشروع العبور 306</v>
      </c>
      <c r="N1306" s="138" t="str">
        <f>IF(ISERROR(VLOOKUP(C1306,'[1]خريطة الحسابات'!_xlnm.Print_Area,5,FALSE))," ",(VLOOKUP(C1306,'[1]خريطة الحسابات'!_xlnm.Print_Area,5,FALSE)))</f>
        <v xml:space="preserve">تكاليف العمليات </v>
      </c>
      <c r="O1306" s="84" t="s">
        <v>1897</v>
      </c>
      <c r="P1306" s="84" t="s">
        <v>1292</v>
      </c>
    </row>
    <row r="1307" spans="1:16">
      <c r="A1307" s="104">
        <v>59</v>
      </c>
      <c r="B1307" s="131">
        <v>46163</v>
      </c>
      <c r="C1307" s="141" t="s">
        <v>321</v>
      </c>
      <c r="D1307" s="140" t="str">
        <f>IF(ISERROR(VLOOKUP(C1307,'[1]خريطة الحسابات'!_xlnm.Print_Area,3,FALSE))," ",(VLOOKUP(C1307,'[1]خريطة الحسابات'!_xlnm.Print_Area,3,FALSE)))</f>
        <v>خامات ومصنعية أعمال الدهانات</v>
      </c>
      <c r="E1307" s="142"/>
      <c r="F1307" s="133">
        <v>600</v>
      </c>
      <c r="G1307" s="133"/>
      <c r="H1307" s="134">
        <f t="shared" si="61"/>
        <v>600</v>
      </c>
      <c r="I1307" s="134">
        <f t="shared" si="61"/>
        <v>0</v>
      </c>
      <c r="J1307" s="134">
        <f t="shared" si="60"/>
        <v>600</v>
      </c>
      <c r="K1307" s="135"/>
      <c r="L1307" s="136" t="str">
        <f t="shared" ref="L1307:L1370" si="62">IF(J1307&lt;0,"دائن",IF(J1307&gt;0,"مدين",""))</f>
        <v>مدين</v>
      </c>
      <c r="M1307" s="137" t="str">
        <f>IF(ISERROR(VLOOKUP(C1307,'[1]خريطة الحسابات'!_xlnm.Print_Area,4,FALSE))," ",(VLOOKUP(C1307,'[1]خريطة الحسابات'!_xlnm.Print_Area,4,FALSE)))</f>
        <v>تكاليف مشروع العبور 306</v>
      </c>
      <c r="N1307" s="138" t="str">
        <f>IF(ISERROR(VLOOKUP(C1307,'[1]خريطة الحسابات'!_xlnm.Print_Area,5,FALSE))," ",(VLOOKUP(C1307,'[1]خريطة الحسابات'!_xlnm.Print_Area,5,FALSE)))</f>
        <v xml:space="preserve">تكاليف العمليات </v>
      </c>
      <c r="O1307" s="84" t="s">
        <v>1898</v>
      </c>
      <c r="P1307" s="84" t="s">
        <v>1292</v>
      </c>
    </row>
    <row r="1308" spans="1:16">
      <c r="A1308" s="104">
        <v>59</v>
      </c>
      <c r="B1308" s="131">
        <v>46050</v>
      </c>
      <c r="C1308" s="141" t="s">
        <v>601</v>
      </c>
      <c r="D1308" s="140" t="str">
        <f>IF(ISERROR(VLOOKUP(C1308,'[1]خريطة الحسابات'!_xlnm.Print_Area,3,FALSE))," ",(VLOOKUP(C1308,'[1]خريطة الحسابات'!_xlnm.Print_Area,3,FALSE)))</f>
        <v>خامات ومصنعية أعمال الدهانات</v>
      </c>
      <c r="E1308" s="142"/>
      <c r="F1308" s="133">
        <v>11410</v>
      </c>
      <c r="G1308" s="133"/>
      <c r="H1308" s="134">
        <f t="shared" si="61"/>
        <v>11410</v>
      </c>
      <c r="I1308" s="134">
        <f t="shared" si="61"/>
        <v>0</v>
      </c>
      <c r="J1308" s="134">
        <f t="shared" si="60"/>
        <v>11410</v>
      </c>
      <c r="K1308" s="135"/>
      <c r="L1308" s="136" t="str">
        <f t="shared" si="62"/>
        <v>مدين</v>
      </c>
      <c r="M1308" s="137" t="str">
        <f>IF(ISERROR(VLOOKUP(C1308,'[1]خريطة الحسابات'!_xlnm.Print_Area,4,FALSE))," ",(VLOOKUP(C1308,'[1]خريطة الحسابات'!_xlnm.Print_Area,4,FALSE)))</f>
        <v>تكاليف مشروع اللوتس 361</v>
      </c>
      <c r="N1308" s="138" t="str">
        <f>IF(ISERROR(VLOOKUP(C1308,'[1]خريطة الحسابات'!_xlnm.Print_Area,5,FALSE))," ",(VLOOKUP(C1308,'[1]خريطة الحسابات'!_xlnm.Print_Area,5,FALSE)))</f>
        <v xml:space="preserve">تكاليف العمليات </v>
      </c>
      <c r="O1308" s="84" t="s">
        <v>1899</v>
      </c>
      <c r="P1308" s="84" t="s">
        <v>1295</v>
      </c>
    </row>
    <row r="1309" spans="1:16">
      <c r="A1309" s="104">
        <v>59</v>
      </c>
      <c r="B1309" s="131">
        <v>46057</v>
      </c>
      <c r="C1309" s="141" t="s">
        <v>601</v>
      </c>
      <c r="D1309" s="140" t="str">
        <f>IF(ISERROR(VLOOKUP(C1309,'[1]خريطة الحسابات'!_xlnm.Print_Area,3,FALSE))," ",(VLOOKUP(C1309,'[1]خريطة الحسابات'!_xlnm.Print_Area,3,FALSE)))</f>
        <v>خامات ومصنعية أعمال الدهانات</v>
      </c>
      <c r="E1309" s="142"/>
      <c r="F1309" s="133">
        <v>4505</v>
      </c>
      <c r="G1309" s="133"/>
      <c r="H1309" s="134">
        <f t="shared" si="61"/>
        <v>4505</v>
      </c>
      <c r="I1309" s="134">
        <f t="shared" si="61"/>
        <v>0</v>
      </c>
      <c r="J1309" s="134">
        <f t="shared" si="60"/>
        <v>4505</v>
      </c>
      <c r="K1309" s="135"/>
      <c r="L1309" s="136" t="str">
        <f t="shared" si="62"/>
        <v>مدين</v>
      </c>
      <c r="M1309" s="137" t="str">
        <f>IF(ISERROR(VLOOKUP(C1309,'[1]خريطة الحسابات'!_xlnm.Print_Area,4,FALSE))," ",(VLOOKUP(C1309,'[1]خريطة الحسابات'!_xlnm.Print_Area,4,FALSE)))</f>
        <v>تكاليف مشروع اللوتس 361</v>
      </c>
      <c r="N1309" s="138" t="str">
        <f>IF(ISERROR(VLOOKUP(C1309,'[1]خريطة الحسابات'!_xlnm.Print_Area,5,FALSE))," ",(VLOOKUP(C1309,'[1]خريطة الحسابات'!_xlnm.Print_Area,5,FALSE)))</f>
        <v xml:space="preserve">تكاليف العمليات </v>
      </c>
      <c r="O1309" s="84" t="s">
        <v>1900</v>
      </c>
      <c r="P1309" s="84" t="s">
        <v>1295</v>
      </c>
    </row>
    <row r="1310" spans="1:16">
      <c r="A1310" s="104">
        <v>59</v>
      </c>
      <c r="B1310" s="131">
        <v>46058</v>
      </c>
      <c r="C1310" s="141" t="s">
        <v>601</v>
      </c>
      <c r="D1310" s="140" t="str">
        <f>IF(ISERROR(VLOOKUP(C1310,'[1]خريطة الحسابات'!_xlnm.Print_Area,3,FALSE))," ",(VLOOKUP(C1310,'[1]خريطة الحسابات'!_xlnm.Print_Area,3,FALSE)))</f>
        <v>خامات ومصنعية أعمال الدهانات</v>
      </c>
      <c r="E1310" s="142"/>
      <c r="F1310" s="133">
        <v>500</v>
      </c>
      <c r="G1310" s="133"/>
      <c r="H1310" s="134">
        <f t="shared" si="61"/>
        <v>500</v>
      </c>
      <c r="I1310" s="134">
        <f t="shared" si="61"/>
        <v>0</v>
      </c>
      <c r="J1310" s="134">
        <f t="shared" si="60"/>
        <v>500</v>
      </c>
      <c r="K1310" s="135"/>
      <c r="L1310" s="136" t="str">
        <f t="shared" si="62"/>
        <v>مدين</v>
      </c>
      <c r="M1310" s="137" t="str">
        <f>IF(ISERROR(VLOOKUP(C1310,'[1]خريطة الحسابات'!_xlnm.Print_Area,4,FALSE))," ",(VLOOKUP(C1310,'[1]خريطة الحسابات'!_xlnm.Print_Area,4,FALSE)))</f>
        <v>تكاليف مشروع اللوتس 361</v>
      </c>
      <c r="N1310" s="138" t="str">
        <f>IF(ISERROR(VLOOKUP(C1310,'[1]خريطة الحسابات'!_xlnm.Print_Area,5,FALSE))," ",(VLOOKUP(C1310,'[1]خريطة الحسابات'!_xlnm.Print_Area,5,FALSE)))</f>
        <v xml:space="preserve">تكاليف العمليات </v>
      </c>
      <c r="O1310" s="84" t="s">
        <v>1901</v>
      </c>
      <c r="P1310" s="84" t="s">
        <v>1295</v>
      </c>
    </row>
    <row r="1311" spans="1:16">
      <c r="A1311" s="104">
        <v>59</v>
      </c>
      <c r="B1311" s="131">
        <v>46086</v>
      </c>
      <c r="C1311" s="141" t="s">
        <v>601</v>
      </c>
      <c r="D1311" s="140" t="str">
        <f>IF(ISERROR(VLOOKUP(C1311,'[1]خريطة الحسابات'!_xlnm.Print_Area,3,FALSE))," ",(VLOOKUP(C1311,'[1]خريطة الحسابات'!_xlnm.Print_Area,3,FALSE)))</f>
        <v>خامات ومصنعية أعمال الدهانات</v>
      </c>
      <c r="E1311" s="142"/>
      <c r="F1311" s="133">
        <v>1840</v>
      </c>
      <c r="G1311" s="133"/>
      <c r="H1311" s="134">
        <f t="shared" si="61"/>
        <v>1840</v>
      </c>
      <c r="I1311" s="134">
        <f t="shared" si="61"/>
        <v>0</v>
      </c>
      <c r="J1311" s="134">
        <f t="shared" si="60"/>
        <v>1840</v>
      </c>
      <c r="K1311" s="135"/>
      <c r="L1311" s="136" t="str">
        <f t="shared" si="62"/>
        <v>مدين</v>
      </c>
      <c r="M1311" s="137" t="str">
        <f>IF(ISERROR(VLOOKUP(C1311,'[1]خريطة الحسابات'!_xlnm.Print_Area,4,FALSE))," ",(VLOOKUP(C1311,'[1]خريطة الحسابات'!_xlnm.Print_Area,4,FALSE)))</f>
        <v>تكاليف مشروع اللوتس 361</v>
      </c>
      <c r="N1311" s="138" t="str">
        <f>IF(ISERROR(VLOOKUP(C1311,'[1]خريطة الحسابات'!_xlnm.Print_Area,5,FALSE))," ",(VLOOKUP(C1311,'[1]خريطة الحسابات'!_xlnm.Print_Area,5,FALSE)))</f>
        <v xml:space="preserve">تكاليف العمليات </v>
      </c>
      <c r="O1311" s="84" t="s">
        <v>1902</v>
      </c>
      <c r="P1311" s="84" t="s">
        <v>1295</v>
      </c>
    </row>
    <row r="1312" spans="1:16">
      <c r="A1312" s="104">
        <v>59</v>
      </c>
      <c r="B1312" s="131">
        <v>46086</v>
      </c>
      <c r="C1312" s="141" t="s">
        <v>601</v>
      </c>
      <c r="D1312" s="140" t="str">
        <f>IF(ISERROR(VLOOKUP(C1312,'[1]خريطة الحسابات'!_xlnm.Print_Area,3,FALSE))," ",(VLOOKUP(C1312,'[1]خريطة الحسابات'!_xlnm.Print_Area,3,FALSE)))</f>
        <v>خامات ومصنعية أعمال الدهانات</v>
      </c>
      <c r="E1312" s="142"/>
      <c r="F1312" s="133">
        <v>8744</v>
      </c>
      <c r="G1312" s="133"/>
      <c r="H1312" s="134">
        <f t="shared" si="61"/>
        <v>8744</v>
      </c>
      <c r="I1312" s="134">
        <f t="shared" si="61"/>
        <v>0</v>
      </c>
      <c r="J1312" s="134">
        <f t="shared" si="60"/>
        <v>8744</v>
      </c>
      <c r="K1312" s="135"/>
      <c r="L1312" s="136" t="str">
        <f t="shared" si="62"/>
        <v>مدين</v>
      </c>
      <c r="M1312" s="137" t="str">
        <f>IF(ISERROR(VLOOKUP(C1312,'[1]خريطة الحسابات'!_xlnm.Print_Area,4,FALSE))," ",(VLOOKUP(C1312,'[1]خريطة الحسابات'!_xlnm.Print_Area,4,FALSE)))</f>
        <v>تكاليف مشروع اللوتس 361</v>
      </c>
      <c r="N1312" s="138" t="str">
        <f>IF(ISERROR(VLOOKUP(C1312,'[1]خريطة الحسابات'!_xlnm.Print_Area,5,FALSE))," ",(VLOOKUP(C1312,'[1]خريطة الحسابات'!_xlnm.Print_Area,5,FALSE)))</f>
        <v xml:space="preserve">تكاليف العمليات </v>
      </c>
      <c r="O1312" s="84" t="s">
        <v>1903</v>
      </c>
      <c r="P1312" s="84" t="s">
        <v>1295</v>
      </c>
    </row>
    <row r="1313" spans="1:16">
      <c r="A1313" s="104">
        <v>59</v>
      </c>
      <c r="B1313" s="131">
        <v>46096</v>
      </c>
      <c r="C1313" s="141" t="s">
        <v>601</v>
      </c>
      <c r="D1313" s="140" t="str">
        <f>IF(ISERROR(VLOOKUP(C1313,'[1]خريطة الحسابات'!_xlnm.Print_Area,3,FALSE))," ",(VLOOKUP(C1313,'[1]خريطة الحسابات'!_xlnm.Print_Area,3,FALSE)))</f>
        <v>خامات ومصنعية أعمال الدهانات</v>
      </c>
      <c r="E1313" s="142"/>
      <c r="F1313" s="133">
        <v>2002</v>
      </c>
      <c r="G1313" s="133"/>
      <c r="H1313" s="134">
        <f t="shared" si="61"/>
        <v>2002</v>
      </c>
      <c r="I1313" s="134">
        <f t="shared" si="61"/>
        <v>0</v>
      </c>
      <c r="J1313" s="134">
        <f t="shared" si="60"/>
        <v>2002</v>
      </c>
      <c r="K1313" s="135"/>
      <c r="L1313" s="136" t="str">
        <f t="shared" si="62"/>
        <v>مدين</v>
      </c>
      <c r="M1313" s="137" t="str">
        <f>IF(ISERROR(VLOOKUP(C1313,'[1]خريطة الحسابات'!_xlnm.Print_Area,4,FALSE))," ",(VLOOKUP(C1313,'[1]خريطة الحسابات'!_xlnm.Print_Area,4,FALSE)))</f>
        <v>تكاليف مشروع اللوتس 361</v>
      </c>
      <c r="N1313" s="138" t="str">
        <f>IF(ISERROR(VLOOKUP(C1313,'[1]خريطة الحسابات'!_xlnm.Print_Area,5,FALSE))," ",(VLOOKUP(C1313,'[1]خريطة الحسابات'!_xlnm.Print_Area,5,FALSE)))</f>
        <v xml:space="preserve">تكاليف العمليات </v>
      </c>
      <c r="O1313" s="84" t="s">
        <v>1904</v>
      </c>
      <c r="P1313" s="84" t="s">
        <v>1295</v>
      </c>
    </row>
    <row r="1314" spans="1:16">
      <c r="A1314" s="104">
        <v>59</v>
      </c>
      <c r="B1314" s="131">
        <v>46097</v>
      </c>
      <c r="C1314" s="141" t="s">
        <v>601</v>
      </c>
      <c r="D1314" s="140" t="str">
        <f>IF(ISERROR(VLOOKUP(C1314,'[1]خريطة الحسابات'!_xlnm.Print_Area,3,FALSE))," ",(VLOOKUP(C1314,'[1]خريطة الحسابات'!_xlnm.Print_Area,3,FALSE)))</f>
        <v>خامات ومصنعية أعمال الدهانات</v>
      </c>
      <c r="E1314" s="142"/>
      <c r="F1314" s="133">
        <v>6245</v>
      </c>
      <c r="G1314" s="133"/>
      <c r="H1314" s="134">
        <f t="shared" si="61"/>
        <v>6245</v>
      </c>
      <c r="I1314" s="134">
        <f t="shared" si="61"/>
        <v>0</v>
      </c>
      <c r="J1314" s="134">
        <f t="shared" si="60"/>
        <v>6245</v>
      </c>
      <c r="K1314" s="135"/>
      <c r="L1314" s="136" t="str">
        <f t="shared" si="62"/>
        <v>مدين</v>
      </c>
      <c r="M1314" s="137" t="str">
        <f>IF(ISERROR(VLOOKUP(C1314,'[1]خريطة الحسابات'!_xlnm.Print_Area,4,FALSE))," ",(VLOOKUP(C1314,'[1]خريطة الحسابات'!_xlnm.Print_Area,4,FALSE)))</f>
        <v>تكاليف مشروع اللوتس 361</v>
      </c>
      <c r="N1314" s="138" t="str">
        <f>IF(ISERROR(VLOOKUP(C1314,'[1]خريطة الحسابات'!_xlnm.Print_Area,5,FALSE))," ",(VLOOKUP(C1314,'[1]خريطة الحسابات'!_xlnm.Print_Area,5,FALSE)))</f>
        <v xml:space="preserve">تكاليف العمليات </v>
      </c>
      <c r="O1314" s="84" t="s">
        <v>1905</v>
      </c>
      <c r="P1314" s="84" t="s">
        <v>1295</v>
      </c>
    </row>
    <row r="1315" spans="1:16">
      <c r="A1315" s="104">
        <v>59</v>
      </c>
      <c r="B1315" s="131">
        <v>46099</v>
      </c>
      <c r="C1315" s="141" t="s">
        <v>601</v>
      </c>
      <c r="D1315" s="140" t="str">
        <f>IF(ISERROR(VLOOKUP(C1315,'[1]خريطة الحسابات'!_xlnm.Print_Area,3,FALSE))," ",(VLOOKUP(C1315,'[1]خريطة الحسابات'!_xlnm.Print_Area,3,FALSE)))</f>
        <v>خامات ومصنعية أعمال الدهانات</v>
      </c>
      <c r="E1315" s="142"/>
      <c r="F1315" s="133">
        <v>2205</v>
      </c>
      <c r="G1315" s="133"/>
      <c r="H1315" s="134">
        <f t="shared" si="61"/>
        <v>2205</v>
      </c>
      <c r="I1315" s="134">
        <f t="shared" si="61"/>
        <v>0</v>
      </c>
      <c r="J1315" s="134">
        <f t="shared" si="60"/>
        <v>2205</v>
      </c>
      <c r="K1315" s="135"/>
      <c r="L1315" s="136" t="str">
        <f t="shared" si="62"/>
        <v>مدين</v>
      </c>
      <c r="M1315" s="137" t="str">
        <f>IF(ISERROR(VLOOKUP(C1315,'[1]خريطة الحسابات'!_xlnm.Print_Area,4,FALSE))," ",(VLOOKUP(C1315,'[1]خريطة الحسابات'!_xlnm.Print_Area,4,FALSE)))</f>
        <v>تكاليف مشروع اللوتس 361</v>
      </c>
      <c r="N1315" s="138" t="str">
        <f>IF(ISERROR(VLOOKUP(C1315,'[1]خريطة الحسابات'!_xlnm.Print_Area,5,FALSE))," ",(VLOOKUP(C1315,'[1]خريطة الحسابات'!_xlnm.Print_Area,5,FALSE)))</f>
        <v xml:space="preserve">تكاليف العمليات </v>
      </c>
      <c r="O1315" s="84" t="s">
        <v>1906</v>
      </c>
      <c r="P1315" s="84" t="s">
        <v>1295</v>
      </c>
    </row>
    <row r="1316" spans="1:16">
      <c r="A1316" s="104">
        <v>59</v>
      </c>
      <c r="B1316" s="131">
        <v>46132</v>
      </c>
      <c r="C1316" s="141" t="s">
        <v>601</v>
      </c>
      <c r="D1316" s="140" t="str">
        <f>IF(ISERROR(VLOOKUP(C1316,'[1]خريطة الحسابات'!_xlnm.Print_Area,3,FALSE))," ",(VLOOKUP(C1316,'[1]خريطة الحسابات'!_xlnm.Print_Area,3,FALSE)))</f>
        <v>خامات ومصنعية أعمال الدهانات</v>
      </c>
      <c r="E1316" s="142"/>
      <c r="F1316" s="133">
        <v>395</v>
      </c>
      <c r="G1316" s="133"/>
      <c r="H1316" s="134">
        <f t="shared" si="61"/>
        <v>395</v>
      </c>
      <c r="I1316" s="134">
        <f t="shared" si="61"/>
        <v>0</v>
      </c>
      <c r="J1316" s="134">
        <f t="shared" si="60"/>
        <v>395</v>
      </c>
      <c r="K1316" s="135"/>
      <c r="L1316" s="136" t="str">
        <f t="shared" si="62"/>
        <v>مدين</v>
      </c>
      <c r="M1316" s="137" t="str">
        <f>IF(ISERROR(VLOOKUP(C1316,'[1]خريطة الحسابات'!_xlnm.Print_Area,4,FALSE))," ",(VLOOKUP(C1316,'[1]خريطة الحسابات'!_xlnm.Print_Area,4,FALSE)))</f>
        <v>تكاليف مشروع اللوتس 361</v>
      </c>
      <c r="N1316" s="138" t="str">
        <f>IF(ISERROR(VLOOKUP(C1316,'[1]خريطة الحسابات'!_xlnm.Print_Area,5,FALSE))," ",(VLOOKUP(C1316,'[1]خريطة الحسابات'!_xlnm.Print_Area,5,FALSE)))</f>
        <v xml:space="preserve">تكاليف العمليات </v>
      </c>
      <c r="O1316" s="84" t="s">
        <v>1907</v>
      </c>
      <c r="P1316" s="84" t="s">
        <v>1295</v>
      </c>
    </row>
    <row r="1317" spans="1:16">
      <c r="A1317" s="104">
        <v>59</v>
      </c>
      <c r="B1317" s="131">
        <v>46068</v>
      </c>
      <c r="C1317" s="141" t="s">
        <v>426</v>
      </c>
      <c r="D1317" s="140" t="str">
        <f>IF(ISERROR(VLOOKUP(C1317,'[1]خريطة الحسابات'!_xlnm.Print_Area,3,FALSE))," ",(VLOOKUP(C1317,'[1]خريطة الحسابات'!_xlnm.Print_Area,3,FALSE)))</f>
        <v>خامات ومصنعية أعمال الدهانات</v>
      </c>
      <c r="E1317" s="142"/>
      <c r="F1317" s="133">
        <v>13680</v>
      </c>
      <c r="G1317" s="133"/>
      <c r="H1317" s="134">
        <f t="shared" si="61"/>
        <v>13680</v>
      </c>
      <c r="I1317" s="134">
        <f t="shared" si="61"/>
        <v>0</v>
      </c>
      <c r="J1317" s="134">
        <f t="shared" si="60"/>
        <v>13680</v>
      </c>
      <c r="K1317" s="135"/>
      <c r="L1317" s="136" t="str">
        <f t="shared" si="62"/>
        <v>مدين</v>
      </c>
      <c r="M1317" s="137" t="str">
        <f>IF(ISERROR(VLOOKUP(C1317,'[1]خريطة الحسابات'!_xlnm.Print_Area,4,FALSE))," ",(VLOOKUP(C1317,'[1]خريطة الحسابات'!_xlnm.Print_Area,4,FALSE)))</f>
        <v>345 تكاليف مشروع بالم هيلز</v>
      </c>
      <c r="N1317" s="138" t="str">
        <f>IF(ISERROR(VLOOKUP(C1317,'[1]خريطة الحسابات'!_xlnm.Print_Area,5,FALSE))," ",(VLOOKUP(C1317,'[1]خريطة الحسابات'!_xlnm.Print_Area,5,FALSE)))</f>
        <v xml:space="preserve">تكاليف العمليات </v>
      </c>
      <c r="O1317" s="84" t="s">
        <v>1908</v>
      </c>
      <c r="P1317" s="84" t="s">
        <v>1327</v>
      </c>
    </row>
    <row r="1318" spans="1:16">
      <c r="A1318" s="104">
        <v>59</v>
      </c>
      <c r="B1318" s="131">
        <v>46070</v>
      </c>
      <c r="C1318" s="141" t="s">
        <v>426</v>
      </c>
      <c r="D1318" s="140" t="str">
        <f>IF(ISERROR(VLOOKUP(C1318,'[1]خريطة الحسابات'!_xlnm.Print_Area,3,FALSE))," ",(VLOOKUP(C1318,'[1]خريطة الحسابات'!_xlnm.Print_Area,3,FALSE)))</f>
        <v>خامات ومصنعية أعمال الدهانات</v>
      </c>
      <c r="E1318" s="142"/>
      <c r="F1318" s="133">
        <v>300</v>
      </c>
      <c r="G1318" s="133"/>
      <c r="H1318" s="134">
        <f t="shared" si="61"/>
        <v>300</v>
      </c>
      <c r="I1318" s="134">
        <f t="shared" si="61"/>
        <v>0</v>
      </c>
      <c r="J1318" s="134">
        <f t="shared" si="60"/>
        <v>300</v>
      </c>
      <c r="K1318" s="135"/>
      <c r="L1318" s="136" t="str">
        <f t="shared" si="62"/>
        <v>مدين</v>
      </c>
      <c r="M1318" s="137" t="str">
        <f>IF(ISERROR(VLOOKUP(C1318,'[1]خريطة الحسابات'!_xlnm.Print_Area,4,FALSE))," ",(VLOOKUP(C1318,'[1]خريطة الحسابات'!_xlnm.Print_Area,4,FALSE)))</f>
        <v>345 تكاليف مشروع بالم هيلز</v>
      </c>
      <c r="N1318" s="138" t="str">
        <f>IF(ISERROR(VLOOKUP(C1318,'[1]خريطة الحسابات'!_xlnm.Print_Area,5,FALSE))," ",(VLOOKUP(C1318,'[1]خريطة الحسابات'!_xlnm.Print_Area,5,FALSE)))</f>
        <v xml:space="preserve">تكاليف العمليات </v>
      </c>
      <c r="O1318" s="84" t="s">
        <v>1909</v>
      </c>
      <c r="P1318" s="84" t="s">
        <v>1327</v>
      </c>
    </row>
    <row r="1319" spans="1:16">
      <c r="A1319" s="104">
        <v>59</v>
      </c>
      <c r="B1319" s="131">
        <v>46082</v>
      </c>
      <c r="C1319" s="141" t="s">
        <v>426</v>
      </c>
      <c r="D1319" s="140" t="str">
        <f>IF(ISERROR(VLOOKUP(C1319,'[1]خريطة الحسابات'!_xlnm.Print_Area,3,FALSE))," ",(VLOOKUP(C1319,'[1]خريطة الحسابات'!_xlnm.Print_Area,3,FALSE)))</f>
        <v>خامات ومصنعية أعمال الدهانات</v>
      </c>
      <c r="E1319" s="142"/>
      <c r="F1319" s="133">
        <v>700</v>
      </c>
      <c r="G1319" s="133"/>
      <c r="H1319" s="134">
        <f t="shared" si="61"/>
        <v>700</v>
      </c>
      <c r="I1319" s="134">
        <f t="shared" si="61"/>
        <v>0</v>
      </c>
      <c r="J1319" s="134">
        <f t="shared" si="60"/>
        <v>700</v>
      </c>
      <c r="K1319" s="135"/>
      <c r="L1319" s="136" t="str">
        <f t="shared" si="62"/>
        <v>مدين</v>
      </c>
      <c r="M1319" s="137" t="str">
        <f>IF(ISERROR(VLOOKUP(C1319,'[1]خريطة الحسابات'!_xlnm.Print_Area,4,FALSE))," ",(VLOOKUP(C1319,'[1]خريطة الحسابات'!_xlnm.Print_Area,4,FALSE)))</f>
        <v>345 تكاليف مشروع بالم هيلز</v>
      </c>
      <c r="N1319" s="138" t="str">
        <f>IF(ISERROR(VLOOKUP(C1319,'[1]خريطة الحسابات'!_xlnm.Print_Area,5,FALSE))," ",(VLOOKUP(C1319,'[1]خريطة الحسابات'!_xlnm.Print_Area,5,FALSE)))</f>
        <v xml:space="preserve">تكاليف العمليات </v>
      </c>
      <c r="O1319" s="84" t="s">
        <v>1910</v>
      </c>
      <c r="P1319" s="84" t="s">
        <v>1327</v>
      </c>
    </row>
    <row r="1320" spans="1:16">
      <c r="A1320" s="104">
        <v>59</v>
      </c>
      <c r="B1320" s="131">
        <v>46093</v>
      </c>
      <c r="C1320" s="141" t="s">
        <v>426</v>
      </c>
      <c r="D1320" s="140" t="str">
        <f>IF(ISERROR(VLOOKUP(C1320,'[1]خريطة الحسابات'!_xlnm.Print_Area,3,FALSE))," ",(VLOOKUP(C1320,'[1]خريطة الحسابات'!_xlnm.Print_Area,3,FALSE)))</f>
        <v>خامات ومصنعية أعمال الدهانات</v>
      </c>
      <c r="E1320" s="142"/>
      <c r="F1320" s="133">
        <v>2763</v>
      </c>
      <c r="G1320" s="133"/>
      <c r="H1320" s="134">
        <f t="shared" si="61"/>
        <v>2763</v>
      </c>
      <c r="I1320" s="134">
        <f t="shared" si="61"/>
        <v>0</v>
      </c>
      <c r="J1320" s="134">
        <f t="shared" si="60"/>
        <v>2763</v>
      </c>
      <c r="K1320" s="135"/>
      <c r="L1320" s="136" t="str">
        <f t="shared" si="62"/>
        <v>مدين</v>
      </c>
      <c r="M1320" s="137" t="str">
        <f>IF(ISERROR(VLOOKUP(C1320,'[1]خريطة الحسابات'!_xlnm.Print_Area,4,FALSE))," ",(VLOOKUP(C1320,'[1]خريطة الحسابات'!_xlnm.Print_Area,4,FALSE)))</f>
        <v>345 تكاليف مشروع بالم هيلز</v>
      </c>
      <c r="N1320" s="138" t="str">
        <f>IF(ISERROR(VLOOKUP(C1320,'[1]خريطة الحسابات'!_xlnm.Print_Area,5,FALSE))," ",(VLOOKUP(C1320,'[1]خريطة الحسابات'!_xlnm.Print_Area,5,FALSE)))</f>
        <v xml:space="preserve">تكاليف العمليات </v>
      </c>
      <c r="O1320" s="84" t="s">
        <v>1911</v>
      </c>
      <c r="P1320" s="84" t="s">
        <v>1327</v>
      </c>
    </row>
    <row r="1321" spans="1:16">
      <c r="A1321" s="104">
        <v>59</v>
      </c>
      <c r="B1321" s="131">
        <v>46096</v>
      </c>
      <c r="C1321" s="141" t="s">
        <v>426</v>
      </c>
      <c r="D1321" s="140" t="str">
        <f>IF(ISERROR(VLOOKUP(C1321,'[1]خريطة الحسابات'!_xlnm.Print_Area,3,FALSE))," ",(VLOOKUP(C1321,'[1]خريطة الحسابات'!_xlnm.Print_Area,3,FALSE)))</f>
        <v>خامات ومصنعية أعمال الدهانات</v>
      </c>
      <c r="E1321" s="142"/>
      <c r="F1321" s="133">
        <v>4555</v>
      </c>
      <c r="G1321" s="133"/>
      <c r="H1321" s="134">
        <f t="shared" si="61"/>
        <v>4555</v>
      </c>
      <c r="I1321" s="134">
        <f t="shared" si="61"/>
        <v>0</v>
      </c>
      <c r="J1321" s="134">
        <f t="shared" si="60"/>
        <v>4555</v>
      </c>
      <c r="K1321" s="135"/>
      <c r="L1321" s="136" t="str">
        <f t="shared" si="62"/>
        <v>مدين</v>
      </c>
      <c r="M1321" s="137" t="str">
        <f>IF(ISERROR(VLOOKUP(C1321,'[1]خريطة الحسابات'!_xlnm.Print_Area,4,FALSE))," ",(VLOOKUP(C1321,'[1]خريطة الحسابات'!_xlnm.Print_Area,4,FALSE)))</f>
        <v>345 تكاليف مشروع بالم هيلز</v>
      </c>
      <c r="N1321" s="138" t="str">
        <f>IF(ISERROR(VLOOKUP(C1321,'[1]خريطة الحسابات'!_xlnm.Print_Area,5,FALSE))," ",(VLOOKUP(C1321,'[1]خريطة الحسابات'!_xlnm.Print_Area,5,FALSE)))</f>
        <v xml:space="preserve">تكاليف العمليات </v>
      </c>
      <c r="O1321" s="84" t="s">
        <v>1912</v>
      </c>
      <c r="P1321" s="84" t="s">
        <v>1327</v>
      </c>
    </row>
    <row r="1322" spans="1:16">
      <c r="A1322" s="104">
        <v>59</v>
      </c>
      <c r="B1322" s="131">
        <v>46099</v>
      </c>
      <c r="C1322" s="141" t="s">
        <v>426</v>
      </c>
      <c r="D1322" s="140" t="str">
        <f>IF(ISERROR(VLOOKUP(C1322,'[1]خريطة الحسابات'!_xlnm.Print_Area,3,FALSE))," ",(VLOOKUP(C1322,'[1]خريطة الحسابات'!_xlnm.Print_Area,3,FALSE)))</f>
        <v>خامات ومصنعية أعمال الدهانات</v>
      </c>
      <c r="E1322" s="142"/>
      <c r="F1322" s="133">
        <v>700</v>
      </c>
      <c r="G1322" s="133"/>
      <c r="H1322" s="134">
        <f t="shared" si="61"/>
        <v>700</v>
      </c>
      <c r="I1322" s="134">
        <f t="shared" si="61"/>
        <v>0</v>
      </c>
      <c r="J1322" s="134">
        <f t="shared" si="60"/>
        <v>700</v>
      </c>
      <c r="K1322" s="135"/>
      <c r="L1322" s="136" t="str">
        <f t="shared" si="62"/>
        <v>مدين</v>
      </c>
      <c r="M1322" s="137" t="str">
        <f>IF(ISERROR(VLOOKUP(C1322,'[1]خريطة الحسابات'!_xlnm.Print_Area,4,FALSE))," ",(VLOOKUP(C1322,'[1]خريطة الحسابات'!_xlnm.Print_Area,4,FALSE)))</f>
        <v>345 تكاليف مشروع بالم هيلز</v>
      </c>
      <c r="N1322" s="138" t="str">
        <f>IF(ISERROR(VLOOKUP(C1322,'[1]خريطة الحسابات'!_xlnm.Print_Area,5,FALSE))," ",(VLOOKUP(C1322,'[1]خريطة الحسابات'!_xlnm.Print_Area,5,FALSE)))</f>
        <v xml:space="preserve">تكاليف العمليات </v>
      </c>
      <c r="O1322" s="84" t="s">
        <v>1913</v>
      </c>
      <c r="P1322" s="84" t="s">
        <v>1327</v>
      </c>
    </row>
    <row r="1323" spans="1:16">
      <c r="A1323" s="104">
        <v>59</v>
      </c>
      <c r="B1323" s="131">
        <v>46128</v>
      </c>
      <c r="C1323" s="141" t="s">
        <v>426</v>
      </c>
      <c r="D1323" s="140" t="str">
        <f>IF(ISERROR(VLOOKUP(C1323,'[1]خريطة الحسابات'!_xlnm.Print_Area,3,FALSE))," ",(VLOOKUP(C1323,'[1]خريطة الحسابات'!_xlnm.Print_Area,3,FALSE)))</f>
        <v>خامات ومصنعية أعمال الدهانات</v>
      </c>
      <c r="E1323" s="142"/>
      <c r="F1323" s="133">
        <v>5200</v>
      </c>
      <c r="G1323" s="133"/>
      <c r="H1323" s="134">
        <f t="shared" si="61"/>
        <v>5200</v>
      </c>
      <c r="I1323" s="134">
        <f t="shared" si="61"/>
        <v>0</v>
      </c>
      <c r="J1323" s="134">
        <f t="shared" si="60"/>
        <v>5200</v>
      </c>
      <c r="K1323" s="135"/>
      <c r="L1323" s="136" t="str">
        <f t="shared" si="62"/>
        <v>مدين</v>
      </c>
      <c r="M1323" s="137" t="str">
        <f>IF(ISERROR(VLOOKUP(C1323,'[1]خريطة الحسابات'!_xlnm.Print_Area,4,FALSE))," ",(VLOOKUP(C1323,'[1]خريطة الحسابات'!_xlnm.Print_Area,4,FALSE)))</f>
        <v>345 تكاليف مشروع بالم هيلز</v>
      </c>
      <c r="N1323" s="138" t="str">
        <f>IF(ISERROR(VLOOKUP(C1323,'[1]خريطة الحسابات'!_xlnm.Print_Area,5,FALSE))," ",(VLOOKUP(C1323,'[1]خريطة الحسابات'!_xlnm.Print_Area,5,FALSE)))</f>
        <v xml:space="preserve">تكاليف العمليات </v>
      </c>
      <c r="O1323" s="84" t="s">
        <v>1914</v>
      </c>
      <c r="P1323" s="84" t="s">
        <v>1327</v>
      </c>
    </row>
    <row r="1324" spans="1:16">
      <c r="A1324" s="104">
        <v>59</v>
      </c>
      <c r="B1324" s="131">
        <v>46133</v>
      </c>
      <c r="C1324" s="141" t="s">
        <v>426</v>
      </c>
      <c r="D1324" s="140" t="str">
        <f>IF(ISERROR(VLOOKUP(C1324,'[1]خريطة الحسابات'!_xlnm.Print_Area,3,FALSE))," ",(VLOOKUP(C1324,'[1]خريطة الحسابات'!_xlnm.Print_Area,3,FALSE)))</f>
        <v>خامات ومصنعية أعمال الدهانات</v>
      </c>
      <c r="E1324" s="142"/>
      <c r="F1324" s="133">
        <v>520</v>
      </c>
      <c r="G1324" s="133"/>
      <c r="H1324" s="134">
        <f t="shared" si="61"/>
        <v>520</v>
      </c>
      <c r="I1324" s="134">
        <f t="shared" si="61"/>
        <v>0</v>
      </c>
      <c r="J1324" s="134">
        <f t="shared" si="60"/>
        <v>520</v>
      </c>
      <c r="K1324" s="135"/>
      <c r="L1324" s="136" t="str">
        <f t="shared" si="62"/>
        <v>مدين</v>
      </c>
      <c r="M1324" s="137" t="str">
        <f>IF(ISERROR(VLOOKUP(C1324,'[1]خريطة الحسابات'!_xlnm.Print_Area,4,FALSE))," ",(VLOOKUP(C1324,'[1]خريطة الحسابات'!_xlnm.Print_Area,4,FALSE)))</f>
        <v>345 تكاليف مشروع بالم هيلز</v>
      </c>
      <c r="N1324" s="138" t="str">
        <f>IF(ISERROR(VLOOKUP(C1324,'[1]خريطة الحسابات'!_xlnm.Print_Area,5,FALSE))," ",(VLOOKUP(C1324,'[1]خريطة الحسابات'!_xlnm.Print_Area,5,FALSE)))</f>
        <v xml:space="preserve">تكاليف العمليات </v>
      </c>
      <c r="O1324" s="84" t="s">
        <v>1915</v>
      </c>
      <c r="P1324" s="84" t="s">
        <v>1327</v>
      </c>
    </row>
    <row r="1325" spans="1:16">
      <c r="A1325" s="104">
        <v>59</v>
      </c>
      <c r="B1325" s="131">
        <v>46156</v>
      </c>
      <c r="C1325" s="141" t="s">
        <v>426</v>
      </c>
      <c r="D1325" s="140" t="str">
        <f>IF(ISERROR(VLOOKUP(C1325,'[1]خريطة الحسابات'!_xlnm.Print_Area,3,FALSE))," ",(VLOOKUP(C1325,'[1]خريطة الحسابات'!_xlnm.Print_Area,3,FALSE)))</f>
        <v>خامات ومصنعية أعمال الدهانات</v>
      </c>
      <c r="E1325" s="142"/>
      <c r="F1325" s="133">
        <v>890</v>
      </c>
      <c r="G1325" s="133"/>
      <c r="H1325" s="134">
        <f t="shared" si="61"/>
        <v>890</v>
      </c>
      <c r="I1325" s="134">
        <f t="shared" si="61"/>
        <v>0</v>
      </c>
      <c r="J1325" s="134">
        <f t="shared" si="60"/>
        <v>890</v>
      </c>
      <c r="K1325" s="135"/>
      <c r="L1325" s="136" t="str">
        <f t="shared" si="62"/>
        <v>مدين</v>
      </c>
      <c r="M1325" s="137" t="str">
        <f>IF(ISERROR(VLOOKUP(C1325,'[1]خريطة الحسابات'!_xlnm.Print_Area,4,FALSE))," ",(VLOOKUP(C1325,'[1]خريطة الحسابات'!_xlnm.Print_Area,4,FALSE)))</f>
        <v>345 تكاليف مشروع بالم هيلز</v>
      </c>
      <c r="N1325" s="138" t="str">
        <f>IF(ISERROR(VLOOKUP(C1325,'[1]خريطة الحسابات'!_xlnm.Print_Area,5,FALSE))," ",(VLOOKUP(C1325,'[1]خريطة الحسابات'!_xlnm.Print_Area,5,FALSE)))</f>
        <v xml:space="preserve">تكاليف العمليات </v>
      </c>
      <c r="O1325" s="84" t="s">
        <v>1916</v>
      </c>
      <c r="P1325" s="84" t="s">
        <v>1327</v>
      </c>
    </row>
    <row r="1326" spans="1:16">
      <c r="A1326" s="104">
        <v>59</v>
      </c>
      <c r="B1326" s="131">
        <v>46058</v>
      </c>
      <c r="C1326" s="141" t="s">
        <v>87</v>
      </c>
      <c r="D1326" s="140" t="str">
        <f>IF(ISERROR(VLOOKUP(C1326,'[1]خريطة الحسابات'!_xlnm.Print_Area,3,FALSE))," ",(VLOOKUP(C1326,'[1]خريطة الحسابات'!_xlnm.Print_Area,3,FALSE)))</f>
        <v>خامات ومصنعية أعمال الدهانات</v>
      </c>
      <c r="E1326" s="142"/>
      <c r="F1326" s="133">
        <v>31260</v>
      </c>
      <c r="G1326" s="133"/>
      <c r="H1326" s="134">
        <f t="shared" si="61"/>
        <v>31260</v>
      </c>
      <c r="I1326" s="134">
        <f t="shared" si="61"/>
        <v>0</v>
      </c>
      <c r="J1326" s="134">
        <f t="shared" si="60"/>
        <v>31260</v>
      </c>
      <c r="K1326" s="135"/>
      <c r="L1326" s="136" t="str">
        <f t="shared" si="62"/>
        <v>مدين</v>
      </c>
      <c r="M1326" s="137" t="str">
        <f>IF(ISERROR(VLOOKUP(C1326,'[1]خريطة الحسابات'!_xlnm.Print_Area,4,FALSE))," ",(VLOOKUP(C1326,'[1]خريطة الحسابات'!_xlnm.Print_Area,4,FALSE)))</f>
        <v>تكاليف مشروع سوديك  341</v>
      </c>
      <c r="N1326" s="138" t="str">
        <f>IF(ISERROR(VLOOKUP(C1326,'[1]خريطة الحسابات'!_xlnm.Print_Area,5,FALSE))," ",(VLOOKUP(C1326,'[1]خريطة الحسابات'!_xlnm.Print_Area,5,FALSE)))</f>
        <v xml:space="preserve">تكاليف العمليات </v>
      </c>
      <c r="O1326" s="84" t="s">
        <v>1917</v>
      </c>
      <c r="P1326" s="84" t="s">
        <v>1290</v>
      </c>
    </row>
    <row r="1327" spans="1:16">
      <c r="A1327" s="104">
        <v>59</v>
      </c>
      <c r="B1327" s="131">
        <v>46071</v>
      </c>
      <c r="C1327" s="141" t="s">
        <v>87</v>
      </c>
      <c r="D1327" s="140" t="str">
        <f>IF(ISERROR(VLOOKUP(C1327,'[1]خريطة الحسابات'!_xlnm.Print_Area,3,FALSE))," ",(VLOOKUP(C1327,'[1]خريطة الحسابات'!_xlnm.Print_Area,3,FALSE)))</f>
        <v>خامات ومصنعية أعمال الدهانات</v>
      </c>
      <c r="E1327" s="142"/>
      <c r="F1327" s="133">
        <v>3070</v>
      </c>
      <c r="G1327" s="133"/>
      <c r="H1327" s="134">
        <f t="shared" si="61"/>
        <v>3070</v>
      </c>
      <c r="I1327" s="134">
        <f t="shared" si="61"/>
        <v>0</v>
      </c>
      <c r="J1327" s="134">
        <f t="shared" si="60"/>
        <v>3070</v>
      </c>
      <c r="K1327" s="135"/>
      <c r="L1327" s="136" t="str">
        <f t="shared" si="62"/>
        <v>مدين</v>
      </c>
      <c r="M1327" s="137" t="str">
        <f>IF(ISERROR(VLOOKUP(C1327,'[1]خريطة الحسابات'!_xlnm.Print_Area,4,FALSE))," ",(VLOOKUP(C1327,'[1]خريطة الحسابات'!_xlnm.Print_Area,4,FALSE)))</f>
        <v>تكاليف مشروع سوديك  341</v>
      </c>
      <c r="N1327" s="138" t="str">
        <f>IF(ISERROR(VLOOKUP(C1327,'[1]خريطة الحسابات'!_xlnm.Print_Area,5,FALSE))," ",(VLOOKUP(C1327,'[1]خريطة الحسابات'!_xlnm.Print_Area,5,FALSE)))</f>
        <v xml:space="preserve">تكاليف العمليات </v>
      </c>
      <c r="O1327" s="84" t="s">
        <v>1918</v>
      </c>
      <c r="P1327" s="84" t="s">
        <v>1290</v>
      </c>
    </row>
    <row r="1328" spans="1:16">
      <c r="A1328" s="104">
        <v>59</v>
      </c>
      <c r="B1328" s="131">
        <v>46086</v>
      </c>
      <c r="C1328" s="141" t="s">
        <v>87</v>
      </c>
      <c r="D1328" s="140" t="str">
        <f>IF(ISERROR(VLOOKUP(C1328,'[1]خريطة الحسابات'!_xlnm.Print_Area,3,FALSE))," ",(VLOOKUP(C1328,'[1]خريطة الحسابات'!_xlnm.Print_Area,3,FALSE)))</f>
        <v>خامات ومصنعية أعمال الدهانات</v>
      </c>
      <c r="E1328" s="142"/>
      <c r="F1328" s="133">
        <v>2945</v>
      </c>
      <c r="G1328" s="133"/>
      <c r="H1328" s="134">
        <f t="shared" si="61"/>
        <v>2945</v>
      </c>
      <c r="I1328" s="134">
        <f t="shared" si="61"/>
        <v>0</v>
      </c>
      <c r="J1328" s="134">
        <f t="shared" si="60"/>
        <v>2945</v>
      </c>
      <c r="K1328" s="135"/>
      <c r="L1328" s="136" t="str">
        <f t="shared" si="62"/>
        <v>مدين</v>
      </c>
      <c r="M1328" s="137" t="str">
        <f>IF(ISERROR(VLOOKUP(C1328,'[1]خريطة الحسابات'!_xlnm.Print_Area,4,FALSE))," ",(VLOOKUP(C1328,'[1]خريطة الحسابات'!_xlnm.Print_Area,4,FALSE)))</f>
        <v>تكاليف مشروع سوديك  341</v>
      </c>
      <c r="N1328" s="138" t="str">
        <f>IF(ISERROR(VLOOKUP(C1328,'[1]خريطة الحسابات'!_xlnm.Print_Area,5,FALSE))," ",(VLOOKUP(C1328,'[1]خريطة الحسابات'!_xlnm.Print_Area,5,FALSE)))</f>
        <v xml:space="preserve">تكاليف العمليات </v>
      </c>
      <c r="O1328" s="84" t="s">
        <v>1919</v>
      </c>
      <c r="P1328" s="84" t="s">
        <v>1290</v>
      </c>
    </row>
    <row r="1329" spans="1:16">
      <c r="A1329" s="104">
        <v>59</v>
      </c>
      <c r="B1329" s="131">
        <v>46163</v>
      </c>
      <c r="C1329" s="141" t="s">
        <v>87</v>
      </c>
      <c r="D1329" s="140" t="str">
        <f>IF(ISERROR(VLOOKUP(C1329,'[1]خريطة الحسابات'!_xlnm.Print_Area,3,FALSE))," ",(VLOOKUP(C1329,'[1]خريطة الحسابات'!_xlnm.Print_Area,3,FALSE)))</f>
        <v>خامات ومصنعية أعمال الدهانات</v>
      </c>
      <c r="E1329" s="142"/>
      <c r="F1329" s="133">
        <v>3260</v>
      </c>
      <c r="G1329" s="133"/>
      <c r="H1329" s="134">
        <f t="shared" si="61"/>
        <v>3260</v>
      </c>
      <c r="I1329" s="134">
        <f t="shared" si="61"/>
        <v>0</v>
      </c>
      <c r="J1329" s="134">
        <f t="shared" si="60"/>
        <v>3260</v>
      </c>
      <c r="K1329" s="135"/>
      <c r="L1329" s="136" t="str">
        <f t="shared" si="62"/>
        <v>مدين</v>
      </c>
      <c r="M1329" s="137" t="str">
        <f>IF(ISERROR(VLOOKUP(C1329,'[1]خريطة الحسابات'!_xlnm.Print_Area,4,FALSE))," ",(VLOOKUP(C1329,'[1]خريطة الحسابات'!_xlnm.Print_Area,4,FALSE)))</f>
        <v>تكاليف مشروع سوديك  341</v>
      </c>
      <c r="N1329" s="138" t="str">
        <f>IF(ISERROR(VLOOKUP(C1329,'[1]خريطة الحسابات'!_xlnm.Print_Area,5,FALSE))," ",(VLOOKUP(C1329,'[1]خريطة الحسابات'!_xlnm.Print_Area,5,FALSE)))</f>
        <v xml:space="preserve">تكاليف العمليات </v>
      </c>
      <c r="O1329" s="84" t="s">
        <v>1920</v>
      </c>
      <c r="P1329" s="84" t="s">
        <v>1290</v>
      </c>
    </row>
    <row r="1330" spans="1:16">
      <c r="A1330" s="104">
        <v>59</v>
      </c>
      <c r="B1330" s="131">
        <v>46179</v>
      </c>
      <c r="C1330" s="141" t="s">
        <v>87</v>
      </c>
      <c r="D1330" s="140" t="str">
        <f>IF(ISERROR(VLOOKUP(C1330,'[1]خريطة الحسابات'!_xlnm.Print_Area,3,FALSE))," ",(VLOOKUP(C1330,'[1]خريطة الحسابات'!_xlnm.Print_Area,3,FALSE)))</f>
        <v>خامات ومصنعية أعمال الدهانات</v>
      </c>
      <c r="E1330" s="142"/>
      <c r="F1330" s="133">
        <v>2850</v>
      </c>
      <c r="G1330" s="133"/>
      <c r="H1330" s="134">
        <f t="shared" si="61"/>
        <v>2850</v>
      </c>
      <c r="I1330" s="134">
        <f t="shared" si="61"/>
        <v>0</v>
      </c>
      <c r="J1330" s="134">
        <f t="shared" si="60"/>
        <v>2850</v>
      </c>
      <c r="K1330" s="135"/>
      <c r="L1330" s="136" t="str">
        <f t="shared" si="62"/>
        <v>مدين</v>
      </c>
      <c r="M1330" s="137" t="str">
        <f>IF(ISERROR(VLOOKUP(C1330,'[1]خريطة الحسابات'!_xlnm.Print_Area,4,FALSE))," ",(VLOOKUP(C1330,'[1]خريطة الحسابات'!_xlnm.Print_Area,4,FALSE)))</f>
        <v>تكاليف مشروع سوديك  341</v>
      </c>
      <c r="N1330" s="138" t="str">
        <f>IF(ISERROR(VLOOKUP(C1330,'[1]خريطة الحسابات'!_xlnm.Print_Area,5,FALSE))," ",(VLOOKUP(C1330,'[1]خريطة الحسابات'!_xlnm.Print_Area,5,FALSE)))</f>
        <v xml:space="preserve">تكاليف العمليات </v>
      </c>
      <c r="O1330" s="84" t="s">
        <v>1921</v>
      </c>
      <c r="P1330" s="84" t="s">
        <v>1290</v>
      </c>
    </row>
    <row r="1331" spans="1:16">
      <c r="A1331" s="104">
        <v>59</v>
      </c>
      <c r="B1331" s="131">
        <v>46181</v>
      </c>
      <c r="C1331" s="141" t="s">
        <v>87</v>
      </c>
      <c r="D1331" s="140" t="str">
        <f>IF(ISERROR(VLOOKUP(C1331,'[1]خريطة الحسابات'!_xlnm.Print_Area,3,FALSE))," ",(VLOOKUP(C1331,'[1]خريطة الحسابات'!_xlnm.Print_Area,3,FALSE)))</f>
        <v>خامات ومصنعية أعمال الدهانات</v>
      </c>
      <c r="E1331" s="142"/>
      <c r="F1331" s="133">
        <v>1181</v>
      </c>
      <c r="G1331" s="133"/>
      <c r="H1331" s="134">
        <f t="shared" si="61"/>
        <v>1181</v>
      </c>
      <c r="I1331" s="134">
        <f t="shared" si="61"/>
        <v>0</v>
      </c>
      <c r="J1331" s="134">
        <f t="shared" si="60"/>
        <v>1181</v>
      </c>
      <c r="K1331" s="135"/>
      <c r="L1331" s="136" t="str">
        <f t="shared" si="62"/>
        <v>مدين</v>
      </c>
      <c r="M1331" s="137" t="str">
        <f>IF(ISERROR(VLOOKUP(C1331,'[1]خريطة الحسابات'!_xlnm.Print_Area,4,FALSE))," ",(VLOOKUP(C1331,'[1]خريطة الحسابات'!_xlnm.Print_Area,4,FALSE)))</f>
        <v>تكاليف مشروع سوديك  341</v>
      </c>
      <c r="N1331" s="138" t="str">
        <f>IF(ISERROR(VLOOKUP(C1331,'[1]خريطة الحسابات'!_xlnm.Print_Area,5,FALSE))," ",(VLOOKUP(C1331,'[1]خريطة الحسابات'!_xlnm.Print_Area,5,FALSE)))</f>
        <v xml:space="preserve">تكاليف العمليات </v>
      </c>
      <c r="O1331" s="84" t="s">
        <v>1922</v>
      </c>
      <c r="P1331" s="84" t="s">
        <v>1290</v>
      </c>
    </row>
    <row r="1332" spans="1:16">
      <c r="A1332" s="104">
        <v>59</v>
      </c>
      <c r="B1332" s="131">
        <v>46184</v>
      </c>
      <c r="C1332" s="141" t="s">
        <v>87</v>
      </c>
      <c r="D1332" s="140" t="str">
        <f>IF(ISERROR(VLOOKUP(C1332,'[1]خريطة الحسابات'!_xlnm.Print_Area,3,FALSE))," ",(VLOOKUP(C1332,'[1]خريطة الحسابات'!_xlnm.Print_Area,3,FALSE)))</f>
        <v>خامات ومصنعية أعمال الدهانات</v>
      </c>
      <c r="E1332" s="142"/>
      <c r="F1332" s="133">
        <v>160</v>
      </c>
      <c r="G1332" s="133"/>
      <c r="H1332" s="134">
        <f t="shared" si="61"/>
        <v>160</v>
      </c>
      <c r="I1332" s="134">
        <f t="shared" si="61"/>
        <v>0</v>
      </c>
      <c r="J1332" s="134">
        <f t="shared" si="60"/>
        <v>160</v>
      </c>
      <c r="K1332" s="135"/>
      <c r="L1332" s="136" t="str">
        <f t="shared" si="62"/>
        <v>مدين</v>
      </c>
      <c r="M1332" s="137" t="str">
        <f>IF(ISERROR(VLOOKUP(C1332,'[1]خريطة الحسابات'!_xlnm.Print_Area,4,FALSE))," ",(VLOOKUP(C1332,'[1]خريطة الحسابات'!_xlnm.Print_Area,4,FALSE)))</f>
        <v>تكاليف مشروع سوديك  341</v>
      </c>
      <c r="N1332" s="138" t="str">
        <f>IF(ISERROR(VLOOKUP(C1332,'[1]خريطة الحسابات'!_xlnm.Print_Area,5,FALSE))," ",(VLOOKUP(C1332,'[1]خريطة الحسابات'!_xlnm.Print_Area,5,FALSE)))</f>
        <v xml:space="preserve">تكاليف العمليات </v>
      </c>
      <c r="O1332" s="84" t="s">
        <v>1923</v>
      </c>
      <c r="P1332" s="84" t="s">
        <v>1290</v>
      </c>
    </row>
    <row r="1333" spans="1:16">
      <c r="A1333" s="104">
        <v>59</v>
      </c>
      <c r="B1333" s="131">
        <v>46120</v>
      </c>
      <c r="C1333" s="141" t="s">
        <v>776</v>
      </c>
      <c r="D1333" s="140" t="str">
        <f>IF(ISERROR(VLOOKUP(C1333,'[1]خريطة الحسابات'!_xlnm.Print_Area,3,FALSE))," ",(VLOOKUP(C1333,'[1]خريطة الحسابات'!_xlnm.Print_Area,3,FALSE)))</f>
        <v>خامات ومصنعية أعمال الدهانات</v>
      </c>
      <c r="E1333" s="142"/>
      <c r="F1333" s="133">
        <v>1200</v>
      </c>
      <c r="G1333" s="133"/>
      <c r="H1333" s="134">
        <f t="shared" si="61"/>
        <v>1200</v>
      </c>
      <c r="I1333" s="134">
        <f t="shared" si="61"/>
        <v>0</v>
      </c>
      <c r="J1333" s="134">
        <f t="shared" si="60"/>
        <v>1200</v>
      </c>
      <c r="K1333" s="135"/>
      <c r="L1333" s="136" t="str">
        <f t="shared" si="62"/>
        <v>مدين</v>
      </c>
      <c r="M1333" s="137" t="str">
        <f>IF(ISERROR(VLOOKUP(C1333,'[1]خريطة الحسابات'!_xlnm.Print_Area,4,FALSE))," ",(VLOOKUP(C1333,'[1]خريطة الحسابات'!_xlnm.Print_Area,4,FALSE)))</f>
        <v>388 تكاليف مشروع الدقي</v>
      </c>
      <c r="N1333" s="138" t="str">
        <f>IF(ISERROR(VLOOKUP(C1333,'[1]خريطة الحسابات'!_xlnm.Print_Area,5,FALSE))," ",(VLOOKUP(C1333,'[1]خريطة الحسابات'!_xlnm.Print_Area,5,FALSE)))</f>
        <v xml:space="preserve">تكاليف العمليات </v>
      </c>
      <c r="O1333" s="84" t="s">
        <v>1924</v>
      </c>
      <c r="P1333" s="84" t="s">
        <v>1315</v>
      </c>
    </row>
    <row r="1334" spans="1:16">
      <c r="A1334" s="104">
        <v>59</v>
      </c>
      <c r="B1334" s="131">
        <v>46123</v>
      </c>
      <c r="C1334" s="141" t="s">
        <v>776</v>
      </c>
      <c r="D1334" s="140" t="str">
        <f>IF(ISERROR(VLOOKUP(C1334,'[1]خريطة الحسابات'!_xlnm.Print_Area,3,FALSE))," ",(VLOOKUP(C1334,'[1]خريطة الحسابات'!_xlnm.Print_Area,3,FALSE)))</f>
        <v>خامات ومصنعية أعمال الدهانات</v>
      </c>
      <c r="E1334" s="142"/>
      <c r="F1334" s="133">
        <v>1740</v>
      </c>
      <c r="G1334" s="133"/>
      <c r="H1334" s="134">
        <f t="shared" si="61"/>
        <v>1740</v>
      </c>
      <c r="I1334" s="134">
        <f t="shared" si="61"/>
        <v>0</v>
      </c>
      <c r="J1334" s="134">
        <f t="shared" si="60"/>
        <v>1740</v>
      </c>
      <c r="K1334" s="135"/>
      <c r="L1334" s="136" t="str">
        <f t="shared" si="62"/>
        <v>مدين</v>
      </c>
      <c r="M1334" s="137" t="str">
        <f>IF(ISERROR(VLOOKUP(C1334,'[1]خريطة الحسابات'!_xlnm.Print_Area,4,FALSE))," ",(VLOOKUP(C1334,'[1]خريطة الحسابات'!_xlnm.Print_Area,4,FALSE)))</f>
        <v>388 تكاليف مشروع الدقي</v>
      </c>
      <c r="N1334" s="138" t="str">
        <f>IF(ISERROR(VLOOKUP(C1334,'[1]خريطة الحسابات'!_xlnm.Print_Area,5,FALSE))," ",(VLOOKUP(C1334,'[1]خريطة الحسابات'!_xlnm.Print_Area,5,FALSE)))</f>
        <v xml:space="preserve">تكاليف العمليات </v>
      </c>
      <c r="O1334" s="139" t="s">
        <v>1925</v>
      </c>
      <c r="P1334" s="139" t="s">
        <v>1315</v>
      </c>
    </row>
    <row r="1335" spans="1:16">
      <c r="A1335" s="104">
        <v>59</v>
      </c>
      <c r="B1335" s="131">
        <v>46139</v>
      </c>
      <c r="C1335" s="141" t="s">
        <v>776</v>
      </c>
      <c r="D1335" s="140" t="str">
        <f>IF(ISERROR(VLOOKUP(C1335,'[1]خريطة الحسابات'!_xlnm.Print_Area,3,FALSE))," ",(VLOOKUP(C1335,'[1]خريطة الحسابات'!_xlnm.Print_Area,3,FALSE)))</f>
        <v>خامات ومصنعية أعمال الدهانات</v>
      </c>
      <c r="E1335" s="142"/>
      <c r="F1335" s="133">
        <v>615</v>
      </c>
      <c r="G1335" s="133"/>
      <c r="H1335" s="134">
        <f t="shared" si="61"/>
        <v>615</v>
      </c>
      <c r="I1335" s="134">
        <f t="shared" si="61"/>
        <v>0</v>
      </c>
      <c r="J1335" s="134">
        <f t="shared" si="60"/>
        <v>615</v>
      </c>
      <c r="K1335" s="135"/>
      <c r="L1335" s="136" t="str">
        <f t="shared" si="62"/>
        <v>مدين</v>
      </c>
      <c r="M1335" s="137" t="str">
        <f>IF(ISERROR(VLOOKUP(C1335,'[1]خريطة الحسابات'!_xlnm.Print_Area,4,FALSE))," ",(VLOOKUP(C1335,'[1]خريطة الحسابات'!_xlnm.Print_Area,4,FALSE)))</f>
        <v>388 تكاليف مشروع الدقي</v>
      </c>
      <c r="N1335" s="138" t="str">
        <f>IF(ISERROR(VLOOKUP(C1335,'[1]خريطة الحسابات'!_xlnm.Print_Area,5,FALSE))," ",(VLOOKUP(C1335,'[1]خريطة الحسابات'!_xlnm.Print_Area,5,FALSE)))</f>
        <v xml:space="preserve">تكاليف العمليات </v>
      </c>
      <c r="O1335" s="84" t="s">
        <v>1926</v>
      </c>
      <c r="P1335" s="84" t="s">
        <v>1315</v>
      </c>
    </row>
    <row r="1336" spans="1:16">
      <c r="A1336" s="104">
        <v>59</v>
      </c>
      <c r="B1336" s="131">
        <v>46159</v>
      </c>
      <c r="C1336" s="141" t="s">
        <v>776</v>
      </c>
      <c r="D1336" s="140" t="str">
        <f>IF(ISERROR(VLOOKUP(C1336,'[1]خريطة الحسابات'!_xlnm.Print_Area,3,FALSE))," ",(VLOOKUP(C1336,'[1]خريطة الحسابات'!_xlnm.Print_Area,3,FALSE)))</f>
        <v>خامات ومصنعية أعمال الدهانات</v>
      </c>
      <c r="E1336" s="142"/>
      <c r="F1336" s="133">
        <v>600</v>
      </c>
      <c r="G1336" s="133"/>
      <c r="H1336" s="134">
        <f t="shared" si="61"/>
        <v>600</v>
      </c>
      <c r="I1336" s="134">
        <f t="shared" si="61"/>
        <v>0</v>
      </c>
      <c r="J1336" s="134">
        <f t="shared" si="60"/>
        <v>600</v>
      </c>
      <c r="K1336" s="135"/>
      <c r="L1336" s="136" t="str">
        <f t="shared" si="62"/>
        <v>مدين</v>
      </c>
      <c r="M1336" s="137" t="str">
        <f>IF(ISERROR(VLOOKUP(C1336,'[1]خريطة الحسابات'!_xlnm.Print_Area,4,FALSE))," ",(VLOOKUP(C1336,'[1]خريطة الحسابات'!_xlnm.Print_Area,4,FALSE)))</f>
        <v>388 تكاليف مشروع الدقي</v>
      </c>
      <c r="N1336" s="138" t="str">
        <f>IF(ISERROR(VLOOKUP(C1336,'[1]خريطة الحسابات'!_xlnm.Print_Area,5,FALSE))," ",(VLOOKUP(C1336,'[1]خريطة الحسابات'!_xlnm.Print_Area,5,FALSE)))</f>
        <v xml:space="preserve">تكاليف العمليات </v>
      </c>
      <c r="O1336" s="139" t="s">
        <v>1927</v>
      </c>
      <c r="P1336" s="139" t="s">
        <v>1315</v>
      </c>
    </row>
    <row r="1337" spans="1:16">
      <c r="A1337" s="104">
        <v>59</v>
      </c>
      <c r="B1337" s="131">
        <v>46184</v>
      </c>
      <c r="C1337" s="141" t="s">
        <v>776</v>
      </c>
      <c r="D1337" s="140" t="str">
        <f>IF(ISERROR(VLOOKUP(C1337,'[1]خريطة الحسابات'!_xlnm.Print_Area,3,FALSE))," ",(VLOOKUP(C1337,'[1]خريطة الحسابات'!_xlnm.Print_Area,3,FALSE)))</f>
        <v>خامات ومصنعية أعمال الدهانات</v>
      </c>
      <c r="E1337" s="142"/>
      <c r="F1337" s="133">
        <v>460</v>
      </c>
      <c r="G1337" s="133"/>
      <c r="H1337" s="134">
        <f t="shared" si="61"/>
        <v>460</v>
      </c>
      <c r="I1337" s="134">
        <f t="shared" si="61"/>
        <v>0</v>
      </c>
      <c r="J1337" s="134">
        <f t="shared" si="60"/>
        <v>460</v>
      </c>
      <c r="K1337" s="135"/>
      <c r="L1337" s="136" t="str">
        <f t="shared" si="62"/>
        <v>مدين</v>
      </c>
      <c r="M1337" s="137" t="str">
        <f>IF(ISERROR(VLOOKUP(C1337,'[1]خريطة الحسابات'!_xlnm.Print_Area,4,FALSE))," ",(VLOOKUP(C1337,'[1]خريطة الحسابات'!_xlnm.Print_Area,4,FALSE)))</f>
        <v>388 تكاليف مشروع الدقي</v>
      </c>
      <c r="N1337" s="138" t="str">
        <f>IF(ISERROR(VLOOKUP(C1337,'[1]خريطة الحسابات'!_xlnm.Print_Area,5,FALSE))," ",(VLOOKUP(C1337,'[1]خريطة الحسابات'!_xlnm.Print_Area,5,FALSE)))</f>
        <v xml:space="preserve">تكاليف العمليات </v>
      </c>
      <c r="O1337" s="139" t="s">
        <v>1928</v>
      </c>
      <c r="P1337" s="139" t="s">
        <v>1315</v>
      </c>
    </row>
    <row r="1338" spans="1:16">
      <c r="A1338" s="104">
        <v>59</v>
      </c>
      <c r="B1338" s="131">
        <v>46131</v>
      </c>
      <c r="C1338" s="141" t="s">
        <v>917</v>
      </c>
      <c r="D1338" s="140" t="str">
        <f>IF(ISERROR(VLOOKUP(C1338,'[1]خريطة الحسابات'!_xlnm.Print_Area,3,FALSE))," ",(VLOOKUP(C1338,'[1]خريطة الحسابات'!_xlnm.Print_Area,3,FALSE)))</f>
        <v>خامات ومصنعية أعمال الدهانات</v>
      </c>
      <c r="E1338" s="142"/>
      <c r="F1338" s="133">
        <v>95</v>
      </c>
      <c r="G1338" s="133"/>
      <c r="H1338" s="134">
        <f t="shared" si="61"/>
        <v>95</v>
      </c>
      <c r="I1338" s="134">
        <f t="shared" si="61"/>
        <v>0</v>
      </c>
      <c r="J1338" s="134">
        <f t="shared" si="60"/>
        <v>95</v>
      </c>
      <c r="K1338" s="135"/>
      <c r="L1338" s="136" t="str">
        <f t="shared" si="62"/>
        <v>مدين</v>
      </c>
      <c r="M1338" s="137" t="str">
        <f>IF(ISERROR(VLOOKUP(C1338,'[1]خريطة الحسابات'!_xlnm.Print_Area,4,FALSE))," ",(VLOOKUP(C1338,'[1]خريطة الحسابات'!_xlnm.Print_Area,4,FALSE)))</f>
        <v>تكاليف مشروع وصال العشري 398</v>
      </c>
      <c r="N1338" s="138" t="str">
        <f>IF(ISERROR(VLOOKUP(C1338,'[1]خريطة الحسابات'!_xlnm.Print_Area,5,FALSE))," ",(VLOOKUP(C1338,'[1]خريطة الحسابات'!_xlnm.Print_Area,5,FALSE)))</f>
        <v xml:space="preserve">تكاليف العمليات </v>
      </c>
      <c r="O1338" s="139" t="s">
        <v>1929</v>
      </c>
      <c r="P1338" s="139" t="s">
        <v>1489</v>
      </c>
    </row>
    <row r="1339" spans="1:16">
      <c r="A1339" s="104">
        <v>59</v>
      </c>
      <c r="B1339" s="131">
        <v>46034</v>
      </c>
      <c r="C1339" s="141" t="s">
        <v>391</v>
      </c>
      <c r="D1339" s="140" t="str">
        <f>IF(ISERROR(VLOOKUP(C1339,'[1]خريطة الحسابات'!_xlnm.Print_Area,3,FALSE))," ",(VLOOKUP(C1339,'[1]خريطة الحسابات'!_xlnm.Print_Area,3,FALSE)))</f>
        <v>خامات ومصنعية أعمال الدهانات</v>
      </c>
      <c r="E1339" s="142"/>
      <c r="F1339" s="133">
        <v>2290</v>
      </c>
      <c r="G1339" s="133"/>
      <c r="H1339" s="134">
        <f t="shared" si="61"/>
        <v>2290</v>
      </c>
      <c r="I1339" s="134">
        <f t="shared" si="61"/>
        <v>0</v>
      </c>
      <c r="J1339" s="134">
        <f t="shared" si="60"/>
        <v>2290</v>
      </c>
      <c r="K1339" s="135"/>
      <c r="L1339" s="136" t="str">
        <f t="shared" si="62"/>
        <v>مدين</v>
      </c>
      <c r="M1339" s="137" t="str">
        <f>IF(ISERROR(VLOOKUP(C1339,'[1]خريطة الحسابات'!_xlnm.Print_Area,4,FALSE))," ",(VLOOKUP(C1339,'[1]خريطة الحسابات'!_xlnm.Print_Area,4,FALSE)))</f>
        <v>تكاليف مشروع عمرو العبور 336</v>
      </c>
      <c r="N1339" s="138" t="str">
        <f>IF(ISERROR(VLOOKUP(C1339,'[1]خريطة الحسابات'!_xlnm.Print_Area,5,FALSE))," ",(VLOOKUP(C1339,'[1]خريطة الحسابات'!_xlnm.Print_Area,5,FALSE)))</f>
        <v xml:space="preserve">تكاليف العمليات </v>
      </c>
      <c r="O1339" s="139" t="s">
        <v>1930</v>
      </c>
      <c r="P1339" s="139" t="s">
        <v>1297</v>
      </c>
    </row>
    <row r="1340" spans="1:16">
      <c r="A1340" s="104">
        <v>59</v>
      </c>
      <c r="B1340" s="131">
        <v>46126</v>
      </c>
      <c r="C1340" s="141" t="s">
        <v>391</v>
      </c>
      <c r="D1340" s="140" t="str">
        <f>IF(ISERROR(VLOOKUP(C1340,'[1]خريطة الحسابات'!_xlnm.Print_Area,3,FALSE))," ",(VLOOKUP(C1340,'[1]خريطة الحسابات'!_xlnm.Print_Area,3,FALSE)))</f>
        <v>خامات ومصنعية أعمال الدهانات</v>
      </c>
      <c r="E1340" s="142"/>
      <c r="F1340" s="133">
        <v>215</v>
      </c>
      <c r="G1340" s="133"/>
      <c r="H1340" s="134">
        <f t="shared" si="61"/>
        <v>215</v>
      </c>
      <c r="I1340" s="134">
        <f t="shared" si="61"/>
        <v>0</v>
      </c>
      <c r="J1340" s="134">
        <f t="shared" si="60"/>
        <v>215</v>
      </c>
      <c r="K1340" s="135"/>
      <c r="L1340" s="136" t="str">
        <f t="shared" si="62"/>
        <v>مدين</v>
      </c>
      <c r="M1340" s="137" t="str">
        <f>IF(ISERROR(VLOOKUP(C1340,'[1]خريطة الحسابات'!_xlnm.Print_Area,4,FALSE))," ",(VLOOKUP(C1340,'[1]خريطة الحسابات'!_xlnm.Print_Area,4,FALSE)))</f>
        <v>تكاليف مشروع عمرو العبور 336</v>
      </c>
      <c r="N1340" s="138" t="str">
        <f>IF(ISERROR(VLOOKUP(C1340,'[1]خريطة الحسابات'!_xlnm.Print_Area,5,FALSE))," ",(VLOOKUP(C1340,'[1]خريطة الحسابات'!_xlnm.Print_Area,5,FALSE)))</f>
        <v xml:space="preserve">تكاليف العمليات </v>
      </c>
      <c r="O1340" s="139" t="s">
        <v>1931</v>
      </c>
      <c r="P1340" s="139" t="s">
        <v>1297</v>
      </c>
    </row>
    <row r="1341" spans="1:16">
      <c r="A1341" s="104">
        <v>59</v>
      </c>
      <c r="B1341" s="131">
        <v>46166</v>
      </c>
      <c r="C1341" s="141" t="s">
        <v>391</v>
      </c>
      <c r="D1341" s="140" t="str">
        <f>IF(ISERROR(VLOOKUP(C1341,'[1]خريطة الحسابات'!_xlnm.Print_Area,3,FALSE))," ",(VLOOKUP(C1341,'[1]خريطة الحسابات'!_xlnm.Print_Area,3,FALSE)))</f>
        <v>خامات ومصنعية أعمال الدهانات</v>
      </c>
      <c r="E1341" s="142"/>
      <c r="F1341" s="133">
        <v>5190</v>
      </c>
      <c r="G1341" s="133"/>
      <c r="H1341" s="134">
        <f t="shared" si="61"/>
        <v>5190</v>
      </c>
      <c r="I1341" s="134">
        <f t="shared" si="61"/>
        <v>0</v>
      </c>
      <c r="J1341" s="134">
        <f t="shared" si="60"/>
        <v>5190</v>
      </c>
      <c r="K1341" s="135"/>
      <c r="L1341" s="136" t="str">
        <f t="shared" si="62"/>
        <v>مدين</v>
      </c>
      <c r="M1341" s="137" t="str">
        <f>IF(ISERROR(VLOOKUP(C1341,'[1]خريطة الحسابات'!_xlnm.Print_Area,4,FALSE))," ",(VLOOKUP(C1341,'[1]خريطة الحسابات'!_xlnm.Print_Area,4,FALSE)))</f>
        <v>تكاليف مشروع عمرو العبور 336</v>
      </c>
      <c r="N1341" s="138" t="str">
        <f>IF(ISERROR(VLOOKUP(C1341,'[1]خريطة الحسابات'!_xlnm.Print_Area,5,FALSE))," ",(VLOOKUP(C1341,'[1]خريطة الحسابات'!_xlnm.Print_Area,5,FALSE)))</f>
        <v xml:space="preserve">تكاليف العمليات </v>
      </c>
      <c r="O1341" s="139" t="s">
        <v>1932</v>
      </c>
      <c r="P1341" s="139" t="s">
        <v>1297</v>
      </c>
    </row>
    <row r="1342" spans="1:16">
      <c r="A1342" s="104">
        <v>59</v>
      </c>
      <c r="B1342" s="131">
        <v>46135</v>
      </c>
      <c r="C1342" s="141" t="s">
        <v>216</v>
      </c>
      <c r="D1342" s="140" t="str">
        <f>IF(ISERROR(VLOOKUP(C1342,'[1]خريطة الحسابات'!_xlnm.Print_Area,3,FALSE))," ",(VLOOKUP(C1342,'[1]خريطة الحسابات'!_xlnm.Print_Area,3,FALSE)))</f>
        <v>خامات ومصنعية أعمال الدهانات</v>
      </c>
      <c r="E1342" s="142"/>
      <c r="F1342" s="133">
        <v>2150</v>
      </c>
      <c r="G1342" s="133"/>
      <c r="H1342" s="134">
        <f t="shared" si="61"/>
        <v>2150</v>
      </c>
      <c r="I1342" s="134">
        <f t="shared" si="61"/>
        <v>0</v>
      </c>
      <c r="J1342" s="134">
        <f t="shared" si="60"/>
        <v>2150</v>
      </c>
      <c r="K1342" s="135"/>
      <c r="L1342" s="136" t="str">
        <f t="shared" si="62"/>
        <v>مدين</v>
      </c>
      <c r="M1342" s="137" t="str">
        <f>IF(ISERROR(VLOOKUP(C1342,'[1]خريطة الحسابات'!_xlnm.Print_Area,4,FALSE))," ",(VLOOKUP(C1342,'[1]خريطة الحسابات'!_xlnm.Print_Area,4,FALSE)))</f>
        <v>تكاليف مشروع كناريا  273</v>
      </c>
      <c r="N1342" s="138" t="str">
        <f>IF(ISERROR(VLOOKUP(C1342,'[1]خريطة الحسابات'!_xlnm.Print_Area,5,FALSE))," ",(VLOOKUP(C1342,'[1]خريطة الحسابات'!_xlnm.Print_Area,5,FALSE)))</f>
        <v xml:space="preserve">تكاليف العمليات </v>
      </c>
      <c r="O1342" s="139" t="s">
        <v>1933</v>
      </c>
      <c r="P1342" s="139" t="s">
        <v>1405</v>
      </c>
    </row>
    <row r="1343" spans="1:16">
      <c r="A1343" s="104">
        <v>59</v>
      </c>
      <c r="B1343" s="131">
        <v>46142</v>
      </c>
      <c r="C1343" s="141" t="s">
        <v>216</v>
      </c>
      <c r="D1343" s="140" t="str">
        <f>IF(ISERROR(VLOOKUP(C1343,'[1]خريطة الحسابات'!_xlnm.Print_Area,3,FALSE))," ",(VLOOKUP(C1343,'[1]خريطة الحسابات'!_xlnm.Print_Area,3,FALSE)))</f>
        <v>خامات ومصنعية أعمال الدهانات</v>
      </c>
      <c r="E1343" s="142"/>
      <c r="F1343" s="133">
        <v>1070</v>
      </c>
      <c r="G1343" s="133"/>
      <c r="H1343" s="134">
        <f t="shared" si="61"/>
        <v>1070</v>
      </c>
      <c r="I1343" s="134">
        <f t="shared" si="61"/>
        <v>0</v>
      </c>
      <c r="J1343" s="134">
        <f t="shared" si="60"/>
        <v>1070</v>
      </c>
      <c r="K1343" s="135"/>
      <c r="L1343" s="136" t="str">
        <f t="shared" si="62"/>
        <v>مدين</v>
      </c>
      <c r="M1343" s="137" t="str">
        <f>IF(ISERROR(VLOOKUP(C1343,'[1]خريطة الحسابات'!_xlnm.Print_Area,4,FALSE))," ",(VLOOKUP(C1343,'[1]خريطة الحسابات'!_xlnm.Print_Area,4,FALSE)))</f>
        <v>تكاليف مشروع كناريا  273</v>
      </c>
      <c r="N1343" s="138" t="str">
        <f>IF(ISERROR(VLOOKUP(C1343,'[1]خريطة الحسابات'!_xlnm.Print_Area,5,FALSE))," ",(VLOOKUP(C1343,'[1]خريطة الحسابات'!_xlnm.Print_Area,5,FALSE)))</f>
        <v xml:space="preserve">تكاليف العمليات </v>
      </c>
      <c r="O1343" s="139" t="s">
        <v>1934</v>
      </c>
      <c r="P1343" s="139" t="s">
        <v>1405</v>
      </c>
    </row>
    <row r="1344" spans="1:16">
      <c r="A1344" s="104">
        <v>59</v>
      </c>
      <c r="B1344" s="131">
        <v>46142</v>
      </c>
      <c r="C1344" s="141" t="s">
        <v>216</v>
      </c>
      <c r="D1344" s="140" t="str">
        <f>IF(ISERROR(VLOOKUP(C1344,'[1]خريطة الحسابات'!_xlnm.Print_Area,3,FALSE))," ",(VLOOKUP(C1344,'[1]خريطة الحسابات'!_xlnm.Print_Area,3,FALSE)))</f>
        <v>خامات ومصنعية أعمال الدهانات</v>
      </c>
      <c r="E1344" s="142"/>
      <c r="F1344" s="133">
        <v>1500</v>
      </c>
      <c r="G1344" s="133"/>
      <c r="H1344" s="134">
        <f t="shared" si="61"/>
        <v>1500</v>
      </c>
      <c r="I1344" s="134">
        <f t="shared" si="61"/>
        <v>0</v>
      </c>
      <c r="J1344" s="134">
        <f t="shared" si="60"/>
        <v>1500</v>
      </c>
      <c r="K1344" s="135"/>
      <c r="L1344" s="136" t="str">
        <f t="shared" si="62"/>
        <v>مدين</v>
      </c>
      <c r="M1344" s="137" t="str">
        <f>IF(ISERROR(VLOOKUP(C1344,'[1]خريطة الحسابات'!_xlnm.Print_Area,4,FALSE))," ",(VLOOKUP(C1344,'[1]خريطة الحسابات'!_xlnm.Print_Area,4,FALSE)))</f>
        <v>تكاليف مشروع كناريا  273</v>
      </c>
      <c r="N1344" s="138" t="str">
        <f>IF(ISERROR(VLOOKUP(C1344,'[1]خريطة الحسابات'!_xlnm.Print_Area,5,FALSE))," ",(VLOOKUP(C1344,'[1]خريطة الحسابات'!_xlnm.Print_Area,5,FALSE)))</f>
        <v xml:space="preserve">تكاليف العمليات </v>
      </c>
      <c r="O1344" s="139" t="s">
        <v>1935</v>
      </c>
      <c r="P1344" s="139" t="s">
        <v>1405</v>
      </c>
    </row>
    <row r="1345" spans="1:16">
      <c r="A1345" s="104">
        <v>59</v>
      </c>
      <c r="B1345" s="131">
        <v>46147</v>
      </c>
      <c r="C1345" s="141" t="s">
        <v>216</v>
      </c>
      <c r="D1345" s="140" t="str">
        <f>IF(ISERROR(VLOOKUP(C1345,'[1]خريطة الحسابات'!_xlnm.Print_Area,3,FALSE))," ",(VLOOKUP(C1345,'[1]خريطة الحسابات'!_xlnm.Print_Area,3,FALSE)))</f>
        <v>خامات ومصنعية أعمال الدهانات</v>
      </c>
      <c r="E1345" s="142"/>
      <c r="F1345" s="133">
        <v>610</v>
      </c>
      <c r="G1345" s="133"/>
      <c r="H1345" s="134">
        <f t="shared" si="61"/>
        <v>610</v>
      </c>
      <c r="I1345" s="134">
        <f t="shared" si="61"/>
        <v>0</v>
      </c>
      <c r="J1345" s="134">
        <f t="shared" si="60"/>
        <v>610</v>
      </c>
      <c r="K1345" s="135"/>
      <c r="L1345" s="136" t="str">
        <f t="shared" si="62"/>
        <v>مدين</v>
      </c>
      <c r="M1345" s="137" t="str">
        <f>IF(ISERROR(VLOOKUP(C1345,'[1]خريطة الحسابات'!_xlnm.Print_Area,4,FALSE))," ",(VLOOKUP(C1345,'[1]خريطة الحسابات'!_xlnm.Print_Area,4,FALSE)))</f>
        <v>تكاليف مشروع كناريا  273</v>
      </c>
      <c r="N1345" s="138" t="str">
        <f>IF(ISERROR(VLOOKUP(C1345,'[1]خريطة الحسابات'!_xlnm.Print_Area,5,FALSE))," ",(VLOOKUP(C1345,'[1]خريطة الحسابات'!_xlnm.Print_Area,5,FALSE)))</f>
        <v xml:space="preserve">تكاليف العمليات </v>
      </c>
      <c r="O1345" s="139" t="s">
        <v>1936</v>
      </c>
      <c r="P1345" s="139" t="s">
        <v>1405</v>
      </c>
    </row>
    <row r="1346" spans="1:16">
      <c r="A1346" s="104">
        <v>59</v>
      </c>
      <c r="B1346" s="131">
        <v>46046</v>
      </c>
      <c r="C1346" s="141" t="s">
        <v>461</v>
      </c>
      <c r="D1346" s="140" t="str">
        <f>IF(ISERROR(VLOOKUP(C1346,'[1]خريطة الحسابات'!_xlnm.Print_Area,3,FALSE))," ",(VLOOKUP(C1346,'[1]خريطة الحسابات'!_xlnm.Print_Area,3,FALSE)))</f>
        <v>خامات ومصنعية أعمال الدهانات</v>
      </c>
      <c r="E1346" s="142"/>
      <c r="F1346" s="133">
        <v>7894</v>
      </c>
      <c r="G1346" s="133"/>
      <c r="H1346" s="134">
        <f t="shared" si="61"/>
        <v>7894</v>
      </c>
      <c r="I1346" s="134">
        <f t="shared" si="61"/>
        <v>0</v>
      </c>
      <c r="J1346" s="134">
        <f t="shared" si="60"/>
        <v>7894</v>
      </c>
      <c r="K1346" s="135"/>
      <c r="L1346" s="136" t="str">
        <f t="shared" si="62"/>
        <v>مدين</v>
      </c>
      <c r="M1346" s="137" t="str">
        <f>IF(ISERROR(VLOOKUP(C1346,'[1]خريطة الحسابات'!_xlnm.Print_Area,4,FALSE))," ",(VLOOKUP(C1346,'[1]خريطة الحسابات'!_xlnm.Print_Area,4,FALSE)))</f>
        <v>350 تكاليف مشروع شفيق</v>
      </c>
      <c r="N1346" s="138" t="str">
        <f>IF(ISERROR(VLOOKUP(C1346,'[1]خريطة الحسابات'!_xlnm.Print_Area,5,FALSE))," ",(VLOOKUP(C1346,'[1]خريطة الحسابات'!_xlnm.Print_Area,5,FALSE)))</f>
        <v xml:space="preserve">تكاليف العمليات </v>
      </c>
      <c r="O1346" s="139" t="s">
        <v>1937</v>
      </c>
      <c r="P1346" s="139" t="s">
        <v>1325</v>
      </c>
    </row>
    <row r="1347" spans="1:16">
      <c r="A1347" s="104">
        <v>59</v>
      </c>
      <c r="B1347" s="131">
        <v>46060</v>
      </c>
      <c r="C1347" s="141" t="s">
        <v>461</v>
      </c>
      <c r="D1347" s="140" t="str">
        <f>IF(ISERROR(VLOOKUP(C1347,'[1]خريطة الحسابات'!_xlnm.Print_Area,3,FALSE))," ",(VLOOKUP(C1347,'[1]خريطة الحسابات'!_xlnm.Print_Area,3,FALSE)))</f>
        <v>خامات ومصنعية أعمال الدهانات</v>
      </c>
      <c r="E1347" s="142"/>
      <c r="F1347" s="133">
        <v>1415</v>
      </c>
      <c r="G1347" s="133"/>
      <c r="H1347" s="134">
        <f t="shared" si="61"/>
        <v>1415</v>
      </c>
      <c r="I1347" s="134">
        <f t="shared" si="61"/>
        <v>0</v>
      </c>
      <c r="J1347" s="134">
        <f t="shared" si="60"/>
        <v>1415</v>
      </c>
      <c r="K1347" s="135"/>
      <c r="L1347" s="136" t="str">
        <f t="shared" si="62"/>
        <v>مدين</v>
      </c>
      <c r="M1347" s="137" t="str">
        <f>IF(ISERROR(VLOOKUP(C1347,'[1]خريطة الحسابات'!_xlnm.Print_Area,4,FALSE))," ",(VLOOKUP(C1347,'[1]خريطة الحسابات'!_xlnm.Print_Area,4,FALSE)))</f>
        <v>350 تكاليف مشروع شفيق</v>
      </c>
      <c r="N1347" s="138" t="str">
        <f>IF(ISERROR(VLOOKUP(C1347,'[1]خريطة الحسابات'!_xlnm.Print_Area,5,FALSE))," ",(VLOOKUP(C1347,'[1]خريطة الحسابات'!_xlnm.Print_Area,5,FALSE)))</f>
        <v xml:space="preserve">تكاليف العمليات </v>
      </c>
      <c r="O1347" s="139" t="s">
        <v>1938</v>
      </c>
      <c r="P1347" s="139" t="s">
        <v>1325</v>
      </c>
    </row>
    <row r="1348" spans="1:16">
      <c r="A1348" s="104">
        <v>59</v>
      </c>
      <c r="B1348" s="131">
        <v>46061</v>
      </c>
      <c r="C1348" s="141" t="s">
        <v>461</v>
      </c>
      <c r="D1348" s="140" t="str">
        <f>IF(ISERROR(VLOOKUP(C1348,'[1]خريطة الحسابات'!_xlnm.Print_Area,3,FALSE))," ",(VLOOKUP(C1348,'[1]خريطة الحسابات'!_xlnm.Print_Area,3,FALSE)))</f>
        <v>خامات ومصنعية أعمال الدهانات</v>
      </c>
      <c r="E1348" s="142"/>
      <c r="F1348" s="133">
        <v>9085</v>
      </c>
      <c r="G1348" s="133"/>
      <c r="H1348" s="134">
        <f t="shared" si="61"/>
        <v>9085</v>
      </c>
      <c r="I1348" s="134">
        <f t="shared" si="61"/>
        <v>0</v>
      </c>
      <c r="J1348" s="134">
        <f t="shared" si="60"/>
        <v>9085</v>
      </c>
      <c r="K1348" s="135"/>
      <c r="L1348" s="136" t="str">
        <f t="shared" si="62"/>
        <v>مدين</v>
      </c>
      <c r="M1348" s="137" t="str">
        <f>IF(ISERROR(VLOOKUP(C1348,'[1]خريطة الحسابات'!_xlnm.Print_Area,4,FALSE))," ",(VLOOKUP(C1348,'[1]خريطة الحسابات'!_xlnm.Print_Area,4,FALSE)))</f>
        <v>350 تكاليف مشروع شفيق</v>
      </c>
      <c r="N1348" s="138" t="str">
        <f>IF(ISERROR(VLOOKUP(C1348,'[1]خريطة الحسابات'!_xlnm.Print_Area,5,FALSE))," ",(VLOOKUP(C1348,'[1]خريطة الحسابات'!_xlnm.Print_Area,5,FALSE)))</f>
        <v xml:space="preserve">تكاليف العمليات </v>
      </c>
      <c r="O1348" s="139" t="s">
        <v>1939</v>
      </c>
      <c r="P1348" s="139" t="s">
        <v>1325</v>
      </c>
    </row>
    <row r="1349" spans="1:16">
      <c r="A1349" s="104">
        <v>59</v>
      </c>
      <c r="B1349" s="131">
        <v>46062</v>
      </c>
      <c r="C1349" s="141" t="s">
        <v>461</v>
      </c>
      <c r="D1349" s="140" t="str">
        <f>IF(ISERROR(VLOOKUP(C1349,'[1]خريطة الحسابات'!_xlnm.Print_Area,3,FALSE))," ",(VLOOKUP(C1349,'[1]خريطة الحسابات'!_xlnm.Print_Area,3,FALSE)))</f>
        <v>خامات ومصنعية أعمال الدهانات</v>
      </c>
      <c r="E1349" s="142"/>
      <c r="F1349" s="133">
        <v>3125</v>
      </c>
      <c r="G1349" s="133"/>
      <c r="H1349" s="134">
        <f t="shared" si="61"/>
        <v>3125</v>
      </c>
      <c r="I1349" s="134">
        <f t="shared" si="61"/>
        <v>0</v>
      </c>
      <c r="J1349" s="134">
        <f t="shared" si="60"/>
        <v>3125</v>
      </c>
      <c r="K1349" s="135"/>
      <c r="L1349" s="136" t="str">
        <f t="shared" si="62"/>
        <v>مدين</v>
      </c>
      <c r="M1349" s="137" t="str">
        <f>IF(ISERROR(VLOOKUP(C1349,'[1]خريطة الحسابات'!_xlnm.Print_Area,4,FALSE))," ",(VLOOKUP(C1349,'[1]خريطة الحسابات'!_xlnm.Print_Area,4,FALSE)))</f>
        <v>350 تكاليف مشروع شفيق</v>
      </c>
      <c r="N1349" s="138" t="str">
        <f>IF(ISERROR(VLOOKUP(C1349,'[1]خريطة الحسابات'!_xlnm.Print_Area,5,FALSE))," ",(VLOOKUP(C1349,'[1]خريطة الحسابات'!_xlnm.Print_Area,5,FALSE)))</f>
        <v xml:space="preserve">تكاليف العمليات </v>
      </c>
      <c r="O1349" s="84" t="s">
        <v>1940</v>
      </c>
      <c r="P1349" s="84" t="s">
        <v>1325</v>
      </c>
    </row>
    <row r="1350" spans="1:16">
      <c r="A1350" s="104">
        <v>59</v>
      </c>
      <c r="B1350" s="131">
        <v>46065</v>
      </c>
      <c r="C1350" s="141" t="s">
        <v>461</v>
      </c>
      <c r="D1350" s="140" t="str">
        <f>IF(ISERROR(VLOOKUP(C1350,'[1]خريطة الحسابات'!_xlnm.Print_Area,3,FALSE))," ",(VLOOKUP(C1350,'[1]خريطة الحسابات'!_xlnm.Print_Area,3,FALSE)))</f>
        <v>خامات ومصنعية أعمال الدهانات</v>
      </c>
      <c r="E1350" s="142"/>
      <c r="F1350" s="133">
        <v>3030</v>
      </c>
      <c r="G1350" s="133"/>
      <c r="H1350" s="134">
        <f t="shared" si="61"/>
        <v>3030</v>
      </c>
      <c r="I1350" s="134">
        <f t="shared" si="61"/>
        <v>0</v>
      </c>
      <c r="J1350" s="134">
        <f t="shared" si="60"/>
        <v>3030</v>
      </c>
      <c r="K1350" s="135"/>
      <c r="L1350" s="136" t="str">
        <f t="shared" si="62"/>
        <v>مدين</v>
      </c>
      <c r="M1350" s="137" t="str">
        <f>IF(ISERROR(VLOOKUP(C1350,'[1]خريطة الحسابات'!_xlnm.Print_Area,4,FALSE))," ",(VLOOKUP(C1350,'[1]خريطة الحسابات'!_xlnm.Print_Area,4,FALSE)))</f>
        <v>350 تكاليف مشروع شفيق</v>
      </c>
      <c r="N1350" s="138" t="str">
        <f>IF(ISERROR(VLOOKUP(C1350,'[1]خريطة الحسابات'!_xlnm.Print_Area,5,FALSE))," ",(VLOOKUP(C1350,'[1]خريطة الحسابات'!_xlnm.Print_Area,5,FALSE)))</f>
        <v xml:space="preserve">تكاليف العمليات </v>
      </c>
      <c r="O1350" s="84" t="s">
        <v>1941</v>
      </c>
      <c r="P1350" s="84" t="s">
        <v>1325</v>
      </c>
    </row>
    <row r="1351" spans="1:16">
      <c r="A1351" s="104">
        <v>59</v>
      </c>
      <c r="B1351" s="131">
        <v>46071</v>
      </c>
      <c r="C1351" s="141" t="s">
        <v>461</v>
      </c>
      <c r="D1351" s="140" t="str">
        <f>IF(ISERROR(VLOOKUP(C1351,'[1]خريطة الحسابات'!_xlnm.Print_Area,3,FALSE))," ",(VLOOKUP(C1351,'[1]خريطة الحسابات'!_xlnm.Print_Area,3,FALSE)))</f>
        <v>خامات ومصنعية أعمال الدهانات</v>
      </c>
      <c r="E1351" s="142"/>
      <c r="F1351" s="133">
        <v>2570</v>
      </c>
      <c r="G1351" s="133"/>
      <c r="H1351" s="134">
        <f t="shared" si="61"/>
        <v>2570</v>
      </c>
      <c r="I1351" s="134">
        <f t="shared" si="61"/>
        <v>0</v>
      </c>
      <c r="J1351" s="134">
        <f t="shared" si="60"/>
        <v>2570</v>
      </c>
      <c r="K1351" s="135"/>
      <c r="L1351" s="136" t="str">
        <f t="shared" si="62"/>
        <v>مدين</v>
      </c>
      <c r="M1351" s="137" t="str">
        <f>IF(ISERROR(VLOOKUP(C1351,'[1]خريطة الحسابات'!_xlnm.Print_Area,4,FALSE))," ",(VLOOKUP(C1351,'[1]خريطة الحسابات'!_xlnm.Print_Area,4,FALSE)))</f>
        <v>350 تكاليف مشروع شفيق</v>
      </c>
      <c r="N1351" s="138" t="str">
        <f>IF(ISERROR(VLOOKUP(C1351,'[1]خريطة الحسابات'!_xlnm.Print_Area,5,FALSE))," ",(VLOOKUP(C1351,'[1]خريطة الحسابات'!_xlnm.Print_Area,5,FALSE)))</f>
        <v xml:space="preserve">تكاليف العمليات </v>
      </c>
      <c r="O1351" s="84" t="s">
        <v>1942</v>
      </c>
      <c r="P1351" s="84" t="s">
        <v>1325</v>
      </c>
    </row>
    <row r="1352" spans="1:16">
      <c r="A1352" s="104">
        <v>59</v>
      </c>
      <c r="B1352" s="131">
        <v>46138</v>
      </c>
      <c r="C1352" s="141" t="s">
        <v>286</v>
      </c>
      <c r="D1352" s="140" t="str">
        <f>IF(ISERROR(VLOOKUP(C1352,'[1]خريطة الحسابات'!_xlnm.Print_Area,3,FALSE))," ",(VLOOKUP(C1352,'[1]خريطة الحسابات'!_xlnm.Print_Area,3,FALSE)))</f>
        <v>خامات ومصنعية أعمال الدهانات</v>
      </c>
      <c r="E1352" s="142"/>
      <c r="F1352" s="133">
        <v>720</v>
      </c>
      <c r="G1352" s="133"/>
      <c r="H1352" s="134">
        <f t="shared" si="61"/>
        <v>720</v>
      </c>
      <c r="I1352" s="134">
        <f t="shared" si="61"/>
        <v>0</v>
      </c>
      <c r="J1352" s="134">
        <f t="shared" si="60"/>
        <v>720</v>
      </c>
      <c r="K1352" s="135"/>
      <c r="L1352" s="136" t="str">
        <f t="shared" si="62"/>
        <v>مدين</v>
      </c>
      <c r="M1352" s="137" t="str">
        <f>IF(ISERROR(VLOOKUP(C1352,'[1]خريطة الحسابات'!_xlnm.Print_Area,4,FALSE))," ",(VLOOKUP(C1352,'[1]خريطة الحسابات'!_xlnm.Print_Area,4,FALSE)))</f>
        <v>287 تكاليف مشروع المعادي فيو</v>
      </c>
      <c r="N1352" s="138" t="str">
        <f>IF(ISERROR(VLOOKUP(C1352,'[1]خريطة الحسابات'!_xlnm.Print_Area,5,FALSE))," ",(VLOOKUP(C1352,'[1]خريطة الحسابات'!_xlnm.Print_Area,5,FALSE)))</f>
        <v xml:space="preserve">تكاليف العمليات </v>
      </c>
      <c r="O1352" s="84" t="s">
        <v>1943</v>
      </c>
      <c r="P1352" s="84" t="s">
        <v>1415</v>
      </c>
    </row>
    <row r="1353" spans="1:16">
      <c r="A1353" s="104">
        <v>59</v>
      </c>
      <c r="B1353" s="131">
        <v>46139</v>
      </c>
      <c r="C1353" s="141" t="s">
        <v>286</v>
      </c>
      <c r="D1353" s="140" t="str">
        <f>IF(ISERROR(VLOOKUP(C1353,'[1]خريطة الحسابات'!_xlnm.Print_Area,3,FALSE))," ",(VLOOKUP(C1353,'[1]خريطة الحسابات'!_xlnm.Print_Area,3,FALSE)))</f>
        <v>خامات ومصنعية أعمال الدهانات</v>
      </c>
      <c r="E1353" s="142"/>
      <c r="F1353" s="133">
        <v>1345</v>
      </c>
      <c r="G1353" s="133"/>
      <c r="H1353" s="134">
        <f t="shared" si="61"/>
        <v>1345</v>
      </c>
      <c r="I1353" s="134">
        <f t="shared" si="61"/>
        <v>0</v>
      </c>
      <c r="J1353" s="134">
        <f t="shared" si="60"/>
        <v>1345</v>
      </c>
      <c r="K1353" s="135"/>
      <c r="L1353" s="136" t="str">
        <f t="shared" si="62"/>
        <v>مدين</v>
      </c>
      <c r="M1353" s="137" t="str">
        <f>IF(ISERROR(VLOOKUP(C1353,'[1]خريطة الحسابات'!_xlnm.Print_Area,4,FALSE))," ",(VLOOKUP(C1353,'[1]خريطة الحسابات'!_xlnm.Print_Area,4,FALSE)))</f>
        <v>287 تكاليف مشروع المعادي فيو</v>
      </c>
      <c r="N1353" s="138" t="str">
        <f>IF(ISERROR(VLOOKUP(C1353,'[1]خريطة الحسابات'!_xlnm.Print_Area,5,FALSE))," ",(VLOOKUP(C1353,'[1]خريطة الحسابات'!_xlnm.Print_Area,5,FALSE)))</f>
        <v xml:space="preserve">تكاليف العمليات </v>
      </c>
      <c r="O1353" s="84" t="s">
        <v>1944</v>
      </c>
      <c r="P1353" s="84" t="s">
        <v>1415</v>
      </c>
    </row>
    <row r="1354" spans="1:16">
      <c r="A1354" s="104">
        <v>59</v>
      </c>
      <c r="B1354" s="131">
        <v>46141</v>
      </c>
      <c r="C1354" s="141" t="s">
        <v>286</v>
      </c>
      <c r="D1354" s="140" t="str">
        <f>IF(ISERROR(VLOOKUP(C1354,'[1]خريطة الحسابات'!_xlnm.Print_Area,3,FALSE))," ",(VLOOKUP(C1354,'[1]خريطة الحسابات'!_xlnm.Print_Area,3,FALSE)))</f>
        <v>خامات ومصنعية أعمال الدهانات</v>
      </c>
      <c r="E1354" s="142"/>
      <c r="F1354" s="133">
        <v>430</v>
      </c>
      <c r="G1354" s="133"/>
      <c r="H1354" s="134">
        <f t="shared" si="61"/>
        <v>430</v>
      </c>
      <c r="I1354" s="134">
        <f t="shared" si="61"/>
        <v>0</v>
      </c>
      <c r="J1354" s="134">
        <f t="shared" si="60"/>
        <v>430</v>
      </c>
      <c r="K1354" s="135"/>
      <c r="L1354" s="136" t="str">
        <f t="shared" si="62"/>
        <v>مدين</v>
      </c>
      <c r="M1354" s="137" t="str">
        <f>IF(ISERROR(VLOOKUP(C1354,'[1]خريطة الحسابات'!_xlnm.Print_Area,4,FALSE))," ",(VLOOKUP(C1354,'[1]خريطة الحسابات'!_xlnm.Print_Area,4,FALSE)))</f>
        <v>287 تكاليف مشروع المعادي فيو</v>
      </c>
      <c r="N1354" s="138" t="str">
        <f>IF(ISERROR(VLOOKUP(C1354,'[1]خريطة الحسابات'!_xlnm.Print_Area,5,FALSE))," ",(VLOOKUP(C1354,'[1]خريطة الحسابات'!_xlnm.Print_Area,5,FALSE)))</f>
        <v xml:space="preserve">تكاليف العمليات </v>
      </c>
      <c r="O1354" s="84" t="s">
        <v>1945</v>
      </c>
      <c r="P1354" s="84" t="s">
        <v>1415</v>
      </c>
    </row>
    <row r="1355" spans="1:16" ht="15.6">
      <c r="A1355" s="104">
        <v>59</v>
      </c>
      <c r="B1355" s="131">
        <v>46036</v>
      </c>
      <c r="C1355" s="141" t="s">
        <v>636</v>
      </c>
      <c r="D1355" s="140" t="str">
        <f>IF(ISERROR(VLOOKUP(C1355,'[1]خريطة الحسابات'!_xlnm.Print_Area,3,FALSE))," ",(VLOOKUP(C1355,'[1]خريطة الحسابات'!_xlnm.Print_Area,3,FALSE)))</f>
        <v>خامات ومصنعية أعمال الدهانات</v>
      </c>
      <c r="E1355" s="142"/>
      <c r="F1355" s="133">
        <v>1032</v>
      </c>
      <c r="G1355" s="133"/>
      <c r="H1355" s="134">
        <f t="shared" si="61"/>
        <v>1032</v>
      </c>
      <c r="I1355" s="134">
        <f t="shared" si="61"/>
        <v>0</v>
      </c>
      <c r="J1355" s="134">
        <f t="shared" si="60"/>
        <v>1032</v>
      </c>
      <c r="K1355" s="135"/>
      <c r="L1355" s="136" t="str">
        <f t="shared" si="62"/>
        <v>مدين</v>
      </c>
      <c r="M1355" s="137" t="str">
        <f>IF(ISERROR(VLOOKUP(C1355,'[1]خريطة الحسابات'!_xlnm.Print_Area,4,FALSE))," ",(VLOOKUP(C1355,'[1]خريطة الحسابات'!_xlnm.Print_Area,4,FALSE)))</f>
        <v>تكاليف مشروع الاندلس 364</v>
      </c>
      <c r="N1355" s="138" t="str">
        <f>IF(ISERROR(VLOOKUP(C1355,'[1]خريطة الحسابات'!_xlnm.Print_Area,5,FALSE))," ",(VLOOKUP(C1355,'[1]خريطة الحسابات'!_xlnm.Print_Area,5,FALSE)))</f>
        <v xml:space="preserve">تكاليف العمليات </v>
      </c>
      <c r="O1355" s="129" t="s">
        <v>1946</v>
      </c>
      <c r="P1355" s="128" t="s">
        <v>1299</v>
      </c>
    </row>
    <row r="1356" spans="1:16">
      <c r="A1356" s="104">
        <v>59</v>
      </c>
      <c r="B1356" s="131">
        <v>46037</v>
      </c>
      <c r="C1356" s="141">
        <v>20</v>
      </c>
      <c r="D1356" s="140" t="str">
        <f>IF(ISERROR(VLOOKUP(C1356,'[1]خريطة الحسابات'!_xlnm.Print_Area,3,FALSE))," ",(VLOOKUP(C1356,'[1]خريطة الحسابات'!_xlnm.Print_Area,3,FALSE)))</f>
        <v xml:space="preserve">الخزينة </v>
      </c>
      <c r="E1356" s="142"/>
      <c r="F1356" s="133"/>
      <c r="G1356" s="133">
        <v>5744</v>
      </c>
      <c r="H1356" s="134">
        <f t="shared" si="61"/>
        <v>0</v>
      </c>
      <c r="I1356" s="134">
        <f t="shared" si="61"/>
        <v>5744</v>
      </c>
      <c r="J1356" s="134">
        <f t="shared" si="60"/>
        <v>-5744</v>
      </c>
      <c r="K1356" s="135"/>
      <c r="L1356" s="136" t="str">
        <f t="shared" si="62"/>
        <v>دائن</v>
      </c>
      <c r="M1356" s="137" t="str">
        <f>IF(ISERROR(VLOOKUP(C1356,'[1]خريطة الحسابات'!_xlnm.Print_Area,4,FALSE))," ",(VLOOKUP(C1356,'[1]خريطة الحسابات'!_xlnm.Print_Area,4,FALSE)))</f>
        <v xml:space="preserve">أصول متداوله -النقدية ومافي حكمها </v>
      </c>
      <c r="N1356" s="138" t="str">
        <f>IF(ISERROR(VLOOKUP(C1356,'[1]خريطة الحسابات'!_xlnm.Print_Area,5,FALSE))," ",(VLOOKUP(C1356,'[1]خريطة الحسابات'!_xlnm.Print_Area,5,FALSE)))</f>
        <v>الاصول</v>
      </c>
      <c r="O1356" s="84" t="s">
        <v>1880</v>
      </c>
      <c r="P1356" s="84" t="s">
        <v>1299</v>
      </c>
    </row>
    <row r="1357" spans="1:16">
      <c r="A1357" s="104">
        <v>59</v>
      </c>
      <c r="B1357" s="131">
        <v>46037</v>
      </c>
      <c r="C1357" s="141">
        <v>20</v>
      </c>
      <c r="D1357" s="140" t="str">
        <f>IF(ISERROR(VLOOKUP(C1357,'[1]خريطة الحسابات'!_xlnm.Print_Area,3,FALSE))," ",(VLOOKUP(C1357,'[1]خريطة الحسابات'!_xlnm.Print_Area,3,FALSE)))</f>
        <v xml:space="preserve">الخزينة </v>
      </c>
      <c r="E1357" s="142"/>
      <c r="F1357" s="133"/>
      <c r="G1357" s="133">
        <v>7650</v>
      </c>
      <c r="H1357" s="134">
        <f t="shared" si="61"/>
        <v>0</v>
      </c>
      <c r="I1357" s="134">
        <f t="shared" si="61"/>
        <v>7650</v>
      </c>
      <c r="J1357" s="134">
        <f t="shared" si="60"/>
        <v>-7650</v>
      </c>
      <c r="K1357" s="135"/>
      <c r="L1357" s="136" t="str">
        <f t="shared" si="62"/>
        <v>دائن</v>
      </c>
      <c r="M1357" s="137" t="str">
        <f>IF(ISERROR(VLOOKUP(C1357,'[1]خريطة الحسابات'!_xlnm.Print_Area,4,FALSE))," ",(VLOOKUP(C1357,'[1]خريطة الحسابات'!_xlnm.Print_Area,4,FALSE)))</f>
        <v xml:space="preserve">أصول متداوله -النقدية ومافي حكمها </v>
      </c>
      <c r="N1357" s="138" t="str">
        <f>IF(ISERROR(VLOOKUP(C1357,'[1]خريطة الحسابات'!_xlnm.Print_Area,5,FALSE))," ",(VLOOKUP(C1357,'[1]خريطة الحسابات'!_xlnm.Print_Area,5,FALSE)))</f>
        <v>الاصول</v>
      </c>
      <c r="O1357" s="84" t="s">
        <v>1881</v>
      </c>
      <c r="P1357" s="84" t="s">
        <v>1299</v>
      </c>
    </row>
    <row r="1358" spans="1:16">
      <c r="A1358" s="104">
        <v>59</v>
      </c>
      <c r="B1358" s="131">
        <v>46049</v>
      </c>
      <c r="C1358" s="141">
        <v>20</v>
      </c>
      <c r="D1358" s="140" t="str">
        <f>IF(ISERROR(VLOOKUP(C1358,'[1]خريطة الحسابات'!_xlnm.Print_Area,3,FALSE))," ",(VLOOKUP(C1358,'[1]خريطة الحسابات'!_xlnm.Print_Area,3,FALSE)))</f>
        <v xml:space="preserve">الخزينة </v>
      </c>
      <c r="E1358" s="142"/>
      <c r="F1358" s="133"/>
      <c r="G1358" s="133">
        <v>12215</v>
      </c>
      <c r="H1358" s="134">
        <f t="shared" si="61"/>
        <v>0</v>
      </c>
      <c r="I1358" s="134">
        <f t="shared" si="61"/>
        <v>12215</v>
      </c>
      <c r="J1358" s="134">
        <f t="shared" si="60"/>
        <v>-12215</v>
      </c>
      <c r="K1358" s="135"/>
      <c r="L1358" s="136" t="str">
        <f t="shared" si="62"/>
        <v>دائن</v>
      </c>
      <c r="M1358" s="137" t="str">
        <f>IF(ISERROR(VLOOKUP(C1358,'[1]خريطة الحسابات'!_xlnm.Print_Area,4,FALSE))," ",(VLOOKUP(C1358,'[1]خريطة الحسابات'!_xlnm.Print_Area,4,FALSE)))</f>
        <v xml:space="preserve">أصول متداوله -النقدية ومافي حكمها </v>
      </c>
      <c r="N1358" s="138" t="str">
        <f>IF(ISERROR(VLOOKUP(C1358,'[1]خريطة الحسابات'!_xlnm.Print_Area,5,FALSE))," ",(VLOOKUP(C1358,'[1]خريطة الحسابات'!_xlnm.Print_Area,5,FALSE)))</f>
        <v>الاصول</v>
      </c>
      <c r="O1358" s="84" t="s">
        <v>1882</v>
      </c>
      <c r="P1358" s="84" t="s">
        <v>1299</v>
      </c>
    </row>
    <row r="1359" spans="1:16">
      <c r="A1359" s="104">
        <v>59</v>
      </c>
      <c r="B1359" s="131">
        <v>46050</v>
      </c>
      <c r="C1359" s="141">
        <v>20</v>
      </c>
      <c r="D1359" s="140" t="str">
        <f>IF(ISERROR(VLOOKUP(C1359,'[1]خريطة الحسابات'!_xlnm.Print_Area,3,FALSE))," ",(VLOOKUP(C1359,'[1]خريطة الحسابات'!_xlnm.Print_Area,3,FALSE)))</f>
        <v xml:space="preserve">الخزينة </v>
      </c>
      <c r="E1359" s="142"/>
      <c r="F1359" s="133"/>
      <c r="G1359" s="133">
        <v>380</v>
      </c>
      <c r="H1359" s="134">
        <f t="shared" si="61"/>
        <v>0</v>
      </c>
      <c r="I1359" s="134">
        <f t="shared" si="61"/>
        <v>380</v>
      </c>
      <c r="J1359" s="134">
        <f t="shared" si="60"/>
        <v>-380</v>
      </c>
      <c r="K1359" s="135"/>
      <c r="L1359" s="136" t="str">
        <f t="shared" si="62"/>
        <v>دائن</v>
      </c>
      <c r="M1359" s="137" t="str">
        <f>IF(ISERROR(VLOOKUP(C1359,'[1]خريطة الحسابات'!_xlnm.Print_Area,4,FALSE))," ",(VLOOKUP(C1359,'[1]خريطة الحسابات'!_xlnm.Print_Area,4,FALSE)))</f>
        <v xml:space="preserve">أصول متداوله -النقدية ومافي حكمها </v>
      </c>
      <c r="N1359" s="138" t="str">
        <f>IF(ISERROR(VLOOKUP(C1359,'[1]خريطة الحسابات'!_xlnm.Print_Area,5,FALSE))," ",(VLOOKUP(C1359,'[1]خريطة الحسابات'!_xlnm.Print_Area,5,FALSE)))</f>
        <v>الاصول</v>
      </c>
      <c r="O1359" s="84" t="s">
        <v>1883</v>
      </c>
      <c r="P1359" s="84" t="s">
        <v>1299</v>
      </c>
    </row>
    <row r="1360" spans="1:16">
      <c r="A1360" s="104">
        <v>59</v>
      </c>
      <c r="B1360" s="131">
        <v>46050</v>
      </c>
      <c r="C1360" s="141">
        <v>20</v>
      </c>
      <c r="D1360" s="140" t="str">
        <f>IF(ISERROR(VLOOKUP(C1360,'[1]خريطة الحسابات'!_xlnm.Print_Area,3,FALSE))," ",(VLOOKUP(C1360,'[1]خريطة الحسابات'!_xlnm.Print_Area,3,FALSE)))</f>
        <v xml:space="preserve">الخزينة </v>
      </c>
      <c r="E1360" s="142"/>
      <c r="F1360" s="133"/>
      <c r="G1360" s="133">
        <v>3744</v>
      </c>
      <c r="H1360" s="134">
        <f t="shared" si="61"/>
        <v>0</v>
      </c>
      <c r="I1360" s="134">
        <f t="shared" si="61"/>
        <v>3744</v>
      </c>
      <c r="J1360" s="134">
        <f t="shared" si="60"/>
        <v>-3744</v>
      </c>
      <c r="K1360" s="135"/>
      <c r="L1360" s="136" t="str">
        <f t="shared" si="62"/>
        <v>دائن</v>
      </c>
      <c r="M1360" s="137" t="str">
        <f>IF(ISERROR(VLOOKUP(C1360,'[1]خريطة الحسابات'!_xlnm.Print_Area,4,FALSE))," ",(VLOOKUP(C1360,'[1]خريطة الحسابات'!_xlnm.Print_Area,4,FALSE)))</f>
        <v xml:space="preserve">أصول متداوله -النقدية ومافي حكمها </v>
      </c>
      <c r="N1360" s="138" t="str">
        <f>IF(ISERROR(VLOOKUP(C1360,'[1]خريطة الحسابات'!_xlnm.Print_Area,5,FALSE))," ",(VLOOKUP(C1360,'[1]خريطة الحسابات'!_xlnm.Print_Area,5,FALSE)))</f>
        <v>الاصول</v>
      </c>
      <c r="O1360" s="84" t="s">
        <v>1884</v>
      </c>
      <c r="P1360" s="84" t="s">
        <v>1299</v>
      </c>
    </row>
    <row r="1361" spans="1:16">
      <c r="A1361" s="104">
        <v>59</v>
      </c>
      <c r="B1361" s="131">
        <v>46057</v>
      </c>
      <c r="C1361" s="141">
        <v>20</v>
      </c>
      <c r="D1361" s="140" t="str">
        <f>IF(ISERROR(VLOOKUP(C1361,'[1]خريطة الحسابات'!_xlnm.Print_Area,3,FALSE))," ",(VLOOKUP(C1361,'[1]خريطة الحسابات'!_xlnm.Print_Area,3,FALSE)))</f>
        <v xml:space="preserve">الخزينة </v>
      </c>
      <c r="E1361" s="142"/>
      <c r="F1361" s="133"/>
      <c r="G1361" s="133">
        <v>590</v>
      </c>
      <c r="H1361" s="134">
        <f t="shared" si="61"/>
        <v>0</v>
      </c>
      <c r="I1361" s="134">
        <f t="shared" si="61"/>
        <v>590</v>
      </c>
      <c r="J1361" s="134">
        <f t="shared" si="60"/>
        <v>-590</v>
      </c>
      <c r="K1361" s="135"/>
      <c r="L1361" s="136" t="str">
        <f t="shared" si="62"/>
        <v>دائن</v>
      </c>
      <c r="M1361" s="137" t="str">
        <f>IF(ISERROR(VLOOKUP(C1361,'[1]خريطة الحسابات'!_xlnm.Print_Area,4,FALSE))," ",(VLOOKUP(C1361,'[1]خريطة الحسابات'!_xlnm.Print_Area,4,FALSE)))</f>
        <v xml:space="preserve">أصول متداوله -النقدية ومافي حكمها </v>
      </c>
      <c r="N1361" s="138" t="str">
        <f>IF(ISERROR(VLOOKUP(C1361,'[1]خريطة الحسابات'!_xlnm.Print_Area,5,FALSE))," ",(VLOOKUP(C1361,'[1]خريطة الحسابات'!_xlnm.Print_Area,5,FALSE)))</f>
        <v>الاصول</v>
      </c>
      <c r="O1361" s="84" t="s">
        <v>1884</v>
      </c>
      <c r="P1361" s="84" t="s">
        <v>1299</v>
      </c>
    </row>
    <row r="1362" spans="1:16">
      <c r="A1362" s="104">
        <v>59</v>
      </c>
      <c r="B1362" s="131">
        <v>46058</v>
      </c>
      <c r="C1362" s="141">
        <v>20</v>
      </c>
      <c r="D1362" s="140" t="str">
        <f>IF(ISERROR(VLOOKUP(C1362,'[1]خريطة الحسابات'!_xlnm.Print_Area,3,FALSE))," ",(VLOOKUP(C1362,'[1]خريطة الحسابات'!_xlnm.Print_Area,3,FALSE)))</f>
        <v xml:space="preserve">الخزينة </v>
      </c>
      <c r="E1362" s="142"/>
      <c r="F1362" s="133"/>
      <c r="G1362" s="133">
        <v>5660</v>
      </c>
      <c r="H1362" s="134">
        <f t="shared" si="61"/>
        <v>0</v>
      </c>
      <c r="I1362" s="134">
        <f t="shared" si="61"/>
        <v>5660</v>
      </c>
      <c r="J1362" s="134">
        <f t="shared" si="60"/>
        <v>-5660</v>
      </c>
      <c r="K1362" s="135"/>
      <c r="L1362" s="136" t="str">
        <f t="shared" si="62"/>
        <v>دائن</v>
      </c>
      <c r="M1362" s="137" t="str">
        <f>IF(ISERROR(VLOOKUP(C1362,'[1]خريطة الحسابات'!_xlnm.Print_Area,4,FALSE))," ",(VLOOKUP(C1362,'[1]خريطة الحسابات'!_xlnm.Print_Area,4,FALSE)))</f>
        <v xml:space="preserve">أصول متداوله -النقدية ومافي حكمها </v>
      </c>
      <c r="N1362" s="138" t="str">
        <f>IF(ISERROR(VLOOKUP(C1362,'[1]خريطة الحسابات'!_xlnm.Print_Area,5,FALSE))," ",(VLOOKUP(C1362,'[1]خريطة الحسابات'!_xlnm.Print_Area,5,FALSE)))</f>
        <v>الاصول</v>
      </c>
      <c r="O1362" s="84" t="s">
        <v>1885</v>
      </c>
      <c r="P1362" s="84" t="s">
        <v>1299</v>
      </c>
    </row>
    <row r="1363" spans="1:16">
      <c r="A1363" s="104">
        <v>59</v>
      </c>
      <c r="B1363" s="131">
        <v>46062</v>
      </c>
      <c r="C1363" s="141">
        <v>20</v>
      </c>
      <c r="D1363" s="140" t="str">
        <f>IF(ISERROR(VLOOKUP(C1363,'[1]خريطة الحسابات'!_xlnm.Print_Area,3,FALSE))," ",(VLOOKUP(C1363,'[1]خريطة الحسابات'!_xlnm.Print_Area,3,FALSE)))</f>
        <v xml:space="preserve">الخزينة </v>
      </c>
      <c r="E1363" s="142"/>
      <c r="F1363" s="133"/>
      <c r="G1363" s="133">
        <v>600</v>
      </c>
      <c r="H1363" s="134">
        <f t="shared" si="61"/>
        <v>0</v>
      </c>
      <c r="I1363" s="134">
        <f t="shared" si="61"/>
        <v>600</v>
      </c>
      <c r="J1363" s="134">
        <f t="shared" si="60"/>
        <v>-600</v>
      </c>
      <c r="K1363" s="135"/>
      <c r="L1363" s="136" t="str">
        <f t="shared" si="62"/>
        <v>دائن</v>
      </c>
      <c r="M1363" s="137" t="str">
        <f>IF(ISERROR(VLOOKUP(C1363,'[1]خريطة الحسابات'!_xlnm.Print_Area,4,FALSE))," ",(VLOOKUP(C1363,'[1]خريطة الحسابات'!_xlnm.Print_Area,4,FALSE)))</f>
        <v xml:space="preserve">أصول متداوله -النقدية ومافي حكمها </v>
      </c>
      <c r="N1363" s="138" t="str">
        <f>IF(ISERROR(VLOOKUP(C1363,'[1]خريطة الحسابات'!_xlnm.Print_Area,5,FALSE))," ",(VLOOKUP(C1363,'[1]خريطة الحسابات'!_xlnm.Print_Area,5,FALSE)))</f>
        <v>الاصول</v>
      </c>
      <c r="O1363" s="84" t="s">
        <v>1886</v>
      </c>
      <c r="P1363" s="84" t="s">
        <v>1299</v>
      </c>
    </row>
    <row r="1364" spans="1:16">
      <c r="A1364" s="104">
        <v>59</v>
      </c>
      <c r="B1364" s="131">
        <v>46041</v>
      </c>
      <c r="C1364" s="141">
        <v>20</v>
      </c>
      <c r="D1364" s="140" t="str">
        <f>IF(ISERROR(VLOOKUP(C1364,'[1]خريطة الحسابات'!_xlnm.Print_Area,3,FALSE))," ",(VLOOKUP(C1364,'[1]خريطة الحسابات'!_xlnm.Print_Area,3,FALSE)))</f>
        <v xml:space="preserve">الخزينة </v>
      </c>
      <c r="E1364" s="142"/>
      <c r="F1364" s="133"/>
      <c r="G1364" s="133">
        <v>85</v>
      </c>
      <c r="H1364" s="134">
        <f t="shared" si="61"/>
        <v>0</v>
      </c>
      <c r="I1364" s="134">
        <f t="shared" si="61"/>
        <v>85</v>
      </c>
      <c r="J1364" s="134">
        <f t="shared" si="60"/>
        <v>-85</v>
      </c>
      <c r="K1364" s="135"/>
      <c r="L1364" s="136" t="str">
        <f t="shared" si="62"/>
        <v>دائن</v>
      </c>
      <c r="M1364" s="137" t="str">
        <f>IF(ISERROR(VLOOKUP(C1364,'[1]خريطة الحسابات'!_xlnm.Print_Area,4,FALSE))," ",(VLOOKUP(C1364,'[1]خريطة الحسابات'!_xlnm.Print_Area,4,FALSE)))</f>
        <v xml:space="preserve">أصول متداوله -النقدية ومافي حكمها </v>
      </c>
      <c r="N1364" s="138" t="str">
        <f>IF(ISERROR(VLOOKUP(C1364,'[1]خريطة الحسابات'!_xlnm.Print_Area,5,FALSE))," ",(VLOOKUP(C1364,'[1]خريطة الحسابات'!_xlnm.Print_Area,5,FALSE)))</f>
        <v>الاصول</v>
      </c>
      <c r="O1364" s="84" t="s">
        <v>1887</v>
      </c>
      <c r="P1364" s="84" t="s">
        <v>1299</v>
      </c>
    </row>
    <row r="1365" spans="1:16">
      <c r="A1365" s="104">
        <v>59</v>
      </c>
      <c r="B1365" s="131">
        <v>46041</v>
      </c>
      <c r="C1365" s="141">
        <v>20</v>
      </c>
      <c r="D1365" s="140" t="str">
        <f>IF(ISERROR(VLOOKUP(C1365,'[1]خريطة الحسابات'!_xlnm.Print_Area,3,FALSE))," ",(VLOOKUP(C1365,'[1]خريطة الحسابات'!_xlnm.Print_Area,3,FALSE)))</f>
        <v xml:space="preserve">الخزينة </v>
      </c>
      <c r="E1365" s="142"/>
      <c r="F1365" s="133"/>
      <c r="G1365" s="133">
        <v>800</v>
      </c>
      <c r="H1365" s="134">
        <f t="shared" si="61"/>
        <v>0</v>
      </c>
      <c r="I1365" s="134">
        <f t="shared" si="61"/>
        <v>800</v>
      </c>
      <c r="J1365" s="134">
        <f t="shared" si="60"/>
        <v>-800</v>
      </c>
      <c r="K1365" s="135"/>
      <c r="L1365" s="136" t="str">
        <f t="shared" si="62"/>
        <v>دائن</v>
      </c>
      <c r="M1365" s="137" t="str">
        <f>IF(ISERROR(VLOOKUP(C1365,'[1]خريطة الحسابات'!_xlnm.Print_Area,4,FALSE))," ",(VLOOKUP(C1365,'[1]خريطة الحسابات'!_xlnm.Print_Area,4,FALSE)))</f>
        <v xml:space="preserve">أصول متداوله -النقدية ومافي حكمها </v>
      </c>
      <c r="N1365" s="138" t="str">
        <f>IF(ISERROR(VLOOKUP(C1365,'[1]خريطة الحسابات'!_xlnm.Print_Area,5,FALSE))," ",(VLOOKUP(C1365,'[1]خريطة الحسابات'!_xlnm.Print_Area,5,FALSE)))</f>
        <v>الاصول</v>
      </c>
      <c r="O1365" s="84" t="s">
        <v>1888</v>
      </c>
      <c r="P1365" s="84" t="s">
        <v>1299</v>
      </c>
    </row>
    <row r="1366" spans="1:16">
      <c r="A1366" s="104">
        <v>59</v>
      </c>
      <c r="B1366" s="131">
        <v>46082</v>
      </c>
      <c r="C1366" s="141">
        <v>20</v>
      </c>
      <c r="D1366" s="140" t="str">
        <f>IF(ISERROR(VLOOKUP(C1366,'[1]خريطة الحسابات'!_xlnm.Print_Area,3,FALSE))," ",(VLOOKUP(C1366,'[1]خريطة الحسابات'!_xlnm.Print_Area,3,FALSE)))</f>
        <v xml:space="preserve">الخزينة </v>
      </c>
      <c r="E1366" s="142"/>
      <c r="F1366" s="133"/>
      <c r="G1366" s="133">
        <v>650</v>
      </c>
      <c r="H1366" s="134">
        <f t="shared" si="61"/>
        <v>0</v>
      </c>
      <c r="I1366" s="134">
        <f t="shared" si="61"/>
        <v>650</v>
      </c>
      <c r="J1366" s="134">
        <f t="shared" si="60"/>
        <v>-650</v>
      </c>
      <c r="K1366" s="135"/>
      <c r="L1366" s="136" t="str">
        <f t="shared" si="62"/>
        <v>دائن</v>
      </c>
      <c r="M1366" s="137" t="str">
        <f>IF(ISERROR(VLOOKUP(C1366,'[1]خريطة الحسابات'!_xlnm.Print_Area,4,FALSE))," ",(VLOOKUP(C1366,'[1]خريطة الحسابات'!_xlnm.Print_Area,4,FALSE)))</f>
        <v xml:space="preserve">أصول متداوله -النقدية ومافي حكمها </v>
      </c>
      <c r="N1366" s="138" t="str">
        <f>IF(ISERROR(VLOOKUP(C1366,'[1]خريطة الحسابات'!_xlnm.Print_Area,5,FALSE))," ",(VLOOKUP(C1366,'[1]خريطة الحسابات'!_xlnm.Print_Area,5,FALSE)))</f>
        <v>الاصول</v>
      </c>
      <c r="O1366" s="84" t="s">
        <v>1889</v>
      </c>
      <c r="P1366" s="84" t="s">
        <v>1299</v>
      </c>
    </row>
    <row r="1367" spans="1:16">
      <c r="A1367" s="104">
        <v>59</v>
      </c>
      <c r="B1367" s="131">
        <v>46071</v>
      </c>
      <c r="C1367" s="141">
        <v>20</v>
      </c>
      <c r="D1367" s="140" t="str">
        <f>IF(ISERROR(VLOOKUP(C1367,'[1]خريطة الحسابات'!_xlnm.Print_Area,3,FALSE))," ",(VLOOKUP(C1367,'[1]خريطة الحسابات'!_xlnm.Print_Area,3,FALSE)))</f>
        <v xml:space="preserve">الخزينة </v>
      </c>
      <c r="E1367" s="142"/>
      <c r="F1367" s="133"/>
      <c r="G1367" s="133">
        <v>170</v>
      </c>
      <c r="H1367" s="134">
        <f t="shared" si="61"/>
        <v>0</v>
      </c>
      <c r="I1367" s="134">
        <f t="shared" si="61"/>
        <v>170</v>
      </c>
      <c r="J1367" s="134">
        <f t="shared" si="60"/>
        <v>-170</v>
      </c>
      <c r="K1367" s="135"/>
      <c r="L1367" s="136" t="str">
        <f t="shared" si="62"/>
        <v>دائن</v>
      </c>
      <c r="M1367" s="137" t="str">
        <f>IF(ISERROR(VLOOKUP(C1367,'[1]خريطة الحسابات'!_xlnm.Print_Area,4,FALSE))," ",(VLOOKUP(C1367,'[1]خريطة الحسابات'!_xlnm.Print_Area,4,FALSE)))</f>
        <v xml:space="preserve">أصول متداوله -النقدية ومافي حكمها </v>
      </c>
      <c r="N1367" s="138" t="str">
        <f>IF(ISERROR(VLOOKUP(C1367,'[1]خريطة الحسابات'!_xlnm.Print_Area,5,FALSE))," ",(VLOOKUP(C1367,'[1]خريطة الحسابات'!_xlnm.Print_Area,5,FALSE)))</f>
        <v>الاصول</v>
      </c>
      <c r="O1367" s="84" t="s">
        <v>1890</v>
      </c>
      <c r="P1367" s="84" t="s">
        <v>1304</v>
      </c>
    </row>
    <row r="1368" spans="1:16">
      <c r="A1368" s="104">
        <v>59</v>
      </c>
      <c r="B1368" s="131">
        <v>46098</v>
      </c>
      <c r="C1368" s="141">
        <v>20</v>
      </c>
      <c r="D1368" s="140" t="str">
        <f>IF(ISERROR(VLOOKUP(C1368,'[1]خريطة الحسابات'!_xlnm.Print_Area,3,FALSE))," ",(VLOOKUP(C1368,'[1]خريطة الحسابات'!_xlnm.Print_Area,3,FALSE)))</f>
        <v xml:space="preserve">الخزينة </v>
      </c>
      <c r="E1368" s="142"/>
      <c r="F1368" s="133"/>
      <c r="G1368" s="133">
        <v>1675</v>
      </c>
      <c r="H1368" s="134">
        <f t="shared" si="61"/>
        <v>0</v>
      </c>
      <c r="I1368" s="134">
        <f t="shared" si="61"/>
        <v>1675</v>
      </c>
      <c r="J1368" s="134">
        <f t="shared" ref="J1368:J1431" si="63">H1368-I1368</f>
        <v>-1675</v>
      </c>
      <c r="K1368" s="135"/>
      <c r="L1368" s="136" t="str">
        <f t="shared" si="62"/>
        <v>دائن</v>
      </c>
      <c r="M1368" s="137" t="str">
        <f>IF(ISERROR(VLOOKUP(C1368,'[1]خريطة الحسابات'!_xlnm.Print_Area,4,FALSE))," ",(VLOOKUP(C1368,'[1]خريطة الحسابات'!_xlnm.Print_Area,4,FALSE)))</f>
        <v xml:space="preserve">أصول متداوله -النقدية ومافي حكمها </v>
      </c>
      <c r="N1368" s="138" t="str">
        <f>IF(ISERROR(VLOOKUP(C1368,'[1]خريطة الحسابات'!_xlnm.Print_Area,5,FALSE))," ",(VLOOKUP(C1368,'[1]خريطة الحسابات'!_xlnm.Print_Area,5,FALSE)))</f>
        <v>الاصول</v>
      </c>
      <c r="O1368" s="84" t="s">
        <v>1891</v>
      </c>
      <c r="P1368" s="84" t="s">
        <v>1304</v>
      </c>
    </row>
    <row r="1369" spans="1:16">
      <c r="A1369" s="104">
        <v>59</v>
      </c>
      <c r="B1369" s="131">
        <v>46163</v>
      </c>
      <c r="C1369" s="141">
        <v>20</v>
      </c>
      <c r="D1369" s="140" t="str">
        <f>IF(ISERROR(VLOOKUP(C1369,'[1]خريطة الحسابات'!_xlnm.Print_Area,3,FALSE))," ",(VLOOKUP(C1369,'[1]خريطة الحسابات'!_xlnm.Print_Area,3,FALSE)))</f>
        <v xml:space="preserve">الخزينة </v>
      </c>
      <c r="E1369" s="142"/>
      <c r="F1369" s="133"/>
      <c r="G1369" s="133">
        <v>280</v>
      </c>
      <c r="H1369" s="134">
        <f t="shared" ref="H1369:I1432" si="64">IF($E1369=2,F1369*3.465,F1369)</f>
        <v>0</v>
      </c>
      <c r="I1369" s="134">
        <f t="shared" si="64"/>
        <v>280</v>
      </c>
      <c r="J1369" s="134">
        <f t="shared" si="63"/>
        <v>-280</v>
      </c>
      <c r="K1369" s="135"/>
      <c r="L1369" s="136" t="str">
        <f t="shared" si="62"/>
        <v>دائن</v>
      </c>
      <c r="M1369" s="137" t="str">
        <f>IF(ISERROR(VLOOKUP(C1369,'[1]خريطة الحسابات'!_xlnm.Print_Area,4,FALSE))," ",(VLOOKUP(C1369,'[1]خريطة الحسابات'!_xlnm.Print_Area,4,FALSE)))</f>
        <v xml:space="preserve">أصول متداوله -النقدية ومافي حكمها </v>
      </c>
      <c r="N1369" s="138" t="str">
        <f>IF(ISERROR(VLOOKUP(C1369,'[1]خريطة الحسابات'!_xlnm.Print_Area,5,FALSE))," ",(VLOOKUP(C1369,'[1]خريطة الحسابات'!_xlnm.Print_Area,5,FALSE)))</f>
        <v>الاصول</v>
      </c>
      <c r="O1369" s="84" t="s">
        <v>1892</v>
      </c>
      <c r="P1369" s="84" t="s">
        <v>1304</v>
      </c>
    </row>
    <row r="1370" spans="1:16">
      <c r="A1370" s="104">
        <v>59</v>
      </c>
      <c r="B1370" s="131">
        <v>46179</v>
      </c>
      <c r="C1370" s="141">
        <v>20</v>
      </c>
      <c r="D1370" s="140" t="str">
        <f>IF(ISERROR(VLOOKUP(C1370,'[1]خريطة الحسابات'!_xlnm.Print_Area,3,FALSE))," ",(VLOOKUP(C1370,'[1]خريطة الحسابات'!_xlnm.Print_Area,3,FALSE)))</f>
        <v xml:space="preserve">الخزينة </v>
      </c>
      <c r="E1370" s="142"/>
      <c r="F1370" s="133"/>
      <c r="G1370" s="133">
        <v>100</v>
      </c>
      <c r="H1370" s="134">
        <f t="shared" si="64"/>
        <v>0</v>
      </c>
      <c r="I1370" s="134">
        <f t="shared" si="64"/>
        <v>100</v>
      </c>
      <c r="J1370" s="134">
        <f t="shared" si="63"/>
        <v>-100</v>
      </c>
      <c r="K1370" s="135"/>
      <c r="L1370" s="136" t="str">
        <f t="shared" si="62"/>
        <v>دائن</v>
      </c>
      <c r="M1370" s="137" t="str">
        <f>IF(ISERROR(VLOOKUP(C1370,'[1]خريطة الحسابات'!_xlnm.Print_Area,4,FALSE))," ",(VLOOKUP(C1370,'[1]خريطة الحسابات'!_xlnm.Print_Area,4,FALSE)))</f>
        <v xml:space="preserve">أصول متداوله -النقدية ومافي حكمها </v>
      </c>
      <c r="N1370" s="138" t="str">
        <f>IF(ISERROR(VLOOKUP(C1370,'[1]خريطة الحسابات'!_xlnm.Print_Area,5,FALSE))," ",(VLOOKUP(C1370,'[1]خريطة الحسابات'!_xlnm.Print_Area,5,FALSE)))</f>
        <v>الاصول</v>
      </c>
      <c r="O1370" s="84" t="s">
        <v>1892</v>
      </c>
      <c r="P1370" s="84" t="s">
        <v>1304</v>
      </c>
    </row>
    <row r="1371" spans="1:16">
      <c r="A1371" s="104">
        <v>59</v>
      </c>
      <c r="B1371" s="131">
        <v>46065</v>
      </c>
      <c r="C1371" s="141">
        <v>20</v>
      </c>
      <c r="D1371" s="140" t="str">
        <f>IF(ISERROR(VLOOKUP(C1371,'[1]خريطة الحسابات'!_xlnm.Print_Area,3,FALSE))," ",(VLOOKUP(C1371,'[1]خريطة الحسابات'!_xlnm.Print_Area,3,FALSE)))</f>
        <v xml:space="preserve">الخزينة </v>
      </c>
      <c r="E1371" s="142"/>
      <c r="F1371" s="133"/>
      <c r="G1371" s="133">
        <v>20020</v>
      </c>
      <c r="H1371" s="134">
        <f t="shared" si="64"/>
        <v>0</v>
      </c>
      <c r="I1371" s="134">
        <f t="shared" si="64"/>
        <v>20020</v>
      </c>
      <c r="J1371" s="134">
        <f t="shared" si="63"/>
        <v>-20020</v>
      </c>
      <c r="K1371" s="135"/>
      <c r="L1371" s="136" t="str">
        <f t="shared" ref="L1371:L1434" si="65">IF(J1371&lt;0,"دائن",IF(J1371&gt;0,"مدين",""))</f>
        <v>دائن</v>
      </c>
      <c r="M1371" s="137" t="str">
        <f>IF(ISERROR(VLOOKUP(C1371,'[1]خريطة الحسابات'!_xlnm.Print_Area,4,FALSE))," ",(VLOOKUP(C1371,'[1]خريطة الحسابات'!_xlnm.Print_Area,4,FALSE)))</f>
        <v xml:space="preserve">أصول متداوله -النقدية ومافي حكمها </v>
      </c>
      <c r="N1371" s="138" t="str">
        <f>IF(ISERROR(VLOOKUP(C1371,'[1]خريطة الحسابات'!_xlnm.Print_Area,5,FALSE))," ",(VLOOKUP(C1371,'[1]خريطة الحسابات'!_xlnm.Print_Area,5,FALSE)))</f>
        <v>الاصول</v>
      </c>
      <c r="O1371" s="84" t="s">
        <v>1893</v>
      </c>
      <c r="P1371" s="84" t="s">
        <v>1292</v>
      </c>
    </row>
    <row r="1372" spans="1:16">
      <c r="A1372" s="104">
        <v>59</v>
      </c>
      <c r="B1372" s="131">
        <v>46071</v>
      </c>
      <c r="C1372" s="141">
        <v>20</v>
      </c>
      <c r="D1372" s="140" t="str">
        <f>IF(ISERROR(VLOOKUP(C1372,'[1]خريطة الحسابات'!_xlnm.Print_Area,3,FALSE))," ",(VLOOKUP(C1372,'[1]خريطة الحسابات'!_xlnm.Print_Area,3,FALSE)))</f>
        <v xml:space="preserve">الخزينة </v>
      </c>
      <c r="E1372" s="142"/>
      <c r="F1372" s="133"/>
      <c r="G1372" s="133">
        <v>10875</v>
      </c>
      <c r="H1372" s="134">
        <f t="shared" si="64"/>
        <v>0</v>
      </c>
      <c r="I1372" s="134">
        <f t="shared" si="64"/>
        <v>10875</v>
      </c>
      <c r="J1372" s="134">
        <f t="shared" si="63"/>
        <v>-10875</v>
      </c>
      <c r="K1372" s="135"/>
      <c r="L1372" s="136" t="str">
        <f t="shared" si="65"/>
        <v>دائن</v>
      </c>
      <c r="M1372" s="137" t="str">
        <f>IF(ISERROR(VLOOKUP(C1372,'[1]خريطة الحسابات'!_xlnm.Print_Area,4,FALSE))," ",(VLOOKUP(C1372,'[1]خريطة الحسابات'!_xlnm.Print_Area,4,FALSE)))</f>
        <v xml:space="preserve">أصول متداوله -النقدية ومافي حكمها </v>
      </c>
      <c r="N1372" s="138" t="str">
        <f>IF(ISERROR(VLOOKUP(C1372,'[1]خريطة الحسابات'!_xlnm.Print_Area,5,FALSE))," ",(VLOOKUP(C1372,'[1]خريطة الحسابات'!_xlnm.Print_Area,5,FALSE)))</f>
        <v>الاصول</v>
      </c>
      <c r="O1372" s="84" t="s">
        <v>1894</v>
      </c>
      <c r="P1372" s="84" t="s">
        <v>1292</v>
      </c>
    </row>
    <row r="1373" spans="1:16">
      <c r="A1373" s="104">
        <v>59</v>
      </c>
      <c r="B1373" s="131">
        <v>46086</v>
      </c>
      <c r="C1373" s="141">
        <v>20</v>
      </c>
      <c r="D1373" s="140" t="str">
        <f>IF(ISERROR(VLOOKUP(C1373,'[1]خريطة الحسابات'!_xlnm.Print_Area,3,FALSE))," ",(VLOOKUP(C1373,'[1]خريطة الحسابات'!_xlnm.Print_Area,3,FALSE)))</f>
        <v xml:space="preserve">الخزينة </v>
      </c>
      <c r="E1373" s="142"/>
      <c r="F1373" s="133"/>
      <c r="G1373" s="133">
        <v>10100</v>
      </c>
      <c r="H1373" s="134">
        <f t="shared" si="64"/>
        <v>0</v>
      </c>
      <c r="I1373" s="134">
        <f t="shared" si="64"/>
        <v>10100</v>
      </c>
      <c r="J1373" s="134">
        <f t="shared" si="63"/>
        <v>-10100</v>
      </c>
      <c r="K1373" s="135"/>
      <c r="L1373" s="136" t="str">
        <f t="shared" si="65"/>
        <v>دائن</v>
      </c>
      <c r="M1373" s="137" t="str">
        <f>IF(ISERROR(VLOOKUP(C1373,'[1]خريطة الحسابات'!_xlnm.Print_Area,4,FALSE))," ",(VLOOKUP(C1373,'[1]خريطة الحسابات'!_xlnm.Print_Area,4,FALSE)))</f>
        <v xml:space="preserve">أصول متداوله -النقدية ومافي حكمها </v>
      </c>
      <c r="N1373" s="138" t="str">
        <f>IF(ISERROR(VLOOKUP(C1373,'[1]خريطة الحسابات'!_xlnm.Print_Area,5,FALSE))," ",(VLOOKUP(C1373,'[1]خريطة الحسابات'!_xlnm.Print_Area,5,FALSE)))</f>
        <v>الاصول</v>
      </c>
      <c r="O1373" s="84" t="s">
        <v>1895</v>
      </c>
      <c r="P1373" s="84" t="s">
        <v>1292</v>
      </c>
    </row>
    <row r="1374" spans="1:16">
      <c r="A1374" s="104">
        <v>59</v>
      </c>
      <c r="B1374" s="131">
        <v>46139</v>
      </c>
      <c r="C1374" s="141">
        <v>20</v>
      </c>
      <c r="D1374" s="140" t="str">
        <f>IF(ISERROR(VLOOKUP(C1374,'[1]خريطة الحسابات'!_xlnm.Print_Area,3,FALSE))," ",(VLOOKUP(C1374,'[1]خريطة الحسابات'!_xlnm.Print_Area,3,FALSE)))</f>
        <v xml:space="preserve">الخزينة </v>
      </c>
      <c r="E1374" s="142"/>
      <c r="F1374" s="133"/>
      <c r="G1374" s="133">
        <v>1000</v>
      </c>
      <c r="H1374" s="134">
        <f t="shared" si="64"/>
        <v>0</v>
      </c>
      <c r="I1374" s="134">
        <f t="shared" si="64"/>
        <v>1000</v>
      </c>
      <c r="J1374" s="134">
        <f t="shared" si="63"/>
        <v>-1000</v>
      </c>
      <c r="K1374" s="135"/>
      <c r="L1374" s="136" t="str">
        <f t="shared" si="65"/>
        <v>دائن</v>
      </c>
      <c r="M1374" s="137" t="str">
        <f>IF(ISERROR(VLOOKUP(C1374,'[1]خريطة الحسابات'!_xlnm.Print_Area,4,FALSE))," ",(VLOOKUP(C1374,'[1]خريطة الحسابات'!_xlnm.Print_Area,4,FALSE)))</f>
        <v xml:space="preserve">أصول متداوله -النقدية ومافي حكمها </v>
      </c>
      <c r="N1374" s="138" t="str">
        <f>IF(ISERROR(VLOOKUP(C1374,'[1]خريطة الحسابات'!_xlnm.Print_Area,5,FALSE))," ",(VLOOKUP(C1374,'[1]خريطة الحسابات'!_xlnm.Print_Area,5,FALSE)))</f>
        <v>الاصول</v>
      </c>
      <c r="O1374" s="84" t="s">
        <v>1896</v>
      </c>
      <c r="P1374" s="84" t="s">
        <v>1292</v>
      </c>
    </row>
    <row r="1375" spans="1:16">
      <c r="A1375" s="104">
        <v>59</v>
      </c>
      <c r="B1375" s="131">
        <v>46158</v>
      </c>
      <c r="C1375" s="141">
        <v>20</v>
      </c>
      <c r="D1375" s="140" t="str">
        <f>IF(ISERROR(VLOOKUP(C1375,'[1]خريطة الحسابات'!_xlnm.Print_Area,3,FALSE))," ",(VLOOKUP(C1375,'[1]خريطة الحسابات'!_xlnm.Print_Area,3,FALSE)))</f>
        <v xml:space="preserve">الخزينة </v>
      </c>
      <c r="E1375" s="142"/>
      <c r="F1375" s="133"/>
      <c r="G1375" s="133">
        <v>725</v>
      </c>
      <c r="H1375" s="134">
        <f t="shared" si="64"/>
        <v>0</v>
      </c>
      <c r="I1375" s="134">
        <f t="shared" si="64"/>
        <v>725</v>
      </c>
      <c r="J1375" s="134">
        <f t="shared" si="63"/>
        <v>-725</v>
      </c>
      <c r="K1375" s="135"/>
      <c r="L1375" s="136" t="str">
        <f t="shared" si="65"/>
        <v>دائن</v>
      </c>
      <c r="M1375" s="137" t="str">
        <f>IF(ISERROR(VLOOKUP(C1375,'[1]خريطة الحسابات'!_xlnm.Print_Area,4,FALSE))," ",(VLOOKUP(C1375,'[1]خريطة الحسابات'!_xlnm.Print_Area,4,FALSE)))</f>
        <v xml:space="preserve">أصول متداوله -النقدية ومافي حكمها </v>
      </c>
      <c r="N1375" s="138" t="str">
        <f>IF(ISERROR(VLOOKUP(C1375,'[1]خريطة الحسابات'!_xlnm.Print_Area,5,FALSE))," ",(VLOOKUP(C1375,'[1]خريطة الحسابات'!_xlnm.Print_Area,5,FALSE)))</f>
        <v>الاصول</v>
      </c>
      <c r="O1375" s="84" t="s">
        <v>1897</v>
      </c>
      <c r="P1375" s="84" t="s">
        <v>1292</v>
      </c>
    </row>
    <row r="1376" spans="1:16">
      <c r="A1376" s="104">
        <v>59</v>
      </c>
      <c r="B1376" s="131">
        <v>46163</v>
      </c>
      <c r="C1376" s="141">
        <v>20</v>
      </c>
      <c r="D1376" s="140" t="str">
        <f>IF(ISERROR(VLOOKUP(C1376,'[1]خريطة الحسابات'!_xlnm.Print_Area,3,FALSE))," ",(VLOOKUP(C1376,'[1]خريطة الحسابات'!_xlnm.Print_Area,3,FALSE)))</f>
        <v xml:space="preserve">الخزينة </v>
      </c>
      <c r="E1376" s="142"/>
      <c r="F1376" s="133"/>
      <c r="G1376" s="133">
        <v>600</v>
      </c>
      <c r="H1376" s="134">
        <f t="shared" si="64"/>
        <v>0</v>
      </c>
      <c r="I1376" s="134">
        <f t="shared" si="64"/>
        <v>600</v>
      </c>
      <c r="J1376" s="134">
        <f t="shared" si="63"/>
        <v>-600</v>
      </c>
      <c r="K1376" s="135"/>
      <c r="L1376" s="136" t="str">
        <f t="shared" si="65"/>
        <v>دائن</v>
      </c>
      <c r="M1376" s="137" t="str">
        <f>IF(ISERROR(VLOOKUP(C1376,'[1]خريطة الحسابات'!_xlnm.Print_Area,4,FALSE))," ",(VLOOKUP(C1376,'[1]خريطة الحسابات'!_xlnm.Print_Area,4,FALSE)))</f>
        <v xml:space="preserve">أصول متداوله -النقدية ومافي حكمها </v>
      </c>
      <c r="N1376" s="138" t="str">
        <f>IF(ISERROR(VLOOKUP(C1376,'[1]خريطة الحسابات'!_xlnm.Print_Area,5,FALSE))," ",(VLOOKUP(C1376,'[1]خريطة الحسابات'!_xlnm.Print_Area,5,FALSE)))</f>
        <v>الاصول</v>
      </c>
      <c r="O1376" s="84" t="s">
        <v>1898</v>
      </c>
      <c r="P1376" s="84" t="s">
        <v>1292</v>
      </c>
    </row>
    <row r="1377" spans="1:16">
      <c r="A1377" s="104">
        <v>59</v>
      </c>
      <c r="B1377" s="131">
        <v>46050</v>
      </c>
      <c r="C1377" s="141">
        <v>20</v>
      </c>
      <c r="D1377" s="140" t="str">
        <f>IF(ISERROR(VLOOKUP(C1377,'[1]خريطة الحسابات'!_xlnm.Print_Area,3,FALSE))," ",(VLOOKUP(C1377,'[1]خريطة الحسابات'!_xlnm.Print_Area,3,FALSE)))</f>
        <v xml:space="preserve">الخزينة </v>
      </c>
      <c r="E1377" s="142"/>
      <c r="F1377" s="133"/>
      <c r="G1377" s="133">
        <v>11410</v>
      </c>
      <c r="H1377" s="134">
        <f t="shared" si="64"/>
        <v>0</v>
      </c>
      <c r="I1377" s="134">
        <f t="shared" si="64"/>
        <v>11410</v>
      </c>
      <c r="J1377" s="134">
        <f t="shared" si="63"/>
        <v>-11410</v>
      </c>
      <c r="K1377" s="135"/>
      <c r="L1377" s="136" t="str">
        <f t="shared" si="65"/>
        <v>دائن</v>
      </c>
      <c r="M1377" s="137" t="str">
        <f>IF(ISERROR(VLOOKUP(C1377,'[1]خريطة الحسابات'!_xlnm.Print_Area,4,FALSE))," ",(VLOOKUP(C1377,'[1]خريطة الحسابات'!_xlnm.Print_Area,4,FALSE)))</f>
        <v xml:space="preserve">أصول متداوله -النقدية ومافي حكمها </v>
      </c>
      <c r="N1377" s="138" t="str">
        <f>IF(ISERROR(VLOOKUP(C1377,'[1]خريطة الحسابات'!_xlnm.Print_Area,5,FALSE))," ",(VLOOKUP(C1377,'[1]خريطة الحسابات'!_xlnm.Print_Area,5,FALSE)))</f>
        <v>الاصول</v>
      </c>
      <c r="O1377" s="84" t="s">
        <v>1899</v>
      </c>
      <c r="P1377" s="84" t="s">
        <v>1295</v>
      </c>
    </row>
    <row r="1378" spans="1:16">
      <c r="A1378" s="104">
        <v>59</v>
      </c>
      <c r="B1378" s="131">
        <v>46057</v>
      </c>
      <c r="C1378" s="141">
        <v>20</v>
      </c>
      <c r="D1378" s="140" t="str">
        <f>IF(ISERROR(VLOOKUP(C1378,'[1]خريطة الحسابات'!_xlnm.Print_Area,3,FALSE))," ",(VLOOKUP(C1378,'[1]خريطة الحسابات'!_xlnm.Print_Area,3,FALSE)))</f>
        <v xml:space="preserve">الخزينة </v>
      </c>
      <c r="E1378" s="142"/>
      <c r="F1378" s="133"/>
      <c r="G1378" s="133">
        <v>4505</v>
      </c>
      <c r="H1378" s="134">
        <f t="shared" si="64"/>
        <v>0</v>
      </c>
      <c r="I1378" s="134">
        <f t="shared" si="64"/>
        <v>4505</v>
      </c>
      <c r="J1378" s="134">
        <f t="shared" si="63"/>
        <v>-4505</v>
      </c>
      <c r="K1378" s="135"/>
      <c r="L1378" s="136" t="str">
        <f t="shared" si="65"/>
        <v>دائن</v>
      </c>
      <c r="M1378" s="137" t="str">
        <f>IF(ISERROR(VLOOKUP(C1378,'[1]خريطة الحسابات'!_xlnm.Print_Area,4,FALSE))," ",(VLOOKUP(C1378,'[1]خريطة الحسابات'!_xlnm.Print_Area,4,FALSE)))</f>
        <v xml:space="preserve">أصول متداوله -النقدية ومافي حكمها </v>
      </c>
      <c r="N1378" s="138" t="str">
        <f>IF(ISERROR(VLOOKUP(C1378,'[1]خريطة الحسابات'!_xlnm.Print_Area,5,FALSE))," ",(VLOOKUP(C1378,'[1]خريطة الحسابات'!_xlnm.Print_Area,5,FALSE)))</f>
        <v>الاصول</v>
      </c>
      <c r="O1378" s="84" t="s">
        <v>1900</v>
      </c>
      <c r="P1378" s="84" t="s">
        <v>1295</v>
      </c>
    </row>
    <row r="1379" spans="1:16">
      <c r="A1379" s="104">
        <v>59</v>
      </c>
      <c r="B1379" s="131">
        <v>46058</v>
      </c>
      <c r="C1379" s="141">
        <v>20</v>
      </c>
      <c r="D1379" s="140" t="str">
        <f>IF(ISERROR(VLOOKUP(C1379,'[1]خريطة الحسابات'!_xlnm.Print_Area,3,FALSE))," ",(VLOOKUP(C1379,'[1]خريطة الحسابات'!_xlnm.Print_Area,3,FALSE)))</f>
        <v xml:space="preserve">الخزينة </v>
      </c>
      <c r="E1379" s="142"/>
      <c r="F1379" s="133"/>
      <c r="G1379" s="133">
        <v>500</v>
      </c>
      <c r="H1379" s="134">
        <f t="shared" si="64"/>
        <v>0</v>
      </c>
      <c r="I1379" s="134">
        <f t="shared" si="64"/>
        <v>500</v>
      </c>
      <c r="J1379" s="134">
        <f t="shared" si="63"/>
        <v>-500</v>
      </c>
      <c r="K1379" s="135"/>
      <c r="L1379" s="136" t="str">
        <f t="shared" si="65"/>
        <v>دائن</v>
      </c>
      <c r="M1379" s="137" t="str">
        <f>IF(ISERROR(VLOOKUP(C1379,'[1]خريطة الحسابات'!_xlnm.Print_Area,4,FALSE))," ",(VLOOKUP(C1379,'[1]خريطة الحسابات'!_xlnm.Print_Area,4,FALSE)))</f>
        <v xml:space="preserve">أصول متداوله -النقدية ومافي حكمها </v>
      </c>
      <c r="N1379" s="138" t="str">
        <f>IF(ISERROR(VLOOKUP(C1379,'[1]خريطة الحسابات'!_xlnm.Print_Area,5,FALSE))," ",(VLOOKUP(C1379,'[1]خريطة الحسابات'!_xlnm.Print_Area,5,FALSE)))</f>
        <v>الاصول</v>
      </c>
      <c r="O1379" s="84" t="s">
        <v>1901</v>
      </c>
      <c r="P1379" s="84" t="s">
        <v>1295</v>
      </c>
    </row>
    <row r="1380" spans="1:16">
      <c r="A1380" s="104">
        <v>59</v>
      </c>
      <c r="B1380" s="131">
        <v>46086</v>
      </c>
      <c r="C1380" s="141">
        <v>20</v>
      </c>
      <c r="D1380" s="140" t="str">
        <f>IF(ISERROR(VLOOKUP(C1380,'[1]خريطة الحسابات'!_xlnm.Print_Area,3,FALSE))," ",(VLOOKUP(C1380,'[1]خريطة الحسابات'!_xlnm.Print_Area,3,FALSE)))</f>
        <v xml:space="preserve">الخزينة </v>
      </c>
      <c r="E1380" s="142"/>
      <c r="F1380" s="133"/>
      <c r="G1380" s="133">
        <v>1840</v>
      </c>
      <c r="H1380" s="134">
        <f t="shared" si="64"/>
        <v>0</v>
      </c>
      <c r="I1380" s="134">
        <f t="shared" si="64"/>
        <v>1840</v>
      </c>
      <c r="J1380" s="134">
        <f t="shared" si="63"/>
        <v>-1840</v>
      </c>
      <c r="K1380" s="135"/>
      <c r="L1380" s="136" t="str">
        <f t="shared" si="65"/>
        <v>دائن</v>
      </c>
      <c r="M1380" s="137" t="str">
        <f>IF(ISERROR(VLOOKUP(C1380,'[1]خريطة الحسابات'!_xlnm.Print_Area,4,FALSE))," ",(VLOOKUP(C1380,'[1]خريطة الحسابات'!_xlnm.Print_Area,4,FALSE)))</f>
        <v xml:space="preserve">أصول متداوله -النقدية ومافي حكمها </v>
      </c>
      <c r="N1380" s="138" t="str">
        <f>IF(ISERROR(VLOOKUP(C1380,'[1]خريطة الحسابات'!_xlnm.Print_Area,5,FALSE))," ",(VLOOKUP(C1380,'[1]خريطة الحسابات'!_xlnm.Print_Area,5,FALSE)))</f>
        <v>الاصول</v>
      </c>
      <c r="O1380" s="84" t="s">
        <v>1902</v>
      </c>
      <c r="P1380" s="84" t="s">
        <v>1295</v>
      </c>
    </row>
    <row r="1381" spans="1:16">
      <c r="A1381" s="104">
        <v>59</v>
      </c>
      <c r="B1381" s="131">
        <v>46086</v>
      </c>
      <c r="C1381" s="141">
        <v>20</v>
      </c>
      <c r="D1381" s="140" t="str">
        <f>IF(ISERROR(VLOOKUP(C1381,'[1]خريطة الحسابات'!_xlnm.Print_Area,3,FALSE))," ",(VLOOKUP(C1381,'[1]خريطة الحسابات'!_xlnm.Print_Area,3,FALSE)))</f>
        <v xml:space="preserve">الخزينة </v>
      </c>
      <c r="E1381" s="142"/>
      <c r="F1381" s="133"/>
      <c r="G1381" s="133">
        <v>8744</v>
      </c>
      <c r="H1381" s="134">
        <f t="shared" si="64"/>
        <v>0</v>
      </c>
      <c r="I1381" s="134">
        <f t="shared" si="64"/>
        <v>8744</v>
      </c>
      <c r="J1381" s="134">
        <f t="shared" si="63"/>
        <v>-8744</v>
      </c>
      <c r="K1381" s="135"/>
      <c r="L1381" s="136" t="str">
        <f t="shared" si="65"/>
        <v>دائن</v>
      </c>
      <c r="M1381" s="137" t="str">
        <f>IF(ISERROR(VLOOKUP(C1381,'[1]خريطة الحسابات'!_xlnm.Print_Area,4,FALSE))," ",(VLOOKUP(C1381,'[1]خريطة الحسابات'!_xlnm.Print_Area,4,FALSE)))</f>
        <v xml:space="preserve">أصول متداوله -النقدية ومافي حكمها </v>
      </c>
      <c r="N1381" s="138" t="str">
        <f>IF(ISERROR(VLOOKUP(C1381,'[1]خريطة الحسابات'!_xlnm.Print_Area,5,FALSE))," ",(VLOOKUP(C1381,'[1]خريطة الحسابات'!_xlnm.Print_Area,5,FALSE)))</f>
        <v>الاصول</v>
      </c>
      <c r="O1381" s="84" t="s">
        <v>1903</v>
      </c>
      <c r="P1381" s="84" t="s">
        <v>1295</v>
      </c>
    </row>
    <row r="1382" spans="1:16">
      <c r="A1382" s="104">
        <v>59</v>
      </c>
      <c r="B1382" s="131">
        <v>46096</v>
      </c>
      <c r="C1382" s="141">
        <v>20</v>
      </c>
      <c r="D1382" s="140" t="str">
        <f>IF(ISERROR(VLOOKUP(C1382,'[1]خريطة الحسابات'!_xlnm.Print_Area,3,FALSE))," ",(VLOOKUP(C1382,'[1]خريطة الحسابات'!_xlnm.Print_Area,3,FALSE)))</f>
        <v xml:space="preserve">الخزينة </v>
      </c>
      <c r="E1382" s="142"/>
      <c r="F1382" s="133"/>
      <c r="G1382" s="133">
        <v>2002</v>
      </c>
      <c r="H1382" s="134">
        <f t="shared" si="64"/>
        <v>0</v>
      </c>
      <c r="I1382" s="134">
        <f t="shared" si="64"/>
        <v>2002</v>
      </c>
      <c r="J1382" s="134">
        <f t="shared" si="63"/>
        <v>-2002</v>
      </c>
      <c r="K1382" s="135"/>
      <c r="L1382" s="136" t="str">
        <f t="shared" si="65"/>
        <v>دائن</v>
      </c>
      <c r="M1382" s="137" t="str">
        <f>IF(ISERROR(VLOOKUP(C1382,'[1]خريطة الحسابات'!_xlnm.Print_Area,4,FALSE))," ",(VLOOKUP(C1382,'[1]خريطة الحسابات'!_xlnm.Print_Area,4,FALSE)))</f>
        <v xml:space="preserve">أصول متداوله -النقدية ومافي حكمها </v>
      </c>
      <c r="N1382" s="138" t="str">
        <f>IF(ISERROR(VLOOKUP(C1382,'[1]خريطة الحسابات'!_xlnm.Print_Area,5,FALSE))," ",(VLOOKUP(C1382,'[1]خريطة الحسابات'!_xlnm.Print_Area,5,FALSE)))</f>
        <v>الاصول</v>
      </c>
      <c r="O1382" s="84" t="s">
        <v>1904</v>
      </c>
      <c r="P1382" s="84" t="s">
        <v>1295</v>
      </c>
    </row>
    <row r="1383" spans="1:16">
      <c r="A1383" s="104">
        <v>59</v>
      </c>
      <c r="B1383" s="131">
        <v>46097</v>
      </c>
      <c r="C1383" s="141">
        <v>20</v>
      </c>
      <c r="D1383" s="140" t="str">
        <f>IF(ISERROR(VLOOKUP(C1383,'[1]خريطة الحسابات'!_xlnm.Print_Area,3,FALSE))," ",(VLOOKUP(C1383,'[1]خريطة الحسابات'!_xlnm.Print_Area,3,FALSE)))</f>
        <v xml:space="preserve">الخزينة </v>
      </c>
      <c r="E1383" s="142"/>
      <c r="F1383" s="133"/>
      <c r="G1383" s="133">
        <v>6245</v>
      </c>
      <c r="H1383" s="134">
        <f t="shared" si="64"/>
        <v>0</v>
      </c>
      <c r="I1383" s="134">
        <f t="shared" si="64"/>
        <v>6245</v>
      </c>
      <c r="J1383" s="134">
        <f t="shared" si="63"/>
        <v>-6245</v>
      </c>
      <c r="K1383" s="135"/>
      <c r="L1383" s="136" t="str">
        <f t="shared" si="65"/>
        <v>دائن</v>
      </c>
      <c r="M1383" s="137" t="str">
        <f>IF(ISERROR(VLOOKUP(C1383,'[1]خريطة الحسابات'!_xlnm.Print_Area,4,FALSE))," ",(VLOOKUP(C1383,'[1]خريطة الحسابات'!_xlnm.Print_Area,4,FALSE)))</f>
        <v xml:space="preserve">أصول متداوله -النقدية ومافي حكمها </v>
      </c>
      <c r="N1383" s="138" t="str">
        <f>IF(ISERROR(VLOOKUP(C1383,'[1]خريطة الحسابات'!_xlnm.Print_Area,5,FALSE))," ",(VLOOKUP(C1383,'[1]خريطة الحسابات'!_xlnm.Print_Area,5,FALSE)))</f>
        <v>الاصول</v>
      </c>
      <c r="O1383" s="84" t="s">
        <v>1905</v>
      </c>
      <c r="P1383" s="84" t="s">
        <v>1295</v>
      </c>
    </row>
    <row r="1384" spans="1:16">
      <c r="A1384" s="104">
        <v>59</v>
      </c>
      <c r="B1384" s="131">
        <v>46099</v>
      </c>
      <c r="C1384" s="141">
        <v>20</v>
      </c>
      <c r="D1384" s="140" t="str">
        <f>IF(ISERROR(VLOOKUP(C1384,'[1]خريطة الحسابات'!_xlnm.Print_Area,3,FALSE))," ",(VLOOKUP(C1384,'[1]خريطة الحسابات'!_xlnm.Print_Area,3,FALSE)))</f>
        <v xml:space="preserve">الخزينة </v>
      </c>
      <c r="E1384" s="142"/>
      <c r="F1384" s="133"/>
      <c r="G1384" s="133">
        <v>2205</v>
      </c>
      <c r="H1384" s="134">
        <f t="shared" si="64"/>
        <v>0</v>
      </c>
      <c r="I1384" s="134">
        <f t="shared" si="64"/>
        <v>2205</v>
      </c>
      <c r="J1384" s="134">
        <f t="shared" si="63"/>
        <v>-2205</v>
      </c>
      <c r="K1384" s="135"/>
      <c r="L1384" s="136" t="str">
        <f t="shared" si="65"/>
        <v>دائن</v>
      </c>
      <c r="M1384" s="137" t="str">
        <f>IF(ISERROR(VLOOKUP(C1384,'[1]خريطة الحسابات'!_xlnm.Print_Area,4,FALSE))," ",(VLOOKUP(C1384,'[1]خريطة الحسابات'!_xlnm.Print_Area,4,FALSE)))</f>
        <v xml:space="preserve">أصول متداوله -النقدية ومافي حكمها </v>
      </c>
      <c r="N1384" s="138" t="str">
        <f>IF(ISERROR(VLOOKUP(C1384,'[1]خريطة الحسابات'!_xlnm.Print_Area,5,FALSE))," ",(VLOOKUP(C1384,'[1]خريطة الحسابات'!_xlnm.Print_Area,5,FALSE)))</f>
        <v>الاصول</v>
      </c>
      <c r="O1384" s="84" t="s">
        <v>1906</v>
      </c>
      <c r="P1384" s="84" t="s">
        <v>1295</v>
      </c>
    </row>
    <row r="1385" spans="1:16">
      <c r="A1385" s="104">
        <v>59</v>
      </c>
      <c r="B1385" s="131">
        <v>46132</v>
      </c>
      <c r="C1385" s="141">
        <v>20</v>
      </c>
      <c r="D1385" s="149" t="str">
        <f>IF(ISERROR(VLOOKUP(C1385,'[1]خريطة الحسابات'!_xlnm.Print_Area,3,FALSE))," ",(VLOOKUP(C1385,'[1]خريطة الحسابات'!_xlnm.Print_Area,3,FALSE)))</f>
        <v xml:space="preserve">الخزينة </v>
      </c>
      <c r="E1385" s="143"/>
      <c r="F1385" s="133"/>
      <c r="G1385" s="133">
        <v>395</v>
      </c>
      <c r="H1385" s="134">
        <f t="shared" si="64"/>
        <v>0</v>
      </c>
      <c r="I1385" s="134">
        <f t="shared" si="64"/>
        <v>395</v>
      </c>
      <c r="J1385" s="134">
        <f t="shared" si="63"/>
        <v>-395</v>
      </c>
      <c r="K1385" s="144"/>
      <c r="L1385" s="136" t="str">
        <f t="shared" si="65"/>
        <v>دائن</v>
      </c>
      <c r="M1385" s="137" t="str">
        <f>IF(ISERROR(VLOOKUP(C1385,'[1]خريطة الحسابات'!_xlnm.Print_Area,4,FALSE))," ",(VLOOKUP(C1385,'[1]خريطة الحسابات'!_xlnm.Print_Area,4,FALSE)))</f>
        <v xml:space="preserve">أصول متداوله -النقدية ومافي حكمها </v>
      </c>
      <c r="N1385" s="138" t="str">
        <f>IF(ISERROR(VLOOKUP(C1385,'[1]خريطة الحسابات'!_xlnm.Print_Area,5,FALSE))," ",(VLOOKUP(C1385,'[1]خريطة الحسابات'!_xlnm.Print_Area,5,FALSE)))</f>
        <v>الاصول</v>
      </c>
      <c r="O1385" s="84" t="s">
        <v>1907</v>
      </c>
      <c r="P1385" s="84" t="s">
        <v>1295</v>
      </c>
    </row>
    <row r="1386" spans="1:16">
      <c r="A1386" s="104">
        <v>59</v>
      </c>
      <c r="B1386" s="131">
        <v>46068</v>
      </c>
      <c r="C1386" s="141">
        <v>20</v>
      </c>
      <c r="D1386" s="140" t="str">
        <f>IF(ISERROR(VLOOKUP(C1386,'[1]خريطة الحسابات'!_xlnm.Print_Area,3,FALSE))," ",(VLOOKUP(C1386,'[1]خريطة الحسابات'!_xlnm.Print_Area,3,FALSE)))</f>
        <v xml:space="preserve">الخزينة </v>
      </c>
      <c r="E1386" s="142"/>
      <c r="F1386" s="133"/>
      <c r="G1386" s="133">
        <v>13680</v>
      </c>
      <c r="H1386" s="134">
        <f t="shared" si="64"/>
        <v>0</v>
      </c>
      <c r="I1386" s="134">
        <f t="shared" si="64"/>
        <v>13680</v>
      </c>
      <c r="J1386" s="134">
        <f t="shared" si="63"/>
        <v>-13680</v>
      </c>
      <c r="K1386" s="135"/>
      <c r="L1386" s="136" t="str">
        <f t="shared" si="65"/>
        <v>دائن</v>
      </c>
      <c r="M1386" s="137" t="str">
        <f>IF(ISERROR(VLOOKUP(C1386,'[1]خريطة الحسابات'!_xlnm.Print_Area,4,FALSE))," ",(VLOOKUP(C1386,'[1]خريطة الحسابات'!_xlnm.Print_Area,4,FALSE)))</f>
        <v xml:space="preserve">أصول متداوله -النقدية ومافي حكمها </v>
      </c>
      <c r="N1386" s="138" t="str">
        <f>IF(ISERROR(VLOOKUP(C1386,'[1]خريطة الحسابات'!_xlnm.Print_Area,5,FALSE))," ",(VLOOKUP(C1386,'[1]خريطة الحسابات'!_xlnm.Print_Area,5,FALSE)))</f>
        <v>الاصول</v>
      </c>
      <c r="O1386" s="84" t="s">
        <v>1908</v>
      </c>
      <c r="P1386" s="84" t="s">
        <v>1327</v>
      </c>
    </row>
    <row r="1387" spans="1:16">
      <c r="A1387" s="104">
        <v>59</v>
      </c>
      <c r="B1387" s="131">
        <v>46070</v>
      </c>
      <c r="C1387" s="141">
        <v>20</v>
      </c>
      <c r="D1387" s="140" t="str">
        <f>IF(ISERROR(VLOOKUP(C1387,'[1]خريطة الحسابات'!_xlnm.Print_Area,3,FALSE))," ",(VLOOKUP(C1387,'[1]خريطة الحسابات'!_xlnm.Print_Area,3,FALSE)))</f>
        <v xml:space="preserve">الخزينة </v>
      </c>
      <c r="E1387" s="142"/>
      <c r="F1387" s="133"/>
      <c r="G1387" s="133">
        <v>300</v>
      </c>
      <c r="H1387" s="134">
        <f t="shared" si="64"/>
        <v>0</v>
      </c>
      <c r="I1387" s="134">
        <f t="shared" si="64"/>
        <v>300</v>
      </c>
      <c r="J1387" s="134">
        <f t="shared" si="63"/>
        <v>-300</v>
      </c>
      <c r="K1387" s="135"/>
      <c r="L1387" s="136" t="str">
        <f t="shared" si="65"/>
        <v>دائن</v>
      </c>
      <c r="M1387" s="137" t="str">
        <f>IF(ISERROR(VLOOKUP(C1387,'[1]خريطة الحسابات'!_xlnm.Print_Area,4,FALSE))," ",(VLOOKUP(C1387,'[1]خريطة الحسابات'!_xlnm.Print_Area,4,FALSE)))</f>
        <v xml:space="preserve">أصول متداوله -النقدية ومافي حكمها </v>
      </c>
      <c r="N1387" s="138" t="str">
        <f>IF(ISERROR(VLOOKUP(C1387,'[1]خريطة الحسابات'!_xlnm.Print_Area,5,FALSE))," ",(VLOOKUP(C1387,'[1]خريطة الحسابات'!_xlnm.Print_Area,5,FALSE)))</f>
        <v>الاصول</v>
      </c>
      <c r="O1387" s="84" t="s">
        <v>1909</v>
      </c>
      <c r="P1387" s="84" t="s">
        <v>1327</v>
      </c>
    </row>
    <row r="1388" spans="1:16">
      <c r="A1388" s="104">
        <v>59</v>
      </c>
      <c r="B1388" s="131">
        <v>46082</v>
      </c>
      <c r="C1388" s="141">
        <v>20</v>
      </c>
      <c r="D1388" s="140" t="str">
        <f>IF(ISERROR(VLOOKUP(C1388,'[1]خريطة الحسابات'!_xlnm.Print_Area,3,FALSE))," ",(VLOOKUP(C1388,'[1]خريطة الحسابات'!_xlnm.Print_Area,3,FALSE)))</f>
        <v xml:space="preserve">الخزينة </v>
      </c>
      <c r="E1388" s="142"/>
      <c r="F1388" s="133"/>
      <c r="G1388" s="133">
        <v>700</v>
      </c>
      <c r="H1388" s="134">
        <f t="shared" si="64"/>
        <v>0</v>
      </c>
      <c r="I1388" s="134">
        <f t="shared" si="64"/>
        <v>700</v>
      </c>
      <c r="J1388" s="134">
        <f t="shared" si="63"/>
        <v>-700</v>
      </c>
      <c r="K1388" s="135"/>
      <c r="L1388" s="136" t="str">
        <f t="shared" si="65"/>
        <v>دائن</v>
      </c>
      <c r="M1388" s="137" t="str">
        <f>IF(ISERROR(VLOOKUP(C1388,'[1]خريطة الحسابات'!_xlnm.Print_Area,4,FALSE))," ",(VLOOKUP(C1388,'[1]خريطة الحسابات'!_xlnm.Print_Area,4,FALSE)))</f>
        <v xml:space="preserve">أصول متداوله -النقدية ومافي حكمها </v>
      </c>
      <c r="N1388" s="138" t="str">
        <f>IF(ISERROR(VLOOKUP(C1388,'[1]خريطة الحسابات'!_xlnm.Print_Area,5,FALSE))," ",(VLOOKUP(C1388,'[1]خريطة الحسابات'!_xlnm.Print_Area,5,FALSE)))</f>
        <v>الاصول</v>
      </c>
      <c r="O1388" s="84" t="s">
        <v>1910</v>
      </c>
      <c r="P1388" s="84" t="s">
        <v>1327</v>
      </c>
    </row>
    <row r="1389" spans="1:16">
      <c r="A1389" s="104">
        <v>59</v>
      </c>
      <c r="B1389" s="131">
        <v>46093</v>
      </c>
      <c r="C1389" s="141">
        <v>20</v>
      </c>
      <c r="D1389" s="140" t="str">
        <f>IF(ISERROR(VLOOKUP(C1389,'[1]خريطة الحسابات'!_xlnm.Print_Area,3,FALSE))," ",(VLOOKUP(C1389,'[1]خريطة الحسابات'!_xlnm.Print_Area,3,FALSE)))</f>
        <v xml:space="preserve">الخزينة </v>
      </c>
      <c r="E1389" s="142"/>
      <c r="F1389" s="133"/>
      <c r="G1389" s="133">
        <v>2763</v>
      </c>
      <c r="H1389" s="134">
        <f t="shared" si="64"/>
        <v>0</v>
      </c>
      <c r="I1389" s="134">
        <f t="shared" si="64"/>
        <v>2763</v>
      </c>
      <c r="J1389" s="134">
        <f t="shared" si="63"/>
        <v>-2763</v>
      </c>
      <c r="K1389" s="135"/>
      <c r="L1389" s="136" t="str">
        <f t="shared" si="65"/>
        <v>دائن</v>
      </c>
      <c r="M1389" s="137" t="str">
        <f>IF(ISERROR(VLOOKUP(C1389,'[1]خريطة الحسابات'!_xlnm.Print_Area,4,FALSE))," ",(VLOOKUP(C1389,'[1]خريطة الحسابات'!_xlnm.Print_Area,4,FALSE)))</f>
        <v xml:space="preserve">أصول متداوله -النقدية ومافي حكمها </v>
      </c>
      <c r="N1389" s="138" t="str">
        <f>IF(ISERROR(VLOOKUP(C1389,'[1]خريطة الحسابات'!_xlnm.Print_Area,5,FALSE))," ",(VLOOKUP(C1389,'[1]خريطة الحسابات'!_xlnm.Print_Area,5,FALSE)))</f>
        <v>الاصول</v>
      </c>
      <c r="O1389" s="84" t="s">
        <v>1911</v>
      </c>
      <c r="P1389" s="84" t="s">
        <v>1327</v>
      </c>
    </row>
    <row r="1390" spans="1:16">
      <c r="A1390" s="104">
        <v>59</v>
      </c>
      <c r="B1390" s="131">
        <v>46096</v>
      </c>
      <c r="C1390" s="141">
        <v>20</v>
      </c>
      <c r="D1390" s="140" t="str">
        <f>IF(ISERROR(VLOOKUP(C1390,'[1]خريطة الحسابات'!_xlnm.Print_Area,3,FALSE))," ",(VLOOKUP(C1390,'[1]خريطة الحسابات'!_xlnm.Print_Area,3,FALSE)))</f>
        <v xml:space="preserve">الخزينة </v>
      </c>
      <c r="E1390" s="142"/>
      <c r="F1390" s="133"/>
      <c r="G1390" s="133">
        <v>4555</v>
      </c>
      <c r="H1390" s="134">
        <f t="shared" si="64"/>
        <v>0</v>
      </c>
      <c r="I1390" s="134">
        <f t="shared" si="64"/>
        <v>4555</v>
      </c>
      <c r="J1390" s="134">
        <f t="shared" si="63"/>
        <v>-4555</v>
      </c>
      <c r="K1390" s="135"/>
      <c r="L1390" s="136" t="str">
        <f t="shared" si="65"/>
        <v>دائن</v>
      </c>
      <c r="M1390" s="137" t="str">
        <f>IF(ISERROR(VLOOKUP(C1390,'[1]خريطة الحسابات'!_xlnm.Print_Area,4,FALSE))," ",(VLOOKUP(C1390,'[1]خريطة الحسابات'!_xlnm.Print_Area,4,FALSE)))</f>
        <v xml:space="preserve">أصول متداوله -النقدية ومافي حكمها </v>
      </c>
      <c r="N1390" s="138" t="str">
        <f>IF(ISERROR(VLOOKUP(C1390,'[1]خريطة الحسابات'!_xlnm.Print_Area,5,FALSE))," ",(VLOOKUP(C1390,'[1]خريطة الحسابات'!_xlnm.Print_Area,5,FALSE)))</f>
        <v>الاصول</v>
      </c>
      <c r="O1390" s="84" t="s">
        <v>1912</v>
      </c>
      <c r="P1390" s="84" t="s">
        <v>1327</v>
      </c>
    </row>
    <row r="1391" spans="1:16">
      <c r="A1391" s="104">
        <v>59</v>
      </c>
      <c r="B1391" s="131">
        <v>46099</v>
      </c>
      <c r="C1391" s="141">
        <v>20</v>
      </c>
      <c r="D1391" s="140" t="str">
        <f>IF(ISERROR(VLOOKUP(C1391,'[1]خريطة الحسابات'!_xlnm.Print_Area,3,FALSE))," ",(VLOOKUP(C1391,'[1]خريطة الحسابات'!_xlnm.Print_Area,3,FALSE)))</f>
        <v xml:space="preserve">الخزينة </v>
      </c>
      <c r="E1391" s="142"/>
      <c r="F1391" s="133"/>
      <c r="G1391" s="133">
        <v>700</v>
      </c>
      <c r="H1391" s="134">
        <f t="shared" si="64"/>
        <v>0</v>
      </c>
      <c r="I1391" s="134">
        <f t="shared" si="64"/>
        <v>700</v>
      </c>
      <c r="J1391" s="134">
        <f t="shared" si="63"/>
        <v>-700</v>
      </c>
      <c r="K1391" s="135"/>
      <c r="L1391" s="136" t="str">
        <f t="shared" si="65"/>
        <v>دائن</v>
      </c>
      <c r="M1391" s="137" t="str">
        <f>IF(ISERROR(VLOOKUP(C1391,'[1]خريطة الحسابات'!_xlnm.Print_Area,4,FALSE))," ",(VLOOKUP(C1391,'[1]خريطة الحسابات'!_xlnm.Print_Area,4,FALSE)))</f>
        <v xml:space="preserve">أصول متداوله -النقدية ومافي حكمها </v>
      </c>
      <c r="N1391" s="138" t="str">
        <f>IF(ISERROR(VLOOKUP(C1391,'[1]خريطة الحسابات'!_xlnm.Print_Area,5,FALSE))," ",(VLOOKUP(C1391,'[1]خريطة الحسابات'!_xlnm.Print_Area,5,FALSE)))</f>
        <v>الاصول</v>
      </c>
      <c r="O1391" s="84" t="s">
        <v>1913</v>
      </c>
      <c r="P1391" s="84" t="s">
        <v>1327</v>
      </c>
    </row>
    <row r="1392" spans="1:16">
      <c r="A1392" s="104">
        <v>59</v>
      </c>
      <c r="B1392" s="131">
        <v>46128</v>
      </c>
      <c r="C1392" s="141">
        <v>20</v>
      </c>
      <c r="D1392" s="140" t="str">
        <f>IF(ISERROR(VLOOKUP(C1392,'[1]خريطة الحسابات'!_xlnm.Print_Area,3,FALSE))," ",(VLOOKUP(C1392,'[1]خريطة الحسابات'!_xlnm.Print_Area,3,FALSE)))</f>
        <v xml:space="preserve">الخزينة </v>
      </c>
      <c r="E1392" s="142"/>
      <c r="F1392" s="133"/>
      <c r="G1392" s="133">
        <v>5200</v>
      </c>
      <c r="H1392" s="134">
        <f t="shared" si="64"/>
        <v>0</v>
      </c>
      <c r="I1392" s="134">
        <f t="shared" si="64"/>
        <v>5200</v>
      </c>
      <c r="J1392" s="134">
        <f t="shared" si="63"/>
        <v>-5200</v>
      </c>
      <c r="K1392" s="135"/>
      <c r="L1392" s="136" t="str">
        <f t="shared" si="65"/>
        <v>دائن</v>
      </c>
      <c r="M1392" s="137" t="str">
        <f>IF(ISERROR(VLOOKUP(C1392,'[1]خريطة الحسابات'!_xlnm.Print_Area,4,FALSE))," ",(VLOOKUP(C1392,'[1]خريطة الحسابات'!_xlnm.Print_Area,4,FALSE)))</f>
        <v xml:space="preserve">أصول متداوله -النقدية ومافي حكمها </v>
      </c>
      <c r="N1392" s="138" t="str">
        <f>IF(ISERROR(VLOOKUP(C1392,'[1]خريطة الحسابات'!_xlnm.Print_Area,5,FALSE))," ",(VLOOKUP(C1392,'[1]خريطة الحسابات'!_xlnm.Print_Area,5,FALSE)))</f>
        <v>الاصول</v>
      </c>
      <c r="O1392" s="84" t="s">
        <v>1914</v>
      </c>
      <c r="P1392" s="84" t="s">
        <v>1327</v>
      </c>
    </row>
    <row r="1393" spans="1:16">
      <c r="A1393" s="104">
        <v>59</v>
      </c>
      <c r="B1393" s="131">
        <v>46133</v>
      </c>
      <c r="C1393" s="141">
        <v>20</v>
      </c>
      <c r="D1393" s="140" t="str">
        <f>IF(ISERROR(VLOOKUP(C1393,'[1]خريطة الحسابات'!_xlnm.Print_Area,3,FALSE))," ",(VLOOKUP(C1393,'[1]خريطة الحسابات'!_xlnm.Print_Area,3,FALSE)))</f>
        <v xml:space="preserve">الخزينة </v>
      </c>
      <c r="E1393" s="142"/>
      <c r="F1393" s="133"/>
      <c r="G1393" s="133">
        <v>520</v>
      </c>
      <c r="H1393" s="134">
        <f t="shared" si="64"/>
        <v>0</v>
      </c>
      <c r="I1393" s="134">
        <f t="shared" si="64"/>
        <v>520</v>
      </c>
      <c r="J1393" s="134">
        <f t="shared" si="63"/>
        <v>-520</v>
      </c>
      <c r="K1393" s="135"/>
      <c r="L1393" s="136" t="str">
        <f t="shared" si="65"/>
        <v>دائن</v>
      </c>
      <c r="M1393" s="137" t="str">
        <f>IF(ISERROR(VLOOKUP(C1393,'[1]خريطة الحسابات'!_xlnm.Print_Area,4,FALSE))," ",(VLOOKUP(C1393,'[1]خريطة الحسابات'!_xlnm.Print_Area,4,FALSE)))</f>
        <v xml:space="preserve">أصول متداوله -النقدية ومافي حكمها </v>
      </c>
      <c r="N1393" s="138" t="str">
        <f>IF(ISERROR(VLOOKUP(C1393,'[1]خريطة الحسابات'!_xlnm.Print_Area,5,FALSE))," ",(VLOOKUP(C1393,'[1]خريطة الحسابات'!_xlnm.Print_Area,5,FALSE)))</f>
        <v>الاصول</v>
      </c>
      <c r="O1393" s="84" t="s">
        <v>1915</v>
      </c>
      <c r="P1393" s="84" t="s">
        <v>1327</v>
      </c>
    </row>
    <row r="1394" spans="1:16">
      <c r="A1394" s="104">
        <v>59</v>
      </c>
      <c r="B1394" s="131">
        <v>46156</v>
      </c>
      <c r="C1394" s="141">
        <v>20</v>
      </c>
      <c r="D1394" s="140" t="str">
        <f>IF(ISERROR(VLOOKUP(C1394,'[1]خريطة الحسابات'!_xlnm.Print_Area,3,FALSE))," ",(VLOOKUP(C1394,'[1]خريطة الحسابات'!_xlnm.Print_Area,3,FALSE)))</f>
        <v xml:space="preserve">الخزينة </v>
      </c>
      <c r="E1394" s="142"/>
      <c r="F1394" s="133"/>
      <c r="G1394" s="133">
        <v>890</v>
      </c>
      <c r="H1394" s="134">
        <f t="shared" si="64"/>
        <v>0</v>
      </c>
      <c r="I1394" s="134">
        <f t="shared" si="64"/>
        <v>890</v>
      </c>
      <c r="J1394" s="134">
        <f t="shared" si="63"/>
        <v>-890</v>
      </c>
      <c r="K1394" s="135"/>
      <c r="L1394" s="136" t="str">
        <f t="shared" si="65"/>
        <v>دائن</v>
      </c>
      <c r="M1394" s="137" t="str">
        <f>IF(ISERROR(VLOOKUP(C1394,'[1]خريطة الحسابات'!_xlnm.Print_Area,4,FALSE))," ",(VLOOKUP(C1394,'[1]خريطة الحسابات'!_xlnm.Print_Area,4,FALSE)))</f>
        <v xml:space="preserve">أصول متداوله -النقدية ومافي حكمها </v>
      </c>
      <c r="N1394" s="138" t="str">
        <f>IF(ISERROR(VLOOKUP(C1394,'[1]خريطة الحسابات'!_xlnm.Print_Area,5,FALSE))," ",(VLOOKUP(C1394,'[1]خريطة الحسابات'!_xlnm.Print_Area,5,FALSE)))</f>
        <v>الاصول</v>
      </c>
      <c r="O1394" s="84" t="s">
        <v>1916</v>
      </c>
      <c r="P1394" s="84" t="s">
        <v>1327</v>
      </c>
    </row>
    <row r="1395" spans="1:16">
      <c r="A1395" s="104">
        <v>59</v>
      </c>
      <c r="B1395" s="131">
        <v>46058</v>
      </c>
      <c r="C1395" s="141">
        <v>20</v>
      </c>
      <c r="D1395" s="140" t="str">
        <f>IF(ISERROR(VLOOKUP(C1395,'[1]خريطة الحسابات'!_xlnm.Print_Area,3,FALSE))," ",(VLOOKUP(C1395,'[1]خريطة الحسابات'!_xlnm.Print_Area,3,FALSE)))</f>
        <v xml:space="preserve">الخزينة </v>
      </c>
      <c r="E1395" s="142"/>
      <c r="F1395" s="133"/>
      <c r="G1395" s="133">
        <v>31260</v>
      </c>
      <c r="H1395" s="134">
        <f t="shared" si="64"/>
        <v>0</v>
      </c>
      <c r="I1395" s="134">
        <f t="shared" si="64"/>
        <v>31260</v>
      </c>
      <c r="J1395" s="134">
        <f t="shared" si="63"/>
        <v>-31260</v>
      </c>
      <c r="K1395" s="135"/>
      <c r="L1395" s="136" t="str">
        <f t="shared" si="65"/>
        <v>دائن</v>
      </c>
      <c r="M1395" s="137" t="str">
        <f>IF(ISERROR(VLOOKUP(C1395,'[1]خريطة الحسابات'!_xlnm.Print_Area,4,FALSE))," ",(VLOOKUP(C1395,'[1]خريطة الحسابات'!_xlnm.Print_Area,4,FALSE)))</f>
        <v xml:space="preserve">أصول متداوله -النقدية ومافي حكمها </v>
      </c>
      <c r="N1395" s="138" t="str">
        <f>IF(ISERROR(VLOOKUP(C1395,'[1]خريطة الحسابات'!_xlnm.Print_Area,5,FALSE))," ",(VLOOKUP(C1395,'[1]خريطة الحسابات'!_xlnm.Print_Area,5,FALSE)))</f>
        <v>الاصول</v>
      </c>
      <c r="O1395" s="84" t="s">
        <v>1917</v>
      </c>
      <c r="P1395" s="84" t="s">
        <v>1290</v>
      </c>
    </row>
    <row r="1396" spans="1:16">
      <c r="A1396" s="104">
        <v>59</v>
      </c>
      <c r="B1396" s="131">
        <v>46071</v>
      </c>
      <c r="C1396" s="141">
        <v>20</v>
      </c>
      <c r="D1396" s="140" t="str">
        <f>IF(ISERROR(VLOOKUP(C1396,'[1]خريطة الحسابات'!_xlnm.Print_Area,3,FALSE))," ",(VLOOKUP(C1396,'[1]خريطة الحسابات'!_xlnm.Print_Area,3,FALSE)))</f>
        <v xml:space="preserve">الخزينة </v>
      </c>
      <c r="E1396" s="142"/>
      <c r="F1396" s="133"/>
      <c r="G1396" s="133">
        <v>3070</v>
      </c>
      <c r="H1396" s="134">
        <f t="shared" si="64"/>
        <v>0</v>
      </c>
      <c r="I1396" s="134">
        <f t="shared" si="64"/>
        <v>3070</v>
      </c>
      <c r="J1396" s="134">
        <f t="shared" si="63"/>
        <v>-3070</v>
      </c>
      <c r="K1396" s="135"/>
      <c r="L1396" s="136" t="str">
        <f t="shared" si="65"/>
        <v>دائن</v>
      </c>
      <c r="M1396" s="137" t="str">
        <f>IF(ISERROR(VLOOKUP(C1396,'[1]خريطة الحسابات'!_xlnm.Print_Area,4,FALSE))," ",(VLOOKUP(C1396,'[1]خريطة الحسابات'!_xlnm.Print_Area,4,FALSE)))</f>
        <v xml:space="preserve">أصول متداوله -النقدية ومافي حكمها </v>
      </c>
      <c r="N1396" s="138" t="str">
        <f>IF(ISERROR(VLOOKUP(C1396,'[1]خريطة الحسابات'!_xlnm.Print_Area,5,FALSE))," ",(VLOOKUP(C1396,'[1]خريطة الحسابات'!_xlnm.Print_Area,5,FALSE)))</f>
        <v>الاصول</v>
      </c>
      <c r="O1396" s="84" t="s">
        <v>1918</v>
      </c>
      <c r="P1396" s="84" t="s">
        <v>1290</v>
      </c>
    </row>
    <row r="1397" spans="1:16">
      <c r="A1397" s="104">
        <v>59</v>
      </c>
      <c r="B1397" s="131">
        <v>46086</v>
      </c>
      <c r="C1397" s="141">
        <v>20</v>
      </c>
      <c r="D1397" s="140" t="str">
        <f>IF(ISERROR(VLOOKUP(C1397,'[1]خريطة الحسابات'!_xlnm.Print_Area,3,FALSE))," ",(VLOOKUP(C1397,'[1]خريطة الحسابات'!_xlnm.Print_Area,3,FALSE)))</f>
        <v xml:space="preserve">الخزينة </v>
      </c>
      <c r="E1397" s="142"/>
      <c r="F1397" s="133"/>
      <c r="G1397" s="133">
        <v>2945</v>
      </c>
      <c r="H1397" s="134">
        <f t="shared" si="64"/>
        <v>0</v>
      </c>
      <c r="I1397" s="134">
        <f t="shared" si="64"/>
        <v>2945</v>
      </c>
      <c r="J1397" s="134">
        <f t="shared" si="63"/>
        <v>-2945</v>
      </c>
      <c r="K1397" s="135"/>
      <c r="L1397" s="136" t="str">
        <f t="shared" si="65"/>
        <v>دائن</v>
      </c>
      <c r="M1397" s="137" t="str">
        <f>IF(ISERROR(VLOOKUP(C1397,'[1]خريطة الحسابات'!_xlnm.Print_Area,4,FALSE))," ",(VLOOKUP(C1397,'[1]خريطة الحسابات'!_xlnm.Print_Area,4,FALSE)))</f>
        <v xml:space="preserve">أصول متداوله -النقدية ومافي حكمها </v>
      </c>
      <c r="N1397" s="138" t="str">
        <f>IF(ISERROR(VLOOKUP(C1397,'[1]خريطة الحسابات'!_xlnm.Print_Area,5,FALSE))," ",(VLOOKUP(C1397,'[1]خريطة الحسابات'!_xlnm.Print_Area,5,FALSE)))</f>
        <v>الاصول</v>
      </c>
      <c r="O1397" s="84" t="s">
        <v>1919</v>
      </c>
      <c r="P1397" s="84" t="s">
        <v>1290</v>
      </c>
    </row>
    <row r="1398" spans="1:16">
      <c r="A1398" s="104">
        <v>59</v>
      </c>
      <c r="B1398" s="131">
        <v>46163</v>
      </c>
      <c r="C1398" s="141">
        <v>20</v>
      </c>
      <c r="D1398" s="140" t="str">
        <f>IF(ISERROR(VLOOKUP(C1398,'[1]خريطة الحسابات'!_xlnm.Print_Area,3,FALSE))," ",(VLOOKUP(C1398,'[1]خريطة الحسابات'!_xlnm.Print_Area,3,FALSE)))</f>
        <v xml:space="preserve">الخزينة </v>
      </c>
      <c r="E1398" s="142"/>
      <c r="F1398" s="133"/>
      <c r="G1398" s="133">
        <v>3260</v>
      </c>
      <c r="H1398" s="134">
        <f t="shared" si="64"/>
        <v>0</v>
      </c>
      <c r="I1398" s="134">
        <f t="shared" si="64"/>
        <v>3260</v>
      </c>
      <c r="J1398" s="134">
        <f t="shared" si="63"/>
        <v>-3260</v>
      </c>
      <c r="K1398" s="135"/>
      <c r="L1398" s="136" t="str">
        <f t="shared" si="65"/>
        <v>دائن</v>
      </c>
      <c r="M1398" s="137" t="str">
        <f>IF(ISERROR(VLOOKUP(C1398,'[1]خريطة الحسابات'!_xlnm.Print_Area,4,FALSE))," ",(VLOOKUP(C1398,'[1]خريطة الحسابات'!_xlnm.Print_Area,4,FALSE)))</f>
        <v xml:space="preserve">أصول متداوله -النقدية ومافي حكمها </v>
      </c>
      <c r="N1398" s="138" t="str">
        <f>IF(ISERROR(VLOOKUP(C1398,'[1]خريطة الحسابات'!_xlnm.Print_Area,5,FALSE))," ",(VLOOKUP(C1398,'[1]خريطة الحسابات'!_xlnm.Print_Area,5,FALSE)))</f>
        <v>الاصول</v>
      </c>
      <c r="O1398" s="84" t="s">
        <v>1920</v>
      </c>
      <c r="P1398" s="84" t="s">
        <v>1290</v>
      </c>
    </row>
    <row r="1399" spans="1:16">
      <c r="A1399" s="104">
        <v>59</v>
      </c>
      <c r="B1399" s="131">
        <v>46179</v>
      </c>
      <c r="C1399" s="141">
        <v>20</v>
      </c>
      <c r="D1399" s="140" t="str">
        <f>IF(ISERROR(VLOOKUP(C1399,'[1]خريطة الحسابات'!_xlnm.Print_Area,3,FALSE))," ",(VLOOKUP(C1399,'[1]خريطة الحسابات'!_xlnm.Print_Area,3,FALSE)))</f>
        <v xml:space="preserve">الخزينة </v>
      </c>
      <c r="E1399" s="142"/>
      <c r="F1399" s="133"/>
      <c r="G1399" s="133">
        <v>2850</v>
      </c>
      <c r="H1399" s="134">
        <f t="shared" si="64"/>
        <v>0</v>
      </c>
      <c r="I1399" s="134">
        <f t="shared" si="64"/>
        <v>2850</v>
      </c>
      <c r="J1399" s="134">
        <f t="shared" si="63"/>
        <v>-2850</v>
      </c>
      <c r="K1399" s="135"/>
      <c r="L1399" s="136" t="str">
        <f t="shared" si="65"/>
        <v>دائن</v>
      </c>
      <c r="M1399" s="137" t="str">
        <f>IF(ISERROR(VLOOKUP(C1399,'[1]خريطة الحسابات'!_xlnm.Print_Area,4,FALSE))," ",(VLOOKUP(C1399,'[1]خريطة الحسابات'!_xlnm.Print_Area,4,FALSE)))</f>
        <v xml:space="preserve">أصول متداوله -النقدية ومافي حكمها </v>
      </c>
      <c r="N1399" s="138" t="str">
        <f>IF(ISERROR(VLOOKUP(C1399,'[1]خريطة الحسابات'!_xlnm.Print_Area,5,FALSE))," ",(VLOOKUP(C1399,'[1]خريطة الحسابات'!_xlnm.Print_Area,5,FALSE)))</f>
        <v>الاصول</v>
      </c>
      <c r="O1399" s="84" t="s">
        <v>1921</v>
      </c>
      <c r="P1399" s="84" t="s">
        <v>1290</v>
      </c>
    </row>
    <row r="1400" spans="1:16">
      <c r="A1400" s="104">
        <v>59</v>
      </c>
      <c r="B1400" s="131">
        <v>46181</v>
      </c>
      <c r="C1400" s="141">
        <v>20</v>
      </c>
      <c r="D1400" s="140" t="str">
        <f>IF(ISERROR(VLOOKUP(C1400,'[1]خريطة الحسابات'!_xlnm.Print_Area,3,FALSE))," ",(VLOOKUP(C1400,'[1]خريطة الحسابات'!_xlnm.Print_Area,3,FALSE)))</f>
        <v xml:space="preserve">الخزينة </v>
      </c>
      <c r="E1400" s="142"/>
      <c r="F1400" s="133"/>
      <c r="G1400" s="133">
        <v>1181</v>
      </c>
      <c r="H1400" s="134">
        <f t="shared" si="64"/>
        <v>0</v>
      </c>
      <c r="I1400" s="134">
        <f t="shared" si="64"/>
        <v>1181</v>
      </c>
      <c r="J1400" s="134">
        <f t="shared" si="63"/>
        <v>-1181</v>
      </c>
      <c r="K1400" s="135"/>
      <c r="L1400" s="136" t="str">
        <f t="shared" si="65"/>
        <v>دائن</v>
      </c>
      <c r="M1400" s="137" t="str">
        <f>IF(ISERROR(VLOOKUP(C1400,'[1]خريطة الحسابات'!_xlnm.Print_Area,4,FALSE))," ",(VLOOKUP(C1400,'[1]خريطة الحسابات'!_xlnm.Print_Area,4,FALSE)))</f>
        <v xml:space="preserve">أصول متداوله -النقدية ومافي حكمها </v>
      </c>
      <c r="N1400" s="138" t="str">
        <f>IF(ISERROR(VLOOKUP(C1400,'[1]خريطة الحسابات'!_xlnm.Print_Area,5,FALSE))," ",(VLOOKUP(C1400,'[1]خريطة الحسابات'!_xlnm.Print_Area,5,FALSE)))</f>
        <v>الاصول</v>
      </c>
      <c r="O1400" s="84" t="s">
        <v>1922</v>
      </c>
      <c r="P1400" s="84" t="s">
        <v>1290</v>
      </c>
    </row>
    <row r="1401" spans="1:16">
      <c r="A1401" s="104">
        <v>59</v>
      </c>
      <c r="B1401" s="131">
        <v>46184</v>
      </c>
      <c r="C1401" s="141">
        <v>20</v>
      </c>
      <c r="D1401" s="140" t="str">
        <f>IF(ISERROR(VLOOKUP(C1401,'[1]خريطة الحسابات'!_xlnm.Print_Area,3,FALSE))," ",(VLOOKUP(C1401,'[1]خريطة الحسابات'!_xlnm.Print_Area,3,FALSE)))</f>
        <v xml:space="preserve">الخزينة </v>
      </c>
      <c r="E1401" s="142"/>
      <c r="F1401" s="133"/>
      <c r="G1401" s="133">
        <v>160</v>
      </c>
      <c r="H1401" s="134">
        <f t="shared" si="64"/>
        <v>0</v>
      </c>
      <c r="I1401" s="134">
        <f t="shared" si="64"/>
        <v>160</v>
      </c>
      <c r="J1401" s="134">
        <f t="shared" si="63"/>
        <v>-160</v>
      </c>
      <c r="K1401" s="135"/>
      <c r="L1401" s="136" t="str">
        <f t="shared" si="65"/>
        <v>دائن</v>
      </c>
      <c r="M1401" s="137" t="str">
        <f>IF(ISERROR(VLOOKUP(C1401,'[1]خريطة الحسابات'!_xlnm.Print_Area,4,FALSE))," ",(VLOOKUP(C1401,'[1]خريطة الحسابات'!_xlnm.Print_Area,4,FALSE)))</f>
        <v xml:space="preserve">أصول متداوله -النقدية ومافي حكمها </v>
      </c>
      <c r="N1401" s="138" t="str">
        <f>IF(ISERROR(VLOOKUP(C1401,'[1]خريطة الحسابات'!_xlnm.Print_Area,5,FALSE))," ",(VLOOKUP(C1401,'[1]خريطة الحسابات'!_xlnm.Print_Area,5,FALSE)))</f>
        <v>الاصول</v>
      </c>
      <c r="O1401" s="84" t="s">
        <v>1923</v>
      </c>
      <c r="P1401" s="84" t="s">
        <v>1290</v>
      </c>
    </row>
    <row r="1402" spans="1:16">
      <c r="A1402" s="104">
        <v>59</v>
      </c>
      <c r="B1402" s="131">
        <v>46120</v>
      </c>
      <c r="C1402" s="141">
        <v>20</v>
      </c>
      <c r="D1402" s="140" t="str">
        <f>IF(ISERROR(VLOOKUP(C1402,'[1]خريطة الحسابات'!_xlnm.Print_Area,3,FALSE))," ",(VLOOKUP(C1402,'[1]خريطة الحسابات'!_xlnm.Print_Area,3,FALSE)))</f>
        <v xml:space="preserve">الخزينة </v>
      </c>
      <c r="E1402" s="142"/>
      <c r="F1402" s="133"/>
      <c r="G1402" s="133">
        <v>1200</v>
      </c>
      <c r="H1402" s="134">
        <f t="shared" si="64"/>
        <v>0</v>
      </c>
      <c r="I1402" s="134">
        <f t="shared" si="64"/>
        <v>1200</v>
      </c>
      <c r="J1402" s="134">
        <f t="shared" si="63"/>
        <v>-1200</v>
      </c>
      <c r="K1402" s="135"/>
      <c r="L1402" s="136" t="str">
        <f t="shared" si="65"/>
        <v>دائن</v>
      </c>
      <c r="M1402" s="137" t="str">
        <f>IF(ISERROR(VLOOKUP(C1402,'[1]خريطة الحسابات'!_xlnm.Print_Area,4,FALSE))," ",(VLOOKUP(C1402,'[1]خريطة الحسابات'!_xlnm.Print_Area,4,FALSE)))</f>
        <v xml:space="preserve">أصول متداوله -النقدية ومافي حكمها </v>
      </c>
      <c r="N1402" s="138" t="str">
        <f>IF(ISERROR(VLOOKUP(C1402,'[1]خريطة الحسابات'!_xlnm.Print_Area,5,FALSE))," ",(VLOOKUP(C1402,'[1]خريطة الحسابات'!_xlnm.Print_Area,5,FALSE)))</f>
        <v>الاصول</v>
      </c>
      <c r="O1402" s="84" t="s">
        <v>1924</v>
      </c>
      <c r="P1402" s="84" t="s">
        <v>1315</v>
      </c>
    </row>
    <row r="1403" spans="1:16">
      <c r="A1403" s="104">
        <v>59</v>
      </c>
      <c r="B1403" s="131">
        <v>46123</v>
      </c>
      <c r="C1403" s="141">
        <v>20</v>
      </c>
      <c r="D1403" s="140" t="str">
        <f>IF(ISERROR(VLOOKUP(C1403,'[1]خريطة الحسابات'!_xlnm.Print_Area,3,FALSE))," ",(VLOOKUP(C1403,'[1]خريطة الحسابات'!_xlnm.Print_Area,3,FALSE)))</f>
        <v xml:space="preserve">الخزينة </v>
      </c>
      <c r="E1403" s="142"/>
      <c r="F1403" s="133"/>
      <c r="G1403" s="133">
        <v>1740</v>
      </c>
      <c r="H1403" s="134">
        <f t="shared" si="64"/>
        <v>0</v>
      </c>
      <c r="I1403" s="134">
        <f t="shared" si="64"/>
        <v>1740</v>
      </c>
      <c r="J1403" s="134">
        <f t="shared" si="63"/>
        <v>-1740</v>
      </c>
      <c r="K1403" s="135"/>
      <c r="L1403" s="136" t="str">
        <f t="shared" si="65"/>
        <v>دائن</v>
      </c>
      <c r="M1403" s="137" t="str">
        <f>IF(ISERROR(VLOOKUP(C1403,'[1]خريطة الحسابات'!_xlnm.Print_Area,4,FALSE))," ",(VLOOKUP(C1403,'[1]خريطة الحسابات'!_xlnm.Print_Area,4,FALSE)))</f>
        <v xml:space="preserve">أصول متداوله -النقدية ومافي حكمها </v>
      </c>
      <c r="N1403" s="138" t="str">
        <f>IF(ISERROR(VLOOKUP(C1403,'[1]خريطة الحسابات'!_xlnm.Print_Area,5,FALSE))," ",(VLOOKUP(C1403,'[1]خريطة الحسابات'!_xlnm.Print_Area,5,FALSE)))</f>
        <v>الاصول</v>
      </c>
      <c r="O1403" s="139" t="s">
        <v>1925</v>
      </c>
      <c r="P1403" s="139" t="s">
        <v>1315</v>
      </c>
    </row>
    <row r="1404" spans="1:16">
      <c r="A1404" s="104">
        <v>59</v>
      </c>
      <c r="B1404" s="131">
        <v>46139</v>
      </c>
      <c r="C1404" s="141">
        <v>20</v>
      </c>
      <c r="D1404" s="140" t="str">
        <f>IF(ISERROR(VLOOKUP(C1404,'[1]خريطة الحسابات'!_xlnm.Print_Area,3,FALSE))," ",(VLOOKUP(C1404,'[1]خريطة الحسابات'!_xlnm.Print_Area,3,FALSE)))</f>
        <v xml:space="preserve">الخزينة </v>
      </c>
      <c r="E1404" s="142"/>
      <c r="F1404" s="133"/>
      <c r="G1404" s="133">
        <v>615</v>
      </c>
      <c r="H1404" s="134">
        <f t="shared" si="64"/>
        <v>0</v>
      </c>
      <c r="I1404" s="134">
        <f t="shared" si="64"/>
        <v>615</v>
      </c>
      <c r="J1404" s="134">
        <f t="shared" si="63"/>
        <v>-615</v>
      </c>
      <c r="K1404" s="135"/>
      <c r="L1404" s="136" t="str">
        <f t="shared" si="65"/>
        <v>دائن</v>
      </c>
      <c r="M1404" s="137" t="str">
        <f>IF(ISERROR(VLOOKUP(C1404,'[1]خريطة الحسابات'!_xlnm.Print_Area,4,FALSE))," ",(VLOOKUP(C1404,'[1]خريطة الحسابات'!_xlnm.Print_Area,4,FALSE)))</f>
        <v xml:space="preserve">أصول متداوله -النقدية ومافي حكمها </v>
      </c>
      <c r="N1404" s="138" t="str">
        <f>IF(ISERROR(VLOOKUP(C1404,'[1]خريطة الحسابات'!_xlnm.Print_Area,5,FALSE))," ",(VLOOKUP(C1404,'[1]خريطة الحسابات'!_xlnm.Print_Area,5,FALSE)))</f>
        <v>الاصول</v>
      </c>
      <c r="O1404" s="84" t="s">
        <v>1926</v>
      </c>
      <c r="P1404" s="84" t="s">
        <v>1315</v>
      </c>
    </row>
    <row r="1405" spans="1:16">
      <c r="A1405" s="104">
        <v>59</v>
      </c>
      <c r="B1405" s="131">
        <v>46159</v>
      </c>
      <c r="C1405" s="141">
        <v>20</v>
      </c>
      <c r="D1405" s="140" t="str">
        <f>IF(ISERROR(VLOOKUP(C1405,'[1]خريطة الحسابات'!_xlnm.Print_Area,3,FALSE))," ",(VLOOKUP(C1405,'[1]خريطة الحسابات'!_xlnm.Print_Area,3,FALSE)))</f>
        <v xml:space="preserve">الخزينة </v>
      </c>
      <c r="E1405" s="142"/>
      <c r="F1405" s="133"/>
      <c r="G1405" s="133">
        <v>600</v>
      </c>
      <c r="H1405" s="134">
        <f t="shared" si="64"/>
        <v>0</v>
      </c>
      <c r="I1405" s="134">
        <f t="shared" si="64"/>
        <v>600</v>
      </c>
      <c r="J1405" s="134">
        <f t="shared" si="63"/>
        <v>-600</v>
      </c>
      <c r="K1405" s="135"/>
      <c r="L1405" s="136" t="str">
        <f t="shared" si="65"/>
        <v>دائن</v>
      </c>
      <c r="M1405" s="137" t="str">
        <f>IF(ISERROR(VLOOKUP(C1405,'[1]خريطة الحسابات'!_xlnm.Print_Area,4,FALSE))," ",(VLOOKUP(C1405,'[1]خريطة الحسابات'!_xlnm.Print_Area,4,FALSE)))</f>
        <v xml:space="preserve">أصول متداوله -النقدية ومافي حكمها </v>
      </c>
      <c r="N1405" s="138" t="str">
        <f>IF(ISERROR(VLOOKUP(C1405,'[1]خريطة الحسابات'!_xlnm.Print_Area,5,FALSE))," ",(VLOOKUP(C1405,'[1]خريطة الحسابات'!_xlnm.Print_Area,5,FALSE)))</f>
        <v>الاصول</v>
      </c>
      <c r="O1405" s="139" t="s">
        <v>1927</v>
      </c>
      <c r="P1405" s="139" t="s">
        <v>1315</v>
      </c>
    </row>
    <row r="1406" spans="1:16">
      <c r="A1406" s="104">
        <v>59</v>
      </c>
      <c r="B1406" s="131">
        <v>46184</v>
      </c>
      <c r="C1406" s="141">
        <v>20</v>
      </c>
      <c r="D1406" s="140" t="str">
        <f>IF(ISERROR(VLOOKUP(C1406,'[1]خريطة الحسابات'!_xlnm.Print_Area,3,FALSE))," ",(VLOOKUP(C1406,'[1]خريطة الحسابات'!_xlnm.Print_Area,3,FALSE)))</f>
        <v xml:space="preserve">الخزينة </v>
      </c>
      <c r="E1406" s="142"/>
      <c r="F1406" s="133"/>
      <c r="G1406" s="133">
        <v>460</v>
      </c>
      <c r="H1406" s="134">
        <f t="shared" si="64"/>
        <v>0</v>
      </c>
      <c r="I1406" s="134">
        <f t="shared" si="64"/>
        <v>460</v>
      </c>
      <c r="J1406" s="134">
        <f t="shared" si="63"/>
        <v>-460</v>
      </c>
      <c r="K1406" s="135"/>
      <c r="L1406" s="136" t="str">
        <f t="shared" si="65"/>
        <v>دائن</v>
      </c>
      <c r="M1406" s="137" t="str">
        <f>IF(ISERROR(VLOOKUP(C1406,'[1]خريطة الحسابات'!_xlnm.Print_Area,4,FALSE))," ",(VLOOKUP(C1406,'[1]خريطة الحسابات'!_xlnm.Print_Area,4,FALSE)))</f>
        <v xml:space="preserve">أصول متداوله -النقدية ومافي حكمها </v>
      </c>
      <c r="N1406" s="138" t="str">
        <f>IF(ISERROR(VLOOKUP(C1406,'[1]خريطة الحسابات'!_xlnm.Print_Area,5,FALSE))," ",(VLOOKUP(C1406,'[1]خريطة الحسابات'!_xlnm.Print_Area,5,FALSE)))</f>
        <v>الاصول</v>
      </c>
      <c r="O1406" s="139" t="s">
        <v>1928</v>
      </c>
      <c r="P1406" s="139" t="s">
        <v>1315</v>
      </c>
    </row>
    <row r="1407" spans="1:16">
      <c r="A1407" s="104">
        <v>59</v>
      </c>
      <c r="B1407" s="131">
        <v>46131</v>
      </c>
      <c r="C1407" s="141">
        <v>20</v>
      </c>
      <c r="D1407" s="140" t="str">
        <f>IF(ISERROR(VLOOKUP(C1407,'[1]خريطة الحسابات'!_xlnm.Print_Area,3,FALSE))," ",(VLOOKUP(C1407,'[1]خريطة الحسابات'!_xlnm.Print_Area,3,FALSE)))</f>
        <v xml:space="preserve">الخزينة </v>
      </c>
      <c r="E1407" s="142"/>
      <c r="F1407" s="133"/>
      <c r="G1407" s="133">
        <v>95</v>
      </c>
      <c r="H1407" s="134">
        <f t="shared" si="64"/>
        <v>0</v>
      </c>
      <c r="I1407" s="134">
        <f t="shared" si="64"/>
        <v>95</v>
      </c>
      <c r="J1407" s="134">
        <f t="shared" si="63"/>
        <v>-95</v>
      </c>
      <c r="K1407" s="135"/>
      <c r="L1407" s="136" t="str">
        <f t="shared" si="65"/>
        <v>دائن</v>
      </c>
      <c r="M1407" s="137" t="str">
        <f>IF(ISERROR(VLOOKUP(C1407,'[1]خريطة الحسابات'!_xlnm.Print_Area,4,FALSE))," ",(VLOOKUP(C1407,'[1]خريطة الحسابات'!_xlnm.Print_Area,4,FALSE)))</f>
        <v xml:space="preserve">أصول متداوله -النقدية ومافي حكمها </v>
      </c>
      <c r="N1407" s="138" t="str">
        <f>IF(ISERROR(VLOOKUP(C1407,'[1]خريطة الحسابات'!_xlnm.Print_Area,5,FALSE))," ",(VLOOKUP(C1407,'[1]خريطة الحسابات'!_xlnm.Print_Area,5,FALSE)))</f>
        <v>الاصول</v>
      </c>
      <c r="O1407" s="139" t="s">
        <v>1929</v>
      </c>
      <c r="P1407" s="139" t="s">
        <v>1489</v>
      </c>
    </row>
    <row r="1408" spans="1:16">
      <c r="A1408" s="104">
        <v>59</v>
      </c>
      <c r="B1408" s="131">
        <v>46034</v>
      </c>
      <c r="C1408" s="141">
        <v>20</v>
      </c>
      <c r="D1408" s="140" t="str">
        <f>IF(ISERROR(VLOOKUP(C1408,'[1]خريطة الحسابات'!_xlnm.Print_Area,3,FALSE))," ",(VLOOKUP(C1408,'[1]خريطة الحسابات'!_xlnm.Print_Area,3,FALSE)))</f>
        <v xml:space="preserve">الخزينة </v>
      </c>
      <c r="E1408" s="142"/>
      <c r="F1408" s="133"/>
      <c r="G1408" s="133">
        <v>2290</v>
      </c>
      <c r="H1408" s="134">
        <f t="shared" si="64"/>
        <v>0</v>
      </c>
      <c r="I1408" s="134">
        <f t="shared" si="64"/>
        <v>2290</v>
      </c>
      <c r="J1408" s="134">
        <f t="shared" si="63"/>
        <v>-2290</v>
      </c>
      <c r="K1408" s="135"/>
      <c r="L1408" s="136" t="str">
        <f t="shared" si="65"/>
        <v>دائن</v>
      </c>
      <c r="M1408" s="137" t="str">
        <f>IF(ISERROR(VLOOKUP(C1408,'[1]خريطة الحسابات'!_xlnm.Print_Area,4,FALSE))," ",(VLOOKUP(C1408,'[1]خريطة الحسابات'!_xlnm.Print_Area,4,FALSE)))</f>
        <v xml:space="preserve">أصول متداوله -النقدية ومافي حكمها </v>
      </c>
      <c r="N1408" s="138" t="str">
        <f>IF(ISERROR(VLOOKUP(C1408,'[1]خريطة الحسابات'!_xlnm.Print_Area,5,FALSE))," ",(VLOOKUP(C1408,'[1]خريطة الحسابات'!_xlnm.Print_Area,5,FALSE)))</f>
        <v>الاصول</v>
      </c>
      <c r="O1408" s="139" t="s">
        <v>1930</v>
      </c>
      <c r="P1408" s="139" t="s">
        <v>1297</v>
      </c>
    </row>
    <row r="1409" spans="1:16">
      <c r="A1409" s="104">
        <v>59</v>
      </c>
      <c r="B1409" s="131">
        <v>46126</v>
      </c>
      <c r="C1409" s="141">
        <v>20</v>
      </c>
      <c r="D1409" s="140" t="str">
        <f>IF(ISERROR(VLOOKUP(C1409,'[1]خريطة الحسابات'!_xlnm.Print_Area,3,FALSE))," ",(VLOOKUP(C1409,'[1]خريطة الحسابات'!_xlnm.Print_Area,3,FALSE)))</f>
        <v xml:space="preserve">الخزينة </v>
      </c>
      <c r="E1409" s="142"/>
      <c r="F1409" s="133"/>
      <c r="G1409" s="133">
        <v>215</v>
      </c>
      <c r="H1409" s="134">
        <f t="shared" si="64"/>
        <v>0</v>
      </c>
      <c r="I1409" s="134">
        <f t="shared" si="64"/>
        <v>215</v>
      </c>
      <c r="J1409" s="134">
        <f t="shared" si="63"/>
        <v>-215</v>
      </c>
      <c r="K1409" s="135"/>
      <c r="L1409" s="136" t="str">
        <f t="shared" si="65"/>
        <v>دائن</v>
      </c>
      <c r="M1409" s="137" t="str">
        <f>IF(ISERROR(VLOOKUP(C1409,'[1]خريطة الحسابات'!_xlnm.Print_Area,4,FALSE))," ",(VLOOKUP(C1409,'[1]خريطة الحسابات'!_xlnm.Print_Area,4,FALSE)))</f>
        <v xml:space="preserve">أصول متداوله -النقدية ومافي حكمها </v>
      </c>
      <c r="N1409" s="138" t="str">
        <f>IF(ISERROR(VLOOKUP(C1409,'[1]خريطة الحسابات'!_xlnm.Print_Area,5,FALSE))," ",(VLOOKUP(C1409,'[1]خريطة الحسابات'!_xlnm.Print_Area,5,FALSE)))</f>
        <v>الاصول</v>
      </c>
      <c r="O1409" s="139" t="s">
        <v>1931</v>
      </c>
      <c r="P1409" s="139" t="s">
        <v>1297</v>
      </c>
    </row>
    <row r="1410" spans="1:16">
      <c r="A1410" s="104">
        <v>59</v>
      </c>
      <c r="B1410" s="131">
        <v>46166</v>
      </c>
      <c r="C1410" s="141">
        <v>20</v>
      </c>
      <c r="D1410" s="140" t="str">
        <f>IF(ISERROR(VLOOKUP(C1410,'[1]خريطة الحسابات'!_xlnm.Print_Area,3,FALSE))," ",(VLOOKUP(C1410,'[1]خريطة الحسابات'!_xlnm.Print_Area,3,FALSE)))</f>
        <v xml:space="preserve">الخزينة </v>
      </c>
      <c r="E1410" s="142"/>
      <c r="F1410" s="133"/>
      <c r="G1410" s="133">
        <v>5190</v>
      </c>
      <c r="H1410" s="134">
        <f t="shared" si="64"/>
        <v>0</v>
      </c>
      <c r="I1410" s="134">
        <f t="shared" si="64"/>
        <v>5190</v>
      </c>
      <c r="J1410" s="134">
        <f t="shared" si="63"/>
        <v>-5190</v>
      </c>
      <c r="K1410" s="135"/>
      <c r="L1410" s="136" t="str">
        <f t="shared" si="65"/>
        <v>دائن</v>
      </c>
      <c r="M1410" s="137" t="str">
        <f>IF(ISERROR(VLOOKUP(C1410,'[1]خريطة الحسابات'!_xlnm.Print_Area,4,FALSE))," ",(VLOOKUP(C1410,'[1]خريطة الحسابات'!_xlnm.Print_Area,4,FALSE)))</f>
        <v xml:space="preserve">أصول متداوله -النقدية ومافي حكمها </v>
      </c>
      <c r="N1410" s="138" t="str">
        <f>IF(ISERROR(VLOOKUP(C1410,'[1]خريطة الحسابات'!_xlnm.Print_Area,5,FALSE))," ",(VLOOKUP(C1410,'[1]خريطة الحسابات'!_xlnm.Print_Area,5,FALSE)))</f>
        <v>الاصول</v>
      </c>
      <c r="O1410" s="139" t="s">
        <v>1932</v>
      </c>
      <c r="P1410" s="139" t="s">
        <v>1297</v>
      </c>
    </row>
    <row r="1411" spans="1:16">
      <c r="A1411" s="104">
        <v>59</v>
      </c>
      <c r="B1411" s="131">
        <v>46135</v>
      </c>
      <c r="C1411" s="141">
        <v>20</v>
      </c>
      <c r="D1411" s="140" t="str">
        <f>IF(ISERROR(VLOOKUP(C1411,'[1]خريطة الحسابات'!_xlnm.Print_Area,3,FALSE))," ",(VLOOKUP(C1411,'[1]خريطة الحسابات'!_xlnm.Print_Area,3,FALSE)))</f>
        <v xml:space="preserve">الخزينة </v>
      </c>
      <c r="E1411" s="142"/>
      <c r="F1411" s="133"/>
      <c r="G1411" s="133">
        <v>2150</v>
      </c>
      <c r="H1411" s="134">
        <f t="shared" si="64"/>
        <v>0</v>
      </c>
      <c r="I1411" s="134">
        <f t="shared" si="64"/>
        <v>2150</v>
      </c>
      <c r="J1411" s="134">
        <f t="shared" si="63"/>
        <v>-2150</v>
      </c>
      <c r="K1411" s="135"/>
      <c r="L1411" s="136" t="str">
        <f t="shared" si="65"/>
        <v>دائن</v>
      </c>
      <c r="M1411" s="137" t="str">
        <f>IF(ISERROR(VLOOKUP(C1411,'[1]خريطة الحسابات'!_xlnm.Print_Area,4,FALSE))," ",(VLOOKUP(C1411,'[1]خريطة الحسابات'!_xlnm.Print_Area,4,FALSE)))</f>
        <v xml:space="preserve">أصول متداوله -النقدية ومافي حكمها </v>
      </c>
      <c r="N1411" s="138" t="str">
        <f>IF(ISERROR(VLOOKUP(C1411,'[1]خريطة الحسابات'!_xlnm.Print_Area,5,FALSE))," ",(VLOOKUP(C1411,'[1]خريطة الحسابات'!_xlnm.Print_Area,5,FALSE)))</f>
        <v>الاصول</v>
      </c>
      <c r="O1411" s="139" t="s">
        <v>1933</v>
      </c>
      <c r="P1411" s="139" t="s">
        <v>1405</v>
      </c>
    </row>
    <row r="1412" spans="1:16">
      <c r="A1412" s="104">
        <v>59</v>
      </c>
      <c r="B1412" s="131">
        <v>46142</v>
      </c>
      <c r="C1412" s="141">
        <v>20</v>
      </c>
      <c r="D1412" s="140" t="str">
        <f>IF(ISERROR(VLOOKUP(C1412,'[1]خريطة الحسابات'!_xlnm.Print_Area,3,FALSE))," ",(VLOOKUP(C1412,'[1]خريطة الحسابات'!_xlnm.Print_Area,3,FALSE)))</f>
        <v xml:space="preserve">الخزينة </v>
      </c>
      <c r="E1412" s="142"/>
      <c r="F1412" s="133"/>
      <c r="G1412" s="133">
        <v>1070</v>
      </c>
      <c r="H1412" s="134">
        <f t="shared" si="64"/>
        <v>0</v>
      </c>
      <c r="I1412" s="134">
        <f t="shared" si="64"/>
        <v>1070</v>
      </c>
      <c r="J1412" s="134">
        <f t="shared" si="63"/>
        <v>-1070</v>
      </c>
      <c r="K1412" s="135"/>
      <c r="L1412" s="136" t="str">
        <f t="shared" si="65"/>
        <v>دائن</v>
      </c>
      <c r="M1412" s="137" t="str">
        <f>IF(ISERROR(VLOOKUP(C1412,'[1]خريطة الحسابات'!_xlnm.Print_Area,4,FALSE))," ",(VLOOKUP(C1412,'[1]خريطة الحسابات'!_xlnm.Print_Area,4,FALSE)))</f>
        <v xml:space="preserve">أصول متداوله -النقدية ومافي حكمها </v>
      </c>
      <c r="N1412" s="138" t="str">
        <f>IF(ISERROR(VLOOKUP(C1412,'[1]خريطة الحسابات'!_xlnm.Print_Area,5,FALSE))," ",(VLOOKUP(C1412,'[1]خريطة الحسابات'!_xlnm.Print_Area,5,FALSE)))</f>
        <v>الاصول</v>
      </c>
      <c r="O1412" s="139" t="s">
        <v>1934</v>
      </c>
      <c r="P1412" s="139" t="s">
        <v>1405</v>
      </c>
    </row>
    <row r="1413" spans="1:16">
      <c r="A1413" s="104">
        <v>59</v>
      </c>
      <c r="B1413" s="131">
        <v>46142</v>
      </c>
      <c r="C1413" s="141">
        <v>20</v>
      </c>
      <c r="D1413" s="140" t="str">
        <f>IF(ISERROR(VLOOKUP(C1413,'[1]خريطة الحسابات'!_xlnm.Print_Area,3,FALSE))," ",(VLOOKUP(C1413,'[1]خريطة الحسابات'!_xlnm.Print_Area,3,FALSE)))</f>
        <v xml:space="preserve">الخزينة </v>
      </c>
      <c r="E1413" s="142"/>
      <c r="F1413" s="133"/>
      <c r="G1413" s="133">
        <v>1500</v>
      </c>
      <c r="H1413" s="134">
        <f t="shared" si="64"/>
        <v>0</v>
      </c>
      <c r="I1413" s="134">
        <f t="shared" si="64"/>
        <v>1500</v>
      </c>
      <c r="J1413" s="134">
        <f t="shared" si="63"/>
        <v>-1500</v>
      </c>
      <c r="K1413" s="135"/>
      <c r="L1413" s="136" t="str">
        <f t="shared" si="65"/>
        <v>دائن</v>
      </c>
      <c r="M1413" s="137" t="str">
        <f>IF(ISERROR(VLOOKUP(C1413,'[1]خريطة الحسابات'!_xlnm.Print_Area,4,FALSE))," ",(VLOOKUP(C1413,'[1]خريطة الحسابات'!_xlnm.Print_Area,4,FALSE)))</f>
        <v xml:space="preserve">أصول متداوله -النقدية ومافي حكمها </v>
      </c>
      <c r="N1413" s="138" t="str">
        <f>IF(ISERROR(VLOOKUP(C1413,'[1]خريطة الحسابات'!_xlnm.Print_Area,5,FALSE))," ",(VLOOKUP(C1413,'[1]خريطة الحسابات'!_xlnm.Print_Area,5,FALSE)))</f>
        <v>الاصول</v>
      </c>
      <c r="O1413" s="139" t="s">
        <v>1935</v>
      </c>
      <c r="P1413" s="139" t="s">
        <v>1405</v>
      </c>
    </row>
    <row r="1414" spans="1:16">
      <c r="A1414" s="104">
        <v>59</v>
      </c>
      <c r="B1414" s="131">
        <v>46147</v>
      </c>
      <c r="C1414" s="141">
        <v>20</v>
      </c>
      <c r="D1414" s="140" t="str">
        <f>IF(ISERROR(VLOOKUP(C1414,'[1]خريطة الحسابات'!_xlnm.Print_Area,3,FALSE))," ",(VLOOKUP(C1414,'[1]خريطة الحسابات'!_xlnm.Print_Area,3,FALSE)))</f>
        <v xml:space="preserve">الخزينة </v>
      </c>
      <c r="E1414" s="142"/>
      <c r="F1414" s="133"/>
      <c r="G1414" s="133">
        <v>610</v>
      </c>
      <c r="H1414" s="134">
        <f t="shared" si="64"/>
        <v>0</v>
      </c>
      <c r="I1414" s="134">
        <f t="shared" si="64"/>
        <v>610</v>
      </c>
      <c r="J1414" s="134">
        <f t="shared" si="63"/>
        <v>-610</v>
      </c>
      <c r="K1414" s="135"/>
      <c r="L1414" s="136" t="str">
        <f t="shared" si="65"/>
        <v>دائن</v>
      </c>
      <c r="M1414" s="137" t="str">
        <f>IF(ISERROR(VLOOKUP(C1414,'[1]خريطة الحسابات'!_xlnm.Print_Area,4,FALSE))," ",(VLOOKUP(C1414,'[1]خريطة الحسابات'!_xlnm.Print_Area,4,FALSE)))</f>
        <v xml:space="preserve">أصول متداوله -النقدية ومافي حكمها </v>
      </c>
      <c r="N1414" s="138" t="str">
        <f>IF(ISERROR(VLOOKUP(C1414,'[1]خريطة الحسابات'!_xlnm.Print_Area,5,FALSE))," ",(VLOOKUP(C1414,'[1]خريطة الحسابات'!_xlnm.Print_Area,5,FALSE)))</f>
        <v>الاصول</v>
      </c>
      <c r="O1414" s="139" t="s">
        <v>1936</v>
      </c>
      <c r="P1414" s="139" t="s">
        <v>1405</v>
      </c>
    </row>
    <row r="1415" spans="1:16">
      <c r="A1415" s="104">
        <v>59</v>
      </c>
      <c r="B1415" s="131">
        <v>46046</v>
      </c>
      <c r="C1415" s="141">
        <v>20</v>
      </c>
      <c r="D1415" s="140" t="str">
        <f>IF(ISERROR(VLOOKUP(C1415,'[1]خريطة الحسابات'!_xlnm.Print_Area,3,FALSE))," ",(VLOOKUP(C1415,'[1]خريطة الحسابات'!_xlnm.Print_Area,3,FALSE)))</f>
        <v xml:space="preserve">الخزينة </v>
      </c>
      <c r="E1415" s="142"/>
      <c r="F1415" s="133"/>
      <c r="G1415" s="133">
        <v>7894</v>
      </c>
      <c r="H1415" s="134">
        <f t="shared" si="64"/>
        <v>0</v>
      </c>
      <c r="I1415" s="134">
        <f t="shared" si="64"/>
        <v>7894</v>
      </c>
      <c r="J1415" s="134">
        <f t="shared" si="63"/>
        <v>-7894</v>
      </c>
      <c r="K1415" s="135"/>
      <c r="L1415" s="136" t="str">
        <f t="shared" si="65"/>
        <v>دائن</v>
      </c>
      <c r="M1415" s="137" t="str">
        <f>IF(ISERROR(VLOOKUP(C1415,'[1]خريطة الحسابات'!_xlnm.Print_Area,4,FALSE))," ",(VLOOKUP(C1415,'[1]خريطة الحسابات'!_xlnm.Print_Area,4,FALSE)))</f>
        <v xml:space="preserve">أصول متداوله -النقدية ومافي حكمها </v>
      </c>
      <c r="N1415" s="138" t="str">
        <f>IF(ISERROR(VLOOKUP(C1415,'[1]خريطة الحسابات'!_xlnm.Print_Area,5,FALSE))," ",(VLOOKUP(C1415,'[1]خريطة الحسابات'!_xlnm.Print_Area,5,FALSE)))</f>
        <v>الاصول</v>
      </c>
      <c r="O1415" s="139" t="s">
        <v>1937</v>
      </c>
      <c r="P1415" s="139" t="s">
        <v>1325</v>
      </c>
    </row>
    <row r="1416" spans="1:16">
      <c r="A1416" s="104">
        <v>59</v>
      </c>
      <c r="B1416" s="131">
        <v>46060</v>
      </c>
      <c r="C1416" s="141">
        <v>20</v>
      </c>
      <c r="D1416" s="140" t="str">
        <f>IF(ISERROR(VLOOKUP(C1416,'[1]خريطة الحسابات'!_xlnm.Print_Area,3,FALSE))," ",(VLOOKUP(C1416,'[1]خريطة الحسابات'!_xlnm.Print_Area,3,FALSE)))</f>
        <v xml:space="preserve">الخزينة </v>
      </c>
      <c r="E1416" s="142"/>
      <c r="F1416" s="133"/>
      <c r="G1416" s="133">
        <v>1415</v>
      </c>
      <c r="H1416" s="134">
        <f t="shared" si="64"/>
        <v>0</v>
      </c>
      <c r="I1416" s="134">
        <f t="shared" si="64"/>
        <v>1415</v>
      </c>
      <c r="J1416" s="134">
        <f t="shared" si="63"/>
        <v>-1415</v>
      </c>
      <c r="K1416" s="135"/>
      <c r="L1416" s="136" t="str">
        <f t="shared" si="65"/>
        <v>دائن</v>
      </c>
      <c r="M1416" s="137" t="str">
        <f>IF(ISERROR(VLOOKUP(C1416,'[1]خريطة الحسابات'!_xlnm.Print_Area,4,FALSE))," ",(VLOOKUP(C1416,'[1]خريطة الحسابات'!_xlnm.Print_Area,4,FALSE)))</f>
        <v xml:space="preserve">أصول متداوله -النقدية ومافي حكمها </v>
      </c>
      <c r="N1416" s="138" t="str">
        <f>IF(ISERROR(VLOOKUP(C1416,'[1]خريطة الحسابات'!_xlnm.Print_Area,5,FALSE))," ",(VLOOKUP(C1416,'[1]خريطة الحسابات'!_xlnm.Print_Area,5,FALSE)))</f>
        <v>الاصول</v>
      </c>
      <c r="O1416" s="139" t="s">
        <v>1938</v>
      </c>
      <c r="P1416" s="139" t="s">
        <v>1325</v>
      </c>
    </row>
    <row r="1417" spans="1:16">
      <c r="A1417" s="104">
        <v>59</v>
      </c>
      <c r="B1417" s="131">
        <v>46061</v>
      </c>
      <c r="C1417" s="141">
        <v>20</v>
      </c>
      <c r="D1417" s="140" t="str">
        <f>IF(ISERROR(VLOOKUP(C1417,'[1]خريطة الحسابات'!_xlnm.Print_Area,3,FALSE))," ",(VLOOKUP(C1417,'[1]خريطة الحسابات'!_xlnm.Print_Area,3,FALSE)))</f>
        <v xml:space="preserve">الخزينة </v>
      </c>
      <c r="E1417" s="142"/>
      <c r="F1417" s="133"/>
      <c r="G1417" s="133">
        <v>9085</v>
      </c>
      <c r="H1417" s="134">
        <f t="shared" si="64"/>
        <v>0</v>
      </c>
      <c r="I1417" s="134">
        <f t="shared" si="64"/>
        <v>9085</v>
      </c>
      <c r="J1417" s="134">
        <f t="shared" si="63"/>
        <v>-9085</v>
      </c>
      <c r="K1417" s="135"/>
      <c r="L1417" s="136" t="str">
        <f t="shared" si="65"/>
        <v>دائن</v>
      </c>
      <c r="M1417" s="137" t="str">
        <f>IF(ISERROR(VLOOKUP(C1417,'[1]خريطة الحسابات'!_xlnm.Print_Area,4,FALSE))," ",(VLOOKUP(C1417,'[1]خريطة الحسابات'!_xlnm.Print_Area,4,FALSE)))</f>
        <v xml:space="preserve">أصول متداوله -النقدية ومافي حكمها </v>
      </c>
      <c r="N1417" s="138" t="str">
        <f>IF(ISERROR(VLOOKUP(C1417,'[1]خريطة الحسابات'!_xlnm.Print_Area,5,FALSE))," ",(VLOOKUP(C1417,'[1]خريطة الحسابات'!_xlnm.Print_Area,5,FALSE)))</f>
        <v>الاصول</v>
      </c>
      <c r="O1417" s="139" t="s">
        <v>1939</v>
      </c>
      <c r="P1417" s="139" t="s">
        <v>1325</v>
      </c>
    </row>
    <row r="1418" spans="1:16">
      <c r="A1418" s="104">
        <v>59</v>
      </c>
      <c r="B1418" s="131">
        <v>46062</v>
      </c>
      <c r="C1418" s="141">
        <v>20</v>
      </c>
      <c r="D1418" s="140" t="str">
        <f>IF(ISERROR(VLOOKUP(C1418,'[1]خريطة الحسابات'!_xlnm.Print_Area,3,FALSE))," ",(VLOOKUP(C1418,'[1]خريطة الحسابات'!_xlnm.Print_Area,3,FALSE)))</f>
        <v xml:space="preserve">الخزينة </v>
      </c>
      <c r="E1418" s="142"/>
      <c r="F1418" s="133"/>
      <c r="G1418" s="133">
        <v>3125</v>
      </c>
      <c r="H1418" s="134">
        <f t="shared" si="64"/>
        <v>0</v>
      </c>
      <c r="I1418" s="134">
        <f t="shared" si="64"/>
        <v>3125</v>
      </c>
      <c r="J1418" s="134">
        <f t="shared" si="63"/>
        <v>-3125</v>
      </c>
      <c r="K1418" s="135"/>
      <c r="L1418" s="136" t="str">
        <f t="shared" si="65"/>
        <v>دائن</v>
      </c>
      <c r="M1418" s="137" t="str">
        <f>IF(ISERROR(VLOOKUP(C1418,'[1]خريطة الحسابات'!_xlnm.Print_Area,4,FALSE))," ",(VLOOKUP(C1418,'[1]خريطة الحسابات'!_xlnm.Print_Area,4,FALSE)))</f>
        <v xml:space="preserve">أصول متداوله -النقدية ومافي حكمها </v>
      </c>
      <c r="N1418" s="138" t="str">
        <f>IF(ISERROR(VLOOKUP(C1418,'[1]خريطة الحسابات'!_xlnm.Print_Area,5,FALSE))," ",(VLOOKUP(C1418,'[1]خريطة الحسابات'!_xlnm.Print_Area,5,FALSE)))</f>
        <v>الاصول</v>
      </c>
      <c r="O1418" s="84" t="s">
        <v>1940</v>
      </c>
      <c r="P1418" s="84" t="s">
        <v>1325</v>
      </c>
    </row>
    <row r="1419" spans="1:16">
      <c r="A1419" s="104">
        <v>59</v>
      </c>
      <c r="B1419" s="131">
        <v>46065</v>
      </c>
      <c r="C1419" s="141">
        <v>20</v>
      </c>
      <c r="D1419" s="140" t="str">
        <f>IF(ISERROR(VLOOKUP(C1419,'[1]خريطة الحسابات'!_xlnm.Print_Area,3,FALSE))," ",(VLOOKUP(C1419,'[1]خريطة الحسابات'!_xlnm.Print_Area,3,FALSE)))</f>
        <v xml:space="preserve">الخزينة </v>
      </c>
      <c r="E1419" s="142"/>
      <c r="F1419" s="133"/>
      <c r="G1419" s="133">
        <v>3030</v>
      </c>
      <c r="H1419" s="134">
        <f t="shared" si="64"/>
        <v>0</v>
      </c>
      <c r="I1419" s="134">
        <f t="shared" si="64"/>
        <v>3030</v>
      </c>
      <c r="J1419" s="134">
        <f t="shared" si="63"/>
        <v>-3030</v>
      </c>
      <c r="K1419" s="135"/>
      <c r="L1419" s="136" t="str">
        <f t="shared" si="65"/>
        <v>دائن</v>
      </c>
      <c r="M1419" s="137" t="str">
        <f>IF(ISERROR(VLOOKUP(C1419,'[1]خريطة الحسابات'!_xlnm.Print_Area,4,FALSE))," ",(VLOOKUP(C1419,'[1]خريطة الحسابات'!_xlnm.Print_Area,4,FALSE)))</f>
        <v xml:space="preserve">أصول متداوله -النقدية ومافي حكمها </v>
      </c>
      <c r="N1419" s="138" t="str">
        <f>IF(ISERROR(VLOOKUP(C1419,'[1]خريطة الحسابات'!_xlnm.Print_Area,5,FALSE))," ",(VLOOKUP(C1419,'[1]خريطة الحسابات'!_xlnm.Print_Area,5,FALSE)))</f>
        <v>الاصول</v>
      </c>
      <c r="O1419" s="84" t="s">
        <v>1941</v>
      </c>
      <c r="P1419" s="84" t="s">
        <v>1325</v>
      </c>
    </row>
    <row r="1420" spans="1:16">
      <c r="A1420" s="104">
        <v>59</v>
      </c>
      <c r="B1420" s="131">
        <v>46071</v>
      </c>
      <c r="C1420" s="141">
        <v>20</v>
      </c>
      <c r="D1420" s="140" t="str">
        <f>IF(ISERROR(VLOOKUP(C1420,'[1]خريطة الحسابات'!_xlnm.Print_Area,3,FALSE))," ",(VLOOKUP(C1420,'[1]خريطة الحسابات'!_xlnm.Print_Area,3,FALSE)))</f>
        <v xml:space="preserve">الخزينة </v>
      </c>
      <c r="E1420" s="142"/>
      <c r="F1420" s="133"/>
      <c r="G1420" s="133">
        <v>2570</v>
      </c>
      <c r="H1420" s="134">
        <f t="shared" si="64"/>
        <v>0</v>
      </c>
      <c r="I1420" s="134">
        <f t="shared" si="64"/>
        <v>2570</v>
      </c>
      <c r="J1420" s="134">
        <f t="shared" si="63"/>
        <v>-2570</v>
      </c>
      <c r="K1420" s="135"/>
      <c r="L1420" s="136" t="str">
        <f t="shared" si="65"/>
        <v>دائن</v>
      </c>
      <c r="M1420" s="137" t="str">
        <f>IF(ISERROR(VLOOKUP(C1420,'[1]خريطة الحسابات'!_xlnm.Print_Area,4,FALSE))," ",(VLOOKUP(C1420,'[1]خريطة الحسابات'!_xlnm.Print_Area,4,FALSE)))</f>
        <v xml:space="preserve">أصول متداوله -النقدية ومافي حكمها </v>
      </c>
      <c r="N1420" s="138" t="str">
        <f>IF(ISERROR(VLOOKUP(C1420,'[1]خريطة الحسابات'!_xlnm.Print_Area,5,FALSE))," ",(VLOOKUP(C1420,'[1]خريطة الحسابات'!_xlnm.Print_Area,5,FALSE)))</f>
        <v>الاصول</v>
      </c>
      <c r="O1420" s="84" t="s">
        <v>1942</v>
      </c>
      <c r="P1420" s="84" t="s">
        <v>1325</v>
      </c>
    </row>
    <row r="1421" spans="1:16">
      <c r="A1421" s="104">
        <v>59</v>
      </c>
      <c r="B1421" s="131">
        <v>46138</v>
      </c>
      <c r="C1421" s="141">
        <v>20</v>
      </c>
      <c r="D1421" s="140" t="str">
        <f>IF(ISERROR(VLOOKUP(C1421,'[1]خريطة الحسابات'!_xlnm.Print_Area,3,FALSE))," ",(VLOOKUP(C1421,'[1]خريطة الحسابات'!_xlnm.Print_Area,3,FALSE)))</f>
        <v xml:space="preserve">الخزينة </v>
      </c>
      <c r="E1421" s="142"/>
      <c r="F1421" s="133"/>
      <c r="G1421" s="133">
        <v>720</v>
      </c>
      <c r="H1421" s="134">
        <f t="shared" si="64"/>
        <v>0</v>
      </c>
      <c r="I1421" s="134">
        <f t="shared" si="64"/>
        <v>720</v>
      </c>
      <c r="J1421" s="134">
        <f t="shared" si="63"/>
        <v>-720</v>
      </c>
      <c r="K1421" s="135"/>
      <c r="L1421" s="136" t="str">
        <f t="shared" si="65"/>
        <v>دائن</v>
      </c>
      <c r="M1421" s="137" t="str">
        <f>IF(ISERROR(VLOOKUP(C1421,'[1]خريطة الحسابات'!_xlnm.Print_Area,4,FALSE))," ",(VLOOKUP(C1421,'[1]خريطة الحسابات'!_xlnm.Print_Area,4,FALSE)))</f>
        <v xml:space="preserve">أصول متداوله -النقدية ومافي حكمها </v>
      </c>
      <c r="N1421" s="138" t="str">
        <f>IF(ISERROR(VLOOKUP(C1421,'[1]خريطة الحسابات'!_xlnm.Print_Area,5,FALSE))," ",(VLOOKUP(C1421,'[1]خريطة الحسابات'!_xlnm.Print_Area,5,FALSE)))</f>
        <v>الاصول</v>
      </c>
      <c r="O1421" s="84" t="s">
        <v>1943</v>
      </c>
      <c r="P1421" s="84" t="s">
        <v>1415</v>
      </c>
    </row>
    <row r="1422" spans="1:16">
      <c r="A1422" s="104">
        <v>59</v>
      </c>
      <c r="B1422" s="131">
        <v>46139</v>
      </c>
      <c r="C1422" s="141">
        <v>20</v>
      </c>
      <c r="D1422" s="140" t="str">
        <f>IF(ISERROR(VLOOKUP(C1422,'[1]خريطة الحسابات'!_xlnm.Print_Area,3,FALSE))," ",(VLOOKUP(C1422,'[1]خريطة الحسابات'!_xlnm.Print_Area,3,FALSE)))</f>
        <v xml:space="preserve">الخزينة </v>
      </c>
      <c r="E1422" s="142"/>
      <c r="F1422" s="133"/>
      <c r="G1422" s="133">
        <v>1345</v>
      </c>
      <c r="H1422" s="134">
        <f t="shared" si="64"/>
        <v>0</v>
      </c>
      <c r="I1422" s="134">
        <f t="shared" si="64"/>
        <v>1345</v>
      </c>
      <c r="J1422" s="134">
        <f t="shared" si="63"/>
        <v>-1345</v>
      </c>
      <c r="K1422" s="135"/>
      <c r="L1422" s="136" t="str">
        <f t="shared" si="65"/>
        <v>دائن</v>
      </c>
      <c r="M1422" s="137" t="str">
        <f>IF(ISERROR(VLOOKUP(C1422,'[1]خريطة الحسابات'!_xlnm.Print_Area,4,FALSE))," ",(VLOOKUP(C1422,'[1]خريطة الحسابات'!_xlnm.Print_Area,4,FALSE)))</f>
        <v xml:space="preserve">أصول متداوله -النقدية ومافي حكمها </v>
      </c>
      <c r="N1422" s="138" t="str">
        <f>IF(ISERROR(VLOOKUP(C1422,'[1]خريطة الحسابات'!_xlnm.Print_Area,5,FALSE))," ",(VLOOKUP(C1422,'[1]خريطة الحسابات'!_xlnm.Print_Area,5,FALSE)))</f>
        <v>الاصول</v>
      </c>
      <c r="O1422" s="84" t="s">
        <v>1944</v>
      </c>
      <c r="P1422" s="84" t="s">
        <v>1415</v>
      </c>
    </row>
    <row r="1423" spans="1:16">
      <c r="A1423" s="104">
        <v>59</v>
      </c>
      <c r="B1423" s="131">
        <v>46141</v>
      </c>
      <c r="C1423" s="141">
        <v>20</v>
      </c>
      <c r="D1423" s="140" t="str">
        <f>IF(ISERROR(VLOOKUP(C1423,'[1]خريطة الحسابات'!_xlnm.Print_Area,3,FALSE))," ",(VLOOKUP(C1423,'[1]خريطة الحسابات'!_xlnm.Print_Area,3,FALSE)))</f>
        <v xml:space="preserve">الخزينة </v>
      </c>
      <c r="E1423" s="142"/>
      <c r="F1423" s="133"/>
      <c r="G1423" s="133">
        <v>430</v>
      </c>
      <c r="H1423" s="134">
        <f t="shared" si="64"/>
        <v>0</v>
      </c>
      <c r="I1423" s="134">
        <f t="shared" si="64"/>
        <v>430</v>
      </c>
      <c r="J1423" s="134">
        <f t="shared" si="63"/>
        <v>-430</v>
      </c>
      <c r="K1423" s="135"/>
      <c r="L1423" s="136" t="str">
        <f t="shared" si="65"/>
        <v>دائن</v>
      </c>
      <c r="M1423" s="137" t="str">
        <f>IF(ISERROR(VLOOKUP(C1423,'[1]خريطة الحسابات'!_xlnm.Print_Area,4,FALSE))," ",(VLOOKUP(C1423,'[1]خريطة الحسابات'!_xlnm.Print_Area,4,FALSE)))</f>
        <v xml:space="preserve">أصول متداوله -النقدية ومافي حكمها </v>
      </c>
      <c r="N1423" s="138" t="str">
        <f>IF(ISERROR(VLOOKUP(C1423,'[1]خريطة الحسابات'!_xlnm.Print_Area,5,FALSE))," ",(VLOOKUP(C1423,'[1]خريطة الحسابات'!_xlnm.Print_Area,5,FALSE)))</f>
        <v>الاصول</v>
      </c>
      <c r="O1423" s="84" t="s">
        <v>1945</v>
      </c>
      <c r="P1423" s="84" t="s">
        <v>1415</v>
      </c>
    </row>
    <row r="1424" spans="1:16" ht="15.6">
      <c r="A1424" s="104">
        <v>59</v>
      </c>
      <c r="B1424" s="131">
        <v>46036</v>
      </c>
      <c r="C1424" s="141">
        <v>20</v>
      </c>
      <c r="D1424" s="140" t="str">
        <f>IF(ISERROR(VLOOKUP(C1424,'[1]خريطة الحسابات'!_xlnm.Print_Area,3,FALSE))," ",(VLOOKUP(C1424,'[1]خريطة الحسابات'!_xlnm.Print_Area,3,FALSE)))</f>
        <v xml:space="preserve">الخزينة </v>
      </c>
      <c r="E1424" s="142"/>
      <c r="F1424" s="133"/>
      <c r="G1424" s="133">
        <v>1032</v>
      </c>
      <c r="H1424" s="134">
        <f t="shared" si="64"/>
        <v>0</v>
      </c>
      <c r="I1424" s="134">
        <f t="shared" si="64"/>
        <v>1032</v>
      </c>
      <c r="J1424" s="134">
        <f t="shared" si="63"/>
        <v>-1032</v>
      </c>
      <c r="K1424" s="135"/>
      <c r="L1424" s="136" t="str">
        <f t="shared" si="65"/>
        <v>دائن</v>
      </c>
      <c r="M1424" s="137" t="str">
        <f>IF(ISERROR(VLOOKUP(C1424,'[1]خريطة الحسابات'!_xlnm.Print_Area,4,FALSE))," ",(VLOOKUP(C1424,'[1]خريطة الحسابات'!_xlnm.Print_Area,4,FALSE)))</f>
        <v xml:space="preserve">أصول متداوله -النقدية ومافي حكمها </v>
      </c>
      <c r="N1424" s="138" t="str">
        <f>IF(ISERROR(VLOOKUP(C1424,'[1]خريطة الحسابات'!_xlnm.Print_Area,5,FALSE))," ",(VLOOKUP(C1424,'[1]خريطة الحسابات'!_xlnm.Print_Area,5,FALSE)))</f>
        <v>الاصول</v>
      </c>
      <c r="O1424" s="129" t="s">
        <v>1946</v>
      </c>
      <c r="P1424" s="128" t="s">
        <v>1299</v>
      </c>
    </row>
    <row r="1425" spans="1:16">
      <c r="A1425" s="104">
        <v>60</v>
      </c>
      <c r="B1425" s="131">
        <v>46154</v>
      </c>
      <c r="C1425" s="141" t="s">
        <v>807</v>
      </c>
      <c r="D1425" s="140" t="str">
        <f>IF(ISERROR(VLOOKUP(C1425,'[1]خريطة الحسابات'!_xlnm.Print_Area,3,FALSE))," ",(VLOOKUP(C1425,'[1]خريطة الحسابات'!_xlnm.Print_Area,3,FALSE)))</f>
        <v xml:space="preserve">اعمال انزال ونقل الراتش ونقل المخلفات </v>
      </c>
      <c r="E1425" s="142"/>
      <c r="F1425" s="133">
        <v>1400</v>
      </c>
      <c r="G1425" s="133"/>
      <c r="H1425" s="134">
        <f t="shared" si="64"/>
        <v>1400</v>
      </c>
      <c r="I1425" s="134">
        <f t="shared" si="64"/>
        <v>0</v>
      </c>
      <c r="J1425" s="134">
        <f t="shared" si="63"/>
        <v>1400</v>
      </c>
      <c r="K1425" s="135"/>
      <c r="L1425" s="136" t="str">
        <f t="shared" si="65"/>
        <v>مدين</v>
      </c>
      <c r="M1425" s="137" t="str">
        <f>IF(ISERROR(VLOOKUP(C1425,'[1]خريطة الحسابات'!_xlnm.Print_Area,4,FALSE))," ",(VLOOKUP(C1425,'[1]خريطة الحسابات'!_xlnm.Print_Area,4,FALSE)))</f>
        <v>تكاليف مشروع احمد زايد 401</v>
      </c>
      <c r="N1425" s="138" t="str">
        <f>IF(ISERROR(VLOOKUP(C1425,'[1]خريطة الحسابات'!_xlnm.Print_Area,5,FALSE))," ",(VLOOKUP(C1425,'[1]خريطة الحسابات'!_xlnm.Print_Area,5,FALSE)))</f>
        <v xml:space="preserve">تكاليف العمليات </v>
      </c>
      <c r="O1425" s="84" t="s">
        <v>1947</v>
      </c>
      <c r="P1425" s="84" t="s">
        <v>1345</v>
      </c>
    </row>
    <row r="1426" spans="1:16">
      <c r="A1426" s="104">
        <v>60</v>
      </c>
      <c r="B1426" s="131">
        <v>46133</v>
      </c>
      <c r="C1426" s="141" t="s">
        <v>702</v>
      </c>
      <c r="D1426" s="140" t="str">
        <f>IF(ISERROR(VLOOKUP(C1426,'[1]خريطة الحسابات'!_xlnm.Print_Area,3,FALSE))," ",(VLOOKUP(C1426,'[1]خريطة الحسابات'!_xlnm.Print_Area,3,FALSE)))</f>
        <v xml:space="preserve">اعمال انزال ونقل الراتش ونقل المخلفات </v>
      </c>
      <c r="E1426" s="142"/>
      <c r="F1426" s="133">
        <v>100</v>
      </c>
      <c r="G1426" s="133"/>
      <c r="H1426" s="134">
        <f t="shared" si="64"/>
        <v>100</v>
      </c>
      <c r="I1426" s="134">
        <f t="shared" si="64"/>
        <v>0</v>
      </c>
      <c r="J1426" s="134">
        <f t="shared" si="63"/>
        <v>100</v>
      </c>
      <c r="K1426" s="135"/>
      <c r="L1426" s="136" t="str">
        <f t="shared" si="65"/>
        <v>مدين</v>
      </c>
      <c r="M1426" s="137" t="str">
        <f>IF(ISERROR(VLOOKUP(C1426,'[1]خريطة الحسابات'!_xlnm.Print_Area,4,FALSE))," ",(VLOOKUP(C1426,'[1]خريطة الحسابات'!_xlnm.Print_Area,4,FALSE)))</f>
        <v>تكاليف مشروع اشرف الشروق 372</v>
      </c>
      <c r="N1426" s="138" t="str">
        <f>IF(ISERROR(VLOOKUP(C1426,'[1]خريطة الحسابات'!_xlnm.Print_Area,5,FALSE))," ",(VLOOKUP(C1426,'[1]خريطة الحسابات'!_xlnm.Print_Area,5,FALSE)))</f>
        <v xml:space="preserve">تكاليف العمليات </v>
      </c>
      <c r="O1426" s="84" t="s">
        <v>1948</v>
      </c>
      <c r="P1426" s="84" t="s">
        <v>1340</v>
      </c>
    </row>
    <row r="1427" spans="1:16">
      <c r="A1427" s="104">
        <v>60</v>
      </c>
      <c r="B1427" s="131">
        <v>46151</v>
      </c>
      <c r="C1427" s="141" t="s">
        <v>702</v>
      </c>
      <c r="D1427" s="140" t="str">
        <f>IF(ISERROR(VLOOKUP(C1427,'[1]خريطة الحسابات'!_xlnm.Print_Area,3,FALSE))," ",(VLOOKUP(C1427,'[1]خريطة الحسابات'!_xlnm.Print_Area,3,FALSE)))</f>
        <v xml:space="preserve">اعمال انزال ونقل الراتش ونقل المخلفات </v>
      </c>
      <c r="E1427" s="142"/>
      <c r="F1427" s="133">
        <v>400</v>
      </c>
      <c r="G1427" s="133"/>
      <c r="H1427" s="134">
        <f t="shared" si="64"/>
        <v>400</v>
      </c>
      <c r="I1427" s="134">
        <f t="shared" si="64"/>
        <v>0</v>
      </c>
      <c r="J1427" s="134">
        <f t="shared" si="63"/>
        <v>400</v>
      </c>
      <c r="K1427" s="135"/>
      <c r="L1427" s="136" t="str">
        <f t="shared" si="65"/>
        <v>مدين</v>
      </c>
      <c r="M1427" s="137" t="str">
        <f>IF(ISERROR(VLOOKUP(C1427,'[1]خريطة الحسابات'!_xlnm.Print_Area,4,FALSE))," ",(VLOOKUP(C1427,'[1]خريطة الحسابات'!_xlnm.Print_Area,4,FALSE)))</f>
        <v>تكاليف مشروع اشرف الشروق 372</v>
      </c>
      <c r="N1427" s="138" t="str">
        <f>IF(ISERROR(VLOOKUP(C1427,'[1]خريطة الحسابات'!_xlnm.Print_Area,5,FALSE))," ",(VLOOKUP(C1427,'[1]خريطة الحسابات'!_xlnm.Print_Area,5,FALSE)))</f>
        <v xml:space="preserve">تكاليف العمليات </v>
      </c>
      <c r="O1427" s="84" t="s">
        <v>1949</v>
      </c>
      <c r="P1427" s="84" t="s">
        <v>1340</v>
      </c>
    </row>
    <row r="1428" spans="1:16">
      <c r="A1428" s="104">
        <v>60</v>
      </c>
      <c r="B1428" s="131">
        <v>46062</v>
      </c>
      <c r="C1428" s="141" t="s">
        <v>632</v>
      </c>
      <c r="D1428" s="140" t="str">
        <f>IF(ISERROR(VLOOKUP(C1428,'[1]خريطة الحسابات'!_xlnm.Print_Area,3,FALSE))," ",(VLOOKUP(C1428,'[1]خريطة الحسابات'!_xlnm.Print_Area,3,FALSE)))</f>
        <v xml:space="preserve">اعمال انزال ونقل الراتش ونقل المخلفات </v>
      </c>
      <c r="E1428" s="142"/>
      <c r="F1428" s="133">
        <v>500</v>
      </c>
      <c r="G1428" s="133"/>
      <c r="H1428" s="134">
        <f t="shared" si="64"/>
        <v>500</v>
      </c>
      <c r="I1428" s="134">
        <f t="shared" si="64"/>
        <v>0</v>
      </c>
      <c r="J1428" s="134">
        <f t="shared" si="63"/>
        <v>500</v>
      </c>
      <c r="K1428" s="135"/>
      <c r="L1428" s="136" t="str">
        <f t="shared" si="65"/>
        <v>مدين</v>
      </c>
      <c r="M1428" s="137" t="str">
        <f>IF(ISERROR(VLOOKUP(C1428,'[1]خريطة الحسابات'!_xlnm.Print_Area,4,FALSE))," ",(VLOOKUP(C1428,'[1]خريطة الحسابات'!_xlnm.Print_Area,4,FALSE)))</f>
        <v>تكاليف مشروع الاندلس 364</v>
      </c>
      <c r="N1428" s="138" t="str">
        <f>IF(ISERROR(VLOOKUP(C1428,'[1]خريطة الحسابات'!_xlnm.Print_Area,5,FALSE))," ",(VLOOKUP(C1428,'[1]خريطة الحسابات'!_xlnm.Print_Area,5,FALSE)))</f>
        <v xml:space="preserve">تكاليف العمليات </v>
      </c>
      <c r="O1428" s="84" t="s">
        <v>1950</v>
      </c>
      <c r="P1428" s="84" t="s">
        <v>1299</v>
      </c>
    </row>
    <row r="1429" spans="1:16">
      <c r="A1429" s="104">
        <v>60</v>
      </c>
      <c r="B1429" s="131">
        <v>46062</v>
      </c>
      <c r="C1429" s="141" t="s">
        <v>632</v>
      </c>
      <c r="D1429" s="140" t="str">
        <f>IF(ISERROR(VLOOKUP(C1429,'[1]خريطة الحسابات'!_xlnm.Print_Area,3,FALSE))," ",(VLOOKUP(C1429,'[1]خريطة الحسابات'!_xlnm.Print_Area,3,FALSE)))</f>
        <v xml:space="preserve">اعمال انزال ونقل الراتش ونقل المخلفات </v>
      </c>
      <c r="E1429" s="142"/>
      <c r="F1429" s="133">
        <v>250</v>
      </c>
      <c r="G1429" s="133"/>
      <c r="H1429" s="134">
        <f t="shared" si="64"/>
        <v>250</v>
      </c>
      <c r="I1429" s="134">
        <f t="shared" si="64"/>
        <v>0</v>
      </c>
      <c r="J1429" s="134">
        <f t="shared" si="63"/>
        <v>250</v>
      </c>
      <c r="K1429" s="135"/>
      <c r="L1429" s="136" t="str">
        <f t="shared" si="65"/>
        <v>مدين</v>
      </c>
      <c r="M1429" s="137" t="str">
        <f>IF(ISERROR(VLOOKUP(C1429,'[1]خريطة الحسابات'!_xlnm.Print_Area,4,FALSE))," ",(VLOOKUP(C1429,'[1]خريطة الحسابات'!_xlnm.Print_Area,4,FALSE)))</f>
        <v>تكاليف مشروع الاندلس 364</v>
      </c>
      <c r="N1429" s="138" t="str">
        <f>IF(ISERROR(VLOOKUP(C1429,'[1]خريطة الحسابات'!_xlnm.Print_Area,5,FALSE))," ",(VLOOKUP(C1429,'[1]خريطة الحسابات'!_xlnm.Print_Area,5,FALSE)))</f>
        <v xml:space="preserve">تكاليف العمليات </v>
      </c>
      <c r="O1429" s="84" t="s">
        <v>1951</v>
      </c>
      <c r="P1429" s="84" t="s">
        <v>1299</v>
      </c>
    </row>
    <row r="1430" spans="1:16">
      <c r="A1430" s="104">
        <v>60</v>
      </c>
      <c r="B1430" s="131">
        <v>46064</v>
      </c>
      <c r="C1430" s="141" t="s">
        <v>632</v>
      </c>
      <c r="D1430" s="140" t="str">
        <f>IF(ISERROR(VLOOKUP(C1430,'[1]خريطة الحسابات'!_xlnm.Print_Area,3,FALSE))," ",(VLOOKUP(C1430,'[1]خريطة الحسابات'!_xlnm.Print_Area,3,FALSE)))</f>
        <v xml:space="preserve">اعمال انزال ونقل الراتش ونقل المخلفات </v>
      </c>
      <c r="E1430" s="142"/>
      <c r="F1430" s="133">
        <v>1350</v>
      </c>
      <c r="G1430" s="133"/>
      <c r="H1430" s="134">
        <f t="shared" si="64"/>
        <v>1350</v>
      </c>
      <c r="I1430" s="134">
        <f t="shared" si="64"/>
        <v>0</v>
      </c>
      <c r="J1430" s="134">
        <f t="shared" si="63"/>
        <v>1350</v>
      </c>
      <c r="K1430" s="135"/>
      <c r="L1430" s="136" t="str">
        <f t="shared" si="65"/>
        <v>مدين</v>
      </c>
      <c r="M1430" s="137" t="str">
        <f>IF(ISERROR(VLOOKUP(C1430,'[1]خريطة الحسابات'!_xlnm.Print_Area,4,FALSE))," ",(VLOOKUP(C1430,'[1]خريطة الحسابات'!_xlnm.Print_Area,4,FALSE)))</f>
        <v>تكاليف مشروع الاندلس 364</v>
      </c>
      <c r="N1430" s="138" t="str">
        <f>IF(ISERROR(VLOOKUP(C1430,'[1]خريطة الحسابات'!_xlnm.Print_Area,5,FALSE))," ",(VLOOKUP(C1430,'[1]خريطة الحسابات'!_xlnm.Print_Area,5,FALSE)))</f>
        <v xml:space="preserve">تكاليف العمليات </v>
      </c>
      <c r="O1430" s="84" t="s">
        <v>1952</v>
      </c>
      <c r="P1430" s="84" t="s">
        <v>1299</v>
      </c>
    </row>
    <row r="1431" spans="1:16">
      <c r="A1431" s="104">
        <v>60</v>
      </c>
      <c r="B1431" s="131">
        <v>46039</v>
      </c>
      <c r="C1431" s="141" t="s">
        <v>177</v>
      </c>
      <c r="D1431" s="140" t="str">
        <f>IF(ISERROR(VLOOKUP(C1431,'[1]خريطة الحسابات'!_xlnm.Print_Area,3,FALSE))," ",(VLOOKUP(C1431,'[1]خريطة الحسابات'!_xlnm.Print_Area,3,FALSE)))</f>
        <v xml:space="preserve">اعمال انزال ونقل الراتش ونقل المخلفات </v>
      </c>
      <c r="E1431" s="142"/>
      <c r="F1431" s="133">
        <v>1000</v>
      </c>
      <c r="G1431" s="133"/>
      <c r="H1431" s="134">
        <f t="shared" si="64"/>
        <v>1000</v>
      </c>
      <c r="I1431" s="134">
        <f t="shared" si="64"/>
        <v>0</v>
      </c>
      <c r="J1431" s="134">
        <f t="shared" si="63"/>
        <v>1000</v>
      </c>
      <c r="K1431" s="135"/>
      <c r="L1431" s="136" t="str">
        <f t="shared" si="65"/>
        <v>مدين</v>
      </c>
      <c r="M1431" s="137" t="str">
        <f>IF(ISERROR(VLOOKUP(C1431,'[1]خريطة الحسابات'!_xlnm.Print_Area,4,FALSE))," ",(VLOOKUP(C1431,'[1]خريطة الحسابات'!_xlnm.Print_Area,4,FALSE)))</f>
        <v>تكاليف مشروع الباتيو 235</v>
      </c>
      <c r="N1431" s="138" t="str">
        <f>IF(ISERROR(VLOOKUP(C1431,'[1]خريطة الحسابات'!_xlnm.Print_Area,5,FALSE))," ",(VLOOKUP(C1431,'[1]خريطة الحسابات'!_xlnm.Print_Area,5,FALSE)))</f>
        <v xml:space="preserve">تكاليف العمليات </v>
      </c>
      <c r="O1431" s="84" t="s">
        <v>1953</v>
      </c>
      <c r="P1431" s="84" t="s">
        <v>1304</v>
      </c>
    </row>
    <row r="1432" spans="1:16">
      <c r="A1432" s="104">
        <v>60</v>
      </c>
      <c r="B1432" s="131">
        <v>46058</v>
      </c>
      <c r="C1432" s="141" t="s">
        <v>177</v>
      </c>
      <c r="D1432" s="140" t="str">
        <f>IF(ISERROR(VLOOKUP(C1432,'[1]خريطة الحسابات'!_xlnm.Print_Area,3,FALSE))," ",(VLOOKUP(C1432,'[1]خريطة الحسابات'!_xlnm.Print_Area,3,FALSE)))</f>
        <v xml:space="preserve">اعمال انزال ونقل الراتش ونقل المخلفات </v>
      </c>
      <c r="E1432" s="142"/>
      <c r="F1432" s="133">
        <v>135</v>
      </c>
      <c r="G1432" s="133"/>
      <c r="H1432" s="134">
        <f t="shared" si="64"/>
        <v>135</v>
      </c>
      <c r="I1432" s="134">
        <f t="shared" si="64"/>
        <v>0</v>
      </c>
      <c r="J1432" s="134">
        <f t="shared" ref="J1432:J1495" si="66">H1432-I1432</f>
        <v>135</v>
      </c>
      <c r="K1432" s="135"/>
      <c r="L1432" s="136" t="str">
        <f t="shared" si="65"/>
        <v>مدين</v>
      </c>
      <c r="M1432" s="137" t="str">
        <f>IF(ISERROR(VLOOKUP(C1432,'[1]خريطة الحسابات'!_xlnm.Print_Area,4,FALSE))," ",(VLOOKUP(C1432,'[1]خريطة الحسابات'!_xlnm.Print_Area,4,FALSE)))</f>
        <v>تكاليف مشروع الباتيو 235</v>
      </c>
      <c r="N1432" s="138" t="str">
        <f>IF(ISERROR(VLOOKUP(C1432,'[1]خريطة الحسابات'!_xlnm.Print_Area,5,FALSE))," ",(VLOOKUP(C1432,'[1]خريطة الحسابات'!_xlnm.Print_Area,5,FALSE)))</f>
        <v xml:space="preserve">تكاليف العمليات </v>
      </c>
      <c r="O1432" s="84" t="s">
        <v>1954</v>
      </c>
      <c r="P1432" s="84" t="s">
        <v>1304</v>
      </c>
    </row>
    <row r="1433" spans="1:16">
      <c r="A1433" s="104">
        <v>60</v>
      </c>
      <c r="B1433" s="131">
        <v>46058</v>
      </c>
      <c r="C1433" s="141" t="s">
        <v>177</v>
      </c>
      <c r="D1433" s="140" t="str">
        <f>IF(ISERROR(VLOOKUP(C1433,'[1]خريطة الحسابات'!_xlnm.Print_Area,3,FALSE))," ",(VLOOKUP(C1433,'[1]خريطة الحسابات'!_xlnm.Print_Area,3,FALSE)))</f>
        <v xml:space="preserve">اعمال انزال ونقل الراتش ونقل المخلفات </v>
      </c>
      <c r="E1433" s="142"/>
      <c r="F1433" s="133">
        <v>1000</v>
      </c>
      <c r="G1433" s="133"/>
      <c r="H1433" s="134">
        <f t="shared" ref="H1433:I1496" si="67">IF($E1433=2,F1433*3.465,F1433)</f>
        <v>1000</v>
      </c>
      <c r="I1433" s="134">
        <f t="shared" si="67"/>
        <v>0</v>
      </c>
      <c r="J1433" s="134">
        <f t="shared" si="66"/>
        <v>1000</v>
      </c>
      <c r="K1433" s="135"/>
      <c r="L1433" s="136" t="str">
        <f t="shared" si="65"/>
        <v>مدين</v>
      </c>
      <c r="M1433" s="137" t="str">
        <f>IF(ISERROR(VLOOKUP(C1433,'[1]خريطة الحسابات'!_xlnm.Print_Area,4,FALSE))," ",(VLOOKUP(C1433,'[1]خريطة الحسابات'!_xlnm.Print_Area,4,FALSE)))</f>
        <v>تكاليف مشروع الباتيو 235</v>
      </c>
      <c r="N1433" s="138" t="str">
        <f>IF(ISERROR(VLOOKUP(C1433,'[1]خريطة الحسابات'!_xlnm.Print_Area,5,FALSE))," ",(VLOOKUP(C1433,'[1]خريطة الحسابات'!_xlnm.Print_Area,5,FALSE)))</f>
        <v xml:space="preserve">تكاليف العمليات </v>
      </c>
      <c r="O1433" s="84" t="s">
        <v>1953</v>
      </c>
      <c r="P1433" s="84" t="s">
        <v>1304</v>
      </c>
    </row>
    <row r="1434" spans="1:16">
      <c r="A1434" s="104">
        <v>60</v>
      </c>
      <c r="B1434" s="131">
        <v>46062</v>
      </c>
      <c r="C1434" s="141" t="s">
        <v>177</v>
      </c>
      <c r="D1434" s="140" t="str">
        <f>IF(ISERROR(VLOOKUP(C1434,'[1]خريطة الحسابات'!_xlnm.Print_Area,3,FALSE))," ",(VLOOKUP(C1434,'[1]خريطة الحسابات'!_xlnm.Print_Area,3,FALSE)))</f>
        <v xml:space="preserve">اعمال انزال ونقل الراتش ونقل المخلفات </v>
      </c>
      <c r="E1434" s="142"/>
      <c r="F1434" s="133">
        <v>650</v>
      </c>
      <c r="G1434" s="133"/>
      <c r="H1434" s="134">
        <f t="shared" si="67"/>
        <v>650</v>
      </c>
      <c r="I1434" s="134">
        <f t="shared" si="67"/>
        <v>0</v>
      </c>
      <c r="J1434" s="134">
        <f t="shared" si="66"/>
        <v>650</v>
      </c>
      <c r="K1434" s="135"/>
      <c r="L1434" s="136" t="str">
        <f t="shared" si="65"/>
        <v>مدين</v>
      </c>
      <c r="M1434" s="137" t="str">
        <f>IF(ISERROR(VLOOKUP(C1434,'[1]خريطة الحسابات'!_xlnm.Print_Area,4,FALSE))," ",(VLOOKUP(C1434,'[1]خريطة الحسابات'!_xlnm.Print_Area,4,FALSE)))</f>
        <v>تكاليف مشروع الباتيو 235</v>
      </c>
      <c r="N1434" s="138" t="str">
        <f>IF(ISERROR(VLOOKUP(C1434,'[1]خريطة الحسابات'!_xlnm.Print_Area,5,FALSE))," ",(VLOOKUP(C1434,'[1]خريطة الحسابات'!_xlnm.Print_Area,5,FALSE)))</f>
        <v xml:space="preserve">تكاليف العمليات </v>
      </c>
      <c r="O1434" s="84" t="s">
        <v>1955</v>
      </c>
      <c r="P1434" s="84" t="s">
        <v>1304</v>
      </c>
    </row>
    <row r="1435" spans="1:16">
      <c r="A1435" s="104">
        <v>60</v>
      </c>
      <c r="B1435" s="131">
        <v>46068</v>
      </c>
      <c r="C1435" s="141" t="s">
        <v>177</v>
      </c>
      <c r="D1435" s="140" t="str">
        <f>IF(ISERROR(VLOOKUP(C1435,'[1]خريطة الحسابات'!_xlnm.Print_Area,3,FALSE))," ",(VLOOKUP(C1435,'[1]خريطة الحسابات'!_xlnm.Print_Area,3,FALSE)))</f>
        <v xml:space="preserve">اعمال انزال ونقل الراتش ونقل المخلفات </v>
      </c>
      <c r="E1435" s="142"/>
      <c r="F1435" s="133">
        <v>200</v>
      </c>
      <c r="G1435" s="133"/>
      <c r="H1435" s="134">
        <f t="shared" si="67"/>
        <v>200</v>
      </c>
      <c r="I1435" s="134">
        <f t="shared" si="67"/>
        <v>0</v>
      </c>
      <c r="J1435" s="134">
        <f t="shared" si="66"/>
        <v>200</v>
      </c>
      <c r="K1435" s="135"/>
      <c r="L1435" s="136" t="str">
        <f t="shared" ref="L1435:L1498" si="68">IF(J1435&lt;0,"دائن",IF(J1435&gt;0,"مدين",""))</f>
        <v>مدين</v>
      </c>
      <c r="M1435" s="137" t="str">
        <f>IF(ISERROR(VLOOKUP(C1435,'[1]خريطة الحسابات'!_xlnm.Print_Area,4,FALSE))," ",(VLOOKUP(C1435,'[1]خريطة الحسابات'!_xlnm.Print_Area,4,FALSE)))</f>
        <v>تكاليف مشروع الباتيو 235</v>
      </c>
      <c r="N1435" s="138" t="str">
        <f>IF(ISERROR(VLOOKUP(C1435,'[1]خريطة الحسابات'!_xlnm.Print_Area,5,FALSE))," ",(VLOOKUP(C1435,'[1]خريطة الحسابات'!_xlnm.Print_Area,5,FALSE)))</f>
        <v xml:space="preserve">تكاليف العمليات </v>
      </c>
      <c r="O1435" s="84" t="s">
        <v>1956</v>
      </c>
      <c r="P1435" s="84" t="s">
        <v>1304</v>
      </c>
    </row>
    <row r="1436" spans="1:16">
      <c r="A1436" s="104">
        <v>60</v>
      </c>
      <c r="B1436" s="131">
        <v>46093</v>
      </c>
      <c r="C1436" s="141" t="s">
        <v>177</v>
      </c>
      <c r="D1436" s="140" t="str">
        <f>IF(ISERROR(VLOOKUP(C1436,'[1]خريطة الحسابات'!_xlnm.Print_Area,3,FALSE))," ",(VLOOKUP(C1436,'[1]خريطة الحسابات'!_xlnm.Print_Area,3,FALSE)))</f>
        <v xml:space="preserve">اعمال انزال ونقل الراتش ونقل المخلفات </v>
      </c>
      <c r="E1436" s="142"/>
      <c r="F1436" s="133">
        <v>1000</v>
      </c>
      <c r="G1436" s="133"/>
      <c r="H1436" s="134">
        <f t="shared" si="67"/>
        <v>1000</v>
      </c>
      <c r="I1436" s="134">
        <f t="shared" si="67"/>
        <v>0</v>
      </c>
      <c r="J1436" s="134">
        <f t="shared" si="66"/>
        <v>1000</v>
      </c>
      <c r="K1436" s="135"/>
      <c r="L1436" s="136" t="str">
        <f t="shared" si="68"/>
        <v>مدين</v>
      </c>
      <c r="M1436" s="137" t="str">
        <f>IF(ISERROR(VLOOKUP(C1436,'[1]خريطة الحسابات'!_xlnm.Print_Area,4,FALSE))," ",(VLOOKUP(C1436,'[1]خريطة الحسابات'!_xlnm.Print_Area,4,FALSE)))</f>
        <v>تكاليف مشروع الباتيو 235</v>
      </c>
      <c r="N1436" s="138" t="str">
        <f>IF(ISERROR(VLOOKUP(C1436,'[1]خريطة الحسابات'!_xlnm.Print_Area,5,FALSE))," ",(VLOOKUP(C1436,'[1]خريطة الحسابات'!_xlnm.Print_Area,5,FALSE)))</f>
        <v xml:space="preserve">تكاليف العمليات </v>
      </c>
      <c r="O1436" s="84" t="s">
        <v>1957</v>
      </c>
      <c r="P1436" s="84" t="s">
        <v>1304</v>
      </c>
    </row>
    <row r="1437" spans="1:16">
      <c r="A1437" s="104">
        <v>60</v>
      </c>
      <c r="B1437" s="131">
        <v>46093</v>
      </c>
      <c r="C1437" s="141" t="s">
        <v>317</v>
      </c>
      <c r="D1437" s="140" t="str">
        <f>IF(ISERROR(VLOOKUP(C1437,'[1]خريطة الحسابات'!_xlnm.Print_Area,3,FALSE))," ",(VLOOKUP(C1437,'[1]خريطة الحسابات'!_xlnm.Print_Area,3,FALSE)))</f>
        <v xml:space="preserve">اعمال انزال ونقل الراتش ونقل المخلفات </v>
      </c>
      <c r="E1437" s="142"/>
      <c r="F1437" s="133">
        <v>100</v>
      </c>
      <c r="G1437" s="133"/>
      <c r="H1437" s="134">
        <f t="shared" si="67"/>
        <v>100</v>
      </c>
      <c r="I1437" s="134">
        <f t="shared" si="67"/>
        <v>0</v>
      </c>
      <c r="J1437" s="134">
        <f t="shared" si="66"/>
        <v>100</v>
      </c>
      <c r="K1437" s="135"/>
      <c r="L1437" s="136" t="str">
        <f t="shared" si="68"/>
        <v>مدين</v>
      </c>
      <c r="M1437" s="137" t="str">
        <f>IF(ISERROR(VLOOKUP(C1437,'[1]خريطة الحسابات'!_xlnm.Print_Area,4,FALSE))," ",(VLOOKUP(C1437,'[1]خريطة الحسابات'!_xlnm.Print_Area,4,FALSE)))</f>
        <v>تكاليف مشروع العبور 306</v>
      </c>
      <c r="N1437" s="138" t="str">
        <f>IF(ISERROR(VLOOKUP(C1437,'[1]خريطة الحسابات'!_xlnm.Print_Area,5,FALSE))," ",(VLOOKUP(C1437,'[1]خريطة الحسابات'!_xlnm.Print_Area,5,FALSE)))</f>
        <v xml:space="preserve">تكاليف العمليات </v>
      </c>
      <c r="O1437" s="84" t="s">
        <v>1958</v>
      </c>
      <c r="P1437" s="84" t="s">
        <v>1292</v>
      </c>
    </row>
    <row r="1438" spans="1:16">
      <c r="A1438" s="104">
        <v>60</v>
      </c>
      <c r="B1438" s="131">
        <v>46051</v>
      </c>
      <c r="C1438" s="141" t="s">
        <v>597</v>
      </c>
      <c r="D1438" s="140" t="str">
        <f>IF(ISERROR(VLOOKUP(C1438,'[1]خريطة الحسابات'!_xlnm.Print_Area,3,FALSE))," ",(VLOOKUP(C1438,'[1]خريطة الحسابات'!_xlnm.Print_Area,3,FALSE)))</f>
        <v xml:space="preserve">اعمال انزال ونقل الراتش ونقل المخلفات </v>
      </c>
      <c r="E1438" s="142"/>
      <c r="F1438" s="133">
        <v>250</v>
      </c>
      <c r="G1438" s="133"/>
      <c r="H1438" s="134">
        <f t="shared" si="67"/>
        <v>250</v>
      </c>
      <c r="I1438" s="134">
        <f t="shared" si="67"/>
        <v>0</v>
      </c>
      <c r="J1438" s="134">
        <f t="shared" si="66"/>
        <v>250</v>
      </c>
      <c r="K1438" s="135"/>
      <c r="L1438" s="136" t="str">
        <f t="shared" si="68"/>
        <v>مدين</v>
      </c>
      <c r="M1438" s="137" t="str">
        <f>IF(ISERROR(VLOOKUP(C1438,'[1]خريطة الحسابات'!_xlnm.Print_Area,4,FALSE))," ",(VLOOKUP(C1438,'[1]خريطة الحسابات'!_xlnm.Print_Area,4,FALSE)))</f>
        <v>تكاليف مشروع اللوتس 361</v>
      </c>
      <c r="N1438" s="138" t="str">
        <f>IF(ISERROR(VLOOKUP(C1438,'[1]خريطة الحسابات'!_xlnm.Print_Area,5,FALSE))," ",(VLOOKUP(C1438,'[1]خريطة الحسابات'!_xlnm.Print_Area,5,FALSE)))</f>
        <v xml:space="preserve">تكاليف العمليات </v>
      </c>
      <c r="O1438" s="84" t="s">
        <v>1959</v>
      </c>
      <c r="P1438" s="84" t="s">
        <v>1295</v>
      </c>
    </row>
    <row r="1439" spans="1:16">
      <c r="A1439" s="104">
        <v>60</v>
      </c>
      <c r="B1439" s="131">
        <v>46093</v>
      </c>
      <c r="C1439" s="141" t="s">
        <v>597</v>
      </c>
      <c r="D1439" s="140" t="str">
        <f>IF(ISERROR(VLOOKUP(C1439,'[1]خريطة الحسابات'!_xlnm.Print_Area,3,FALSE))," ",(VLOOKUP(C1439,'[1]خريطة الحسابات'!_xlnm.Print_Area,3,FALSE)))</f>
        <v xml:space="preserve">اعمال انزال ونقل الراتش ونقل المخلفات </v>
      </c>
      <c r="E1439" s="142"/>
      <c r="F1439" s="133">
        <v>375</v>
      </c>
      <c r="G1439" s="133"/>
      <c r="H1439" s="134">
        <f t="shared" si="67"/>
        <v>375</v>
      </c>
      <c r="I1439" s="134">
        <f t="shared" si="67"/>
        <v>0</v>
      </c>
      <c r="J1439" s="134">
        <f t="shared" si="66"/>
        <v>375</v>
      </c>
      <c r="K1439" s="135"/>
      <c r="L1439" s="136" t="str">
        <f t="shared" si="68"/>
        <v>مدين</v>
      </c>
      <c r="M1439" s="137" t="str">
        <f>IF(ISERROR(VLOOKUP(C1439,'[1]خريطة الحسابات'!_xlnm.Print_Area,4,FALSE))," ",(VLOOKUP(C1439,'[1]خريطة الحسابات'!_xlnm.Print_Area,4,FALSE)))</f>
        <v>تكاليف مشروع اللوتس 361</v>
      </c>
      <c r="N1439" s="138" t="str">
        <f>IF(ISERROR(VLOOKUP(C1439,'[1]خريطة الحسابات'!_xlnm.Print_Area,5,FALSE))," ",(VLOOKUP(C1439,'[1]خريطة الحسابات'!_xlnm.Print_Area,5,FALSE)))</f>
        <v xml:space="preserve">تكاليف العمليات </v>
      </c>
      <c r="O1439" s="84" t="s">
        <v>1960</v>
      </c>
      <c r="P1439" s="84" t="s">
        <v>1295</v>
      </c>
    </row>
    <row r="1440" spans="1:16">
      <c r="A1440" s="104">
        <v>60</v>
      </c>
      <c r="B1440" s="131">
        <v>46121</v>
      </c>
      <c r="C1440" s="141" t="s">
        <v>597</v>
      </c>
      <c r="D1440" s="140" t="str">
        <f>IF(ISERROR(VLOOKUP(C1440,'[1]خريطة الحسابات'!_xlnm.Print_Area,3,FALSE))," ",(VLOOKUP(C1440,'[1]خريطة الحسابات'!_xlnm.Print_Area,3,FALSE)))</f>
        <v xml:space="preserve">اعمال انزال ونقل الراتش ونقل المخلفات </v>
      </c>
      <c r="E1440" s="142"/>
      <c r="F1440" s="133">
        <v>200</v>
      </c>
      <c r="G1440" s="133"/>
      <c r="H1440" s="134">
        <f t="shared" si="67"/>
        <v>200</v>
      </c>
      <c r="I1440" s="134">
        <f t="shared" si="67"/>
        <v>0</v>
      </c>
      <c r="J1440" s="134">
        <f t="shared" si="66"/>
        <v>200</v>
      </c>
      <c r="K1440" s="135"/>
      <c r="L1440" s="136" t="str">
        <f t="shared" si="68"/>
        <v>مدين</v>
      </c>
      <c r="M1440" s="137" t="str">
        <f>IF(ISERROR(VLOOKUP(C1440,'[1]خريطة الحسابات'!_xlnm.Print_Area,4,FALSE))," ",(VLOOKUP(C1440,'[1]خريطة الحسابات'!_xlnm.Print_Area,4,FALSE)))</f>
        <v>تكاليف مشروع اللوتس 361</v>
      </c>
      <c r="N1440" s="138" t="str">
        <f>IF(ISERROR(VLOOKUP(C1440,'[1]خريطة الحسابات'!_xlnm.Print_Area,5,FALSE))," ",(VLOOKUP(C1440,'[1]خريطة الحسابات'!_xlnm.Print_Area,5,FALSE)))</f>
        <v xml:space="preserve">تكاليف العمليات </v>
      </c>
      <c r="O1440" s="84" t="s">
        <v>1961</v>
      </c>
      <c r="P1440" s="84" t="s">
        <v>1295</v>
      </c>
    </row>
    <row r="1441" spans="1:16">
      <c r="A1441" s="104">
        <v>60</v>
      </c>
      <c r="B1441" s="131">
        <v>46086</v>
      </c>
      <c r="C1441" s="141" t="s">
        <v>422</v>
      </c>
      <c r="D1441" s="140" t="str">
        <f>IF(ISERROR(VLOOKUP(C1441,'[1]خريطة الحسابات'!_xlnm.Print_Area,3,FALSE))," ",(VLOOKUP(C1441,'[1]خريطة الحسابات'!_xlnm.Print_Area,3,FALSE)))</f>
        <v xml:space="preserve">اعمال انزال ونقل الراتش ونقل المخلفات </v>
      </c>
      <c r="E1441" s="142"/>
      <c r="F1441" s="133">
        <v>2600</v>
      </c>
      <c r="G1441" s="133"/>
      <c r="H1441" s="134">
        <f t="shared" si="67"/>
        <v>2600</v>
      </c>
      <c r="I1441" s="134">
        <f t="shared" si="67"/>
        <v>0</v>
      </c>
      <c r="J1441" s="134">
        <f t="shared" si="66"/>
        <v>2600</v>
      </c>
      <c r="K1441" s="135"/>
      <c r="L1441" s="136" t="str">
        <f t="shared" si="68"/>
        <v>مدين</v>
      </c>
      <c r="M1441" s="137" t="str">
        <f>IF(ISERROR(VLOOKUP(C1441,'[1]خريطة الحسابات'!_xlnm.Print_Area,4,FALSE))," ",(VLOOKUP(C1441,'[1]خريطة الحسابات'!_xlnm.Print_Area,4,FALSE)))</f>
        <v>345 تكاليف مشروع بالم هيلز</v>
      </c>
      <c r="N1441" s="138" t="str">
        <f>IF(ISERROR(VLOOKUP(C1441,'[1]خريطة الحسابات'!_xlnm.Print_Area,5,FALSE))," ",(VLOOKUP(C1441,'[1]خريطة الحسابات'!_xlnm.Print_Area,5,FALSE)))</f>
        <v xml:space="preserve">تكاليف العمليات </v>
      </c>
      <c r="O1441" s="84" t="s">
        <v>1962</v>
      </c>
      <c r="P1441" s="84" t="s">
        <v>1327</v>
      </c>
    </row>
    <row r="1442" spans="1:16">
      <c r="A1442" s="104">
        <v>60</v>
      </c>
      <c r="B1442" s="131">
        <v>46187</v>
      </c>
      <c r="C1442" s="141" t="s">
        <v>842</v>
      </c>
      <c r="D1442" s="140" t="str">
        <f>IF(ISERROR(VLOOKUP(C1442,'[1]خريطة الحسابات'!_xlnm.Print_Area,3,FALSE))," ",(VLOOKUP(C1442,'[1]خريطة الحسابات'!_xlnm.Print_Area,3,FALSE)))</f>
        <v xml:space="preserve">اعمال انزال ونقل الراتش ونقل المخلفات </v>
      </c>
      <c r="E1442" s="142"/>
      <c r="F1442" s="133">
        <v>200</v>
      </c>
      <c r="G1442" s="133"/>
      <c r="H1442" s="134">
        <f t="shared" si="67"/>
        <v>200</v>
      </c>
      <c r="I1442" s="134">
        <f t="shared" si="67"/>
        <v>0</v>
      </c>
      <c r="J1442" s="134">
        <f t="shared" si="66"/>
        <v>200</v>
      </c>
      <c r="K1442" s="135"/>
      <c r="L1442" s="136" t="str">
        <f t="shared" si="68"/>
        <v>مدين</v>
      </c>
      <c r="M1442" s="137" t="str">
        <f>IF(ISERROR(VLOOKUP(C1442,'[1]خريطة الحسابات'!_xlnm.Print_Area,4,FALSE))," ",(VLOOKUP(C1442,'[1]خريطة الحسابات'!_xlnm.Print_Area,4,FALSE)))</f>
        <v>تكاليف مشروع رأس الحكمة</v>
      </c>
      <c r="N1442" s="138" t="str">
        <f>IF(ISERROR(VLOOKUP(C1442,'[1]خريطة الحسابات'!_xlnm.Print_Area,5,FALSE))," ",(VLOOKUP(C1442,'[1]خريطة الحسابات'!_xlnm.Print_Area,5,FALSE)))</f>
        <v xml:space="preserve">تكاليف العمليات </v>
      </c>
      <c r="O1442" s="84" t="s">
        <v>1963</v>
      </c>
      <c r="P1442" s="84" t="s">
        <v>1964</v>
      </c>
    </row>
    <row r="1443" spans="1:16">
      <c r="A1443" s="104">
        <v>60</v>
      </c>
      <c r="B1443" s="131">
        <v>46068</v>
      </c>
      <c r="C1443" s="141" t="s">
        <v>842</v>
      </c>
      <c r="D1443" s="140" t="str">
        <f>IF(ISERROR(VLOOKUP(C1443,'[1]خريطة الحسابات'!_xlnm.Print_Area,3,FALSE))," ",(VLOOKUP(C1443,'[1]خريطة الحسابات'!_xlnm.Print_Area,3,FALSE)))</f>
        <v xml:space="preserve">اعمال انزال ونقل الراتش ونقل المخلفات </v>
      </c>
      <c r="E1443" s="142"/>
      <c r="F1443" s="133">
        <v>10000</v>
      </c>
      <c r="G1443" s="133"/>
      <c r="H1443" s="134">
        <f t="shared" si="67"/>
        <v>10000</v>
      </c>
      <c r="I1443" s="134">
        <f t="shared" si="67"/>
        <v>0</v>
      </c>
      <c r="J1443" s="134">
        <f t="shared" si="66"/>
        <v>10000</v>
      </c>
      <c r="K1443" s="135"/>
      <c r="L1443" s="136" t="str">
        <f t="shared" si="68"/>
        <v>مدين</v>
      </c>
      <c r="M1443" s="137" t="str">
        <f>IF(ISERROR(VLOOKUP(C1443,'[1]خريطة الحسابات'!_xlnm.Print_Area,4,FALSE))," ",(VLOOKUP(C1443,'[1]خريطة الحسابات'!_xlnm.Print_Area,4,FALSE)))</f>
        <v>تكاليف مشروع رأس الحكمة</v>
      </c>
      <c r="N1443" s="138" t="str">
        <f>IF(ISERROR(VLOOKUP(C1443,'[1]خريطة الحسابات'!_xlnm.Print_Area,5,FALSE))," ",(VLOOKUP(C1443,'[1]خريطة الحسابات'!_xlnm.Print_Area,5,FALSE)))</f>
        <v xml:space="preserve">تكاليف العمليات </v>
      </c>
      <c r="O1443" s="84" t="s">
        <v>1965</v>
      </c>
      <c r="P1443" s="84" t="s">
        <v>1493</v>
      </c>
    </row>
    <row r="1444" spans="1:16">
      <c r="A1444" s="104">
        <v>60</v>
      </c>
      <c r="B1444" s="131">
        <v>46030</v>
      </c>
      <c r="C1444" s="141" t="s">
        <v>79</v>
      </c>
      <c r="D1444" s="140" t="str">
        <f>IF(ISERROR(VLOOKUP(C1444,'[1]خريطة الحسابات'!_xlnm.Print_Area,3,FALSE))," ",(VLOOKUP(C1444,'[1]خريطة الحسابات'!_xlnm.Print_Area,3,FALSE)))</f>
        <v xml:space="preserve">اعمال انزال ونقل الراتش ونقل المخلفات </v>
      </c>
      <c r="E1444" s="142"/>
      <c r="F1444" s="133">
        <v>700</v>
      </c>
      <c r="G1444" s="133"/>
      <c r="H1444" s="134">
        <f t="shared" si="67"/>
        <v>700</v>
      </c>
      <c r="I1444" s="134">
        <f t="shared" si="67"/>
        <v>0</v>
      </c>
      <c r="J1444" s="134">
        <f t="shared" si="66"/>
        <v>700</v>
      </c>
      <c r="K1444" s="135"/>
      <c r="L1444" s="136" t="str">
        <f t="shared" si="68"/>
        <v>مدين</v>
      </c>
      <c r="M1444" s="137" t="str">
        <f>IF(ISERROR(VLOOKUP(C1444,'[1]خريطة الحسابات'!_xlnm.Print_Area,4,FALSE))," ",(VLOOKUP(C1444,'[1]خريطة الحسابات'!_xlnm.Print_Area,4,FALSE)))</f>
        <v>تكاليف مشروع سوديك  341</v>
      </c>
      <c r="N1444" s="138" t="str">
        <f>IF(ISERROR(VLOOKUP(C1444,'[1]خريطة الحسابات'!_xlnm.Print_Area,5,FALSE))," ",(VLOOKUP(C1444,'[1]خريطة الحسابات'!_xlnm.Print_Area,5,FALSE)))</f>
        <v xml:space="preserve">تكاليف العمليات </v>
      </c>
      <c r="O1444" s="84" t="s">
        <v>1966</v>
      </c>
      <c r="P1444" s="84" t="s">
        <v>1290</v>
      </c>
    </row>
    <row r="1445" spans="1:16">
      <c r="A1445" s="104">
        <v>60</v>
      </c>
      <c r="B1445" s="131">
        <v>46034</v>
      </c>
      <c r="C1445" s="141" t="s">
        <v>79</v>
      </c>
      <c r="D1445" s="140" t="str">
        <f>IF(ISERROR(VLOOKUP(C1445,'[1]خريطة الحسابات'!_xlnm.Print_Area,3,FALSE))," ",(VLOOKUP(C1445,'[1]خريطة الحسابات'!_xlnm.Print_Area,3,FALSE)))</f>
        <v xml:space="preserve">اعمال انزال ونقل الراتش ونقل المخلفات </v>
      </c>
      <c r="E1445" s="142"/>
      <c r="F1445" s="133">
        <v>2000</v>
      </c>
      <c r="G1445" s="133"/>
      <c r="H1445" s="134">
        <f t="shared" si="67"/>
        <v>2000</v>
      </c>
      <c r="I1445" s="134">
        <f t="shared" si="67"/>
        <v>0</v>
      </c>
      <c r="J1445" s="134">
        <f t="shared" si="66"/>
        <v>2000</v>
      </c>
      <c r="K1445" s="135"/>
      <c r="L1445" s="136" t="str">
        <f t="shared" si="68"/>
        <v>مدين</v>
      </c>
      <c r="M1445" s="137" t="str">
        <f>IF(ISERROR(VLOOKUP(C1445,'[1]خريطة الحسابات'!_xlnm.Print_Area,4,FALSE))," ",(VLOOKUP(C1445,'[1]خريطة الحسابات'!_xlnm.Print_Area,4,FALSE)))</f>
        <v>تكاليف مشروع سوديك  341</v>
      </c>
      <c r="N1445" s="138" t="str">
        <f>IF(ISERROR(VLOOKUP(C1445,'[1]خريطة الحسابات'!_xlnm.Print_Area,5,FALSE))," ",(VLOOKUP(C1445,'[1]خريطة الحسابات'!_xlnm.Print_Area,5,FALSE)))</f>
        <v xml:space="preserve">تكاليف العمليات </v>
      </c>
      <c r="O1445" s="84" t="s">
        <v>1967</v>
      </c>
      <c r="P1445" s="84" t="s">
        <v>1290</v>
      </c>
    </row>
    <row r="1446" spans="1:16">
      <c r="A1446" s="104">
        <v>60</v>
      </c>
      <c r="B1446" s="131">
        <v>46042</v>
      </c>
      <c r="C1446" s="141" t="s">
        <v>79</v>
      </c>
      <c r="D1446" s="140" t="str">
        <f>IF(ISERROR(VLOOKUP(C1446,'[1]خريطة الحسابات'!_xlnm.Print_Area,3,FALSE))," ",(VLOOKUP(C1446,'[1]خريطة الحسابات'!_xlnm.Print_Area,3,FALSE)))</f>
        <v xml:space="preserve">اعمال انزال ونقل الراتش ونقل المخلفات </v>
      </c>
      <c r="E1446" s="142"/>
      <c r="F1446" s="133">
        <v>1600</v>
      </c>
      <c r="G1446" s="133"/>
      <c r="H1446" s="134">
        <f t="shared" si="67"/>
        <v>1600</v>
      </c>
      <c r="I1446" s="134">
        <f t="shared" si="67"/>
        <v>0</v>
      </c>
      <c r="J1446" s="134">
        <f t="shared" si="66"/>
        <v>1600</v>
      </c>
      <c r="K1446" s="135"/>
      <c r="L1446" s="136" t="str">
        <f t="shared" si="68"/>
        <v>مدين</v>
      </c>
      <c r="M1446" s="137" t="str">
        <f>IF(ISERROR(VLOOKUP(C1446,'[1]خريطة الحسابات'!_xlnm.Print_Area,4,FALSE))," ",(VLOOKUP(C1446,'[1]خريطة الحسابات'!_xlnm.Print_Area,4,FALSE)))</f>
        <v>تكاليف مشروع سوديك  341</v>
      </c>
      <c r="N1446" s="138" t="str">
        <f>IF(ISERROR(VLOOKUP(C1446,'[1]خريطة الحسابات'!_xlnm.Print_Area,5,FALSE))," ",(VLOOKUP(C1446,'[1]خريطة الحسابات'!_xlnm.Print_Area,5,FALSE)))</f>
        <v xml:space="preserve">تكاليف العمليات </v>
      </c>
      <c r="O1446" s="84" t="s">
        <v>1968</v>
      </c>
      <c r="P1446" s="84" t="s">
        <v>1290</v>
      </c>
    </row>
    <row r="1447" spans="1:16">
      <c r="A1447" s="104">
        <v>60</v>
      </c>
      <c r="B1447" s="131">
        <v>46049</v>
      </c>
      <c r="C1447" s="141" t="s">
        <v>79</v>
      </c>
      <c r="D1447" s="140" t="str">
        <f>IF(ISERROR(VLOOKUP(C1447,'[1]خريطة الحسابات'!_xlnm.Print_Area,3,FALSE))," ",(VLOOKUP(C1447,'[1]خريطة الحسابات'!_xlnm.Print_Area,3,FALSE)))</f>
        <v xml:space="preserve">اعمال انزال ونقل الراتش ونقل المخلفات </v>
      </c>
      <c r="E1447" s="142"/>
      <c r="F1447" s="133">
        <v>1202</v>
      </c>
      <c r="G1447" s="133"/>
      <c r="H1447" s="134">
        <f t="shared" si="67"/>
        <v>1202</v>
      </c>
      <c r="I1447" s="134">
        <f t="shared" si="67"/>
        <v>0</v>
      </c>
      <c r="J1447" s="134">
        <f t="shared" si="66"/>
        <v>1202</v>
      </c>
      <c r="K1447" s="135"/>
      <c r="L1447" s="136" t="str">
        <f t="shared" si="68"/>
        <v>مدين</v>
      </c>
      <c r="M1447" s="137" t="str">
        <f>IF(ISERROR(VLOOKUP(C1447,'[1]خريطة الحسابات'!_xlnm.Print_Area,4,FALSE))," ",(VLOOKUP(C1447,'[1]خريطة الحسابات'!_xlnm.Print_Area,4,FALSE)))</f>
        <v>تكاليف مشروع سوديك  341</v>
      </c>
      <c r="N1447" s="138" t="str">
        <f>IF(ISERROR(VLOOKUP(C1447,'[1]خريطة الحسابات'!_xlnm.Print_Area,5,FALSE))," ",(VLOOKUP(C1447,'[1]خريطة الحسابات'!_xlnm.Print_Area,5,FALSE)))</f>
        <v xml:space="preserve">تكاليف العمليات </v>
      </c>
      <c r="O1447" s="84" t="s">
        <v>1969</v>
      </c>
      <c r="P1447" s="84" t="s">
        <v>1290</v>
      </c>
    </row>
    <row r="1448" spans="1:16">
      <c r="A1448" s="104">
        <v>60</v>
      </c>
      <c r="B1448" s="131">
        <v>46051</v>
      </c>
      <c r="C1448" s="141" t="s">
        <v>79</v>
      </c>
      <c r="D1448" s="140" t="str">
        <f>IF(ISERROR(VLOOKUP(C1448,'[1]خريطة الحسابات'!_xlnm.Print_Area,3,FALSE))," ",(VLOOKUP(C1448,'[1]خريطة الحسابات'!_xlnm.Print_Area,3,FALSE)))</f>
        <v xml:space="preserve">اعمال انزال ونقل الراتش ونقل المخلفات </v>
      </c>
      <c r="E1448" s="142"/>
      <c r="F1448" s="133">
        <v>200</v>
      </c>
      <c r="G1448" s="133"/>
      <c r="H1448" s="134">
        <f t="shared" si="67"/>
        <v>200</v>
      </c>
      <c r="I1448" s="134">
        <f t="shared" si="67"/>
        <v>0</v>
      </c>
      <c r="J1448" s="134">
        <f t="shared" si="66"/>
        <v>200</v>
      </c>
      <c r="K1448" s="135"/>
      <c r="L1448" s="136" t="str">
        <f t="shared" si="68"/>
        <v>مدين</v>
      </c>
      <c r="M1448" s="137" t="str">
        <f>IF(ISERROR(VLOOKUP(C1448,'[1]خريطة الحسابات'!_xlnm.Print_Area,4,FALSE))," ",(VLOOKUP(C1448,'[1]خريطة الحسابات'!_xlnm.Print_Area,4,FALSE)))</f>
        <v>تكاليف مشروع سوديك  341</v>
      </c>
      <c r="N1448" s="138" t="str">
        <f>IF(ISERROR(VLOOKUP(C1448,'[1]خريطة الحسابات'!_xlnm.Print_Area,5,FALSE))," ",(VLOOKUP(C1448,'[1]خريطة الحسابات'!_xlnm.Print_Area,5,FALSE)))</f>
        <v xml:space="preserve">تكاليف العمليات </v>
      </c>
      <c r="O1448" s="84" t="s">
        <v>1970</v>
      </c>
      <c r="P1448" s="84" t="s">
        <v>1290</v>
      </c>
    </row>
    <row r="1449" spans="1:16">
      <c r="A1449" s="104">
        <v>60</v>
      </c>
      <c r="B1449" s="131">
        <v>46062</v>
      </c>
      <c r="C1449" s="141" t="s">
        <v>79</v>
      </c>
      <c r="D1449" s="140" t="str">
        <f>IF(ISERROR(VLOOKUP(C1449,'[1]خريطة الحسابات'!_xlnm.Print_Area,3,FALSE))," ",(VLOOKUP(C1449,'[1]خريطة الحسابات'!_xlnm.Print_Area,3,FALSE)))</f>
        <v xml:space="preserve">اعمال انزال ونقل الراتش ونقل المخلفات </v>
      </c>
      <c r="E1449" s="142"/>
      <c r="F1449" s="133">
        <v>450</v>
      </c>
      <c r="G1449" s="133"/>
      <c r="H1449" s="134">
        <f t="shared" si="67"/>
        <v>450</v>
      </c>
      <c r="I1449" s="134">
        <f t="shared" si="67"/>
        <v>0</v>
      </c>
      <c r="J1449" s="134">
        <f t="shared" si="66"/>
        <v>450</v>
      </c>
      <c r="K1449" s="135"/>
      <c r="L1449" s="136" t="str">
        <f t="shared" si="68"/>
        <v>مدين</v>
      </c>
      <c r="M1449" s="137" t="str">
        <f>IF(ISERROR(VLOOKUP(C1449,'[1]خريطة الحسابات'!_xlnm.Print_Area,4,FALSE))," ",(VLOOKUP(C1449,'[1]خريطة الحسابات'!_xlnm.Print_Area,4,FALSE)))</f>
        <v>تكاليف مشروع سوديك  341</v>
      </c>
      <c r="N1449" s="138" t="str">
        <f>IF(ISERROR(VLOOKUP(C1449,'[1]خريطة الحسابات'!_xlnm.Print_Area,5,FALSE))," ",(VLOOKUP(C1449,'[1]خريطة الحسابات'!_xlnm.Print_Area,5,FALSE)))</f>
        <v xml:space="preserve">تكاليف العمليات </v>
      </c>
      <c r="O1449" s="84" t="s">
        <v>1971</v>
      </c>
      <c r="P1449" s="84" t="s">
        <v>1290</v>
      </c>
    </row>
    <row r="1450" spans="1:16">
      <c r="A1450" s="104">
        <v>60</v>
      </c>
      <c r="B1450" s="131">
        <v>46065</v>
      </c>
      <c r="C1450" s="141" t="s">
        <v>79</v>
      </c>
      <c r="D1450" s="140" t="str">
        <f>IF(ISERROR(VLOOKUP(C1450,'[1]خريطة الحسابات'!_xlnm.Print_Area,3,FALSE))," ",(VLOOKUP(C1450,'[1]خريطة الحسابات'!_xlnm.Print_Area,3,FALSE)))</f>
        <v xml:space="preserve">اعمال انزال ونقل الراتش ونقل المخلفات </v>
      </c>
      <c r="E1450" s="142"/>
      <c r="F1450" s="133">
        <v>1200</v>
      </c>
      <c r="G1450" s="133"/>
      <c r="H1450" s="134">
        <f t="shared" si="67"/>
        <v>1200</v>
      </c>
      <c r="I1450" s="134">
        <f t="shared" si="67"/>
        <v>0</v>
      </c>
      <c r="J1450" s="134">
        <f t="shared" si="66"/>
        <v>1200</v>
      </c>
      <c r="K1450" s="135"/>
      <c r="L1450" s="136" t="str">
        <f t="shared" si="68"/>
        <v>مدين</v>
      </c>
      <c r="M1450" s="137" t="str">
        <f>IF(ISERROR(VLOOKUP(C1450,'[1]خريطة الحسابات'!_xlnm.Print_Area,4,FALSE))," ",(VLOOKUP(C1450,'[1]خريطة الحسابات'!_xlnm.Print_Area,4,FALSE)))</f>
        <v>تكاليف مشروع سوديك  341</v>
      </c>
      <c r="N1450" s="138" t="str">
        <f>IF(ISERROR(VLOOKUP(C1450,'[1]خريطة الحسابات'!_xlnm.Print_Area,5,FALSE))," ",(VLOOKUP(C1450,'[1]خريطة الحسابات'!_xlnm.Print_Area,5,FALSE)))</f>
        <v xml:space="preserve">تكاليف العمليات </v>
      </c>
      <c r="O1450" s="84" t="s">
        <v>1972</v>
      </c>
      <c r="P1450" s="84" t="s">
        <v>1290</v>
      </c>
    </row>
    <row r="1451" spans="1:16">
      <c r="A1451" s="104">
        <v>60</v>
      </c>
      <c r="B1451" s="131">
        <v>46071</v>
      </c>
      <c r="C1451" s="141" t="s">
        <v>79</v>
      </c>
      <c r="D1451" s="140" t="str">
        <f>IF(ISERROR(VLOOKUP(C1451,'[1]خريطة الحسابات'!_xlnm.Print_Area,3,FALSE))," ",(VLOOKUP(C1451,'[1]خريطة الحسابات'!_xlnm.Print_Area,3,FALSE)))</f>
        <v xml:space="preserve">اعمال انزال ونقل الراتش ونقل المخلفات </v>
      </c>
      <c r="E1451" s="142"/>
      <c r="F1451" s="133">
        <v>2400</v>
      </c>
      <c r="G1451" s="133"/>
      <c r="H1451" s="134">
        <f t="shared" si="67"/>
        <v>2400</v>
      </c>
      <c r="I1451" s="134">
        <f t="shared" si="67"/>
        <v>0</v>
      </c>
      <c r="J1451" s="134">
        <f t="shared" si="66"/>
        <v>2400</v>
      </c>
      <c r="K1451" s="135"/>
      <c r="L1451" s="136" t="str">
        <f t="shared" si="68"/>
        <v>مدين</v>
      </c>
      <c r="M1451" s="137" t="str">
        <f>IF(ISERROR(VLOOKUP(C1451,'[1]خريطة الحسابات'!_xlnm.Print_Area,4,FALSE))," ",(VLOOKUP(C1451,'[1]خريطة الحسابات'!_xlnm.Print_Area,4,FALSE)))</f>
        <v>تكاليف مشروع سوديك  341</v>
      </c>
      <c r="N1451" s="138" t="str">
        <f>IF(ISERROR(VLOOKUP(C1451,'[1]خريطة الحسابات'!_xlnm.Print_Area,5,FALSE))," ",(VLOOKUP(C1451,'[1]خريطة الحسابات'!_xlnm.Print_Area,5,FALSE)))</f>
        <v xml:space="preserve">تكاليف العمليات </v>
      </c>
      <c r="O1451" s="84" t="s">
        <v>1973</v>
      </c>
      <c r="P1451" s="84" t="s">
        <v>1290</v>
      </c>
    </row>
    <row r="1452" spans="1:16">
      <c r="A1452" s="104">
        <v>60</v>
      </c>
      <c r="B1452" s="131">
        <v>46121</v>
      </c>
      <c r="C1452" s="141" t="s">
        <v>79</v>
      </c>
      <c r="D1452" s="140" t="str">
        <f>IF(ISERROR(VLOOKUP(C1452,'[1]خريطة الحسابات'!_xlnm.Print_Area,3,FALSE))," ",(VLOOKUP(C1452,'[1]خريطة الحسابات'!_xlnm.Print_Area,3,FALSE)))</f>
        <v xml:space="preserve">اعمال انزال ونقل الراتش ونقل المخلفات </v>
      </c>
      <c r="E1452" s="142"/>
      <c r="F1452" s="133">
        <v>1000</v>
      </c>
      <c r="G1452" s="133"/>
      <c r="H1452" s="134">
        <f t="shared" si="67"/>
        <v>1000</v>
      </c>
      <c r="I1452" s="134">
        <f t="shared" si="67"/>
        <v>0</v>
      </c>
      <c r="J1452" s="134">
        <f t="shared" si="66"/>
        <v>1000</v>
      </c>
      <c r="K1452" s="135"/>
      <c r="L1452" s="136" t="str">
        <f t="shared" si="68"/>
        <v>مدين</v>
      </c>
      <c r="M1452" s="137" t="str">
        <f>IF(ISERROR(VLOOKUP(C1452,'[1]خريطة الحسابات'!_xlnm.Print_Area,4,FALSE))," ",(VLOOKUP(C1452,'[1]خريطة الحسابات'!_xlnm.Print_Area,4,FALSE)))</f>
        <v>تكاليف مشروع سوديك  341</v>
      </c>
      <c r="N1452" s="138" t="str">
        <f>IF(ISERROR(VLOOKUP(C1452,'[1]خريطة الحسابات'!_xlnm.Print_Area,5,FALSE))," ",(VLOOKUP(C1452,'[1]خريطة الحسابات'!_xlnm.Print_Area,5,FALSE)))</f>
        <v xml:space="preserve">تكاليف العمليات </v>
      </c>
      <c r="O1452" s="84" t="s">
        <v>1974</v>
      </c>
      <c r="P1452" s="84" t="s">
        <v>1290</v>
      </c>
    </row>
    <row r="1453" spans="1:16">
      <c r="A1453" s="104">
        <v>60</v>
      </c>
      <c r="B1453" s="131">
        <v>46161</v>
      </c>
      <c r="C1453" s="141" t="s">
        <v>79</v>
      </c>
      <c r="D1453" s="140" t="str">
        <f>IF(ISERROR(VLOOKUP(C1453,'[1]خريطة الحسابات'!_xlnm.Print_Area,3,FALSE))," ",(VLOOKUP(C1453,'[1]خريطة الحسابات'!_xlnm.Print_Area,3,FALSE)))</f>
        <v xml:space="preserve">اعمال انزال ونقل الراتش ونقل المخلفات </v>
      </c>
      <c r="E1453" s="142"/>
      <c r="F1453" s="133">
        <v>200</v>
      </c>
      <c r="G1453" s="133"/>
      <c r="H1453" s="134">
        <f t="shared" si="67"/>
        <v>200</v>
      </c>
      <c r="I1453" s="134">
        <f t="shared" si="67"/>
        <v>0</v>
      </c>
      <c r="J1453" s="134">
        <f t="shared" si="66"/>
        <v>200</v>
      </c>
      <c r="K1453" s="135"/>
      <c r="L1453" s="136" t="str">
        <f t="shared" si="68"/>
        <v>مدين</v>
      </c>
      <c r="M1453" s="137" t="str">
        <f>IF(ISERROR(VLOOKUP(C1453,'[1]خريطة الحسابات'!_xlnm.Print_Area,4,FALSE))," ",(VLOOKUP(C1453,'[1]خريطة الحسابات'!_xlnm.Print_Area,4,FALSE)))</f>
        <v>تكاليف مشروع سوديك  341</v>
      </c>
      <c r="N1453" s="138" t="str">
        <f>IF(ISERROR(VLOOKUP(C1453,'[1]خريطة الحسابات'!_xlnm.Print_Area,5,FALSE))," ",(VLOOKUP(C1453,'[1]خريطة الحسابات'!_xlnm.Print_Area,5,FALSE)))</f>
        <v xml:space="preserve">تكاليف العمليات </v>
      </c>
      <c r="O1453" s="84" t="s">
        <v>1975</v>
      </c>
      <c r="P1453" s="84" t="s">
        <v>1290</v>
      </c>
    </row>
    <row r="1454" spans="1:16">
      <c r="A1454" s="104">
        <v>60</v>
      </c>
      <c r="B1454" s="131">
        <v>46161</v>
      </c>
      <c r="C1454" s="141" t="s">
        <v>79</v>
      </c>
      <c r="D1454" s="140" t="str">
        <f>IF(ISERROR(VLOOKUP(C1454,'[1]خريطة الحسابات'!_xlnm.Print_Area,3,FALSE))," ",(VLOOKUP(C1454,'[1]خريطة الحسابات'!_xlnm.Print_Area,3,FALSE)))</f>
        <v xml:space="preserve">اعمال انزال ونقل الراتش ونقل المخلفات </v>
      </c>
      <c r="E1454" s="142"/>
      <c r="F1454" s="133">
        <v>1500</v>
      </c>
      <c r="G1454" s="133"/>
      <c r="H1454" s="134">
        <f t="shared" si="67"/>
        <v>1500</v>
      </c>
      <c r="I1454" s="134">
        <f t="shared" si="67"/>
        <v>0</v>
      </c>
      <c r="J1454" s="134">
        <f t="shared" si="66"/>
        <v>1500</v>
      </c>
      <c r="K1454" s="135"/>
      <c r="L1454" s="136" t="str">
        <f t="shared" si="68"/>
        <v>مدين</v>
      </c>
      <c r="M1454" s="137" t="str">
        <f>IF(ISERROR(VLOOKUP(C1454,'[1]خريطة الحسابات'!_xlnm.Print_Area,4,FALSE))," ",(VLOOKUP(C1454,'[1]خريطة الحسابات'!_xlnm.Print_Area,4,FALSE)))</f>
        <v>تكاليف مشروع سوديك  341</v>
      </c>
      <c r="N1454" s="138" t="str">
        <f>IF(ISERROR(VLOOKUP(C1454,'[1]خريطة الحسابات'!_xlnm.Print_Area,5,FALSE))," ",(VLOOKUP(C1454,'[1]خريطة الحسابات'!_xlnm.Print_Area,5,FALSE)))</f>
        <v xml:space="preserve">تكاليف العمليات </v>
      </c>
      <c r="O1454" s="84" t="s">
        <v>1976</v>
      </c>
      <c r="P1454" s="84" t="s">
        <v>1290</v>
      </c>
    </row>
    <row r="1455" spans="1:16">
      <c r="A1455" s="104">
        <v>60</v>
      </c>
      <c r="B1455" s="131">
        <v>46163</v>
      </c>
      <c r="C1455" s="141" t="s">
        <v>79</v>
      </c>
      <c r="D1455" s="140" t="str">
        <f>IF(ISERROR(VLOOKUP(C1455,'[1]خريطة الحسابات'!_xlnm.Print_Area,3,FALSE))," ",(VLOOKUP(C1455,'[1]خريطة الحسابات'!_xlnm.Print_Area,3,FALSE)))</f>
        <v xml:space="preserve">اعمال انزال ونقل الراتش ونقل المخلفات </v>
      </c>
      <c r="E1455" s="142"/>
      <c r="F1455" s="133">
        <v>3850</v>
      </c>
      <c r="G1455" s="133"/>
      <c r="H1455" s="134">
        <f t="shared" si="67"/>
        <v>3850</v>
      </c>
      <c r="I1455" s="134">
        <f t="shared" si="67"/>
        <v>0</v>
      </c>
      <c r="J1455" s="134">
        <f t="shared" si="66"/>
        <v>3850</v>
      </c>
      <c r="K1455" s="135"/>
      <c r="L1455" s="136" t="str">
        <f t="shared" si="68"/>
        <v>مدين</v>
      </c>
      <c r="M1455" s="137" t="str">
        <f>IF(ISERROR(VLOOKUP(C1455,'[1]خريطة الحسابات'!_xlnm.Print_Area,4,FALSE))," ",(VLOOKUP(C1455,'[1]خريطة الحسابات'!_xlnm.Print_Area,4,FALSE)))</f>
        <v>تكاليف مشروع سوديك  341</v>
      </c>
      <c r="N1455" s="138" t="str">
        <f>IF(ISERROR(VLOOKUP(C1455,'[1]خريطة الحسابات'!_xlnm.Print_Area,5,FALSE))," ",(VLOOKUP(C1455,'[1]خريطة الحسابات'!_xlnm.Print_Area,5,FALSE)))</f>
        <v xml:space="preserve">تكاليف العمليات </v>
      </c>
      <c r="O1455" s="84" t="s">
        <v>1977</v>
      </c>
      <c r="P1455" s="84" t="s">
        <v>1290</v>
      </c>
    </row>
    <row r="1456" spans="1:16">
      <c r="A1456" s="104">
        <v>60</v>
      </c>
      <c r="B1456" s="131">
        <v>46166</v>
      </c>
      <c r="C1456" s="141" t="s">
        <v>79</v>
      </c>
      <c r="D1456" s="140" t="str">
        <f>IF(ISERROR(VLOOKUP(C1456,'[1]خريطة الحسابات'!_xlnm.Print_Area,3,FALSE))," ",(VLOOKUP(C1456,'[1]خريطة الحسابات'!_xlnm.Print_Area,3,FALSE)))</f>
        <v xml:space="preserve">اعمال انزال ونقل الراتش ونقل المخلفات </v>
      </c>
      <c r="E1456" s="142"/>
      <c r="F1456" s="133">
        <v>1450</v>
      </c>
      <c r="G1456" s="133"/>
      <c r="H1456" s="134">
        <f t="shared" si="67"/>
        <v>1450</v>
      </c>
      <c r="I1456" s="134">
        <f t="shared" si="67"/>
        <v>0</v>
      </c>
      <c r="J1456" s="134">
        <f t="shared" si="66"/>
        <v>1450</v>
      </c>
      <c r="K1456" s="135"/>
      <c r="L1456" s="136" t="str">
        <f t="shared" si="68"/>
        <v>مدين</v>
      </c>
      <c r="M1456" s="137" t="str">
        <f>IF(ISERROR(VLOOKUP(C1456,'[1]خريطة الحسابات'!_xlnm.Print_Area,4,FALSE))," ",(VLOOKUP(C1456,'[1]خريطة الحسابات'!_xlnm.Print_Area,4,FALSE)))</f>
        <v>تكاليف مشروع سوديك  341</v>
      </c>
      <c r="N1456" s="138" t="str">
        <f>IF(ISERROR(VLOOKUP(C1456,'[1]خريطة الحسابات'!_xlnm.Print_Area,5,FALSE))," ",(VLOOKUP(C1456,'[1]خريطة الحسابات'!_xlnm.Print_Area,5,FALSE)))</f>
        <v xml:space="preserve">تكاليف العمليات </v>
      </c>
      <c r="O1456" s="84" t="s">
        <v>1978</v>
      </c>
      <c r="P1456" s="84" t="s">
        <v>1290</v>
      </c>
    </row>
    <row r="1457" spans="1:16">
      <c r="A1457" s="104">
        <v>60</v>
      </c>
      <c r="B1457" s="131">
        <v>46179</v>
      </c>
      <c r="C1457" s="141" t="s">
        <v>79</v>
      </c>
      <c r="D1457" s="140" t="str">
        <f>IF(ISERROR(VLOOKUP(C1457,'[1]خريطة الحسابات'!_xlnm.Print_Area,3,FALSE))," ",(VLOOKUP(C1457,'[1]خريطة الحسابات'!_xlnm.Print_Area,3,FALSE)))</f>
        <v xml:space="preserve">اعمال انزال ونقل الراتش ونقل المخلفات </v>
      </c>
      <c r="E1457" s="142"/>
      <c r="F1457" s="133">
        <v>300</v>
      </c>
      <c r="G1457" s="133"/>
      <c r="H1457" s="134">
        <f t="shared" si="67"/>
        <v>300</v>
      </c>
      <c r="I1457" s="134">
        <f t="shared" si="67"/>
        <v>0</v>
      </c>
      <c r="J1457" s="134">
        <f t="shared" si="66"/>
        <v>300</v>
      </c>
      <c r="K1457" s="135"/>
      <c r="L1457" s="136" t="str">
        <f t="shared" si="68"/>
        <v>مدين</v>
      </c>
      <c r="M1457" s="137" t="str">
        <f>IF(ISERROR(VLOOKUP(C1457,'[1]خريطة الحسابات'!_xlnm.Print_Area,4,FALSE))," ",(VLOOKUP(C1457,'[1]خريطة الحسابات'!_xlnm.Print_Area,4,FALSE)))</f>
        <v>تكاليف مشروع سوديك  341</v>
      </c>
      <c r="N1457" s="138" t="str">
        <f>IF(ISERROR(VLOOKUP(C1457,'[1]خريطة الحسابات'!_xlnm.Print_Area,5,FALSE))," ",(VLOOKUP(C1457,'[1]خريطة الحسابات'!_xlnm.Print_Area,5,FALSE)))</f>
        <v xml:space="preserve">تكاليف العمليات </v>
      </c>
      <c r="O1457" s="84" t="s">
        <v>1979</v>
      </c>
      <c r="P1457" s="84" t="s">
        <v>1290</v>
      </c>
    </row>
    <row r="1458" spans="1:16">
      <c r="A1458" s="104">
        <v>60</v>
      </c>
      <c r="B1458" s="131">
        <v>46179</v>
      </c>
      <c r="C1458" s="141" t="s">
        <v>79</v>
      </c>
      <c r="D1458" s="140" t="str">
        <f>IF(ISERROR(VLOOKUP(C1458,'[1]خريطة الحسابات'!_xlnm.Print_Area,3,FALSE))," ",(VLOOKUP(C1458,'[1]خريطة الحسابات'!_xlnm.Print_Area,3,FALSE)))</f>
        <v xml:space="preserve">اعمال انزال ونقل الراتش ونقل المخلفات </v>
      </c>
      <c r="E1458" s="142"/>
      <c r="F1458" s="133">
        <v>300</v>
      </c>
      <c r="G1458" s="133"/>
      <c r="H1458" s="134">
        <f t="shared" si="67"/>
        <v>300</v>
      </c>
      <c r="I1458" s="134">
        <f t="shared" si="67"/>
        <v>0</v>
      </c>
      <c r="J1458" s="134">
        <f t="shared" si="66"/>
        <v>300</v>
      </c>
      <c r="K1458" s="135"/>
      <c r="L1458" s="136" t="str">
        <f t="shared" si="68"/>
        <v>مدين</v>
      </c>
      <c r="M1458" s="137" t="str">
        <f>IF(ISERROR(VLOOKUP(C1458,'[1]خريطة الحسابات'!_xlnm.Print_Area,4,FALSE))," ",(VLOOKUP(C1458,'[1]خريطة الحسابات'!_xlnm.Print_Area,4,FALSE)))</f>
        <v>تكاليف مشروع سوديك  341</v>
      </c>
      <c r="N1458" s="138" t="str">
        <f>IF(ISERROR(VLOOKUP(C1458,'[1]خريطة الحسابات'!_xlnm.Print_Area,5,FALSE))," ",(VLOOKUP(C1458,'[1]خريطة الحسابات'!_xlnm.Print_Area,5,FALSE)))</f>
        <v xml:space="preserve">تكاليف العمليات </v>
      </c>
      <c r="O1458" s="84" t="s">
        <v>1980</v>
      </c>
      <c r="P1458" s="84" t="s">
        <v>1290</v>
      </c>
    </row>
    <row r="1459" spans="1:16">
      <c r="A1459" s="104">
        <v>60</v>
      </c>
      <c r="B1459" s="131">
        <v>46187</v>
      </c>
      <c r="C1459" s="141" t="s">
        <v>79</v>
      </c>
      <c r="D1459" s="140" t="str">
        <f>IF(ISERROR(VLOOKUP(C1459,'[1]خريطة الحسابات'!_xlnm.Print_Area,3,FALSE))," ",(VLOOKUP(C1459,'[1]خريطة الحسابات'!_xlnm.Print_Area,3,FALSE)))</f>
        <v xml:space="preserve">اعمال انزال ونقل الراتش ونقل المخلفات </v>
      </c>
      <c r="E1459" s="142"/>
      <c r="F1459" s="133">
        <v>700</v>
      </c>
      <c r="G1459" s="133"/>
      <c r="H1459" s="134">
        <f t="shared" si="67"/>
        <v>700</v>
      </c>
      <c r="I1459" s="134">
        <f t="shared" si="67"/>
        <v>0</v>
      </c>
      <c r="J1459" s="134">
        <f t="shared" si="66"/>
        <v>700</v>
      </c>
      <c r="K1459" s="135"/>
      <c r="L1459" s="136" t="str">
        <f t="shared" si="68"/>
        <v>مدين</v>
      </c>
      <c r="M1459" s="137" t="str">
        <f>IF(ISERROR(VLOOKUP(C1459,'[1]خريطة الحسابات'!_xlnm.Print_Area,4,FALSE))," ",(VLOOKUP(C1459,'[1]خريطة الحسابات'!_xlnm.Print_Area,4,FALSE)))</f>
        <v>تكاليف مشروع سوديك  341</v>
      </c>
      <c r="N1459" s="138" t="str">
        <f>IF(ISERROR(VLOOKUP(C1459,'[1]خريطة الحسابات'!_xlnm.Print_Area,5,FALSE))," ",(VLOOKUP(C1459,'[1]خريطة الحسابات'!_xlnm.Print_Area,5,FALSE)))</f>
        <v xml:space="preserve">تكاليف العمليات </v>
      </c>
      <c r="O1459" s="84" t="s">
        <v>1981</v>
      </c>
      <c r="P1459" s="84" t="s">
        <v>1290</v>
      </c>
    </row>
    <row r="1460" spans="1:16">
      <c r="A1460" s="104">
        <v>60</v>
      </c>
      <c r="B1460" s="131">
        <v>46161</v>
      </c>
      <c r="C1460" s="141" t="s">
        <v>877</v>
      </c>
      <c r="D1460" s="140" t="str">
        <f>IF(ISERROR(VLOOKUP(C1460,'[1]خريطة الحسابات'!_xlnm.Print_Area,3,FALSE))," ",(VLOOKUP(C1460,'[1]خريطة الحسابات'!_xlnm.Print_Area,3,FALSE)))</f>
        <v xml:space="preserve">اعمال انزال ونقل الراتش ونقل المخلفات </v>
      </c>
      <c r="E1460" s="142"/>
      <c r="F1460" s="133">
        <v>400</v>
      </c>
      <c r="G1460" s="133"/>
      <c r="H1460" s="134">
        <f t="shared" si="67"/>
        <v>400</v>
      </c>
      <c r="I1460" s="134">
        <f t="shared" si="67"/>
        <v>0</v>
      </c>
      <c r="J1460" s="134">
        <f t="shared" si="66"/>
        <v>400</v>
      </c>
      <c r="K1460" s="135"/>
      <c r="L1460" s="136" t="str">
        <f t="shared" si="68"/>
        <v>مدين</v>
      </c>
      <c r="M1460" s="137" t="str">
        <f>IF(ISERROR(VLOOKUP(C1460,'[1]خريطة الحسابات'!_xlnm.Print_Area,4,FALSE))," ",(VLOOKUP(C1460,'[1]خريطة الحسابات'!_xlnm.Print_Area,4,FALSE)))</f>
        <v>تكاليف مشروع شقة هليوبوليس</v>
      </c>
      <c r="N1460" s="138" t="str">
        <f>IF(ISERROR(VLOOKUP(C1460,'[1]خريطة الحسابات'!_xlnm.Print_Area,5,FALSE))," ",(VLOOKUP(C1460,'[1]خريطة الحسابات'!_xlnm.Print_Area,5,FALSE)))</f>
        <v xml:space="preserve">تكاليف العمليات </v>
      </c>
      <c r="O1460" s="84" t="s">
        <v>1982</v>
      </c>
      <c r="P1460" s="84" t="s">
        <v>1983</v>
      </c>
    </row>
    <row r="1461" spans="1:16">
      <c r="A1461" s="104">
        <v>60</v>
      </c>
      <c r="B1461" s="131">
        <v>46034</v>
      </c>
      <c r="C1461" s="141" t="s">
        <v>772</v>
      </c>
      <c r="D1461" s="140" t="str">
        <f>IF(ISERROR(VLOOKUP(C1461,'[1]خريطة الحسابات'!_xlnm.Print_Area,3,FALSE))," ",(VLOOKUP(C1461,'[1]خريطة الحسابات'!_xlnm.Print_Area,3,FALSE)))</f>
        <v xml:space="preserve">اعمال انزال ونقل الراتش ونقل المخلفات </v>
      </c>
      <c r="E1461" s="142"/>
      <c r="F1461" s="133">
        <v>3000</v>
      </c>
      <c r="G1461" s="133"/>
      <c r="H1461" s="134">
        <f t="shared" si="67"/>
        <v>3000</v>
      </c>
      <c r="I1461" s="134">
        <f t="shared" si="67"/>
        <v>0</v>
      </c>
      <c r="J1461" s="134">
        <f t="shared" si="66"/>
        <v>3000</v>
      </c>
      <c r="K1461" s="135"/>
      <c r="L1461" s="136" t="str">
        <f t="shared" si="68"/>
        <v>مدين</v>
      </c>
      <c r="M1461" s="137" t="str">
        <f>IF(ISERROR(VLOOKUP(C1461,'[1]خريطة الحسابات'!_xlnm.Print_Area,4,FALSE))," ",(VLOOKUP(C1461,'[1]خريطة الحسابات'!_xlnm.Print_Area,4,FALSE)))</f>
        <v>388 تكاليف مشروع الدقي</v>
      </c>
      <c r="N1461" s="138" t="str">
        <f>IF(ISERROR(VLOOKUP(C1461,'[1]خريطة الحسابات'!_xlnm.Print_Area,5,FALSE))," ",(VLOOKUP(C1461,'[1]خريطة الحسابات'!_xlnm.Print_Area,5,FALSE)))</f>
        <v xml:space="preserve">تكاليف العمليات </v>
      </c>
      <c r="O1461" s="84" t="s">
        <v>1984</v>
      </c>
      <c r="P1461" s="84" t="s">
        <v>1315</v>
      </c>
    </row>
    <row r="1462" spans="1:16">
      <c r="A1462" s="104">
        <v>60</v>
      </c>
      <c r="B1462" s="131">
        <v>46037</v>
      </c>
      <c r="C1462" s="141" t="s">
        <v>772</v>
      </c>
      <c r="D1462" s="140" t="str">
        <f>IF(ISERROR(VLOOKUP(C1462,'[1]خريطة الحسابات'!_xlnm.Print_Area,3,FALSE))," ",(VLOOKUP(C1462,'[1]خريطة الحسابات'!_xlnm.Print_Area,3,FALSE)))</f>
        <v xml:space="preserve">اعمال انزال ونقل الراتش ونقل المخلفات </v>
      </c>
      <c r="E1462" s="142"/>
      <c r="F1462" s="133">
        <v>1600</v>
      </c>
      <c r="G1462" s="133"/>
      <c r="H1462" s="134">
        <f t="shared" si="67"/>
        <v>1600</v>
      </c>
      <c r="I1462" s="134">
        <f t="shared" si="67"/>
        <v>0</v>
      </c>
      <c r="J1462" s="134">
        <f t="shared" si="66"/>
        <v>1600</v>
      </c>
      <c r="K1462" s="135"/>
      <c r="L1462" s="136" t="str">
        <f t="shared" si="68"/>
        <v>مدين</v>
      </c>
      <c r="M1462" s="137" t="str">
        <f>IF(ISERROR(VLOOKUP(C1462,'[1]خريطة الحسابات'!_xlnm.Print_Area,4,FALSE))," ",(VLOOKUP(C1462,'[1]خريطة الحسابات'!_xlnm.Print_Area,4,FALSE)))</f>
        <v>388 تكاليف مشروع الدقي</v>
      </c>
      <c r="N1462" s="138" t="str">
        <f>IF(ISERROR(VLOOKUP(C1462,'[1]خريطة الحسابات'!_xlnm.Print_Area,5,FALSE))," ",(VLOOKUP(C1462,'[1]خريطة الحسابات'!_xlnm.Print_Area,5,FALSE)))</f>
        <v xml:space="preserve">تكاليف العمليات </v>
      </c>
      <c r="O1462" s="84" t="s">
        <v>1985</v>
      </c>
      <c r="P1462" s="84" t="s">
        <v>1315</v>
      </c>
    </row>
    <row r="1463" spans="1:16">
      <c r="A1463" s="104">
        <v>60</v>
      </c>
      <c r="B1463" s="131">
        <v>46048</v>
      </c>
      <c r="C1463" s="141" t="s">
        <v>772</v>
      </c>
      <c r="D1463" s="140" t="str">
        <f>IF(ISERROR(VLOOKUP(C1463,'[1]خريطة الحسابات'!_xlnm.Print_Area,3,FALSE))," ",(VLOOKUP(C1463,'[1]خريطة الحسابات'!_xlnm.Print_Area,3,FALSE)))</f>
        <v xml:space="preserve">اعمال انزال ونقل الراتش ونقل المخلفات </v>
      </c>
      <c r="E1463" s="142"/>
      <c r="F1463" s="133">
        <v>5005</v>
      </c>
      <c r="G1463" s="133"/>
      <c r="H1463" s="134">
        <f t="shared" si="67"/>
        <v>5005</v>
      </c>
      <c r="I1463" s="134">
        <f t="shared" si="67"/>
        <v>0</v>
      </c>
      <c r="J1463" s="134">
        <f t="shared" si="66"/>
        <v>5005</v>
      </c>
      <c r="K1463" s="135"/>
      <c r="L1463" s="136" t="str">
        <f t="shared" si="68"/>
        <v>مدين</v>
      </c>
      <c r="M1463" s="137" t="str">
        <f>IF(ISERROR(VLOOKUP(C1463,'[1]خريطة الحسابات'!_xlnm.Print_Area,4,FALSE))," ",(VLOOKUP(C1463,'[1]خريطة الحسابات'!_xlnm.Print_Area,4,FALSE)))</f>
        <v>388 تكاليف مشروع الدقي</v>
      </c>
      <c r="N1463" s="138" t="str">
        <f>IF(ISERROR(VLOOKUP(C1463,'[1]خريطة الحسابات'!_xlnm.Print_Area,5,FALSE))," ",(VLOOKUP(C1463,'[1]خريطة الحسابات'!_xlnm.Print_Area,5,FALSE)))</f>
        <v xml:space="preserve">تكاليف العمليات </v>
      </c>
      <c r="O1463" s="84" t="s">
        <v>1986</v>
      </c>
      <c r="P1463" s="84" t="s">
        <v>1315</v>
      </c>
    </row>
    <row r="1464" spans="1:16">
      <c r="A1464" s="104">
        <v>60</v>
      </c>
      <c r="B1464" s="131">
        <v>46062</v>
      </c>
      <c r="C1464" s="141" t="s">
        <v>772</v>
      </c>
      <c r="D1464" s="140" t="str">
        <f>IF(ISERROR(VLOOKUP(C1464,'[1]خريطة الحسابات'!_xlnm.Print_Area,3,FALSE))," ",(VLOOKUP(C1464,'[1]خريطة الحسابات'!_xlnm.Print_Area,3,FALSE)))</f>
        <v xml:space="preserve">اعمال انزال ونقل الراتش ونقل المخلفات </v>
      </c>
      <c r="E1464" s="142"/>
      <c r="F1464" s="133">
        <v>10260</v>
      </c>
      <c r="G1464" s="133"/>
      <c r="H1464" s="134">
        <f t="shared" si="67"/>
        <v>10260</v>
      </c>
      <c r="I1464" s="134">
        <f t="shared" si="67"/>
        <v>0</v>
      </c>
      <c r="J1464" s="134">
        <f t="shared" si="66"/>
        <v>10260</v>
      </c>
      <c r="K1464" s="135"/>
      <c r="L1464" s="136" t="str">
        <f t="shared" si="68"/>
        <v>مدين</v>
      </c>
      <c r="M1464" s="137" t="str">
        <f>IF(ISERROR(VLOOKUP(C1464,'[1]خريطة الحسابات'!_xlnm.Print_Area,4,FALSE))," ",(VLOOKUP(C1464,'[1]خريطة الحسابات'!_xlnm.Print_Area,4,FALSE)))</f>
        <v>388 تكاليف مشروع الدقي</v>
      </c>
      <c r="N1464" s="138" t="str">
        <f>IF(ISERROR(VLOOKUP(C1464,'[1]خريطة الحسابات'!_xlnm.Print_Area,5,FALSE))," ",(VLOOKUP(C1464,'[1]خريطة الحسابات'!_xlnm.Print_Area,5,FALSE)))</f>
        <v xml:space="preserve">تكاليف العمليات </v>
      </c>
      <c r="O1464" s="84" t="s">
        <v>1987</v>
      </c>
      <c r="P1464" s="84" t="s">
        <v>1315</v>
      </c>
    </row>
    <row r="1465" spans="1:16">
      <c r="A1465" s="104">
        <v>60</v>
      </c>
      <c r="B1465" s="131">
        <v>46062</v>
      </c>
      <c r="C1465" s="141" t="s">
        <v>772</v>
      </c>
      <c r="D1465" s="140" t="str">
        <f>IF(ISERROR(VLOOKUP(C1465,'[1]خريطة الحسابات'!_xlnm.Print_Area,3,FALSE))," ",(VLOOKUP(C1465,'[1]خريطة الحسابات'!_xlnm.Print_Area,3,FALSE)))</f>
        <v xml:space="preserve">اعمال انزال ونقل الراتش ونقل المخلفات </v>
      </c>
      <c r="E1465" s="142"/>
      <c r="F1465" s="133">
        <v>75</v>
      </c>
      <c r="G1465" s="133"/>
      <c r="H1465" s="134">
        <f t="shared" si="67"/>
        <v>75</v>
      </c>
      <c r="I1465" s="134">
        <f t="shared" si="67"/>
        <v>0</v>
      </c>
      <c r="J1465" s="134">
        <f t="shared" si="66"/>
        <v>75</v>
      </c>
      <c r="K1465" s="135"/>
      <c r="L1465" s="136" t="str">
        <f t="shared" si="68"/>
        <v>مدين</v>
      </c>
      <c r="M1465" s="137" t="str">
        <f>IF(ISERROR(VLOOKUP(C1465,'[1]خريطة الحسابات'!_xlnm.Print_Area,4,FALSE))," ",(VLOOKUP(C1465,'[1]خريطة الحسابات'!_xlnm.Print_Area,4,FALSE)))</f>
        <v>388 تكاليف مشروع الدقي</v>
      </c>
      <c r="N1465" s="138" t="str">
        <f>IF(ISERROR(VLOOKUP(C1465,'[1]خريطة الحسابات'!_xlnm.Print_Area,5,FALSE))," ",(VLOOKUP(C1465,'[1]خريطة الحسابات'!_xlnm.Print_Area,5,FALSE)))</f>
        <v xml:space="preserve">تكاليف العمليات </v>
      </c>
      <c r="O1465" s="84" t="s">
        <v>1988</v>
      </c>
      <c r="P1465" s="84" t="s">
        <v>1315</v>
      </c>
    </row>
    <row r="1466" spans="1:16">
      <c r="A1466" s="104">
        <v>60</v>
      </c>
      <c r="B1466" s="131">
        <v>46093</v>
      </c>
      <c r="C1466" s="141" t="s">
        <v>772</v>
      </c>
      <c r="D1466" s="140" t="str">
        <f>IF(ISERROR(VLOOKUP(C1466,'[1]خريطة الحسابات'!_xlnm.Print_Area,3,FALSE))," ",(VLOOKUP(C1466,'[1]خريطة الحسابات'!_xlnm.Print_Area,3,FALSE)))</f>
        <v xml:space="preserve">اعمال انزال ونقل الراتش ونقل المخلفات </v>
      </c>
      <c r="E1466" s="142"/>
      <c r="F1466" s="133">
        <v>200</v>
      </c>
      <c r="G1466" s="133"/>
      <c r="H1466" s="134">
        <f t="shared" si="67"/>
        <v>200</v>
      </c>
      <c r="I1466" s="134">
        <f t="shared" si="67"/>
        <v>0</v>
      </c>
      <c r="J1466" s="134">
        <f t="shared" si="66"/>
        <v>200</v>
      </c>
      <c r="K1466" s="135"/>
      <c r="L1466" s="136" t="str">
        <f t="shared" si="68"/>
        <v>مدين</v>
      </c>
      <c r="M1466" s="137" t="str">
        <f>IF(ISERROR(VLOOKUP(C1466,'[1]خريطة الحسابات'!_xlnm.Print_Area,4,FALSE))," ",(VLOOKUP(C1466,'[1]خريطة الحسابات'!_xlnm.Print_Area,4,FALSE)))</f>
        <v>388 تكاليف مشروع الدقي</v>
      </c>
      <c r="N1466" s="138" t="str">
        <f>IF(ISERROR(VLOOKUP(C1466,'[1]خريطة الحسابات'!_xlnm.Print_Area,5,FALSE))," ",(VLOOKUP(C1466,'[1]خريطة الحسابات'!_xlnm.Print_Area,5,FALSE)))</f>
        <v xml:space="preserve">تكاليف العمليات </v>
      </c>
      <c r="O1466" s="84" t="s">
        <v>1989</v>
      </c>
      <c r="P1466" s="84" t="s">
        <v>1315</v>
      </c>
    </row>
    <row r="1467" spans="1:16">
      <c r="A1467" s="104">
        <v>60</v>
      </c>
      <c r="B1467" s="131">
        <v>46133</v>
      </c>
      <c r="C1467" s="141" t="s">
        <v>772</v>
      </c>
      <c r="D1467" s="140" t="str">
        <f>IF(ISERROR(VLOOKUP(C1467,'[1]خريطة الحسابات'!_xlnm.Print_Area,3,FALSE))," ",(VLOOKUP(C1467,'[1]خريطة الحسابات'!_xlnm.Print_Area,3,FALSE)))</f>
        <v xml:space="preserve">اعمال انزال ونقل الراتش ونقل المخلفات </v>
      </c>
      <c r="E1467" s="142"/>
      <c r="F1467" s="133">
        <v>1400</v>
      </c>
      <c r="G1467" s="133"/>
      <c r="H1467" s="134">
        <f t="shared" si="67"/>
        <v>1400</v>
      </c>
      <c r="I1467" s="134">
        <f t="shared" si="67"/>
        <v>0</v>
      </c>
      <c r="J1467" s="134">
        <f t="shared" si="66"/>
        <v>1400</v>
      </c>
      <c r="K1467" s="135"/>
      <c r="L1467" s="136" t="str">
        <f t="shared" si="68"/>
        <v>مدين</v>
      </c>
      <c r="M1467" s="137" t="str">
        <f>IF(ISERROR(VLOOKUP(C1467,'[1]خريطة الحسابات'!_xlnm.Print_Area,4,FALSE))," ",(VLOOKUP(C1467,'[1]خريطة الحسابات'!_xlnm.Print_Area,4,FALSE)))</f>
        <v>388 تكاليف مشروع الدقي</v>
      </c>
      <c r="N1467" s="138" t="str">
        <f>IF(ISERROR(VLOOKUP(C1467,'[1]خريطة الحسابات'!_xlnm.Print_Area,5,FALSE))," ",(VLOOKUP(C1467,'[1]خريطة الحسابات'!_xlnm.Print_Area,5,FALSE)))</f>
        <v xml:space="preserve">تكاليف العمليات </v>
      </c>
      <c r="O1467" s="84" t="s">
        <v>1990</v>
      </c>
      <c r="P1467" s="84" t="s">
        <v>1315</v>
      </c>
    </row>
    <row r="1468" spans="1:16">
      <c r="A1468" s="104">
        <v>60</v>
      </c>
      <c r="B1468" s="131">
        <v>46177</v>
      </c>
      <c r="C1468" s="141" t="s">
        <v>772</v>
      </c>
      <c r="D1468" s="140" t="str">
        <f>IF(ISERROR(VLOOKUP(C1468,'[1]خريطة الحسابات'!_xlnm.Print_Area,3,FALSE))," ",(VLOOKUP(C1468,'[1]خريطة الحسابات'!_xlnm.Print_Area,3,FALSE)))</f>
        <v xml:space="preserve">اعمال انزال ونقل الراتش ونقل المخلفات </v>
      </c>
      <c r="E1468" s="142"/>
      <c r="F1468" s="133">
        <v>150</v>
      </c>
      <c r="G1468" s="133"/>
      <c r="H1468" s="134">
        <f t="shared" si="67"/>
        <v>150</v>
      </c>
      <c r="I1468" s="134">
        <f t="shared" si="67"/>
        <v>0</v>
      </c>
      <c r="J1468" s="134">
        <f t="shared" si="66"/>
        <v>150</v>
      </c>
      <c r="K1468" s="135"/>
      <c r="L1468" s="136" t="str">
        <f t="shared" si="68"/>
        <v>مدين</v>
      </c>
      <c r="M1468" s="137" t="str">
        <f>IF(ISERROR(VLOOKUP(C1468,'[1]خريطة الحسابات'!_xlnm.Print_Area,4,FALSE))," ",(VLOOKUP(C1468,'[1]خريطة الحسابات'!_xlnm.Print_Area,4,FALSE)))</f>
        <v>388 تكاليف مشروع الدقي</v>
      </c>
      <c r="N1468" s="138" t="str">
        <f>IF(ISERROR(VLOOKUP(C1468,'[1]خريطة الحسابات'!_xlnm.Print_Area,5,FALSE))," ",(VLOOKUP(C1468,'[1]خريطة الحسابات'!_xlnm.Print_Area,5,FALSE)))</f>
        <v xml:space="preserve">تكاليف العمليات </v>
      </c>
      <c r="O1468" s="84" t="s">
        <v>1991</v>
      </c>
      <c r="P1468" s="84" t="s">
        <v>1315</v>
      </c>
    </row>
    <row r="1469" spans="1:16">
      <c r="A1469" s="104">
        <v>60</v>
      </c>
      <c r="B1469" s="131">
        <v>46121</v>
      </c>
      <c r="C1469" s="141" t="s">
        <v>913</v>
      </c>
      <c r="D1469" s="140" t="str">
        <f>IF(ISERROR(VLOOKUP(C1469,'[1]خريطة الحسابات'!_xlnm.Print_Area,3,FALSE))," ",(VLOOKUP(C1469,'[1]خريطة الحسابات'!_xlnm.Print_Area,3,FALSE)))</f>
        <v xml:space="preserve">اعمال انزال ونقل الراتش ونقل المخلفات </v>
      </c>
      <c r="E1469" s="142"/>
      <c r="F1469" s="133">
        <v>7000</v>
      </c>
      <c r="G1469" s="133"/>
      <c r="H1469" s="134">
        <f t="shared" si="67"/>
        <v>7000</v>
      </c>
      <c r="I1469" s="134">
        <f t="shared" si="67"/>
        <v>0</v>
      </c>
      <c r="J1469" s="134">
        <f t="shared" si="66"/>
        <v>7000</v>
      </c>
      <c r="K1469" s="135"/>
      <c r="L1469" s="136" t="str">
        <f t="shared" si="68"/>
        <v>مدين</v>
      </c>
      <c r="M1469" s="137" t="str">
        <f>IF(ISERROR(VLOOKUP(C1469,'[1]خريطة الحسابات'!_xlnm.Print_Area,4,FALSE))," ",(VLOOKUP(C1469,'[1]خريطة الحسابات'!_xlnm.Print_Area,4,FALSE)))</f>
        <v>تكاليف مشروع وصال العشري 398</v>
      </c>
      <c r="N1469" s="138" t="str">
        <f>IF(ISERROR(VLOOKUP(C1469,'[1]خريطة الحسابات'!_xlnm.Print_Area,5,FALSE))," ",(VLOOKUP(C1469,'[1]خريطة الحسابات'!_xlnm.Print_Area,5,FALSE)))</f>
        <v xml:space="preserve">تكاليف العمليات </v>
      </c>
      <c r="O1469" s="84" t="s">
        <v>1992</v>
      </c>
      <c r="P1469" s="84" t="s">
        <v>1489</v>
      </c>
    </row>
    <row r="1470" spans="1:16">
      <c r="A1470" s="104">
        <v>60</v>
      </c>
      <c r="B1470" s="131">
        <v>46153</v>
      </c>
      <c r="C1470" s="141" t="s">
        <v>913</v>
      </c>
      <c r="D1470" s="140" t="str">
        <f>IF(ISERROR(VLOOKUP(C1470,'[1]خريطة الحسابات'!_xlnm.Print_Area,3,FALSE))," ",(VLOOKUP(C1470,'[1]خريطة الحسابات'!_xlnm.Print_Area,3,FALSE)))</f>
        <v xml:space="preserve">اعمال انزال ونقل الراتش ونقل المخلفات </v>
      </c>
      <c r="E1470" s="142"/>
      <c r="F1470" s="133">
        <v>2300</v>
      </c>
      <c r="G1470" s="133"/>
      <c r="H1470" s="134">
        <f t="shared" si="67"/>
        <v>2300</v>
      </c>
      <c r="I1470" s="134">
        <f t="shared" si="67"/>
        <v>0</v>
      </c>
      <c r="J1470" s="134">
        <f t="shared" si="66"/>
        <v>2300</v>
      </c>
      <c r="K1470" s="135"/>
      <c r="L1470" s="136" t="str">
        <f t="shared" si="68"/>
        <v>مدين</v>
      </c>
      <c r="M1470" s="137" t="str">
        <f>IF(ISERROR(VLOOKUP(C1470,'[1]خريطة الحسابات'!_xlnm.Print_Area,4,FALSE))," ",(VLOOKUP(C1470,'[1]خريطة الحسابات'!_xlnm.Print_Area,4,FALSE)))</f>
        <v>تكاليف مشروع وصال العشري 398</v>
      </c>
      <c r="N1470" s="138" t="str">
        <f>IF(ISERROR(VLOOKUP(C1470,'[1]خريطة الحسابات'!_xlnm.Print_Area,5,FALSE))," ",(VLOOKUP(C1470,'[1]خريطة الحسابات'!_xlnm.Print_Area,5,FALSE)))</f>
        <v xml:space="preserve">تكاليف العمليات </v>
      </c>
      <c r="O1470" s="84" t="s">
        <v>1993</v>
      </c>
      <c r="P1470" s="84" t="s">
        <v>1489</v>
      </c>
    </row>
    <row r="1471" spans="1:16">
      <c r="A1471" s="104">
        <v>60</v>
      </c>
      <c r="B1471" s="131">
        <v>46159</v>
      </c>
      <c r="C1471" s="141" t="s">
        <v>913</v>
      </c>
      <c r="D1471" s="140" t="str">
        <f>IF(ISERROR(VLOOKUP(C1471,'[1]خريطة الحسابات'!_xlnm.Print_Area,3,FALSE))," ",(VLOOKUP(C1471,'[1]خريطة الحسابات'!_xlnm.Print_Area,3,FALSE)))</f>
        <v xml:space="preserve">اعمال انزال ونقل الراتش ونقل المخلفات </v>
      </c>
      <c r="E1471" s="142"/>
      <c r="F1471" s="133">
        <v>5005</v>
      </c>
      <c r="G1471" s="133"/>
      <c r="H1471" s="134">
        <f t="shared" si="67"/>
        <v>5005</v>
      </c>
      <c r="I1471" s="134">
        <f t="shared" si="67"/>
        <v>0</v>
      </c>
      <c r="J1471" s="134">
        <f t="shared" si="66"/>
        <v>5005</v>
      </c>
      <c r="K1471" s="135"/>
      <c r="L1471" s="136" t="str">
        <f t="shared" si="68"/>
        <v>مدين</v>
      </c>
      <c r="M1471" s="137" t="str">
        <f>IF(ISERROR(VLOOKUP(C1471,'[1]خريطة الحسابات'!_xlnm.Print_Area,4,FALSE))," ",(VLOOKUP(C1471,'[1]خريطة الحسابات'!_xlnm.Print_Area,4,FALSE)))</f>
        <v>تكاليف مشروع وصال العشري 398</v>
      </c>
      <c r="N1471" s="138" t="str">
        <f>IF(ISERROR(VLOOKUP(C1471,'[1]خريطة الحسابات'!_xlnm.Print_Area,5,FALSE))," ",(VLOOKUP(C1471,'[1]خريطة الحسابات'!_xlnm.Print_Area,5,FALSE)))</f>
        <v xml:space="preserve">تكاليف العمليات </v>
      </c>
      <c r="O1471" s="84" t="s">
        <v>1994</v>
      </c>
      <c r="P1471" s="84" t="s">
        <v>1489</v>
      </c>
    </row>
    <row r="1472" spans="1:16">
      <c r="A1472" s="104">
        <v>60</v>
      </c>
      <c r="B1472" s="131">
        <v>46036</v>
      </c>
      <c r="C1472" s="141" t="s">
        <v>212</v>
      </c>
      <c r="D1472" s="140" t="str">
        <f>IF(ISERROR(VLOOKUP(C1472,'[1]خريطة الحسابات'!_xlnm.Print_Area,3,FALSE))," ",(VLOOKUP(C1472,'[1]خريطة الحسابات'!_xlnm.Print_Area,3,FALSE)))</f>
        <v xml:space="preserve">اعمال انزال ونقل الراتش ونقل المخلفات </v>
      </c>
      <c r="E1472" s="142"/>
      <c r="F1472" s="133">
        <v>750</v>
      </c>
      <c r="G1472" s="133"/>
      <c r="H1472" s="134">
        <f t="shared" si="67"/>
        <v>750</v>
      </c>
      <c r="I1472" s="134">
        <f t="shared" si="67"/>
        <v>0</v>
      </c>
      <c r="J1472" s="134">
        <f t="shared" si="66"/>
        <v>750</v>
      </c>
      <c r="K1472" s="135"/>
      <c r="L1472" s="136" t="str">
        <f t="shared" si="68"/>
        <v>مدين</v>
      </c>
      <c r="M1472" s="137" t="str">
        <f>IF(ISERROR(VLOOKUP(C1472,'[1]خريطة الحسابات'!_xlnm.Print_Area,4,FALSE))," ",(VLOOKUP(C1472,'[1]خريطة الحسابات'!_xlnm.Print_Area,4,FALSE)))</f>
        <v>تكاليف مشروع كناريا  273</v>
      </c>
      <c r="N1472" s="138" t="str">
        <f>IF(ISERROR(VLOOKUP(C1472,'[1]خريطة الحسابات'!_xlnm.Print_Area,5,FALSE))," ",(VLOOKUP(C1472,'[1]خريطة الحسابات'!_xlnm.Print_Area,5,FALSE)))</f>
        <v xml:space="preserve">تكاليف العمليات </v>
      </c>
      <c r="O1472" s="84" t="s">
        <v>1953</v>
      </c>
      <c r="P1472" s="84" t="s">
        <v>1405</v>
      </c>
    </row>
    <row r="1473" spans="1:16">
      <c r="A1473" s="104">
        <v>60</v>
      </c>
      <c r="B1473" s="131">
        <v>46062</v>
      </c>
      <c r="C1473" s="141" t="s">
        <v>212</v>
      </c>
      <c r="D1473" s="140" t="str">
        <f>IF(ISERROR(VLOOKUP(C1473,'[1]خريطة الحسابات'!_xlnm.Print_Area,3,FALSE))," ",(VLOOKUP(C1473,'[1]خريطة الحسابات'!_xlnm.Print_Area,3,FALSE)))</f>
        <v xml:space="preserve">اعمال انزال ونقل الراتش ونقل المخلفات </v>
      </c>
      <c r="E1473" s="142"/>
      <c r="F1473" s="133">
        <v>450</v>
      </c>
      <c r="G1473" s="133"/>
      <c r="H1473" s="134">
        <f t="shared" si="67"/>
        <v>450</v>
      </c>
      <c r="I1473" s="134">
        <f t="shared" si="67"/>
        <v>0</v>
      </c>
      <c r="J1473" s="134">
        <f t="shared" si="66"/>
        <v>450</v>
      </c>
      <c r="K1473" s="135"/>
      <c r="L1473" s="136" t="str">
        <f t="shared" si="68"/>
        <v>مدين</v>
      </c>
      <c r="M1473" s="137" t="str">
        <f>IF(ISERROR(VLOOKUP(C1473,'[1]خريطة الحسابات'!_xlnm.Print_Area,4,FALSE))," ",(VLOOKUP(C1473,'[1]خريطة الحسابات'!_xlnm.Print_Area,4,FALSE)))</f>
        <v>تكاليف مشروع كناريا  273</v>
      </c>
      <c r="N1473" s="138" t="str">
        <f>IF(ISERROR(VLOOKUP(C1473,'[1]خريطة الحسابات'!_xlnm.Print_Area,5,FALSE))," ",(VLOOKUP(C1473,'[1]خريطة الحسابات'!_xlnm.Print_Area,5,FALSE)))</f>
        <v xml:space="preserve">تكاليف العمليات </v>
      </c>
      <c r="O1473" s="84" t="s">
        <v>1995</v>
      </c>
      <c r="P1473" s="84" t="s">
        <v>1405</v>
      </c>
    </row>
    <row r="1474" spans="1:16">
      <c r="A1474" s="104">
        <v>60</v>
      </c>
      <c r="B1474" s="131">
        <v>46068</v>
      </c>
      <c r="C1474" s="141" t="s">
        <v>457</v>
      </c>
      <c r="D1474" s="140" t="str">
        <f>IF(ISERROR(VLOOKUP(C1474,'[1]خريطة الحسابات'!_xlnm.Print_Area,3,FALSE))," ",(VLOOKUP(C1474,'[1]خريطة الحسابات'!_xlnm.Print_Area,3,FALSE)))</f>
        <v xml:space="preserve">اعمال انزال ونقل الراتش ونقل المخلفات </v>
      </c>
      <c r="E1474" s="142"/>
      <c r="F1474" s="133">
        <v>600</v>
      </c>
      <c r="G1474" s="133"/>
      <c r="H1474" s="134">
        <f t="shared" si="67"/>
        <v>600</v>
      </c>
      <c r="I1474" s="134">
        <f t="shared" si="67"/>
        <v>0</v>
      </c>
      <c r="J1474" s="134">
        <f t="shared" si="66"/>
        <v>600</v>
      </c>
      <c r="K1474" s="135"/>
      <c r="L1474" s="136" t="str">
        <f t="shared" si="68"/>
        <v>مدين</v>
      </c>
      <c r="M1474" s="137" t="str">
        <f>IF(ISERROR(VLOOKUP(C1474,'[1]خريطة الحسابات'!_xlnm.Print_Area,4,FALSE))," ",(VLOOKUP(C1474,'[1]خريطة الحسابات'!_xlnm.Print_Area,4,FALSE)))</f>
        <v>350 تكاليف مشروع شفيق</v>
      </c>
      <c r="N1474" s="138" t="str">
        <f>IF(ISERROR(VLOOKUP(C1474,'[1]خريطة الحسابات'!_xlnm.Print_Area,5,FALSE))," ",(VLOOKUP(C1474,'[1]خريطة الحسابات'!_xlnm.Print_Area,5,FALSE)))</f>
        <v xml:space="preserve">تكاليف العمليات </v>
      </c>
      <c r="O1474" s="84" t="s">
        <v>1996</v>
      </c>
      <c r="P1474" s="84" t="s">
        <v>1325</v>
      </c>
    </row>
    <row r="1475" spans="1:16">
      <c r="A1475" s="104">
        <v>60</v>
      </c>
      <c r="B1475" s="131">
        <v>46070</v>
      </c>
      <c r="C1475" s="141" t="s">
        <v>457</v>
      </c>
      <c r="D1475" s="140" t="str">
        <f>IF(ISERROR(VLOOKUP(C1475,'[1]خريطة الحسابات'!_xlnm.Print_Area,3,FALSE))," ",(VLOOKUP(C1475,'[1]خريطة الحسابات'!_xlnm.Print_Area,3,FALSE)))</f>
        <v xml:space="preserve">اعمال انزال ونقل الراتش ونقل المخلفات </v>
      </c>
      <c r="E1475" s="142"/>
      <c r="F1475" s="133">
        <v>800</v>
      </c>
      <c r="G1475" s="133"/>
      <c r="H1475" s="134">
        <f t="shared" si="67"/>
        <v>800</v>
      </c>
      <c r="I1475" s="134">
        <f t="shared" si="67"/>
        <v>0</v>
      </c>
      <c r="J1475" s="134">
        <f t="shared" si="66"/>
        <v>800</v>
      </c>
      <c r="K1475" s="135"/>
      <c r="L1475" s="136" t="str">
        <f t="shared" si="68"/>
        <v>مدين</v>
      </c>
      <c r="M1475" s="137" t="str">
        <f>IF(ISERROR(VLOOKUP(C1475,'[1]خريطة الحسابات'!_xlnm.Print_Area,4,FALSE))," ",(VLOOKUP(C1475,'[1]خريطة الحسابات'!_xlnm.Print_Area,4,FALSE)))</f>
        <v>350 تكاليف مشروع شفيق</v>
      </c>
      <c r="N1475" s="138" t="str">
        <f>IF(ISERROR(VLOOKUP(C1475,'[1]خريطة الحسابات'!_xlnm.Print_Area,5,FALSE))," ",(VLOOKUP(C1475,'[1]خريطة الحسابات'!_xlnm.Print_Area,5,FALSE)))</f>
        <v xml:space="preserve">تكاليف العمليات </v>
      </c>
      <c r="O1475" s="84" t="s">
        <v>1953</v>
      </c>
      <c r="P1475" s="84" t="s">
        <v>1325</v>
      </c>
    </row>
    <row r="1476" spans="1:16">
      <c r="A1476" s="104">
        <v>60</v>
      </c>
      <c r="B1476" s="131">
        <v>46077</v>
      </c>
      <c r="C1476" s="141" t="s">
        <v>457</v>
      </c>
      <c r="D1476" s="140" t="str">
        <f>IF(ISERROR(VLOOKUP(C1476,'[1]خريطة الحسابات'!_xlnm.Print_Area,3,FALSE))," ",(VLOOKUP(C1476,'[1]خريطة الحسابات'!_xlnm.Print_Area,3,FALSE)))</f>
        <v xml:space="preserve">اعمال انزال ونقل الراتش ونقل المخلفات </v>
      </c>
      <c r="E1476" s="142"/>
      <c r="F1476" s="133">
        <v>1200</v>
      </c>
      <c r="G1476" s="133"/>
      <c r="H1476" s="134">
        <f t="shared" si="67"/>
        <v>1200</v>
      </c>
      <c r="I1476" s="134">
        <f t="shared" si="67"/>
        <v>0</v>
      </c>
      <c r="J1476" s="134">
        <f t="shared" si="66"/>
        <v>1200</v>
      </c>
      <c r="K1476" s="135"/>
      <c r="L1476" s="136" t="str">
        <f t="shared" si="68"/>
        <v>مدين</v>
      </c>
      <c r="M1476" s="137" t="str">
        <f>IF(ISERROR(VLOOKUP(C1476,'[1]خريطة الحسابات'!_xlnm.Print_Area,4,FALSE))," ",(VLOOKUP(C1476,'[1]خريطة الحسابات'!_xlnm.Print_Area,4,FALSE)))</f>
        <v>350 تكاليف مشروع شفيق</v>
      </c>
      <c r="N1476" s="138" t="str">
        <f>IF(ISERROR(VLOOKUP(C1476,'[1]خريطة الحسابات'!_xlnm.Print_Area,5,FALSE))," ",(VLOOKUP(C1476,'[1]خريطة الحسابات'!_xlnm.Print_Area,5,FALSE)))</f>
        <v xml:space="preserve">تكاليف العمليات </v>
      </c>
      <c r="O1476" s="84" t="s">
        <v>1997</v>
      </c>
      <c r="P1476" s="84" t="s">
        <v>1325</v>
      </c>
    </row>
    <row r="1477" spans="1:16">
      <c r="A1477" s="104">
        <v>60</v>
      </c>
      <c r="B1477" s="131">
        <v>46093</v>
      </c>
      <c r="C1477" s="141" t="s">
        <v>352</v>
      </c>
      <c r="D1477" s="140" t="str">
        <f>IF(ISERROR(VLOOKUP(C1477,'[1]خريطة الحسابات'!_xlnm.Print_Area,3,FALSE))," ",(VLOOKUP(C1477,'[1]خريطة الحسابات'!_xlnm.Print_Area,3,FALSE)))</f>
        <v xml:space="preserve">اعمال انزال ونقل الراتش ونقل المخلفات </v>
      </c>
      <c r="E1477" s="142"/>
      <c r="F1477" s="133">
        <v>300</v>
      </c>
      <c r="G1477" s="133"/>
      <c r="H1477" s="134">
        <f t="shared" si="67"/>
        <v>300</v>
      </c>
      <c r="I1477" s="134">
        <f t="shared" si="67"/>
        <v>0</v>
      </c>
      <c r="J1477" s="134">
        <f t="shared" si="66"/>
        <v>300</v>
      </c>
      <c r="K1477" s="135"/>
      <c r="L1477" s="136" t="str">
        <f t="shared" si="68"/>
        <v>مدين</v>
      </c>
      <c r="M1477" s="137" t="str">
        <f>IF(ISERROR(VLOOKUP(C1477,'[1]خريطة الحسابات'!_xlnm.Print_Area,4,FALSE))," ",(VLOOKUP(C1477,'[1]خريطة الحسابات'!_xlnm.Print_Area,4,FALSE)))</f>
        <v>318 تكاليف مشروع  المعادي ديونز</v>
      </c>
      <c r="N1477" s="138" t="str">
        <f>IF(ISERROR(VLOOKUP(C1477,'[1]خريطة الحسابات'!_xlnm.Print_Area,5,FALSE))," ",(VLOOKUP(C1477,'[1]خريطة الحسابات'!_xlnm.Print_Area,5,FALSE)))</f>
        <v xml:space="preserve">تكاليف العمليات </v>
      </c>
      <c r="O1477" s="84" t="s">
        <v>1989</v>
      </c>
      <c r="P1477" s="84" t="s">
        <v>1383</v>
      </c>
    </row>
    <row r="1478" spans="1:16">
      <c r="A1478" s="104">
        <v>60</v>
      </c>
      <c r="B1478" s="131">
        <v>46131</v>
      </c>
      <c r="C1478" s="141" t="s">
        <v>352</v>
      </c>
      <c r="D1478" s="140" t="str">
        <f>IF(ISERROR(VLOOKUP(C1478,'[1]خريطة الحسابات'!_xlnm.Print_Area,3,FALSE))," ",(VLOOKUP(C1478,'[1]خريطة الحسابات'!_xlnm.Print_Area,3,FALSE)))</f>
        <v xml:space="preserve">اعمال انزال ونقل الراتش ونقل المخلفات </v>
      </c>
      <c r="E1478" s="142"/>
      <c r="F1478" s="133">
        <v>6800</v>
      </c>
      <c r="G1478" s="133"/>
      <c r="H1478" s="134">
        <f t="shared" si="67"/>
        <v>6800</v>
      </c>
      <c r="I1478" s="134">
        <f t="shared" si="67"/>
        <v>0</v>
      </c>
      <c r="J1478" s="134">
        <f t="shared" si="66"/>
        <v>6800</v>
      </c>
      <c r="K1478" s="135"/>
      <c r="L1478" s="136" t="str">
        <f t="shared" si="68"/>
        <v>مدين</v>
      </c>
      <c r="M1478" s="137" t="str">
        <f>IF(ISERROR(VLOOKUP(C1478,'[1]خريطة الحسابات'!_xlnm.Print_Area,4,FALSE))," ",(VLOOKUP(C1478,'[1]خريطة الحسابات'!_xlnm.Print_Area,4,FALSE)))</f>
        <v>318 تكاليف مشروع  المعادي ديونز</v>
      </c>
      <c r="N1478" s="138" t="str">
        <f>IF(ISERROR(VLOOKUP(C1478,'[1]خريطة الحسابات'!_xlnm.Print_Area,5,FALSE))," ",(VLOOKUP(C1478,'[1]خريطة الحسابات'!_xlnm.Print_Area,5,FALSE)))</f>
        <v xml:space="preserve">تكاليف العمليات </v>
      </c>
      <c r="O1478" s="84" t="s">
        <v>1998</v>
      </c>
      <c r="P1478" s="84" t="s">
        <v>1383</v>
      </c>
    </row>
    <row r="1479" spans="1:16">
      <c r="A1479" s="104">
        <v>60</v>
      </c>
      <c r="B1479" s="131">
        <v>46144</v>
      </c>
      <c r="C1479" s="141" t="s">
        <v>352</v>
      </c>
      <c r="D1479" s="140" t="str">
        <f>IF(ISERROR(VLOOKUP(C1479,'[1]خريطة الحسابات'!_xlnm.Print_Area,3,FALSE))," ",(VLOOKUP(C1479,'[1]خريطة الحسابات'!_xlnm.Print_Area,3,FALSE)))</f>
        <v xml:space="preserve">اعمال انزال ونقل الراتش ونقل المخلفات </v>
      </c>
      <c r="E1479" s="142"/>
      <c r="F1479" s="133">
        <v>1700</v>
      </c>
      <c r="G1479" s="133"/>
      <c r="H1479" s="134">
        <f t="shared" si="67"/>
        <v>1700</v>
      </c>
      <c r="I1479" s="134">
        <f t="shared" si="67"/>
        <v>0</v>
      </c>
      <c r="J1479" s="134">
        <f t="shared" si="66"/>
        <v>1700</v>
      </c>
      <c r="K1479" s="135"/>
      <c r="L1479" s="136" t="str">
        <f t="shared" si="68"/>
        <v>مدين</v>
      </c>
      <c r="M1479" s="137" t="str">
        <f>IF(ISERROR(VLOOKUP(C1479,'[1]خريطة الحسابات'!_xlnm.Print_Area,4,FALSE))," ",(VLOOKUP(C1479,'[1]خريطة الحسابات'!_xlnm.Print_Area,4,FALSE)))</f>
        <v>318 تكاليف مشروع  المعادي ديونز</v>
      </c>
      <c r="N1479" s="138" t="str">
        <f>IF(ISERROR(VLOOKUP(C1479,'[1]خريطة الحسابات'!_xlnm.Print_Area,5,FALSE))," ",(VLOOKUP(C1479,'[1]خريطة الحسابات'!_xlnm.Print_Area,5,FALSE)))</f>
        <v xml:space="preserve">تكاليف العمليات </v>
      </c>
      <c r="O1479" s="84" t="s">
        <v>1999</v>
      </c>
      <c r="P1479" s="84" t="s">
        <v>1383</v>
      </c>
    </row>
    <row r="1480" spans="1:16">
      <c r="A1480" s="104">
        <v>60</v>
      </c>
      <c r="B1480" s="131">
        <v>46148</v>
      </c>
      <c r="C1480" s="141" t="s">
        <v>352</v>
      </c>
      <c r="D1480" s="140" t="str">
        <f>IF(ISERROR(VLOOKUP(C1480,'[1]خريطة الحسابات'!_xlnm.Print_Area,3,FALSE))," ",(VLOOKUP(C1480,'[1]خريطة الحسابات'!_xlnm.Print_Area,3,FALSE)))</f>
        <v xml:space="preserve">اعمال انزال ونقل الراتش ونقل المخلفات </v>
      </c>
      <c r="E1480" s="142"/>
      <c r="F1480" s="133">
        <v>400</v>
      </c>
      <c r="G1480" s="133"/>
      <c r="H1480" s="134">
        <f t="shared" si="67"/>
        <v>400</v>
      </c>
      <c r="I1480" s="134">
        <f t="shared" si="67"/>
        <v>0</v>
      </c>
      <c r="J1480" s="134">
        <f t="shared" si="66"/>
        <v>400</v>
      </c>
      <c r="K1480" s="135"/>
      <c r="L1480" s="136" t="str">
        <f t="shared" si="68"/>
        <v>مدين</v>
      </c>
      <c r="M1480" s="137" t="str">
        <f>IF(ISERROR(VLOOKUP(C1480,'[1]خريطة الحسابات'!_xlnm.Print_Area,4,FALSE))," ",(VLOOKUP(C1480,'[1]خريطة الحسابات'!_xlnm.Print_Area,4,FALSE)))</f>
        <v>318 تكاليف مشروع  المعادي ديونز</v>
      </c>
      <c r="N1480" s="138" t="str">
        <f>IF(ISERROR(VLOOKUP(C1480,'[1]خريطة الحسابات'!_xlnm.Print_Area,5,FALSE))," ",(VLOOKUP(C1480,'[1]خريطة الحسابات'!_xlnm.Print_Area,5,FALSE)))</f>
        <v xml:space="preserve">تكاليف العمليات </v>
      </c>
      <c r="O1480" s="84" t="s">
        <v>2000</v>
      </c>
      <c r="P1480" s="84" t="s">
        <v>1383</v>
      </c>
    </row>
    <row r="1481" spans="1:16">
      <c r="A1481" s="104">
        <v>60</v>
      </c>
      <c r="B1481" s="131">
        <v>46179</v>
      </c>
      <c r="C1481" s="141" t="s">
        <v>352</v>
      </c>
      <c r="D1481" s="140" t="str">
        <f>IF(ISERROR(VLOOKUP(C1481,'[1]خريطة الحسابات'!_xlnm.Print_Area,3,FALSE))," ",(VLOOKUP(C1481,'[1]خريطة الحسابات'!_xlnm.Print_Area,3,FALSE)))</f>
        <v xml:space="preserve">اعمال انزال ونقل الراتش ونقل المخلفات </v>
      </c>
      <c r="E1481" s="142"/>
      <c r="F1481" s="133">
        <v>6800</v>
      </c>
      <c r="G1481" s="133"/>
      <c r="H1481" s="134">
        <f t="shared" si="67"/>
        <v>6800</v>
      </c>
      <c r="I1481" s="134">
        <f t="shared" si="67"/>
        <v>0</v>
      </c>
      <c r="J1481" s="134">
        <f t="shared" si="66"/>
        <v>6800</v>
      </c>
      <c r="K1481" s="135"/>
      <c r="L1481" s="136" t="str">
        <f t="shared" si="68"/>
        <v>مدين</v>
      </c>
      <c r="M1481" s="137" t="str">
        <f>IF(ISERROR(VLOOKUP(C1481,'[1]خريطة الحسابات'!_xlnm.Print_Area,4,FALSE))," ",(VLOOKUP(C1481,'[1]خريطة الحسابات'!_xlnm.Print_Area,4,FALSE)))</f>
        <v>318 تكاليف مشروع  المعادي ديونز</v>
      </c>
      <c r="N1481" s="138" t="str">
        <f>IF(ISERROR(VLOOKUP(C1481,'[1]خريطة الحسابات'!_xlnm.Print_Area,5,FALSE))," ",(VLOOKUP(C1481,'[1]خريطة الحسابات'!_xlnm.Print_Area,5,FALSE)))</f>
        <v xml:space="preserve">تكاليف العمليات </v>
      </c>
      <c r="O1481" s="84" t="s">
        <v>2001</v>
      </c>
      <c r="P1481" s="84" t="s">
        <v>1383</v>
      </c>
    </row>
    <row r="1482" spans="1:16">
      <c r="A1482" s="104">
        <v>60</v>
      </c>
      <c r="B1482" s="131">
        <v>46046</v>
      </c>
      <c r="C1482" s="141" t="s">
        <v>177</v>
      </c>
      <c r="D1482" s="140" t="str">
        <f>IF(ISERROR(VLOOKUP(C1482,'[1]خريطة الحسابات'!_xlnm.Print_Area,3,FALSE))," ",(VLOOKUP(C1482,'[1]خريطة الحسابات'!_xlnm.Print_Area,3,FALSE)))</f>
        <v xml:space="preserve">اعمال انزال ونقل الراتش ونقل المخلفات </v>
      </c>
      <c r="E1482" s="142"/>
      <c r="F1482" s="133">
        <v>800</v>
      </c>
      <c r="G1482" s="133"/>
      <c r="H1482" s="134">
        <f t="shared" si="67"/>
        <v>800</v>
      </c>
      <c r="I1482" s="134">
        <f t="shared" si="67"/>
        <v>0</v>
      </c>
      <c r="J1482" s="134">
        <f t="shared" si="66"/>
        <v>800</v>
      </c>
      <c r="K1482" s="135"/>
      <c r="L1482" s="136" t="str">
        <f t="shared" si="68"/>
        <v>مدين</v>
      </c>
      <c r="M1482" s="137" t="str">
        <f>IF(ISERROR(VLOOKUP(C1482,'[1]خريطة الحسابات'!_xlnm.Print_Area,4,FALSE))," ",(VLOOKUP(C1482,'[1]خريطة الحسابات'!_xlnm.Print_Area,4,FALSE)))</f>
        <v>تكاليف مشروع الباتيو 235</v>
      </c>
      <c r="N1482" s="138" t="str">
        <f>IF(ISERROR(VLOOKUP(C1482,'[1]خريطة الحسابات'!_xlnm.Print_Area,5,FALSE))," ",(VLOOKUP(C1482,'[1]خريطة الحسابات'!_xlnm.Print_Area,5,FALSE)))</f>
        <v xml:space="preserve">تكاليف العمليات </v>
      </c>
      <c r="O1482" s="84" t="s">
        <v>2002</v>
      </c>
      <c r="P1482" s="84" t="s">
        <v>1304</v>
      </c>
    </row>
    <row r="1483" spans="1:16">
      <c r="A1483" s="104">
        <v>60</v>
      </c>
      <c r="B1483" s="131">
        <v>46144</v>
      </c>
      <c r="C1483" s="141" t="s">
        <v>667</v>
      </c>
      <c r="D1483" s="140" t="str">
        <f>IF(ISERROR(VLOOKUP(C1483,'[1]خريطة الحسابات'!_xlnm.Print_Area,3,FALSE))," ",(VLOOKUP(C1483,'[1]خريطة الحسابات'!_xlnm.Print_Area,3,FALSE)))</f>
        <v xml:space="preserve">اعمال انزال ونقل الراتش ونقل المخلفات </v>
      </c>
      <c r="E1483" s="142"/>
      <c r="F1483" s="133">
        <v>1300</v>
      </c>
      <c r="G1483" s="133"/>
      <c r="H1483" s="134">
        <f t="shared" si="67"/>
        <v>1300</v>
      </c>
      <c r="I1483" s="134">
        <f t="shared" si="67"/>
        <v>0</v>
      </c>
      <c r="J1483" s="134">
        <f t="shared" si="66"/>
        <v>1300</v>
      </c>
      <c r="K1483" s="135"/>
      <c r="L1483" s="136" t="str">
        <f t="shared" si="68"/>
        <v>مدين</v>
      </c>
      <c r="M1483" s="137" t="str">
        <f>IF(ISERROR(VLOOKUP(C1483,'[1]خريطة الحسابات'!_xlnm.Print_Area,4,FALSE))," ",(VLOOKUP(C1483,'[1]خريطة الحسابات'!_xlnm.Print_Area,4,FALSE)))</f>
        <v>تكاليف مشروع هاني العبور 365</v>
      </c>
      <c r="N1483" s="138" t="str">
        <f>IF(ISERROR(VLOOKUP(C1483,'[1]خريطة الحسابات'!_xlnm.Print_Area,5,FALSE))," ",(VLOOKUP(C1483,'[1]خريطة الحسابات'!_xlnm.Print_Area,5,FALSE)))</f>
        <v xml:space="preserve">تكاليف العمليات </v>
      </c>
      <c r="O1483" s="84" t="s">
        <v>2003</v>
      </c>
      <c r="P1483" s="84" t="s">
        <v>1317</v>
      </c>
    </row>
    <row r="1484" spans="1:16">
      <c r="A1484" s="104">
        <v>60</v>
      </c>
      <c r="B1484" s="131">
        <v>46184</v>
      </c>
      <c r="C1484" s="141" t="s">
        <v>667</v>
      </c>
      <c r="D1484" s="140" t="str">
        <f>IF(ISERROR(VLOOKUP(C1484,'[1]خريطة الحسابات'!_xlnm.Print_Area,3,FALSE))," ",(VLOOKUP(C1484,'[1]خريطة الحسابات'!_xlnm.Print_Area,3,FALSE)))</f>
        <v xml:space="preserve">اعمال انزال ونقل الراتش ونقل المخلفات </v>
      </c>
      <c r="E1484" s="142"/>
      <c r="F1484" s="133">
        <v>400</v>
      </c>
      <c r="G1484" s="133"/>
      <c r="H1484" s="134">
        <f t="shared" si="67"/>
        <v>400</v>
      </c>
      <c r="I1484" s="134">
        <f t="shared" si="67"/>
        <v>0</v>
      </c>
      <c r="J1484" s="134">
        <f t="shared" si="66"/>
        <v>400</v>
      </c>
      <c r="K1484" s="135"/>
      <c r="L1484" s="136" t="str">
        <f t="shared" si="68"/>
        <v>مدين</v>
      </c>
      <c r="M1484" s="137" t="str">
        <f>IF(ISERROR(VLOOKUP(C1484,'[1]خريطة الحسابات'!_xlnm.Print_Area,4,FALSE))," ",(VLOOKUP(C1484,'[1]خريطة الحسابات'!_xlnm.Print_Area,4,FALSE)))</f>
        <v>تكاليف مشروع هاني العبور 365</v>
      </c>
      <c r="N1484" s="138" t="str">
        <f>IF(ISERROR(VLOOKUP(C1484,'[1]خريطة الحسابات'!_xlnm.Print_Area,5,FALSE))," ",(VLOOKUP(C1484,'[1]خريطة الحسابات'!_xlnm.Print_Area,5,FALSE)))</f>
        <v xml:space="preserve">تكاليف العمليات </v>
      </c>
      <c r="O1484" s="84" t="s">
        <v>2004</v>
      </c>
      <c r="P1484" s="84" t="s">
        <v>1317</v>
      </c>
    </row>
    <row r="1485" spans="1:16">
      <c r="A1485" s="104">
        <v>60</v>
      </c>
      <c r="B1485" s="131">
        <v>46090</v>
      </c>
      <c r="C1485" s="141" t="s">
        <v>527</v>
      </c>
      <c r="D1485" s="140" t="str">
        <f>IF(ISERROR(VLOOKUP(C1485,'[1]خريطة الحسابات'!_xlnm.Print_Area,3,FALSE))," ",(VLOOKUP(C1485,'[1]خريطة الحسابات'!_xlnm.Print_Area,3,FALSE)))</f>
        <v xml:space="preserve">اعمال انزال ونقل الراتش ونقل المخلفات </v>
      </c>
      <c r="E1485" s="142"/>
      <c r="F1485" s="133">
        <v>3080</v>
      </c>
      <c r="G1485" s="133"/>
      <c r="H1485" s="134">
        <f t="shared" si="67"/>
        <v>3080</v>
      </c>
      <c r="I1485" s="134">
        <f t="shared" si="67"/>
        <v>0</v>
      </c>
      <c r="J1485" s="134">
        <f t="shared" si="66"/>
        <v>3080</v>
      </c>
      <c r="K1485" s="135"/>
      <c r="L1485" s="136" t="str">
        <f t="shared" si="68"/>
        <v>مدين</v>
      </c>
      <c r="M1485" s="137" t="str">
        <f>IF(ISERROR(VLOOKUP(C1485,'[1]خريطة الحسابات'!_xlnm.Print_Area,4,FALSE))," ",(VLOOKUP(C1485,'[1]خريطة الحسابات'!_xlnm.Print_Area,4,FALSE)))</f>
        <v>تكاليف مشروع هاني القرنفل 355</v>
      </c>
      <c r="N1485" s="138" t="str">
        <f>IF(ISERROR(VLOOKUP(C1485,'[1]خريطة الحسابات'!_xlnm.Print_Area,5,FALSE))," ",(VLOOKUP(C1485,'[1]خريطة الحسابات'!_xlnm.Print_Area,5,FALSE)))</f>
        <v xml:space="preserve">تكاليف العمليات </v>
      </c>
      <c r="O1485" s="84" t="s">
        <v>2005</v>
      </c>
      <c r="P1485" s="84" t="s">
        <v>1395</v>
      </c>
    </row>
    <row r="1486" spans="1:16">
      <c r="A1486" s="104">
        <v>60</v>
      </c>
      <c r="B1486" s="131">
        <v>46097</v>
      </c>
      <c r="C1486" s="141" t="s">
        <v>527</v>
      </c>
      <c r="D1486" s="140" t="str">
        <f>IF(ISERROR(VLOOKUP(C1486,'[1]خريطة الحسابات'!_xlnm.Print_Area,3,FALSE))," ",(VLOOKUP(C1486,'[1]خريطة الحسابات'!_xlnm.Print_Area,3,FALSE)))</f>
        <v xml:space="preserve">اعمال انزال ونقل الراتش ونقل المخلفات </v>
      </c>
      <c r="E1486" s="142"/>
      <c r="F1486" s="133">
        <v>1177</v>
      </c>
      <c r="G1486" s="133"/>
      <c r="H1486" s="134">
        <f t="shared" si="67"/>
        <v>1177</v>
      </c>
      <c r="I1486" s="134">
        <f t="shared" si="67"/>
        <v>0</v>
      </c>
      <c r="J1486" s="134">
        <f t="shared" si="66"/>
        <v>1177</v>
      </c>
      <c r="K1486" s="135"/>
      <c r="L1486" s="136" t="str">
        <f t="shared" si="68"/>
        <v>مدين</v>
      </c>
      <c r="M1486" s="137" t="str">
        <f>IF(ISERROR(VLOOKUP(C1486,'[1]خريطة الحسابات'!_xlnm.Print_Area,4,FALSE))," ",(VLOOKUP(C1486,'[1]خريطة الحسابات'!_xlnm.Print_Area,4,FALSE)))</f>
        <v>تكاليف مشروع هاني القرنفل 355</v>
      </c>
      <c r="N1486" s="138" t="str">
        <f>IF(ISERROR(VLOOKUP(C1486,'[1]خريطة الحسابات'!_xlnm.Print_Area,5,FALSE))," ",(VLOOKUP(C1486,'[1]خريطة الحسابات'!_xlnm.Print_Area,5,FALSE)))</f>
        <v xml:space="preserve">تكاليف العمليات </v>
      </c>
      <c r="O1486" s="84" t="s">
        <v>2006</v>
      </c>
      <c r="P1486" s="84" t="s">
        <v>1395</v>
      </c>
    </row>
    <row r="1487" spans="1:16">
      <c r="A1487" s="104">
        <v>60</v>
      </c>
      <c r="B1487" s="131">
        <v>46090</v>
      </c>
      <c r="C1487" s="141" t="s">
        <v>492</v>
      </c>
      <c r="D1487" s="140" t="str">
        <f>IF(ISERROR(VLOOKUP(C1487,'[1]خريطة الحسابات'!_xlnm.Print_Area,3,FALSE))," ",(VLOOKUP(C1487,'[1]خريطة الحسابات'!_xlnm.Print_Area,3,FALSE)))</f>
        <v xml:space="preserve">اعمال انزال ونقل الراتش ونقل المخلفات </v>
      </c>
      <c r="E1487" s="142"/>
      <c r="F1487" s="133">
        <v>3080</v>
      </c>
      <c r="G1487" s="133"/>
      <c r="H1487" s="134">
        <f t="shared" si="67"/>
        <v>3080</v>
      </c>
      <c r="I1487" s="134">
        <f t="shared" si="67"/>
        <v>0</v>
      </c>
      <c r="J1487" s="134">
        <f t="shared" si="66"/>
        <v>3080</v>
      </c>
      <c r="K1487" s="135"/>
      <c r="L1487" s="136" t="str">
        <f t="shared" si="68"/>
        <v>مدين</v>
      </c>
      <c r="M1487" s="137" t="str">
        <f>IF(ISERROR(VLOOKUP(C1487,'[1]خريطة الحسابات'!_xlnm.Print_Area,4,FALSE))," ",(VLOOKUP(C1487,'[1]خريطة الحسابات'!_xlnm.Print_Area,4,FALSE)))</f>
        <v>تكاليف مشروع ياسر القرنفل 354</v>
      </c>
      <c r="N1487" s="138" t="str">
        <f>IF(ISERROR(VLOOKUP(C1487,'[1]خريطة الحسابات'!_xlnm.Print_Area,5,FALSE))," ",(VLOOKUP(C1487,'[1]خريطة الحسابات'!_xlnm.Print_Area,5,FALSE)))</f>
        <v xml:space="preserve">تكاليف العمليات </v>
      </c>
      <c r="O1487" s="84" t="s">
        <v>2007</v>
      </c>
      <c r="P1487" s="84" t="s">
        <v>1393</v>
      </c>
    </row>
    <row r="1488" spans="1:16">
      <c r="A1488" s="104">
        <v>60</v>
      </c>
      <c r="B1488" s="131">
        <v>46097</v>
      </c>
      <c r="C1488" s="141" t="s">
        <v>492</v>
      </c>
      <c r="D1488" s="140" t="str">
        <f>IF(ISERROR(VLOOKUP(C1488,'[1]خريطة الحسابات'!_xlnm.Print_Area,3,FALSE))," ",(VLOOKUP(C1488,'[1]خريطة الحسابات'!_xlnm.Print_Area,3,FALSE)))</f>
        <v xml:space="preserve">اعمال انزال ونقل الراتش ونقل المخلفات </v>
      </c>
      <c r="E1488" s="142"/>
      <c r="F1488" s="133">
        <v>1177</v>
      </c>
      <c r="G1488" s="133"/>
      <c r="H1488" s="134">
        <f t="shared" si="67"/>
        <v>1177</v>
      </c>
      <c r="I1488" s="134">
        <f t="shared" si="67"/>
        <v>0</v>
      </c>
      <c r="J1488" s="134">
        <f t="shared" si="66"/>
        <v>1177</v>
      </c>
      <c r="K1488" s="135"/>
      <c r="L1488" s="136" t="str">
        <f t="shared" si="68"/>
        <v>مدين</v>
      </c>
      <c r="M1488" s="137" t="str">
        <f>IF(ISERROR(VLOOKUP(C1488,'[1]خريطة الحسابات'!_xlnm.Print_Area,4,FALSE))," ",(VLOOKUP(C1488,'[1]خريطة الحسابات'!_xlnm.Print_Area,4,FALSE)))</f>
        <v>تكاليف مشروع ياسر القرنفل 354</v>
      </c>
      <c r="N1488" s="138" t="str">
        <f>IF(ISERROR(VLOOKUP(C1488,'[1]خريطة الحسابات'!_xlnm.Print_Area,5,FALSE))," ",(VLOOKUP(C1488,'[1]خريطة الحسابات'!_xlnm.Print_Area,5,FALSE)))</f>
        <v xml:space="preserve">تكاليف العمليات </v>
      </c>
      <c r="O1488" s="84" t="s">
        <v>2006</v>
      </c>
      <c r="P1488" s="84" t="s">
        <v>1393</v>
      </c>
    </row>
    <row r="1489" spans="1:16">
      <c r="A1489" s="104">
        <v>60</v>
      </c>
      <c r="B1489" s="131">
        <v>46154</v>
      </c>
      <c r="C1489" s="141">
        <v>20</v>
      </c>
      <c r="D1489" s="140" t="str">
        <f>IF(ISERROR(VLOOKUP(C1489,'[1]خريطة الحسابات'!_xlnm.Print_Area,3,FALSE))," ",(VLOOKUP(C1489,'[1]خريطة الحسابات'!_xlnm.Print_Area,3,FALSE)))</f>
        <v xml:space="preserve">الخزينة </v>
      </c>
      <c r="E1489" s="142"/>
      <c r="F1489" s="133"/>
      <c r="G1489" s="133">
        <v>1400</v>
      </c>
      <c r="H1489" s="134">
        <f t="shared" si="67"/>
        <v>0</v>
      </c>
      <c r="I1489" s="134">
        <f t="shared" si="67"/>
        <v>1400</v>
      </c>
      <c r="J1489" s="134">
        <f t="shared" si="66"/>
        <v>-1400</v>
      </c>
      <c r="K1489" s="135"/>
      <c r="L1489" s="136" t="str">
        <f t="shared" si="68"/>
        <v>دائن</v>
      </c>
      <c r="M1489" s="137" t="str">
        <f>IF(ISERROR(VLOOKUP(C1489,'[1]خريطة الحسابات'!_xlnm.Print_Area,4,FALSE))," ",(VLOOKUP(C1489,'[1]خريطة الحسابات'!_xlnm.Print_Area,4,FALSE)))</f>
        <v xml:space="preserve">أصول متداوله -النقدية ومافي حكمها </v>
      </c>
      <c r="N1489" s="138" t="str">
        <f>IF(ISERROR(VLOOKUP(C1489,'[1]خريطة الحسابات'!_xlnm.Print_Area,5,FALSE))," ",(VLOOKUP(C1489,'[1]خريطة الحسابات'!_xlnm.Print_Area,5,FALSE)))</f>
        <v>الاصول</v>
      </c>
      <c r="O1489" s="84" t="s">
        <v>1947</v>
      </c>
      <c r="P1489" s="84" t="s">
        <v>1345</v>
      </c>
    </row>
    <row r="1490" spans="1:16">
      <c r="A1490" s="104">
        <v>60</v>
      </c>
      <c r="B1490" s="131">
        <v>46133</v>
      </c>
      <c r="C1490" s="141">
        <v>20</v>
      </c>
      <c r="D1490" s="140" t="str">
        <f>IF(ISERROR(VLOOKUP(C1490,'[1]خريطة الحسابات'!_xlnm.Print_Area,3,FALSE))," ",(VLOOKUP(C1490,'[1]خريطة الحسابات'!_xlnm.Print_Area,3,FALSE)))</f>
        <v xml:space="preserve">الخزينة </v>
      </c>
      <c r="E1490" s="142"/>
      <c r="F1490" s="133"/>
      <c r="G1490" s="133">
        <v>100</v>
      </c>
      <c r="H1490" s="134">
        <f t="shared" si="67"/>
        <v>0</v>
      </c>
      <c r="I1490" s="134">
        <f t="shared" si="67"/>
        <v>100</v>
      </c>
      <c r="J1490" s="134">
        <f t="shared" si="66"/>
        <v>-100</v>
      </c>
      <c r="K1490" s="135"/>
      <c r="L1490" s="136" t="str">
        <f t="shared" si="68"/>
        <v>دائن</v>
      </c>
      <c r="M1490" s="137" t="str">
        <f>IF(ISERROR(VLOOKUP(C1490,'[1]خريطة الحسابات'!_xlnm.Print_Area,4,FALSE))," ",(VLOOKUP(C1490,'[1]خريطة الحسابات'!_xlnm.Print_Area,4,FALSE)))</f>
        <v xml:space="preserve">أصول متداوله -النقدية ومافي حكمها </v>
      </c>
      <c r="N1490" s="138" t="str">
        <f>IF(ISERROR(VLOOKUP(C1490,'[1]خريطة الحسابات'!_xlnm.Print_Area,5,FALSE))," ",(VLOOKUP(C1490,'[1]خريطة الحسابات'!_xlnm.Print_Area,5,FALSE)))</f>
        <v>الاصول</v>
      </c>
      <c r="O1490" s="84" t="s">
        <v>1948</v>
      </c>
      <c r="P1490" s="84" t="s">
        <v>1340</v>
      </c>
    </row>
    <row r="1491" spans="1:16">
      <c r="A1491" s="104">
        <v>60</v>
      </c>
      <c r="B1491" s="131">
        <v>46151</v>
      </c>
      <c r="C1491" s="141">
        <v>20</v>
      </c>
      <c r="D1491" s="140" t="str">
        <f>IF(ISERROR(VLOOKUP(C1491,'[1]خريطة الحسابات'!_xlnm.Print_Area,3,FALSE))," ",(VLOOKUP(C1491,'[1]خريطة الحسابات'!_xlnm.Print_Area,3,FALSE)))</f>
        <v xml:space="preserve">الخزينة </v>
      </c>
      <c r="E1491" s="142"/>
      <c r="F1491" s="133"/>
      <c r="G1491" s="133">
        <v>400</v>
      </c>
      <c r="H1491" s="134">
        <f t="shared" si="67"/>
        <v>0</v>
      </c>
      <c r="I1491" s="134">
        <f t="shared" si="67"/>
        <v>400</v>
      </c>
      <c r="J1491" s="134">
        <f t="shared" si="66"/>
        <v>-400</v>
      </c>
      <c r="K1491" s="135"/>
      <c r="L1491" s="136" t="str">
        <f t="shared" si="68"/>
        <v>دائن</v>
      </c>
      <c r="M1491" s="137" t="str">
        <f>IF(ISERROR(VLOOKUP(C1491,'[1]خريطة الحسابات'!_xlnm.Print_Area,4,FALSE))," ",(VLOOKUP(C1491,'[1]خريطة الحسابات'!_xlnm.Print_Area,4,FALSE)))</f>
        <v xml:space="preserve">أصول متداوله -النقدية ومافي حكمها </v>
      </c>
      <c r="N1491" s="138" t="str">
        <f>IF(ISERROR(VLOOKUP(C1491,'[1]خريطة الحسابات'!_xlnm.Print_Area,5,FALSE))," ",(VLOOKUP(C1491,'[1]خريطة الحسابات'!_xlnm.Print_Area,5,FALSE)))</f>
        <v>الاصول</v>
      </c>
      <c r="O1491" s="84" t="s">
        <v>1949</v>
      </c>
      <c r="P1491" s="84" t="s">
        <v>1340</v>
      </c>
    </row>
    <row r="1492" spans="1:16">
      <c r="A1492" s="104">
        <v>60</v>
      </c>
      <c r="B1492" s="131">
        <v>46062</v>
      </c>
      <c r="C1492" s="141">
        <v>20</v>
      </c>
      <c r="D1492" s="140" t="str">
        <f>IF(ISERROR(VLOOKUP(C1492,'[1]خريطة الحسابات'!_xlnm.Print_Area,3,FALSE))," ",(VLOOKUP(C1492,'[1]خريطة الحسابات'!_xlnm.Print_Area,3,FALSE)))</f>
        <v xml:space="preserve">الخزينة </v>
      </c>
      <c r="E1492" s="142"/>
      <c r="F1492" s="133"/>
      <c r="G1492" s="133">
        <v>500</v>
      </c>
      <c r="H1492" s="134">
        <f t="shared" si="67"/>
        <v>0</v>
      </c>
      <c r="I1492" s="134">
        <f t="shared" si="67"/>
        <v>500</v>
      </c>
      <c r="J1492" s="134">
        <f t="shared" si="66"/>
        <v>-500</v>
      </c>
      <c r="K1492" s="135"/>
      <c r="L1492" s="136" t="str">
        <f t="shared" si="68"/>
        <v>دائن</v>
      </c>
      <c r="M1492" s="137" t="str">
        <f>IF(ISERROR(VLOOKUP(C1492,'[1]خريطة الحسابات'!_xlnm.Print_Area,4,FALSE))," ",(VLOOKUP(C1492,'[1]خريطة الحسابات'!_xlnm.Print_Area,4,FALSE)))</f>
        <v xml:space="preserve">أصول متداوله -النقدية ومافي حكمها </v>
      </c>
      <c r="N1492" s="138" t="str">
        <f>IF(ISERROR(VLOOKUP(C1492,'[1]خريطة الحسابات'!_xlnm.Print_Area,5,FALSE))," ",(VLOOKUP(C1492,'[1]خريطة الحسابات'!_xlnm.Print_Area,5,FALSE)))</f>
        <v>الاصول</v>
      </c>
      <c r="O1492" s="84" t="s">
        <v>1950</v>
      </c>
      <c r="P1492" s="84" t="s">
        <v>1299</v>
      </c>
    </row>
    <row r="1493" spans="1:16">
      <c r="A1493" s="104">
        <v>60</v>
      </c>
      <c r="B1493" s="131">
        <v>46062</v>
      </c>
      <c r="C1493" s="141">
        <v>20</v>
      </c>
      <c r="D1493" s="140" t="str">
        <f>IF(ISERROR(VLOOKUP(C1493,'[1]خريطة الحسابات'!_xlnm.Print_Area,3,FALSE))," ",(VLOOKUP(C1493,'[1]خريطة الحسابات'!_xlnm.Print_Area,3,FALSE)))</f>
        <v xml:space="preserve">الخزينة </v>
      </c>
      <c r="E1493" s="142"/>
      <c r="F1493" s="133"/>
      <c r="G1493" s="133">
        <v>250</v>
      </c>
      <c r="H1493" s="134">
        <f t="shared" si="67"/>
        <v>0</v>
      </c>
      <c r="I1493" s="134">
        <f t="shared" si="67"/>
        <v>250</v>
      </c>
      <c r="J1493" s="134">
        <f t="shared" si="66"/>
        <v>-250</v>
      </c>
      <c r="K1493" s="135"/>
      <c r="L1493" s="136" t="str">
        <f t="shared" si="68"/>
        <v>دائن</v>
      </c>
      <c r="M1493" s="137" t="str">
        <f>IF(ISERROR(VLOOKUP(C1493,'[1]خريطة الحسابات'!_xlnm.Print_Area,4,FALSE))," ",(VLOOKUP(C1493,'[1]خريطة الحسابات'!_xlnm.Print_Area,4,FALSE)))</f>
        <v xml:space="preserve">أصول متداوله -النقدية ومافي حكمها </v>
      </c>
      <c r="N1493" s="138" t="str">
        <f>IF(ISERROR(VLOOKUP(C1493,'[1]خريطة الحسابات'!_xlnm.Print_Area,5,FALSE))," ",(VLOOKUP(C1493,'[1]خريطة الحسابات'!_xlnm.Print_Area,5,FALSE)))</f>
        <v>الاصول</v>
      </c>
      <c r="O1493" s="84" t="s">
        <v>1951</v>
      </c>
      <c r="P1493" s="84" t="s">
        <v>1299</v>
      </c>
    </row>
    <row r="1494" spans="1:16">
      <c r="A1494" s="104">
        <v>60</v>
      </c>
      <c r="B1494" s="131">
        <v>46064</v>
      </c>
      <c r="C1494" s="141">
        <v>20</v>
      </c>
      <c r="D1494" s="140" t="str">
        <f>IF(ISERROR(VLOOKUP(C1494,'[1]خريطة الحسابات'!_xlnm.Print_Area,3,FALSE))," ",(VLOOKUP(C1494,'[1]خريطة الحسابات'!_xlnm.Print_Area,3,FALSE)))</f>
        <v xml:space="preserve">الخزينة </v>
      </c>
      <c r="E1494" s="142"/>
      <c r="F1494" s="133"/>
      <c r="G1494" s="133">
        <v>1350</v>
      </c>
      <c r="H1494" s="134">
        <f t="shared" si="67"/>
        <v>0</v>
      </c>
      <c r="I1494" s="134">
        <f t="shared" si="67"/>
        <v>1350</v>
      </c>
      <c r="J1494" s="134">
        <f t="shared" si="66"/>
        <v>-1350</v>
      </c>
      <c r="K1494" s="135"/>
      <c r="L1494" s="136" t="str">
        <f t="shared" si="68"/>
        <v>دائن</v>
      </c>
      <c r="M1494" s="137" t="str">
        <f>IF(ISERROR(VLOOKUP(C1494,'[1]خريطة الحسابات'!_xlnm.Print_Area,4,FALSE))," ",(VLOOKUP(C1494,'[1]خريطة الحسابات'!_xlnm.Print_Area,4,FALSE)))</f>
        <v xml:space="preserve">أصول متداوله -النقدية ومافي حكمها </v>
      </c>
      <c r="N1494" s="138" t="str">
        <f>IF(ISERROR(VLOOKUP(C1494,'[1]خريطة الحسابات'!_xlnm.Print_Area,5,FALSE))," ",(VLOOKUP(C1494,'[1]خريطة الحسابات'!_xlnm.Print_Area,5,FALSE)))</f>
        <v>الاصول</v>
      </c>
      <c r="O1494" s="84" t="s">
        <v>1952</v>
      </c>
      <c r="P1494" s="84" t="s">
        <v>1299</v>
      </c>
    </row>
    <row r="1495" spans="1:16">
      <c r="A1495" s="104">
        <v>60</v>
      </c>
      <c r="B1495" s="131">
        <v>46039</v>
      </c>
      <c r="C1495" s="141">
        <v>20</v>
      </c>
      <c r="D1495" s="140" t="str">
        <f>IF(ISERROR(VLOOKUP(C1495,'[1]خريطة الحسابات'!_xlnm.Print_Area,3,FALSE))," ",(VLOOKUP(C1495,'[1]خريطة الحسابات'!_xlnm.Print_Area,3,FALSE)))</f>
        <v xml:space="preserve">الخزينة </v>
      </c>
      <c r="E1495" s="142"/>
      <c r="F1495" s="133"/>
      <c r="G1495" s="133">
        <v>1000</v>
      </c>
      <c r="H1495" s="134">
        <f t="shared" si="67"/>
        <v>0</v>
      </c>
      <c r="I1495" s="134">
        <f t="shared" si="67"/>
        <v>1000</v>
      </c>
      <c r="J1495" s="134">
        <f t="shared" si="66"/>
        <v>-1000</v>
      </c>
      <c r="K1495" s="135"/>
      <c r="L1495" s="136" t="str">
        <f t="shared" si="68"/>
        <v>دائن</v>
      </c>
      <c r="M1495" s="137" t="str">
        <f>IF(ISERROR(VLOOKUP(C1495,'[1]خريطة الحسابات'!_xlnm.Print_Area,4,FALSE))," ",(VLOOKUP(C1495,'[1]خريطة الحسابات'!_xlnm.Print_Area,4,FALSE)))</f>
        <v xml:space="preserve">أصول متداوله -النقدية ومافي حكمها </v>
      </c>
      <c r="N1495" s="138" t="str">
        <f>IF(ISERROR(VLOOKUP(C1495,'[1]خريطة الحسابات'!_xlnm.Print_Area,5,FALSE))," ",(VLOOKUP(C1495,'[1]خريطة الحسابات'!_xlnm.Print_Area,5,FALSE)))</f>
        <v>الاصول</v>
      </c>
      <c r="O1495" s="84" t="s">
        <v>1953</v>
      </c>
      <c r="P1495" s="84" t="s">
        <v>1304</v>
      </c>
    </row>
    <row r="1496" spans="1:16">
      <c r="A1496" s="104">
        <v>60</v>
      </c>
      <c r="B1496" s="131">
        <v>46058</v>
      </c>
      <c r="C1496" s="141">
        <v>20</v>
      </c>
      <c r="D1496" s="140" t="str">
        <f>IF(ISERROR(VLOOKUP(C1496,'[1]خريطة الحسابات'!_xlnm.Print_Area,3,FALSE))," ",(VLOOKUP(C1496,'[1]خريطة الحسابات'!_xlnm.Print_Area,3,FALSE)))</f>
        <v xml:space="preserve">الخزينة </v>
      </c>
      <c r="E1496" s="142"/>
      <c r="F1496" s="133"/>
      <c r="G1496" s="133">
        <v>135</v>
      </c>
      <c r="H1496" s="134">
        <f t="shared" si="67"/>
        <v>0</v>
      </c>
      <c r="I1496" s="134">
        <f t="shared" si="67"/>
        <v>135</v>
      </c>
      <c r="J1496" s="134">
        <f t="shared" ref="J1496:J1559" si="69">H1496-I1496</f>
        <v>-135</v>
      </c>
      <c r="K1496" s="135"/>
      <c r="L1496" s="136" t="str">
        <f t="shared" si="68"/>
        <v>دائن</v>
      </c>
      <c r="M1496" s="137" t="str">
        <f>IF(ISERROR(VLOOKUP(C1496,'[1]خريطة الحسابات'!_xlnm.Print_Area,4,FALSE))," ",(VLOOKUP(C1496,'[1]خريطة الحسابات'!_xlnm.Print_Area,4,FALSE)))</f>
        <v xml:space="preserve">أصول متداوله -النقدية ومافي حكمها </v>
      </c>
      <c r="N1496" s="138" t="str">
        <f>IF(ISERROR(VLOOKUP(C1496,'[1]خريطة الحسابات'!_xlnm.Print_Area,5,FALSE))," ",(VLOOKUP(C1496,'[1]خريطة الحسابات'!_xlnm.Print_Area,5,FALSE)))</f>
        <v>الاصول</v>
      </c>
      <c r="O1496" s="84" t="s">
        <v>1954</v>
      </c>
      <c r="P1496" s="84" t="s">
        <v>1304</v>
      </c>
    </row>
    <row r="1497" spans="1:16">
      <c r="A1497" s="104">
        <v>60</v>
      </c>
      <c r="B1497" s="131">
        <v>46058</v>
      </c>
      <c r="C1497" s="141">
        <v>20</v>
      </c>
      <c r="D1497" s="140" t="str">
        <f>IF(ISERROR(VLOOKUP(C1497,'[1]خريطة الحسابات'!_xlnm.Print_Area,3,FALSE))," ",(VLOOKUP(C1497,'[1]خريطة الحسابات'!_xlnm.Print_Area,3,FALSE)))</f>
        <v xml:space="preserve">الخزينة </v>
      </c>
      <c r="E1497" s="142"/>
      <c r="F1497" s="133"/>
      <c r="G1497" s="133">
        <v>1000</v>
      </c>
      <c r="H1497" s="134">
        <f t="shared" ref="H1497:I1560" si="70">IF($E1497=2,F1497*3.465,F1497)</f>
        <v>0</v>
      </c>
      <c r="I1497" s="134">
        <f t="shared" si="70"/>
        <v>1000</v>
      </c>
      <c r="J1497" s="134">
        <f t="shared" si="69"/>
        <v>-1000</v>
      </c>
      <c r="K1497" s="135"/>
      <c r="L1497" s="136" t="str">
        <f t="shared" si="68"/>
        <v>دائن</v>
      </c>
      <c r="M1497" s="137" t="str">
        <f>IF(ISERROR(VLOOKUP(C1497,'[1]خريطة الحسابات'!_xlnm.Print_Area,4,FALSE))," ",(VLOOKUP(C1497,'[1]خريطة الحسابات'!_xlnm.Print_Area,4,FALSE)))</f>
        <v xml:space="preserve">أصول متداوله -النقدية ومافي حكمها </v>
      </c>
      <c r="N1497" s="138" t="str">
        <f>IF(ISERROR(VLOOKUP(C1497,'[1]خريطة الحسابات'!_xlnm.Print_Area,5,FALSE))," ",(VLOOKUP(C1497,'[1]خريطة الحسابات'!_xlnm.Print_Area,5,FALSE)))</f>
        <v>الاصول</v>
      </c>
      <c r="O1497" s="84" t="s">
        <v>1953</v>
      </c>
      <c r="P1497" s="84" t="s">
        <v>1304</v>
      </c>
    </row>
    <row r="1498" spans="1:16">
      <c r="A1498" s="104">
        <v>60</v>
      </c>
      <c r="B1498" s="131">
        <v>46062</v>
      </c>
      <c r="C1498" s="141">
        <v>20</v>
      </c>
      <c r="D1498" s="140" t="str">
        <f>IF(ISERROR(VLOOKUP(C1498,'[1]خريطة الحسابات'!_xlnm.Print_Area,3,FALSE))," ",(VLOOKUP(C1498,'[1]خريطة الحسابات'!_xlnm.Print_Area,3,FALSE)))</f>
        <v xml:space="preserve">الخزينة </v>
      </c>
      <c r="E1498" s="142"/>
      <c r="F1498" s="133"/>
      <c r="G1498" s="133">
        <v>650</v>
      </c>
      <c r="H1498" s="134">
        <f t="shared" si="70"/>
        <v>0</v>
      </c>
      <c r="I1498" s="134">
        <f t="shared" si="70"/>
        <v>650</v>
      </c>
      <c r="J1498" s="134">
        <f t="shared" si="69"/>
        <v>-650</v>
      </c>
      <c r="K1498" s="135"/>
      <c r="L1498" s="136" t="str">
        <f t="shared" si="68"/>
        <v>دائن</v>
      </c>
      <c r="M1498" s="137" t="str">
        <f>IF(ISERROR(VLOOKUP(C1498,'[1]خريطة الحسابات'!_xlnm.Print_Area,4,FALSE))," ",(VLOOKUP(C1498,'[1]خريطة الحسابات'!_xlnm.Print_Area,4,FALSE)))</f>
        <v xml:space="preserve">أصول متداوله -النقدية ومافي حكمها </v>
      </c>
      <c r="N1498" s="138" t="str">
        <f>IF(ISERROR(VLOOKUP(C1498,'[1]خريطة الحسابات'!_xlnm.Print_Area,5,FALSE))," ",(VLOOKUP(C1498,'[1]خريطة الحسابات'!_xlnm.Print_Area,5,FALSE)))</f>
        <v>الاصول</v>
      </c>
      <c r="O1498" s="84" t="s">
        <v>1955</v>
      </c>
      <c r="P1498" s="84" t="s">
        <v>1304</v>
      </c>
    </row>
    <row r="1499" spans="1:16">
      <c r="A1499" s="104">
        <v>60</v>
      </c>
      <c r="B1499" s="131">
        <v>46068</v>
      </c>
      <c r="C1499" s="141">
        <v>20</v>
      </c>
      <c r="D1499" s="140" t="str">
        <f>IF(ISERROR(VLOOKUP(C1499,'[1]خريطة الحسابات'!_xlnm.Print_Area,3,FALSE))," ",(VLOOKUP(C1499,'[1]خريطة الحسابات'!_xlnm.Print_Area,3,FALSE)))</f>
        <v xml:space="preserve">الخزينة </v>
      </c>
      <c r="E1499" s="142"/>
      <c r="F1499" s="133"/>
      <c r="G1499" s="133">
        <v>200</v>
      </c>
      <c r="H1499" s="134">
        <f t="shared" si="70"/>
        <v>0</v>
      </c>
      <c r="I1499" s="134">
        <f t="shared" si="70"/>
        <v>200</v>
      </c>
      <c r="J1499" s="134">
        <f t="shared" si="69"/>
        <v>-200</v>
      </c>
      <c r="K1499" s="135"/>
      <c r="L1499" s="136" t="str">
        <f t="shared" ref="L1499:L1562" si="71">IF(J1499&lt;0,"دائن",IF(J1499&gt;0,"مدين",""))</f>
        <v>دائن</v>
      </c>
      <c r="M1499" s="137" t="str">
        <f>IF(ISERROR(VLOOKUP(C1499,'[1]خريطة الحسابات'!_xlnm.Print_Area,4,FALSE))," ",(VLOOKUP(C1499,'[1]خريطة الحسابات'!_xlnm.Print_Area,4,FALSE)))</f>
        <v xml:space="preserve">أصول متداوله -النقدية ومافي حكمها </v>
      </c>
      <c r="N1499" s="138" t="str">
        <f>IF(ISERROR(VLOOKUP(C1499,'[1]خريطة الحسابات'!_xlnm.Print_Area,5,FALSE))," ",(VLOOKUP(C1499,'[1]خريطة الحسابات'!_xlnm.Print_Area,5,FALSE)))</f>
        <v>الاصول</v>
      </c>
      <c r="O1499" s="84" t="s">
        <v>1956</v>
      </c>
      <c r="P1499" s="84" t="s">
        <v>1304</v>
      </c>
    </row>
    <row r="1500" spans="1:16">
      <c r="A1500" s="104">
        <v>60</v>
      </c>
      <c r="B1500" s="131">
        <v>46093</v>
      </c>
      <c r="C1500" s="141">
        <v>20</v>
      </c>
      <c r="D1500" s="140" t="str">
        <f>IF(ISERROR(VLOOKUP(C1500,'[1]خريطة الحسابات'!_xlnm.Print_Area,3,FALSE))," ",(VLOOKUP(C1500,'[1]خريطة الحسابات'!_xlnm.Print_Area,3,FALSE)))</f>
        <v xml:space="preserve">الخزينة </v>
      </c>
      <c r="E1500" s="142"/>
      <c r="F1500" s="133"/>
      <c r="G1500" s="133">
        <v>1000</v>
      </c>
      <c r="H1500" s="134">
        <f t="shared" si="70"/>
        <v>0</v>
      </c>
      <c r="I1500" s="134">
        <f t="shared" si="70"/>
        <v>1000</v>
      </c>
      <c r="J1500" s="134">
        <f t="shared" si="69"/>
        <v>-1000</v>
      </c>
      <c r="K1500" s="135"/>
      <c r="L1500" s="136" t="str">
        <f t="shared" si="71"/>
        <v>دائن</v>
      </c>
      <c r="M1500" s="137" t="str">
        <f>IF(ISERROR(VLOOKUP(C1500,'[1]خريطة الحسابات'!_xlnm.Print_Area,4,FALSE))," ",(VLOOKUP(C1500,'[1]خريطة الحسابات'!_xlnm.Print_Area,4,FALSE)))</f>
        <v xml:space="preserve">أصول متداوله -النقدية ومافي حكمها </v>
      </c>
      <c r="N1500" s="138" t="str">
        <f>IF(ISERROR(VLOOKUP(C1500,'[1]خريطة الحسابات'!_xlnm.Print_Area,5,FALSE))," ",(VLOOKUP(C1500,'[1]خريطة الحسابات'!_xlnm.Print_Area,5,FALSE)))</f>
        <v>الاصول</v>
      </c>
      <c r="O1500" s="84" t="s">
        <v>1957</v>
      </c>
      <c r="P1500" s="84" t="s">
        <v>1304</v>
      </c>
    </row>
    <row r="1501" spans="1:16">
      <c r="A1501" s="104">
        <v>60</v>
      </c>
      <c r="B1501" s="131">
        <v>46093</v>
      </c>
      <c r="C1501" s="141">
        <v>20</v>
      </c>
      <c r="D1501" s="140" t="str">
        <f>IF(ISERROR(VLOOKUP(C1501,'[1]خريطة الحسابات'!_xlnm.Print_Area,3,FALSE))," ",(VLOOKUP(C1501,'[1]خريطة الحسابات'!_xlnm.Print_Area,3,FALSE)))</f>
        <v xml:space="preserve">الخزينة </v>
      </c>
      <c r="E1501" s="142"/>
      <c r="F1501" s="133"/>
      <c r="G1501" s="133">
        <v>100</v>
      </c>
      <c r="H1501" s="134">
        <f t="shared" si="70"/>
        <v>0</v>
      </c>
      <c r="I1501" s="134">
        <f t="shared" si="70"/>
        <v>100</v>
      </c>
      <c r="J1501" s="134">
        <f t="shared" si="69"/>
        <v>-100</v>
      </c>
      <c r="K1501" s="135"/>
      <c r="L1501" s="136" t="str">
        <f t="shared" si="71"/>
        <v>دائن</v>
      </c>
      <c r="M1501" s="137" t="str">
        <f>IF(ISERROR(VLOOKUP(C1501,'[1]خريطة الحسابات'!_xlnm.Print_Area,4,FALSE))," ",(VLOOKUP(C1501,'[1]خريطة الحسابات'!_xlnm.Print_Area,4,FALSE)))</f>
        <v xml:space="preserve">أصول متداوله -النقدية ومافي حكمها </v>
      </c>
      <c r="N1501" s="138" t="str">
        <f>IF(ISERROR(VLOOKUP(C1501,'[1]خريطة الحسابات'!_xlnm.Print_Area,5,FALSE))," ",(VLOOKUP(C1501,'[1]خريطة الحسابات'!_xlnm.Print_Area,5,FALSE)))</f>
        <v>الاصول</v>
      </c>
      <c r="O1501" s="84" t="s">
        <v>1958</v>
      </c>
      <c r="P1501" s="84" t="s">
        <v>1292</v>
      </c>
    </row>
    <row r="1502" spans="1:16">
      <c r="A1502" s="104">
        <v>60</v>
      </c>
      <c r="B1502" s="131">
        <v>46051</v>
      </c>
      <c r="C1502" s="141">
        <v>20</v>
      </c>
      <c r="D1502" s="140" t="str">
        <f>IF(ISERROR(VLOOKUP(C1502,'[1]خريطة الحسابات'!_xlnm.Print_Area,3,FALSE))," ",(VLOOKUP(C1502,'[1]خريطة الحسابات'!_xlnm.Print_Area,3,FALSE)))</f>
        <v xml:space="preserve">الخزينة </v>
      </c>
      <c r="E1502" s="142"/>
      <c r="F1502" s="133"/>
      <c r="G1502" s="133">
        <v>250</v>
      </c>
      <c r="H1502" s="134">
        <f t="shared" si="70"/>
        <v>0</v>
      </c>
      <c r="I1502" s="134">
        <f t="shared" si="70"/>
        <v>250</v>
      </c>
      <c r="J1502" s="134">
        <f t="shared" si="69"/>
        <v>-250</v>
      </c>
      <c r="K1502" s="135"/>
      <c r="L1502" s="136" t="str">
        <f t="shared" si="71"/>
        <v>دائن</v>
      </c>
      <c r="M1502" s="137" t="str">
        <f>IF(ISERROR(VLOOKUP(C1502,'[1]خريطة الحسابات'!_xlnm.Print_Area,4,FALSE))," ",(VLOOKUP(C1502,'[1]خريطة الحسابات'!_xlnm.Print_Area,4,FALSE)))</f>
        <v xml:space="preserve">أصول متداوله -النقدية ومافي حكمها </v>
      </c>
      <c r="N1502" s="138" t="str">
        <f>IF(ISERROR(VLOOKUP(C1502,'[1]خريطة الحسابات'!_xlnm.Print_Area,5,FALSE))," ",(VLOOKUP(C1502,'[1]خريطة الحسابات'!_xlnm.Print_Area,5,FALSE)))</f>
        <v>الاصول</v>
      </c>
      <c r="O1502" s="84" t="s">
        <v>1959</v>
      </c>
      <c r="P1502" s="84" t="s">
        <v>1295</v>
      </c>
    </row>
    <row r="1503" spans="1:16">
      <c r="A1503" s="104">
        <v>60</v>
      </c>
      <c r="B1503" s="131">
        <v>46093</v>
      </c>
      <c r="C1503" s="141">
        <v>20</v>
      </c>
      <c r="D1503" s="140" t="str">
        <f>IF(ISERROR(VLOOKUP(C1503,'[1]خريطة الحسابات'!_xlnm.Print_Area,3,FALSE))," ",(VLOOKUP(C1503,'[1]خريطة الحسابات'!_xlnm.Print_Area,3,FALSE)))</f>
        <v xml:space="preserve">الخزينة </v>
      </c>
      <c r="E1503" s="142"/>
      <c r="F1503" s="133"/>
      <c r="G1503" s="133">
        <v>375</v>
      </c>
      <c r="H1503" s="134">
        <f t="shared" si="70"/>
        <v>0</v>
      </c>
      <c r="I1503" s="134">
        <f t="shared" si="70"/>
        <v>375</v>
      </c>
      <c r="J1503" s="134">
        <f t="shared" si="69"/>
        <v>-375</v>
      </c>
      <c r="K1503" s="135"/>
      <c r="L1503" s="136" t="str">
        <f t="shared" si="71"/>
        <v>دائن</v>
      </c>
      <c r="M1503" s="137" t="str">
        <f>IF(ISERROR(VLOOKUP(C1503,'[1]خريطة الحسابات'!_xlnm.Print_Area,4,FALSE))," ",(VLOOKUP(C1503,'[1]خريطة الحسابات'!_xlnm.Print_Area,4,FALSE)))</f>
        <v xml:space="preserve">أصول متداوله -النقدية ومافي حكمها </v>
      </c>
      <c r="N1503" s="138" t="str">
        <f>IF(ISERROR(VLOOKUP(C1503,'[1]خريطة الحسابات'!_xlnm.Print_Area,5,FALSE))," ",(VLOOKUP(C1503,'[1]خريطة الحسابات'!_xlnm.Print_Area,5,FALSE)))</f>
        <v>الاصول</v>
      </c>
      <c r="O1503" s="84" t="s">
        <v>1960</v>
      </c>
      <c r="P1503" s="84" t="s">
        <v>1295</v>
      </c>
    </row>
    <row r="1504" spans="1:16">
      <c r="A1504" s="104">
        <v>60</v>
      </c>
      <c r="B1504" s="131">
        <v>46121</v>
      </c>
      <c r="C1504" s="141">
        <v>20</v>
      </c>
      <c r="D1504" s="140" t="str">
        <f>IF(ISERROR(VLOOKUP(C1504,'[1]خريطة الحسابات'!_xlnm.Print_Area,3,FALSE))," ",(VLOOKUP(C1504,'[1]خريطة الحسابات'!_xlnm.Print_Area,3,FALSE)))</f>
        <v xml:space="preserve">الخزينة </v>
      </c>
      <c r="E1504" s="142"/>
      <c r="F1504" s="133"/>
      <c r="G1504" s="133">
        <v>200</v>
      </c>
      <c r="H1504" s="134">
        <f t="shared" si="70"/>
        <v>0</v>
      </c>
      <c r="I1504" s="134">
        <f t="shared" si="70"/>
        <v>200</v>
      </c>
      <c r="J1504" s="134">
        <f t="shared" si="69"/>
        <v>-200</v>
      </c>
      <c r="K1504" s="135"/>
      <c r="L1504" s="136" t="str">
        <f t="shared" si="71"/>
        <v>دائن</v>
      </c>
      <c r="M1504" s="137" t="str">
        <f>IF(ISERROR(VLOOKUP(C1504,'[1]خريطة الحسابات'!_xlnm.Print_Area,4,FALSE))," ",(VLOOKUP(C1504,'[1]خريطة الحسابات'!_xlnm.Print_Area,4,FALSE)))</f>
        <v xml:space="preserve">أصول متداوله -النقدية ومافي حكمها </v>
      </c>
      <c r="N1504" s="138" t="str">
        <f>IF(ISERROR(VLOOKUP(C1504,'[1]خريطة الحسابات'!_xlnm.Print_Area,5,FALSE))," ",(VLOOKUP(C1504,'[1]خريطة الحسابات'!_xlnm.Print_Area,5,FALSE)))</f>
        <v>الاصول</v>
      </c>
      <c r="O1504" s="84" t="s">
        <v>1961</v>
      </c>
      <c r="P1504" s="84" t="s">
        <v>1295</v>
      </c>
    </row>
    <row r="1505" spans="1:16">
      <c r="A1505" s="104">
        <v>60</v>
      </c>
      <c r="B1505" s="131">
        <v>46086</v>
      </c>
      <c r="C1505" s="141">
        <v>20</v>
      </c>
      <c r="D1505" s="140" t="str">
        <f>IF(ISERROR(VLOOKUP(C1505,'[1]خريطة الحسابات'!_xlnm.Print_Area,3,FALSE))," ",(VLOOKUP(C1505,'[1]خريطة الحسابات'!_xlnm.Print_Area,3,FALSE)))</f>
        <v xml:space="preserve">الخزينة </v>
      </c>
      <c r="E1505" s="142"/>
      <c r="F1505" s="133"/>
      <c r="G1505" s="133">
        <v>2600</v>
      </c>
      <c r="H1505" s="134">
        <f t="shared" si="70"/>
        <v>0</v>
      </c>
      <c r="I1505" s="134">
        <f t="shared" si="70"/>
        <v>2600</v>
      </c>
      <c r="J1505" s="134">
        <f t="shared" si="69"/>
        <v>-2600</v>
      </c>
      <c r="K1505" s="135"/>
      <c r="L1505" s="136" t="str">
        <f t="shared" si="71"/>
        <v>دائن</v>
      </c>
      <c r="M1505" s="137" t="str">
        <f>IF(ISERROR(VLOOKUP(C1505,'[1]خريطة الحسابات'!_xlnm.Print_Area,4,FALSE))," ",(VLOOKUP(C1505,'[1]خريطة الحسابات'!_xlnm.Print_Area,4,FALSE)))</f>
        <v xml:space="preserve">أصول متداوله -النقدية ومافي حكمها </v>
      </c>
      <c r="N1505" s="138" t="str">
        <f>IF(ISERROR(VLOOKUP(C1505,'[1]خريطة الحسابات'!_xlnm.Print_Area,5,FALSE))," ",(VLOOKUP(C1505,'[1]خريطة الحسابات'!_xlnm.Print_Area,5,FALSE)))</f>
        <v>الاصول</v>
      </c>
      <c r="O1505" s="84" t="s">
        <v>1962</v>
      </c>
      <c r="P1505" s="84" t="s">
        <v>1327</v>
      </c>
    </row>
    <row r="1506" spans="1:16">
      <c r="A1506" s="104">
        <v>60</v>
      </c>
      <c r="B1506" s="131">
        <v>46187</v>
      </c>
      <c r="C1506" s="141">
        <v>20</v>
      </c>
      <c r="D1506" s="140" t="str">
        <f>IF(ISERROR(VLOOKUP(C1506,'[1]خريطة الحسابات'!_xlnm.Print_Area,3,FALSE))," ",(VLOOKUP(C1506,'[1]خريطة الحسابات'!_xlnm.Print_Area,3,FALSE)))</f>
        <v xml:space="preserve">الخزينة </v>
      </c>
      <c r="E1506" s="142"/>
      <c r="F1506" s="133"/>
      <c r="G1506" s="133">
        <v>200</v>
      </c>
      <c r="H1506" s="134">
        <f t="shared" si="70"/>
        <v>0</v>
      </c>
      <c r="I1506" s="134">
        <f t="shared" si="70"/>
        <v>200</v>
      </c>
      <c r="J1506" s="134">
        <f t="shared" si="69"/>
        <v>-200</v>
      </c>
      <c r="K1506" s="135"/>
      <c r="L1506" s="136" t="str">
        <f t="shared" si="71"/>
        <v>دائن</v>
      </c>
      <c r="M1506" s="137" t="str">
        <f>IF(ISERROR(VLOOKUP(C1506,'[1]خريطة الحسابات'!_xlnm.Print_Area,4,FALSE))," ",(VLOOKUP(C1506,'[1]خريطة الحسابات'!_xlnm.Print_Area,4,FALSE)))</f>
        <v xml:space="preserve">أصول متداوله -النقدية ومافي حكمها </v>
      </c>
      <c r="N1506" s="138" t="str">
        <f>IF(ISERROR(VLOOKUP(C1506,'[1]خريطة الحسابات'!_xlnm.Print_Area,5,FALSE))," ",(VLOOKUP(C1506,'[1]خريطة الحسابات'!_xlnm.Print_Area,5,FALSE)))</f>
        <v>الاصول</v>
      </c>
      <c r="O1506" s="84" t="s">
        <v>1963</v>
      </c>
      <c r="P1506" s="84" t="s">
        <v>1964</v>
      </c>
    </row>
    <row r="1507" spans="1:16">
      <c r="A1507" s="104">
        <v>60</v>
      </c>
      <c r="B1507" s="131">
        <v>46068</v>
      </c>
      <c r="C1507" s="141">
        <v>20</v>
      </c>
      <c r="D1507" s="140" t="str">
        <f>IF(ISERROR(VLOOKUP(C1507,'[1]خريطة الحسابات'!_xlnm.Print_Area,3,FALSE))," ",(VLOOKUP(C1507,'[1]خريطة الحسابات'!_xlnm.Print_Area,3,FALSE)))</f>
        <v xml:space="preserve">الخزينة </v>
      </c>
      <c r="E1507" s="142"/>
      <c r="F1507" s="133"/>
      <c r="G1507" s="133">
        <v>10000</v>
      </c>
      <c r="H1507" s="134">
        <f t="shared" si="70"/>
        <v>0</v>
      </c>
      <c r="I1507" s="134">
        <f t="shared" si="70"/>
        <v>10000</v>
      </c>
      <c r="J1507" s="134">
        <f t="shared" si="69"/>
        <v>-10000</v>
      </c>
      <c r="K1507" s="135"/>
      <c r="L1507" s="136" t="str">
        <f t="shared" si="71"/>
        <v>دائن</v>
      </c>
      <c r="M1507" s="137" t="str">
        <f>IF(ISERROR(VLOOKUP(C1507,'[1]خريطة الحسابات'!_xlnm.Print_Area,4,FALSE))," ",(VLOOKUP(C1507,'[1]خريطة الحسابات'!_xlnm.Print_Area,4,FALSE)))</f>
        <v xml:space="preserve">أصول متداوله -النقدية ومافي حكمها </v>
      </c>
      <c r="N1507" s="138" t="str">
        <f>IF(ISERROR(VLOOKUP(C1507,'[1]خريطة الحسابات'!_xlnm.Print_Area,5,FALSE))," ",(VLOOKUP(C1507,'[1]خريطة الحسابات'!_xlnm.Print_Area,5,FALSE)))</f>
        <v>الاصول</v>
      </c>
      <c r="O1507" s="84" t="s">
        <v>1965</v>
      </c>
      <c r="P1507" s="84" t="s">
        <v>1493</v>
      </c>
    </row>
    <row r="1508" spans="1:16">
      <c r="A1508" s="104">
        <v>60</v>
      </c>
      <c r="B1508" s="131">
        <v>46030</v>
      </c>
      <c r="C1508" s="141">
        <v>20</v>
      </c>
      <c r="D1508" s="140" t="str">
        <f>IF(ISERROR(VLOOKUP(C1508,'[1]خريطة الحسابات'!_xlnm.Print_Area,3,FALSE))," ",(VLOOKUP(C1508,'[1]خريطة الحسابات'!_xlnm.Print_Area,3,FALSE)))</f>
        <v xml:space="preserve">الخزينة </v>
      </c>
      <c r="E1508" s="142"/>
      <c r="F1508" s="133"/>
      <c r="G1508" s="133">
        <v>700</v>
      </c>
      <c r="H1508" s="134">
        <f t="shared" si="70"/>
        <v>0</v>
      </c>
      <c r="I1508" s="134">
        <f t="shared" si="70"/>
        <v>700</v>
      </c>
      <c r="J1508" s="134">
        <f t="shared" si="69"/>
        <v>-700</v>
      </c>
      <c r="K1508" s="135"/>
      <c r="L1508" s="136" t="str">
        <f t="shared" si="71"/>
        <v>دائن</v>
      </c>
      <c r="M1508" s="137" t="str">
        <f>IF(ISERROR(VLOOKUP(C1508,'[1]خريطة الحسابات'!_xlnm.Print_Area,4,FALSE))," ",(VLOOKUP(C1508,'[1]خريطة الحسابات'!_xlnm.Print_Area,4,FALSE)))</f>
        <v xml:space="preserve">أصول متداوله -النقدية ومافي حكمها </v>
      </c>
      <c r="N1508" s="138" t="str">
        <f>IF(ISERROR(VLOOKUP(C1508,'[1]خريطة الحسابات'!_xlnm.Print_Area,5,FALSE))," ",(VLOOKUP(C1508,'[1]خريطة الحسابات'!_xlnm.Print_Area,5,FALSE)))</f>
        <v>الاصول</v>
      </c>
      <c r="O1508" s="84" t="s">
        <v>1966</v>
      </c>
      <c r="P1508" s="84" t="s">
        <v>1290</v>
      </c>
    </row>
    <row r="1509" spans="1:16">
      <c r="A1509" s="104">
        <v>60</v>
      </c>
      <c r="B1509" s="131">
        <v>46034</v>
      </c>
      <c r="C1509" s="141">
        <v>20</v>
      </c>
      <c r="D1509" s="140" t="str">
        <f>IF(ISERROR(VLOOKUP(C1509,'[1]خريطة الحسابات'!_xlnm.Print_Area,3,FALSE))," ",(VLOOKUP(C1509,'[1]خريطة الحسابات'!_xlnm.Print_Area,3,FALSE)))</f>
        <v xml:space="preserve">الخزينة </v>
      </c>
      <c r="E1509" s="142"/>
      <c r="F1509" s="133"/>
      <c r="G1509" s="133">
        <v>2000</v>
      </c>
      <c r="H1509" s="134">
        <f t="shared" si="70"/>
        <v>0</v>
      </c>
      <c r="I1509" s="134">
        <f t="shared" si="70"/>
        <v>2000</v>
      </c>
      <c r="J1509" s="134">
        <f t="shared" si="69"/>
        <v>-2000</v>
      </c>
      <c r="K1509" s="135"/>
      <c r="L1509" s="136" t="str">
        <f t="shared" si="71"/>
        <v>دائن</v>
      </c>
      <c r="M1509" s="137" t="str">
        <f>IF(ISERROR(VLOOKUP(C1509,'[1]خريطة الحسابات'!_xlnm.Print_Area,4,FALSE))," ",(VLOOKUP(C1509,'[1]خريطة الحسابات'!_xlnm.Print_Area,4,FALSE)))</f>
        <v xml:space="preserve">أصول متداوله -النقدية ومافي حكمها </v>
      </c>
      <c r="N1509" s="138" t="str">
        <f>IF(ISERROR(VLOOKUP(C1509,'[1]خريطة الحسابات'!_xlnm.Print_Area,5,FALSE))," ",(VLOOKUP(C1509,'[1]خريطة الحسابات'!_xlnm.Print_Area,5,FALSE)))</f>
        <v>الاصول</v>
      </c>
      <c r="O1509" s="84" t="s">
        <v>1967</v>
      </c>
      <c r="P1509" s="84" t="s">
        <v>1290</v>
      </c>
    </row>
    <row r="1510" spans="1:16">
      <c r="A1510" s="104">
        <v>60</v>
      </c>
      <c r="B1510" s="131">
        <v>46042</v>
      </c>
      <c r="C1510" s="141">
        <v>20</v>
      </c>
      <c r="D1510" s="140" t="str">
        <f>IF(ISERROR(VLOOKUP(C1510,'[1]خريطة الحسابات'!_xlnm.Print_Area,3,FALSE))," ",(VLOOKUP(C1510,'[1]خريطة الحسابات'!_xlnm.Print_Area,3,FALSE)))</f>
        <v xml:space="preserve">الخزينة </v>
      </c>
      <c r="E1510" s="142"/>
      <c r="F1510" s="133"/>
      <c r="G1510" s="133">
        <v>1600</v>
      </c>
      <c r="H1510" s="134">
        <f t="shared" si="70"/>
        <v>0</v>
      </c>
      <c r="I1510" s="134">
        <f t="shared" si="70"/>
        <v>1600</v>
      </c>
      <c r="J1510" s="134">
        <f t="shared" si="69"/>
        <v>-1600</v>
      </c>
      <c r="K1510" s="135"/>
      <c r="L1510" s="136" t="str">
        <f t="shared" si="71"/>
        <v>دائن</v>
      </c>
      <c r="M1510" s="137" t="str">
        <f>IF(ISERROR(VLOOKUP(C1510,'[1]خريطة الحسابات'!_xlnm.Print_Area,4,FALSE))," ",(VLOOKUP(C1510,'[1]خريطة الحسابات'!_xlnm.Print_Area,4,FALSE)))</f>
        <v xml:space="preserve">أصول متداوله -النقدية ومافي حكمها </v>
      </c>
      <c r="N1510" s="138" t="str">
        <f>IF(ISERROR(VLOOKUP(C1510,'[1]خريطة الحسابات'!_xlnm.Print_Area,5,FALSE))," ",(VLOOKUP(C1510,'[1]خريطة الحسابات'!_xlnm.Print_Area,5,FALSE)))</f>
        <v>الاصول</v>
      </c>
      <c r="O1510" s="84" t="s">
        <v>1968</v>
      </c>
      <c r="P1510" s="84" t="s">
        <v>1290</v>
      </c>
    </row>
    <row r="1511" spans="1:16">
      <c r="A1511" s="104">
        <v>60</v>
      </c>
      <c r="B1511" s="131">
        <v>46049</v>
      </c>
      <c r="C1511" s="141">
        <v>20</v>
      </c>
      <c r="D1511" s="140" t="str">
        <f>IF(ISERROR(VLOOKUP(C1511,'[1]خريطة الحسابات'!_xlnm.Print_Area,3,FALSE))," ",(VLOOKUP(C1511,'[1]خريطة الحسابات'!_xlnm.Print_Area,3,FALSE)))</f>
        <v xml:space="preserve">الخزينة </v>
      </c>
      <c r="E1511" s="142"/>
      <c r="F1511" s="133"/>
      <c r="G1511" s="133">
        <v>1202</v>
      </c>
      <c r="H1511" s="134">
        <f t="shared" si="70"/>
        <v>0</v>
      </c>
      <c r="I1511" s="134">
        <f t="shared" si="70"/>
        <v>1202</v>
      </c>
      <c r="J1511" s="134">
        <f t="shared" si="69"/>
        <v>-1202</v>
      </c>
      <c r="K1511" s="135"/>
      <c r="L1511" s="136" t="str">
        <f t="shared" si="71"/>
        <v>دائن</v>
      </c>
      <c r="M1511" s="137" t="str">
        <f>IF(ISERROR(VLOOKUP(C1511,'[1]خريطة الحسابات'!_xlnm.Print_Area,4,FALSE))," ",(VLOOKUP(C1511,'[1]خريطة الحسابات'!_xlnm.Print_Area,4,FALSE)))</f>
        <v xml:space="preserve">أصول متداوله -النقدية ومافي حكمها </v>
      </c>
      <c r="N1511" s="138" t="str">
        <f>IF(ISERROR(VLOOKUP(C1511,'[1]خريطة الحسابات'!_xlnm.Print_Area,5,FALSE))," ",(VLOOKUP(C1511,'[1]خريطة الحسابات'!_xlnm.Print_Area,5,FALSE)))</f>
        <v>الاصول</v>
      </c>
      <c r="O1511" s="84" t="s">
        <v>1969</v>
      </c>
      <c r="P1511" s="84" t="s">
        <v>1290</v>
      </c>
    </row>
    <row r="1512" spans="1:16">
      <c r="A1512" s="104">
        <v>60</v>
      </c>
      <c r="B1512" s="131">
        <v>46051</v>
      </c>
      <c r="C1512" s="141">
        <v>20</v>
      </c>
      <c r="D1512" s="140" t="str">
        <f>IF(ISERROR(VLOOKUP(C1512,'[1]خريطة الحسابات'!_xlnm.Print_Area,3,FALSE))," ",(VLOOKUP(C1512,'[1]خريطة الحسابات'!_xlnm.Print_Area,3,FALSE)))</f>
        <v xml:space="preserve">الخزينة </v>
      </c>
      <c r="E1512" s="142"/>
      <c r="F1512" s="133"/>
      <c r="G1512" s="133">
        <v>200</v>
      </c>
      <c r="H1512" s="134">
        <f t="shared" si="70"/>
        <v>0</v>
      </c>
      <c r="I1512" s="134">
        <f t="shared" si="70"/>
        <v>200</v>
      </c>
      <c r="J1512" s="134">
        <f t="shared" si="69"/>
        <v>-200</v>
      </c>
      <c r="K1512" s="135"/>
      <c r="L1512" s="136" t="str">
        <f t="shared" si="71"/>
        <v>دائن</v>
      </c>
      <c r="M1512" s="137" t="str">
        <f>IF(ISERROR(VLOOKUP(C1512,'[1]خريطة الحسابات'!_xlnm.Print_Area,4,FALSE))," ",(VLOOKUP(C1512,'[1]خريطة الحسابات'!_xlnm.Print_Area,4,FALSE)))</f>
        <v xml:space="preserve">أصول متداوله -النقدية ومافي حكمها </v>
      </c>
      <c r="N1512" s="138" t="str">
        <f>IF(ISERROR(VLOOKUP(C1512,'[1]خريطة الحسابات'!_xlnm.Print_Area,5,FALSE))," ",(VLOOKUP(C1512,'[1]خريطة الحسابات'!_xlnm.Print_Area,5,FALSE)))</f>
        <v>الاصول</v>
      </c>
      <c r="O1512" s="84" t="s">
        <v>1970</v>
      </c>
      <c r="P1512" s="84" t="s">
        <v>1290</v>
      </c>
    </row>
    <row r="1513" spans="1:16">
      <c r="A1513" s="104">
        <v>60</v>
      </c>
      <c r="B1513" s="131">
        <v>46062</v>
      </c>
      <c r="C1513" s="141">
        <v>20</v>
      </c>
      <c r="D1513" s="140" t="str">
        <f>IF(ISERROR(VLOOKUP(C1513,'[1]خريطة الحسابات'!_xlnm.Print_Area,3,FALSE))," ",(VLOOKUP(C1513,'[1]خريطة الحسابات'!_xlnm.Print_Area,3,FALSE)))</f>
        <v xml:space="preserve">الخزينة </v>
      </c>
      <c r="E1513" s="142"/>
      <c r="F1513" s="133"/>
      <c r="G1513" s="133">
        <v>450</v>
      </c>
      <c r="H1513" s="134">
        <f t="shared" si="70"/>
        <v>0</v>
      </c>
      <c r="I1513" s="134">
        <f t="shared" si="70"/>
        <v>450</v>
      </c>
      <c r="J1513" s="134">
        <f t="shared" si="69"/>
        <v>-450</v>
      </c>
      <c r="K1513" s="135"/>
      <c r="L1513" s="136" t="str">
        <f t="shared" si="71"/>
        <v>دائن</v>
      </c>
      <c r="M1513" s="137" t="str">
        <f>IF(ISERROR(VLOOKUP(C1513,'[1]خريطة الحسابات'!_xlnm.Print_Area,4,FALSE))," ",(VLOOKUP(C1513,'[1]خريطة الحسابات'!_xlnm.Print_Area,4,FALSE)))</f>
        <v xml:space="preserve">أصول متداوله -النقدية ومافي حكمها </v>
      </c>
      <c r="N1513" s="138" t="str">
        <f>IF(ISERROR(VLOOKUP(C1513,'[1]خريطة الحسابات'!_xlnm.Print_Area,5,FALSE))," ",(VLOOKUP(C1513,'[1]خريطة الحسابات'!_xlnm.Print_Area,5,FALSE)))</f>
        <v>الاصول</v>
      </c>
      <c r="O1513" s="84" t="s">
        <v>1971</v>
      </c>
      <c r="P1513" s="84" t="s">
        <v>1290</v>
      </c>
    </row>
    <row r="1514" spans="1:16">
      <c r="A1514" s="104">
        <v>60</v>
      </c>
      <c r="B1514" s="131">
        <v>46065</v>
      </c>
      <c r="C1514" s="141">
        <v>20</v>
      </c>
      <c r="D1514" s="140" t="str">
        <f>IF(ISERROR(VLOOKUP(C1514,'[1]خريطة الحسابات'!_xlnm.Print_Area,3,FALSE))," ",(VLOOKUP(C1514,'[1]خريطة الحسابات'!_xlnm.Print_Area,3,FALSE)))</f>
        <v xml:space="preserve">الخزينة </v>
      </c>
      <c r="E1514" s="142"/>
      <c r="F1514" s="133"/>
      <c r="G1514" s="133">
        <v>1200</v>
      </c>
      <c r="H1514" s="134">
        <f t="shared" si="70"/>
        <v>0</v>
      </c>
      <c r="I1514" s="134">
        <f t="shared" si="70"/>
        <v>1200</v>
      </c>
      <c r="J1514" s="134">
        <f t="shared" si="69"/>
        <v>-1200</v>
      </c>
      <c r="K1514" s="135"/>
      <c r="L1514" s="136" t="str">
        <f t="shared" si="71"/>
        <v>دائن</v>
      </c>
      <c r="M1514" s="137" t="str">
        <f>IF(ISERROR(VLOOKUP(C1514,'[1]خريطة الحسابات'!_xlnm.Print_Area,4,FALSE))," ",(VLOOKUP(C1514,'[1]خريطة الحسابات'!_xlnm.Print_Area,4,FALSE)))</f>
        <v xml:space="preserve">أصول متداوله -النقدية ومافي حكمها </v>
      </c>
      <c r="N1514" s="138" t="str">
        <f>IF(ISERROR(VLOOKUP(C1514,'[1]خريطة الحسابات'!_xlnm.Print_Area,5,FALSE))," ",(VLOOKUP(C1514,'[1]خريطة الحسابات'!_xlnm.Print_Area,5,FALSE)))</f>
        <v>الاصول</v>
      </c>
      <c r="O1514" s="84" t="s">
        <v>1972</v>
      </c>
      <c r="P1514" s="84" t="s">
        <v>1290</v>
      </c>
    </row>
    <row r="1515" spans="1:16">
      <c r="A1515" s="104">
        <v>60</v>
      </c>
      <c r="B1515" s="131">
        <v>46071</v>
      </c>
      <c r="C1515" s="141">
        <v>20</v>
      </c>
      <c r="D1515" s="140" t="str">
        <f>IF(ISERROR(VLOOKUP(C1515,'[1]خريطة الحسابات'!_xlnm.Print_Area,3,FALSE))," ",(VLOOKUP(C1515,'[1]خريطة الحسابات'!_xlnm.Print_Area,3,FALSE)))</f>
        <v xml:space="preserve">الخزينة </v>
      </c>
      <c r="E1515" s="142"/>
      <c r="F1515" s="133"/>
      <c r="G1515" s="133">
        <v>2400</v>
      </c>
      <c r="H1515" s="134">
        <f t="shared" si="70"/>
        <v>0</v>
      </c>
      <c r="I1515" s="134">
        <f t="shared" si="70"/>
        <v>2400</v>
      </c>
      <c r="J1515" s="134">
        <f t="shared" si="69"/>
        <v>-2400</v>
      </c>
      <c r="K1515" s="135"/>
      <c r="L1515" s="136" t="str">
        <f t="shared" si="71"/>
        <v>دائن</v>
      </c>
      <c r="M1515" s="137" t="str">
        <f>IF(ISERROR(VLOOKUP(C1515,'[1]خريطة الحسابات'!_xlnm.Print_Area,4,FALSE))," ",(VLOOKUP(C1515,'[1]خريطة الحسابات'!_xlnm.Print_Area,4,FALSE)))</f>
        <v xml:space="preserve">أصول متداوله -النقدية ومافي حكمها </v>
      </c>
      <c r="N1515" s="138" t="str">
        <f>IF(ISERROR(VLOOKUP(C1515,'[1]خريطة الحسابات'!_xlnm.Print_Area,5,FALSE))," ",(VLOOKUP(C1515,'[1]خريطة الحسابات'!_xlnm.Print_Area,5,FALSE)))</f>
        <v>الاصول</v>
      </c>
      <c r="O1515" s="84" t="s">
        <v>1973</v>
      </c>
      <c r="P1515" s="84" t="s">
        <v>1290</v>
      </c>
    </row>
    <row r="1516" spans="1:16">
      <c r="A1516" s="104">
        <v>60</v>
      </c>
      <c r="B1516" s="131">
        <v>46121</v>
      </c>
      <c r="C1516" s="141">
        <v>20</v>
      </c>
      <c r="D1516" s="140" t="str">
        <f>IF(ISERROR(VLOOKUP(C1516,'[1]خريطة الحسابات'!_xlnm.Print_Area,3,FALSE))," ",(VLOOKUP(C1516,'[1]خريطة الحسابات'!_xlnm.Print_Area,3,FALSE)))</f>
        <v xml:space="preserve">الخزينة </v>
      </c>
      <c r="E1516" s="142"/>
      <c r="F1516" s="133"/>
      <c r="G1516" s="133">
        <v>1000</v>
      </c>
      <c r="H1516" s="134">
        <f t="shared" si="70"/>
        <v>0</v>
      </c>
      <c r="I1516" s="134">
        <f t="shared" si="70"/>
        <v>1000</v>
      </c>
      <c r="J1516" s="134">
        <f t="shared" si="69"/>
        <v>-1000</v>
      </c>
      <c r="K1516" s="135"/>
      <c r="L1516" s="136" t="str">
        <f t="shared" si="71"/>
        <v>دائن</v>
      </c>
      <c r="M1516" s="137" t="str">
        <f>IF(ISERROR(VLOOKUP(C1516,'[1]خريطة الحسابات'!_xlnm.Print_Area,4,FALSE))," ",(VLOOKUP(C1516,'[1]خريطة الحسابات'!_xlnm.Print_Area,4,FALSE)))</f>
        <v xml:space="preserve">أصول متداوله -النقدية ومافي حكمها </v>
      </c>
      <c r="N1516" s="138" t="str">
        <f>IF(ISERROR(VLOOKUP(C1516,'[1]خريطة الحسابات'!_xlnm.Print_Area,5,FALSE))," ",(VLOOKUP(C1516,'[1]خريطة الحسابات'!_xlnm.Print_Area,5,FALSE)))</f>
        <v>الاصول</v>
      </c>
      <c r="O1516" s="84" t="s">
        <v>1974</v>
      </c>
      <c r="P1516" s="84" t="s">
        <v>1290</v>
      </c>
    </row>
    <row r="1517" spans="1:16">
      <c r="A1517" s="104">
        <v>60</v>
      </c>
      <c r="B1517" s="131">
        <v>46161</v>
      </c>
      <c r="C1517" s="141">
        <v>20</v>
      </c>
      <c r="D1517" s="140" t="str">
        <f>IF(ISERROR(VLOOKUP(C1517,'[1]خريطة الحسابات'!_xlnm.Print_Area,3,FALSE))," ",(VLOOKUP(C1517,'[1]خريطة الحسابات'!_xlnm.Print_Area,3,FALSE)))</f>
        <v xml:space="preserve">الخزينة </v>
      </c>
      <c r="E1517" s="142"/>
      <c r="F1517" s="133"/>
      <c r="G1517" s="133">
        <v>200</v>
      </c>
      <c r="H1517" s="134">
        <f t="shared" si="70"/>
        <v>0</v>
      </c>
      <c r="I1517" s="134">
        <f t="shared" si="70"/>
        <v>200</v>
      </c>
      <c r="J1517" s="134">
        <f t="shared" si="69"/>
        <v>-200</v>
      </c>
      <c r="K1517" s="135"/>
      <c r="L1517" s="136" t="str">
        <f t="shared" si="71"/>
        <v>دائن</v>
      </c>
      <c r="M1517" s="137" t="str">
        <f>IF(ISERROR(VLOOKUP(C1517,'[1]خريطة الحسابات'!_xlnm.Print_Area,4,FALSE))," ",(VLOOKUP(C1517,'[1]خريطة الحسابات'!_xlnm.Print_Area,4,FALSE)))</f>
        <v xml:space="preserve">أصول متداوله -النقدية ومافي حكمها </v>
      </c>
      <c r="N1517" s="138" t="str">
        <f>IF(ISERROR(VLOOKUP(C1517,'[1]خريطة الحسابات'!_xlnm.Print_Area,5,FALSE))," ",(VLOOKUP(C1517,'[1]خريطة الحسابات'!_xlnm.Print_Area,5,FALSE)))</f>
        <v>الاصول</v>
      </c>
      <c r="O1517" s="84" t="s">
        <v>1975</v>
      </c>
      <c r="P1517" s="84" t="s">
        <v>1290</v>
      </c>
    </row>
    <row r="1518" spans="1:16">
      <c r="A1518" s="104">
        <v>60</v>
      </c>
      <c r="B1518" s="131">
        <v>46161</v>
      </c>
      <c r="C1518" s="141">
        <v>20</v>
      </c>
      <c r="D1518" s="140" t="str">
        <f>IF(ISERROR(VLOOKUP(C1518,'[1]خريطة الحسابات'!_xlnm.Print_Area,3,FALSE))," ",(VLOOKUP(C1518,'[1]خريطة الحسابات'!_xlnm.Print_Area,3,FALSE)))</f>
        <v xml:space="preserve">الخزينة </v>
      </c>
      <c r="E1518" s="142"/>
      <c r="F1518" s="133"/>
      <c r="G1518" s="133">
        <v>1500</v>
      </c>
      <c r="H1518" s="134">
        <f t="shared" si="70"/>
        <v>0</v>
      </c>
      <c r="I1518" s="134">
        <f t="shared" si="70"/>
        <v>1500</v>
      </c>
      <c r="J1518" s="134">
        <f t="shared" si="69"/>
        <v>-1500</v>
      </c>
      <c r="K1518" s="135"/>
      <c r="L1518" s="136" t="str">
        <f t="shared" si="71"/>
        <v>دائن</v>
      </c>
      <c r="M1518" s="137" t="str">
        <f>IF(ISERROR(VLOOKUP(C1518,'[1]خريطة الحسابات'!_xlnm.Print_Area,4,FALSE))," ",(VLOOKUP(C1518,'[1]خريطة الحسابات'!_xlnm.Print_Area,4,FALSE)))</f>
        <v xml:space="preserve">أصول متداوله -النقدية ومافي حكمها </v>
      </c>
      <c r="N1518" s="138" t="str">
        <f>IF(ISERROR(VLOOKUP(C1518,'[1]خريطة الحسابات'!_xlnm.Print_Area,5,FALSE))," ",(VLOOKUP(C1518,'[1]خريطة الحسابات'!_xlnm.Print_Area,5,FALSE)))</f>
        <v>الاصول</v>
      </c>
      <c r="O1518" s="84" t="s">
        <v>1976</v>
      </c>
      <c r="P1518" s="84" t="s">
        <v>1290</v>
      </c>
    </row>
    <row r="1519" spans="1:16">
      <c r="A1519" s="104">
        <v>60</v>
      </c>
      <c r="B1519" s="131">
        <v>46163</v>
      </c>
      <c r="C1519" s="141">
        <v>20</v>
      </c>
      <c r="D1519" s="140" t="str">
        <f>IF(ISERROR(VLOOKUP(C1519,'[1]خريطة الحسابات'!_xlnm.Print_Area,3,FALSE))," ",(VLOOKUP(C1519,'[1]خريطة الحسابات'!_xlnm.Print_Area,3,FALSE)))</f>
        <v xml:space="preserve">الخزينة </v>
      </c>
      <c r="E1519" s="142"/>
      <c r="F1519" s="133"/>
      <c r="G1519" s="133">
        <v>3850</v>
      </c>
      <c r="H1519" s="134">
        <f t="shared" si="70"/>
        <v>0</v>
      </c>
      <c r="I1519" s="134">
        <f t="shared" si="70"/>
        <v>3850</v>
      </c>
      <c r="J1519" s="134">
        <f t="shared" si="69"/>
        <v>-3850</v>
      </c>
      <c r="K1519" s="135"/>
      <c r="L1519" s="136" t="str">
        <f t="shared" si="71"/>
        <v>دائن</v>
      </c>
      <c r="M1519" s="137" t="str">
        <f>IF(ISERROR(VLOOKUP(C1519,'[1]خريطة الحسابات'!_xlnm.Print_Area,4,FALSE))," ",(VLOOKUP(C1519,'[1]خريطة الحسابات'!_xlnm.Print_Area,4,FALSE)))</f>
        <v xml:space="preserve">أصول متداوله -النقدية ومافي حكمها </v>
      </c>
      <c r="N1519" s="138" t="str">
        <f>IF(ISERROR(VLOOKUP(C1519,'[1]خريطة الحسابات'!_xlnm.Print_Area,5,FALSE))," ",(VLOOKUP(C1519,'[1]خريطة الحسابات'!_xlnm.Print_Area,5,FALSE)))</f>
        <v>الاصول</v>
      </c>
      <c r="O1519" s="84" t="s">
        <v>1977</v>
      </c>
      <c r="P1519" s="84" t="s">
        <v>1290</v>
      </c>
    </row>
    <row r="1520" spans="1:16">
      <c r="A1520" s="104">
        <v>60</v>
      </c>
      <c r="B1520" s="131">
        <v>46166</v>
      </c>
      <c r="C1520" s="141">
        <v>20</v>
      </c>
      <c r="D1520" s="140" t="str">
        <f>IF(ISERROR(VLOOKUP(C1520,'[1]خريطة الحسابات'!_xlnm.Print_Area,3,FALSE))," ",(VLOOKUP(C1520,'[1]خريطة الحسابات'!_xlnm.Print_Area,3,FALSE)))</f>
        <v xml:space="preserve">الخزينة </v>
      </c>
      <c r="E1520" s="142"/>
      <c r="F1520" s="133"/>
      <c r="G1520" s="133">
        <v>1450</v>
      </c>
      <c r="H1520" s="134">
        <f t="shared" si="70"/>
        <v>0</v>
      </c>
      <c r="I1520" s="134">
        <f t="shared" si="70"/>
        <v>1450</v>
      </c>
      <c r="J1520" s="134">
        <f t="shared" si="69"/>
        <v>-1450</v>
      </c>
      <c r="K1520" s="135"/>
      <c r="L1520" s="136" t="str">
        <f t="shared" si="71"/>
        <v>دائن</v>
      </c>
      <c r="M1520" s="137" t="str">
        <f>IF(ISERROR(VLOOKUP(C1520,'[1]خريطة الحسابات'!_xlnm.Print_Area,4,FALSE))," ",(VLOOKUP(C1520,'[1]خريطة الحسابات'!_xlnm.Print_Area,4,FALSE)))</f>
        <v xml:space="preserve">أصول متداوله -النقدية ومافي حكمها </v>
      </c>
      <c r="N1520" s="138" t="str">
        <f>IF(ISERROR(VLOOKUP(C1520,'[1]خريطة الحسابات'!_xlnm.Print_Area,5,FALSE))," ",(VLOOKUP(C1520,'[1]خريطة الحسابات'!_xlnm.Print_Area,5,FALSE)))</f>
        <v>الاصول</v>
      </c>
      <c r="O1520" s="84" t="s">
        <v>1978</v>
      </c>
      <c r="P1520" s="84" t="s">
        <v>1290</v>
      </c>
    </row>
    <row r="1521" spans="1:16">
      <c r="A1521" s="104">
        <v>60</v>
      </c>
      <c r="B1521" s="131">
        <v>46179</v>
      </c>
      <c r="C1521" s="141">
        <v>20</v>
      </c>
      <c r="D1521" s="140" t="str">
        <f>IF(ISERROR(VLOOKUP(C1521,'[1]خريطة الحسابات'!_xlnm.Print_Area,3,FALSE))," ",(VLOOKUP(C1521,'[1]خريطة الحسابات'!_xlnm.Print_Area,3,FALSE)))</f>
        <v xml:space="preserve">الخزينة </v>
      </c>
      <c r="E1521" s="142"/>
      <c r="F1521" s="133"/>
      <c r="G1521" s="133">
        <v>300</v>
      </c>
      <c r="H1521" s="134">
        <f t="shared" si="70"/>
        <v>0</v>
      </c>
      <c r="I1521" s="134">
        <f t="shared" si="70"/>
        <v>300</v>
      </c>
      <c r="J1521" s="134">
        <f t="shared" si="69"/>
        <v>-300</v>
      </c>
      <c r="K1521" s="135"/>
      <c r="L1521" s="136" t="str">
        <f t="shared" si="71"/>
        <v>دائن</v>
      </c>
      <c r="M1521" s="137" t="str">
        <f>IF(ISERROR(VLOOKUP(C1521,'[1]خريطة الحسابات'!_xlnm.Print_Area,4,FALSE))," ",(VLOOKUP(C1521,'[1]خريطة الحسابات'!_xlnm.Print_Area,4,FALSE)))</f>
        <v xml:space="preserve">أصول متداوله -النقدية ومافي حكمها </v>
      </c>
      <c r="N1521" s="138" t="str">
        <f>IF(ISERROR(VLOOKUP(C1521,'[1]خريطة الحسابات'!_xlnm.Print_Area,5,FALSE))," ",(VLOOKUP(C1521,'[1]خريطة الحسابات'!_xlnm.Print_Area,5,FALSE)))</f>
        <v>الاصول</v>
      </c>
      <c r="O1521" s="84" t="s">
        <v>1979</v>
      </c>
      <c r="P1521" s="84" t="s">
        <v>1290</v>
      </c>
    </row>
    <row r="1522" spans="1:16">
      <c r="A1522" s="104">
        <v>60</v>
      </c>
      <c r="B1522" s="131">
        <v>46179</v>
      </c>
      <c r="C1522" s="141">
        <v>20</v>
      </c>
      <c r="D1522" s="140" t="str">
        <f>IF(ISERROR(VLOOKUP(C1522,'[1]خريطة الحسابات'!_xlnm.Print_Area,3,FALSE))," ",(VLOOKUP(C1522,'[1]خريطة الحسابات'!_xlnm.Print_Area,3,FALSE)))</f>
        <v xml:space="preserve">الخزينة </v>
      </c>
      <c r="E1522" s="142"/>
      <c r="F1522" s="133"/>
      <c r="G1522" s="133">
        <v>300</v>
      </c>
      <c r="H1522" s="134">
        <f t="shared" si="70"/>
        <v>0</v>
      </c>
      <c r="I1522" s="134">
        <f t="shared" si="70"/>
        <v>300</v>
      </c>
      <c r="J1522" s="134">
        <f t="shared" si="69"/>
        <v>-300</v>
      </c>
      <c r="K1522" s="135"/>
      <c r="L1522" s="136" t="str">
        <f t="shared" si="71"/>
        <v>دائن</v>
      </c>
      <c r="M1522" s="137" t="str">
        <f>IF(ISERROR(VLOOKUP(C1522,'[1]خريطة الحسابات'!_xlnm.Print_Area,4,FALSE))," ",(VLOOKUP(C1522,'[1]خريطة الحسابات'!_xlnm.Print_Area,4,FALSE)))</f>
        <v xml:space="preserve">أصول متداوله -النقدية ومافي حكمها </v>
      </c>
      <c r="N1522" s="138" t="str">
        <f>IF(ISERROR(VLOOKUP(C1522,'[1]خريطة الحسابات'!_xlnm.Print_Area,5,FALSE))," ",(VLOOKUP(C1522,'[1]خريطة الحسابات'!_xlnm.Print_Area,5,FALSE)))</f>
        <v>الاصول</v>
      </c>
      <c r="O1522" s="84" t="s">
        <v>1980</v>
      </c>
      <c r="P1522" s="84" t="s">
        <v>1290</v>
      </c>
    </row>
    <row r="1523" spans="1:16">
      <c r="A1523" s="104">
        <v>60</v>
      </c>
      <c r="B1523" s="131">
        <v>46187</v>
      </c>
      <c r="C1523" s="141">
        <v>20</v>
      </c>
      <c r="D1523" s="140" t="str">
        <f>IF(ISERROR(VLOOKUP(C1523,'[1]خريطة الحسابات'!_xlnm.Print_Area,3,FALSE))," ",(VLOOKUP(C1523,'[1]خريطة الحسابات'!_xlnm.Print_Area,3,FALSE)))</f>
        <v xml:space="preserve">الخزينة </v>
      </c>
      <c r="E1523" s="142"/>
      <c r="F1523" s="133"/>
      <c r="G1523" s="133">
        <v>700</v>
      </c>
      <c r="H1523" s="134">
        <f t="shared" si="70"/>
        <v>0</v>
      </c>
      <c r="I1523" s="134">
        <f t="shared" si="70"/>
        <v>700</v>
      </c>
      <c r="J1523" s="134">
        <f t="shared" si="69"/>
        <v>-700</v>
      </c>
      <c r="K1523" s="135"/>
      <c r="L1523" s="136" t="str">
        <f t="shared" si="71"/>
        <v>دائن</v>
      </c>
      <c r="M1523" s="137" t="str">
        <f>IF(ISERROR(VLOOKUP(C1523,'[1]خريطة الحسابات'!_xlnm.Print_Area,4,FALSE))," ",(VLOOKUP(C1523,'[1]خريطة الحسابات'!_xlnm.Print_Area,4,FALSE)))</f>
        <v xml:space="preserve">أصول متداوله -النقدية ومافي حكمها </v>
      </c>
      <c r="N1523" s="138" t="str">
        <f>IF(ISERROR(VLOOKUP(C1523,'[1]خريطة الحسابات'!_xlnm.Print_Area,5,FALSE))," ",(VLOOKUP(C1523,'[1]خريطة الحسابات'!_xlnm.Print_Area,5,FALSE)))</f>
        <v>الاصول</v>
      </c>
      <c r="O1523" s="84" t="s">
        <v>1981</v>
      </c>
      <c r="P1523" s="84" t="s">
        <v>1290</v>
      </c>
    </row>
    <row r="1524" spans="1:16">
      <c r="A1524" s="104">
        <v>60</v>
      </c>
      <c r="B1524" s="131">
        <v>46161</v>
      </c>
      <c r="C1524" s="141">
        <v>20</v>
      </c>
      <c r="D1524" s="140" t="str">
        <f>IF(ISERROR(VLOOKUP(C1524,'[1]خريطة الحسابات'!_xlnm.Print_Area,3,FALSE))," ",(VLOOKUP(C1524,'[1]خريطة الحسابات'!_xlnm.Print_Area,3,FALSE)))</f>
        <v xml:space="preserve">الخزينة </v>
      </c>
      <c r="E1524" s="142"/>
      <c r="F1524" s="133"/>
      <c r="G1524" s="133">
        <v>400</v>
      </c>
      <c r="H1524" s="134">
        <f t="shared" si="70"/>
        <v>0</v>
      </c>
      <c r="I1524" s="134">
        <f t="shared" si="70"/>
        <v>400</v>
      </c>
      <c r="J1524" s="134">
        <f t="shared" si="69"/>
        <v>-400</v>
      </c>
      <c r="K1524" s="135"/>
      <c r="L1524" s="136" t="str">
        <f t="shared" si="71"/>
        <v>دائن</v>
      </c>
      <c r="M1524" s="137" t="str">
        <f>IF(ISERROR(VLOOKUP(C1524,'[1]خريطة الحسابات'!_xlnm.Print_Area,4,FALSE))," ",(VLOOKUP(C1524,'[1]خريطة الحسابات'!_xlnm.Print_Area,4,FALSE)))</f>
        <v xml:space="preserve">أصول متداوله -النقدية ومافي حكمها </v>
      </c>
      <c r="N1524" s="138" t="str">
        <f>IF(ISERROR(VLOOKUP(C1524,'[1]خريطة الحسابات'!_xlnm.Print_Area,5,FALSE))," ",(VLOOKUP(C1524,'[1]خريطة الحسابات'!_xlnm.Print_Area,5,FALSE)))</f>
        <v>الاصول</v>
      </c>
      <c r="O1524" s="84" t="s">
        <v>1982</v>
      </c>
      <c r="P1524" s="84" t="s">
        <v>1983</v>
      </c>
    </row>
    <row r="1525" spans="1:16">
      <c r="A1525" s="104">
        <v>60</v>
      </c>
      <c r="B1525" s="131">
        <v>46034</v>
      </c>
      <c r="C1525" s="141">
        <v>20</v>
      </c>
      <c r="D1525" s="140" t="str">
        <f>IF(ISERROR(VLOOKUP(C1525,'[1]خريطة الحسابات'!_xlnm.Print_Area,3,FALSE))," ",(VLOOKUP(C1525,'[1]خريطة الحسابات'!_xlnm.Print_Area,3,FALSE)))</f>
        <v xml:space="preserve">الخزينة </v>
      </c>
      <c r="E1525" s="142"/>
      <c r="F1525" s="133"/>
      <c r="G1525" s="133">
        <v>3000</v>
      </c>
      <c r="H1525" s="134">
        <f t="shared" si="70"/>
        <v>0</v>
      </c>
      <c r="I1525" s="134">
        <f t="shared" si="70"/>
        <v>3000</v>
      </c>
      <c r="J1525" s="134">
        <f t="shared" si="69"/>
        <v>-3000</v>
      </c>
      <c r="K1525" s="135"/>
      <c r="L1525" s="136" t="str">
        <f t="shared" si="71"/>
        <v>دائن</v>
      </c>
      <c r="M1525" s="137" t="str">
        <f>IF(ISERROR(VLOOKUP(C1525,'[1]خريطة الحسابات'!_xlnm.Print_Area,4,FALSE))," ",(VLOOKUP(C1525,'[1]خريطة الحسابات'!_xlnm.Print_Area,4,FALSE)))</f>
        <v xml:space="preserve">أصول متداوله -النقدية ومافي حكمها </v>
      </c>
      <c r="N1525" s="138" t="str">
        <f>IF(ISERROR(VLOOKUP(C1525,'[1]خريطة الحسابات'!_xlnm.Print_Area,5,FALSE))," ",(VLOOKUP(C1525,'[1]خريطة الحسابات'!_xlnm.Print_Area,5,FALSE)))</f>
        <v>الاصول</v>
      </c>
      <c r="O1525" s="84" t="s">
        <v>1984</v>
      </c>
      <c r="P1525" s="84" t="s">
        <v>1315</v>
      </c>
    </row>
    <row r="1526" spans="1:16">
      <c r="A1526" s="104">
        <v>60</v>
      </c>
      <c r="B1526" s="131">
        <v>46037</v>
      </c>
      <c r="C1526" s="141">
        <v>20</v>
      </c>
      <c r="D1526" s="140" t="str">
        <f>IF(ISERROR(VLOOKUP(C1526,'[1]خريطة الحسابات'!_xlnm.Print_Area,3,FALSE))," ",(VLOOKUP(C1526,'[1]خريطة الحسابات'!_xlnm.Print_Area,3,FALSE)))</f>
        <v xml:space="preserve">الخزينة </v>
      </c>
      <c r="E1526" s="142"/>
      <c r="F1526" s="133"/>
      <c r="G1526" s="133">
        <v>1600</v>
      </c>
      <c r="H1526" s="134">
        <f t="shared" si="70"/>
        <v>0</v>
      </c>
      <c r="I1526" s="134">
        <f t="shared" si="70"/>
        <v>1600</v>
      </c>
      <c r="J1526" s="134">
        <f t="shared" si="69"/>
        <v>-1600</v>
      </c>
      <c r="K1526" s="135"/>
      <c r="L1526" s="136" t="str">
        <f t="shared" si="71"/>
        <v>دائن</v>
      </c>
      <c r="M1526" s="137" t="str">
        <f>IF(ISERROR(VLOOKUP(C1526,'[1]خريطة الحسابات'!_xlnm.Print_Area,4,FALSE))," ",(VLOOKUP(C1526,'[1]خريطة الحسابات'!_xlnm.Print_Area,4,FALSE)))</f>
        <v xml:space="preserve">أصول متداوله -النقدية ومافي حكمها </v>
      </c>
      <c r="N1526" s="138" t="str">
        <f>IF(ISERROR(VLOOKUP(C1526,'[1]خريطة الحسابات'!_xlnm.Print_Area,5,FALSE))," ",(VLOOKUP(C1526,'[1]خريطة الحسابات'!_xlnm.Print_Area,5,FALSE)))</f>
        <v>الاصول</v>
      </c>
      <c r="O1526" s="84" t="s">
        <v>1985</v>
      </c>
      <c r="P1526" s="84" t="s">
        <v>1315</v>
      </c>
    </row>
    <row r="1527" spans="1:16">
      <c r="A1527" s="104">
        <v>60</v>
      </c>
      <c r="B1527" s="131">
        <v>46048</v>
      </c>
      <c r="C1527" s="141">
        <v>20</v>
      </c>
      <c r="D1527" s="140" t="str">
        <f>IF(ISERROR(VLOOKUP(C1527,'[1]خريطة الحسابات'!_xlnm.Print_Area,3,FALSE))," ",(VLOOKUP(C1527,'[1]خريطة الحسابات'!_xlnm.Print_Area,3,FALSE)))</f>
        <v xml:space="preserve">الخزينة </v>
      </c>
      <c r="E1527" s="142"/>
      <c r="F1527" s="133"/>
      <c r="G1527" s="133">
        <v>5005</v>
      </c>
      <c r="H1527" s="134">
        <f t="shared" si="70"/>
        <v>0</v>
      </c>
      <c r="I1527" s="134">
        <f t="shared" si="70"/>
        <v>5005</v>
      </c>
      <c r="J1527" s="134">
        <f t="shared" si="69"/>
        <v>-5005</v>
      </c>
      <c r="K1527" s="135"/>
      <c r="L1527" s="136" t="str">
        <f t="shared" si="71"/>
        <v>دائن</v>
      </c>
      <c r="M1527" s="137" t="str">
        <f>IF(ISERROR(VLOOKUP(C1527,'[1]خريطة الحسابات'!_xlnm.Print_Area,4,FALSE))," ",(VLOOKUP(C1527,'[1]خريطة الحسابات'!_xlnm.Print_Area,4,FALSE)))</f>
        <v xml:space="preserve">أصول متداوله -النقدية ومافي حكمها </v>
      </c>
      <c r="N1527" s="138" t="str">
        <f>IF(ISERROR(VLOOKUP(C1527,'[1]خريطة الحسابات'!_xlnm.Print_Area,5,FALSE))," ",(VLOOKUP(C1527,'[1]خريطة الحسابات'!_xlnm.Print_Area,5,FALSE)))</f>
        <v>الاصول</v>
      </c>
      <c r="O1527" s="84" t="s">
        <v>1986</v>
      </c>
      <c r="P1527" s="84" t="s">
        <v>1315</v>
      </c>
    </row>
    <row r="1528" spans="1:16">
      <c r="A1528" s="104">
        <v>60</v>
      </c>
      <c r="B1528" s="131">
        <v>46062</v>
      </c>
      <c r="C1528" s="141">
        <v>20</v>
      </c>
      <c r="D1528" s="140" t="str">
        <f>IF(ISERROR(VLOOKUP(C1528,'[1]خريطة الحسابات'!_xlnm.Print_Area,3,FALSE))," ",(VLOOKUP(C1528,'[1]خريطة الحسابات'!_xlnm.Print_Area,3,FALSE)))</f>
        <v xml:space="preserve">الخزينة </v>
      </c>
      <c r="E1528" s="142"/>
      <c r="F1528" s="133"/>
      <c r="G1528" s="133">
        <v>10260</v>
      </c>
      <c r="H1528" s="134">
        <f t="shared" si="70"/>
        <v>0</v>
      </c>
      <c r="I1528" s="134">
        <f t="shared" si="70"/>
        <v>10260</v>
      </c>
      <c r="J1528" s="134">
        <f t="shared" si="69"/>
        <v>-10260</v>
      </c>
      <c r="K1528" s="135"/>
      <c r="L1528" s="136" t="str">
        <f t="shared" si="71"/>
        <v>دائن</v>
      </c>
      <c r="M1528" s="137" t="str">
        <f>IF(ISERROR(VLOOKUP(C1528,'[1]خريطة الحسابات'!_xlnm.Print_Area,4,FALSE))," ",(VLOOKUP(C1528,'[1]خريطة الحسابات'!_xlnm.Print_Area,4,FALSE)))</f>
        <v xml:space="preserve">أصول متداوله -النقدية ومافي حكمها </v>
      </c>
      <c r="N1528" s="138" t="str">
        <f>IF(ISERROR(VLOOKUP(C1528,'[1]خريطة الحسابات'!_xlnm.Print_Area,5,FALSE))," ",(VLOOKUP(C1528,'[1]خريطة الحسابات'!_xlnm.Print_Area,5,FALSE)))</f>
        <v>الاصول</v>
      </c>
      <c r="O1528" s="84" t="s">
        <v>1987</v>
      </c>
      <c r="P1528" s="84" t="s">
        <v>1315</v>
      </c>
    </row>
    <row r="1529" spans="1:16">
      <c r="A1529" s="104">
        <v>60</v>
      </c>
      <c r="B1529" s="131">
        <v>46062</v>
      </c>
      <c r="C1529" s="141">
        <v>20</v>
      </c>
      <c r="D1529" s="140" t="str">
        <f>IF(ISERROR(VLOOKUP(C1529,'[1]خريطة الحسابات'!_xlnm.Print_Area,3,FALSE))," ",(VLOOKUP(C1529,'[1]خريطة الحسابات'!_xlnm.Print_Area,3,FALSE)))</f>
        <v xml:space="preserve">الخزينة </v>
      </c>
      <c r="E1529" s="142"/>
      <c r="F1529" s="133"/>
      <c r="G1529" s="133">
        <v>75</v>
      </c>
      <c r="H1529" s="134">
        <f t="shared" si="70"/>
        <v>0</v>
      </c>
      <c r="I1529" s="134">
        <f t="shared" si="70"/>
        <v>75</v>
      </c>
      <c r="J1529" s="134">
        <f t="shared" si="69"/>
        <v>-75</v>
      </c>
      <c r="K1529" s="135"/>
      <c r="L1529" s="136" t="str">
        <f t="shared" si="71"/>
        <v>دائن</v>
      </c>
      <c r="M1529" s="137" t="str">
        <f>IF(ISERROR(VLOOKUP(C1529,'[1]خريطة الحسابات'!_xlnm.Print_Area,4,FALSE))," ",(VLOOKUP(C1529,'[1]خريطة الحسابات'!_xlnm.Print_Area,4,FALSE)))</f>
        <v xml:space="preserve">أصول متداوله -النقدية ومافي حكمها </v>
      </c>
      <c r="N1529" s="138" t="str">
        <f>IF(ISERROR(VLOOKUP(C1529,'[1]خريطة الحسابات'!_xlnm.Print_Area,5,FALSE))," ",(VLOOKUP(C1529,'[1]خريطة الحسابات'!_xlnm.Print_Area,5,FALSE)))</f>
        <v>الاصول</v>
      </c>
      <c r="O1529" s="84" t="s">
        <v>1988</v>
      </c>
      <c r="P1529" s="84" t="s">
        <v>1315</v>
      </c>
    </row>
    <row r="1530" spans="1:16">
      <c r="A1530" s="104">
        <v>60</v>
      </c>
      <c r="B1530" s="131">
        <v>46093</v>
      </c>
      <c r="C1530" s="141">
        <v>20</v>
      </c>
      <c r="D1530" s="140" t="str">
        <f>IF(ISERROR(VLOOKUP(C1530,'[1]خريطة الحسابات'!_xlnm.Print_Area,3,FALSE))," ",(VLOOKUP(C1530,'[1]خريطة الحسابات'!_xlnm.Print_Area,3,FALSE)))</f>
        <v xml:space="preserve">الخزينة </v>
      </c>
      <c r="E1530" s="142"/>
      <c r="F1530" s="133"/>
      <c r="G1530" s="133">
        <v>200</v>
      </c>
      <c r="H1530" s="134">
        <f t="shared" si="70"/>
        <v>0</v>
      </c>
      <c r="I1530" s="134">
        <f t="shared" si="70"/>
        <v>200</v>
      </c>
      <c r="J1530" s="134">
        <f t="shared" si="69"/>
        <v>-200</v>
      </c>
      <c r="K1530" s="135"/>
      <c r="L1530" s="136" t="str">
        <f t="shared" si="71"/>
        <v>دائن</v>
      </c>
      <c r="M1530" s="137" t="str">
        <f>IF(ISERROR(VLOOKUP(C1530,'[1]خريطة الحسابات'!_xlnm.Print_Area,4,FALSE))," ",(VLOOKUP(C1530,'[1]خريطة الحسابات'!_xlnm.Print_Area,4,FALSE)))</f>
        <v xml:space="preserve">أصول متداوله -النقدية ومافي حكمها </v>
      </c>
      <c r="N1530" s="138" t="str">
        <f>IF(ISERROR(VLOOKUP(C1530,'[1]خريطة الحسابات'!_xlnm.Print_Area,5,FALSE))," ",(VLOOKUP(C1530,'[1]خريطة الحسابات'!_xlnm.Print_Area,5,FALSE)))</f>
        <v>الاصول</v>
      </c>
      <c r="O1530" s="84" t="s">
        <v>1989</v>
      </c>
      <c r="P1530" s="84" t="s">
        <v>1315</v>
      </c>
    </row>
    <row r="1531" spans="1:16">
      <c r="A1531" s="104">
        <v>60</v>
      </c>
      <c r="B1531" s="131">
        <v>46133</v>
      </c>
      <c r="C1531" s="141">
        <v>20</v>
      </c>
      <c r="D1531" s="140" t="str">
        <f>IF(ISERROR(VLOOKUP(C1531,'[1]خريطة الحسابات'!_xlnm.Print_Area,3,FALSE))," ",(VLOOKUP(C1531,'[1]خريطة الحسابات'!_xlnm.Print_Area,3,FALSE)))</f>
        <v xml:space="preserve">الخزينة </v>
      </c>
      <c r="E1531" s="142"/>
      <c r="F1531" s="133"/>
      <c r="G1531" s="133">
        <v>1400</v>
      </c>
      <c r="H1531" s="134">
        <f t="shared" si="70"/>
        <v>0</v>
      </c>
      <c r="I1531" s="134">
        <f t="shared" si="70"/>
        <v>1400</v>
      </c>
      <c r="J1531" s="134">
        <f t="shared" si="69"/>
        <v>-1400</v>
      </c>
      <c r="K1531" s="135"/>
      <c r="L1531" s="136" t="str">
        <f t="shared" si="71"/>
        <v>دائن</v>
      </c>
      <c r="M1531" s="137" t="str">
        <f>IF(ISERROR(VLOOKUP(C1531,'[1]خريطة الحسابات'!_xlnm.Print_Area,4,FALSE))," ",(VLOOKUP(C1531,'[1]خريطة الحسابات'!_xlnm.Print_Area,4,FALSE)))</f>
        <v xml:space="preserve">أصول متداوله -النقدية ومافي حكمها </v>
      </c>
      <c r="N1531" s="138" t="str">
        <f>IF(ISERROR(VLOOKUP(C1531,'[1]خريطة الحسابات'!_xlnm.Print_Area,5,FALSE))," ",(VLOOKUP(C1531,'[1]خريطة الحسابات'!_xlnm.Print_Area,5,FALSE)))</f>
        <v>الاصول</v>
      </c>
      <c r="O1531" s="84" t="s">
        <v>1990</v>
      </c>
      <c r="P1531" s="84" t="s">
        <v>1315</v>
      </c>
    </row>
    <row r="1532" spans="1:16">
      <c r="A1532" s="104">
        <v>60</v>
      </c>
      <c r="B1532" s="131">
        <v>46177</v>
      </c>
      <c r="C1532" s="141">
        <v>20</v>
      </c>
      <c r="D1532" s="140" t="str">
        <f>IF(ISERROR(VLOOKUP(C1532,'[1]خريطة الحسابات'!_xlnm.Print_Area,3,FALSE))," ",(VLOOKUP(C1532,'[1]خريطة الحسابات'!_xlnm.Print_Area,3,FALSE)))</f>
        <v xml:space="preserve">الخزينة </v>
      </c>
      <c r="E1532" s="142"/>
      <c r="F1532" s="133"/>
      <c r="G1532" s="133">
        <v>150</v>
      </c>
      <c r="H1532" s="134">
        <f t="shared" si="70"/>
        <v>0</v>
      </c>
      <c r="I1532" s="134">
        <f t="shared" si="70"/>
        <v>150</v>
      </c>
      <c r="J1532" s="134">
        <f t="shared" si="69"/>
        <v>-150</v>
      </c>
      <c r="K1532" s="135"/>
      <c r="L1532" s="136" t="str">
        <f t="shared" si="71"/>
        <v>دائن</v>
      </c>
      <c r="M1532" s="137" t="str">
        <f>IF(ISERROR(VLOOKUP(C1532,'[1]خريطة الحسابات'!_xlnm.Print_Area,4,FALSE))," ",(VLOOKUP(C1532,'[1]خريطة الحسابات'!_xlnm.Print_Area,4,FALSE)))</f>
        <v xml:space="preserve">أصول متداوله -النقدية ومافي حكمها </v>
      </c>
      <c r="N1532" s="138" t="str">
        <f>IF(ISERROR(VLOOKUP(C1532,'[1]خريطة الحسابات'!_xlnm.Print_Area,5,FALSE))," ",(VLOOKUP(C1532,'[1]خريطة الحسابات'!_xlnm.Print_Area,5,FALSE)))</f>
        <v>الاصول</v>
      </c>
      <c r="O1532" s="84" t="s">
        <v>1991</v>
      </c>
      <c r="P1532" s="84" t="s">
        <v>1315</v>
      </c>
    </row>
    <row r="1533" spans="1:16">
      <c r="A1533" s="104">
        <v>60</v>
      </c>
      <c r="B1533" s="131">
        <v>46121</v>
      </c>
      <c r="C1533" s="141">
        <v>20</v>
      </c>
      <c r="D1533" s="140" t="str">
        <f>IF(ISERROR(VLOOKUP(C1533,'[1]خريطة الحسابات'!_xlnm.Print_Area,3,FALSE))," ",(VLOOKUP(C1533,'[1]خريطة الحسابات'!_xlnm.Print_Area,3,FALSE)))</f>
        <v xml:space="preserve">الخزينة </v>
      </c>
      <c r="E1533" s="142"/>
      <c r="F1533" s="133"/>
      <c r="G1533" s="133">
        <v>7000</v>
      </c>
      <c r="H1533" s="134">
        <f t="shared" si="70"/>
        <v>0</v>
      </c>
      <c r="I1533" s="134">
        <f t="shared" si="70"/>
        <v>7000</v>
      </c>
      <c r="J1533" s="134">
        <f t="shared" si="69"/>
        <v>-7000</v>
      </c>
      <c r="K1533" s="135"/>
      <c r="L1533" s="136" t="str">
        <f t="shared" si="71"/>
        <v>دائن</v>
      </c>
      <c r="M1533" s="137" t="str">
        <f>IF(ISERROR(VLOOKUP(C1533,'[1]خريطة الحسابات'!_xlnm.Print_Area,4,FALSE))," ",(VLOOKUP(C1533,'[1]خريطة الحسابات'!_xlnm.Print_Area,4,FALSE)))</f>
        <v xml:space="preserve">أصول متداوله -النقدية ومافي حكمها </v>
      </c>
      <c r="N1533" s="138" t="str">
        <f>IF(ISERROR(VLOOKUP(C1533,'[1]خريطة الحسابات'!_xlnm.Print_Area,5,FALSE))," ",(VLOOKUP(C1533,'[1]خريطة الحسابات'!_xlnm.Print_Area,5,FALSE)))</f>
        <v>الاصول</v>
      </c>
      <c r="O1533" s="84" t="s">
        <v>1992</v>
      </c>
      <c r="P1533" s="84" t="s">
        <v>1489</v>
      </c>
    </row>
    <row r="1534" spans="1:16">
      <c r="A1534" s="104">
        <v>60</v>
      </c>
      <c r="B1534" s="131">
        <v>46153</v>
      </c>
      <c r="C1534" s="141">
        <v>20</v>
      </c>
      <c r="D1534" s="140" t="str">
        <f>IF(ISERROR(VLOOKUP(C1534,'[1]خريطة الحسابات'!_xlnm.Print_Area,3,FALSE))," ",(VLOOKUP(C1534,'[1]خريطة الحسابات'!_xlnm.Print_Area,3,FALSE)))</f>
        <v xml:space="preserve">الخزينة </v>
      </c>
      <c r="E1534" s="142"/>
      <c r="F1534" s="133"/>
      <c r="G1534" s="133">
        <v>2300</v>
      </c>
      <c r="H1534" s="134">
        <f t="shared" si="70"/>
        <v>0</v>
      </c>
      <c r="I1534" s="134">
        <f t="shared" si="70"/>
        <v>2300</v>
      </c>
      <c r="J1534" s="134">
        <f t="shared" si="69"/>
        <v>-2300</v>
      </c>
      <c r="K1534" s="135"/>
      <c r="L1534" s="136" t="str">
        <f t="shared" si="71"/>
        <v>دائن</v>
      </c>
      <c r="M1534" s="137" t="str">
        <f>IF(ISERROR(VLOOKUP(C1534,'[1]خريطة الحسابات'!_xlnm.Print_Area,4,FALSE))," ",(VLOOKUP(C1534,'[1]خريطة الحسابات'!_xlnm.Print_Area,4,FALSE)))</f>
        <v xml:space="preserve">أصول متداوله -النقدية ومافي حكمها </v>
      </c>
      <c r="N1534" s="138" t="str">
        <f>IF(ISERROR(VLOOKUP(C1534,'[1]خريطة الحسابات'!_xlnm.Print_Area,5,FALSE))," ",(VLOOKUP(C1534,'[1]خريطة الحسابات'!_xlnm.Print_Area,5,FALSE)))</f>
        <v>الاصول</v>
      </c>
      <c r="O1534" s="84" t="s">
        <v>1993</v>
      </c>
      <c r="P1534" s="84" t="s">
        <v>1489</v>
      </c>
    </row>
    <row r="1535" spans="1:16">
      <c r="A1535" s="104">
        <v>60</v>
      </c>
      <c r="B1535" s="131">
        <v>46159</v>
      </c>
      <c r="C1535" s="141">
        <v>20</v>
      </c>
      <c r="D1535" s="140" t="str">
        <f>IF(ISERROR(VLOOKUP(C1535,'[1]خريطة الحسابات'!_xlnm.Print_Area,3,FALSE))," ",(VLOOKUP(C1535,'[1]خريطة الحسابات'!_xlnm.Print_Area,3,FALSE)))</f>
        <v xml:space="preserve">الخزينة </v>
      </c>
      <c r="E1535" s="142"/>
      <c r="F1535" s="133"/>
      <c r="G1535" s="133">
        <v>5005</v>
      </c>
      <c r="H1535" s="134">
        <f t="shared" si="70"/>
        <v>0</v>
      </c>
      <c r="I1535" s="134">
        <f t="shared" si="70"/>
        <v>5005</v>
      </c>
      <c r="J1535" s="134">
        <f t="shared" si="69"/>
        <v>-5005</v>
      </c>
      <c r="K1535" s="135"/>
      <c r="L1535" s="136" t="str">
        <f t="shared" si="71"/>
        <v>دائن</v>
      </c>
      <c r="M1535" s="137" t="str">
        <f>IF(ISERROR(VLOOKUP(C1535,'[1]خريطة الحسابات'!_xlnm.Print_Area,4,FALSE))," ",(VLOOKUP(C1535,'[1]خريطة الحسابات'!_xlnm.Print_Area,4,FALSE)))</f>
        <v xml:space="preserve">أصول متداوله -النقدية ومافي حكمها </v>
      </c>
      <c r="N1535" s="138" t="str">
        <f>IF(ISERROR(VLOOKUP(C1535,'[1]خريطة الحسابات'!_xlnm.Print_Area,5,FALSE))," ",(VLOOKUP(C1535,'[1]خريطة الحسابات'!_xlnm.Print_Area,5,FALSE)))</f>
        <v>الاصول</v>
      </c>
      <c r="O1535" s="84" t="s">
        <v>1994</v>
      </c>
      <c r="P1535" s="84" t="s">
        <v>1489</v>
      </c>
    </row>
    <row r="1536" spans="1:16">
      <c r="A1536" s="104">
        <v>60</v>
      </c>
      <c r="B1536" s="131">
        <v>46036</v>
      </c>
      <c r="C1536" s="141">
        <v>20</v>
      </c>
      <c r="D1536" s="140" t="str">
        <f>IF(ISERROR(VLOOKUP(C1536,'[1]خريطة الحسابات'!_xlnm.Print_Area,3,FALSE))," ",(VLOOKUP(C1536,'[1]خريطة الحسابات'!_xlnm.Print_Area,3,FALSE)))</f>
        <v xml:space="preserve">الخزينة </v>
      </c>
      <c r="E1536" s="142"/>
      <c r="F1536" s="133"/>
      <c r="G1536" s="133">
        <v>750</v>
      </c>
      <c r="H1536" s="134">
        <f t="shared" si="70"/>
        <v>0</v>
      </c>
      <c r="I1536" s="134">
        <f t="shared" si="70"/>
        <v>750</v>
      </c>
      <c r="J1536" s="134">
        <f t="shared" si="69"/>
        <v>-750</v>
      </c>
      <c r="K1536" s="135"/>
      <c r="L1536" s="136" t="str">
        <f t="shared" si="71"/>
        <v>دائن</v>
      </c>
      <c r="M1536" s="137" t="str">
        <f>IF(ISERROR(VLOOKUP(C1536,'[1]خريطة الحسابات'!_xlnm.Print_Area,4,FALSE))," ",(VLOOKUP(C1536,'[1]خريطة الحسابات'!_xlnm.Print_Area,4,FALSE)))</f>
        <v xml:space="preserve">أصول متداوله -النقدية ومافي حكمها </v>
      </c>
      <c r="N1536" s="138" t="str">
        <f>IF(ISERROR(VLOOKUP(C1536,'[1]خريطة الحسابات'!_xlnm.Print_Area,5,FALSE))," ",(VLOOKUP(C1536,'[1]خريطة الحسابات'!_xlnm.Print_Area,5,FALSE)))</f>
        <v>الاصول</v>
      </c>
      <c r="O1536" s="84" t="s">
        <v>1953</v>
      </c>
      <c r="P1536" s="84" t="s">
        <v>1405</v>
      </c>
    </row>
    <row r="1537" spans="1:16">
      <c r="A1537" s="104">
        <v>60</v>
      </c>
      <c r="B1537" s="131">
        <v>46062</v>
      </c>
      <c r="C1537" s="141">
        <v>20</v>
      </c>
      <c r="D1537" s="140" t="str">
        <f>IF(ISERROR(VLOOKUP(C1537,'[1]خريطة الحسابات'!_xlnm.Print_Area,3,FALSE))," ",(VLOOKUP(C1537,'[1]خريطة الحسابات'!_xlnm.Print_Area,3,FALSE)))</f>
        <v xml:space="preserve">الخزينة </v>
      </c>
      <c r="E1537" s="142"/>
      <c r="F1537" s="133"/>
      <c r="G1537" s="133">
        <v>450</v>
      </c>
      <c r="H1537" s="134">
        <f t="shared" si="70"/>
        <v>0</v>
      </c>
      <c r="I1537" s="134">
        <f t="shared" si="70"/>
        <v>450</v>
      </c>
      <c r="J1537" s="134">
        <f t="shared" si="69"/>
        <v>-450</v>
      </c>
      <c r="K1537" s="135"/>
      <c r="L1537" s="136" t="str">
        <f t="shared" si="71"/>
        <v>دائن</v>
      </c>
      <c r="M1537" s="137" t="str">
        <f>IF(ISERROR(VLOOKUP(C1537,'[1]خريطة الحسابات'!_xlnm.Print_Area,4,FALSE))," ",(VLOOKUP(C1537,'[1]خريطة الحسابات'!_xlnm.Print_Area,4,FALSE)))</f>
        <v xml:space="preserve">أصول متداوله -النقدية ومافي حكمها </v>
      </c>
      <c r="N1537" s="138" t="str">
        <f>IF(ISERROR(VLOOKUP(C1537,'[1]خريطة الحسابات'!_xlnm.Print_Area,5,FALSE))," ",(VLOOKUP(C1537,'[1]خريطة الحسابات'!_xlnm.Print_Area,5,FALSE)))</f>
        <v>الاصول</v>
      </c>
      <c r="O1537" s="84" t="s">
        <v>1995</v>
      </c>
      <c r="P1537" s="84" t="s">
        <v>1405</v>
      </c>
    </row>
    <row r="1538" spans="1:16">
      <c r="A1538" s="104">
        <v>60</v>
      </c>
      <c r="B1538" s="131">
        <v>46068</v>
      </c>
      <c r="C1538" s="141">
        <v>20</v>
      </c>
      <c r="D1538" s="140" t="str">
        <f>IF(ISERROR(VLOOKUP(C1538,'[1]خريطة الحسابات'!_xlnm.Print_Area,3,FALSE))," ",(VLOOKUP(C1538,'[1]خريطة الحسابات'!_xlnm.Print_Area,3,FALSE)))</f>
        <v xml:space="preserve">الخزينة </v>
      </c>
      <c r="E1538" s="142"/>
      <c r="F1538" s="133"/>
      <c r="G1538" s="133">
        <v>600</v>
      </c>
      <c r="H1538" s="134">
        <f t="shared" si="70"/>
        <v>0</v>
      </c>
      <c r="I1538" s="134">
        <f t="shared" si="70"/>
        <v>600</v>
      </c>
      <c r="J1538" s="134">
        <f t="shared" si="69"/>
        <v>-600</v>
      </c>
      <c r="K1538" s="135"/>
      <c r="L1538" s="136" t="str">
        <f t="shared" si="71"/>
        <v>دائن</v>
      </c>
      <c r="M1538" s="137" t="str">
        <f>IF(ISERROR(VLOOKUP(C1538,'[1]خريطة الحسابات'!_xlnm.Print_Area,4,FALSE))," ",(VLOOKUP(C1538,'[1]خريطة الحسابات'!_xlnm.Print_Area,4,FALSE)))</f>
        <v xml:space="preserve">أصول متداوله -النقدية ومافي حكمها </v>
      </c>
      <c r="N1538" s="138" t="str">
        <f>IF(ISERROR(VLOOKUP(C1538,'[1]خريطة الحسابات'!_xlnm.Print_Area,5,FALSE))," ",(VLOOKUP(C1538,'[1]خريطة الحسابات'!_xlnm.Print_Area,5,FALSE)))</f>
        <v>الاصول</v>
      </c>
      <c r="O1538" s="84" t="s">
        <v>1996</v>
      </c>
      <c r="P1538" s="84" t="s">
        <v>1325</v>
      </c>
    </row>
    <row r="1539" spans="1:16">
      <c r="A1539" s="104">
        <v>60</v>
      </c>
      <c r="B1539" s="131">
        <v>46070</v>
      </c>
      <c r="C1539" s="141">
        <v>20</v>
      </c>
      <c r="D1539" s="140" t="str">
        <f>IF(ISERROR(VLOOKUP(C1539,'[1]خريطة الحسابات'!_xlnm.Print_Area,3,FALSE))," ",(VLOOKUP(C1539,'[1]خريطة الحسابات'!_xlnm.Print_Area,3,FALSE)))</f>
        <v xml:space="preserve">الخزينة </v>
      </c>
      <c r="E1539" s="142"/>
      <c r="F1539" s="133"/>
      <c r="G1539" s="133">
        <v>800</v>
      </c>
      <c r="H1539" s="134">
        <f t="shared" si="70"/>
        <v>0</v>
      </c>
      <c r="I1539" s="134">
        <f t="shared" si="70"/>
        <v>800</v>
      </c>
      <c r="J1539" s="134">
        <f t="shared" si="69"/>
        <v>-800</v>
      </c>
      <c r="K1539" s="135"/>
      <c r="L1539" s="136" t="str">
        <f t="shared" si="71"/>
        <v>دائن</v>
      </c>
      <c r="M1539" s="137" t="str">
        <f>IF(ISERROR(VLOOKUP(C1539,'[1]خريطة الحسابات'!_xlnm.Print_Area,4,FALSE))," ",(VLOOKUP(C1539,'[1]خريطة الحسابات'!_xlnm.Print_Area,4,FALSE)))</f>
        <v xml:space="preserve">أصول متداوله -النقدية ومافي حكمها </v>
      </c>
      <c r="N1539" s="138" t="str">
        <f>IF(ISERROR(VLOOKUP(C1539,'[1]خريطة الحسابات'!_xlnm.Print_Area,5,FALSE))," ",(VLOOKUP(C1539,'[1]خريطة الحسابات'!_xlnm.Print_Area,5,FALSE)))</f>
        <v>الاصول</v>
      </c>
      <c r="O1539" s="84" t="s">
        <v>1953</v>
      </c>
      <c r="P1539" s="84" t="s">
        <v>1325</v>
      </c>
    </row>
    <row r="1540" spans="1:16">
      <c r="A1540" s="104">
        <v>60</v>
      </c>
      <c r="B1540" s="131">
        <v>46077</v>
      </c>
      <c r="C1540" s="141">
        <v>20</v>
      </c>
      <c r="D1540" s="140" t="str">
        <f>IF(ISERROR(VLOOKUP(C1540,'[1]خريطة الحسابات'!_xlnm.Print_Area,3,FALSE))," ",(VLOOKUP(C1540,'[1]خريطة الحسابات'!_xlnm.Print_Area,3,FALSE)))</f>
        <v xml:space="preserve">الخزينة </v>
      </c>
      <c r="E1540" s="142"/>
      <c r="F1540" s="133"/>
      <c r="G1540" s="133">
        <v>1200</v>
      </c>
      <c r="H1540" s="134">
        <f t="shared" si="70"/>
        <v>0</v>
      </c>
      <c r="I1540" s="134">
        <f t="shared" si="70"/>
        <v>1200</v>
      </c>
      <c r="J1540" s="134">
        <f t="shared" si="69"/>
        <v>-1200</v>
      </c>
      <c r="K1540" s="135"/>
      <c r="L1540" s="136" t="str">
        <f t="shared" si="71"/>
        <v>دائن</v>
      </c>
      <c r="M1540" s="137" t="str">
        <f>IF(ISERROR(VLOOKUP(C1540,'[1]خريطة الحسابات'!_xlnm.Print_Area,4,FALSE))," ",(VLOOKUP(C1540,'[1]خريطة الحسابات'!_xlnm.Print_Area,4,FALSE)))</f>
        <v xml:space="preserve">أصول متداوله -النقدية ومافي حكمها </v>
      </c>
      <c r="N1540" s="138" t="str">
        <f>IF(ISERROR(VLOOKUP(C1540,'[1]خريطة الحسابات'!_xlnm.Print_Area,5,FALSE))," ",(VLOOKUP(C1540,'[1]خريطة الحسابات'!_xlnm.Print_Area,5,FALSE)))</f>
        <v>الاصول</v>
      </c>
      <c r="O1540" s="84" t="s">
        <v>1997</v>
      </c>
      <c r="P1540" s="84" t="s">
        <v>1325</v>
      </c>
    </row>
    <row r="1541" spans="1:16">
      <c r="A1541" s="104">
        <v>60</v>
      </c>
      <c r="B1541" s="131">
        <v>46093</v>
      </c>
      <c r="C1541" s="141">
        <v>20</v>
      </c>
      <c r="D1541" s="140" t="str">
        <f>IF(ISERROR(VLOOKUP(C1541,'[1]خريطة الحسابات'!_xlnm.Print_Area,3,FALSE))," ",(VLOOKUP(C1541,'[1]خريطة الحسابات'!_xlnm.Print_Area,3,FALSE)))</f>
        <v xml:space="preserve">الخزينة </v>
      </c>
      <c r="E1541" s="142"/>
      <c r="F1541" s="133"/>
      <c r="G1541" s="133">
        <v>300</v>
      </c>
      <c r="H1541" s="134">
        <f t="shared" si="70"/>
        <v>0</v>
      </c>
      <c r="I1541" s="134">
        <f t="shared" si="70"/>
        <v>300</v>
      </c>
      <c r="J1541" s="134">
        <f t="shared" si="69"/>
        <v>-300</v>
      </c>
      <c r="K1541" s="135"/>
      <c r="L1541" s="136" t="str">
        <f t="shared" si="71"/>
        <v>دائن</v>
      </c>
      <c r="M1541" s="137" t="str">
        <f>IF(ISERROR(VLOOKUP(C1541,'[1]خريطة الحسابات'!_xlnm.Print_Area,4,FALSE))," ",(VLOOKUP(C1541,'[1]خريطة الحسابات'!_xlnm.Print_Area,4,FALSE)))</f>
        <v xml:space="preserve">أصول متداوله -النقدية ومافي حكمها </v>
      </c>
      <c r="N1541" s="138" t="str">
        <f>IF(ISERROR(VLOOKUP(C1541,'[1]خريطة الحسابات'!_xlnm.Print_Area,5,FALSE))," ",(VLOOKUP(C1541,'[1]خريطة الحسابات'!_xlnm.Print_Area,5,FALSE)))</f>
        <v>الاصول</v>
      </c>
      <c r="O1541" s="84" t="s">
        <v>1989</v>
      </c>
      <c r="P1541" s="84" t="s">
        <v>1383</v>
      </c>
    </row>
    <row r="1542" spans="1:16">
      <c r="A1542" s="104">
        <v>60</v>
      </c>
      <c r="B1542" s="131">
        <v>46131</v>
      </c>
      <c r="C1542" s="141">
        <v>20</v>
      </c>
      <c r="D1542" s="140" t="str">
        <f>IF(ISERROR(VLOOKUP(C1542,'[1]خريطة الحسابات'!_xlnm.Print_Area,3,FALSE))," ",(VLOOKUP(C1542,'[1]خريطة الحسابات'!_xlnm.Print_Area,3,FALSE)))</f>
        <v xml:space="preserve">الخزينة </v>
      </c>
      <c r="E1542" s="142"/>
      <c r="F1542" s="133"/>
      <c r="G1542" s="133">
        <v>6800</v>
      </c>
      <c r="H1542" s="134">
        <f t="shared" si="70"/>
        <v>0</v>
      </c>
      <c r="I1542" s="134">
        <f t="shared" si="70"/>
        <v>6800</v>
      </c>
      <c r="J1542" s="134">
        <f t="shared" si="69"/>
        <v>-6800</v>
      </c>
      <c r="K1542" s="135"/>
      <c r="L1542" s="136" t="str">
        <f t="shared" si="71"/>
        <v>دائن</v>
      </c>
      <c r="M1542" s="137" t="str">
        <f>IF(ISERROR(VLOOKUP(C1542,'[1]خريطة الحسابات'!_xlnm.Print_Area,4,FALSE))," ",(VLOOKUP(C1542,'[1]خريطة الحسابات'!_xlnm.Print_Area,4,FALSE)))</f>
        <v xml:space="preserve">أصول متداوله -النقدية ومافي حكمها </v>
      </c>
      <c r="N1542" s="138" t="str">
        <f>IF(ISERROR(VLOOKUP(C1542,'[1]خريطة الحسابات'!_xlnm.Print_Area,5,FALSE))," ",(VLOOKUP(C1542,'[1]خريطة الحسابات'!_xlnm.Print_Area,5,FALSE)))</f>
        <v>الاصول</v>
      </c>
      <c r="O1542" s="84" t="s">
        <v>1998</v>
      </c>
      <c r="P1542" s="84" t="s">
        <v>1383</v>
      </c>
    </row>
    <row r="1543" spans="1:16">
      <c r="A1543" s="104">
        <v>60</v>
      </c>
      <c r="B1543" s="131">
        <v>46144</v>
      </c>
      <c r="C1543" s="141">
        <v>20</v>
      </c>
      <c r="D1543" s="140" t="str">
        <f>IF(ISERROR(VLOOKUP(C1543,'[1]خريطة الحسابات'!_xlnm.Print_Area,3,FALSE))," ",(VLOOKUP(C1543,'[1]خريطة الحسابات'!_xlnm.Print_Area,3,FALSE)))</f>
        <v xml:space="preserve">الخزينة </v>
      </c>
      <c r="E1543" s="142"/>
      <c r="F1543" s="133"/>
      <c r="G1543" s="133">
        <v>1700</v>
      </c>
      <c r="H1543" s="134">
        <f t="shared" si="70"/>
        <v>0</v>
      </c>
      <c r="I1543" s="134">
        <f t="shared" si="70"/>
        <v>1700</v>
      </c>
      <c r="J1543" s="134">
        <f t="shared" si="69"/>
        <v>-1700</v>
      </c>
      <c r="K1543" s="135"/>
      <c r="L1543" s="136" t="str">
        <f t="shared" si="71"/>
        <v>دائن</v>
      </c>
      <c r="M1543" s="137" t="str">
        <f>IF(ISERROR(VLOOKUP(C1543,'[1]خريطة الحسابات'!_xlnm.Print_Area,4,FALSE))," ",(VLOOKUP(C1543,'[1]خريطة الحسابات'!_xlnm.Print_Area,4,FALSE)))</f>
        <v xml:space="preserve">أصول متداوله -النقدية ومافي حكمها </v>
      </c>
      <c r="N1543" s="138" t="str">
        <f>IF(ISERROR(VLOOKUP(C1543,'[1]خريطة الحسابات'!_xlnm.Print_Area,5,FALSE))," ",(VLOOKUP(C1543,'[1]خريطة الحسابات'!_xlnm.Print_Area,5,FALSE)))</f>
        <v>الاصول</v>
      </c>
      <c r="O1543" s="84" t="s">
        <v>1999</v>
      </c>
      <c r="P1543" s="84" t="s">
        <v>1383</v>
      </c>
    </row>
    <row r="1544" spans="1:16">
      <c r="A1544" s="104">
        <v>60</v>
      </c>
      <c r="B1544" s="131">
        <v>46148</v>
      </c>
      <c r="C1544" s="141">
        <v>20</v>
      </c>
      <c r="D1544" s="140" t="str">
        <f>IF(ISERROR(VLOOKUP(C1544,'[1]خريطة الحسابات'!_xlnm.Print_Area,3,FALSE))," ",(VLOOKUP(C1544,'[1]خريطة الحسابات'!_xlnm.Print_Area,3,FALSE)))</f>
        <v xml:space="preserve">الخزينة </v>
      </c>
      <c r="E1544" s="142"/>
      <c r="F1544" s="133"/>
      <c r="G1544" s="133">
        <v>400</v>
      </c>
      <c r="H1544" s="134">
        <f t="shared" si="70"/>
        <v>0</v>
      </c>
      <c r="I1544" s="134">
        <f t="shared" si="70"/>
        <v>400</v>
      </c>
      <c r="J1544" s="134">
        <f t="shared" si="69"/>
        <v>-400</v>
      </c>
      <c r="K1544" s="135"/>
      <c r="L1544" s="136" t="str">
        <f t="shared" si="71"/>
        <v>دائن</v>
      </c>
      <c r="M1544" s="137" t="str">
        <f>IF(ISERROR(VLOOKUP(C1544,'[1]خريطة الحسابات'!_xlnm.Print_Area,4,FALSE))," ",(VLOOKUP(C1544,'[1]خريطة الحسابات'!_xlnm.Print_Area,4,FALSE)))</f>
        <v xml:space="preserve">أصول متداوله -النقدية ومافي حكمها </v>
      </c>
      <c r="N1544" s="138" t="str">
        <f>IF(ISERROR(VLOOKUP(C1544,'[1]خريطة الحسابات'!_xlnm.Print_Area,5,FALSE))," ",(VLOOKUP(C1544,'[1]خريطة الحسابات'!_xlnm.Print_Area,5,FALSE)))</f>
        <v>الاصول</v>
      </c>
      <c r="O1544" s="84" t="s">
        <v>2000</v>
      </c>
      <c r="P1544" s="84" t="s">
        <v>1383</v>
      </c>
    </row>
    <row r="1545" spans="1:16">
      <c r="A1545" s="104">
        <v>60</v>
      </c>
      <c r="B1545" s="131">
        <v>46179</v>
      </c>
      <c r="C1545" s="141">
        <v>20</v>
      </c>
      <c r="D1545" s="140" t="str">
        <f>IF(ISERROR(VLOOKUP(C1545,'[1]خريطة الحسابات'!_xlnm.Print_Area,3,FALSE))," ",(VLOOKUP(C1545,'[1]خريطة الحسابات'!_xlnm.Print_Area,3,FALSE)))</f>
        <v xml:space="preserve">الخزينة </v>
      </c>
      <c r="E1545" s="142"/>
      <c r="F1545" s="133"/>
      <c r="G1545" s="133">
        <v>6800</v>
      </c>
      <c r="H1545" s="134">
        <f t="shared" si="70"/>
        <v>0</v>
      </c>
      <c r="I1545" s="134">
        <f t="shared" si="70"/>
        <v>6800</v>
      </c>
      <c r="J1545" s="134">
        <f t="shared" si="69"/>
        <v>-6800</v>
      </c>
      <c r="K1545" s="135"/>
      <c r="L1545" s="136" t="str">
        <f t="shared" si="71"/>
        <v>دائن</v>
      </c>
      <c r="M1545" s="137" t="str">
        <f>IF(ISERROR(VLOOKUP(C1545,'[1]خريطة الحسابات'!_xlnm.Print_Area,4,FALSE))," ",(VLOOKUP(C1545,'[1]خريطة الحسابات'!_xlnm.Print_Area,4,FALSE)))</f>
        <v xml:space="preserve">أصول متداوله -النقدية ومافي حكمها </v>
      </c>
      <c r="N1545" s="138" t="str">
        <f>IF(ISERROR(VLOOKUP(C1545,'[1]خريطة الحسابات'!_xlnm.Print_Area,5,FALSE))," ",(VLOOKUP(C1545,'[1]خريطة الحسابات'!_xlnm.Print_Area,5,FALSE)))</f>
        <v>الاصول</v>
      </c>
      <c r="O1545" s="84" t="s">
        <v>2001</v>
      </c>
      <c r="P1545" s="84" t="s">
        <v>1383</v>
      </c>
    </row>
    <row r="1546" spans="1:16">
      <c r="A1546" s="104">
        <v>60</v>
      </c>
      <c r="B1546" s="131">
        <v>46046</v>
      </c>
      <c r="C1546" s="141">
        <v>20</v>
      </c>
      <c r="D1546" s="140" t="str">
        <f>IF(ISERROR(VLOOKUP(C1546,'[1]خريطة الحسابات'!_xlnm.Print_Area,3,FALSE))," ",(VLOOKUP(C1546,'[1]خريطة الحسابات'!_xlnm.Print_Area,3,FALSE)))</f>
        <v xml:space="preserve">الخزينة </v>
      </c>
      <c r="E1546" s="142"/>
      <c r="F1546" s="133"/>
      <c r="G1546" s="133">
        <v>800</v>
      </c>
      <c r="H1546" s="134">
        <f t="shared" si="70"/>
        <v>0</v>
      </c>
      <c r="I1546" s="134">
        <f t="shared" si="70"/>
        <v>800</v>
      </c>
      <c r="J1546" s="134">
        <f t="shared" si="69"/>
        <v>-800</v>
      </c>
      <c r="K1546" s="135"/>
      <c r="L1546" s="136" t="str">
        <f t="shared" si="71"/>
        <v>دائن</v>
      </c>
      <c r="M1546" s="137" t="str">
        <f>IF(ISERROR(VLOOKUP(C1546,'[1]خريطة الحسابات'!_xlnm.Print_Area,4,FALSE))," ",(VLOOKUP(C1546,'[1]خريطة الحسابات'!_xlnm.Print_Area,4,FALSE)))</f>
        <v xml:space="preserve">أصول متداوله -النقدية ومافي حكمها </v>
      </c>
      <c r="N1546" s="138" t="str">
        <f>IF(ISERROR(VLOOKUP(C1546,'[1]خريطة الحسابات'!_xlnm.Print_Area,5,FALSE))," ",(VLOOKUP(C1546,'[1]خريطة الحسابات'!_xlnm.Print_Area,5,FALSE)))</f>
        <v>الاصول</v>
      </c>
      <c r="O1546" s="84" t="s">
        <v>2002</v>
      </c>
      <c r="P1546" s="84" t="s">
        <v>1304</v>
      </c>
    </row>
    <row r="1547" spans="1:16">
      <c r="A1547" s="104">
        <v>60</v>
      </c>
      <c r="B1547" s="131">
        <v>46144</v>
      </c>
      <c r="C1547" s="141">
        <v>20</v>
      </c>
      <c r="D1547" s="140" t="str">
        <f>IF(ISERROR(VLOOKUP(C1547,'[1]خريطة الحسابات'!_xlnm.Print_Area,3,FALSE))," ",(VLOOKUP(C1547,'[1]خريطة الحسابات'!_xlnm.Print_Area,3,FALSE)))</f>
        <v xml:space="preserve">الخزينة </v>
      </c>
      <c r="E1547" s="142"/>
      <c r="F1547" s="133"/>
      <c r="G1547" s="133">
        <v>1300</v>
      </c>
      <c r="H1547" s="134">
        <f t="shared" si="70"/>
        <v>0</v>
      </c>
      <c r="I1547" s="134">
        <f t="shared" si="70"/>
        <v>1300</v>
      </c>
      <c r="J1547" s="134">
        <f t="shared" si="69"/>
        <v>-1300</v>
      </c>
      <c r="K1547" s="135"/>
      <c r="L1547" s="136" t="str">
        <f t="shared" si="71"/>
        <v>دائن</v>
      </c>
      <c r="M1547" s="137" t="str">
        <f>IF(ISERROR(VLOOKUP(C1547,'[1]خريطة الحسابات'!_xlnm.Print_Area,4,FALSE))," ",(VLOOKUP(C1547,'[1]خريطة الحسابات'!_xlnm.Print_Area,4,FALSE)))</f>
        <v xml:space="preserve">أصول متداوله -النقدية ومافي حكمها </v>
      </c>
      <c r="N1547" s="138" t="str">
        <f>IF(ISERROR(VLOOKUP(C1547,'[1]خريطة الحسابات'!_xlnm.Print_Area,5,FALSE))," ",(VLOOKUP(C1547,'[1]خريطة الحسابات'!_xlnm.Print_Area,5,FALSE)))</f>
        <v>الاصول</v>
      </c>
      <c r="O1547" s="84" t="s">
        <v>2003</v>
      </c>
      <c r="P1547" s="84" t="s">
        <v>1317</v>
      </c>
    </row>
    <row r="1548" spans="1:16">
      <c r="A1548" s="104">
        <v>60</v>
      </c>
      <c r="B1548" s="131">
        <v>46184</v>
      </c>
      <c r="C1548" s="141">
        <v>20</v>
      </c>
      <c r="D1548" s="140" t="str">
        <f>IF(ISERROR(VLOOKUP(C1548,'[1]خريطة الحسابات'!_xlnm.Print_Area,3,FALSE))," ",(VLOOKUP(C1548,'[1]خريطة الحسابات'!_xlnm.Print_Area,3,FALSE)))</f>
        <v xml:space="preserve">الخزينة </v>
      </c>
      <c r="E1548" s="142"/>
      <c r="F1548" s="133"/>
      <c r="G1548" s="133">
        <v>400</v>
      </c>
      <c r="H1548" s="134">
        <f t="shared" si="70"/>
        <v>0</v>
      </c>
      <c r="I1548" s="134">
        <f t="shared" si="70"/>
        <v>400</v>
      </c>
      <c r="J1548" s="134">
        <f t="shared" si="69"/>
        <v>-400</v>
      </c>
      <c r="K1548" s="135"/>
      <c r="L1548" s="136" t="str">
        <f t="shared" si="71"/>
        <v>دائن</v>
      </c>
      <c r="M1548" s="137" t="str">
        <f>IF(ISERROR(VLOOKUP(C1548,'[1]خريطة الحسابات'!_xlnm.Print_Area,4,FALSE))," ",(VLOOKUP(C1548,'[1]خريطة الحسابات'!_xlnm.Print_Area,4,FALSE)))</f>
        <v xml:space="preserve">أصول متداوله -النقدية ومافي حكمها </v>
      </c>
      <c r="N1548" s="138" t="str">
        <f>IF(ISERROR(VLOOKUP(C1548,'[1]خريطة الحسابات'!_xlnm.Print_Area,5,FALSE))," ",(VLOOKUP(C1548,'[1]خريطة الحسابات'!_xlnm.Print_Area,5,FALSE)))</f>
        <v>الاصول</v>
      </c>
      <c r="O1548" s="84" t="s">
        <v>2004</v>
      </c>
      <c r="P1548" s="84" t="s">
        <v>1317</v>
      </c>
    </row>
    <row r="1549" spans="1:16">
      <c r="A1549" s="104">
        <v>60</v>
      </c>
      <c r="B1549" s="131">
        <v>46090</v>
      </c>
      <c r="C1549" s="141">
        <v>20</v>
      </c>
      <c r="D1549" s="140" t="str">
        <f>IF(ISERROR(VLOOKUP(C1549,'[1]خريطة الحسابات'!_xlnm.Print_Area,3,FALSE))," ",(VLOOKUP(C1549,'[1]خريطة الحسابات'!_xlnm.Print_Area,3,FALSE)))</f>
        <v xml:space="preserve">الخزينة </v>
      </c>
      <c r="E1549" s="142"/>
      <c r="F1549" s="133"/>
      <c r="G1549" s="133">
        <v>3080</v>
      </c>
      <c r="H1549" s="134">
        <f t="shared" si="70"/>
        <v>0</v>
      </c>
      <c r="I1549" s="134">
        <f t="shared" si="70"/>
        <v>3080</v>
      </c>
      <c r="J1549" s="134">
        <f t="shared" si="69"/>
        <v>-3080</v>
      </c>
      <c r="K1549" s="135"/>
      <c r="L1549" s="136" t="str">
        <f t="shared" si="71"/>
        <v>دائن</v>
      </c>
      <c r="M1549" s="137" t="str">
        <f>IF(ISERROR(VLOOKUP(C1549,'[1]خريطة الحسابات'!_xlnm.Print_Area,4,FALSE))," ",(VLOOKUP(C1549,'[1]خريطة الحسابات'!_xlnm.Print_Area,4,FALSE)))</f>
        <v xml:space="preserve">أصول متداوله -النقدية ومافي حكمها </v>
      </c>
      <c r="N1549" s="138" t="str">
        <f>IF(ISERROR(VLOOKUP(C1549,'[1]خريطة الحسابات'!_xlnm.Print_Area,5,FALSE))," ",(VLOOKUP(C1549,'[1]خريطة الحسابات'!_xlnm.Print_Area,5,FALSE)))</f>
        <v>الاصول</v>
      </c>
      <c r="O1549" s="84" t="s">
        <v>2005</v>
      </c>
      <c r="P1549" s="84" t="s">
        <v>1395</v>
      </c>
    </row>
    <row r="1550" spans="1:16">
      <c r="A1550" s="104">
        <v>60</v>
      </c>
      <c r="B1550" s="131">
        <v>46097</v>
      </c>
      <c r="C1550" s="141">
        <v>20</v>
      </c>
      <c r="D1550" s="140" t="str">
        <f>IF(ISERROR(VLOOKUP(C1550,'[1]خريطة الحسابات'!_xlnm.Print_Area,3,FALSE))," ",(VLOOKUP(C1550,'[1]خريطة الحسابات'!_xlnm.Print_Area,3,FALSE)))</f>
        <v xml:space="preserve">الخزينة </v>
      </c>
      <c r="E1550" s="142"/>
      <c r="F1550" s="133"/>
      <c r="G1550" s="133">
        <v>1177</v>
      </c>
      <c r="H1550" s="134">
        <f t="shared" si="70"/>
        <v>0</v>
      </c>
      <c r="I1550" s="134">
        <f t="shared" si="70"/>
        <v>1177</v>
      </c>
      <c r="J1550" s="134">
        <f t="shared" si="69"/>
        <v>-1177</v>
      </c>
      <c r="K1550" s="135"/>
      <c r="L1550" s="136" t="str">
        <f t="shared" si="71"/>
        <v>دائن</v>
      </c>
      <c r="M1550" s="137" t="str">
        <f>IF(ISERROR(VLOOKUP(C1550,'[1]خريطة الحسابات'!_xlnm.Print_Area,4,FALSE))," ",(VLOOKUP(C1550,'[1]خريطة الحسابات'!_xlnm.Print_Area,4,FALSE)))</f>
        <v xml:space="preserve">أصول متداوله -النقدية ومافي حكمها </v>
      </c>
      <c r="N1550" s="138" t="str">
        <f>IF(ISERROR(VLOOKUP(C1550,'[1]خريطة الحسابات'!_xlnm.Print_Area,5,FALSE))," ",(VLOOKUP(C1550,'[1]خريطة الحسابات'!_xlnm.Print_Area,5,FALSE)))</f>
        <v>الاصول</v>
      </c>
      <c r="O1550" s="84" t="s">
        <v>2006</v>
      </c>
      <c r="P1550" s="84" t="s">
        <v>1395</v>
      </c>
    </row>
    <row r="1551" spans="1:16">
      <c r="A1551" s="104">
        <v>60</v>
      </c>
      <c r="B1551" s="131">
        <v>46090</v>
      </c>
      <c r="C1551" s="141">
        <v>20</v>
      </c>
      <c r="D1551" s="140" t="str">
        <f>IF(ISERROR(VLOOKUP(C1551,'[1]خريطة الحسابات'!_xlnm.Print_Area,3,FALSE))," ",(VLOOKUP(C1551,'[1]خريطة الحسابات'!_xlnm.Print_Area,3,FALSE)))</f>
        <v xml:space="preserve">الخزينة </v>
      </c>
      <c r="E1551" s="142"/>
      <c r="F1551" s="133"/>
      <c r="G1551" s="133">
        <v>3080</v>
      </c>
      <c r="H1551" s="134">
        <f t="shared" si="70"/>
        <v>0</v>
      </c>
      <c r="I1551" s="134">
        <f t="shared" si="70"/>
        <v>3080</v>
      </c>
      <c r="J1551" s="134">
        <f t="shared" si="69"/>
        <v>-3080</v>
      </c>
      <c r="K1551" s="135"/>
      <c r="L1551" s="136" t="str">
        <f t="shared" si="71"/>
        <v>دائن</v>
      </c>
      <c r="M1551" s="137" t="str">
        <f>IF(ISERROR(VLOOKUP(C1551,'[1]خريطة الحسابات'!_xlnm.Print_Area,4,FALSE))," ",(VLOOKUP(C1551,'[1]خريطة الحسابات'!_xlnm.Print_Area,4,FALSE)))</f>
        <v xml:space="preserve">أصول متداوله -النقدية ومافي حكمها </v>
      </c>
      <c r="N1551" s="138" t="str">
        <f>IF(ISERROR(VLOOKUP(C1551,'[1]خريطة الحسابات'!_xlnm.Print_Area,5,FALSE))," ",(VLOOKUP(C1551,'[1]خريطة الحسابات'!_xlnm.Print_Area,5,FALSE)))</f>
        <v>الاصول</v>
      </c>
      <c r="O1551" s="84" t="s">
        <v>2007</v>
      </c>
      <c r="P1551" s="84" t="s">
        <v>1393</v>
      </c>
    </row>
    <row r="1552" spans="1:16">
      <c r="A1552" s="104">
        <v>60</v>
      </c>
      <c r="B1552" s="131">
        <v>46097</v>
      </c>
      <c r="C1552" s="141">
        <v>20</v>
      </c>
      <c r="D1552" s="140" t="str">
        <f>IF(ISERROR(VLOOKUP(C1552,'[1]خريطة الحسابات'!_xlnm.Print_Area,3,FALSE))," ",(VLOOKUP(C1552,'[1]خريطة الحسابات'!_xlnm.Print_Area,3,FALSE)))</f>
        <v xml:space="preserve">الخزينة </v>
      </c>
      <c r="E1552" s="142"/>
      <c r="F1552" s="133"/>
      <c r="G1552" s="133">
        <v>1177</v>
      </c>
      <c r="H1552" s="134">
        <f t="shared" si="70"/>
        <v>0</v>
      </c>
      <c r="I1552" s="134">
        <f t="shared" si="70"/>
        <v>1177</v>
      </c>
      <c r="J1552" s="134">
        <f t="shared" si="69"/>
        <v>-1177</v>
      </c>
      <c r="K1552" s="135"/>
      <c r="L1552" s="136" t="str">
        <f t="shared" si="71"/>
        <v>دائن</v>
      </c>
      <c r="M1552" s="137" t="str">
        <f>IF(ISERROR(VLOOKUP(C1552,'[1]خريطة الحسابات'!_xlnm.Print_Area,4,FALSE))," ",(VLOOKUP(C1552,'[1]خريطة الحسابات'!_xlnm.Print_Area,4,FALSE)))</f>
        <v xml:space="preserve">أصول متداوله -النقدية ومافي حكمها </v>
      </c>
      <c r="N1552" s="138" t="str">
        <f>IF(ISERROR(VLOOKUP(C1552,'[1]خريطة الحسابات'!_xlnm.Print_Area,5,FALSE))," ",(VLOOKUP(C1552,'[1]خريطة الحسابات'!_xlnm.Print_Area,5,FALSE)))</f>
        <v>الاصول</v>
      </c>
      <c r="O1552" s="84" t="s">
        <v>2006</v>
      </c>
      <c r="P1552" s="84" t="s">
        <v>1393</v>
      </c>
    </row>
    <row r="1553" spans="1:16">
      <c r="A1553" s="104">
        <v>61</v>
      </c>
      <c r="B1553" s="131">
        <v>46156</v>
      </c>
      <c r="C1553" s="150" t="s">
        <v>808</v>
      </c>
      <c r="D1553" s="140" t="str">
        <f>IF(ISERROR(VLOOKUP(C1553,'[1]خريطة الحسابات'!_xlnm.Print_Area,3,FALSE))," ",(VLOOKUP(C1553,'[1]خريطة الحسابات'!_xlnm.Print_Area,3,FALSE)))</f>
        <v>خامات ومصنعية أعمال المباني</v>
      </c>
      <c r="E1553" s="142"/>
      <c r="F1553" s="133">
        <v>6820</v>
      </c>
      <c r="G1553" s="133"/>
      <c r="H1553" s="134">
        <f t="shared" si="70"/>
        <v>6820</v>
      </c>
      <c r="I1553" s="134">
        <f t="shared" si="70"/>
        <v>0</v>
      </c>
      <c r="J1553" s="134">
        <f t="shared" si="69"/>
        <v>6820</v>
      </c>
      <c r="K1553" s="135"/>
      <c r="L1553" s="136" t="str">
        <f t="shared" si="71"/>
        <v>مدين</v>
      </c>
      <c r="M1553" s="137" t="str">
        <f>IF(ISERROR(VLOOKUP(C1553,'[1]خريطة الحسابات'!_xlnm.Print_Area,4,FALSE))," ",(VLOOKUP(C1553,'[1]خريطة الحسابات'!_xlnm.Print_Area,4,FALSE)))</f>
        <v>تكاليف مشروع احمد زايد 401</v>
      </c>
      <c r="N1553" s="138" t="str">
        <f>IF(ISERROR(VLOOKUP(C1553,'[1]خريطة الحسابات'!_xlnm.Print_Area,5,FALSE))," ",(VLOOKUP(C1553,'[1]خريطة الحسابات'!_xlnm.Print_Area,5,FALSE)))</f>
        <v xml:space="preserve">تكاليف العمليات </v>
      </c>
      <c r="O1553" s="84" t="s">
        <v>2008</v>
      </c>
      <c r="P1553" s="84" t="s">
        <v>1345</v>
      </c>
    </row>
    <row r="1554" spans="1:16">
      <c r="A1554" s="104">
        <v>61</v>
      </c>
      <c r="B1554" s="131">
        <v>46027</v>
      </c>
      <c r="C1554" s="150" t="s">
        <v>773</v>
      </c>
      <c r="D1554" s="140" t="str">
        <f>IF(ISERROR(VLOOKUP(C1554,'[1]خريطة الحسابات'!_xlnm.Print_Area,3,FALSE))," ",(VLOOKUP(C1554,'[1]خريطة الحسابات'!_xlnm.Print_Area,3,FALSE)))</f>
        <v>خامات ومصنعية أعمال المباني</v>
      </c>
      <c r="E1554" s="142"/>
      <c r="F1554" s="133">
        <v>1500</v>
      </c>
      <c r="G1554" s="133"/>
      <c r="H1554" s="134">
        <f t="shared" si="70"/>
        <v>1500</v>
      </c>
      <c r="I1554" s="134">
        <f t="shared" si="70"/>
        <v>0</v>
      </c>
      <c r="J1554" s="134">
        <f t="shared" si="69"/>
        <v>1500</v>
      </c>
      <c r="K1554" s="135"/>
      <c r="L1554" s="136" t="str">
        <f t="shared" si="71"/>
        <v>مدين</v>
      </c>
      <c r="M1554" s="137" t="str">
        <f>IF(ISERROR(VLOOKUP(C1554,'[1]خريطة الحسابات'!_xlnm.Print_Area,4,FALSE))," ",(VLOOKUP(C1554,'[1]خريطة الحسابات'!_xlnm.Print_Area,4,FALSE)))</f>
        <v>388 تكاليف مشروع الدقي</v>
      </c>
      <c r="N1554" s="138" t="str">
        <f>IF(ISERROR(VLOOKUP(C1554,'[1]خريطة الحسابات'!_xlnm.Print_Area,5,FALSE))," ",(VLOOKUP(C1554,'[1]خريطة الحسابات'!_xlnm.Print_Area,5,FALSE)))</f>
        <v xml:space="preserve">تكاليف العمليات </v>
      </c>
      <c r="O1554" s="84" t="s">
        <v>2009</v>
      </c>
      <c r="P1554" s="84" t="s">
        <v>1315</v>
      </c>
    </row>
    <row r="1555" spans="1:16">
      <c r="A1555" s="104">
        <v>61</v>
      </c>
      <c r="B1555" s="131">
        <v>46027</v>
      </c>
      <c r="C1555" s="150" t="s">
        <v>773</v>
      </c>
      <c r="D1555" s="140" t="str">
        <f>IF(ISERROR(VLOOKUP(C1555,'[1]خريطة الحسابات'!_xlnm.Print_Area,3,FALSE))," ",(VLOOKUP(C1555,'[1]خريطة الحسابات'!_xlnm.Print_Area,3,FALSE)))</f>
        <v>خامات ومصنعية أعمال المباني</v>
      </c>
      <c r="E1555" s="142"/>
      <c r="F1555" s="133">
        <v>3303</v>
      </c>
      <c r="G1555" s="133"/>
      <c r="H1555" s="134">
        <f t="shared" si="70"/>
        <v>3303</v>
      </c>
      <c r="I1555" s="134">
        <f t="shared" si="70"/>
        <v>0</v>
      </c>
      <c r="J1555" s="134">
        <f t="shared" si="69"/>
        <v>3303</v>
      </c>
      <c r="K1555" s="135"/>
      <c r="L1555" s="136" t="str">
        <f t="shared" si="71"/>
        <v>مدين</v>
      </c>
      <c r="M1555" s="137" t="str">
        <f>IF(ISERROR(VLOOKUP(C1555,'[1]خريطة الحسابات'!_xlnm.Print_Area,4,FALSE))," ",(VLOOKUP(C1555,'[1]خريطة الحسابات'!_xlnm.Print_Area,4,FALSE)))</f>
        <v>388 تكاليف مشروع الدقي</v>
      </c>
      <c r="N1555" s="138" t="str">
        <f>IF(ISERROR(VLOOKUP(C1555,'[1]خريطة الحسابات'!_xlnm.Print_Area,5,FALSE))," ",(VLOOKUP(C1555,'[1]خريطة الحسابات'!_xlnm.Print_Area,5,FALSE)))</f>
        <v xml:space="preserve">تكاليف العمليات </v>
      </c>
      <c r="O1555" s="84" t="s">
        <v>2010</v>
      </c>
      <c r="P1555" s="84" t="s">
        <v>1315</v>
      </c>
    </row>
    <row r="1556" spans="1:16">
      <c r="A1556" s="104">
        <v>61</v>
      </c>
      <c r="B1556" s="131">
        <v>46029</v>
      </c>
      <c r="C1556" s="150" t="s">
        <v>773</v>
      </c>
      <c r="D1556" s="140" t="str">
        <f>IF(ISERROR(VLOOKUP(C1556,'[1]خريطة الحسابات'!_xlnm.Print_Area,3,FALSE))," ",(VLOOKUP(C1556,'[1]خريطة الحسابات'!_xlnm.Print_Area,3,FALSE)))</f>
        <v>خامات ومصنعية أعمال المباني</v>
      </c>
      <c r="E1556" s="142"/>
      <c r="F1556" s="133">
        <v>1700</v>
      </c>
      <c r="G1556" s="133"/>
      <c r="H1556" s="134">
        <f t="shared" si="70"/>
        <v>1700</v>
      </c>
      <c r="I1556" s="134">
        <f t="shared" si="70"/>
        <v>0</v>
      </c>
      <c r="J1556" s="134">
        <f t="shared" si="69"/>
        <v>1700</v>
      </c>
      <c r="K1556" s="135"/>
      <c r="L1556" s="136" t="str">
        <f t="shared" si="71"/>
        <v>مدين</v>
      </c>
      <c r="M1556" s="137" t="str">
        <f>IF(ISERROR(VLOOKUP(C1556,'[1]خريطة الحسابات'!_xlnm.Print_Area,4,FALSE))," ",(VLOOKUP(C1556,'[1]خريطة الحسابات'!_xlnm.Print_Area,4,FALSE)))</f>
        <v>388 تكاليف مشروع الدقي</v>
      </c>
      <c r="N1556" s="138" t="str">
        <f>IF(ISERROR(VLOOKUP(C1556,'[1]خريطة الحسابات'!_xlnm.Print_Area,5,FALSE))," ",(VLOOKUP(C1556,'[1]خريطة الحسابات'!_xlnm.Print_Area,5,FALSE)))</f>
        <v xml:space="preserve">تكاليف العمليات </v>
      </c>
      <c r="O1556" s="84" t="s">
        <v>2011</v>
      </c>
      <c r="P1556" s="84" t="s">
        <v>1315</v>
      </c>
    </row>
    <row r="1557" spans="1:16">
      <c r="A1557" s="104">
        <v>61</v>
      </c>
      <c r="B1557" s="131">
        <v>46029</v>
      </c>
      <c r="C1557" s="150" t="s">
        <v>773</v>
      </c>
      <c r="D1557" s="140" t="str">
        <f>IF(ISERROR(VLOOKUP(C1557,'[1]خريطة الحسابات'!_xlnm.Print_Area,3,FALSE))," ",(VLOOKUP(C1557,'[1]خريطة الحسابات'!_xlnm.Print_Area,3,FALSE)))</f>
        <v>خامات ومصنعية أعمال المباني</v>
      </c>
      <c r="E1557" s="142"/>
      <c r="F1557" s="133">
        <v>960</v>
      </c>
      <c r="G1557" s="133"/>
      <c r="H1557" s="134">
        <f t="shared" si="70"/>
        <v>960</v>
      </c>
      <c r="I1557" s="134">
        <f t="shared" si="70"/>
        <v>0</v>
      </c>
      <c r="J1557" s="134">
        <f t="shared" si="69"/>
        <v>960</v>
      </c>
      <c r="K1557" s="135"/>
      <c r="L1557" s="136" t="str">
        <f t="shared" si="71"/>
        <v>مدين</v>
      </c>
      <c r="M1557" s="137" t="str">
        <f>IF(ISERROR(VLOOKUP(C1557,'[1]خريطة الحسابات'!_xlnm.Print_Area,4,FALSE))," ",(VLOOKUP(C1557,'[1]خريطة الحسابات'!_xlnm.Print_Area,4,FALSE)))</f>
        <v>388 تكاليف مشروع الدقي</v>
      </c>
      <c r="N1557" s="138" t="str">
        <f>IF(ISERROR(VLOOKUP(C1557,'[1]خريطة الحسابات'!_xlnm.Print_Area,5,FALSE))," ",(VLOOKUP(C1557,'[1]خريطة الحسابات'!_xlnm.Print_Area,5,FALSE)))</f>
        <v xml:space="preserve">تكاليف العمليات </v>
      </c>
      <c r="O1557" s="84" t="s">
        <v>2012</v>
      </c>
      <c r="P1557" s="84" t="s">
        <v>1315</v>
      </c>
    </row>
    <row r="1558" spans="1:16">
      <c r="A1558" s="104">
        <v>61</v>
      </c>
      <c r="B1558" s="131">
        <v>46033</v>
      </c>
      <c r="C1558" s="150" t="s">
        <v>773</v>
      </c>
      <c r="D1558" s="140" t="str">
        <f>IF(ISERROR(VLOOKUP(C1558,'[1]خريطة الحسابات'!_xlnm.Print_Area,3,FALSE))," ",(VLOOKUP(C1558,'[1]خريطة الحسابات'!_xlnm.Print_Area,3,FALSE)))</f>
        <v>خامات ومصنعية أعمال المباني</v>
      </c>
      <c r="E1558" s="142"/>
      <c r="F1558" s="133">
        <v>4104</v>
      </c>
      <c r="G1558" s="133"/>
      <c r="H1558" s="134">
        <f t="shared" si="70"/>
        <v>4104</v>
      </c>
      <c r="I1558" s="134">
        <f t="shared" si="70"/>
        <v>0</v>
      </c>
      <c r="J1558" s="134">
        <f t="shared" si="69"/>
        <v>4104</v>
      </c>
      <c r="K1558" s="135"/>
      <c r="L1558" s="136" t="str">
        <f t="shared" si="71"/>
        <v>مدين</v>
      </c>
      <c r="M1558" s="137" t="str">
        <f>IF(ISERROR(VLOOKUP(C1558,'[1]خريطة الحسابات'!_xlnm.Print_Area,4,FALSE))," ",(VLOOKUP(C1558,'[1]خريطة الحسابات'!_xlnm.Print_Area,4,FALSE)))</f>
        <v>388 تكاليف مشروع الدقي</v>
      </c>
      <c r="N1558" s="138" t="str">
        <f>IF(ISERROR(VLOOKUP(C1558,'[1]خريطة الحسابات'!_xlnm.Print_Area,5,FALSE))," ",(VLOOKUP(C1558,'[1]خريطة الحسابات'!_xlnm.Print_Area,5,FALSE)))</f>
        <v xml:space="preserve">تكاليف العمليات </v>
      </c>
      <c r="O1558" s="84" t="s">
        <v>2013</v>
      </c>
      <c r="P1558" s="84" t="s">
        <v>1315</v>
      </c>
    </row>
    <row r="1559" spans="1:16">
      <c r="A1559" s="104">
        <v>61</v>
      </c>
      <c r="B1559" s="131">
        <v>46033</v>
      </c>
      <c r="C1559" s="150" t="s">
        <v>773</v>
      </c>
      <c r="D1559" s="140" t="str">
        <f>IF(ISERROR(VLOOKUP(C1559,'[1]خريطة الحسابات'!_xlnm.Print_Area,3,FALSE))," ",(VLOOKUP(C1559,'[1]خريطة الحسابات'!_xlnm.Print_Area,3,FALSE)))</f>
        <v>خامات ومصنعية أعمال المباني</v>
      </c>
      <c r="E1559" s="142"/>
      <c r="F1559" s="133">
        <v>2475</v>
      </c>
      <c r="G1559" s="133"/>
      <c r="H1559" s="134">
        <f t="shared" si="70"/>
        <v>2475</v>
      </c>
      <c r="I1559" s="134">
        <f t="shared" si="70"/>
        <v>0</v>
      </c>
      <c r="J1559" s="134">
        <f t="shared" si="69"/>
        <v>2475</v>
      </c>
      <c r="K1559" s="135"/>
      <c r="L1559" s="136" t="str">
        <f t="shared" si="71"/>
        <v>مدين</v>
      </c>
      <c r="M1559" s="137" t="str">
        <f>IF(ISERROR(VLOOKUP(C1559,'[1]خريطة الحسابات'!_xlnm.Print_Area,4,FALSE))," ",(VLOOKUP(C1559,'[1]خريطة الحسابات'!_xlnm.Print_Area,4,FALSE)))</f>
        <v>388 تكاليف مشروع الدقي</v>
      </c>
      <c r="N1559" s="138" t="str">
        <f>IF(ISERROR(VLOOKUP(C1559,'[1]خريطة الحسابات'!_xlnm.Print_Area,5,FALSE))," ",(VLOOKUP(C1559,'[1]خريطة الحسابات'!_xlnm.Print_Area,5,FALSE)))</f>
        <v xml:space="preserve">تكاليف العمليات </v>
      </c>
      <c r="O1559" s="84" t="s">
        <v>2014</v>
      </c>
      <c r="P1559" s="84" t="s">
        <v>1315</v>
      </c>
    </row>
    <row r="1560" spans="1:16">
      <c r="A1560" s="104">
        <v>61</v>
      </c>
      <c r="B1560" s="131">
        <v>46034</v>
      </c>
      <c r="C1560" s="150" t="s">
        <v>773</v>
      </c>
      <c r="D1560" s="140" t="str">
        <f>IF(ISERROR(VLOOKUP(C1560,'[1]خريطة الحسابات'!_xlnm.Print_Area,3,FALSE))," ",(VLOOKUP(C1560,'[1]خريطة الحسابات'!_xlnm.Print_Area,3,FALSE)))</f>
        <v>خامات ومصنعية أعمال المباني</v>
      </c>
      <c r="E1560" s="142"/>
      <c r="F1560" s="133">
        <v>2000</v>
      </c>
      <c r="G1560" s="133"/>
      <c r="H1560" s="134">
        <f t="shared" si="70"/>
        <v>2000</v>
      </c>
      <c r="I1560" s="134">
        <f t="shared" si="70"/>
        <v>0</v>
      </c>
      <c r="J1560" s="134">
        <f t="shared" ref="J1560:J1623" si="72">H1560-I1560</f>
        <v>2000</v>
      </c>
      <c r="K1560" s="135"/>
      <c r="L1560" s="136" t="str">
        <f t="shared" si="71"/>
        <v>مدين</v>
      </c>
      <c r="M1560" s="137" t="str">
        <f>IF(ISERROR(VLOOKUP(C1560,'[1]خريطة الحسابات'!_xlnm.Print_Area,4,FALSE))," ",(VLOOKUP(C1560,'[1]خريطة الحسابات'!_xlnm.Print_Area,4,FALSE)))</f>
        <v>388 تكاليف مشروع الدقي</v>
      </c>
      <c r="N1560" s="138" t="str">
        <f>IF(ISERROR(VLOOKUP(C1560,'[1]خريطة الحسابات'!_xlnm.Print_Area,5,FALSE))," ",(VLOOKUP(C1560,'[1]خريطة الحسابات'!_xlnm.Print_Area,5,FALSE)))</f>
        <v xml:space="preserve">تكاليف العمليات </v>
      </c>
      <c r="O1560" s="84" t="s">
        <v>2015</v>
      </c>
      <c r="P1560" s="84" t="s">
        <v>1315</v>
      </c>
    </row>
    <row r="1561" spans="1:16">
      <c r="A1561" s="104">
        <v>61</v>
      </c>
      <c r="B1561" s="131">
        <v>46054</v>
      </c>
      <c r="C1561" s="150" t="s">
        <v>773</v>
      </c>
      <c r="D1561" s="140" t="str">
        <f>IF(ISERROR(VLOOKUP(C1561,'[1]خريطة الحسابات'!_xlnm.Print_Area,3,FALSE))," ",(VLOOKUP(C1561,'[1]خريطة الحسابات'!_xlnm.Print_Area,3,FALSE)))</f>
        <v>خامات ومصنعية أعمال المباني</v>
      </c>
      <c r="E1561" s="142"/>
      <c r="F1561" s="133">
        <v>6506</v>
      </c>
      <c r="G1561" s="133"/>
      <c r="H1561" s="134">
        <f t="shared" ref="H1561:I1624" si="73">IF($E1561=2,F1561*3.465,F1561)</f>
        <v>6506</v>
      </c>
      <c r="I1561" s="134">
        <f t="shared" si="73"/>
        <v>0</v>
      </c>
      <c r="J1561" s="134">
        <f t="shared" si="72"/>
        <v>6506</v>
      </c>
      <c r="K1561" s="135"/>
      <c r="L1561" s="136" t="str">
        <f t="shared" si="71"/>
        <v>مدين</v>
      </c>
      <c r="M1561" s="137" t="str">
        <f>IF(ISERROR(VLOOKUP(C1561,'[1]خريطة الحسابات'!_xlnm.Print_Area,4,FALSE))," ",(VLOOKUP(C1561,'[1]خريطة الحسابات'!_xlnm.Print_Area,4,FALSE)))</f>
        <v>388 تكاليف مشروع الدقي</v>
      </c>
      <c r="N1561" s="138" t="str">
        <f>IF(ISERROR(VLOOKUP(C1561,'[1]خريطة الحسابات'!_xlnm.Print_Area,5,FALSE))," ",(VLOOKUP(C1561,'[1]خريطة الحسابات'!_xlnm.Print_Area,5,FALSE)))</f>
        <v xml:space="preserve">تكاليف العمليات </v>
      </c>
      <c r="O1561" s="84" t="s">
        <v>2016</v>
      </c>
      <c r="P1561" s="84" t="s">
        <v>1315</v>
      </c>
    </row>
    <row r="1562" spans="1:16">
      <c r="A1562" s="104">
        <v>61</v>
      </c>
      <c r="B1562" s="131">
        <v>46054</v>
      </c>
      <c r="C1562" s="150" t="s">
        <v>773</v>
      </c>
      <c r="D1562" s="140" t="str">
        <f>IF(ISERROR(VLOOKUP(C1562,'[1]خريطة الحسابات'!_xlnm.Print_Area,3,FALSE))," ",(VLOOKUP(C1562,'[1]خريطة الحسابات'!_xlnm.Print_Area,3,FALSE)))</f>
        <v>خامات ومصنعية أعمال المباني</v>
      </c>
      <c r="E1562" s="142"/>
      <c r="F1562" s="133">
        <v>2403</v>
      </c>
      <c r="G1562" s="133"/>
      <c r="H1562" s="134">
        <f t="shared" si="73"/>
        <v>2403</v>
      </c>
      <c r="I1562" s="134">
        <f t="shared" si="73"/>
        <v>0</v>
      </c>
      <c r="J1562" s="134">
        <f t="shared" si="72"/>
        <v>2403</v>
      </c>
      <c r="K1562" s="135"/>
      <c r="L1562" s="136" t="str">
        <f t="shared" si="71"/>
        <v>مدين</v>
      </c>
      <c r="M1562" s="137" t="str">
        <f>IF(ISERROR(VLOOKUP(C1562,'[1]خريطة الحسابات'!_xlnm.Print_Area,4,FALSE))," ",(VLOOKUP(C1562,'[1]خريطة الحسابات'!_xlnm.Print_Area,4,FALSE)))</f>
        <v>388 تكاليف مشروع الدقي</v>
      </c>
      <c r="N1562" s="138" t="str">
        <f>IF(ISERROR(VLOOKUP(C1562,'[1]خريطة الحسابات'!_xlnm.Print_Area,5,FALSE))," ",(VLOOKUP(C1562,'[1]خريطة الحسابات'!_xlnm.Print_Area,5,FALSE)))</f>
        <v xml:space="preserve">تكاليف العمليات </v>
      </c>
      <c r="O1562" s="84" t="s">
        <v>2017</v>
      </c>
      <c r="P1562" s="84" t="s">
        <v>1315</v>
      </c>
    </row>
    <row r="1563" spans="1:16">
      <c r="A1563" s="104">
        <v>61</v>
      </c>
      <c r="B1563" s="131">
        <v>46058</v>
      </c>
      <c r="C1563" s="150" t="s">
        <v>773</v>
      </c>
      <c r="D1563" s="140" t="str">
        <f>IF(ISERROR(VLOOKUP(C1563,'[1]خريطة الحسابات'!_xlnm.Print_Area,3,FALSE))," ",(VLOOKUP(C1563,'[1]خريطة الحسابات'!_xlnm.Print_Area,3,FALSE)))</f>
        <v>خامات ومصنعية أعمال المباني</v>
      </c>
      <c r="E1563" s="142"/>
      <c r="F1563" s="133">
        <v>13290</v>
      </c>
      <c r="G1563" s="133"/>
      <c r="H1563" s="134">
        <f t="shared" si="73"/>
        <v>13290</v>
      </c>
      <c r="I1563" s="134">
        <f t="shared" si="73"/>
        <v>0</v>
      </c>
      <c r="J1563" s="134">
        <f t="shared" si="72"/>
        <v>13290</v>
      </c>
      <c r="K1563" s="135"/>
      <c r="L1563" s="136" t="str">
        <f t="shared" ref="L1563:L1626" si="74">IF(J1563&lt;0,"دائن",IF(J1563&gt;0,"مدين",""))</f>
        <v>مدين</v>
      </c>
      <c r="M1563" s="137" t="str">
        <f>IF(ISERROR(VLOOKUP(C1563,'[1]خريطة الحسابات'!_xlnm.Print_Area,4,FALSE))," ",(VLOOKUP(C1563,'[1]خريطة الحسابات'!_xlnm.Print_Area,4,FALSE)))</f>
        <v>388 تكاليف مشروع الدقي</v>
      </c>
      <c r="N1563" s="138" t="str">
        <f>IF(ISERROR(VLOOKUP(C1563,'[1]خريطة الحسابات'!_xlnm.Print_Area,5,FALSE))," ",(VLOOKUP(C1563,'[1]خريطة الحسابات'!_xlnm.Print_Area,5,FALSE)))</f>
        <v xml:space="preserve">تكاليف العمليات </v>
      </c>
      <c r="O1563" s="84" t="s">
        <v>2018</v>
      </c>
      <c r="P1563" s="84" t="s">
        <v>1315</v>
      </c>
    </row>
    <row r="1564" spans="1:16">
      <c r="A1564" s="104">
        <v>61</v>
      </c>
      <c r="B1564" s="131">
        <v>46058</v>
      </c>
      <c r="C1564" s="150" t="s">
        <v>773</v>
      </c>
      <c r="D1564" s="140" t="str">
        <f>IF(ISERROR(VLOOKUP(C1564,'[1]خريطة الحسابات'!_xlnm.Print_Area,3,FALSE))," ",(VLOOKUP(C1564,'[1]خريطة الحسابات'!_xlnm.Print_Area,3,FALSE)))</f>
        <v>خامات ومصنعية أعمال المباني</v>
      </c>
      <c r="E1564" s="142"/>
      <c r="F1564" s="133">
        <v>3000</v>
      </c>
      <c r="G1564" s="133"/>
      <c r="H1564" s="134">
        <f t="shared" si="73"/>
        <v>3000</v>
      </c>
      <c r="I1564" s="134">
        <f t="shared" si="73"/>
        <v>0</v>
      </c>
      <c r="J1564" s="134">
        <f t="shared" si="72"/>
        <v>3000</v>
      </c>
      <c r="K1564" s="135"/>
      <c r="L1564" s="136" t="str">
        <f t="shared" si="74"/>
        <v>مدين</v>
      </c>
      <c r="M1564" s="137" t="str">
        <f>IF(ISERROR(VLOOKUP(C1564,'[1]خريطة الحسابات'!_xlnm.Print_Area,4,FALSE))," ",(VLOOKUP(C1564,'[1]خريطة الحسابات'!_xlnm.Print_Area,4,FALSE)))</f>
        <v>388 تكاليف مشروع الدقي</v>
      </c>
      <c r="N1564" s="138" t="str">
        <f>IF(ISERROR(VLOOKUP(C1564,'[1]خريطة الحسابات'!_xlnm.Print_Area,5,FALSE))," ",(VLOOKUP(C1564,'[1]خريطة الحسابات'!_xlnm.Print_Area,5,FALSE)))</f>
        <v xml:space="preserve">تكاليف العمليات </v>
      </c>
      <c r="O1564" s="84" t="s">
        <v>2019</v>
      </c>
      <c r="P1564" s="84" t="s">
        <v>1315</v>
      </c>
    </row>
    <row r="1565" spans="1:16">
      <c r="A1565" s="104">
        <v>61</v>
      </c>
      <c r="B1565" s="131">
        <v>46159</v>
      </c>
      <c r="C1565" s="150" t="s">
        <v>914</v>
      </c>
      <c r="D1565" s="140" t="str">
        <f>IF(ISERROR(VLOOKUP(C1565,'[1]خريطة الحسابات'!_xlnm.Print_Area,3,FALSE))," ",(VLOOKUP(C1565,'[1]خريطة الحسابات'!_xlnm.Print_Area,3,FALSE)))</f>
        <v>خامات ومصنعية أعمال المباني</v>
      </c>
      <c r="E1565" s="142"/>
      <c r="F1565" s="133">
        <v>19190</v>
      </c>
      <c r="G1565" s="133"/>
      <c r="H1565" s="134">
        <f t="shared" si="73"/>
        <v>19190</v>
      </c>
      <c r="I1565" s="134">
        <f t="shared" si="73"/>
        <v>0</v>
      </c>
      <c r="J1565" s="134">
        <f t="shared" si="72"/>
        <v>19190</v>
      </c>
      <c r="K1565" s="135"/>
      <c r="L1565" s="136" t="str">
        <f t="shared" si="74"/>
        <v>مدين</v>
      </c>
      <c r="M1565" s="137" t="str">
        <f>IF(ISERROR(VLOOKUP(C1565,'[1]خريطة الحسابات'!_xlnm.Print_Area,4,FALSE))," ",(VLOOKUP(C1565,'[1]خريطة الحسابات'!_xlnm.Print_Area,4,FALSE)))</f>
        <v>تكاليف مشروع وصال العشري 398</v>
      </c>
      <c r="N1565" s="138" t="str">
        <f>IF(ISERROR(VLOOKUP(C1565,'[1]خريطة الحسابات'!_xlnm.Print_Area,5,FALSE))," ",(VLOOKUP(C1565,'[1]خريطة الحسابات'!_xlnm.Print_Area,5,FALSE)))</f>
        <v xml:space="preserve">تكاليف العمليات </v>
      </c>
      <c r="O1565" s="84" t="s">
        <v>2020</v>
      </c>
      <c r="P1565" s="84" t="s">
        <v>1489</v>
      </c>
    </row>
    <row r="1566" spans="1:16">
      <c r="A1566" s="104">
        <v>61</v>
      </c>
      <c r="B1566" s="131">
        <v>46161</v>
      </c>
      <c r="C1566" s="150" t="s">
        <v>914</v>
      </c>
      <c r="D1566" s="140" t="str">
        <f>IF(ISERROR(VLOOKUP(C1566,'[1]خريطة الحسابات'!_xlnm.Print_Area,3,FALSE))," ",(VLOOKUP(C1566,'[1]خريطة الحسابات'!_xlnm.Print_Area,3,FALSE)))</f>
        <v>خامات ومصنعية أعمال المباني</v>
      </c>
      <c r="E1566" s="142"/>
      <c r="F1566" s="133">
        <v>120</v>
      </c>
      <c r="G1566" s="133"/>
      <c r="H1566" s="134">
        <f t="shared" si="73"/>
        <v>120</v>
      </c>
      <c r="I1566" s="134">
        <f t="shared" si="73"/>
        <v>0</v>
      </c>
      <c r="J1566" s="134">
        <f t="shared" si="72"/>
        <v>120</v>
      </c>
      <c r="K1566" s="135"/>
      <c r="L1566" s="136" t="str">
        <f t="shared" si="74"/>
        <v>مدين</v>
      </c>
      <c r="M1566" s="137" t="str">
        <f>IF(ISERROR(VLOOKUP(C1566,'[1]خريطة الحسابات'!_xlnm.Print_Area,4,FALSE))," ",(VLOOKUP(C1566,'[1]خريطة الحسابات'!_xlnm.Print_Area,4,FALSE)))</f>
        <v>تكاليف مشروع وصال العشري 398</v>
      </c>
      <c r="N1566" s="138" t="str">
        <f>IF(ISERROR(VLOOKUP(C1566,'[1]خريطة الحسابات'!_xlnm.Print_Area,5,FALSE))," ",(VLOOKUP(C1566,'[1]خريطة الحسابات'!_xlnm.Print_Area,5,FALSE)))</f>
        <v xml:space="preserve">تكاليف العمليات </v>
      </c>
      <c r="O1566" s="84" t="s">
        <v>2021</v>
      </c>
      <c r="P1566" s="84" t="s">
        <v>1489</v>
      </c>
    </row>
    <row r="1567" spans="1:16">
      <c r="A1567" s="104">
        <v>61</v>
      </c>
      <c r="B1567" s="131">
        <v>46162</v>
      </c>
      <c r="C1567" s="150" t="s">
        <v>914</v>
      </c>
      <c r="D1567" s="140" t="str">
        <f>IF(ISERROR(VLOOKUP(C1567,'[1]خريطة الحسابات'!_xlnm.Print_Area,3,FALSE))," ",(VLOOKUP(C1567,'[1]خريطة الحسابات'!_xlnm.Print_Area,3,FALSE)))</f>
        <v>خامات ومصنعية أعمال المباني</v>
      </c>
      <c r="E1567" s="142"/>
      <c r="F1567" s="133">
        <v>3003</v>
      </c>
      <c r="G1567" s="133"/>
      <c r="H1567" s="134">
        <f t="shared" si="73"/>
        <v>3003</v>
      </c>
      <c r="I1567" s="134">
        <f t="shared" si="73"/>
        <v>0</v>
      </c>
      <c r="J1567" s="134">
        <f t="shared" si="72"/>
        <v>3003</v>
      </c>
      <c r="K1567" s="135"/>
      <c r="L1567" s="136" t="str">
        <f t="shared" si="74"/>
        <v>مدين</v>
      </c>
      <c r="M1567" s="137" t="str">
        <f>IF(ISERROR(VLOOKUP(C1567,'[1]خريطة الحسابات'!_xlnm.Print_Area,4,FALSE))," ",(VLOOKUP(C1567,'[1]خريطة الحسابات'!_xlnm.Print_Area,4,FALSE)))</f>
        <v>تكاليف مشروع وصال العشري 398</v>
      </c>
      <c r="N1567" s="138" t="str">
        <f>IF(ISERROR(VLOOKUP(C1567,'[1]خريطة الحسابات'!_xlnm.Print_Area,5,FALSE))," ",(VLOOKUP(C1567,'[1]خريطة الحسابات'!_xlnm.Print_Area,5,FALSE)))</f>
        <v xml:space="preserve">تكاليف العمليات </v>
      </c>
      <c r="O1567" s="84" t="s">
        <v>1879</v>
      </c>
      <c r="P1567" s="84" t="s">
        <v>1489</v>
      </c>
    </row>
    <row r="1568" spans="1:16">
      <c r="A1568" s="104">
        <v>61</v>
      </c>
      <c r="B1568" s="131">
        <v>46120</v>
      </c>
      <c r="C1568" s="150" t="s">
        <v>353</v>
      </c>
      <c r="D1568" s="140" t="str">
        <f>IF(ISERROR(VLOOKUP(C1568,'[1]خريطة الحسابات'!_xlnm.Print_Area,3,FALSE))," ",(VLOOKUP(C1568,'[1]خريطة الحسابات'!_xlnm.Print_Area,3,FALSE)))</f>
        <v>خامات ومصنعية أعمال المباني</v>
      </c>
      <c r="E1568" s="142"/>
      <c r="F1568" s="133">
        <v>5000</v>
      </c>
      <c r="G1568" s="133"/>
      <c r="H1568" s="134">
        <f t="shared" si="73"/>
        <v>5000</v>
      </c>
      <c r="I1568" s="134">
        <f t="shared" si="73"/>
        <v>0</v>
      </c>
      <c r="J1568" s="134">
        <f t="shared" si="72"/>
        <v>5000</v>
      </c>
      <c r="K1568" s="135"/>
      <c r="L1568" s="136" t="str">
        <f t="shared" si="74"/>
        <v>مدين</v>
      </c>
      <c r="M1568" s="137" t="str">
        <f>IF(ISERROR(VLOOKUP(C1568,'[1]خريطة الحسابات'!_xlnm.Print_Area,4,FALSE))," ",(VLOOKUP(C1568,'[1]خريطة الحسابات'!_xlnm.Print_Area,4,FALSE)))</f>
        <v>318 تكاليف مشروع  المعادي ديونز</v>
      </c>
      <c r="N1568" s="138" t="str">
        <f>IF(ISERROR(VLOOKUP(C1568,'[1]خريطة الحسابات'!_xlnm.Print_Area,5,FALSE))," ",(VLOOKUP(C1568,'[1]خريطة الحسابات'!_xlnm.Print_Area,5,FALSE)))</f>
        <v xml:space="preserve">تكاليف العمليات </v>
      </c>
      <c r="O1568" s="84" t="s">
        <v>2019</v>
      </c>
      <c r="P1568" s="84" t="s">
        <v>1383</v>
      </c>
    </row>
    <row r="1569" spans="1:16">
      <c r="A1569" s="104">
        <v>61</v>
      </c>
      <c r="B1569" s="131">
        <v>46181</v>
      </c>
      <c r="C1569" s="150" t="s">
        <v>353</v>
      </c>
      <c r="D1569" s="140" t="str">
        <f>IF(ISERROR(VLOOKUP(C1569,'[1]خريطة الحسابات'!_xlnm.Print_Area,3,FALSE))," ",(VLOOKUP(C1569,'[1]خريطة الحسابات'!_xlnm.Print_Area,3,FALSE)))</f>
        <v>خامات ومصنعية أعمال المباني</v>
      </c>
      <c r="E1569" s="142"/>
      <c r="F1569" s="133">
        <v>7350</v>
      </c>
      <c r="G1569" s="133"/>
      <c r="H1569" s="134">
        <f t="shared" si="73"/>
        <v>7350</v>
      </c>
      <c r="I1569" s="134">
        <f t="shared" si="73"/>
        <v>0</v>
      </c>
      <c r="J1569" s="134">
        <f t="shared" si="72"/>
        <v>7350</v>
      </c>
      <c r="K1569" s="135"/>
      <c r="L1569" s="136" t="str">
        <f t="shared" si="74"/>
        <v>مدين</v>
      </c>
      <c r="M1569" s="137" t="str">
        <f>IF(ISERROR(VLOOKUP(C1569,'[1]خريطة الحسابات'!_xlnm.Print_Area,4,FALSE))," ",(VLOOKUP(C1569,'[1]خريطة الحسابات'!_xlnm.Print_Area,4,FALSE)))</f>
        <v>318 تكاليف مشروع  المعادي ديونز</v>
      </c>
      <c r="N1569" s="138" t="str">
        <f>IF(ISERROR(VLOOKUP(C1569,'[1]خريطة الحسابات'!_xlnm.Print_Area,5,FALSE))," ",(VLOOKUP(C1569,'[1]خريطة الحسابات'!_xlnm.Print_Area,5,FALSE)))</f>
        <v xml:space="preserve">تكاليف العمليات </v>
      </c>
      <c r="O1569" s="84" t="s">
        <v>2022</v>
      </c>
      <c r="P1569" s="84" t="s">
        <v>1383</v>
      </c>
    </row>
    <row r="1570" spans="1:16">
      <c r="A1570" s="104">
        <v>61</v>
      </c>
      <c r="B1570" s="131">
        <v>46144</v>
      </c>
      <c r="C1570" s="150" t="s">
        <v>668</v>
      </c>
      <c r="D1570" s="140" t="str">
        <f>IF(ISERROR(VLOOKUP(C1570,'[1]خريطة الحسابات'!_xlnm.Print_Area,3,FALSE))," ",(VLOOKUP(C1570,'[1]خريطة الحسابات'!_xlnm.Print_Area,3,FALSE)))</f>
        <v>خامات ومصنعية أعمال المباني</v>
      </c>
      <c r="E1570" s="142"/>
      <c r="F1570" s="133">
        <v>500</v>
      </c>
      <c r="G1570" s="133"/>
      <c r="H1570" s="134">
        <f t="shared" si="73"/>
        <v>500</v>
      </c>
      <c r="I1570" s="134">
        <f t="shared" si="73"/>
        <v>0</v>
      </c>
      <c r="J1570" s="134">
        <f t="shared" si="72"/>
        <v>500</v>
      </c>
      <c r="K1570" s="135"/>
      <c r="L1570" s="136" t="str">
        <f t="shared" si="74"/>
        <v>مدين</v>
      </c>
      <c r="M1570" s="137" t="str">
        <f>IF(ISERROR(VLOOKUP(C1570,'[1]خريطة الحسابات'!_xlnm.Print_Area,4,FALSE))," ",(VLOOKUP(C1570,'[1]خريطة الحسابات'!_xlnm.Print_Area,4,FALSE)))</f>
        <v>تكاليف مشروع هاني العبور 365</v>
      </c>
      <c r="N1570" s="138" t="str">
        <f>IF(ISERROR(VLOOKUP(C1570,'[1]خريطة الحسابات'!_xlnm.Print_Area,5,FALSE))," ",(VLOOKUP(C1570,'[1]خريطة الحسابات'!_xlnm.Print_Area,5,FALSE)))</f>
        <v xml:space="preserve">تكاليف العمليات </v>
      </c>
      <c r="O1570" s="84" t="s">
        <v>2023</v>
      </c>
      <c r="P1570" s="84" t="s">
        <v>1317</v>
      </c>
    </row>
    <row r="1571" spans="1:16">
      <c r="A1571" s="104">
        <v>61</v>
      </c>
      <c r="B1571" s="131">
        <v>46163</v>
      </c>
      <c r="C1571" s="150" t="s">
        <v>668</v>
      </c>
      <c r="D1571" s="140" t="str">
        <f>IF(ISERROR(VLOOKUP(C1571,'[1]خريطة الحسابات'!_xlnm.Print_Area,3,FALSE))," ",(VLOOKUP(C1571,'[1]خريطة الحسابات'!_xlnm.Print_Area,3,FALSE)))</f>
        <v>خامات ومصنعية أعمال المباني</v>
      </c>
      <c r="E1571" s="142"/>
      <c r="F1571" s="133">
        <v>9900</v>
      </c>
      <c r="G1571" s="133"/>
      <c r="H1571" s="134">
        <f t="shared" si="73"/>
        <v>9900</v>
      </c>
      <c r="I1571" s="134">
        <f t="shared" si="73"/>
        <v>0</v>
      </c>
      <c r="J1571" s="134">
        <f t="shared" si="72"/>
        <v>9900</v>
      </c>
      <c r="K1571" s="135"/>
      <c r="L1571" s="136" t="str">
        <f t="shared" si="74"/>
        <v>مدين</v>
      </c>
      <c r="M1571" s="137" t="str">
        <f>IF(ISERROR(VLOOKUP(C1571,'[1]خريطة الحسابات'!_xlnm.Print_Area,4,FALSE))," ",(VLOOKUP(C1571,'[1]خريطة الحسابات'!_xlnm.Print_Area,4,FALSE)))</f>
        <v>تكاليف مشروع هاني العبور 365</v>
      </c>
      <c r="N1571" s="138" t="str">
        <f>IF(ISERROR(VLOOKUP(C1571,'[1]خريطة الحسابات'!_xlnm.Print_Area,5,FALSE))," ",(VLOOKUP(C1571,'[1]خريطة الحسابات'!_xlnm.Print_Area,5,FALSE)))</f>
        <v xml:space="preserve">تكاليف العمليات </v>
      </c>
      <c r="O1571" s="84" t="s">
        <v>2024</v>
      </c>
      <c r="P1571" s="84" t="s">
        <v>1317</v>
      </c>
    </row>
    <row r="1572" spans="1:16">
      <c r="A1572" s="104">
        <v>61</v>
      </c>
      <c r="B1572" s="131">
        <v>46166</v>
      </c>
      <c r="C1572" s="150" t="s">
        <v>668</v>
      </c>
      <c r="D1572" s="140" t="str">
        <f>IF(ISERROR(VLOOKUP(C1572,'[1]خريطة الحسابات'!_xlnm.Print_Area,3,FALSE))," ",(VLOOKUP(C1572,'[1]خريطة الحسابات'!_xlnm.Print_Area,3,FALSE)))</f>
        <v>خامات ومصنعية أعمال المباني</v>
      </c>
      <c r="E1572" s="142"/>
      <c r="F1572" s="133">
        <v>3000</v>
      </c>
      <c r="G1572" s="133"/>
      <c r="H1572" s="134">
        <f t="shared" si="73"/>
        <v>3000</v>
      </c>
      <c r="I1572" s="134">
        <f t="shared" si="73"/>
        <v>0</v>
      </c>
      <c r="J1572" s="134">
        <f t="shared" si="72"/>
        <v>3000</v>
      </c>
      <c r="K1572" s="135"/>
      <c r="L1572" s="136" t="str">
        <f t="shared" si="74"/>
        <v>مدين</v>
      </c>
      <c r="M1572" s="137" t="str">
        <f>IF(ISERROR(VLOOKUP(C1572,'[1]خريطة الحسابات'!_xlnm.Print_Area,4,FALSE))," ",(VLOOKUP(C1572,'[1]خريطة الحسابات'!_xlnm.Print_Area,4,FALSE)))</f>
        <v>تكاليف مشروع هاني العبور 365</v>
      </c>
      <c r="N1572" s="138" t="str">
        <f>IF(ISERROR(VLOOKUP(C1572,'[1]خريطة الحسابات'!_xlnm.Print_Area,5,FALSE))," ",(VLOOKUP(C1572,'[1]خريطة الحسابات'!_xlnm.Print_Area,5,FALSE)))</f>
        <v xml:space="preserve">تكاليف العمليات </v>
      </c>
      <c r="O1572" s="84" t="s">
        <v>2025</v>
      </c>
      <c r="P1572" s="84" t="s">
        <v>1317</v>
      </c>
    </row>
    <row r="1573" spans="1:16">
      <c r="A1573" s="104">
        <v>61</v>
      </c>
      <c r="B1573" s="131">
        <v>46177</v>
      </c>
      <c r="C1573" s="150" t="s">
        <v>668</v>
      </c>
      <c r="D1573" s="140" t="str">
        <f>IF(ISERROR(VLOOKUP(C1573,'[1]خريطة الحسابات'!_xlnm.Print_Area,3,FALSE))," ",(VLOOKUP(C1573,'[1]خريطة الحسابات'!_xlnm.Print_Area,3,FALSE)))</f>
        <v>خامات ومصنعية أعمال المباني</v>
      </c>
      <c r="E1573" s="142"/>
      <c r="F1573" s="133">
        <v>1502</v>
      </c>
      <c r="G1573" s="133"/>
      <c r="H1573" s="134">
        <f t="shared" si="73"/>
        <v>1502</v>
      </c>
      <c r="I1573" s="134">
        <f t="shared" si="73"/>
        <v>0</v>
      </c>
      <c r="J1573" s="134">
        <f t="shared" si="72"/>
        <v>1502</v>
      </c>
      <c r="K1573" s="135"/>
      <c r="L1573" s="136" t="str">
        <f t="shared" si="74"/>
        <v>مدين</v>
      </c>
      <c r="M1573" s="137" t="str">
        <f>IF(ISERROR(VLOOKUP(C1573,'[1]خريطة الحسابات'!_xlnm.Print_Area,4,FALSE))," ",(VLOOKUP(C1573,'[1]خريطة الحسابات'!_xlnm.Print_Area,4,FALSE)))</f>
        <v>تكاليف مشروع هاني العبور 365</v>
      </c>
      <c r="N1573" s="138" t="str">
        <f>IF(ISERROR(VLOOKUP(C1573,'[1]خريطة الحسابات'!_xlnm.Print_Area,5,FALSE))," ",(VLOOKUP(C1573,'[1]خريطة الحسابات'!_xlnm.Print_Area,5,FALSE)))</f>
        <v xml:space="preserve">تكاليف العمليات </v>
      </c>
      <c r="O1573" s="84" t="s">
        <v>2026</v>
      </c>
      <c r="P1573" s="84" t="s">
        <v>1317</v>
      </c>
    </row>
    <row r="1574" spans="1:16">
      <c r="A1574" s="104">
        <v>61</v>
      </c>
      <c r="B1574" s="131">
        <v>46156</v>
      </c>
      <c r="C1574" s="150">
        <v>20</v>
      </c>
      <c r="D1574" s="140" t="str">
        <f>IF(ISERROR(VLOOKUP(C1574,'[1]خريطة الحسابات'!_xlnm.Print_Area,3,FALSE))," ",(VLOOKUP(C1574,'[1]خريطة الحسابات'!_xlnm.Print_Area,3,FALSE)))</f>
        <v xml:space="preserve">الخزينة </v>
      </c>
      <c r="E1574" s="142"/>
      <c r="F1574" s="133"/>
      <c r="G1574" s="133">
        <v>6820</v>
      </c>
      <c r="H1574" s="134">
        <f t="shared" si="73"/>
        <v>0</v>
      </c>
      <c r="I1574" s="134">
        <f t="shared" si="73"/>
        <v>6820</v>
      </c>
      <c r="J1574" s="134">
        <f t="shared" si="72"/>
        <v>-6820</v>
      </c>
      <c r="K1574" s="135"/>
      <c r="L1574" s="136" t="str">
        <f t="shared" si="74"/>
        <v>دائن</v>
      </c>
      <c r="M1574" s="137" t="str">
        <f>IF(ISERROR(VLOOKUP(C1574,'[1]خريطة الحسابات'!_xlnm.Print_Area,4,FALSE))," ",(VLOOKUP(C1574,'[1]خريطة الحسابات'!_xlnm.Print_Area,4,FALSE)))</f>
        <v xml:space="preserve">أصول متداوله -النقدية ومافي حكمها </v>
      </c>
      <c r="N1574" s="138" t="str">
        <f>IF(ISERROR(VLOOKUP(C1574,'[1]خريطة الحسابات'!_xlnm.Print_Area,5,FALSE))," ",(VLOOKUP(C1574,'[1]خريطة الحسابات'!_xlnm.Print_Area,5,FALSE)))</f>
        <v>الاصول</v>
      </c>
      <c r="O1574" s="84" t="s">
        <v>2008</v>
      </c>
      <c r="P1574" s="84" t="s">
        <v>1345</v>
      </c>
    </row>
    <row r="1575" spans="1:16">
      <c r="A1575" s="104">
        <v>61</v>
      </c>
      <c r="B1575" s="131">
        <v>46027</v>
      </c>
      <c r="C1575" s="150">
        <v>20</v>
      </c>
      <c r="D1575" s="140" t="str">
        <f>IF(ISERROR(VLOOKUP(C1575,'[1]خريطة الحسابات'!_xlnm.Print_Area,3,FALSE))," ",(VLOOKUP(C1575,'[1]خريطة الحسابات'!_xlnm.Print_Area,3,FALSE)))</f>
        <v xml:space="preserve">الخزينة </v>
      </c>
      <c r="E1575" s="142"/>
      <c r="F1575" s="133"/>
      <c r="G1575" s="133">
        <v>1500</v>
      </c>
      <c r="H1575" s="134">
        <f t="shared" si="73"/>
        <v>0</v>
      </c>
      <c r="I1575" s="134">
        <f t="shared" si="73"/>
        <v>1500</v>
      </c>
      <c r="J1575" s="134">
        <f t="shared" si="72"/>
        <v>-1500</v>
      </c>
      <c r="K1575" s="135"/>
      <c r="L1575" s="136" t="str">
        <f t="shared" si="74"/>
        <v>دائن</v>
      </c>
      <c r="M1575" s="137" t="str">
        <f>IF(ISERROR(VLOOKUP(C1575,'[1]خريطة الحسابات'!_xlnm.Print_Area,4,FALSE))," ",(VLOOKUP(C1575,'[1]خريطة الحسابات'!_xlnm.Print_Area,4,FALSE)))</f>
        <v xml:space="preserve">أصول متداوله -النقدية ومافي حكمها </v>
      </c>
      <c r="N1575" s="138" t="str">
        <f>IF(ISERROR(VLOOKUP(C1575,'[1]خريطة الحسابات'!_xlnm.Print_Area,5,FALSE))," ",(VLOOKUP(C1575,'[1]خريطة الحسابات'!_xlnm.Print_Area,5,FALSE)))</f>
        <v>الاصول</v>
      </c>
      <c r="O1575" s="84" t="s">
        <v>2009</v>
      </c>
      <c r="P1575" s="84" t="s">
        <v>1315</v>
      </c>
    </row>
    <row r="1576" spans="1:16">
      <c r="A1576" s="104">
        <v>61</v>
      </c>
      <c r="B1576" s="131">
        <v>46027</v>
      </c>
      <c r="C1576" s="150">
        <v>20</v>
      </c>
      <c r="D1576" s="140" t="str">
        <f>IF(ISERROR(VLOOKUP(C1576,'[1]خريطة الحسابات'!_xlnm.Print_Area,3,FALSE))," ",(VLOOKUP(C1576,'[1]خريطة الحسابات'!_xlnm.Print_Area,3,FALSE)))</f>
        <v xml:space="preserve">الخزينة </v>
      </c>
      <c r="E1576" s="142"/>
      <c r="F1576" s="133"/>
      <c r="G1576" s="133">
        <v>3303</v>
      </c>
      <c r="H1576" s="134">
        <f t="shared" si="73"/>
        <v>0</v>
      </c>
      <c r="I1576" s="134">
        <f t="shared" si="73"/>
        <v>3303</v>
      </c>
      <c r="J1576" s="134">
        <f t="shared" si="72"/>
        <v>-3303</v>
      </c>
      <c r="K1576" s="135"/>
      <c r="L1576" s="136" t="str">
        <f t="shared" si="74"/>
        <v>دائن</v>
      </c>
      <c r="M1576" s="137" t="str">
        <f>IF(ISERROR(VLOOKUP(C1576,'[1]خريطة الحسابات'!_xlnm.Print_Area,4,FALSE))," ",(VLOOKUP(C1576,'[1]خريطة الحسابات'!_xlnm.Print_Area,4,FALSE)))</f>
        <v xml:space="preserve">أصول متداوله -النقدية ومافي حكمها </v>
      </c>
      <c r="N1576" s="138" t="str">
        <f>IF(ISERROR(VLOOKUP(C1576,'[1]خريطة الحسابات'!_xlnm.Print_Area,5,FALSE))," ",(VLOOKUP(C1576,'[1]خريطة الحسابات'!_xlnm.Print_Area,5,FALSE)))</f>
        <v>الاصول</v>
      </c>
      <c r="O1576" s="84" t="s">
        <v>2010</v>
      </c>
      <c r="P1576" s="84" t="s">
        <v>1315</v>
      </c>
    </row>
    <row r="1577" spans="1:16">
      <c r="A1577" s="104">
        <v>61</v>
      </c>
      <c r="B1577" s="131">
        <v>46029</v>
      </c>
      <c r="C1577" s="150">
        <v>20</v>
      </c>
      <c r="D1577" s="140" t="str">
        <f>IF(ISERROR(VLOOKUP(C1577,'[1]خريطة الحسابات'!_xlnm.Print_Area,3,FALSE))," ",(VLOOKUP(C1577,'[1]خريطة الحسابات'!_xlnm.Print_Area,3,FALSE)))</f>
        <v xml:space="preserve">الخزينة </v>
      </c>
      <c r="E1577" s="142"/>
      <c r="F1577" s="133"/>
      <c r="G1577" s="133">
        <v>1700</v>
      </c>
      <c r="H1577" s="134">
        <f t="shared" si="73"/>
        <v>0</v>
      </c>
      <c r="I1577" s="134">
        <f t="shared" si="73"/>
        <v>1700</v>
      </c>
      <c r="J1577" s="134">
        <f t="shared" si="72"/>
        <v>-1700</v>
      </c>
      <c r="K1577" s="135"/>
      <c r="L1577" s="136" t="str">
        <f t="shared" si="74"/>
        <v>دائن</v>
      </c>
      <c r="M1577" s="137" t="str">
        <f>IF(ISERROR(VLOOKUP(C1577,'[1]خريطة الحسابات'!_xlnm.Print_Area,4,FALSE))," ",(VLOOKUP(C1577,'[1]خريطة الحسابات'!_xlnm.Print_Area,4,FALSE)))</f>
        <v xml:space="preserve">أصول متداوله -النقدية ومافي حكمها </v>
      </c>
      <c r="N1577" s="138" t="str">
        <f>IF(ISERROR(VLOOKUP(C1577,'[1]خريطة الحسابات'!_xlnm.Print_Area,5,FALSE))," ",(VLOOKUP(C1577,'[1]خريطة الحسابات'!_xlnm.Print_Area,5,FALSE)))</f>
        <v>الاصول</v>
      </c>
      <c r="O1577" s="84" t="s">
        <v>2011</v>
      </c>
      <c r="P1577" s="84" t="s">
        <v>1315</v>
      </c>
    </row>
    <row r="1578" spans="1:16">
      <c r="A1578" s="104">
        <v>61</v>
      </c>
      <c r="B1578" s="131">
        <v>46029</v>
      </c>
      <c r="C1578" s="150">
        <v>20</v>
      </c>
      <c r="D1578" s="140" t="str">
        <f>IF(ISERROR(VLOOKUP(C1578,'[1]خريطة الحسابات'!_xlnm.Print_Area,3,FALSE))," ",(VLOOKUP(C1578,'[1]خريطة الحسابات'!_xlnm.Print_Area,3,FALSE)))</f>
        <v xml:space="preserve">الخزينة </v>
      </c>
      <c r="E1578" s="142"/>
      <c r="F1578" s="133"/>
      <c r="G1578" s="133">
        <v>960</v>
      </c>
      <c r="H1578" s="134">
        <f t="shared" si="73"/>
        <v>0</v>
      </c>
      <c r="I1578" s="134">
        <f t="shared" si="73"/>
        <v>960</v>
      </c>
      <c r="J1578" s="134">
        <f t="shared" si="72"/>
        <v>-960</v>
      </c>
      <c r="K1578" s="135"/>
      <c r="L1578" s="136" t="str">
        <f t="shared" si="74"/>
        <v>دائن</v>
      </c>
      <c r="M1578" s="137" t="str">
        <f>IF(ISERROR(VLOOKUP(C1578,'[1]خريطة الحسابات'!_xlnm.Print_Area,4,FALSE))," ",(VLOOKUP(C1578,'[1]خريطة الحسابات'!_xlnm.Print_Area,4,FALSE)))</f>
        <v xml:space="preserve">أصول متداوله -النقدية ومافي حكمها </v>
      </c>
      <c r="N1578" s="138" t="str">
        <f>IF(ISERROR(VLOOKUP(C1578,'[1]خريطة الحسابات'!_xlnm.Print_Area,5,FALSE))," ",(VLOOKUP(C1578,'[1]خريطة الحسابات'!_xlnm.Print_Area,5,FALSE)))</f>
        <v>الاصول</v>
      </c>
      <c r="O1578" s="84" t="s">
        <v>2012</v>
      </c>
      <c r="P1578" s="84" t="s">
        <v>1315</v>
      </c>
    </row>
    <row r="1579" spans="1:16">
      <c r="A1579" s="104">
        <v>61</v>
      </c>
      <c r="B1579" s="131">
        <v>46033</v>
      </c>
      <c r="C1579" s="150">
        <v>20</v>
      </c>
      <c r="D1579" s="140" t="str">
        <f>IF(ISERROR(VLOOKUP(C1579,'[1]خريطة الحسابات'!_xlnm.Print_Area,3,FALSE))," ",(VLOOKUP(C1579,'[1]خريطة الحسابات'!_xlnm.Print_Area,3,FALSE)))</f>
        <v xml:space="preserve">الخزينة </v>
      </c>
      <c r="E1579" s="142"/>
      <c r="F1579" s="133"/>
      <c r="G1579" s="133">
        <v>4104</v>
      </c>
      <c r="H1579" s="134">
        <f t="shared" si="73"/>
        <v>0</v>
      </c>
      <c r="I1579" s="134">
        <f t="shared" si="73"/>
        <v>4104</v>
      </c>
      <c r="J1579" s="134">
        <f t="shared" si="72"/>
        <v>-4104</v>
      </c>
      <c r="K1579" s="135"/>
      <c r="L1579" s="136" t="str">
        <f t="shared" si="74"/>
        <v>دائن</v>
      </c>
      <c r="M1579" s="137" t="str">
        <f>IF(ISERROR(VLOOKUP(C1579,'[1]خريطة الحسابات'!_xlnm.Print_Area,4,FALSE))," ",(VLOOKUP(C1579,'[1]خريطة الحسابات'!_xlnm.Print_Area,4,FALSE)))</f>
        <v xml:space="preserve">أصول متداوله -النقدية ومافي حكمها </v>
      </c>
      <c r="N1579" s="138" t="str">
        <f>IF(ISERROR(VLOOKUP(C1579,'[1]خريطة الحسابات'!_xlnm.Print_Area,5,FALSE))," ",(VLOOKUP(C1579,'[1]خريطة الحسابات'!_xlnm.Print_Area,5,FALSE)))</f>
        <v>الاصول</v>
      </c>
      <c r="O1579" s="84" t="s">
        <v>2013</v>
      </c>
      <c r="P1579" s="84" t="s">
        <v>1315</v>
      </c>
    </row>
    <row r="1580" spans="1:16">
      <c r="A1580" s="104">
        <v>61</v>
      </c>
      <c r="B1580" s="131">
        <v>46033</v>
      </c>
      <c r="C1580" s="150">
        <v>20</v>
      </c>
      <c r="D1580" s="140" t="str">
        <f>IF(ISERROR(VLOOKUP(C1580,'[1]خريطة الحسابات'!_xlnm.Print_Area,3,FALSE))," ",(VLOOKUP(C1580,'[1]خريطة الحسابات'!_xlnm.Print_Area,3,FALSE)))</f>
        <v xml:space="preserve">الخزينة </v>
      </c>
      <c r="E1580" s="142"/>
      <c r="F1580" s="133"/>
      <c r="G1580" s="133">
        <v>2475</v>
      </c>
      <c r="H1580" s="134">
        <f t="shared" si="73"/>
        <v>0</v>
      </c>
      <c r="I1580" s="134">
        <f t="shared" si="73"/>
        <v>2475</v>
      </c>
      <c r="J1580" s="134">
        <f t="shared" si="72"/>
        <v>-2475</v>
      </c>
      <c r="K1580" s="135"/>
      <c r="L1580" s="136" t="str">
        <f t="shared" si="74"/>
        <v>دائن</v>
      </c>
      <c r="M1580" s="137" t="str">
        <f>IF(ISERROR(VLOOKUP(C1580,'[1]خريطة الحسابات'!_xlnm.Print_Area,4,FALSE))," ",(VLOOKUP(C1580,'[1]خريطة الحسابات'!_xlnm.Print_Area,4,FALSE)))</f>
        <v xml:space="preserve">أصول متداوله -النقدية ومافي حكمها </v>
      </c>
      <c r="N1580" s="138" t="str">
        <f>IF(ISERROR(VLOOKUP(C1580,'[1]خريطة الحسابات'!_xlnm.Print_Area,5,FALSE))," ",(VLOOKUP(C1580,'[1]خريطة الحسابات'!_xlnm.Print_Area,5,FALSE)))</f>
        <v>الاصول</v>
      </c>
      <c r="O1580" s="84" t="s">
        <v>2014</v>
      </c>
      <c r="P1580" s="84" t="s">
        <v>1315</v>
      </c>
    </row>
    <row r="1581" spans="1:16">
      <c r="A1581" s="104">
        <v>61</v>
      </c>
      <c r="B1581" s="131">
        <v>46034</v>
      </c>
      <c r="C1581" s="150">
        <v>20</v>
      </c>
      <c r="D1581" s="140" t="str">
        <f>IF(ISERROR(VLOOKUP(C1581,'[1]خريطة الحسابات'!_xlnm.Print_Area,3,FALSE))," ",(VLOOKUP(C1581,'[1]خريطة الحسابات'!_xlnm.Print_Area,3,FALSE)))</f>
        <v xml:space="preserve">الخزينة </v>
      </c>
      <c r="E1581" s="142"/>
      <c r="F1581" s="133"/>
      <c r="G1581" s="133">
        <v>2000</v>
      </c>
      <c r="H1581" s="134">
        <f t="shared" si="73"/>
        <v>0</v>
      </c>
      <c r="I1581" s="134">
        <f t="shared" si="73"/>
        <v>2000</v>
      </c>
      <c r="J1581" s="134">
        <f t="shared" si="72"/>
        <v>-2000</v>
      </c>
      <c r="K1581" s="135"/>
      <c r="L1581" s="136" t="str">
        <f t="shared" si="74"/>
        <v>دائن</v>
      </c>
      <c r="M1581" s="137" t="str">
        <f>IF(ISERROR(VLOOKUP(C1581,'[1]خريطة الحسابات'!_xlnm.Print_Area,4,FALSE))," ",(VLOOKUP(C1581,'[1]خريطة الحسابات'!_xlnm.Print_Area,4,FALSE)))</f>
        <v xml:space="preserve">أصول متداوله -النقدية ومافي حكمها </v>
      </c>
      <c r="N1581" s="138" t="str">
        <f>IF(ISERROR(VLOOKUP(C1581,'[1]خريطة الحسابات'!_xlnm.Print_Area,5,FALSE))," ",(VLOOKUP(C1581,'[1]خريطة الحسابات'!_xlnm.Print_Area,5,FALSE)))</f>
        <v>الاصول</v>
      </c>
      <c r="O1581" s="84" t="s">
        <v>2015</v>
      </c>
      <c r="P1581" s="84" t="s">
        <v>1315</v>
      </c>
    </row>
    <row r="1582" spans="1:16">
      <c r="A1582" s="104">
        <v>61</v>
      </c>
      <c r="B1582" s="131">
        <v>46054</v>
      </c>
      <c r="C1582" s="150">
        <v>20</v>
      </c>
      <c r="D1582" s="140" t="str">
        <f>IF(ISERROR(VLOOKUP(C1582,'[1]خريطة الحسابات'!_xlnm.Print_Area,3,FALSE))," ",(VLOOKUP(C1582,'[1]خريطة الحسابات'!_xlnm.Print_Area,3,FALSE)))</f>
        <v xml:space="preserve">الخزينة </v>
      </c>
      <c r="E1582" s="142"/>
      <c r="F1582" s="133"/>
      <c r="G1582" s="133">
        <v>6506</v>
      </c>
      <c r="H1582" s="134">
        <f t="shared" si="73"/>
        <v>0</v>
      </c>
      <c r="I1582" s="134">
        <f t="shared" si="73"/>
        <v>6506</v>
      </c>
      <c r="J1582" s="134">
        <f t="shared" si="72"/>
        <v>-6506</v>
      </c>
      <c r="K1582" s="135"/>
      <c r="L1582" s="136" t="str">
        <f t="shared" si="74"/>
        <v>دائن</v>
      </c>
      <c r="M1582" s="137" t="str">
        <f>IF(ISERROR(VLOOKUP(C1582,'[1]خريطة الحسابات'!_xlnm.Print_Area,4,FALSE))," ",(VLOOKUP(C1582,'[1]خريطة الحسابات'!_xlnm.Print_Area,4,FALSE)))</f>
        <v xml:space="preserve">أصول متداوله -النقدية ومافي حكمها </v>
      </c>
      <c r="N1582" s="138" t="str">
        <f>IF(ISERROR(VLOOKUP(C1582,'[1]خريطة الحسابات'!_xlnm.Print_Area,5,FALSE))," ",(VLOOKUP(C1582,'[1]خريطة الحسابات'!_xlnm.Print_Area,5,FALSE)))</f>
        <v>الاصول</v>
      </c>
      <c r="O1582" s="84" t="s">
        <v>2016</v>
      </c>
      <c r="P1582" s="84" t="s">
        <v>1315</v>
      </c>
    </row>
    <row r="1583" spans="1:16">
      <c r="A1583" s="104">
        <v>61</v>
      </c>
      <c r="B1583" s="131">
        <v>46054</v>
      </c>
      <c r="C1583" s="150">
        <v>20</v>
      </c>
      <c r="D1583" s="140" t="str">
        <f>IF(ISERROR(VLOOKUP(C1583,'[1]خريطة الحسابات'!_xlnm.Print_Area,3,FALSE))," ",(VLOOKUP(C1583,'[1]خريطة الحسابات'!_xlnm.Print_Area,3,FALSE)))</f>
        <v xml:space="preserve">الخزينة </v>
      </c>
      <c r="E1583" s="142"/>
      <c r="F1583" s="133"/>
      <c r="G1583" s="133">
        <v>2403</v>
      </c>
      <c r="H1583" s="134">
        <f t="shared" si="73"/>
        <v>0</v>
      </c>
      <c r="I1583" s="134">
        <f t="shared" si="73"/>
        <v>2403</v>
      </c>
      <c r="J1583" s="134">
        <f t="shared" si="72"/>
        <v>-2403</v>
      </c>
      <c r="K1583" s="135"/>
      <c r="L1583" s="136" t="str">
        <f t="shared" si="74"/>
        <v>دائن</v>
      </c>
      <c r="M1583" s="137" t="str">
        <f>IF(ISERROR(VLOOKUP(C1583,'[1]خريطة الحسابات'!_xlnm.Print_Area,4,FALSE))," ",(VLOOKUP(C1583,'[1]خريطة الحسابات'!_xlnm.Print_Area,4,FALSE)))</f>
        <v xml:space="preserve">أصول متداوله -النقدية ومافي حكمها </v>
      </c>
      <c r="N1583" s="138" t="str">
        <f>IF(ISERROR(VLOOKUP(C1583,'[1]خريطة الحسابات'!_xlnm.Print_Area,5,FALSE))," ",(VLOOKUP(C1583,'[1]خريطة الحسابات'!_xlnm.Print_Area,5,FALSE)))</f>
        <v>الاصول</v>
      </c>
      <c r="O1583" s="84" t="s">
        <v>2017</v>
      </c>
      <c r="P1583" s="84" t="s">
        <v>1315</v>
      </c>
    </row>
    <row r="1584" spans="1:16">
      <c r="A1584" s="104">
        <v>61</v>
      </c>
      <c r="B1584" s="131">
        <v>46058</v>
      </c>
      <c r="C1584" s="150">
        <v>20</v>
      </c>
      <c r="D1584" s="140" t="str">
        <f>IF(ISERROR(VLOOKUP(C1584,'[1]خريطة الحسابات'!_xlnm.Print_Area,3,FALSE))," ",(VLOOKUP(C1584,'[1]خريطة الحسابات'!_xlnm.Print_Area,3,FALSE)))</f>
        <v xml:space="preserve">الخزينة </v>
      </c>
      <c r="E1584" s="142"/>
      <c r="F1584" s="133"/>
      <c r="G1584" s="133">
        <v>13290</v>
      </c>
      <c r="H1584" s="134">
        <f t="shared" si="73"/>
        <v>0</v>
      </c>
      <c r="I1584" s="134">
        <f t="shared" si="73"/>
        <v>13290</v>
      </c>
      <c r="J1584" s="134">
        <f t="shared" si="72"/>
        <v>-13290</v>
      </c>
      <c r="K1584" s="135"/>
      <c r="L1584" s="136" t="str">
        <f t="shared" si="74"/>
        <v>دائن</v>
      </c>
      <c r="M1584" s="137" t="str">
        <f>IF(ISERROR(VLOOKUP(C1584,'[1]خريطة الحسابات'!_xlnm.Print_Area,4,FALSE))," ",(VLOOKUP(C1584,'[1]خريطة الحسابات'!_xlnm.Print_Area,4,FALSE)))</f>
        <v xml:space="preserve">أصول متداوله -النقدية ومافي حكمها </v>
      </c>
      <c r="N1584" s="138" t="str">
        <f>IF(ISERROR(VLOOKUP(C1584,'[1]خريطة الحسابات'!_xlnm.Print_Area,5,FALSE))," ",(VLOOKUP(C1584,'[1]خريطة الحسابات'!_xlnm.Print_Area,5,FALSE)))</f>
        <v>الاصول</v>
      </c>
      <c r="O1584" s="84" t="s">
        <v>2018</v>
      </c>
      <c r="P1584" s="84" t="s">
        <v>1315</v>
      </c>
    </row>
    <row r="1585" spans="1:16">
      <c r="A1585" s="104">
        <v>61</v>
      </c>
      <c r="B1585" s="131">
        <v>46058</v>
      </c>
      <c r="C1585" s="150">
        <v>20</v>
      </c>
      <c r="D1585" s="140" t="str">
        <f>IF(ISERROR(VLOOKUP(C1585,'[1]خريطة الحسابات'!_xlnm.Print_Area,3,FALSE))," ",(VLOOKUP(C1585,'[1]خريطة الحسابات'!_xlnm.Print_Area,3,FALSE)))</f>
        <v xml:space="preserve">الخزينة </v>
      </c>
      <c r="E1585" s="142"/>
      <c r="F1585" s="133"/>
      <c r="G1585" s="133">
        <v>3000</v>
      </c>
      <c r="H1585" s="134">
        <f t="shared" si="73"/>
        <v>0</v>
      </c>
      <c r="I1585" s="134">
        <f t="shared" si="73"/>
        <v>3000</v>
      </c>
      <c r="J1585" s="134">
        <f t="shared" si="72"/>
        <v>-3000</v>
      </c>
      <c r="K1585" s="135"/>
      <c r="L1585" s="136" t="str">
        <f t="shared" si="74"/>
        <v>دائن</v>
      </c>
      <c r="M1585" s="137" t="str">
        <f>IF(ISERROR(VLOOKUP(C1585,'[1]خريطة الحسابات'!_xlnm.Print_Area,4,FALSE))," ",(VLOOKUP(C1585,'[1]خريطة الحسابات'!_xlnm.Print_Area,4,FALSE)))</f>
        <v xml:space="preserve">أصول متداوله -النقدية ومافي حكمها </v>
      </c>
      <c r="N1585" s="138" t="str">
        <f>IF(ISERROR(VLOOKUP(C1585,'[1]خريطة الحسابات'!_xlnm.Print_Area,5,FALSE))," ",(VLOOKUP(C1585,'[1]خريطة الحسابات'!_xlnm.Print_Area,5,FALSE)))</f>
        <v>الاصول</v>
      </c>
      <c r="O1585" s="84" t="s">
        <v>2019</v>
      </c>
      <c r="P1585" s="84" t="s">
        <v>1315</v>
      </c>
    </row>
    <row r="1586" spans="1:16">
      <c r="A1586" s="104">
        <v>61</v>
      </c>
      <c r="B1586" s="131">
        <v>46159</v>
      </c>
      <c r="C1586" s="150">
        <v>20</v>
      </c>
      <c r="D1586" s="140" t="str">
        <f>IF(ISERROR(VLOOKUP(C1586,'[1]خريطة الحسابات'!_xlnm.Print_Area,3,FALSE))," ",(VLOOKUP(C1586,'[1]خريطة الحسابات'!_xlnm.Print_Area,3,FALSE)))</f>
        <v xml:space="preserve">الخزينة </v>
      </c>
      <c r="E1586" s="142"/>
      <c r="F1586" s="133"/>
      <c r="G1586" s="133">
        <v>19190</v>
      </c>
      <c r="H1586" s="134">
        <f t="shared" si="73"/>
        <v>0</v>
      </c>
      <c r="I1586" s="134">
        <f t="shared" si="73"/>
        <v>19190</v>
      </c>
      <c r="J1586" s="134">
        <f t="shared" si="72"/>
        <v>-19190</v>
      </c>
      <c r="K1586" s="135"/>
      <c r="L1586" s="136" t="str">
        <f t="shared" si="74"/>
        <v>دائن</v>
      </c>
      <c r="M1586" s="137" t="str">
        <f>IF(ISERROR(VLOOKUP(C1586,'[1]خريطة الحسابات'!_xlnm.Print_Area,4,FALSE))," ",(VLOOKUP(C1586,'[1]خريطة الحسابات'!_xlnm.Print_Area,4,FALSE)))</f>
        <v xml:space="preserve">أصول متداوله -النقدية ومافي حكمها </v>
      </c>
      <c r="N1586" s="138" t="str">
        <f>IF(ISERROR(VLOOKUP(C1586,'[1]خريطة الحسابات'!_xlnm.Print_Area,5,FALSE))," ",(VLOOKUP(C1586,'[1]خريطة الحسابات'!_xlnm.Print_Area,5,FALSE)))</f>
        <v>الاصول</v>
      </c>
      <c r="O1586" s="84" t="s">
        <v>2020</v>
      </c>
      <c r="P1586" s="84" t="s">
        <v>1489</v>
      </c>
    </row>
    <row r="1587" spans="1:16">
      <c r="A1587" s="104">
        <v>61</v>
      </c>
      <c r="B1587" s="131">
        <v>46161</v>
      </c>
      <c r="C1587" s="150">
        <v>20</v>
      </c>
      <c r="D1587" s="140" t="str">
        <f>IF(ISERROR(VLOOKUP(C1587,'[1]خريطة الحسابات'!_xlnm.Print_Area,3,FALSE))," ",(VLOOKUP(C1587,'[1]خريطة الحسابات'!_xlnm.Print_Area,3,FALSE)))</f>
        <v xml:space="preserve">الخزينة </v>
      </c>
      <c r="E1587" s="142"/>
      <c r="F1587" s="133"/>
      <c r="G1587" s="133">
        <v>120</v>
      </c>
      <c r="H1587" s="134">
        <f t="shared" si="73"/>
        <v>0</v>
      </c>
      <c r="I1587" s="134">
        <f t="shared" si="73"/>
        <v>120</v>
      </c>
      <c r="J1587" s="134">
        <f t="shared" si="72"/>
        <v>-120</v>
      </c>
      <c r="K1587" s="135"/>
      <c r="L1587" s="136" t="str">
        <f t="shared" si="74"/>
        <v>دائن</v>
      </c>
      <c r="M1587" s="137" t="str">
        <f>IF(ISERROR(VLOOKUP(C1587,'[1]خريطة الحسابات'!_xlnm.Print_Area,4,FALSE))," ",(VLOOKUP(C1587,'[1]خريطة الحسابات'!_xlnm.Print_Area,4,FALSE)))</f>
        <v xml:space="preserve">أصول متداوله -النقدية ومافي حكمها </v>
      </c>
      <c r="N1587" s="138" t="str">
        <f>IF(ISERROR(VLOOKUP(C1587,'[1]خريطة الحسابات'!_xlnm.Print_Area,5,FALSE))," ",(VLOOKUP(C1587,'[1]خريطة الحسابات'!_xlnm.Print_Area,5,FALSE)))</f>
        <v>الاصول</v>
      </c>
      <c r="O1587" s="84" t="s">
        <v>2021</v>
      </c>
      <c r="P1587" s="84" t="s">
        <v>1489</v>
      </c>
    </row>
    <row r="1588" spans="1:16">
      <c r="A1588" s="104">
        <v>61</v>
      </c>
      <c r="B1588" s="131">
        <v>46162</v>
      </c>
      <c r="C1588" s="150">
        <v>20</v>
      </c>
      <c r="D1588" s="140" t="str">
        <f>IF(ISERROR(VLOOKUP(C1588,'[1]خريطة الحسابات'!_xlnm.Print_Area,3,FALSE))," ",(VLOOKUP(C1588,'[1]خريطة الحسابات'!_xlnm.Print_Area,3,FALSE)))</f>
        <v xml:space="preserve">الخزينة </v>
      </c>
      <c r="E1588" s="142"/>
      <c r="F1588" s="133"/>
      <c r="G1588" s="133">
        <v>3003</v>
      </c>
      <c r="H1588" s="134">
        <f t="shared" si="73"/>
        <v>0</v>
      </c>
      <c r="I1588" s="134">
        <f t="shared" si="73"/>
        <v>3003</v>
      </c>
      <c r="J1588" s="134">
        <f t="shared" si="72"/>
        <v>-3003</v>
      </c>
      <c r="K1588" s="135"/>
      <c r="L1588" s="136" t="str">
        <f t="shared" si="74"/>
        <v>دائن</v>
      </c>
      <c r="M1588" s="137" t="str">
        <f>IF(ISERROR(VLOOKUP(C1588,'[1]خريطة الحسابات'!_xlnm.Print_Area,4,FALSE))," ",(VLOOKUP(C1588,'[1]خريطة الحسابات'!_xlnm.Print_Area,4,FALSE)))</f>
        <v xml:space="preserve">أصول متداوله -النقدية ومافي حكمها </v>
      </c>
      <c r="N1588" s="138" t="str">
        <f>IF(ISERROR(VLOOKUP(C1588,'[1]خريطة الحسابات'!_xlnm.Print_Area,5,FALSE))," ",(VLOOKUP(C1588,'[1]خريطة الحسابات'!_xlnm.Print_Area,5,FALSE)))</f>
        <v>الاصول</v>
      </c>
      <c r="O1588" s="84" t="s">
        <v>1879</v>
      </c>
      <c r="P1588" s="84" t="s">
        <v>1489</v>
      </c>
    </row>
    <row r="1589" spans="1:16">
      <c r="A1589" s="104">
        <v>61</v>
      </c>
      <c r="B1589" s="131">
        <v>46120</v>
      </c>
      <c r="C1589" s="150">
        <v>20</v>
      </c>
      <c r="D1589" s="140" t="str">
        <f>IF(ISERROR(VLOOKUP(C1589,'[1]خريطة الحسابات'!_xlnm.Print_Area,3,FALSE))," ",(VLOOKUP(C1589,'[1]خريطة الحسابات'!_xlnm.Print_Area,3,FALSE)))</f>
        <v xml:space="preserve">الخزينة </v>
      </c>
      <c r="E1589" s="142"/>
      <c r="F1589" s="133"/>
      <c r="G1589" s="133">
        <v>5000</v>
      </c>
      <c r="H1589" s="134">
        <f t="shared" si="73"/>
        <v>0</v>
      </c>
      <c r="I1589" s="134">
        <f t="shared" si="73"/>
        <v>5000</v>
      </c>
      <c r="J1589" s="134">
        <f t="shared" si="72"/>
        <v>-5000</v>
      </c>
      <c r="K1589" s="135"/>
      <c r="L1589" s="136" t="str">
        <f t="shared" si="74"/>
        <v>دائن</v>
      </c>
      <c r="M1589" s="137" t="str">
        <f>IF(ISERROR(VLOOKUP(C1589,'[1]خريطة الحسابات'!_xlnm.Print_Area,4,FALSE))," ",(VLOOKUP(C1589,'[1]خريطة الحسابات'!_xlnm.Print_Area,4,FALSE)))</f>
        <v xml:space="preserve">أصول متداوله -النقدية ومافي حكمها </v>
      </c>
      <c r="N1589" s="138" t="str">
        <f>IF(ISERROR(VLOOKUP(C1589,'[1]خريطة الحسابات'!_xlnm.Print_Area,5,FALSE))," ",(VLOOKUP(C1589,'[1]خريطة الحسابات'!_xlnm.Print_Area,5,FALSE)))</f>
        <v>الاصول</v>
      </c>
      <c r="O1589" s="84" t="s">
        <v>2019</v>
      </c>
      <c r="P1589" s="84" t="s">
        <v>1383</v>
      </c>
    </row>
    <row r="1590" spans="1:16">
      <c r="A1590" s="104">
        <v>61</v>
      </c>
      <c r="B1590" s="131">
        <v>46181</v>
      </c>
      <c r="C1590" s="150">
        <v>20</v>
      </c>
      <c r="D1590" s="140" t="str">
        <f>IF(ISERROR(VLOOKUP(C1590,'[1]خريطة الحسابات'!_xlnm.Print_Area,3,FALSE))," ",(VLOOKUP(C1590,'[1]خريطة الحسابات'!_xlnm.Print_Area,3,FALSE)))</f>
        <v xml:space="preserve">الخزينة </v>
      </c>
      <c r="E1590" s="142"/>
      <c r="F1590" s="133"/>
      <c r="G1590" s="133">
        <v>7350</v>
      </c>
      <c r="H1590" s="134">
        <f t="shared" si="73"/>
        <v>0</v>
      </c>
      <c r="I1590" s="134">
        <f t="shared" si="73"/>
        <v>7350</v>
      </c>
      <c r="J1590" s="134">
        <f t="shared" si="72"/>
        <v>-7350</v>
      </c>
      <c r="K1590" s="135"/>
      <c r="L1590" s="136" t="str">
        <f t="shared" si="74"/>
        <v>دائن</v>
      </c>
      <c r="M1590" s="137" t="str">
        <f>IF(ISERROR(VLOOKUP(C1590,'[1]خريطة الحسابات'!_xlnm.Print_Area,4,FALSE))," ",(VLOOKUP(C1590,'[1]خريطة الحسابات'!_xlnm.Print_Area,4,FALSE)))</f>
        <v xml:space="preserve">أصول متداوله -النقدية ومافي حكمها </v>
      </c>
      <c r="N1590" s="138" t="str">
        <f>IF(ISERROR(VLOOKUP(C1590,'[1]خريطة الحسابات'!_xlnm.Print_Area,5,FALSE))," ",(VLOOKUP(C1590,'[1]خريطة الحسابات'!_xlnm.Print_Area,5,FALSE)))</f>
        <v>الاصول</v>
      </c>
      <c r="O1590" s="84" t="s">
        <v>2022</v>
      </c>
      <c r="P1590" s="84" t="s">
        <v>1383</v>
      </c>
    </row>
    <row r="1591" spans="1:16">
      <c r="A1591" s="104">
        <v>61</v>
      </c>
      <c r="B1591" s="131">
        <v>46144</v>
      </c>
      <c r="C1591" s="150">
        <v>20</v>
      </c>
      <c r="D1591" s="140" t="str">
        <f>IF(ISERROR(VLOOKUP(C1591,'[1]خريطة الحسابات'!_xlnm.Print_Area,3,FALSE))," ",(VLOOKUP(C1591,'[1]خريطة الحسابات'!_xlnm.Print_Area,3,FALSE)))</f>
        <v xml:space="preserve">الخزينة </v>
      </c>
      <c r="E1591" s="142"/>
      <c r="F1591" s="133"/>
      <c r="G1591" s="133">
        <v>500</v>
      </c>
      <c r="H1591" s="134">
        <f t="shared" si="73"/>
        <v>0</v>
      </c>
      <c r="I1591" s="134">
        <f t="shared" si="73"/>
        <v>500</v>
      </c>
      <c r="J1591" s="134">
        <f t="shared" si="72"/>
        <v>-500</v>
      </c>
      <c r="K1591" s="135"/>
      <c r="L1591" s="136" t="str">
        <f t="shared" si="74"/>
        <v>دائن</v>
      </c>
      <c r="M1591" s="137" t="str">
        <f>IF(ISERROR(VLOOKUP(C1591,'[1]خريطة الحسابات'!_xlnm.Print_Area,4,FALSE))," ",(VLOOKUP(C1591,'[1]خريطة الحسابات'!_xlnm.Print_Area,4,FALSE)))</f>
        <v xml:space="preserve">أصول متداوله -النقدية ومافي حكمها </v>
      </c>
      <c r="N1591" s="138" t="str">
        <f>IF(ISERROR(VLOOKUP(C1591,'[1]خريطة الحسابات'!_xlnm.Print_Area,5,FALSE))," ",(VLOOKUP(C1591,'[1]خريطة الحسابات'!_xlnm.Print_Area,5,FALSE)))</f>
        <v>الاصول</v>
      </c>
      <c r="O1591" s="84" t="s">
        <v>2023</v>
      </c>
      <c r="P1591" s="84" t="s">
        <v>1317</v>
      </c>
    </row>
    <row r="1592" spans="1:16">
      <c r="A1592" s="104">
        <v>61</v>
      </c>
      <c r="B1592" s="131">
        <v>46163</v>
      </c>
      <c r="C1592" s="150">
        <v>20</v>
      </c>
      <c r="D1592" s="140" t="str">
        <f>IF(ISERROR(VLOOKUP(C1592,'[1]خريطة الحسابات'!_xlnm.Print_Area,3,FALSE))," ",(VLOOKUP(C1592,'[1]خريطة الحسابات'!_xlnm.Print_Area,3,FALSE)))</f>
        <v xml:space="preserve">الخزينة </v>
      </c>
      <c r="E1592" s="142"/>
      <c r="F1592" s="133"/>
      <c r="G1592" s="133">
        <v>9900</v>
      </c>
      <c r="H1592" s="134">
        <f t="shared" si="73"/>
        <v>0</v>
      </c>
      <c r="I1592" s="134">
        <f t="shared" si="73"/>
        <v>9900</v>
      </c>
      <c r="J1592" s="134">
        <f t="shared" si="72"/>
        <v>-9900</v>
      </c>
      <c r="K1592" s="135"/>
      <c r="L1592" s="136" t="str">
        <f t="shared" si="74"/>
        <v>دائن</v>
      </c>
      <c r="M1592" s="137" t="str">
        <f>IF(ISERROR(VLOOKUP(C1592,'[1]خريطة الحسابات'!_xlnm.Print_Area,4,FALSE))," ",(VLOOKUP(C1592,'[1]خريطة الحسابات'!_xlnm.Print_Area,4,FALSE)))</f>
        <v xml:space="preserve">أصول متداوله -النقدية ومافي حكمها </v>
      </c>
      <c r="N1592" s="138" t="str">
        <f>IF(ISERROR(VLOOKUP(C1592,'[1]خريطة الحسابات'!_xlnm.Print_Area,5,FALSE))," ",(VLOOKUP(C1592,'[1]خريطة الحسابات'!_xlnm.Print_Area,5,FALSE)))</f>
        <v>الاصول</v>
      </c>
      <c r="O1592" s="84" t="s">
        <v>2024</v>
      </c>
      <c r="P1592" s="84" t="s">
        <v>1317</v>
      </c>
    </row>
    <row r="1593" spans="1:16">
      <c r="A1593" s="104">
        <v>61</v>
      </c>
      <c r="B1593" s="131">
        <v>46166</v>
      </c>
      <c r="C1593" s="150">
        <v>20</v>
      </c>
      <c r="D1593" s="140" t="str">
        <f>IF(ISERROR(VLOOKUP(C1593,'[1]خريطة الحسابات'!_xlnm.Print_Area,3,FALSE))," ",(VLOOKUP(C1593,'[1]خريطة الحسابات'!_xlnm.Print_Area,3,FALSE)))</f>
        <v xml:space="preserve">الخزينة </v>
      </c>
      <c r="E1593" s="142"/>
      <c r="F1593" s="133"/>
      <c r="G1593" s="133">
        <v>3000</v>
      </c>
      <c r="H1593" s="134">
        <f t="shared" si="73"/>
        <v>0</v>
      </c>
      <c r="I1593" s="134">
        <f t="shared" si="73"/>
        <v>3000</v>
      </c>
      <c r="J1593" s="134">
        <f t="shared" si="72"/>
        <v>-3000</v>
      </c>
      <c r="K1593" s="135"/>
      <c r="L1593" s="136" t="str">
        <f t="shared" si="74"/>
        <v>دائن</v>
      </c>
      <c r="M1593" s="137" t="str">
        <f>IF(ISERROR(VLOOKUP(C1593,'[1]خريطة الحسابات'!_xlnm.Print_Area,4,FALSE))," ",(VLOOKUP(C1593,'[1]خريطة الحسابات'!_xlnm.Print_Area,4,FALSE)))</f>
        <v xml:space="preserve">أصول متداوله -النقدية ومافي حكمها </v>
      </c>
      <c r="N1593" s="138" t="str">
        <f>IF(ISERROR(VLOOKUP(C1593,'[1]خريطة الحسابات'!_xlnm.Print_Area,5,FALSE))," ",(VLOOKUP(C1593,'[1]خريطة الحسابات'!_xlnm.Print_Area,5,FALSE)))</f>
        <v>الاصول</v>
      </c>
      <c r="O1593" s="84" t="s">
        <v>2025</v>
      </c>
      <c r="P1593" s="84" t="s">
        <v>1317</v>
      </c>
    </row>
    <row r="1594" spans="1:16">
      <c r="A1594" s="104">
        <v>61</v>
      </c>
      <c r="B1594" s="131">
        <v>46177</v>
      </c>
      <c r="C1594" s="150">
        <v>20</v>
      </c>
      <c r="D1594" s="140" t="str">
        <f>IF(ISERROR(VLOOKUP(C1594,'[1]خريطة الحسابات'!_xlnm.Print_Area,3,FALSE))," ",(VLOOKUP(C1594,'[1]خريطة الحسابات'!_xlnm.Print_Area,3,FALSE)))</f>
        <v xml:space="preserve">الخزينة </v>
      </c>
      <c r="E1594" s="142"/>
      <c r="F1594" s="133"/>
      <c r="G1594" s="133">
        <v>1502</v>
      </c>
      <c r="H1594" s="134">
        <f t="shared" si="73"/>
        <v>0</v>
      </c>
      <c r="I1594" s="134">
        <f t="shared" si="73"/>
        <v>1502</v>
      </c>
      <c r="J1594" s="134">
        <f t="shared" si="72"/>
        <v>-1502</v>
      </c>
      <c r="K1594" s="135"/>
      <c r="L1594" s="136" t="str">
        <f t="shared" si="74"/>
        <v>دائن</v>
      </c>
      <c r="M1594" s="137" t="str">
        <f>IF(ISERROR(VLOOKUP(C1594,'[1]خريطة الحسابات'!_xlnm.Print_Area,4,FALSE))," ",(VLOOKUP(C1594,'[1]خريطة الحسابات'!_xlnm.Print_Area,4,FALSE)))</f>
        <v xml:space="preserve">أصول متداوله -النقدية ومافي حكمها </v>
      </c>
      <c r="N1594" s="138" t="str">
        <f>IF(ISERROR(VLOOKUP(C1594,'[1]خريطة الحسابات'!_xlnm.Print_Area,5,FALSE))," ",(VLOOKUP(C1594,'[1]خريطة الحسابات'!_xlnm.Print_Area,5,FALSE)))</f>
        <v>الاصول</v>
      </c>
      <c r="O1594" s="84" t="s">
        <v>2026</v>
      </c>
      <c r="P1594" s="84" t="s">
        <v>1317</v>
      </c>
    </row>
    <row r="1595" spans="1:16">
      <c r="A1595" s="104">
        <v>62</v>
      </c>
      <c r="B1595" s="131">
        <v>46161</v>
      </c>
      <c r="C1595" s="150" t="s">
        <v>889</v>
      </c>
      <c r="D1595" s="140" t="str">
        <f>IF(ISERROR(VLOOKUP(C1595,'[1]خريطة الحسابات'!_xlnm.Print_Area,3,FALSE))," ",(VLOOKUP(C1595,'[1]خريطة الحسابات'!_xlnm.Print_Area,3,FALSE)))</f>
        <v>خامات ومصنعية أعمال الألوميتال والكيريتال</v>
      </c>
      <c r="E1595" s="142"/>
      <c r="F1595" s="133">
        <v>3000</v>
      </c>
      <c r="G1595" s="133"/>
      <c r="H1595" s="134">
        <f t="shared" si="73"/>
        <v>3000</v>
      </c>
      <c r="I1595" s="134">
        <f t="shared" si="73"/>
        <v>0</v>
      </c>
      <c r="J1595" s="134">
        <f t="shared" si="72"/>
        <v>3000</v>
      </c>
      <c r="K1595" s="135"/>
      <c r="L1595" s="136" t="str">
        <f t="shared" si="74"/>
        <v>مدين</v>
      </c>
      <c r="M1595" s="137" t="str">
        <f>IF(ISERROR(VLOOKUP(C1595,'[1]خريطة الحسابات'!_xlnm.Print_Area,4,FALSE))," ",(VLOOKUP(C1595,'[1]خريطة الحسابات'!_xlnm.Print_Area,4,FALSE)))</f>
        <v>تكاليف مشروع شقة هليوبوليس</v>
      </c>
      <c r="N1595" s="138" t="str">
        <f>IF(ISERROR(VLOOKUP(C1595,'[1]خريطة الحسابات'!_xlnm.Print_Area,5,FALSE))," ",(VLOOKUP(C1595,'[1]خريطة الحسابات'!_xlnm.Print_Area,5,FALSE)))</f>
        <v xml:space="preserve">تكاليف العمليات </v>
      </c>
      <c r="O1595" s="84" t="s">
        <v>2027</v>
      </c>
      <c r="P1595" s="84" t="s">
        <v>1983</v>
      </c>
    </row>
    <row r="1596" spans="1:16">
      <c r="A1596" s="104">
        <v>62</v>
      </c>
      <c r="B1596" s="131">
        <v>46161</v>
      </c>
      <c r="C1596" s="150">
        <v>20</v>
      </c>
      <c r="D1596" s="140" t="str">
        <f>IF(ISERROR(VLOOKUP(C1596,'[1]خريطة الحسابات'!_xlnm.Print_Area,3,FALSE))," ",(VLOOKUP(C1596,'[1]خريطة الحسابات'!_xlnm.Print_Area,3,FALSE)))</f>
        <v xml:space="preserve">الخزينة </v>
      </c>
      <c r="E1596" s="142"/>
      <c r="F1596" s="133"/>
      <c r="G1596" s="133">
        <v>3000</v>
      </c>
      <c r="H1596" s="134">
        <f t="shared" si="73"/>
        <v>0</v>
      </c>
      <c r="I1596" s="134">
        <f t="shared" si="73"/>
        <v>3000</v>
      </c>
      <c r="J1596" s="134">
        <f t="shared" si="72"/>
        <v>-3000</v>
      </c>
      <c r="K1596" s="135"/>
      <c r="L1596" s="136" t="str">
        <f t="shared" si="74"/>
        <v>دائن</v>
      </c>
      <c r="M1596" s="137" t="str">
        <f>IF(ISERROR(VLOOKUP(C1596,'[1]خريطة الحسابات'!_xlnm.Print_Area,4,FALSE))," ",(VLOOKUP(C1596,'[1]خريطة الحسابات'!_xlnm.Print_Area,4,FALSE)))</f>
        <v xml:space="preserve">أصول متداوله -النقدية ومافي حكمها </v>
      </c>
      <c r="N1596" s="138" t="str">
        <f>IF(ISERROR(VLOOKUP(C1596,'[1]خريطة الحسابات'!_xlnm.Print_Area,5,FALSE))," ",(VLOOKUP(C1596,'[1]خريطة الحسابات'!_xlnm.Print_Area,5,FALSE)))</f>
        <v>الاصول</v>
      </c>
      <c r="O1596" s="84" t="s">
        <v>2027</v>
      </c>
      <c r="P1596" s="84" t="s">
        <v>1983</v>
      </c>
    </row>
    <row r="1597" spans="1:16">
      <c r="A1597" s="104">
        <v>63</v>
      </c>
      <c r="B1597" s="131">
        <v>46163</v>
      </c>
      <c r="C1597" s="150" t="s">
        <v>639</v>
      </c>
      <c r="D1597" s="140" t="str">
        <f>IF(ISERROR(VLOOKUP(C1597,'[1]خريطة الحسابات'!_xlnm.Print_Area,3,FALSE))," ",(VLOOKUP(C1597,'[1]خريطة الحسابات'!_xlnm.Print_Area,3,FALSE)))</f>
        <v>خامات ومصنعية بند الكهرباء</v>
      </c>
      <c r="E1597" s="142"/>
      <c r="F1597" s="133">
        <v>1700</v>
      </c>
      <c r="G1597" s="133"/>
      <c r="H1597" s="134">
        <f t="shared" si="73"/>
        <v>1700</v>
      </c>
      <c r="I1597" s="134">
        <f t="shared" si="73"/>
        <v>0</v>
      </c>
      <c r="J1597" s="134">
        <f t="shared" si="72"/>
        <v>1700</v>
      </c>
      <c r="K1597" s="135"/>
      <c r="L1597" s="136" t="str">
        <f t="shared" si="74"/>
        <v>مدين</v>
      </c>
      <c r="M1597" s="137" t="str">
        <f>IF(ISERROR(VLOOKUP(C1597,'[1]خريطة الحسابات'!_xlnm.Print_Area,4,FALSE))," ",(VLOOKUP(C1597,'[1]خريطة الحسابات'!_xlnm.Print_Area,4,FALSE)))</f>
        <v>تكاليف مشروع الاندلس 364</v>
      </c>
      <c r="N1597" s="138" t="str">
        <f>IF(ISERROR(VLOOKUP(C1597,'[1]خريطة الحسابات'!_xlnm.Print_Area,5,FALSE))," ",(VLOOKUP(C1597,'[1]خريطة الحسابات'!_xlnm.Print_Area,5,FALSE)))</f>
        <v xml:space="preserve">تكاليف العمليات </v>
      </c>
      <c r="O1597" s="84" t="s">
        <v>2028</v>
      </c>
      <c r="P1597" s="84" t="s">
        <v>2029</v>
      </c>
    </row>
    <row r="1598" spans="1:16">
      <c r="A1598" s="104">
        <v>63</v>
      </c>
      <c r="B1598" s="131">
        <v>46133</v>
      </c>
      <c r="C1598" s="150" t="s">
        <v>814</v>
      </c>
      <c r="D1598" s="140" t="str">
        <f>IF(ISERROR(VLOOKUP(C1598,'[1]خريطة الحسابات'!_xlnm.Print_Area,3,FALSE))," ",(VLOOKUP(C1598,'[1]خريطة الحسابات'!_xlnm.Print_Area,3,FALSE)))</f>
        <v>خامات ومصنعية بند الكهرباء</v>
      </c>
      <c r="E1598" s="142"/>
      <c r="F1598" s="133">
        <v>141138</v>
      </c>
      <c r="G1598" s="133"/>
      <c r="H1598" s="134">
        <f t="shared" si="73"/>
        <v>141138</v>
      </c>
      <c r="I1598" s="134">
        <f t="shared" si="73"/>
        <v>0</v>
      </c>
      <c r="J1598" s="134">
        <f t="shared" si="72"/>
        <v>141138</v>
      </c>
      <c r="K1598" s="135"/>
      <c r="L1598" s="136" t="str">
        <f t="shared" si="74"/>
        <v>مدين</v>
      </c>
      <c r="M1598" s="137" t="str">
        <f>IF(ISERROR(VLOOKUP(C1598,'[1]خريطة الحسابات'!_xlnm.Print_Area,4,FALSE))," ",(VLOOKUP(C1598,'[1]خريطة الحسابات'!_xlnm.Print_Area,4,FALSE)))</f>
        <v>تكاليف مشروع احمد زايد 401</v>
      </c>
      <c r="N1598" s="138" t="str">
        <f>IF(ISERROR(VLOOKUP(C1598,'[1]خريطة الحسابات'!_xlnm.Print_Area,5,FALSE))," ",(VLOOKUP(C1598,'[1]خريطة الحسابات'!_xlnm.Print_Area,5,FALSE)))</f>
        <v xml:space="preserve">تكاليف العمليات </v>
      </c>
      <c r="O1598" s="84" t="s">
        <v>2030</v>
      </c>
      <c r="P1598" s="84" t="s">
        <v>1345</v>
      </c>
    </row>
    <row r="1599" spans="1:16">
      <c r="A1599" s="104">
        <v>63</v>
      </c>
      <c r="B1599" s="131">
        <v>46154</v>
      </c>
      <c r="C1599" s="150" t="s">
        <v>814</v>
      </c>
      <c r="D1599" s="140" t="str">
        <f>IF(ISERROR(VLOOKUP(C1599,'[1]خريطة الحسابات'!_xlnm.Print_Area,3,FALSE))," ",(VLOOKUP(C1599,'[1]خريطة الحسابات'!_xlnm.Print_Area,3,FALSE)))</f>
        <v>خامات ومصنعية بند الكهرباء</v>
      </c>
      <c r="E1599" s="142"/>
      <c r="F1599" s="133">
        <v>2500</v>
      </c>
      <c r="G1599" s="133"/>
      <c r="H1599" s="134">
        <f t="shared" si="73"/>
        <v>2500</v>
      </c>
      <c r="I1599" s="134">
        <f t="shared" si="73"/>
        <v>0</v>
      </c>
      <c r="J1599" s="134">
        <f t="shared" si="72"/>
        <v>2500</v>
      </c>
      <c r="K1599" s="135"/>
      <c r="L1599" s="136" t="str">
        <f t="shared" si="74"/>
        <v>مدين</v>
      </c>
      <c r="M1599" s="137" t="str">
        <f>IF(ISERROR(VLOOKUP(C1599,'[1]خريطة الحسابات'!_xlnm.Print_Area,4,FALSE))," ",(VLOOKUP(C1599,'[1]خريطة الحسابات'!_xlnm.Print_Area,4,FALSE)))</f>
        <v>تكاليف مشروع احمد زايد 401</v>
      </c>
      <c r="N1599" s="138" t="str">
        <f>IF(ISERROR(VLOOKUP(C1599,'[1]خريطة الحسابات'!_xlnm.Print_Area,5,FALSE))," ",(VLOOKUP(C1599,'[1]خريطة الحسابات'!_xlnm.Print_Area,5,FALSE)))</f>
        <v xml:space="preserve">تكاليف العمليات </v>
      </c>
      <c r="O1599" s="84" t="s">
        <v>2031</v>
      </c>
      <c r="P1599" s="84" t="s">
        <v>1345</v>
      </c>
    </row>
    <row r="1600" spans="1:16">
      <c r="A1600" s="104">
        <v>63</v>
      </c>
      <c r="B1600" s="131">
        <v>46147</v>
      </c>
      <c r="C1600" s="150" t="s">
        <v>709</v>
      </c>
      <c r="D1600" s="140" t="str">
        <f>IF(ISERROR(VLOOKUP(C1600,'[1]خريطة الحسابات'!_xlnm.Print_Area,3,FALSE))," ",(VLOOKUP(C1600,'[1]خريطة الحسابات'!_xlnm.Print_Area,3,FALSE)))</f>
        <v>خامات ومصنعية بند الكهرباء</v>
      </c>
      <c r="E1600" s="142"/>
      <c r="F1600" s="133">
        <v>68050</v>
      </c>
      <c r="G1600" s="133"/>
      <c r="H1600" s="134">
        <f t="shared" si="73"/>
        <v>68050</v>
      </c>
      <c r="I1600" s="134">
        <f t="shared" si="73"/>
        <v>0</v>
      </c>
      <c r="J1600" s="134">
        <f t="shared" si="72"/>
        <v>68050</v>
      </c>
      <c r="K1600" s="135"/>
      <c r="L1600" s="136" t="str">
        <f t="shared" si="74"/>
        <v>مدين</v>
      </c>
      <c r="M1600" s="137" t="str">
        <f>IF(ISERROR(VLOOKUP(C1600,'[1]خريطة الحسابات'!_xlnm.Print_Area,4,FALSE))," ",(VLOOKUP(C1600,'[1]خريطة الحسابات'!_xlnm.Print_Area,4,FALSE)))</f>
        <v>تكاليف مشروع اشرف الشروق 372</v>
      </c>
      <c r="N1600" s="138" t="str">
        <f>IF(ISERROR(VLOOKUP(C1600,'[1]خريطة الحسابات'!_xlnm.Print_Area,5,FALSE))," ",(VLOOKUP(C1600,'[1]خريطة الحسابات'!_xlnm.Print_Area,5,FALSE)))</f>
        <v xml:space="preserve">تكاليف العمليات </v>
      </c>
      <c r="O1600" s="84" t="s">
        <v>2032</v>
      </c>
      <c r="P1600" s="84" t="s">
        <v>1340</v>
      </c>
    </row>
    <row r="1601" spans="1:16">
      <c r="A1601" s="104">
        <v>63</v>
      </c>
      <c r="B1601" s="131">
        <v>46039</v>
      </c>
      <c r="C1601" s="150" t="s">
        <v>639</v>
      </c>
      <c r="D1601" s="140" t="str">
        <f>IF(ISERROR(VLOOKUP(C1601,'[1]خريطة الحسابات'!_xlnm.Print_Area,3,FALSE))," ",(VLOOKUP(C1601,'[1]خريطة الحسابات'!_xlnm.Print_Area,3,FALSE)))</f>
        <v>خامات ومصنعية بند الكهرباء</v>
      </c>
      <c r="E1601" s="142"/>
      <c r="F1601" s="133">
        <v>72255</v>
      </c>
      <c r="G1601" s="133"/>
      <c r="H1601" s="134">
        <f t="shared" si="73"/>
        <v>72255</v>
      </c>
      <c r="I1601" s="134">
        <f t="shared" si="73"/>
        <v>0</v>
      </c>
      <c r="J1601" s="134">
        <f t="shared" si="72"/>
        <v>72255</v>
      </c>
      <c r="K1601" s="135"/>
      <c r="L1601" s="136" t="str">
        <f t="shared" si="74"/>
        <v>مدين</v>
      </c>
      <c r="M1601" s="137" t="str">
        <f>IF(ISERROR(VLOOKUP(C1601,'[1]خريطة الحسابات'!_xlnm.Print_Area,4,FALSE))," ",(VLOOKUP(C1601,'[1]خريطة الحسابات'!_xlnm.Print_Area,4,FALSE)))</f>
        <v>تكاليف مشروع الاندلس 364</v>
      </c>
      <c r="N1601" s="138" t="str">
        <f>IF(ISERROR(VLOOKUP(C1601,'[1]خريطة الحسابات'!_xlnm.Print_Area,5,FALSE))," ",(VLOOKUP(C1601,'[1]خريطة الحسابات'!_xlnm.Print_Area,5,FALSE)))</f>
        <v xml:space="preserve">تكاليف العمليات </v>
      </c>
      <c r="O1601" s="84" t="s">
        <v>2033</v>
      </c>
      <c r="P1601" s="84" t="s">
        <v>1299</v>
      </c>
    </row>
    <row r="1602" spans="1:16">
      <c r="A1602" s="104">
        <v>63</v>
      </c>
      <c r="B1602" s="131">
        <v>46046</v>
      </c>
      <c r="C1602" s="150" t="s">
        <v>639</v>
      </c>
      <c r="D1602" s="140" t="str">
        <f>IF(ISERROR(VLOOKUP(C1602,'[1]خريطة الحسابات'!_xlnm.Print_Area,3,FALSE))," ",(VLOOKUP(C1602,'[1]خريطة الحسابات'!_xlnm.Print_Area,3,FALSE)))</f>
        <v>خامات ومصنعية بند الكهرباء</v>
      </c>
      <c r="E1602" s="142"/>
      <c r="F1602" s="133">
        <v>1232</v>
      </c>
      <c r="G1602" s="133"/>
      <c r="H1602" s="134">
        <f t="shared" si="73"/>
        <v>1232</v>
      </c>
      <c r="I1602" s="134">
        <f t="shared" si="73"/>
        <v>0</v>
      </c>
      <c r="J1602" s="134">
        <f t="shared" si="72"/>
        <v>1232</v>
      </c>
      <c r="K1602" s="135"/>
      <c r="L1602" s="136" t="str">
        <f t="shared" si="74"/>
        <v>مدين</v>
      </c>
      <c r="M1602" s="137" t="str">
        <f>IF(ISERROR(VLOOKUP(C1602,'[1]خريطة الحسابات'!_xlnm.Print_Area,4,FALSE))," ",(VLOOKUP(C1602,'[1]خريطة الحسابات'!_xlnm.Print_Area,4,FALSE)))</f>
        <v>تكاليف مشروع الاندلس 364</v>
      </c>
      <c r="N1602" s="138" t="str">
        <f>IF(ISERROR(VLOOKUP(C1602,'[1]خريطة الحسابات'!_xlnm.Print_Area,5,FALSE))," ",(VLOOKUP(C1602,'[1]خريطة الحسابات'!_xlnm.Print_Area,5,FALSE)))</f>
        <v xml:space="preserve">تكاليف العمليات </v>
      </c>
      <c r="O1602" s="84" t="s">
        <v>2034</v>
      </c>
      <c r="P1602" s="84" t="s">
        <v>1299</v>
      </c>
    </row>
    <row r="1603" spans="1:16">
      <c r="A1603" s="104">
        <v>63</v>
      </c>
      <c r="B1603" s="131">
        <v>46051</v>
      </c>
      <c r="C1603" s="150" t="s">
        <v>639</v>
      </c>
      <c r="D1603" s="140" t="str">
        <f>IF(ISERROR(VLOOKUP(C1603,'[1]خريطة الحسابات'!_xlnm.Print_Area,3,FALSE))," ",(VLOOKUP(C1603,'[1]خريطة الحسابات'!_xlnm.Print_Area,3,FALSE)))</f>
        <v>خامات ومصنعية بند الكهرباء</v>
      </c>
      <c r="E1603" s="142"/>
      <c r="F1603" s="133">
        <v>270</v>
      </c>
      <c r="G1603" s="133"/>
      <c r="H1603" s="134">
        <f t="shared" si="73"/>
        <v>270</v>
      </c>
      <c r="I1603" s="134">
        <f t="shared" si="73"/>
        <v>0</v>
      </c>
      <c r="J1603" s="134">
        <f t="shared" si="72"/>
        <v>270</v>
      </c>
      <c r="K1603" s="135"/>
      <c r="L1603" s="136" t="str">
        <f t="shared" si="74"/>
        <v>مدين</v>
      </c>
      <c r="M1603" s="137" t="str">
        <f>IF(ISERROR(VLOOKUP(C1603,'[1]خريطة الحسابات'!_xlnm.Print_Area,4,FALSE))," ",(VLOOKUP(C1603,'[1]خريطة الحسابات'!_xlnm.Print_Area,4,FALSE)))</f>
        <v>تكاليف مشروع الاندلس 364</v>
      </c>
      <c r="N1603" s="138" t="str">
        <f>IF(ISERROR(VLOOKUP(C1603,'[1]خريطة الحسابات'!_xlnm.Print_Area,5,FALSE))," ",(VLOOKUP(C1603,'[1]خريطة الحسابات'!_xlnm.Print_Area,5,FALSE)))</f>
        <v xml:space="preserve">تكاليف العمليات </v>
      </c>
      <c r="O1603" s="84" t="s">
        <v>2035</v>
      </c>
      <c r="P1603" s="84" t="s">
        <v>1299</v>
      </c>
    </row>
    <row r="1604" spans="1:16">
      <c r="A1604" s="104">
        <v>63</v>
      </c>
      <c r="B1604" s="131">
        <v>46060</v>
      </c>
      <c r="C1604" s="150" t="s">
        <v>639</v>
      </c>
      <c r="D1604" s="140" t="str">
        <f>IF(ISERROR(VLOOKUP(C1604,'[1]خريطة الحسابات'!_xlnm.Print_Area,3,FALSE))," ",(VLOOKUP(C1604,'[1]خريطة الحسابات'!_xlnm.Print_Area,3,FALSE)))</f>
        <v>خامات ومصنعية بند الكهرباء</v>
      </c>
      <c r="E1604" s="142"/>
      <c r="F1604" s="133">
        <v>255</v>
      </c>
      <c r="G1604" s="133"/>
      <c r="H1604" s="134">
        <f t="shared" si="73"/>
        <v>255</v>
      </c>
      <c r="I1604" s="134">
        <f t="shared" si="73"/>
        <v>0</v>
      </c>
      <c r="J1604" s="134">
        <f t="shared" si="72"/>
        <v>255</v>
      </c>
      <c r="K1604" s="135"/>
      <c r="L1604" s="136" t="str">
        <f t="shared" si="74"/>
        <v>مدين</v>
      </c>
      <c r="M1604" s="137" t="str">
        <f>IF(ISERROR(VLOOKUP(C1604,'[1]خريطة الحسابات'!_xlnm.Print_Area,4,FALSE))," ",(VLOOKUP(C1604,'[1]خريطة الحسابات'!_xlnm.Print_Area,4,FALSE)))</f>
        <v>تكاليف مشروع الاندلس 364</v>
      </c>
      <c r="N1604" s="138" t="str">
        <f>IF(ISERROR(VLOOKUP(C1604,'[1]خريطة الحسابات'!_xlnm.Print_Area,5,FALSE))," ",(VLOOKUP(C1604,'[1]خريطة الحسابات'!_xlnm.Print_Area,5,FALSE)))</f>
        <v xml:space="preserve">تكاليف العمليات </v>
      </c>
      <c r="O1604" s="84" t="s">
        <v>2036</v>
      </c>
      <c r="P1604" s="84" t="s">
        <v>1299</v>
      </c>
    </row>
    <row r="1605" spans="1:16">
      <c r="A1605" s="104">
        <v>63</v>
      </c>
      <c r="B1605" s="131">
        <v>46062</v>
      </c>
      <c r="C1605" s="150" t="s">
        <v>639</v>
      </c>
      <c r="D1605" s="140" t="str">
        <f>IF(ISERROR(VLOOKUP(C1605,'[1]خريطة الحسابات'!_xlnm.Print_Area,3,FALSE))," ",(VLOOKUP(C1605,'[1]خريطة الحسابات'!_xlnm.Print_Area,3,FALSE)))</f>
        <v>خامات ومصنعية بند الكهرباء</v>
      </c>
      <c r="E1605" s="142"/>
      <c r="F1605" s="133">
        <v>2043</v>
      </c>
      <c r="G1605" s="133"/>
      <c r="H1605" s="134">
        <f t="shared" si="73"/>
        <v>2043</v>
      </c>
      <c r="I1605" s="134">
        <f t="shared" si="73"/>
        <v>0</v>
      </c>
      <c r="J1605" s="134">
        <f t="shared" si="72"/>
        <v>2043</v>
      </c>
      <c r="K1605" s="135"/>
      <c r="L1605" s="136" t="str">
        <f t="shared" si="74"/>
        <v>مدين</v>
      </c>
      <c r="M1605" s="137" t="str">
        <f>IF(ISERROR(VLOOKUP(C1605,'[1]خريطة الحسابات'!_xlnm.Print_Area,4,FALSE))," ",(VLOOKUP(C1605,'[1]خريطة الحسابات'!_xlnm.Print_Area,4,FALSE)))</f>
        <v>تكاليف مشروع الاندلس 364</v>
      </c>
      <c r="N1605" s="138" t="str">
        <f>IF(ISERROR(VLOOKUP(C1605,'[1]خريطة الحسابات'!_xlnm.Print_Area,5,FALSE))," ",(VLOOKUP(C1605,'[1]خريطة الحسابات'!_xlnm.Print_Area,5,FALSE)))</f>
        <v xml:space="preserve">تكاليف العمليات </v>
      </c>
      <c r="O1605" s="84" t="s">
        <v>2037</v>
      </c>
      <c r="P1605" s="84" t="s">
        <v>1299</v>
      </c>
    </row>
    <row r="1606" spans="1:16">
      <c r="A1606" s="104">
        <v>63</v>
      </c>
      <c r="B1606" s="131">
        <v>46063</v>
      </c>
      <c r="C1606" s="150" t="s">
        <v>639</v>
      </c>
      <c r="D1606" s="140" t="str">
        <f>IF(ISERROR(VLOOKUP(C1606,'[1]خريطة الحسابات'!_xlnm.Print_Area,3,FALSE))," ",(VLOOKUP(C1606,'[1]خريطة الحسابات'!_xlnm.Print_Area,3,FALSE)))</f>
        <v>خامات ومصنعية بند الكهرباء</v>
      </c>
      <c r="E1606" s="142"/>
      <c r="F1606" s="133">
        <v>855</v>
      </c>
      <c r="G1606" s="133"/>
      <c r="H1606" s="134">
        <f t="shared" si="73"/>
        <v>855</v>
      </c>
      <c r="I1606" s="134">
        <f t="shared" si="73"/>
        <v>0</v>
      </c>
      <c r="J1606" s="134">
        <f t="shared" si="72"/>
        <v>855</v>
      </c>
      <c r="K1606" s="135"/>
      <c r="L1606" s="136" t="str">
        <f t="shared" si="74"/>
        <v>مدين</v>
      </c>
      <c r="M1606" s="137" t="str">
        <f>IF(ISERROR(VLOOKUP(C1606,'[1]خريطة الحسابات'!_xlnm.Print_Area,4,FALSE))," ",(VLOOKUP(C1606,'[1]خريطة الحسابات'!_xlnm.Print_Area,4,FALSE)))</f>
        <v>تكاليف مشروع الاندلس 364</v>
      </c>
      <c r="N1606" s="138" t="str">
        <f>IF(ISERROR(VLOOKUP(C1606,'[1]خريطة الحسابات'!_xlnm.Print_Area,5,FALSE))," ",(VLOOKUP(C1606,'[1]خريطة الحسابات'!_xlnm.Print_Area,5,FALSE)))</f>
        <v xml:space="preserve">تكاليف العمليات </v>
      </c>
      <c r="O1606" s="84" t="s">
        <v>2038</v>
      </c>
      <c r="P1606" s="84" t="s">
        <v>1299</v>
      </c>
    </row>
    <row r="1607" spans="1:16">
      <c r="A1607" s="104">
        <v>63</v>
      </c>
      <c r="B1607" s="131">
        <v>46079</v>
      </c>
      <c r="C1607" s="150" t="s">
        <v>639</v>
      </c>
      <c r="D1607" s="140" t="str">
        <f>IF(ISERROR(VLOOKUP(C1607,'[1]خريطة الحسابات'!_xlnm.Print_Area,3,FALSE))," ",(VLOOKUP(C1607,'[1]خريطة الحسابات'!_xlnm.Print_Area,3,FALSE)))</f>
        <v>خامات ومصنعية بند الكهرباء</v>
      </c>
      <c r="E1607" s="142"/>
      <c r="F1607" s="133">
        <v>355</v>
      </c>
      <c r="G1607" s="133"/>
      <c r="H1607" s="134">
        <f t="shared" si="73"/>
        <v>355</v>
      </c>
      <c r="I1607" s="134">
        <f t="shared" si="73"/>
        <v>0</v>
      </c>
      <c r="J1607" s="134">
        <f t="shared" si="72"/>
        <v>355</v>
      </c>
      <c r="K1607" s="135"/>
      <c r="L1607" s="136" t="str">
        <f t="shared" si="74"/>
        <v>مدين</v>
      </c>
      <c r="M1607" s="137" t="str">
        <f>IF(ISERROR(VLOOKUP(C1607,'[1]خريطة الحسابات'!_xlnm.Print_Area,4,FALSE))," ",(VLOOKUP(C1607,'[1]خريطة الحسابات'!_xlnm.Print_Area,4,FALSE)))</f>
        <v>تكاليف مشروع الاندلس 364</v>
      </c>
      <c r="N1607" s="138" t="str">
        <f>IF(ISERROR(VLOOKUP(C1607,'[1]خريطة الحسابات'!_xlnm.Print_Area,5,FALSE))," ",(VLOOKUP(C1607,'[1]خريطة الحسابات'!_xlnm.Print_Area,5,FALSE)))</f>
        <v xml:space="preserve">تكاليف العمليات </v>
      </c>
      <c r="O1607" s="84" t="s">
        <v>2039</v>
      </c>
      <c r="P1607" s="84" t="s">
        <v>1299</v>
      </c>
    </row>
    <row r="1608" spans="1:16">
      <c r="A1608" s="104">
        <v>63</v>
      </c>
      <c r="B1608" s="131">
        <v>46046</v>
      </c>
      <c r="C1608" s="150" t="s">
        <v>184</v>
      </c>
      <c r="D1608" s="140" t="str">
        <f>IF(ISERROR(VLOOKUP(C1608,'[1]خريطة الحسابات'!_xlnm.Print_Area,3,FALSE))," ",(VLOOKUP(C1608,'[1]خريطة الحسابات'!_xlnm.Print_Area,3,FALSE)))</f>
        <v>خامات ومصنعية بند الكهرباء</v>
      </c>
      <c r="E1608" s="142"/>
      <c r="F1608" s="133">
        <v>1200</v>
      </c>
      <c r="G1608" s="133"/>
      <c r="H1608" s="134">
        <f t="shared" si="73"/>
        <v>1200</v>
      </c>
      <c r="I1608" s="134">
        <f t="shared" si="73"/>
        <v>0</v>
      </c>
      <c r="J1608" s="134">
        <f t="shared" si="72"/>
        <v>1200</v>
      </c>
      <c r="K1608" s="135"/>
      <c r="L1608" s="136" t="str">
        <f t="shared" si="74"/>
        <v>مدين</v>
      </c>
      <c r="M1608" s="137" t="str">
        <f>IF(ISERROR(VLOOKUP(C1608,'[1]خريطة الحسابات'!_xlnm.Print_Area,4,FALSE))," ",(VLOOKUP(C1608,'[1]خريطة الحسابات'!_xlnm.Print_Area,4,FALSE)))</f>
        <v>تكاليف مشروع الباتيو 235</v>
      </c>
      <c r="N1608" s="138" t="str">
        <f>IF(ISERROR(VLOOKUP(C1608,'[1]خريطة الحسابات'!_xlnm.Print_Area,5,FALSE))," ",(VLOOKUP(C1608,'[1]خريطة الحسابات'!_xlnm.Print_Area,5,FALSE)))</f>
        <v xml:space="preserve">تكاليف العمليات </v>
      </c>
      <c r="O1608" s="84" t="s">
        <v>2040</v>
      </c>
      <c r="P1608" s="84" t="s">
        <v>1304</v>
      </c>
    </row>
    <row r="1609" spans="1:16">
      <c r="A1609" s="104">
        <v>63</v>
      </c>
      <c r="B1609" s="131">
        <v>46060</v>
      </c>
      <c r="C1609" s="150" t="s">
        <v>184</v>
      </c>
      <c r="D1609" s="140" t="str">
        <f>IF(ISERROR(VLOOKUP(C1609,'[1]خريطة الحسابات'!_xlnm.Print_Area,3,FALSE))," ",(VLOOKUP(C1609,'[1]خريطة الحسابات'!_xlnm.Print_Area,3,FALSE)))</f>
        <v>خامات ومصنعية بند الكهرباء</v>
      </c>
      <c r="E1609" s="142"/>
      <c r="F1609" s="133">
        <v>1541</v>
      </c>
      <c r="G1609" s="133"/>
      <c r="H1609" s="134">
        <f t="shared" si="73"/>
        <v>1541</v>
      </c>
      <c r="I1609" s="134">
        <f t="shared" si="73"/>
        <v>0</v>
      </c>
      <c r="J1609" s="134">
        <f t="shared" si="72"/>
        <v>1541</v>
      </c>
      <c r="K1609" s="135"/>
      <c r="L1609" s="136" t="str">
        <f t="shared" si="74"/>
        <v>مدين</v>
      </c>
      <c r="M1609" s="137" t="str">
        <f>IF(ISERROR(VLOOKUP(C1609,'[1]خريطة الحسابات'!_xlnm.Print_Area,4,FALSE))," ",(VLOOKUP(C1609,'[1]خريطة الحسابات'!_xlnm.Print_Area,4,FALSE)))</f>
        <v>تكاليف مشروع الباتيو 235</v>
      </c>
      <c r="N1609" s="138" t="str">
        <f>IF(ISERROR(VLOOKUP(C1609,'[1]خريطة الحسابات'!_xlnm.Print_Area,5,FALSE))," ",(VLOOKUP(C1609,'[1]خريطة الحسابات'!_xlnm.Print_Area,5,FALSE)))</f>
        <v xml:space="preserve">تكاليف العمليات </v>
      </c>
      <c r="O1609" s="84" t="s">
        <v>2041</v>
      </c>
      <c r="P1609" s="84" t="s">
        <v>1304</v>
      </c>
    </row>
    <row r="1610" spans="1:16">
      <c r="A1610" s="104">
        <v>63</v>
      </c>
      <c r="B1610" s="131">
        <v>46082</v>
      </c>
      <c r="C1610" s="150" t="s">
        <v>184</v>
      </c>
      <c r="D1610" s="140" t="str">
        <f>IF(ISERROR(VLOOKUP(C1610,'[1]خريطة الحسابات'!_xlnm.Print_Area,3,FALSE))," ",(VLOOKUP(C1610,'[1]خريطة الحسابات'!_xlnm.Print_Area,3,FALSE)))</f>
        <v>خامات ومصنعية بند الكهرباء</v>
      </c>
      <c r="E1610" s="142"/>
      <c r="F1610" s="133">
        <v>250</v>
      </c>
      <c r="G1610" s="133"/>
      <c r="H1610" s="134">
        <f t="shared" si="73"/>
        <v>250</v>
      </c>
      <c r="I1610" s="134">
        <f t="shared" si="73"/>
        <v>0</v>
      </c>
      <c r="J1610" s="134">
        <f t="shared" si="72"/>
        <v>250</v>
      </c>
      <c r="K1610" s="135"/>
      <c r="L1610" s="136" t="str">
        <f t="shared" si="74"/>
        <v>مدين</v>
      </c>
      <c r="M1610" s="137" t="str">
        <f>IF(ISERROR(VLOOKUP(C1610,'[1]خريطة الحسابات'!_xlnm.Print_Area,4,FALSE))," ",(VLOOKUP(C1610,'[1]خريطة الحسابات'!_xlnm.Print_Area,4,FALSE)))</f>
        <v>تكاليف مشروع الباتيو 235</v>
      </c>
      <c r="N1610" s="138" t="str">
        <f>IF(ISERROR(VLOOKUP(C1610,'[1]خريطة الحسابات'!_xlnm.Print_Area,5,FALSE))," ",(VLOOKUP(C1610,'[1]خريطة الحسابات'!_xlnm.Print_Area,5,FALSE)))</f>
        <v xml:space="preserve">تكاليف العمليات </v>
      </c>
      <c r="O1610" s="84" t="s">
        <v>2042</v>
      </c>
      <c r="P1610" s="84" t="s">
        <v>1304</v>
      </c>
    </row>
    <row r="1611" spans="1:16">
      <c r="A1611" s="104">
        <v>63</v>
      </c>
      <c r="B1611" s="131">
        <v>46097</v>
      </c>
      <c r="C1611" s="150" t="s">
        <v>184</v>
      </c>
      <c r="D1611" s="140" t="str">
        <f>IF(ISERROR(VLOOKUP(C1611,'[1]خريطة الحسابات'!_xlnm.Print_Area,3,FALSE))," ",(VLOOKUP(C1611,'[1]خريطة الحسابات'!_xlnm.Print_Area,3,FALSE)))</f>
        <v>خامات ومصنعية بند الكهرباء</v>
      </c>
      <c r="E1611" s="142"/>
      <c r="F1611" s="133">
        <v>2220</v>
      </c>
      <c r="G1611" s="133"/>
      <c r="H1611" s="134">
        <f t="shared" si="73"/>
        <v>2220</v>
      </c>
      <c r="I1611" s="134">
        <f t="shared" si="73"/>
        <v>0</v>
      </c>
      <c r="J1611" s="134">
        <f t="shared" si="72"/>
        <v>2220</v>
      </c>
      <c r="K1611" s="135"/>
      <c r="L1611" s="136" t="str">
        <f t="shared" si="74"/>
        <v>مدين</v>
      </c>
      <c r="M1611" s="137" t="str">
        <f>IF(ISERROR(VLOOKUP(C1611,'[1]خريطة الحسابات'!_xlnm.Print_Area,4,FALSE))," ",(VLOOKUP(C1611,'[1]خريطة الحسابات'!_xlnm.Print_Area,4,FALSE)))</f>
        <v>تكاليف مشروع الباتيو 235</v>
      </c>
      <c r="N1611" s="138" t="str">
        <f>IF(ISERROR(VLOOKUP(C1611,'[1]خريطة الحسابات'!_xlnm.Print_Area,5,FALSE))," ",(VLOOKUP(C1611,'[1]خريطة الحسابات'!_xlnm.Print_Area,5,FALSE)))</f>
        <v xml:space="preserve">تكاليف العمليات </v>
      </c>
      <c r="O1611" s="84" t="s">
        <v>2043</v>
      </c>
      <c r="P1611" s="84" t="s">
        <v>1304</v>
      </c>
    </row>
    <row r="1612" spans="1:16">
      <c r="A1612" s="104">
        <v>63</v>
      </c>
      <c r="B1612" s="131">
        <v>46118</v>
      </c>
      <c r="C1612" s="150" t="s">
        <v>184</v>
      </c>
      <c r="D1612" s="140" t="str">
        <f>IF(ISERROR(VLOOKUP(C1612,'[1]خريطة الحسابات'!_xlnm.Print_Area,3,FALSE))," ",(VLOOKUP(C1612,'[1]خريطة الحسابات'!_xlnm.Print_Area,3,FALSE)))</f>
        <v>خامات ومصنعية بند الكهرباء</v>
      </c>
      <c r="E1612" s="142"/>
      <c r="F1612" s="133">
        <v>100</v>
      </c>
      <c r="G1612" s="133"/>
      <c r="H1612" s="134">
        <f t="shared" si="73"/>
        <v>100</v>
      </c>
      <c r="I1612" s="134">
        <f t="shared" si="73"/>
        <v>0</v>
      </c>
      <c r="J1612" s="134">
        <f t="shared" si="72"/>
        <v>100</v>
      </c>
      <c r="K1612" s="135"/>
      <c r="L1612" s="136" t="str">
        <f t="shared" si="74"/>
        <v>مدين</v>
      </c>
      <c r="M1612" s="137" t="str">
        <f>IF(ISERROR(VLOOKUP(C1612,'[1]خريطة الحسابات'!_xlnm.Print_Area,4,FALSE))," ",(VLOOKUP(C1612,'[1]خريطة الحسابات'!_xlnm.Print_Area,4,FALSE)))</f>
        <v>تكاليف مشروع الباتيو 235</v>
      </c>
      <c r="N1612" s="138" t="str">
        <f>IF(ISERROR(VLOOKUP(C1612,'[1]خريطة الحسابات'!_xlnm.Print_Area,5,FALSE))," ",(VLOOKUP(C1612,'[1]خريطة الحسابات'!_xlnm.Print_Area,5,FALSE)))</f>
        <v xml:space="preserve">تكاليف العمليات </v>
      </c>
      <c r="O1612" s="84" t="s">
        <v>2044</v>
      </c>
      <c r="P1612" s="84" t="s">
        <v>1304</v>
      </c>
    </row>
    <row r="1613" spans="1:16">
      <c r="A1613" s="104">
        <v>63</v>
      </c>
      <c r="B1613" s="131">
        <v>46030</v>
      </c>
      <c r="C1613" s="150" t="s">
        <v>324</v>
      </c>
      <c r="D1613" s="140" t="str">
        <f>IF(ISERROR(VLOOKUP(C1613,'[1]خريطة الحسابات'!_xlnm.Print_Area,3,FALSE))," ",(VLOOKUP(C1613,'[1]خريطة الحسابات'!_xlnm.Print_Area,3,FALSE)))</f>
        <v>خامات ومصنعية بند الكهرباء</v>
      </c>
      <c r="E1613" s="142"/>
      <c r="F1613" s="133">
        <v>14014</v>
      </c>
      <c r="G1613" s="133"/>
      <c r="H1613" s="134">
        <f t="shared" si="73"/>
        <v>14014</v>
      </c>
      <c r="I1613" s="134">
        <f t="shared" si="73"/>
        <v>0</v>
      </c>
      <c r="J1613" s="134">
        <f t="shared" si="72"/>
        <v>14014</v>
      </c>
      <c r="K1613" s="135"/>
      <c r="L1613" s="136" t="str">
        <f t="shared" si="74"/>
        <v>مدين</v>
      </c>
      <c r="M1613" s="137" t="str">
        <f>IF(ISERROR(VLOOKUP(C1613,'[1]خريطة الحسابات'!_xlnm.Print_Area,4,FALSE))," ",(VLOOKUP(C1613,'[1]خريطة الحسابات'!_xlnm.Print_Area,4,FALSE)))</f>
        <v>تكاليف مشروع العبور 306</v>
      </c>
      <c r="N1613" s="138" t="str">
        <f>IF(ISERROR(VLOOKUP(C1613,'[1]خريطة الحسابات'!_xlnm.Print_Area,5,FALSE))," ",(VLOOKUP(C1613,'[1]خريطة الحسابات'!_xlnm.Print_Area,5,FALSE)))</f>
        <v xml:space="preserve">تكاليف العمليات </v>
      </c>
      <c r="O1613" s="84" t="s">
        <v>2045</v>
      </c>
      <c r="P1613" s="84" t="s">
        <v>1292</v>
      </c>
    </row>
    <row r="1614" spans="1:16">
      <c r="A1614" s="104">
        <v>63</v>
      </c>
      <c r="B1614" s="131">
        <v>46112</v>
      </c>
      <c r="C1614" s="150" t="s">
        <v>324</v>
      </c>
      <c r="D1614" s="140" t="str">
        <f>IF(ISERROR(VLOOKUP(C1614,'[1]خريطة الحسابات'!_xlnm.Print_Area,3,FALSE))," ",(VLOOKUP(C1614,'[1]خريطة الحسابات'!_xlnm.Print_Area,3,FALSE)))</f>
        <v>خامات ومصنعية بند الكهرباء</v>
      </c>
      <c r="E1614" s="142"/>
      <c r="F1614" s="133">
        <v>9500</v>
      </c>
      <c r="G1614" s="133"/>
      <c r="H1614" s="134">
        <f t="shared" si="73"/>
        <v>9500</v>
      </c>
      <c r="I1614" s="134">
        <f t="shared" si="73"/>
        <v>0</v>
      </c>
      <c r="J1614" s="134">
        <f t="shared" si="72"/>
        <v>9500</v>
      </c>
      <c r="K1614" s="135"/>
      <c r="L1614" s="136" t="str">
        <f t="shared" si="74"/>
        <v>مدين</v>
      </c>
      <c r="M1614" s="137" t="str">
        <f>IF(ISERROR(VLOOKUP(C1614,'[1]خريطة الحسابات'!_xlnm.Print_Area,4,FALSE))," ",(VLOOKUP(C1614,'[1]خريطة الحسابات'!_xlnm.Print_Area,4,FALSE)))</f>
        <v>تكاليف مشروع العبور 306</v>
      </c>
      <c r="N1614" s="138" t="str">
        <f>IF(ISERROR(VLOOKUP(C1614,'[1]خريطة الحسابات'!_xlnm.Print_Area,5,FALSE))," ",(VLOOKUP(C1614,'[1]خريطة الحسابات'!_xlnm.Print_Area,5,FALSE)))</f>
        <v xml:space="preserve">تكاليف العمليات </v>
      </c>
      <c r="O1614" s="84" t="s">
        <v>2046</v>
      </c>
      <c r="P1614" s="84" t="s">
        <v>1292</v>
      </c>
    </row>
    <row r="1615" spans="1:16">
      <c r="A1615" s="104">
        <v>63</v>
      </c>
      <c r="B1615" s="131">
        <v>46121</v>
      </c>
      <c r="C1615" s="150" t="s">
        <v>324</v>
      </c>
      <c r="D1615" s="140" t="str">
        <f>IF(ISERROR(VLOOKUP(C1615,'[1]خريطة الحسابات'!_xlnm.Print_Area,3,FALSE))," ",(VLOOKUP(C1615,'[1]خريطة الحسابات'!_xlnm.Print_Area,3,FALSE)))</f>
        <v>خامات ومصنعية بند الكهرباء</v>
      </c>
      <c r="E1615" s="142"/>
      <c r="F1615" s="133">
        <v>128640</v>
      </c>
      <c r="G1615" s="133"/>
      <c r="H1615" s="134">
        <f t="shared" si="73"/>
        <v>128640</v>
      </c>
      <c r="I1615" s="134">
        <f t="shared" si="73"/>
        <v>0</v>
      </c>
      <c r="J1615" s="134">
        <f t="shared" si="72"/>
        <v>128640</v>
      </c>
      <c r="K1615" s="135"/>
      <c r="L1615" s="136" t="str">
        <f t="shared" si="74"/>
        <v>مدين</v>
      </c>
      <c r="M1615" s="137" t="str">
        <f>IF(ISERROR(VLOOKUP(C1615,'[1]خريطة الحسابات'!_xlnm.Print_Area,4,FALSE))," ",(VLOOKUP(C1615,'[1]خريطة الحسابات'!_xlnm.Print_Area,4,FALSE)))</f>
        <v>تكاليف مشروع العبور 306</v>
      </c>
      <c r="N1615" s="138" t="str">
        <f>IF(ISERROR(VLOOKUP(C1615,'[1]خريطة الحسابات'!_xlnm.Print_Area,5,FALSE))," ",(VLOOKUP(C1615,'[1]خريطة الحسابات'!_xlnm.Print_Area,5,FALSE)))</f>
        <v xml:space="preserve">تكاليف العمليات </v>
      </c>
      <c r="O1615" s="84" t="s">
        <v>2047</v>
      </c>
      <c r="P1615" s="84" t="s">
        <v>1292</v>
      </c>
    </row>
    <row r="1616" spans="1:16">
      <c r="A1616" s="104">
        <v>63</v>
      </c>
      <c r="B1616" s="131">
        <v>46133</v>
      </c>
      <c r="C1616" s="150" t="s">
        <v>324</v>
      </c>
      <c r="D1616" s="140" t="str">
        <f>IF(ISERROR(VLOOKUP(C1616,'[1]خريطة الحسابات'!_xlnm.Print_Area,3,FALSE))," ",(VLOOKUP(C1616,'[1]خريطة الحسابات'!_xlnm.Print_Area,3,FALSE)))</f>
        <v>خامات ومصنعية بند الكهرباء</v>
      </c>
      <c r="E1616" s="142"/>
      <c r="F1616" s="133">
        <v>635</v>
      </c>
      <c r="G1616" s="133"/>
      <c r="H1616" s="134">
        <f t="shared" si="73"/>
        <v>635</v>
      </c>
      <c r="I1616" s="134">
        <f t="shared" si="73"/>
        <v>0</v>
      </c>
      <c r="J1616" s="134">
        <f t="shared" si="72"/>
        <v>635</v>
      </c>
      <c r="K1616" s="135"/>
      <c r="L1616" s="136" t="str">
        <f t="shared" si="74"/>
        <v>مدين</v>
      </c>
      <c r="M1616" s="137" t="str">
        <f>IF(ISERROR(VLOOKUP(C1616,'[1]خريطة الحسابات'!_xlnm.Print_Area,4,FALSE))," ",(VLOOKUP(C1616,'[1]خريطة الحسابات'!_xlnm.Print_Area,4,FALSE)))</f>
        <v>تكاليف مشروع العبور 306</v>
      </c>
      <c r="N1616" s="138" t="str">
        <f>IF(ISERROR(VLOOKUP(C1616,'[1]خريطة الحسابات'!_xlnm.Print_Area,5,FALSE))," ",(VLOOKUP(C1616,'[1]خريطة الحسابات'!_xlnm.Print_Area,5,FALSE)))</f>
        <v xml:space="preserve">تكاليف العمليات </v>
      </c>
      <c r="O1616" s="84" t="s">
        <v>2048</v>
      </c>
      <c r="P1616" s="84" t="s">
        <v>1292</v>
      </c>
    </row>
    <row r="1617" spans="1:16">
      <c r="A1617" s="104">
        <v>63</v>
      </c>
      <c r="B1617" s="131">
        <v>46179</v>
      </c>
      <c r="C1617" s="150" t="s">
        <v>324</v>
      </c>
      <c r="D1617" s="140" t="str">
        <f>IF(ISERROR(VLOOKUP(C1617,'[1]خريطة الحسابات'!_xlnm.Print_Area,3,FALSE))," ",(VLOOKUP(C1617,'[1]خريطة الحسابات'!_xlnm.Print_Area,3,FALSE)))</f>
        <v>خامات ومصنعية بند الكهرباء</v>
      </c>
      <c r="E1617" s="142"/>
      <c r="F1617" s="133">
        <v>700</v>
      </c>
      <c r="G1617" s="133"/>
      <c r="H1617" s="134">
        <f t="shared" si="73"/>
        <v>700</v>
      </c>
      <c r="I1617" s="134">
        <f t="shared" si="73"/>
        <v>0</v>
      </c>
      <c r="J1617" s="134">
        <f t="shared" si="72"/>
        <v>700</v>
      </c>
      <c r="K1617" s="135"/>
      <c r="L1617" s="136" t="str">
        <f t="shared" si="74"/>
        <v>مدين</v>
      </c>
      <c r="M1617" s="137" t="str">
        <f>IF(ISERROR(VLOOKUP(C1617,'[1]خريطة الحسابات'!_xlnm.Print_Area,4,FALSE))," ",(VLOOKUP(C1617,'[1]خريطة الحسابات'!_xlnm.Print_Area,4,FALSE)))</f>
        <v>تكاليف مشروع العبور 306</v>
      </c>
      <c r="N1617" s="138" t="str">
        <f>IF(ISERROR(VLOOKUP(C1617,'[1]خريطة الحسابات'!_xlnm.Print_Area,5,FALSE))," ",(VLOOKUP(C1617,'[1]خريطة الحسابات'!_xlnm.Print_Area,5,FALSE)))</f>
        <v xml:space="preserve">تكاليف العمليات </v>
      </c>
      <c r="O1617" s="84" t="s">
        <v>2049</v>
      </c>
      <c r="P1617" s="84" t="s">
        <v>1292</v>
      </c>
    </row>
    <row r="1618" spans="1:16">
      <c r="A1618" s="104">
        <v>63</v>
      </c>
      <c r="B1618" s="131">
        <v>46179</v>
      </c>
      <c r="C1618" s="150" t="s">
        <v>324</v>
      </c>
      <c r="D1618" s="140" t="str">
        <f>IF(ISERROR(VLOOKUP(C1618,'[1]خريطة الحسابات'!_xlnm.Print_Area,3,FALSE))," ",(VLOOKUP(C1618,'[1]خريطة الحسابات'!_xlnm.Print_Area,3,FALSE)))</f>
        <v>خامات ومصنعية بند الكهرباء</v>
      </c>
      <c r="E1618" s="142"/>
      <c r="F1618" s="133">
        <v>350</v>
      </c>
      <c r="G1618" s="133"/>
      <c r="H1618" s="134">
        <f t="shared" si="73"/>
        <v>350</v>
      </c>
      <c r="I1618" s="134">
        <f t="shared" si="73"/>
        <v>0</v>
      </c>
      <c r="J1618" s="134">
        <f t="shared" si="72"/>
        <v>350</v>
      </c>
      <c r="K1618" s="135"/>
      <c r="L1618" s="136" t="str">
        <f t="shared" si="74"/>
        <v>مدين</v>
      </c>
      <c r="M1618" s="137" t="str">
        <f>IF(ISERROR(VLOOKUP(C1618,'[1]خريطة الحسابات'!_xlnm.Print_Area,4,FALSE))," ",(VLOOKUP(C1618,'[1]خريطة الحسابات'!_xlnm.Print_Area,4,FALSE)))</f>
        <v>تكاليف مشروع العبور 306</v>
      </c>
      <c r="N1618" s="138" t="str">
        <f>IF(ISERROR(VLOOKUP(C1618,'[1]خريطة الحسابات'!_xlnm.Print_Area,5,FALSE))," ",(VLOOKUP(C1618,'[1]خريطة الحسابات'!_xlnm.Print_Area,5,FALSE)))</f>
        <v xml:space="preserve">تكاليف العمليات </v>
      </c>
      <c r="O1618" s="84" t="s">
        <v>2050</v>
      </c>
      <c r="P1618" s="84" t="s">
        <v>1292</v>
      </c>
    </row>
    <row r="1619" spans="1:16">
      <c r="A1619" s="104">
        <v>63</v>
      </c>
      <c r="B1619" s="131">
        <v>46046</v>
      </c>
      <c r="C1619" s="150" t="s">
        <v>604</v>
      </c>
      <c r="D1619" s="140" t="str">
        <f>IF(ISERROR(VLOOKUP(C1619,'[1]خريطة الحسابات'!_xlnm.Print_Area,3,FALSE))," ",(VLOOKUP(C1619,'[1]خريطة الحسابات'!_xlnm.Print_Area,3,FALSE)))</f>
        <v>خامات ومصنعية بند الكهرباء</v>
      </c>
      <c r="E1619" s="142"/>
      <c r="F1619" s="133">
        <v>68809</v>
      </c>
      <c r="G1619" s="133"/>
      <c r="H1619" s="134">
        <f t="shared" si="73"/>
        <v>68809</v>
      </c>
      <c r="I1619" s="134">
        <f t="shared" si="73"/>
        <v>0</v>
      </c>
      <c r="J1619" s="134">
        <f t="shared" si="72"/>
        <v>68809</v>
      </c>
      <c r="K1619" s="135"/>
      <c r="L1619" s="136" t="str">
        <f t="shared" si="74"/>
        <v>مدين</v>
      </c>
      <c r="M1619" s="137" t="str">
        <f>IF(ISERROR(VLOOKUP(C1619,'[1]خريطة الحسابات'!_xlnm.Print_Area,4,FALSE))," ",(VLOOKUP(C1619,'[1]خريطة الحسابات'!_xlnm.Print_Area,4,FALSE)))</f>
        <v>تكاليف مشروع اللوتس 361</v>
      </c>
      <c r="N1619" s="138" t="str">
        <f>IF(ISERROR(VLOOKUP(C1619,'[1]خريطة الحسابات'!_xlnm.Print_Area,5,FALSE))," ",(VLOOKUP(C1619,'[1]خريطة الحسابات'!_xlnm.Print_Area,5,FALSE)))</f>
        <v xml:space="preserve">تكاليف العمليات </v>
      </c>
      <c r="O1619" s="84" t="s">
        <v>2051</v>
      </c>
      <c r="P1619" s="84" t="s">
        <v>1295</v>
      </c>
    </row>
    <row r="1620" spans="1:16">
      <c r="A1620" s="104">
        <v>63</v>
      </c>
      <c r="B1620" s="131">
        <v>46070</v>
      </c>
      <c r="C1620" s="150" t="s">
        <v>604</v>
      </c>
      <c r="D1620" s="140" t="str">
        <f>IF(ISERROR(VLOOKUP(C1620,'[1]خريطة الحسابات'!_xlnm.Print_Area,3,FALSE))," ",(VLOOKUP(C1620,'[1]خريطة الحسابات'!_xlnm.Print_Area,3,FALSE)))</f>
        <v>خامات ومصنعية بند الكهرباء</v>
      </c>
      <c r="E1620" s="142"/>
      <c r="F1620" s="133">
        <v>275</v>
      </c>
      <c r="G1620" s="133"/>
      <c r="H1620" s="134">
        <f t="shared" si="73"/>
        <v>275</v>
      </c>
      <c r="I1620" s="134">
        <f t="shared" si="73"/>
        <v>0</v>
      </c>
      <c r="J1620" s="134">
        <f t="shared" si="72"/>
        <v>275</v>
      </c>
      <c r="K1620" s="135"/>
      <c r="L1620" s="136" t="str">
        <f t="shared" si="74"/>
        <v>مدين</v>
      </c>
      <c r="M1620" s="137" t="str">
        <f>IF(ISERROR(VLOOKUP(C1620,'[1]خريطة الحسابات'!_xlnm.Print_Area,4,FALSE))," ",(VLOOKUP(C1620,'[1]خريطة الحسابات'!_xlnm.Print_Area,4,FALSE)))</f>
        <v>تكاليف مشروع اللوتس 361</v>
      </c>
      <c r="N1620" s="138" t="str">
        <f>IF(ISERROR(VLOOKUP(C1620,'[1]خريطة الحسابات'!_xlnm.Print_Area,5,FALSE))," ",(VLOOKUP(C1620,'[1]خريطة الحسابات'!_xlnm.Print_Area,5,FALSE)))</f>
        <v xml:space="preserve">تكاليف العمليات </v>
      </c>
      <c r="O1620" s="84" t="s">
        <v>2052</v>
      </c>
      <c r="P1620" s="84" t="s">
        <v>1295</v>
      </c>
    </row>
    <row r="1621" spans="1:16">
      <c r="A1621" s="104">
        <v>63</v>
      </c>
      <c r="B1621" s="131">
        <v>46078</v>
      </c>
      <c r="C1621" s="150" t="s">
        <v>604</v>
      </c>
      <c r="D1621" s="140" t="str">
        <f>IF(ISERROR(VLOOKUP(C1621,'[1]خريطة الحسابات'!_xlnm.Print_Area,3,FALSE))," ",(VLOOKUP(C1621,'[1]خريطة الحسابات'!_xlnm.Print_Area,3,FALSE)))</f>
        <v>خامات ومصنعية بند الكهرباء</v>
      </c>
      <c r="E1621" s="142"/>
      <c r="F1621" s="133">
        <v>475</v>
      </c>
      <c r="G1621" s="133"/>
      <c r="H1621" s="134">
        <f t="shared" si="73"/>
        <v>475</v>
      </c>
      <c r="I1621" s="134">
        <f t="shared" si="73"/>
        <v>0</v>
      </c>
      <c r="J1621" s="134">
        <f t="shared" si="72"/>
        <v>475</v>
      </c>
      <c r="K1621" s="135"/>
      <c r="L1621" s="136" t="str">
        <f t="shared" si="74"/>
        <v>مدين</v>
      </c>
      <c r="M1621" s="137" t="str">
        <f>IF(ISERROR(VLOOKUP(C1621,'[1]خريطة الحسابات'!_xlnm.Print_Area,4,FALSE))," ",(VLOOKUP(C1621,'[1]خريطة الحسابات'!_xlnm.Print_Area,4,FALSE)))</f>
        <v>تكاليف مشروع اللوتس 361</v>
      </c>
      <c r="N1621" s="138" t="str">
        <f>IF(ISERROR(VLOOKUP(C1621,'[1]خريطة الحسابات'!_xlnm.Print_Area,5,FALSE))," ",(VLOOKUP(C1621,'[1]خريطة الحسابات'!_xlnm.Print_Area,5,FALSE)))</f>
        <v xml:space="preserve">تكاليف العمليات </v>
      </c>
      <c r="O1621" s="84" t="s">
        <v>2053</v>
      </c>
      <c r="P1621" s="84" t="s">
        <v>1295</v>
      </c>
    </row>
    <row r="1622" spans="1:16">
      <c r="A1622" s="104">
        <v>63</v>
      </c>
      <c r="B1622" s="131">
        <v>46082</v>
      </c>
      <c r="C1622" s="150" t="s">
        <v>604</v>
      </c>
      <c r="D1622" s="140" t="str">
        <f>IF(ISERROR(VLOOKUP(C1622,'[1]خريطة الحسابات'!_xlnm.Print_Area,3,FALSE))," ",(VLOOKUP(C1622,'[1]خريطة الحسابات'!_xlnm.Print_Area,3,FALSE)))</f>
        <v>خامات ومصنعية بند الكهرباء</v>
      </c>
      <c r="E1622" s="142"/>
      <c r="F1622" s="133">
        <v>2280</v>
      </c>
      <c r="G1622" s="133"/>
      <c r="H1622" s="134">
        <f t="shared" si="73"/>
        <v>2280</v>
      </c>
      <c r="I1622" s="134">
        <f t="shared" si="73"/>
        <v>0</v>
      </c>
      <c r="J1622" s="134">
        <f t="shared" si="72"/>
        <v>2280</v>
      </c>
      <c r="K1622" s="135"/>
      <c r="L1622" s="136" t="str">
        <f t="shared" si="74"/>
        <v>مدين</v>
      </c>
      <c r="M1622" s="137" t="str">
        <f>IF(ISERROR(VLOOKUP(C1622,'[1]خريطة الحسابات'!_xlnm.Print_Area,4,FALSE))," ",(VLOOKUP(C1622,'[1]خريطة الحسابات'!_xlnm.Print_Area,4,FALSE)))</f>
        <v>تكاليف مشروع اللوتس 361</v>
      </c>
      <c r="N1622" s="138" t="str">
        <f>IF(ISERROR(VLOOKUP(C1622,'[1]خريطة الحسابات'!_xlnm.Print_Area,5,FALSE))," ",(VLOOKUP(C1622,'[1]خريطة الحسابات'!_xlnm.Print_Area,5,FALSE)))</f>
        <v xml:space="preserve">تكاليف العمليات </v>
      </c>
      <c r="O1622" s="84" t="s">
        <v>2054</v>
      </c>
      <c r="P1622" s="84" t="s">
        <v>1295</v>
      </c>
    </row>
    <row r="1623" spans="1:16">
      <c r="A1623" s="104">
        <v>63</v>
      </c>
      <c r="B1623" s="131">
        <v>46086</v>
      </c>
      <c r="C1623" s="150" t="s">
        <v>429</v>
      </c>
      <c r="D1623" s="140" t="str">
        <f>IF(ISERROR(VLOOKUP(C1623,'[1]خريطة الحسابات'!_xlnm.Print_Area,3,FALSE))," ",(VLOOKUP(C1623,'[1]خريطة الحسابات'!_xlnm.Print_Area,3,FALSE)))</f>
        <v>خامات ومصنعية بند الكهرباء</v>
      </c>
      <c r="E1623" s="142"/>
      <c r="F1623" s="133">
        <v>4800</v>
      </c>
      <c r="G1623" s="133"/>
      <c r="H1623" s="134">
        <f t="shared" si="73"/>
        <v>4800</v>
      </c>
      <c r="I1623" s="134">
        <f t="shared" si="73"/>
        <v>0</v>
      </c>
      <c r="J1623" s="134">
        <f t="shared" si="72"/>
        <v>4800</v>
      </c>
      <c r="K1623" s="135"/>
      <c r="L1623" s="136" t="str">
        <f t="shared" si="74"/>
        <v>مدين</v>
      </c>
      <c r="M1623" s="137" t="str">
        <f>IF(ISERROR(VLOOKUP(C1623,'[1]خريطة الحسابات'!_xlnm.Print_Area,4,FALSE))," ",(VLOOKUP(C1623,'[1]خريطة الحسابات'!_xlnm.Print_Area,4,FALSE)))</f>
        <v>345 تكاليف مشروع بالم هيلز</v>
      </c>
      <c r="N1623" s="138" t="str">
        <f>IF(ISERROR(VLOOKUP(C1623,'[1]خريطة الحسابات'!_xlnm.Print_Area,5,FALSE))," ",(VLOOKUP(C1623,'[1]خريطة الحسابات'!_xlnm.Print_Area,5,FALSE)))</f>
        <v xml:space="preserve">تكاليف العمليات </v>
      </c>
      <c r="O1623" s="84" t="s">
        <v>2055</v>
      </c>
      <c r="P1623" s="84" t="s">
        <v>1327</v>
      </c>
    </row>
    <row r="1624" spans="1:16">
      <c r="A1624" s="104">
        <v>63</v>
      </c>
      <c r="B1624" s="131">
        <v>46128</v>
      </c>
      <c r="C1624" s="150" t="s">
        <v>429</v>
      </c>
      <c r="D1624" s="140" t="str">
        <f>IF(ISERROR(VLOOKUP(C1624,'[1]خريطة الحسابات'!_xlnm.Print_Area,3,FALSE))," ",(VLOOKUP(C1624,'[1]خريطة الحسابات'!_xlnm.Print_Area,3,FALSE)))</f>
        <v>خامات ومصنعية بند الكهرباء</v>
      </c>
      <c r="E1624" s="142"/>
      <c r="F1624" s="133">
        <v>1390</v>
      </c>
      <c r="G1624" s="133"/>
      <c r="H1624" s="134">
        <f t="shared" si="73"/>
        <v>1390</v>
      </c>
      <c r="I1624" s="134">
        <f t="shared" si="73"/>
        <v>0</v>
      </c>
      <c r="J1624" s="134">
        <f t="shared" ref="J1624:J1687" si="75">H1624-I1624</f>
        <v>1390</v>
      </c>
      <c r="K1624" s="135"/>
      <c r="L1624" s="136" t="str">
        <f t="shared" si="74"/>
        <v>مدين</v>
      </c>
      <c r="M1624" s="137" t="str">
        <f>IF(ISERROR(VLOOKUP(C1624,'[1]خريطة الحسابات'!_xlnm.Print_Area,4,FALSE))," ",(VLOOKUP(C1624,'[1]خريطة الحسابات'!_xlnm.Print_Area,4,FALSE)))</f>
        <v>345 تكاليف مشروع بالم هيلز</v>
      </c>
      <c r="N1624" s="138" t="str">
        <f>IF(ISERROR(VLOOKUP(C1624,'[1]خريطة الحسابات'!_xlnm.Print_Area,5,FALSE))," ",(VLOOKUP(C1624,'[1]خريطة الحسابات'!_xlnm.Print_Area,5,FALSE)))</f>
        <v xml:space="preserve">تكاليف العمليات </v>
      </c>
      <c r="O1624" s="84" t="s">
        <v>2056</v>
      </c>
      <c r="P1624" s="84" t="s">
        <v>1327</v>
      </c>
    </row>
    <row r="1625" spans="1:16">
      <c r="A1625" s="104">
        <v>63</v>
      </c>
      <c r="B1625" s="131">
        <v>46133</v>
      </c>
      <c r="C1625" s="150" t="s">
        <v>429</v>
      </c>
      <c r="D1625" s="140" t="str">
        <f>IF(ISERROR(VLOOKUP(C1625,'[1]خريطة الحسابات'!_xlnm.Print_Area,3,FALSE))," ",(VLOOKUP(C1625,'[1]خريطة الحسابات'!_xlnm.Print_Area,3,FALSE)))</f>
        <v>خامات ومصنعية بند الكهرباء</v>
      </c>
      <c r="E1625" s="142"/>
      <c r="F1625" s="133">
        <v>12195</v>
      </c>
      <c r="G1625" s="133"/>
      <c r="H1625" s="134">
        <f t="shared" ref="H1625:I1688" si="76">IF($E1625=2,F1625*3.465,F1625)</f>
        <v>12195</v>
      </c>
      <c r="I1625" s="134">
        <f t="shared" si="76"/>
        <v>0</v>
      </c>
      <c r="J1625" s="134">
        <f t="shared" si="75"/>
        <v>12195</v>
      </c>
      <c r="K1625" s="135"/>
      <c r="L1625" s="136" t="str">
        <f t="shared" si="74"/>
        <v>مدين</v>
      </c>
      <c r="M1625" s="137" t="str">
        <f>IF(ISERROR(VLOOKUP(C1625,'[1]خريطة الحسابات'!_xlnm.Print_Area,4,FALSE))," ",(VLOOKUP(C1625,'[1]خريطة الحسابات'!_xlnm.Print_Area,4,FALSE)))</f>
        <v>345 تكاليف مشروع بالم هيلز</v>
      </c>
      <c r="N1625" s="138" t="str">
        <f>IF(ISERROR(VLOOKUP(C1625,'[1]خريطة الحسابات'!_xlnm.Print_Area,5,FALSE))," ",(VLOOKUP(C1625,'[1]خريطة الحسابات'!_xlnm.Print_Area,5,FALSE)))</f>
        <v xml:space="preserve">تكاليف العمليات </v>
      </c>
      <c r="O1625" s="84" t="s">
        <v>2037</v>
      </c>
      <c r="P1625" s="84" t="s">
        <v>1327</v>
      </c>
    </row>
    <row r="1626" spans="1:16">
      <c r="A1626" s="104">
        <v>63</v>
      </c>
      <c r="B1626" s="131">
        <v>46186</v>
      </c>
      <c r="C1626" s="150" t="s">
        <v>849</v>
      </c>
      <c r="D1626" s="140" t="str">
        <f>IF(ISERROR(VLOOKUP(C1626,'[1]خريطة الحسابات'!_xlnm.Print_Area,3,FALSE))," ",(VLOOKUP(C1626,'[1]خريطة الحسابات'!_xlnm.Print_Area,3,FALSE)))</f>
        <v>خامات ومصنعية بند الكهرباء</v>
      </c>
      <c r="E1626" s="142"/>
      <c r="F1626" s="133">
        <v>5005</v>
      </c>
      <c r="G1626" s="133"/>
      <c r="H1626" s="134">
        <f t="shared" si="76"/>
        <v>5005</v>
      </c>
      <c r="I1626" s="134">
        <f t="shared" si="76"/>
        <v>0</v>
      </c>
      <c r="J1626" s="134">
        <f t="shared" si="75"/>
        <v>5005</v>
      </c>
      <c r="K1626" s="135"/>
      <c r="L1626" s="136" t="str">
        <f t="shared" si="74"/>
        <v>مدين</v>
      </c>
      <c r="M1626" s="137" t="str">
        <f>IF(ISERROR(VLOOKUP(C1626,'[1]خريطة الحسابات'!_xlnm.Print_Area,4,FALSE))," ",(VLOOKUP(C1626,'[1]خريطة الحسابات'!_xlnm.Print_Area,4,FALSE)))</f>
        <v>تكاليف مشروع رأس الحكمة</v>
      </c>
      <c r="N1626" s="138" t="str">
        <f>IF(ISERROR(VLOOKUP(C1626,'[1]خريطة الحسابات'!_xlnm.Print_Area,5,FALSE))," ",(VLOOKUP(C1626,'[1]خريطة الحسابات'!_xlnm.Print_Area,5,FALSE)))</f>
        <v xml:space="preserve">تكاليف العمليات </v>
      </c>
      <c r="O1626" s="84" t="s">
        <v>2057</v>
      </c>
      <c r="P1626" s="84" t="s">
        <v>1964</v>
      </c>
    </row>
    <row r="1627" spans="1:16">
      <c r="A1627" s="104">
        <v>63</v>
      </c>
      <c r="B1627" s="131">
        <v>46187</v>
      </c>
      <c r="C1627" s="150" t="s">
        <v>849</v>
      </c>
      <c r="D1627" s="140" t="str">
        <f>IF(ISERROR(VLOOKUP(C1627,'[1]خريطة الحسابات'!_xlnm.Print_Area,3,FALSE))," ",(VLOOKUP(C1627,'[1]خريطة الحسابات'!_xlnm.Print_Area,3,FALSE)))</f>
        <v>خامات ومصنعية بند الكهرباء</v>
      </c>
      <c r="E1627" s="142"/>
      <c r="F1627" s="133">
        <v>500</v>
      </c>
      <c r="G1627" s="133"/>
      <c r="H1627" s="134">
        <f t="shared" si="76"/>
        <v>500</v>
      </c>
      <c r="I1627" s="134">
        <f t="shared" si="76"/>
        <v>0</v>
      </c>
      <c r="J1627" s="134">
        <f t="shared" si="75"/>
        <v>500</v>
      </c>
      <c r="K1627" s="135"/>
      <c r="L1627" s="136" t="str">
        <f t="shared" ref="L1627:L1690" si="77">IF(J1627&lt;0,"دائن",IF(J1627&gt;0,"مدين",""))</f>
        <v>مدين</v>
      </c>
      <c r="M1627" s="137" t="str">
        <f>IF(ISERROR(VLOOKUP(C1627,'[1]خريطة الحسابات'!_xlnm.Print_Area,4,FALSE))," ",(VLOOKUP(C1627,'[1]خريطة الحسابات'!_xlnm.Print_Area,4,FALSE)))</f>
        <v>تكاليف مشروع رأس الحكمة</v>
      </c>
      <c r="N1627" s="138" t="str">
        <f>IF(ISERROR(VLOOKUP(C1627,'[1]خريطة الحسابات'!_xlnm.Print_Area,5,FALSE))," ",(VLOOKUP(C1627,'[1]خريطة الحسابات'!_xlnm.Print_Area,5,FALSE)))</f>
        <v xml:space="preserve">تكاليف العمليات </v>
      </c>
      <c r="O1627" s="84" t="s">
        <v>2058</v>
      </c>
      <c r="P1627" s="84" t="s">
        <v>1964</v>
      </c>
    </row>
    <row r="1628" spans="1:16">
      <c r="A1628" s="104">
        <v>63</v>
      </c>
      <c r="B1628" s="131">
        <v>46049</v>
      </c>
      <c r="C1628" s="150" t="s">
        <v>849</v>
      </c>
      <c r="D1628" s="140" t="str">
        <f>IF(ISERROR(VLOOKUP(C1628,'[1]خريطة الحسابات'!_xlnm.Print_Area,3,FALSE))," ",(VLOOKUP(C1628,'[1]خريطة الحسابات'!_xlnm.Print_Area,3,FALSE)))</f>
        <v>خامات ومصنعية بند الكهرباء</v>
      </c>
      <c r="E1628" s="142"/>
      <c r="F1628" s="133">
        <v>2503</v>
      </c>
      <c r="G1628" s="133"/>
      <c r="H1628" s="134">
        <f t="shared" si="76"/>
        <v>2503</v>
      </c>
      <c r="I1628" s="134">
        <f t="shared" si="76"/>
        <v>0</v>
      </c>
      <c r="J1628" s="134">
        <f t="shared" si="75"/>
        <v>2503</v>
      </c>
      <c r="K1628" s="135"/>
      <c r="L1628" s="136" t="str">
        <f t="shared" si="77"/>
        <v>مدين</v>
      </c>
      <c r="M1628" s="137" t="str">
        <f>IF(ISERROR(VLOOKUP(C1628,'[1]خريطة الحسابات'!_xlnm.Print_Area,4,FALSE))," ",(VLOOKUP(C1628,'[1]خريطة الحسابات'!_xlnm.Print_Area,4,FALSE)))</f>
        <v>تكاليف مشروع رأس الحكمة</v>
      </c>
      <c r="N1628" s="138" t="str">
        <f>IF(ISERROR(VLOOKUP(C1628,'[1]خريطة الحسابات'!_xlnm.Print_Area,5,FALSE))," ",(VLOOKUP(C1628,'[1]خريطة الحسابات'!_xlnm.Print_Area,5,FALSE)))</f>
        <v xml:space="preserve">تكاليف العمليات </v>
      </c>
      <c r="O1628" s="84" t="s">
        <v>2059</v>
      </c>
      <c r="P1628" s="84" t="s">
        <v>1493</v>
      </c>
    </row>
    <row r="1629" spans="1:16">
      <c r="A1629" s="104">
        <v>63</v>
      </c>
      <c r="B1629" s="131">
        <v>46151</v>
      </c>
      <c r="C1629" s="150">
        <v>99</v>
      </c>
      <c r="D1629" s="140" t="str">
        <f>IF(ISERROR(VLOOKUP(C1629,'[1]خريطة الحسابات'!_xlnm.Print_Area,3,FALSE))," ",(VLOOKUP(C1629,'[1]خريطة الحسابات'!_xlnm.Print_Area,3,FALSE)))</f>
        <v xml:space="preserve">تكاليف ادارية وعمومية </v>
      </c>
      <c r="E1629" s="142"/>
      <c r="F1629" s="133">
        <v>1675</v>
      </c>
      <c r="G1629" s="133"/>
      <c r="H1629" s="134">
        <f t="shared" si="76"/>
        <v>1675</v>
      </c>
      <c r="I1629" s="134">
        <f t="shared" si="76"/>
        <v>0</v>
      </c>
      <c r="J1629" s="134">
        <f t="shared" si="75"/>
        <v>1675</v>
      </c>
      <c r="K1629" s="135"/>
      <c r="L1629" s="136" t="str">
        <f t="shared" si="77"/>
        <v>مدين</v>
      </c>
      <c r="M1629" s="137" t="str">
        <f>IF(ISERROR(VLOOKUP(C1629,'[1]خريطة الحسابات'!_xlnm.Print_Area,4,FALSE))," ",(VLOOKUP(C1629,'[1]خريطة الحسابات'!_xlnm.Print_Area,4,FALSE)))</f>
        <v xml:space="preserve">تكاليف ادارية وعمومية </v>
      </c>
      <c r="N1629" s="138" t="str">
        <f>IF(ISERROR(VLOOKUP(C1629,'[1]خريطة الحسابات'!_xlnm.Print_Area,5,FALSE))," ",(VLOOKUP(C1629,'[1]خريطة الحسابات'!_xlnm.Print_Area,5,FALSE)))</f>
        <v xml:space="preserve">مصروفات </v>
      </c>
      <c r="O1629" s="84" t="s">
        <v>2060</v>
      </c>
      <c r="P1629" s="84" t="s">
        <v>2061</v>
      </c>
    </row>
    <row r="1630" spans="1:16">
      <c r="A1630" s="104">
        <v>63</v>
      </c>
      <c r="B1630" s="131">
        <v>46034</v>
      </c>
      <c r="C1630" s="150" t="s">
        <v>93</v>
      </c>
      <c r="D1630" s="140" t="str">
        <f>IF(ISERROR(VLOOKUP(C1630,'[1]خريطة الحسابات'!_xlnm.Print_Area,3,FALSE))," ",(VLOOKUP(C1630,'[1]خريطة الحسابات'!_xlnm.Print_Area,3,FALSE)))</f>
        <v>خامات ومصنعية بند الكهرباء</v>
      </c>
      <c r="E1630" s="142"/>
      <c r="F1630" s="133">
        <v>1370</v>
      </c>
      <c r="G1630" s="133"/>
      <c r="H1630" s="134">
        <f t="shared" si="76"/>
        <v>1370</v>
      </c>
      <c r="I1630" s="134">
        <f t="shared" si="76"/>
        <v>0</v>
      </c>
      <c r="J1630" s="134">
        <f t="shared" si="75"/>
        <v>1370</v>
      </c>
      <c r="K1630" s="135"/>
      <c r="L1630" s="136" t="str">
        <f t="shared" si="77"/>
        <v>مدين</v>
      </c>
      <c r="M1630" s="137" t="str">
        <f>IF(ISERROR(VLOOKUP(C1630,'[1]خريطة الحسابات'!_xlnm.Print_Area,4,FALSE))," ",(VLOOKUP(C1630,'[1]خريطة الحسابات'!_xlnm.Print_Area,4,FALSE)))</f>
        <v>تكاليف مشروع سوديك  341</v>
      </c>
      <c r="N1630" s="138" t="str">
        <f>IF(ISERROR(VLOOKUP(C1630,'[1]خريطة الحسابات'!_xlnm.Print_Area,5,FALSE))," ",(VLOOKUP(C1630,'[1]خريطة الحسابات'!_xlnm.Print_Area,5,FALSE)))</f>
        <v xml:space="preserve">تكاليف العمليات </v>
      </c>
      <c r="O1630" s="84" t="s">
        <v>2062</v>
      </c>
      <c r="P1630" s="84" t="s">
        <v>1290</v>
      </c>
    </row>
    <row r="1631" spans="1:16">
      <c r="A1631" s="104">
        <v>63</v>
      </c>
      <c r="B1631" s="131">
        <v>46056</v>
      </c>
      <c r="C1631" s="150" t="s">
        <v>93</v>
      </c>
      <c r="D1631" s="140" t="str">
        <f>IF(ISERROR(VLOOKUP(C1631,'[1]خريطة الحسابات'!_xlnm.Print_Area,3,FALSE))," ",(VLOOKUP(C1631,'[1]خريطة الحسابات'!_xlnm.Print_Area,3,FALSE)))</f>
        <v>خامات ومصنعية بند الكهرباء</v>
      </c>
      <c r="E1631" s="142"/>
      <c r="F1631" s="133">
        <v>19570</v>
      </c>
      <c r="G1631" s="133"/>
      <c r="H1631" s="134">
        <f t="shared" si="76"/>
        <v>19570</v>
      </c>
      <c r="I1631" s="134">
        <f t="shared" si="76"/>
        <v>0</v>
      </c>
      <c r="J1631" s="134">
        <f t="shared" si="75"/>
        <v>19570</v>
      </c>
      <c r="K1631" s="135"/>
      <c r="L1631" s="136" t="str">
        <f t="shared" si="77"/>
        <v>مدين</v>
      </c>
      <c r="M1631" s="137" t="str">
        <f>IF(ISERROR(VLOOKUP(C1631,'[1]خريطة الحسابات'!_xlnm.Print_Area,4,FALSE))," ",(VLOOKUP(C1631,'[1]خريطة الحسابات'!_xlnm.Print_Area,4,FALSE)))</f>
        <v>تكاليف مشروع سوديك  341</v>
      </c>
      <c r="N1631" s="138" t="str">
        <f>IF(ISERROR(VLOOKUP(C1631,'[1]خريطة الحسابات'!_xlnm.Print_Area,5,FALSE))," ",(VLOOKUP(C1631,'[1]خريطة الحسابات'!_xlnm.Print_Area,5,FALSE)))</f>
        <v xml:space="preserve">تكاليف العمليات </v>
      </c>
      <c r="O1631" s="84" t="s">
        <v>2063</v>
      </c>
      <c r="P1631" s="84" t="s">
        <v>1290</v>
      </c>
    </row>
    <row r="1632" spans="1:16">
      <c r="A1632" s="104">
        <v>63</v>
      </c>
      <c r="B1632" s="131">
        <v>46056</v>
      </c>
      <c r="C1632" s="150" t="s">
        <v>93</v>
      </c>
      <c r="D1632" s="140" t="str">
        <f>IF(ISERROR(VLOOKUP(C1632,'[1]خريطة الحسابات'!_xlnm.Print_Area,3,FALSE))," ",(VLOOKUP(C1632,'[1]خريطة الحسابات'!_xlnm.Print_Area,3,FALSE)))</f>
        <v>خامات ومصنعية بند الكهرباء</v>
      </c>
      <c r="E1632" s="142"/>
      <c r="F1632" s="133">
        <v>4275</v>
      </c>
      <c r="G1632" s="133"/>
      <c r="H1632" s="134">
        <f t="shared" si="76"/>
        <v>4275</v>
      </c>
      <c r="I1632" s="134">
        <f t="shared" si="76"/>
        <v>0</v>
      </c>
      <c r="J1632" s="134">
        <f t="shared" si="75"/>
        <v>4275</v>
      </c>
      <c r="K1632" s="135"/>
      <c r="L1632" s="136" t="str">
        <f t="shared" si="77"/>
        <v>مدين</v>
      </c>
      <c r="M1632" s="137" t="str">
        <f>IF(ISERROR(VLOOKUP(C1632,'[1]خريطة الحسابات'!_xlnm.Print_Area,4,FALSE))," ",(VLOOKUP(C1632,'[1]خريطة الحسابات'!_xlnm.Print_Area,4,FALSE)))</f>
        <v>تكاليف مشروع سوديك  341</v>
      </c>
      <c r="N1632" s="138" t="str">
        <f>IF(ISERROR(VLOOKUP(C1632,'[1]خريطة الحسابات'!_xlnm.Print_Area,5,FALSE))," ",(VLOOKUP(C1632,'[1]خريطة الحسابات'!_xlnm.Print_Area,5,FALSE)))</f>
        <v xml:space="preserve">تكاليف العمليات </v>
      </c>
      <c r="O1632" s="84" t="s">
        <v>2064</v>
      </c>
      <c r="P1632" s="84" t="s">
        <v>1290</v>
      </c>
    </row>
    <row r="1633" spans="1:16">
      <c r="A1633" s="104">
        <v>63</v>
      </c>
      <c r="B1633" s="131">
        <v>46075</v>
      </c>
      <c r="C1633" s="150" t="s">
        <v>93</v>
      </c>
      <c r="D1633" s="140" t="str">
        <f>IF(ISERROR(VLOOKUP(C1633,'[1]خريطة الحسابات'!_xlnm.Print_Area,3,FALSE))," ",(VLOOKUP(C1633,'[1]خريطة الحسابات'!_xlnm.Print_Area,3,FALSE)))</f>
        <v>خامات ومصنعية بند الكهرباء</v>
      </c>
      <c r="E1633" s="142"/>
      <c r="F1633" s="133">
        <v>11235</v>
      </c>
      <c r="G1633" s="133"/>
      <c r="H1633" s="134">
        <f t="shared" si="76"/>
        <v>11235</v>
      </c>
      <c r="I1633" s="134">
        <f t="shared" si="76"/>
        <v>0</v>
      </c>
      <c r="J1633" s="134">
        <f t="shared" si="75"/>
        <v>11235</v>
      </c>
      <c r="K1633" s="135"/>
      <c r="L1633" s="136" t="str">
        <f t="shared" si="77"/>
        <v>مدين</v>
      </c>
      <c r="M1633" s="137" t="str">
        <f>IF(ISERROR(VLOOKUP(C1633,'[1]خريطة الحسابات'!_xlnm.Print_Area,4,FALSE))," ",(VLOOKUP(C1633,'[1]خريطة الحسابات'!_xlnm.Print_Area,4,FALSE)))</f>
        <v>تكاليف مشروع سوديك  341</v>
      </c>
      <c r="N1633" s="138" t="str">
        <f>IF(ISERROR(VLOOKUP(C1633,'[1]خريطة الحسابات'!_xlnm.Print_Area,5,FALSE))," ",(VLOOKUP(C1633,'[1]خريطة الحسابات'!_xlnm.Print_Area,5,FALSE)))</f>
        <v xml:space="preserve">تكاليف العمليات </v>
      </c>
      <c r="O1633" s="84" t="s">
        <v>2065</v>
      </c>
      <c r="P1633" s="84" t="s">
        <v>1290</v>
      </c>
    </row>
    <row r="1634" spans="1:16">
      <c r="A1634" s="104">
        <v>63</v>
      </c>
      <c r="B1634" s="131">
        <v>46089</v>
      </c>
      <c r="C1634" s="150" t="s">
        <v>93</v>
      </c>
      <c r="D1634" s="140" t="str">
        <f>IF(ISERROR(VLOOKUP(C1634,'[1]خريطة الحسابات'!_xlnm.Print_Area,3,FALSE))," ",(VLOOKUP(C1634,'[1]خريطة الحسابات'!_xlnm.Print_Area,3,FALSE)))</f>
        <v>خامات ومصنعية بند الكهرباء</v>
      </c>
      <c r="E1634" s="142"/>
      <c r="F1634" s="133">
        <v>77625</v>
      </c>
      <c r="G1634" s="133"/>
      <c r="H1634" s="134">
        <f t="shared" si="76"/>
        <v>77625</v>
      </c>
      <c r="I1634" s="134">
        <f t="shared" si="76"/>
        <v>0</v>
      </c>
      <c r="J1634" s="134">
        <f t="shared" si="75"/>
        <v>77625</v>
      </c>
      <c r="K1634" s="135"/>
      <c r="L1634" s="136" t="str">
        <f t="shared" si="77"/>
        <v>مدين</v>
      </c>
      <c r="M1634" s="137" t="str">
        <f>IF(ISERROR(VLOOKUP(C1634,'[1]خريطة الحسابات'!_xlnm.Print_Area,4,FALSE))," ",(VLOOKUP(C1634,'[1]خريطة الحسابات'!_xlnm.Print_Area,4,FALSE)))</f>
        <v>تكاليف مشروع سوديك  341</v>
      </c>
      <c r="N1634" s="138" t="str">
        <f>IF(ISERROR(VLOOKUP(C1634,'[1]خريطة الحسابات'!_xlnm.Print_Area,5,FALSE))," ",(VLOOKUP(C1634,'[1]خريطة الحسابات'!_xlnm.Print_Area,5,FALSE)))</f>
        <v xml:space="preserve">تكاليف العمليات </v>
      </c>
      <c r="O1634" s="84" t="s">
        <v>2066</v>
      </c>
      <c r="P1634" s="84" t="s">
        <v>1290</v>
      </c>
    </row>
    <row r="1635" spans="1:16">
      <c r="A1635" s="104">
        <v>63</v>
      </c>
      <c r="B1635" s="131">
        <v>46121</v>
      </c>
      <c r="C1635" s="150" t="s">
        <v>93</v>
      </c>
      <c r="D1635" s="140" t="str">
        <f>IF(ISERROR(VLOOKUP(C1635,'[1]خريطة الحسابات'!_xlnm.Print_Area,3,FALSE))," ",(VLOOKUP(C1635,'[1]خريطة الحسابات'!_xlnm.Print_Area,3,FALSE)))</f>
        <v>خامات ومصنعية بند الكهرباء</v>
      </c>
      <c r="E1635" s="142"/>
      <c r="F1635" s="133">
        <v>84425</v>
      </c>
      <c r="G1635" s="133"/>
      <c r="H1635" s="134">
        <f t="shared" si="76"/>
        <v>84425</v>
      </c>
      <c r="I1635" s="134">
        <f t="shared" si="76"/>
        <v>0</v>
      </c>
      <c r="J1635" s="134">
        <f t="shared" si="75"/>
        <v>84425</v>
      </c>
      <c r="K1635" s="135"/>
      <c r="L1635" s="136" t="str">
        <f t="shared" si="77"/>
        <v>مدين</v>
      </c>
      <c r="M1635" s="137" t="str">
        <f>IF(ISERROR(VLOOKUP(C1635,'[1]خريطة الحسابات'!_xlnm.Print_Area,4,FALSE))," ",(VLOOKUP(C1635,'[1]خريطة الحسابات'!_xlnm.Print_Area,4,FALSE)))</f>
        <v>تكاليف مشروع سوديك  341</v>
      </c>
      <c r="N1635" s="138" t="str">
        <f>IF(ISERROR(VLOOKUP(C1635,'[1]خريطة الحسابات'!_xlnm.Print_Area,5,FALSE))," ",(VLOOKUP(C1635,'[1]خريطة الحسابات'!_xlnm.Print_Area,5,FALSE)))</f>
        <v xml:space="preserve">تكاليف العمليات </v>
      </c>
      <c r="O1635" s="84" t="s">
        <v>2067</v>
      </c>
      <c r="P1635" s="84" t="s">
        <v>1290</v>
      </c>
    </row>
    <row r="1636" spans="1:16">
      <c r="A1636" s="104">
        <v>63</v>
      </c>
      <c r="B1636" s="131">
        <v>46133</v>
      </c>
      <c r="C1636" s="150" t="s">
        <v>93</v>
      </c>
      <c r="D1636" s="140" t="str">
        <f>IF(ISERROR(VLOOKUP(C1636,'[1]خريطة الحسابات'!_xlnm.Print_Area,3,FALSE))," ",(VLOOKUP(C1636,'[1]خريطة الحسابات'!_xlnm.Print_Area,3,FALSE)))</f>
        <v>خامات ومصنعية بند الكهرباء</v>
      </c>
      <c r="E1636" s="142"/>
      <c r="F1636" s="133">
        <v>225000</v>
      </c>
      <c r="G1636" s="133"/>
      <c r="H1636" s="134">
        <f t="shared" si="76"/>
        <v>225000</v>
      </c>
      <c r="I1636" s="134">
        <f t="shared" si="76"/>
        <v>0</v>
      </c>
      <c r="J1636" s="134">
        <f t="shared" si="75"/>
        <v>225000</v>
      </c>
      <c r="K1636" s="135"/>
      <c r="L1636" s="136" t="str">
        <f t="shared" si="77"/>
        <v>مدين</v>
      </c>
      <c r="M1636" s="137" t="str">
        <f>IF(ISERROR(VLOOKUP(C1636,'[1]خريطة الحسابات'!_xlnm.Print_Area,4,FALSE))," ",(VLOOKUP(C1636,'[1]خريطة الحسابات'!_xlnm.Print_Area,4,FALSE)))</f>
        <v>تكاليف مشروع سوديك  341</v>
      </c>
      <c r="N1636" s="138" t="str">
        <f>IF(ISERROR(VLOOKUP(C1636,'[1]خريطة الحسابات'!_xlnm.Print_Area,5,FALSE))," ",(VLOOKUP(C1636,'[1]خريطة الحسابات'!_xlnm.Print_Area,5,FALSE)))</f>
        <v xml:space="preserve">تكاليف العمليات </v>
      </c>
      <c r="O1636" s="84" t="s">
        <v>2035</v>
      </c>
      <c r="P1636" s="84" t="s">
        <v>1290</v>
      </c>
    </row>
    <row r="1637" spans="1:16">
      <c r="A1637" s="104">
        <v>63</v>
      </c>
      <c r="B1637" s="131">
        <v>46133</v>
      </c>
      <c r="C1637" s="150" t="s">
        <v>93</v>
      </c>
      <c r="D1637" s="140" t="str">
        <f>IF(ISERROR(VLOOKUP(C1637,'[1]خريطة الحسابات'!_xlnm.Print_Area,3,FALSE))," ",(VLOOKUP(C1637,'[1]خريطة الحسابات'!_xlnm.Print_Area,3,FALSE)))</f>
        <v>خامات ومصنعية بند الكهرباء</v>
      </c>
      <c r="E1637" s="142"/>
      <c r="F1637" s="133">
        <v>48910</v>
      </c>
      <c r="G1637" s="133"/>
      <c r="H1637" s="134">
        <f t="shared" si="76"/>
        <v>48910</v>
      </c>
      <c r="I1637" s="134">
        <f t="shared" si="76"/>
        <v>0</v>
      </c>
      <c r="J1637" s="134">
        <f t="shared" si="75"/>
        <v>48910</v>
      </c>
      <c r="K1637" s="135"/>
      <c r="L1637" s="136" t="str">
        <f t="shared" si="77"/>
        <v>مدين</v>
      </c>
      <c r="M1637" s="137" t="str">
        <f>IF(ISERROR(VLOOKUP(C1637,'[1]خريطة الحسابات'!_xlnm.Print_Area,4,FALSE))," ",(VLOOKUP(C1637,'[1]خريطة الحسابات'!_xlnm.Print_Area,4,FALSE)))</f>
        <v>تكاليف مشروع سوديك  341</v>
      </c>
      <c r="N1637" s="138" t="str">
        <f>IF(ISERROR(VLOOKUP(C1637,'[1]خريطة الحسابات'!_xlnm.Print_Area,5,FALSE))," ",(VLOOKUP(C1637,'[1]خريطة الحسابات'!_xlnm.Print_Area,5,FALSE)))</f>
        <v xml:space="preserve">تكاليف العمليات </v>
      </c>
      <c r="O1637" s="84" t="s">
        <v>2037</v>
      </c>
      <c r="P1637" s="84" t="s">
        <v>1290</v>
      </c>
    </row>
    <row r="1638" spans="1:16">
      <c r="A1638" s="104">
        <v>63</v>
      </c>
      <c r="B1638" s="131">
        <v>46133</v>
      </c>
      <c r="C1638" s="150" t="s">
        <v>93</v>
      </c>
      <c r="D1638" s="140" t="str">
        <f>IF(ISERROR(VLOOKUP(C1638,'[1]خريطة الحسابات'!_xlnm.Print_Area,3,FALSE))," ",(VLOOKUP(C1638,'[1]خريطة الحسابات'!_xlnm.Print_Area,3,FALSE)))</f>
        <v>خامات ومصنعية بند الكهرباء</v>
      </c>
      <c r="E1638" s="142"/>
      <c r="F1638" s="133">
        <v>4800</v>
      </c>
      <c r="G1638" s="133"/>
      <c r="H1638" s="134">
        <f t="shared" si="76"/>
        <v>4800</v>
      </c>
      <c r="I1638" s="134">
        <f t="shared" si="76"/>
        <v>0</v>
      </c>
      <c r="J1638" s="134">
        <f t="shared" si="75"/>
        <v>4800</v>
      </c>
      <c r="K1638" s="135"/>
      <c r="L1638" s="136" t="str">
        <f t="shared" si="77"/>
        <v>مدين</v>
      </c>
      <c r="M1638" s="137" t="str">
        <f>IF(ISERROR(VLOOKUP(C1638,'[1]خريطة الحسابات'!_xlnm.Print_Area,4,FALSE))," ",(VLOOKUP(C1638,'[1]خريطة الحسابات'!_xlnm.Print_Area,4,FALSE)))</f>
        <v>تكاليف مشروع سوديك  341</v>
      </c>
      <c r="N1638" s="138" t="str">
        <f>IF(ISERROR(VLOOKUP(C1638,'[1]خريطة الحسابات'!_xlnm.Print_Area,5,FALSE))," ",(VLOOKUP(C1638,'[1]خريطة الحسابات'!_xlnm.Print_Area,5,FALSE)))</f>
        <v xml:space="preserve">تكاليف العمليات </v>
      </c>
      <c r="O1638" s="84" t="s">
        <v>2037</v>
      </c>
      <c r="P1638" s="84" t="s">
        <v>1290</v>
      </c>
    </row>
    <row r="1639" spans="1:16">
      <c r="A1639" s="104">
        <v>63</v>
      </c>
      <c r="B1639" s="131">
        <v>46135</v>
      </c>
      <c r="C1639" s="150" t="s">
        <v>93</v>
      </c>
      <c r="D1639" s="140" t="str">
        <f>IF(ISERROR(VLOOKUP(C1639,'[1]خريطة الحسابات'!_xlnm.Print_Area,3,FALSE))," ",(VLOOKUP(C1639,'[1]خريطة الحسابات'!_xlnm.Print_Area,3,FALSE)))</f>
        <v>خامات ومصنعية بند الكهرباء</v>
      </c>
      <c r="E1639" s="142"/>
      <c r="F1639" s="133">
        <v>1500</v>
      </c>
      <c r="G1639" s="133"/>
      <c r="H1639" s="134">
        <f t="shared" si="76"/>
        <v>1500</v>
      </c>
      <c r="I1639" s="134">
        <f t="shared" si="76"/>
        <v>0</v>
      </c>
      <c r="J1639" s="134">
        <f t="shared" si="75"/>
        <v>1500</v>
      </c>
      <c r="K1639" s="135"/>
      <c r="L1639" s="136" t="str">
        <f t="shared" si="77"/>
        <v>مدين</v>
      </c>
      <c r="M1639" s="137" t="str">
        <f>IF(ISERROR(VLOOKUP(C1639,'[1]خريطة الحسابات'!_xlnm.Print_Area,4,FALSE))," ",(VLOOKUP(C1639,'[1]خريطة الحسابات'!_xlnm.Print_Area,4,FALSE)))</f>
        <v>تكاليف مشروع سوديك  341</v>
      </c>
      <c r="N1639" s="138" t="str">
        <f>IF(ISERROR(VLOOKUP(C1639,'[1]خريطة الحسابات'!_xlnm.Print_Area,5,FALSE))," ",(VLOOKUP(C1639,'[1]خريطة الحسابات'!_xlnm.Print_Area,5,FALSE)))</f>
        <v xml:space="preserve">تكاليف العمليات </v>
      </c>
      <c r="O1639" s="84" t="s">
        <v>2068</v>
      </c>
      <c r="P1639" s="84" t="s">
        <v>1290</v>
      </c>
    </row>
    <row r="1640" spans="1:16">
      <c r="A1640" s="104">
        <v>63</v>
      </c>
      <c r="B1640" s="131">
        <v>46135</v>
      </c>
      <c r="C1640" s="150" t="s">
        <v>93</v>
      </c>
      <c r="D1640" s="140" t="str">
        <f>IF(ISERROR(VLOOKUP(C1640,'[1]خريطة الحسابات'!_xlnm.Print_Area,3,FALSE))," ",(VLOOKUP(C1640,'[1]خريطة الحسابات'!_xlnm.Print_Area,3,FALSE)))</f>
        <v>خامات ومصنعية بند الكهرباء</v>
      </c>
      <c r="E1640" s="142"/>
      <c r="F1640" s="133">
        <v>7884</v>
      </c>
      <c r="G1640" s="133"/>
      <c r="H1640" s="134">
        <f t="shared" si="76"/>
        <v>7884</v>
      </c>
      <c r="I1640" s="134">
        <f t="shared" si="76"/>
        <v>0</v>
      </c>
      <c r="J1640" s="134">
        <f t="shared" si="75"/>
        <v>7884</v>
      </c>
      <c r="K1640" s="135"/>
      <c r="L1640" s="136" t="str">
        <f t="shared" si="77"/>
        <v>مدين</v>
      </c>
      <c r="M1640" s="137" t="str">
        <f>IF(ISERROR(VLOOKUP(C1640,'[1]خريطة الحسابات'!_xlnm.Print_Area,4,FALSE))," ",(VLOOKUP(C1640,'[1]خريطة الحسابات'!_xlnm.Print_Area,4,FALSE)))</f>
        <v>تكاليف مشروع سوديك  341</v>
      </c>
      <c r="N1640" s="138" t="str">
        <f>IF(ISERROR(VLOOKUP(C1640,'[1]خريطة الحسابات'!_xlnm.Print_Area,5,FALSE))," ",(VLOOKUP(C1640,'[1]خريطة الحسابات'!_xlnm.Print_Area,5,FALSE)))</f>
        <v xml:space="preserve">تكاليف العمليات </v>
      </c>
      <c r="O1640" s="84" t="s">
        <v>2069</v>
      </c>
      <c r="P1640" s="84" t="s">
        <v>1290</v>
      </c>
    </row>
    <row r="1641" spans="1:16">
      <c r="A1641" s="104">
        <v>63</v>
      </c>
      <c r="B1641" s="131">
        <v>46144</v>
      </c>
      <c r="C1641" s="150" t="s">
        <v>93</v>
      </c>
      <c r="D1641" s="140" t="str">
        <f>IF(ISERROR(VLOOKUP(C1641,'[1]خريطة الحسابات'!_xlnm.Print_Area,3,FALSE))," ",(VLOOKUP(C1641,'[1]خريطة الحسابات'!_xlnm.Print_Area,3,FALSE)))</f>
        <v>خامات ومصنعية بند الكهرباء</v>
      </c>
      <c r="E1641" s="142"/>
      <c r="F1641" s="133">
        <v>3240</v>
      </c>
      <c r="G1641" s="133"/>
      <c r="H1641" s="134">
        <f t="shared" si="76"/>
        <v>3240</v>
      </c>
      <c r="I1641" s="134">
        <f t="shared" si="76"/>
        <v>0</v>
      </c>
      <c r="J1641" s="134">
        <f t="shared" si="75"/>
        <v>3240</v>
      </c>
      <c r="K1641" s="135"/>
      <c r="L1641" s="136" t="str">
        <f t="shared" si="77"/>
        <v>مدين</v>
      </c>
      <c r="M1641" s="137" t="str">
        <f>IF(ISERROR(VLOOKUP(C1641,'[1]خريطة الحسابات'!_xlnm.Print_Area,4,FALSE))," ",(VLOOKUP(C1641,'[1]خريطة الحسابات'!_xlnm.Print_Area,4,FALSE)))</f>
        <v>تكاليف مشروع سوديك  341</v>
      </c>
      <c r="N1641" s="138" t="str">
        <f>IF(ISERROR(VLOOKUP(C1641,'[1]خريطة الحسابات'!_xlnm.Print_Area,5,FALSE))," ",(VLOOKUP(C1641,'[1]خريطة الحسابات'!_xlnm.Print_Area,5,FALSE)))</f>
        <v xml:space="preserve">تكاليف العمليات </v>
      </c>
      <c r="O1641" s="84" t="s">
        <v>2070</v>
      </c>
      <c r="P1641" s="84" t="s">
        <v>1290</v>
      </c>
    </row>
    <row r="1642" spans="1:16">
      <c r="A1642" s="104">
        <v>63</v>
      </c>
      <c r="B1642" s="131">
        <v>46144</v>
      </c>
      <c r="C1642" s="150" t="s">
        <v>93</v>
      </c>
      <c r="D1642" s="140" t="str">
        <f>IF(ISERROR(VLOOKUP(C1642,'[1]خريطة الحسابات'!_xlnm.Print_Area,3,FALSE))," ",(VLOOKUP(C1642,'[1]خريطة الحسابات'!_xlnm.Print_Area,3,FALSE)))</f>
        <v>خامات ومصنعية بند الكهرباء</v>
      </c>
      <c r="E1642" s="142"/>
      <c r="F1642" s="133">
        <v>1870</v>
      </c>
      <c r="G1642" s="133"/>
      <c r="H1642" s="134">
        <f t="shared" si="76"/>
        <v>1870</v>
      </c>
      <c r="I1642" s="134">
        <f t="shared" si="76"/>
        <v>0</v>
      </c>
      <c r="J1642" s="134">
        <f t="shared" si="75"/>
        <v>1870</v>
      </c>
      <c r="K1642" s="135"/>
      <c r="L1642" s="136" t="str">
        <f t="shared" si="77"/>
        <v>مدين</v>
      </c>
      <c r="M1642" s="137" t="str">
        <f>IF(ISERROR(VLOOKUP(C1642,'[1]خريطة الحسابات'!_xlnm.Print_Area,4,FALSE))," ",(VLOOKUP(C1642,'[1]خريطة الحسابات'!_xlnm.Print_Area,4,FALSE)))</f>
        <v>تكاليف مشروع سوديك  341</v>
      </c>
      <c r="N1642" s="138" t="str">
        <f>IF(ISERROR(VLOOKUP(C1642,'[1]خريطة الحسابات'!_xlnm.Print_Area,5,FALSE))," ",(VLOOKUP(C1642,'[1]خريطة الحسابات'!_xlnm.Print_Area,5,FALSE)))</f>
        <v xml:space="preserve">تكاليف العمليات </v>
      </c>
      <c r="O1642" s="84" t="s">
        <v>2071</v>
      </c>
      <c r="P1642" s="84" t="s">
        <v>1290</v>
      </c>
    </row>
    <row r="1643" spans="1:16">
      <c r="A1643" s="104">
        <v>63</v>
      </c>
      <c r="B1643" s="131">
        <v>46144</v>
      </c>
      <c r="C1643" s="150" t="s">
        <v>93</v>
      </c>
      <c r="D1643" s="140" t="str">
        <f>IF(ISERROR(VLOOKUP(C1643,'[1]خريطة الحسابات'!_xlnm.Print_Area,3,FALSE))," ",(VLOOKUP(C1643,'[1]خريطة الحسابات'!_xlnm.Print_Area,3,FALSE)))</f>
        <v>خامات ومصنعية بند الكهرباء</v>
      </c>
      <c r="E1643" s="142"/>
      <c r="F1643" s="133">
        <v>17989</v>
      </c>
      <c r="G1643" s="133"/>
      <c r="H1643" s="134">
        <f t="shared" si="76"/>
        <v>17989</v>
      </c>
      <c r="I1643" s="134">
        <f t="shared" si="76"/>
        <v>0</v>
      </c>
      <c r="J1643" s="134">
        <f t="shared" si="75"/>
        <v>17989</v>
      </c>
      <c r="K1643" s="135"/>
      <c r="L1643" s="136" t="str">
        <f t="shared" si="77"/>
        <v>مدين</v>
      </c>
      <c r="M1643" s="137" t="str">
        <f>IF(ISERROR(VLOOKUP(C1643,'[1]خريطة الحسابات'!_xlnm.Print_Area,4,FALSE))," ",(VLOOKUP(C1643,'[1]خريطة الحسابات'!_xlnm.Print_Area,4,FALSE)))</f>
        <v>تكاليف مشروع سوديك  341</v>
      </c>
      <c r="N1643" s="138" t="str">
        <f>IF(ISERROR(VLOOKUP(C1643,'[1]خريطة الحسابات'!_xlnm.Print_Area,5,FALSE))," ",(VLOOKUP(C1643,'[1]خريطة الحسابات'!_xlnm.Print_Area,5,FALSE)))</f>
        <v xml:space="preserve">تكاليف العمليات </v>
      </c>
      <c r="O1643" s="84" t="s">
        <v>2037</v>
      </c>
      <c r="P1643" s="84" t="s">
        <v>1290</v>
      </c>
    </row>
    <row r="1644" spans="1:16">
      <c r="A1644" s="104">
        <v>63</v>
      </c>
      <c r="B1644" s="131">
        <v>46144</v>
      </c>
      <c r="C1644" s="150" t="s">
        <v>93</v>
      </c>
      <c r="D1644" s="140" t="str">
        <f>IF(ISERROR(VLOOKUP(C1644,'[1]خريطة الحسابات'!_xlnm.Print_Area,3,FALSE))," ",(VLOOKUP(C1644,'[1]خريطة الحسابات'!_xlnm.Print_Area,3,FALSE)))</f>
        <v>خامات ومصنعية بند الكهرباء</v>
      </c>
      <c r="E1644" s="142"/>
      <c r="F1644" s="133">
        <v>12616</v>
      </c>
      <c r="G1644" s="133"/>
      <c r="H1644" s="134">
        <f t="shared" si="76"/>
        <v>12616</v>
      </c>
      <c r="I1644" s="134">
        <f t="shared" si="76"/>
        <v>0</v>
      </c>
      <c r="J1644" s="134">
        <f t="shared" si="75"/>
        <v>12616</v>
      </c>
      <c r="K1644" s="135"/>
      <c r="L1644" s="136" t="str">
        <f t="shared" si="77"/>
        <v>مدين</v>
      </c>
      <c r="M1644" s="137" t="str">
        <f>IF(ISERROR(VLOOKUP(C1644,'[1]خريطة الحسابات'!_xlnm.Print_Area,4,FALSE))," ",(VLOOKUP(C1644,'[1]خريطة الحسابات'!_xlnm.Print_Area,4,FALSE)))</f>
        <v>تكاليف مشروع سوديك  341</v>
      </c>
      <c r="N1644" s="138" t="str">
        <f>IF(ISERROR(VLOOKUP(C1644,'[1]خريطة الحسابات'!_xlnm.Print_Area,5,FALSE))," ",(VLOOKUP(C1644,'[1]خريطة الحسابات'!_xlnm.Print_Area,5,FALSE)))</f>
        <v xml:space="preserve">تكاليف العمليات </v>
      </c>
      <c r="O1644" s="84" t="s">
        <v>2037</v>
      </c>
      <c r="P1644" s="84" t="s">
        <v>1290</v>
      </c>
    </row>
    <row r="1645" spans="1:16">
      <c r="A1645" s="104">
        <v>63</v>
      </c>
      <c r="B1645" s="131">
        <v>46144</v>
      </c>
      <c r="C1645" s="150" t="s">
        <v>93</v>
      </c>
      <c r="D1645" s="140" t="str">
        <f>IF(ISERROR(VLOOKUP(C1645,'[1]خريطة الحسابات'!_xlnm.Print_Area,3,FALSE))," ",(VLOOKUP(C1645,'[1]خريطة الحسابات'!_xlnm.Print_Area,3,FALSE)))</f>
        <v>خامات ومصنعية بند الكهرباء</v>
      </c>
      <c r="E1645" s="142"/>
      <c r="F1645" s="133">
        <v>715</v>
      </c>
      <c r="G1645" s="133"/>
      <c r="H1645" s="134">
        <f t="shared" si="76"/>
        <v>715</v>
      </c>
      <c r="I1645" s="134">
        <f t="shared" si="76"/>
        <v>0</v>
      </c>
      <c r="J1645" s="134">
        <f t="shared" si="75"/>
        <v>715</v>
      </c>
      <c r="K1645" s="135"/>
      <c r="L1645" s="136" t="str">
        <f t="shared" si="77"/>
        <v>مدين</v>
      </c>
      <c r="M1645" s="137" t="str">
        <f>IF(ISERROR(VLOOKUP(C1645,'[1]خريطة الحسابات'!_xlnm.Print_Area,4,FALSE))," ",(VLOOKUP(C1645,'[1]خريطة الحسابات'!_xlnm.Print_Area,4,FALSE)))</f>
        <v>تكاليف مشروع سوديك  341</v>
      </c>
      <c r="N1645" s="138" t="str">
        <f>IF(ISERROR(VLOOKUP(C1645,'[1]خريطة الحسابات'!_xlnm.Print_Area,5,FALSE))," ",(VLOOKUP(C1645,'[1]خريطة الحسابات'!_xlnm.Print_Area,5,FALSE)))</f>
        <v xml:space="preserve">تكاليف العمليات </v>
      </c>
      <c r="O1645" s="84" t="s">
        <v>2072</v>
      </c>
      <c r="P1645" s="84" t="s">
        <v>1290</v>
      </c>
    </row>
    <row r="1646" spans="1:16">
      <c r="A1646" s="104">
        <v>63</v>
      </c>
      <c r="B1646" s="131">
        <v>46151</v>
      </c>
      <c r="C1646" s="150" t="s">
        <v>93</v>
      </c>
      <c r="D1646" s="140" t="str">
        <f>IF(ISERROR(VLOOKUP(C1646,'[1]خريطة الحسابات'!_xlnm.Print_Area,3,FALSE))," ",(VLOOKUP(C1646,'[1]خريطة الحسابات'!_xlnm.Print_Area,3,FALSE)))</f>
        <v>خامات ومصنعية بند الكهرباء</v>
      </c>
      <c r="E1646" s="142"/>
      <c r="F1646" s="133">
        <v>11590</v>
      </c>
      <c r="G1646" s="133"/>
      <c r="H1646" s="134">
        <f t="shared" si="76"/>
        <v>11590</v>
      </c>
      <c r="I1646" s="134">
        <f t="shared" si="76"/>
        <v>0</v>
      </c>
      <c r="J1646" s="134">
        <f t="shared" si="75"/>
        <v>11590</v>
      </c>
      <c r="K1646" s="135"/>
      <c r="L1646" s="136" t="str">
        <f t="shared" si="77"/>
        <v>مدين</v>
      </c>
      <c r="M1646" s="137" t="str">
        <f>IF(ISERROR(VLOOKUP(C1646,'[1]خريطة الحسابات'!_xlnm.Print_Area,4,FALSE))," ",(VLOOKUP(C1646,'[1]خريطة الحسابات'!_xlnm.Print_Area,4,FALSE)))</f>
        <v>تكاليف مشروع سوديك  341</v>
      </c>
      <c r="N1646" s="138" t="str">
        <f>IF(ISERROR(VLOOKUP(C1646,'[1]خريطة الحسابات'!_xlnm.Print_Area,5,FALSE))," ",(VLOOKUP(C1646,'[1]خريطة الحسابات'!_xlnm.Print_Area,5,FALSE)))</f>
        <v xml:space="preserve">تكاليف العمليات </v>
      </c>
      <c r="O1646" s="84" t="s">
        <v>2073</v>
      </c>
      <c r="P1646" s="84" t="s">
        <v>1290</v>
      </c>
    </row>
    <row r="1647" spans="1:16">
      <c r="A1647" s="104">
        <v>63</v>
      </c>
      <c r="B1647" s="131">
        <v>46162</v>
      </c>
      <c r="C1647" s="150" t="s">
        <v>93</v>
      </c>
      <c r="D1647" s="140" t="str">
        <f>IF(ISERROR(VLOOKUP(C1647,'[1]خريطة الحسابات'!_xlnm.Print_Area,3,FALSE))," ",(VLOOKUP(C1647,'[1]خريطة الحسابات'!_xlnm.Print_Area,3,FALSE)))</f>
        <v>خامات ومصنعية بند الكهرباء</v>
      </c>
      <c r="E1647" s="142"/>
      <c r="F1647" s="133">
        <v>30000</v>
      </c>
      <c r="G1647" s="133"/>
      <c r="H1647" s="134">
        <f t="shared" si="76"/>
        <v>30000</v>
      </c>
      <c r="I1647" s="134">
        <f t="shared" si="76"/>
        <v>0</v>
      </c>
      <c r="J1647" s="134">
        <f t="shared" si="75"/>
        <v>30000</v>
      </c>
      <c r="K1647" s="135"/>
      <c r="L1647" s="136" t="str">
        <f t="shared" si="77"/>
        <v>مدين</v>
      </c>
      <c r="M1647" s="137" t="str">
        <f>IF(ISERROR(VLOOKUP(C1647,'[1]خريطة الحسابات'!_xlnm.Print_Area,4,FALSE))," ",(VLOOKUP(C1647,'[1]خريطة الحسابات'!_xlnm.Print_Area,4,FALSE)))</f>
        <v>تكاليف مشروع سوديك  341</v>
      </c>
      <c r="N1647" s="138" t="str">
        <f>IF(ISERROR(VLOOKUP(C1647,'[1]خريطة الحسابات'!_xlnm.Print_Area,5,FALSE))," ",(VLOOKUP(C1647,'[1]خريطة الحسابات'!_xlnm.Print_Area,5,FALSE)))</f>
        <v xml:space="preserve">تكاليف العمليات </v>
      </c>
      <c r="O1647" s="84" t="s">
        <v>2074</v>
      </c>
      <c r="P1647" s="84" t="s">
        <v>1290</v>
      </c>
    </row>
    <row r="1648" spans="1:16">
      <c r="A1648" s="104">
        <v>63</v>
      </c>
      <c r="B1648" s="131">
        <v>46163</v>
      </c>
      <c r="C1648" s="150" t="s">
        <v>93</v>
      </c>
      <c r="D1648" s="140" t="str">
        <f>IF(ISERROR(VLOOKUP(C1648,'[1]خريطة الحسابات'!_xlnm.Print_Area,3,FALSE))," ",(VLOOKUP(C1648,'[1]خريطة الحسابات'!_xlnm.Print_Area,3,FALSE)))</f>
        <v>خامات ومصنعية بند الكهرباء</v>
      </c>
      <c r="E1648" s="142"/>
      <c r="F1648" s="133">
        <v>1905</v>
      </c>
      <c r="G1648" s="133"/>
      <c r="H1648" s="134">
        <f t="shared" si="76"/>
        <v>1905</v>
      </c>
      <c r="I1648" s="134">
        <f t="shared" si="76"/>
        <v>0</v>
      </c>
      <c r="J1648" s="134">
        <f t="shared" si="75"/>
        <v>1905</v>
      </c>
      <c r="K1648" s="135"/>
      <c r="L1648" s="136" t="str">
        <f t="shared" si="77"/>
        <v>مدين</v>
      </c>
      <c r="M1648" s="137" t="str">
        <f>IF(ISERROR(VLOOKUP(C1648,'[1]خريطة الحسابات'!_xlnm.Print_Area,4,FALSE))," ",(VLOOKUP(C1648,'[1]خريطة الحسابات'!_xlnm.Print_Area,4,FALSE)))</f>
        <v>تكاليف مشروع سوديك  341</v>
      </c>
      <c r="N1648" s="138" t="str">
        <f>IF(ISERROR(VLOOKUP(C1648,'[1]خريطة الحسابات'!_xlnm.Print_Area,5,FALSE))," ",(VLOOKUP(C1648,'[1]خريطة الحسابات'!_xlnm.Print_Area,5,FALSE)))</f>
        <v xml:space="preserve">تكاليف العمليات </v>
      </c>
      <c r="O1648" s="84" t="s">
        <v>2075</v>
      </c>
      <c r="P1648" s="84" t="s">
        <v>1290</v>
      </c>
    </row>
    <row r="1649" spans="1:16">
      <c r="A1649" s="104">
        <v>63</v>
      </c>
      <c r="B1649" s="131">
        <v>46163</v>
      </c>
      <c r="C1649" s="150" t="s">
        <v>93</v>
      </c>
      <c r="D1649" s="140" t="str">
        <f>IF(ISERROR(VLOOKUP(C1649,'[1]خريطة الحسابات'!_xlnm.Print_Area,3,FALSE))," ",(VLOOKUP(C1649,'[1]خريطة الحسابات'!_xlnm.Print_Area,3,FALSE)))</f>
        <v>خامات ومصنعية بند الكهرباء</v>
      </c>
      <c r="E1649" s="142"/>
      <c r="F1649" s="133">
        <v>1400</v>
      </c>
      <c r="G1649" s="133"/>
      <c r="H1649" s="134">
        <f t="shared" si="76"/>
        <v>1400</v>
      </c>
      <c r="I1649" s="134">
        <f t="shared" si="76"/>
        <v>0</v>
      </c>
      <c r="J1649" s="134">
        <f t="shared" si="75"/>
        <v>1400</v>
      </c>
      <c r="K1649" s="135"/>
      <c r="L1649" s="136" t="str">
        <f t="shared" si="77"/>
        <v>مدين</v>
      </c>
      <c r="M1649" s="137" t="str">
        <f>IF(ISERROR(VLOOKUP(C1649,'[1]خريطة الحسابات'!_xlnm.Print_Area,4,FALSE))," ",(VLOOKUP(C1649,'[1]خريطة الحسابات'!_xlnm.Print_Area,4,FALSE)))</f>
        <v>تكاليف مشروع سوديك  341</v>
      </c>
      <c r="N1649" s="138" t="str">
        <f>IF(ISERROR(VLOOKUP(C1649,'[1]خريطة الحسابات'!_xlnm.Print_Area,5,FALSE))," ",(VLOOKUP(C1649,'[1]خريطة الحسابات'!_xlnm.Print_Area,5,FALSE)))</f>
        <v xml:space="preserve">تكاليف العمليات </v>
      </c>
      <c r="O1649" s="84" t="s">
        <v>2076</v>
      </c>
      <c r="P1649" s="84" t="s">
        <v>1290</v>
      </c>
    </row>
    <row r="1650" spans="1:16">
      <c r="A1650" s="104">
        <v>63</v>
      </c>
      <c r="B1650" s="131">
        <v>46166</v>
      </c>
      <c r="C1650" s="150" t="s">
        <v>93</v>
      </c>
      <c r="D1650" s="140" t="str">
        <f>IF(ISERROR(VLOOKUP(C1650,'[1]خريطة الحسابات'!_xlnm.Print_Area,3,FALSE))," ",(VLOOKUP(C1650,'[1]خريطة الحسابات'!_xlnm.Print_Area,3,FALSE)))</f>
        <v>خامات ومصنعية بند الكهرباء</v>
      </c>
      <c r="E1650" s="142"/>
      <c r="F1650" s="133">
        <v>9700</v>
      </c>
      <c r="G1650" s="133"/>
      <c r="H1650" s="134">
        <f t="shared" si="76"/>
        <v>9700</v>
      </c>
      <c r="I1650" s="134">
        <f t="shared" si="76"/>
        <v>0</v>
      </c>
      <c r="J1650" s="134">
        <f t="shared" si="75"/>
        <v>9700</v>
      </c>
      <c r="K1650" s="135"/>
      <c r="L1650" s="136" t="str">
        <f t="shared" si="77"/>
        <v>مدين</v>
      </c>
      <c r="M1650" s="137" t="str">
        <f>IF(ISERROR(VLOOKUP(C1650,'[1]خريطة الحسابات'!_xlnm.Print_Area,4,FALSE))," ",(VLOOKUP(C1650,'[1]خريطة الحسابات'!_xlnm.Print_Area,4,FALSE)))</f>
        <v>تكاليف مشروع سوديك  341</v>
      </c>
      <c r="N1650" s="138" t="str">
        <f>IF(ISERROR(VLOOKUP(C1650,'[1]خريطة الحسابات'!_xlnm.Print_Area,5,FALSE))," ",(VLOOKUP(C1650,'[1]خريطة الحسابات'!_xlnm.Print_Area,5,FALSE)))</f>
        <v xml:space="preserve">تكاليف العمليات </v>
      </c>
      <c r="O1650" s="84" t="s">
        <v>2077</v>
      </c>
      <c r="P1650" s="84" t="s">
        <v>1290</v>
      </c>
    </row>
    <row r="1651" spans="1:16">
      <c r="A1651" s="104">
        <v>63</v>
      </c>
      <c r="B1651" s="131">
        <v>46166</v>
      </c>
      <c r="C1651" s="150" t="s">
        <v>93</v>
      </c>
      <c r="D1651" s="140" t="str">
        <f>IF(ISERROR(VLOOKUP(C1651,'[1]خريطة الحسابات'!_xlnm.Print_Area,3,FALSE))," ",(VLOOKUP(C1651,'[1]خريطة الحسابات'!_xlnm.Print_Area,3,FALSE)))</f>
        <v>خامات ومصنعية بند الكهرباء</v>
      </c>
      <c r="E1651" s="142"/>
      <c r="F1651" s="133">
        <v>505</v>
      </c>
      <c r="G1651" s="133"/>
      <c r="H1651" s="134">
        <f t="shared" si="76"/>
        <v>505</v>
      </c>
      <c r="I1651" s="134">
        <f t="shared" si="76"/>
        <v>0</v>
      </c>
      <c r="J1651" s="134">
        <f t="shared" si="75"/>
        <v>505</v>
      </c>
      <c r="K1651" s="135"/>
      <c r="L1651" s="136" t="str">
        <f t="shared" si="77"/>
        <v>مدين</v>
      </c>
      <c r="M1651" s="137" t="str">
        <f>IF(ISERROR(VLOOKUP(C1651,'[1]خريطة الحسابات'!_xlnm.Print_Area,4,FALSE))," ",(VLOOKUP(C1651,'[1]خريطة الحسابات'!_xlnm.Print_Area,4,FALSE)))</f>
        <v>تكاليف مشروع سوديك  341</v>
      </c>
      <c r="N1651" s="138" t="str">
        <f>IF(ISERROR(VLOOKUP(C1651,'[1]خريطة الحسابات'!_xlnm.Print_Area,5,FALSE))," ",(VLOOKUP(C1651,'[1]خريطة الحسابات'!_xlnm.Print_Area,5,FALSE)))</f>
        <v xml:space="preserve">تكاليف العمليات </v>
      </c>
      <c r="O1651" s="84" t="s">
        <v>2078</v>
      </c>
      <c r="P1651" s="84" t="s">
        <v>1290</v>
      </c>
    </row>
    <row r="1652" spans="1:16">
      <c r="A1652" s="104">
        <v>63</v>
      </c>
      <c r="B1652" s="131">
        <v>46179</v>
      </c>
      <c r="C1652" s="150" t="s">
        <v>93</v>
      </c>
      <c r="D1652" s="140" t="str">
        <f>IF(ISERROR(VLOOKUP(C1652,'[1]خريطة الحسابات'!_xlnm.Print_Area,3,FALSE))," ",(VLOOKUP(C1652,'[1]خريطة الحسابات'!_xlnm.Print_Area,3,FALSE)))</f>
        <v>خامات ومصنعية بند الكهرباء</v>
      </c>
      <c r="E1652" s="142"/>
      <c r="F1652" s="133">
        <v>14000</v>
      </c>
      <c r="G1652" s="133"/>
      <c r="H1652" s="134">
        <f t="shared" si="76"/>
        <v>14000</v>
      </c>
      <c r="I1652" s="134">
        <f t="shared" si="76"/>
        <v>0</v>
      </c>
      <c r="J1652" s="134">
        <f t="shared" si="75"/>
        <v>14000</v>
      </c>
      <c r="K1652" s="135"/>
      <c r="L1652" s="136" t="str">
        <f t="shared" si="77"/>
        <v>مدين</v>
      </c>
      <c r="M1652" s="137" t="str">
        <f>IF(ISERROR(VLOOKUP(C1652,'[1]خريطة الحسابات'!_xlnm.Print_Area,4,FALSE))," ",(VLOOKUP(C1652,'[1]خريطة الحسابات'!_xlnm.Print_Area,4,FALSE)))</f>
        <v>تكاليف مشروع سوديك  341</v>
      </c>
      <c r="N1652" s="138" t="str">
        <f>IF(ISERROR(VLOOKUP(C1652,'[1]خريطة الحسابات'!_xlnm.Print_Area,5,FALSE))," ",(VLOOKUP(C1652,'[1]خريطة الحسابات'!_xlnm.Print_Area,5,FALSE)))</f>
        <v xml:space="preserve">تكاليف العمليات </v>
      </c>
      <c r="O1652" s="84" t="s">
        <v>2078</v>
      </c>
      <c r="P1652" s="84" t="s">
        <v>1290</v>
      </c>
    </row>
    <row r="1653" spans="1:16">
      <c r="A1653" s="104">
        <v>63</v>
      </c>
      <c r="B1653" s="131">
        <v>46184</v>
      </c>
      <c r="C1653" s="150" t="s">
        <v>93</v>
      </c>
      <c r="D1653" s="140" t="str">
        <f>IF(ISERROR(VLOOKUP(C1653,'[1]خريطة الحسابات'!_xlnm.Print_Area,3,FALSE))," ",(VLOOKUP(C1653,'[1]خريطة الحسابات'!_xlnm.Print_Area,3,FALSE)))</f>
        <v>خامات ومصنعية بند الكهرباء</v>
      </c>
      <c r="E1653" s="142"/>
      <c r="F1653" s="133">
        <v>550</v>
      </c>
      <c r="G1653" s="133"/>
      <c r="H1653" s="134">
        <f t="shared" si="76"/>
        <v>550</v>
      </c>
      <c r="I1653" s="134">
        <f t="shared" si="76"/>
        <v>0</v>
      </c>
      <c r="J1653" s="134">
        <f t="shared" si="75"/>
        <v>550</v>
      </c>
      <c r="K1653" s="135"/>
      <c r="L1653" s="136" t="str">
        <f t="shared" si="77"/>
        <v>مدين</v>
      </c>
      <c r="M1653" s="137" t="str">
        <f>IF(ISERROR(VLOOKUP(C1653,'[1]خريطة الحسابات'!_xlnm.Print_Area,4,FALSE))," ",(VLOOKUP(C1653,'[1]خريطة الحسابات'!_xlnm.Print_Area,4,FALSE)))</f>
        <v>تكاليف مشروع سوديك  341</v>
      </c>
      <c r="N1653" s="138" t="str">
        <f>IF(ISERROR(VLOOKUP(C1653,'[1]خريطة الحسابات'!_xlnm.Print_Area,5,FALSE))," ",(VLOOKUP(C1653,'[1]خريطة الحسابات'!_xlnm.Print_Area,5,FALSE)))</f>
        <v xml:space="preserve">تكاليف العمليات </v>
      </c>
      <c r="O1653" s="84" t="s">
        <v>2079</v>
      </c>
      <c r="P1653" s="84" t="s">
        <v>1290</v>
      </c>
    </row>
    <row r="1654" spans="1:16">
      <c r="A1654" s="104">
        <v>63</v>
      </c>
      <c r="B1654" s="131">
        <v>46184</v>
      </c>
      <c r="C1654" s="150" t="s">
        <v>93</v>
      </c>
      <c r="D1654" s="140" t="str">
        <f>IF(ISERROR(VLOOKUP(C1654,'[1]خريطة الحسابات'!_xlnm.Print_Area,3,FALSE))," ",(VLOOKUP(C1654,'[1]خريطة الحسابات'!_xlnm.Print_Area,3,FALSE)))</f>
        <v>خامات ومصنعية بند الكهرباء</v>
      </c>
      <c r="E1654" s="142"/>
      <c r="F1654" s="133">
        <v>2200</v>
      </c>
      <c r="G1654" s="133"/>
      <c r="H1654" s="134">
        <f t="shared" si="76"/>
        <v>2200</v>
      </c>
      <c r="I1654" s="134">
        <f t="shared" si="76"/>
        <v>0</v>
      </c>
      <c r="J1654" s="134">
        <f t="shared" si="75"/>
        <v>2200</v>
      </c>
      <c r="K1654" s="135"/>
      <c r="L1654" s="136" t="str">
        <f t="shared" si="77"/>
        <v>مدين</v>
      </c>
      <c r="M1654" s="137" t="str">
        <f>IF(ISERROR(VLOOKUP(C1654,'[1]خريطة الحسابات'!_xlnm.Print_Area,4,FALSE))," ",(VLOOKUP(C1654,'[1]خريطة الحسابات'!_xlnm.Print_Area,4,FALSE)))</f>
        <v>تكاليف مشروع سوديك  341</v>
      </c>
      <c r="N1654" s="138" t="str">
        <f>IF(ISERROR(VLOOKUP(C1654,'[1]خريطة الحسابات'!_xlnm.Print_Area,5,FALSE))," ",(VLOOKUP(C1654,'[1]خريطة الحسابات'!_xlnm.Print_Area,5,FALSE)))</f>
        <v xml:space="preserve">تكاليف العمليات </v>
      </c>
      <c r="O1654" s="84" t="s">
        <v>2080</v>
      </c>
      <c r="P1654" s="84" t="s">
        <v>1290</v>
      </c>
    </row>
    <row r="1655" spans="1:16">
      <c r="A1655" s="104">
        <v>63</v>
      </c>
      <c r="B1655" s="131">
        <v>46186</v>
      </c>
      <c r="C1655" s="150" t="s">
        <v>93</v>
      </c>
      <c r="D1655" s="140" t="str">
        <f>IF(ISERROR(VLOOKUP(C1655,'[1]خريطة الحسابات'!_xlnm.Print_Area,3,FALSE))," ",(VLOOKUP(C1655,'[1]خريطة الحسابات'!_xlnm.Print_Area,3,FALSE)))</f>
        <v>خامات ومصنعية بند الكهرباء</v>
      </c>
      <c r="E1655" s="142"/>
      <c r="F1655" s="133">
        <v>90950</v>
      </c>
      <c r="G1655" s="133"/>
      <c r="H1655" s="134">
        <f t="shared" si="76"/>
        <v>90950</v>
      </c>
      <c r="I1655" s="134">
        <f t="shared" si="76"/>
        <v>0</v>
      </c>
      <c r="J1655" s="134">
        <f t="shared" si="75"/>
        <v>90950</v>
      </c>
      <c r="K1655" s="135"/>
      <c r="L1655" s="136" t="str">
        <f t="shared" si="77"/>
        <v>مدين</v>
      </c>
      <c r="M1655" s="137" t="str">
        <f>IF(ISERROR(VLOOKUP(C1655,'[1]خريطة الحسابات'!_xlnm.Print_Area,4,FALSE))," ",(VLOOKUP(C1655,'[1]خريطة الحسابات'!_xlnm.Print_Area,4,FALSE)))</f>
        <v>تكاليف مشروع سوديك  341</v>
      </c>
      <c r="N1655" s="138" t="str">
        <f>IF(ISERROR(VLOOKUP(C1655,'[1]خريطة الحسابات'!_xlnm.Print_Area,5,FALSE))," ",(VLOOKUP(C1655,'[1]خريطة الحسابات'!_xlnm.Print_Area,5,FALSE)))</f>
        <v xml:space="preserve">تكاليف العمليات </v>
      </c>
      <c r="O1655" s="84" t="s">
        <v>2081</v>
      </c>
      <c r="P1655" s="84" t="s">
        <v>1290</v>
      </c>
    </row>
    <row r="1656" spans="1:16">
      <c r="A1656" s="104">
        <v>63</v>
      </c>
      <c r="B1656" s="131">
        <v>46046</v>
      </c>
      <c r="C1656" s="150" t="s">
        <v>884</v>
      </c>
      <c r="D1656" s="140" t="str">
        <f>IF(ISERROR(VLOOKUP(C1656,'[1]خريطة الحسابات'!_xlnm.Print_Area,3,FALSE))," ",(VLOOKUP(C1656,'[1]خريطة الحسابات'!_xlnm.Print_Area,3,FALSE)))</f>
        <v>خامات ومصنعية بند الكهرباء</v>
      </c>
      <c r="E1656" s="142"/>
      <c r="F1656" s="133">
        <v>50790</v>
      </c>
      <c r="G1656" s="133"/>
      <c r="H1656" s="134">
        <f t="shared" si="76"/>
        <v>50790</v>
      </c>
      <c r="I1656" s="134">
        <f t="shared" si="76"/>
        <v>0</v>
      </c>
      <c r="J1656" s="134">
        <f t="shared" si="75"/>
        <v>50790</v>
      </c>
      <c r="K1656" s="135"/>
      <c r="L1656" s="136" t="str">
        <f t="shared" si="77"/>
        <v>مدين</v>
      </c>
      <c r="M1656" s="137" t="str">
        <f>IF(ISERROR(VLOOKUP(C1656,'[1]خريطة الحسابات'!_xlnm.Print_Area,4,FALSE))," ",(VLOOKUP(C1656,'[1]خريطة الحسابات'!_xlnm.Print_Area,4,FALSE)))</f>
        <v>تكاليف مشروع شقة هليوبوليس</v>
      </c>
      <c r="N1656" s="138" t="str">
        <f>IF(ISERROR(VLOOKUP(C1656,'[1]خريطة الحسابات'!_xlnm.Print_Area,5,FALSE))," ",(VLOOKUP(C1656,'[1]خريطة الحسابات'!_xlnm.Print_Area,5,FALSE)))</f>
        <v xml:space="preserve">تكاليف العمليات </v>
      </c>
      <c r="O1656" s="84" t="s">
        <v>2082</v>
      </c>
      <c r="P1656" s="84" t="s">
        <v>2083</v>
      </c>
    </row>
    <row r="1657" spans="1:16">
      <c r="A1657" s="104">
        <v>63</v>
      </c>
      <c r="B1657" s="131">
        <v>46046</v>
      </c>
      <c r="C1657" s="150" t="s">
        <v>779</v>
      </c>
      <c r="D1657" s="140" t="str">
        <f>IF(ISERROR(VLOOKUP(C1657,'[1]خريطة الحسابات'!_xlnm.Print_Area,3,FALSE))," ",(VLOOKUP(C1657,'[1]خريطة الحسابات'!_xlnm.Print_Area,3,FALSE)))</f>
        <v>خامات ومصنعية بند الكهرباء</v>
      </c>
      <c r="E1657" s="142"/>
      <c r="F1657" s="133">
        <v>6205</v>
      </c>
      <c r="G1657" s="133"/>
      <c r="H1657" s="134">
        <f t="shared" si="76"/>
        <v>6205</v>
      </c>
      <c r="I1657" s="134">
        <f t="shared" si="76"/>
        <v>0</v>
      </c>
      <c r="J1657" s="134">
        <f t="shared" si="75"/>
        <v>6205</v>
      </c>
      <c r="K1657" s="135"/>
      <c r="L1657" s="136" t="str">
        <f t="shared" si="77"/>
        <v>مدين</v>
      </c>
      <c r="M1657" s="137" t="str">
        <f>IF(ISERROR(VLOOKUP(C1657,'[1]خريطة الحسابات'!_xlnm.Print_Area,4,FALSE))," ",(VLOOKUP(C1657,'[1]خريطة الحسابات'!_xlnm.Print_Area,4,FALSE)))</f>
        <v>388 تكاليف مشروع الدقي</v>
      </c>
      <c r="N1657" s="138" t="str">
        <f>IF(ISERROR(VLOOKUP(C1657,'[1]خريطة الحسابات'!_xlnm.Print_Area,5,FALSE))," ",(VLOOKUP(C1657,'[1]خريطة الحسابات'!_xlnm.Print_Area,5,FALSE)))</f>
        <v xml:space="preserve">تكاليف العمليات </v>
      </c>
      <c r="O1657" s="84" t="s">
        <v>2084</v>
      </c>
      <c r="P1657" s="84" t="s">
        <v>1315</v>
      </c>
    </row>
    <row r="1658" spans="1:16">
      <c r="A1658" s="104">
        <v>63</v>
      </c>
      <c r="B1658" s="131">
        <v>46056</v>
      </c>
      <c r="C1658" s="150" t="s">
        <v>779</v>
      </c>
      <c r="D1658" s="140" t="str">
        <f>IF(ISERROR(VLOOKUP(C1658,'[1]خريطة الحسابات'!_xlnm.Print_Area,3,FALSE))," ",(VLOOKUP(C1658,'[1]خريطة الحسابات'!_xlnm.Print_Area,3,FALSE)))</f>
        <v>خامات ومصنعية بند الكهرباء</v>
      </c>
      <c r="E1658" s="142"/>
      <c r="F1658" s="133">
        <v>375</v>
      </c>
      <c r="G1658" s="133"/>
      <c r="H1658" s="134">
        <f t="shared" si="76"/>
        <v>375</v>
      </c>
      <c r="I1658" s="134">
        <f t="shared" si="76"/>
        <v>0</v>
      </c>
      <c r="J1658" s="134">
        <f t="shared" si="75"/>
        <v>375</v>
      </c>
      <c r="K1658" s="135"/>
      <c r="L1658" s="136" t="str">
        <f t="shared" si="77"/>
        <v>مدين</v>
      </c>
      <c r="M1658" s="137" t="str">
        <f>IF(ISERROR(VLOOKUP(C1658,'[1]خريطة الحسابات'!_xlnm.Print_Area,4,FALSE))," ",(VLOOKUP(C1658,'[1]خريطة الحسابات'!_xlnm.Print_Area,4,FALSE)))</f>
        <v>388 تكاليف مشروع الدقي</v>
      </c>
      <c r="N1658" s="138" t="str">
        <f>IF(ISERROR(VLOOKUP(C1658,'[1]خريطة الحسابات'!_xlnm.Print_Area,5,FALSE))," ",(VLOOKUP(C1658,'[1]خريطة الحسابات'!_xlnm.Print_Area,5,FALSE)))</f>
        <v xml:space="preserve">تكاليف العمليات </v>
      </c>
      <c r="O1658" s="84" t="s">
        <v>2085</v>
      </c>
      <c r="P1658" s="84" t="s">
        <v>1315</v>
      </c>
    </row>
    <row r="1659" spans="1:16">
      <c r="A1659" s="104">
        <v>63</v>
      </c>
      <c r="B1659" s="131">
        <v>46086</v>
      </c>
      <c r="C1659" s="150" t="s">
        <v>779</v>
      </c>
      <c r="D1659" s="140" t="str">
        <f>IF(ISERROR(VLOOKUP(C1659,'[1]خريطة الحسابات'!_xlnm.Print_Area,3,FALSE))," ",(VLOOKUP(C1659,'[1]خريطة الحسابات'!_xlnm.Print_Area,3,FALSE)))</f>
        <v>خامات ومصنعية بند الكهرباء</v>
      </c>
      <c r="E1659" s="142"/>
      <c r="F1659" s="133">
        <v>5405</v>
      </c>
      <c r="G1659" s="133"/>
      <c r="H1659" s="134">
        <f t="shared" si="76"/>
        <v>5405</v>
      </c>
      <c r="I1659" s="134">
        <f t="shared" si="76"/>
        <v>0</v>
      </c>
      <c r="J1659" s="134">
        <f t="shared" si="75"/>
        <v>5405</v>
      </c>
      <c r="K1659" s="135"/>
      <c r="L1659" s="136" t="str">
        <f t="shared" si="77"/>
        <v>مدين</v>
      </c>
      <c r="M1659" s="137" t="str">
        <f>IF(ISERROR(VLOOKUP(C1659,'[1]خريطة الحسابات'!_xlnm.Print_Area,4,FALSE))," ",(VLOOKUP(C1659,'[1]خريطة الحسابات'!_xlnm.Print_Area,4,FALSE)))</f>
        <v>388 تكاليف مشروع الدقي</v>
      </c>
      <c r="N1659" s="138" t="str">
        <f>IF(ISERROR(VLOOKUP(C1659,'[1]خريطة الحسابات'!_xlnm.Print_Area,5,FALSE))," ",(VLOOKUP(C1659,'[1]خريطة الحسابات'!_xlnm.Print_Area,5,FALSE)))</f>
        <v xml:space="preserve">تكاليف العمليات </v>
      </c>
      <c r="O1659" s="84" t="s">
        <v>2086</v>
      </c>
      <c r="P1659" s="84" t="s">
        <v>1315</v>
      </c>
    </row>
    <row r="1660" spans="1:16">
      <c r="A1660" s="104">
        <v>63</v>
      </c>
      <c r="B1660" s="131">
        <v>46089</v>
      </c>
      <c r="C1660" s="150" t="s">
        <v>779</v>
      </c>
      <c r="D1660" s="140" t="str">
        <f>IF(ISERROR(VLOOKUP(C1660,'[1]خريطة الحسابات'!_xlnm.Print_Area,3,FALSE))," ",(VLOOKUP(C1660,'[1]خريطة الحسابات'!_xlnm.Print_Area,3,FALSE)))</f>
        <v>خامات ومصنعية بند الكهرباء</v>
      </c>
      <c r="E1660" s="142"/>
      <c r="F1660" s="133">
        <v>77385</v>
      </c>
      <c r="G1660" s="133"/>
      <c r="H1660" s="134">
        <f t="shared" si="76"/>
        <v>77385</v>
      </c>
      <c r="I1660" s="134">
        <f t="shared" si="76"/>
        <v>0</v>
      </c>
      <c r="J1660" s="134">
        <f t="shared" si="75"/>
        <v>77385</v>
      </c>
      <c r="K1660" s="135"/>
      <c r="L1660" s="136" t="str">
        <f t="shared" si="77"/>
        <v>مدين</v>
      </c>
      <c r="M1660" s="137" t="str">
        <f>IF(ISERROR(VLOOKUP(C1660,'[1]خريطة الحسابات'!_xlnm.Print_Area,4,FALSE))," ",(VLOOKUP(C1660,'[1]خريطة الحسابات'!_xlnm.Print_Area,4,FALSE)))</f>
        <v>388 تكاليف مشروع الدقي</v>
      </c>
      <c r="N1660" s="138" t="str">
        <f>IF(ISERROR(VLOOKUP(C1660,'[1]خريطة الحسابات'!_xlnm.Print_Area,5,FALSE))," ",(VLOOKUP(C1660,'[1]خريطة الحسابات'!_xlnm.Print_Area,5,FALSE)))</f>
        <v xml:space="preserve">تكاليف العمليات </v>
      </c>
      <c r="O1660" s="84" t="s">
        <v>2087</v>
      </c>
      <c r="P1660" s="84" t="s">
        <v>1315</v>
      </c>
    </row>
    <row r="1661" spans="1:16">
      <c r="A1661" s="104">
        <v>63</v>
      </c>
      <c r="B1661" s="131">
        <v>46093</v>
      </c>
      <c r="C1661" s="150" t="s">
        <v>779</v>
      </c>
      <c r="D1661" s="140" t="str">
        <f>IF(ISERROR(VLOOKUP(C1661,'[1]خريطة الحسابات'!_xlnm.Print_Area,3,FALSE))," ",(VLOOKUP(C1661,'[1]خريطة الحسابات'!_xlnm.Print_Area,3,FALSE)))</f>
        <v>خامات ومصنعية بند الكهرباء</v>
      </c>
      <c r="E1661" s="142"/>
      <c r="F1661" s="133">
        <v>24024</v>
      </c>
      <c r="G1661" s="133"/>
      <c r="H1661" s="134">
        <f t="shared" si="76"/>
        <v>24024</v>
      </c>
      <c r="I1661" s="134">
        <f t="shared" si="76"/>
        <v>0</v>
      </c>
      <c r="J1661" s="134">
        <f t="shared" si="75"/>
        <v>24024</v>
      </c>
      <c r="K1661" s="135"/>
      <c r="L1661" s="136" t="str">
        <f t="shared" si="77"/>
        <v>مدين</v>
      </c>
      <c r="M1661" s="137" t="str">
        <f>IF(ISERROR(VLOOKUP(C1661,'[1]خريطة الحسابات'!_xlnm.Print_Area,4,FALSE))," ",(VLOOKUP(C1661,'[1]خريطة الحسابات'!_xlnm.Print_Area,4,FALSE)))</f>
        <v>388 تكاليف مشروع الدقي</v>
      </c>
      <c r="N1661" s="138" t="str">
        <f>IF(ISERROR(VLOOKUP(C1661,'[1]خريطة الحسابات'!_xlnm.Print_Area,5,FALSE))," ",(VLOOKUP(C1661,'[1]خريطة الحسابات'!_xlnm.Print_Area,5,FALSE)))</f>
        <v xml:space="preserve">تكاليف العمليات </v>
      </c>
      <c r="O1661" s="84" t="s">
        <v>2088</v>
      </c>
      <c r="P1661" s="84" t="s">
        <v>1315</v>
      </c>
    </row>
    <row r="1662" spans="1:16">
      <c r="A1662" s="104">
        <v>63</v>
      </c>
      <c r="B1662" s="131">
        <v>46099</v>
      </c>
      <c r="C1662" s="150" t="s">
        <v>779</v>
      </c>
      <c r="D1662" s="140" t="str">
        <f>IF(ISERROR(VLOOKUP(C1662,'[1]خريطة الحسابات'!_xlnm.Print_Area,3,FALSE))," ",(VLOOKUP(C1662,'[1]خريطة الحسابات'!_xlnm.Print_Area,3,FALSE)))</f>
        <v>خامات ومصنعية بند الكهرباء</v>
      </c>
      <c r="E1662" s="142"/>
      <c r="F1662" s="133">
        <v>726</v>
      </c>
      <c r="G1662" s="133"/>
      <c r="H1662" s="134">
        <f t="shared" si="76"/>
        <v>726</v>
      </c>
      <c r="I1662" s="134">
        <f t="shared" si="76"/>
        <v>0</v>
      </c>
      <c r="J1662" s="134">
        <f t="shared" si="75"/>
        <v>726</v>
      </c>
      <c r="K1662" s="135"/>
      <c r="L1662" s="136" t="str">
        <f t="shared" si="77"/>
        <v>مدين</v>
      </c>
      <c r="M1662" s="137" t="str">
        <f>IF(ISERROR(VLOOKUP(C1662,'[1]خريطة الحسابات'!_xlnm.Print_Area,4,FALSE))," ",(VLOOKUP(C1662,'[1]خريطة الحسابات'!_xlnm.Print_Area,4,FALSE)))</f>
        <v>388 تكاليف مشروع الدقي</v>
      </c>
      <c r="N1662" s="138" t="str">
        <f>IF(ISERROR(VLOOKUP(C1662,'[1]خريطة الحسابات'!_xlnm.Print_Area,5,FALSE))," ",(VLOOKUP(C1662,'[1]خريطة الحسابات'!_xlnm.Print_Area,5,FALSE)))</f>
        <v xml:space="preserve">تكاليف العمليات </v>
      </c>
      <c r="O1662" s="84" t="s">
        <v>2089</v>
      </c>
      <c r="P1662" s="84" t="s">
        <v>1315</v>
      </c>
    </row>
    <row r="1663" spans="1:16">
      <c r="A1663" s="104">
        <v>63</v>
      </c>
      <c r="B1663" s="131">
        <v>46133</v>
      </c>
      <c r="C1663" s="150" t="s">
        <v>779</v>
      </c>
      <c r="D1663" s="140" t="str">
        <f>IF(ISERROR(VLOOKUP(C1663,'[1]خريطة الحسابات'!_xlnm.Print_Area,3,FALSE))," ",(VLOOKUP(C1663,'[1]خريطة الحسابات'!_xlnm.Print_Area,3,FALSE)))</f>
        <v>خامات ومصنعية بند الكهرباء</v>
      </c>
      <c r="E1663" s="142"/>
      <c r="F1663" s="133">
        <v>118625</v>
      </c>
      <c r="G1663" s="133"/>
      <c r="H1663" s="134">
        <f t="shared" si="76"/>
        <v>118625</v>
      </c>
      <c r="I1663" s="134">
        <f t="shared" si="76"/>
        <v>0</v>
      </c>
      <c r="J1663" s="134">
        <f t="shared" si="75"/>
        <v>118625</v>
      </c>
      <c r="K1663" s="135"/>
      <c r="L1663" s="136" t="str">
        <f t="shared" si="77"/>
        <v>مدين</v>
      </c>
      <c r="M1663" s="137" t="str">
        <f>IF(ISERROR(VLOOKUP(C1663,'[1]خريطة الحسابات'!_xlnm.Print_Area,4,FALSE))," ",(VLOOKUP(C1663,'[1]خريطة الحسابات'!_xlnm.Print_Area,4,FALSE)))</f>
        <v>388 تكاليف مشروع الدقي</v>
      </c>
      <c r="N1663" s="138" t="str">
        <f>IF(ISERROR(VLOOKUP(C1663,'[1]خريطة الحسابات'!_xlnm.Print_Area,5,FALSE))," ",(VLOOKUP(C1663,'[1]خريطة الحسابات'!_xlnm.Print_Area,5,FALSE)))</f>
        <v xml:space="preserve">تكاليف العمليات </v>
      </c>
      <c r="O1663" s="84" t="s">
        <v>2035</v>
      </c>
      <c r="P1663" s="84" t="s">
        <v>1315</v>
      </c>
    </row>
    <row r="1664" spans="1:16">
      <c r="A1664" s="104">
        <v>63</v>
      </c>
      <c r="B1664" s="131">
        <v>46135</v>
      </c>
      <c r="C1664" s="150" t="s">
        <v>779</v>
      </c>
      <c r="D1664" s="140" t="str">
        <f>IF(ISERROR(VLOOKUP(C1664,'[1]خريطة الحسابات'!_xlnm.Print_Area,3,FALSE))," ",(VLOOKUP(C1664,'[1]خريطة الحسابات'!_xlnm.Print_Area,3,FALSE)))</f>
        <v>خامات ومصنعية بند الكهرباء</v>
      </c>
      <c r="E1664" s="142"/>
      <c r="F1664" s="133">
        <v>522</v>
      </c>
      <c r="G1664" s="133"/>
      <c r="H1664" s="134">
        <f t="shared" si="76"/>
        <v>522</v>
      </c>
      <c r="I1664" s="134">
        <f t="shared" si="76"/>
        <v>0</v>
      </c>
      <c r="J1664" s="134">
        <f t="shared" si="75"/>
        <v>522</v>
      </c>
      <c r="K1664" s="135"/>
      <c r="L1664" s="136" t="str">
        <f t="shared" si="77"/>
        <v>مدين</v>
      </c>
      <c r="M1664" s="137" t="str">
        <f>IF(ISERROR(VLOOKUP(C1664,'[1]خريطة الحسابات'!_xlnm.Print_Area,4,FALSE))," ",(VLOOKUP(C1664,'[1]خريطة الحسابات'!_xlnm.Print_Area,4,FALSE)))</f>
        <v>388 تكاليف مشروع الدقي</v>
      </c>
      <c r="N1664" s="138" t="str">
        <f>IF(ISERROR(VLOOKUP(C1664,'[1]خريطة الحسابات'!_xlnm.Print_Area,5,FALSE))," ",(VLOOKUP(C1664,'[1]خريطة الحسابات'!_xlnm.Print_Area,5,FALSE)))</f>
        <v xml:space="preserve">تكاليف العمليات </v>
      </c>
      <c r="O1664" s="84" t="s">
        <v>2090</v>
      </c>
      <c r="P1664" s="84" t="s">
        <v>1315</v>
      </c>
    </row>
    <row r="1665" spans="1:16">
      <c r="A1665" s="104">
        <v>63</v>
      </c>
      <c r="B1665" s="131">
        <v>46161</v>
      </c>
      <c r="C1665" s="150" t="s">
        <v>779</v>
      </c>
      <c r="D1665" s="140" t="str">
        <f>IF(ISERROR(VLOOKUP(C1665,'[1]خريطة الحسابات'!_xlnm.Print_Area,3,FALSE))," ",(VLOOKUP(C1665,'[1]خريطة الحسابات'!_xlnm.Print_Area,3,FALSE)))</f>
        <v>خامات ومصنعية بند الكهرباء</v>
      </c>
      <c r="E1665" s="142"/>
      <c r="F1665" s="133">
        <v>2115</v>
      </c>
      <c r="G1665" s="133"/>
      <c r="H1665" s="134">
        <f t="shared" si="76"/>
        <v>2115</v>
      </c>
      <c r="I1665" s="134">
        <f t="shared" si="76"/>
        <v>0</v>
      </c>
      <c r="J1665" s="134">
        <f t="shared" si="75"/>
        <v>2115</v>
      </c>
      <c r="K1665" s="135"/>
      <c r="L1665" s="136" t="str">
        <f t="shared" si="77"/>
        <v>مدين</v>
      </c>
      <c r="M1665" s="137" t="str">
        <f>IF(ISERROR(VLOOKUP(C1665,'[1]خريطة الحسابات'!_xlnm.Print_Area,4,FALSE))," ",(VLOOKUP(C1665,'[1]خريطة الحسابات'!_xlnm.Print_Area,4,FALSE)))</f>
        <v>388 تكاليف مشروع الدقي</v>
      </c>
      <c r="N1665" s="138" t="str">
        <f>IF(ISERROR(VLOOKUP(C1665,'[1]خريطة الحسابات'!_xlnm.Print_Area,5,FALSE))," ",(VLOOKUP(C1665,'[1]خريطة الحسابات'!_xlnm.Print_Area,5,FALSE)))</f>
        <v xml:space="preserve">تكاليف العمليات </v>
      </c>
      <c r="O1665" s="84" t="s">
        <v>2091</v>
      </c>
      <c r="P1665" s="84" t="s">
        <v>1315</v>
      </c>
    </row>
    <row r="1666" spans="1:16">
      <c r="A1666" s="104">
        <v>63</v>
      </c>
      <c r="B1666" s="131">
        <v>46161</v>
      </c>
      <c r="C1666" s="150" t="s">
        <v>779</v>
      </c>
      <c r="D1666" s="140" t="str">
        <f>IF(ISERROR(VLOOKUP(C1666,'[1]خريطة الحسابات'!_xlnm.Print_Area,3,FALSE))," ",(VLOOKUP(C1666,'[1]خريطة الحسابات'!_xlnm.Print_Area,3,FALSE)))</f>
        <v>خامات ومصنعية بند الكهرباء</v>
      </c>
      <c r="E1666" s="142"/>
      <c r="F1666" s="133">
        <v>200</v>
      </c>
      <c r="G1666" s="133"/>
      <c r="H1666" s="134">
        <f t="shared" si="76"/>
        <v>200</v>
      </c>
      <c r="I1666" s="134">
        <f t="shared" si="76"/>
        <v>0</v>
      </c>
      <c r="J1666" s="134">
        <f t="shared" si="75"/>
        <v>200</v>
      </c>
      <c r="K1666" s="135"/>
      <c r="L1666" s="136" t="str">
        <f t="shared" si="77"/>
        <v>مدين</v>
      </c>
      <c r="M1666" s="137" t="str">
        <f>IF(ISERROR(VLOOKUP(C1666,'[1]خريطة الحسابات'!_xlnm.Print_Area,4,FALSE))," ",(VLOOKUP(C1666,'[1]خريطة الحسابات'!_xlnm.Print_Area,4,FALSE)))</f>
        <v>388 تكاليف مشروع الدقي</v>
      </c>
      <c r="N1666" s="138" t="str">
        <f>IF(ISERROR(VLOOKUP(C1666,'[1]خريطة الحسابات'!_xlnm.Print_Area,5,FALSE))," ",(VLOOKUP(C1666,'[1]خريطة الحسابات'!_xlnm.Print_Area,5,FALSE)))</f>
        <v xml:space="preserve">تكاليف العمليات </v>
      </c>
      <c r="O1666" s="84" t="s">
        <v>2092</v>
      </c>
      <c r="P1666" s="84" t="s">
        <v>1315</v>
      </c>
    </row>
    <row r="1667" spans="1:16">
      <c r="A1667" s="104">
        <v>63</v>
      </c>
      <c r="B1667" s="131">
        <v>46162</v>
      </c>
      <c r="C1667" s="150" t="s">
        <v>779</v>
      </c>
      <c r="D1667" s="140" t="str">
        <f>IF(ISERROR(VLOOKUP(C1667,'[1]خريطة الحسابات'!_xlnm.Print_Area,3,FALSE))," ",(VLOOKUP(C1667,'[1]خريطة الحسابات'!_xlnm.Print_Area,3,FALSE)))</f>
        <v>خامات ومصنعية بند الكهرباء</v>
      </c>
      <c r="E1667" s="142"/>
      <c r="F1667" s="133">
        <v>130</v>
      </c>
      <c r="G1667" s="133"/>
      <c r="H1667" s="134">
        <f t="shared" si="76"/>
        <v>130</v>
      </c>
      <c r="I1667" s="134">
        <f t="shared" si="76"/>
        <v>0</v>
      </c>
      <c r="J1667" s="134">
        <f t="shared" si="75"/>
        <v>130</v>
      </c>
      <c r="K1667" s="135"/>
      <c r="L1667" s="136" t="str">
        <f t="shared" si="77"/>
        <v>مدين</v>
      </c>
      <c r="M1667" s="137" t="str">
        <f>IF(ISERROR(VLOOKUP(C1667,'[1]خريطة الحسابات'!_xlnm.Print_Area,4,FALSE))," ",(VLOOKUP(C1667,'[1]خريطة الحسابات'!_xlnm.Print_Area,4,FALSE)))</f>
        <v>388 تكاليف مشروع الدقي</v>
      </c>
      <c r="N1667" s="138" t="str">
        <f>IF(ISERROR(VLOOKUP(C1667,'[1]خريطة الحسابات'!_xlnm.Print_Area,5,FALSE))," ",(VLOOKUP(C1667,'[1]خريطة الحسابات'!_xlnm.Print_Area,5,FALSE)))</f>
        <v xml:space="preserve">تكاليف العمليات </v>
      </c>
      <c r="O1667" s="84" t="s">
        <v>2093</v>
      </c>
      <c r="P1667" s="84" t="s">
        <v>1315</v>
      </c>
    </row>
    <row r="1668" spans="1:16">
      <c r="A1668" s="104">
        <v>63</v>
      </c>
      <c r="B1668" s="131">
        <v>46184</v>
      </c>
      <c r="C1668" s="150" t="s">
        <v>779</v>
      </c>
      <c r="D1668" s="140" t="str">
        <f>IF(ISERROR(VLOOKUP(C1668,'[1]خريطة الحسابات'!_xlnm.Print_Area,3,FALSE))," ",(VLOOKUP(C1668,'[1]خريطة الحسابات'!_xlnm.Print_Area,3,FALSE)))</f>
        <v>خامات ومصنعية بند الكهرباء</v>
      </c>
      <c r="E1668" s="142"/>
      <c r="F1668" s="133">
        <v>8465</v>
      </c>
      <c r="G1668" s="133"/>
      <c r="H1668" s="134">
        <f t="shared" si="76"/>
        <v>8465</v>
      </c>
      <c r="I1668" s="134">
        <f t="shared" si="76"/>
        <v>0</v>
      </c>
      <c r="J1668" s="134">
        <f t="shared" si="75"/>
        <v>8465</v>
      </c>
      <c r="K1668" s="135"/>
      <c r="L1668" s="136" t="str">
        <f t="shared" si="77"/>
        <v>مدين</v>
      </c>
      <c r="M1668" s="137" t="str">
        <f>IF(ISERROR(VLOOKUP(C1668,'[1]خريطة الحسابات'!_xlnm.Print_Area,4,FALSE))," ",(VLOOKUP(C1668,'[1]خريطة الحسابات'!_xlnm.Print_Area,4,FALSE)))</f>
        <v>388 تكاليف مشروع الدقي</v>
      </c>
      <c r="N1668" s="138" t="str">
        <f>IF(ISERROR(VLOOKUP(C1668,'[1]خريطة الحسابات'!_xlnm.Print_Area,5,FALSE))," ",(VLOOKUP(C1668,'[1]خريطة الحسابات'!_xlnm.Print_Area,5,FALSE)))</f>
        <v xml:space="preserve">تكاليف العمليات </v>
      </c>
      <c r="O1668" s="84" t="s">
        <v>2094</v>
      </c>
      <c r="P1668" s="84" t="s">
        <v>1315</v>
      </c>
    </row>
    <row r="1669" spans="1:16">
      <c r="A1669" s="104">
        <v>63</v>
      </c>
      <c r="B1669" s="131">
        <v>46184</v>
      </c>
      <c r="C1669" s="150" t="s">
        <v>779</v>
      </c>
      <c r="D1669" s="140" t="str">
        <f>IF(ISERROR(VLOOKUP(C1669,'[1]خريطة الحسابات'!_xlnm.Print_Area,3,FALSE))," ",(VLOOKUP(C1669,'[1]خريطة الحسابات'!_xlnm.Print_Area,3,FALSE)))</f>
        <v>خامات ومصنعية بند الكهرباء</v>
      </c>
      <c r="E1669" s="142"/>
      <c r="F1669" s="133">
        <v>2200</v>
      </c>
      <c r="G1669" s="133"/>
      <c r="H1669" s="134">
        <f t="shared" si="76"/>
        <v>2200</v>
      </c>
      <c r="I1669" s="134">
        <f t="shared" si="76"/>
        <v>0</v>
      </c>
      <c r="J1669" s="134">
        <f t="shared" si="75"/>
        <v>2200</v>
      </c>
      <c r="K1669" s="135"/>
      <c r="L1669" s="136" t="str">
        <f t="shared" si="77"/>
        <v>مدين</v>
      </c>
      <c r="M1669" s="137" t="str">
        <f>IF(ISERROR(VLOOKUP(C1669,'[1]خريطة الحسابات'!_xlnm.Print_Area,4,FALSE))," ",(VLOOKUP(C1669,'[1]خريطة الحسابات'!_xlnm.Print_Area,4,FALSE)))</f>
        <v>388 تكاليف مشروع الدقي</v>
      </c>
      <c r="N1669" s="138" t="str">
        <f>IF(ISERROR(VLOOKUP(C1669,'[1]خريطة الحسابات'!_xlnm.Print_Area,5,FALSE))," ",(VLOOKUP(C1669,'[1]خريطة الحسابات'!_xlnm.Print_Area,5,FALSE)))</f>
        <v xml:space="preserve">تكاليف العمليات </v>
      </c>
      <c r="O1669" s="84" t="s">
        <v>2080</v>
      </c>
      <c r="P1669" s="84" t="s">
        <v>1315</v>
      </c>
    </row>
    <row r="1670" spans="1:16">
      <c r="A1670" s="104">
        <v>63</v>
      </c>
      <c r="B1670" s="131">
        <v>46121</v>
      </c>
      <c r="C1670" s="150" t="s">
        <v>920</v>
      </c>
      <c r="D1670" s="140" t="str">
        <f>IF(ISERROR(VLOOKUP(C1670,'[1]خريطة الحسابات'!_xlnm.Print_Area,3,FALSE))," ",(VLOOKUP(C1670,'[1]خريطة الحسابات'!_xlnm.Print_Area,3,FALSE)))</f>
        <v>خامات ومصنعية بند الكهرباء</v>
      </c>
      <c r="E1670" s="142"/>
      <c r="F1670" s="133">
        <v>194850</v>
      </c>
      <c r="G1670" s="133"/>
      <c r="H1670" s="134">
        <f t="shared" si="76"/>
        <v>194850</v>
      </c>
      <c r="I1670" s="134">
        <f t="shared" si="76"/>
        <v>0</v>
      </c>
      <c r="J1670" s="134">
        <f t="shared" si="75"/>
        <v>194850</v>
      </c>
      <c r="K1670" s="135"/>
      <c r="L1670" s="136" t="str">
        <f t="shared" si="77"/>
        <v>مدين</v>
      </c>
      <c r="M1670" s="137" t="str">
        <f>IF(ISERROR(VLOOKUP(C1670,'[1]خريطة الحسابات'!_xlnm.Print_Area,4,FALSE))," ",(VLOOKUP(C1670,'[1]خريطة الحسابات'!_xlnm.Print_Area,4,FALSE)))</f>
        <v>تكاليف مشروع وصال العشري 398</v>
      </c>
      <c r="N1670" s="138" t="str">
        <f>IF(ISERROR(VLOOKUP(C1670,'[1]خريطة الحسابات'!_xlnm.Print_Area,5,FALSE))," ",(VLOOKUP(C1670,'[1]خريطة الحسابات'!_xlnm.Print_Area,5,FALSE)))</f>
        <v xml:space="preserve">تكاليف العمليات </v>
      </c>
      <c r="O1670" s="84" t="s">
        <v>2095</v>
      </c>
      <c r="P1670" s="84" t="s">
        <v>1489</v>
      </c>
    </row>
    <row r="1671" spans="1:16">
      <c r="A1671" s="104">
        <v>63</v>
      </c>
      <c r="B1671" s="131">
        <v>46121</v>
      </c>
      <c r="C1671" s="150" t="s">
        <v>920</v>
      </c>
      <c r="D1671" s="140" t="str">
        <f>IF(ISERROR(VLOOKUP(C1671,'[1]خريطة الحسابات'!_xlnm.Print_Area,3,FALSE))," ",(VLOOKUP(C1671,'[1]خريطة الحسابات'!_xlnm.Print_Area,3,FALSE)))</f>
        <v>خامات ومصنعية بند الكهرباء</v>
      </c>
      <c r="E1671" s="142"/>
      <c r="F1671" s="133">
        <v>960</v>
      </c>
      <c r="G1671" s="133"/>
      <c r="H1671" s="134">
        <f t="shared" si="76"/>
        <v>960</v>
      </c>
      <c r="I1671" s="134">
        <f t="shared" si="76"/>
        <v>0</v>
      </c>
      <c r="J1671" s="134">
        <f t="shared" si="75"/>
        <v>960</v>
      </c>
      <c r="K1671" s="135"/>
      <c r="L1671" s="136" t="str">
        <f t="shared" si="77"/>
        <v>مدين</v>
      </c>
      <c r="M1671" s="137" t="str">
        <f>IF(ISERROR(VLOOKUP(C1671,'[1]خريطة الحسابات'!_xlnm.Print_Area,4,FALSE))," ",(VLOOKUP(C1671,'[1]خريطة الحسابات'!_xlnm.Print_Area,4,FALSE)))</f>
        <v>تكاليف مشروع وصال العشري 398</v>
      </c>
      <c r="N1671" s="138" t="str">
        <f>IF(ISERROR(VLOOKUP(C1671,'[1]خريطة الحسابات'!_xlnm.Print_Area,5,FALSE))," ",(VLOOKUP(C1671,'[1]خريطة الحسابات'!_xlnm.Print_Area,5,FALSE)))</f>
        <v xml:space="preserve">تكاليف العمليات </v>
      </c>
      <c r="O1671" s="84" t="s">
        <v>2096</v>
      </c>
      <c r="P1671" s="84" t="s">
        <v>1489</v>
      </c>
    </row>
    <row r="1672" spans="1:16">
      <c r="A1672" s="104">
        <v>63</v>
      </c>
      <c r="B1672" s="131">
        <v>46086</v>
      </c>
      <c r="C1672" s="150" t="s">
        <v>394</v>
      </c>
      <c r="D1672" s="140" t="str">
        <f>IF(ISERROR(VLOOKUP(C1672,'[1]خريطة الحسابات'!_xlnm.Print_Area,3,FALSE))," ",(VLOOKUP(C1672,'[1]خريطة الحسابات'!_xlnm.Print_Area,3,FALSE)))</f>
        <v>خامات ومصنعية بند الكهرباء</v>
      </c>
      <c r="E1672" s="142"/>
      <c r="F1672" s="133">
        <v>12300</v>
      </c>
      <c r="G1672" s="133"/>
      <c r="H1672" s="134">
        <f t="shared" si="76"/>
        <v>12300</v>
      </c>
      <c r="I1672" s="134">
        <f t="shared" si="76"/>
        <v>0</v>
      </c>
      <c r="J1672" s="134">
        <f t="shared" si="75"/>
        <v>12300</v>
      </c>
      <c r="K1672" s="135"/>
      <c r="L1672" s="136" t="str">
        <f t="shared" si="77"/>
        <v>مدين</v>
      </c>
      <c r="M1672" s="137" t="str">
        <f>IF(ISERROR(VLOOKUP(C1672,'[1]خريطة الحسابات'!_xlnm.Print_Area,4,FALSE))," ",(VLOOKUP(C1672,'[1]خريطة الحسابات'!_xlnm.Print_Area,4,FALSE)))</f>
        <v>تكاليف مشروع عمرو العبور 336</v>
      </c>
      <c r="N1672" s="138" t="str">
        <f>IF(ISERROR(VLOOKUP(C1672,'[1]خريطة الحسابات'!_xlnm.Print_Area,5,FALSE))," ",(VLOOKUP(C1672,'[1]خريطة الحسابات'!_xlnm.Print_Area,5,FALSE)))</f>
        <v xml:space="preserve">تكاليف العمليات </v>
      </c>
      <c r="O1672" s="84" t="s">
        <v>2097</v>
      </c>
      <c r="P1672" s="84" t="s">
        <v>1297</v>
      </c>
    </row>
    <row r="1673" spans="1:16">
      <c r="A1673" s="104">
        <v>63</v>
      </c>
      <c r="B1673" s="131">
        <v>46166</v>
      </c>
      <c r="C1673" s="150" t="s">
        <v>394</v>
      </c>
      <c r="D1673" s="140" t="str">
        <f>IF(ISERROR(VLOOKUP(C1673,'[1]خريطة الحسابات'!_xlnm.Print_Area,3,FALSE))," ",(VLOOKUP(C1673,'[1]خريطة الحسابات'!_xlnm.Print_Area,3,FALSE)))</f>
        <v>خامات ومصنعية بند الكهرباء</v>
      </c>
      <c r="E1673" s="142"/>
      <c r="F1673" s="133">
        <v>800</v>
      </c>
      <c r="G1673" s="133"/>
      <c r="H1673" s="134">
        <f t="shared" si="76"/>
        <v>800</v>
      </c>
      <c r="I1673" s="134">
        <f t="shared" si="76"/>
        <v>0</v>
      </c>
      <c r="J1673" s="134">
        <f t="shared" si="75"/>
        <v>800</v>
      </c>
      <c r="K1673" s="135"/>
      <c r="L1673" s="136" t="str">
        <f t="shared" si="77"/>
        <v>مدين</v>
      </c>
      <c r="M1673" s="137" t="str">
        <f>IF(ISERROR(VLOOKUP(C1673,'[1]خريطة الحسابات'!_xlnm.Print_Area,4,FALSE))," ",(VLOOKUP(C1673,'[1]خريطة الحسابات'!_xlnm.Print_Area,4,FALSE)))</f>
        <v>تكاليف مشروع عمرو العبور 336</v>
      </c>
      <c r="N1673" s="138" t="str">
        <f>IF(ISERROR(VLOOKUP(C1673,'[1]خريطة الحسابات'!_xlnm.Print_Area,5,FALSE))," ",(VLOOKUP(C1673,'[1]خريطة الحسابات'!_xlnm.Print_Area,5,FALSE)))</f>
        <v xml:space="preserve">تكاليف العمليات </v>
      </c>
      <c r="O1673" s="84" t="s">
        <v>2098</v>
      </c>
      <c r="P1673" s="84" t="s">
        <v>1297</v>
      </c>
    </row>
    <row r="1674" spans="1:16">
      <c r="A1674" s="104">
        <v>63</v>
      </c>
      <c r="B1674" s="131">
        <v>46034</v>
      </c>
      <c r="C1674" s="150" t="s">
        <v>219</v>
      </c>
      <c r="D1674" s="140" t="str">
        <f>IF(ISERROR(VLOOKUP(C1674,'[1]خريطة الحسابات'!_xlnm.Print_Area,3,FALSE))," ",(VLOOKUP(C1674,'[1]خريطة الحسابات'!_xlnm.Print_Area,3,FALSE)))</f>
        <v>خامات ومصنعية بند الكهرباء</v>
      </c>
      <c r="E1674" s="142"/>
      <c r="F1674" s="133">
        <v>1930</v>
      </c>
      <c r="G1674" s="133"/>
      <c r="H1674" s="134">
        <f t="shared" si="76"/>
        <v>1930</v>
      </c>
      <c r="I1674" s="134">
        <f t="shared" si="76"/>
        <v>0</v>
      </c>
      <c r="J1674" s="134">
        <f t="shared" si="75"/>
        <v>1930</v>
      </c>
      <c r="K1674" s="135"/>
      <c r="L1674" s="136" t="str">
        <f t="shared" si="77"/>
        <v>مدين</v>
      </c>
      <c r="M1674" s="137" t="str">
        <f>IF(ISERROR(VLOOKUP(C1674,'[1]خريطة الحسابات'!_xlnm.Print_Area,4,FALSE))," ",(VLOOKUP(C1674,'[1]خريطة الحسابات'!_xlnm.Print_Area,4,FALSE)))</f>
        <v>تكاليف مشروع كناريا  273</v>
      </c>
      <c r="N1674" s="138" t="str">
        <f>IF(ISERROR(VLOOKUP(C1674,'[1]خريطة الحسابات'!_xlnm.Print_Area,5,FALSE))," ",(VLOOKUP(C1674,'[1]خريطة الحسابات'!_xlnm.Print_Area,5,FALSE)))</f>
        <v xml:space="preserve">تكاليف العمليات </v>
      </c>
      <c r="O1674" s="84" t="s">
        <v>2099</v>
      </c>
      <c r="P1674" s="84" t="s">
        <v>1405</v>
      </c>
    </row>
    <row r="1675" spans="1:16">
      <c r="A1675" s="104">
        <v>63</v>
      </c>
      <c r="B1675" s="131">
        <v>46046</v>
      </c>
      <c r="C1675" s="150" t="s">
        <v>219</v>
      </c>
      <c r="D1675" s="140" t="str">
        <f>IF(ISERROR(VLOOKUP(C1675,'[1]خريطة الحسابات'!_xlnm.Print_Area,3,FALSE))," ",(VLOOKUP(C1675,'[1]خريطة الحسابات'!_xlnm.Print_Area,3,FALSE)))</f>
        <v>خامات ومصنعية بند الكهرباء</v>
      </c>
      <c r="E1675" s="142"/>
      <c r="F1675" s="133">
        <v>7100</v>
      </c>
      <c r="G1675" s="133"/>
      <c r="H1675" s="134">
        <f t="shared" si="76"/>
        <v>7100</v>
      </c>
      <c r="I1675" s="134">
        <f t="shared" si="76"/>
        <v>0</v>
      </c>
      <c r="J1675" s="134">
        <f t="shared" si="75"/>
        <v>7100</v>
      </c>
      <c r="K1675" s="135"/>
      <c r="L1675" s="136" t="str">
        <f t="shared" si="77"/>
        <v>مدين</v>
      </c>
      <c r="M1675" s="137" t="str">
        <f>IF(ISERROR(VLOOKUP(C1675,'[1]خريطة الحسابات'!_xlnm.Print_Area,4,FALSE))," ",(VLOOKUP(C1675,'[1]خريطة الحسابات'!_xlnm.Print_Area,4,FALSE)))</f>
        <v>تكاليف مشروع كناريا  273</v>
      </c>
      <c r="N1675" s="138" t="str">
        <f>IF(ISERROR(VLOOKUP(C1675,'[1]خريطة الحسابات'!_xlnm.Print_Area,5,FALSE))," ",(VLOOKUP(C1675,'[1]خريطة الحسابات'!_xlnm.Print_Area,5,FALSE)))</f>
        <v xml:space="preserve">تكاليف العمليات </v>
      </c>
      <c r="O1675" s="84" t="s">
        <v>2100</v>
      </c>
      <c r="P1675" s="84" t="s">
        <v>1405</v>
      </c>
    </row>
    <row r="1676" spans="1:16">
      <c r="A1676" s="104">
        <v>63</v>
      </c>
      <c r="B1676" s="131">
        <v>46086</v>
      </c>
      <c r="C1676" s="150" t="s">
        <v>219</v>
      </c>
      <c r="D1676" s="140" t="str">
        <f>IF(ISERROR(VLOOKUP(C1676,'[1]خريطة الحسابات'!_xlnm.Print_Area,3,FALSE))," ",(VLOOKUP(C1676,'[1]خريطة الحسابات'!_xlnm.Print_Area,3,FALSE)))</f>
        <v>خامات ومصنعية بند الكهرباء</v>
      </c>
      <c r="E1676" s="142"/>
      <c r="F1676" s="133">
        <v>2395</v>
      </c>
      <c r="G1676" s="133"/>
      <c r="H1676" s="134">
        <f t="shared" si="76"/>
        <v>2395</v>
      </c>
      <c r="I1676" s="134">
        <f t="shared" si="76"/>
        <v>0</v>
      </c>
      <c r="J1676" s="134">
        <f t="shared" si="75"/>
        <v>2395</v>
      </c>
      <c r="K1676" s="135"/>
      <c r="L1676" s="136" t="str">
        <f t="shared" si="77"/>
        <v>مدين</v>
      </c>
      <c r="M1676" s="137" t="str">
        <f>IF(ISERROR(VLOOKUP(C1676,'[1]خريطة الحسابات'!_xlnm.Print_Area,4,FALSE))," ",(VLOOKUP(C1676,'[1]خريطة الحسابات'!_xlnm.Print_Area,4,FALSE)))</f>
        <v>تكاليف مشروع كناريا  273</v>
      </c>
      <c r="N1676" s="138" t="str">
        <f>IF(ISERROR(VLOOKUP(C1676,'[1]خريطة الحسابات'!_xlnm.Print_Area,5,FALSE))," ",(VLOOKUP(C1676,'[1]خريطة الحسابات'!_xlnm.Print_Area,5,FALSE)))</f>
        <v xml:space="preserve">تكاليف العمليات </v>
      </c>
      <c r="O1676" s="84" t="s">
        <v>2101</v>
      </c>
      <c r="P1676" s="84" t="s">
        <v>1405</v>
      </c>
    </row>
    <row r="1677" spans="1:16">
      <c r="A1677" s="104">
        <v>63</v>
      </c>
      <c r="B1677" s="131">
        <v>46046</v>
      </c>
      <c r="C1677" s="150" t="s">
        <v>464</v>
      </c>
      <c r="D1677" s="140" t="str">
        <f>IF(ISERROR(VLOOKUP(C1677,'[1]خريطة الحسابات'!_xlnm.Print_Area,3,FALSE))," ",(VLOOKUP(C1677,'[1]خريطة الحسابات'!_xlnm.Print_Area,3,FALSE)))</f>
        <v>خامات ومصنعية بند الكهرباء</v>
      </c>
      <c r="E1677" s="142"/>
      <c r="F1677" s="133">
        <v>38822</v>
      </c>
      <c r="G1677" s="133"/>
      <c r="H1677" s="134">
        <f t="shared" si="76"/>
        <v>38822</v>
      </c>
      <c r="I1677" s="134">
        <f t="shared" si="76"/>
        <v>0</v>
      </c>
      <c r="J1677" s="134">
        <f t="shared" si="75"/>
        <v>38822</v>
      </c>
      <c r="K1677" s="135"/>
      <c r="L1677" s="136" t="str">
        <f t="shared" si="77"/>
        <v>مدين</v>
      </c>
      <c r="M1677" s="137" t="str">
        <f>IF(ISERROR(VLOOKUP(C1677,'[1]خريطة الحسابات'!_xlnm.Print_Area,4,FALSE))," ",(VLOOKUP(C1677,'[1]خريطة الحسابات'!_xlnm.Print_Area,4,FALSE)))</f>
        <v>350 تكاليف مشروع شفيق</v>
      </c>
      <c r="N1677" s="138" t="str">
        <f>IF(ISERROR(VLOOKUP(C1677,'[1]خريطة الحسابات'!_xlnm.Print_Area,5,FALSE))," ",(VLOOKUP(C1677,'[1]خريطة الحسابات'!_xlnm.Print_Area,5,FALSE)))</f>
        <v xml:space="preserve">تكاليف العمليات </v>
      </c>
      <c r="O1677" s="84" t="s">
        <v>2102</v>
      </c>
      <c r="P1677" s="84" t="s">
        <v>1325</v>
      </c>
    </row>
    <row r="1678" spans="1:16">
      <c r="A1678" s="104">
        <v>63</v>
      </c>
      <c r="B1678" s="131">
        <v>46046</v>
      </c>
      <c r="C1678" s="150" t="s">
        <v>464</v>
      </c>
      <c r="D1678" s="140" t="str">
        <f>IF(ISERROR(VLOOKUP(C1678,'[1]خريطة الحسابات'!_xlnm.Print_Area,3,FALSE))," ",(VLOOKUP(C1678,'[1]خريطة الحسابات'!_xlnm.Print_Area,3,FALSE)))</f>
        <v>خامات ومصنعية بند الكهرباء</v>
      </c>
      <c r="E1678" s="142"/>
      <c r="F1678" s="133">
        <v>500</v>
      </c>
      <c r="G1678" s="133"/>
      <c r="H1678" s="134">
        <f t="shared" si="76"/>
        <v>500</v>
      </c>
      <c r="I1678" s="134">
        <f t="shared" si="76"/>
        <v>0</v>
      </c>
      <c r="J1678" s="134">
        <f t="shared" si="75"/>
        <v>500</v>
      </c>
      <c r="K1678" s="135"/>
      <c r="L1678" s="136" t="str">
        <f t="shared" si="77"/>
        <v>مدين</v>
      </c>
      <c r="M1678" s="137" t="str">
        <f>IF(ISERROR(VLOOKUP(C1678,'[1]خريطة الحسابات'!_xlnm.Print_Area,4,FALSE))," ",(VLOOKUP(C1678,'[1]خريطة الحسابات'!_xlnm.Print_Area,4,FALSE)))</f>
        <v>350 تكاليف مشروع شفيق</v>
      </c>
      <c r="N1678" s="138" t="str">
        <f>IF(ISERROR(VLOOKUP(C1678,'[1]خريطة الحسابات'!_xlnm.Print_Area,5,FALSE))," ",(VLOOKUP(C1678,'[1]خريطة الحسابات'!_xlnm.Print_Area,5,FALSE)))</f>
        <v xml:space="preserve">تكاليف العمليات </v>
      </c>
      <c r="O1678" s="84" t="s">
        <v>2103</v>
      </c>
      <c r="P1678" s="84" t="s">
        <v>1325</v>
      </c>
    </row>
    <row r="1679" spans="1:16">
      <c r="A1679" s="104">
        <v>63</v>
      </c>
      <c r="B1679" s="131">
        <v>46051</v>
      </c>
      <c r="C1679" s="150" t="s">
        <v>464</v>
      </c>
      <c r="D1679" s="140" t="str">
        <f>IF(ISERROR(VLOOKUP(C1679,'[1]خريطة الحسابات'!_xlnm.Print_Area,3,FALSE))," ",(VLOOKUP(C1679,'[1]خريطة الحسابات'!_xlnm.Print_Area,3,FALSE)))</f>
        <v>خامات ومصنعية بند الكهرباء</v>
      </c>
      <c r="E1679" s="142"/>
      <c r="F1679" s="133">
        <v>1495</v>
      </c>
      <c r="G1679" s="133"/>
      <c r="H1679" s="134">
        <f t="shared" si="76"/>
        <v>1495</v>
      </c>
      <c r="I1679" s="134">
        <f t="shared" si="76"/>
        <v>0</v>
      </c>
      <c r="J1679" s="134">
        <f t="shared" si="75"/>
        <v>1495</v>
      </c>
      <c r="K1679" s="135"/>
      <c r="L1679" s="136" t="str">
        <f t="shared" si="77"/>
        <v>مدين</v>
      </c>
      <c r="M1679" s="137" t="str">
        <f>IF(ISERROR(VLOOKUP(C1679,'[1]خريطة الحسابات'!_xlnm.Print_Area,4,FALSE))," ",(VLOOKUP(C1679,'[1]خريطة الحسابات'!_xlnm.Print_Area,4,FALSE)))</f>
        <v>350 تكاليف مشروع شفيق</v>
      </c>
      <c r="N1679" s="138" t="str">
        <f>IF(ISERROR(VLOOKUP(C1679,'[1]خريطة الحسابات'!_xlnm.Print_Area,5,FALSE))," ",(VLOOKUP(C1679,'[1]خريطة الحسابات'!_xlnm.Print_Area,5,FALSE)))</f>
        <v xml:space="preserve">تكاليف العمليات </v>
      </c>
      <c r="O1679" s="84" t="s">
        <v>2035</v>
      </c>
      <c r="P1679" s="84" t="s">
        <v>1325</v>
      </c>
    </row>
    <row r="1680" spans="1:16">
      <c r="A1680" s="104">
        <v>63</v>
      </c>
      <c r="B1680" s="131">
        <v>46082</v>
      </c>
      <c r="C1680" s="150" t="s">
        <v>464</v>
      </c>
      <c r="D1680" s="140" t="str">
        <f>IF(ISERROR(VLOOKUP(C1680,'[1]خريطة الحسابات'!_xlnm.Print_Area,3,FALSE))," ",(VLOOKUP(C1680,'[1]خريطة الحسابات'!_xlnm.Print_Area,3,FALSE)))</f>
        <v>خامات ومصنعية بند الكهرباء</v>
      </c>
      <c r="E1680" s="142"/>
      <c r="F1680" s="133">
        <v>420</v>
      </c>
      <c r="G1680" s="133"/>
      <c r="H1680" s="134">
        <f t="shared" si="76"/>
        <v>420</v>
      </c>
      <c r="I1680" s="134">
        <f t="shared" si="76"/>
        <v>0</v>
      </c>
      <c r="J1680" s="134">
        <f t="shared" si="75"/>
        <v>420</v>
      </c>
      <c r="K1680" s="135"/>
      <c r="L1680" s="136" t="str">
        <f t="shared" si="77"/>
        <v>مدين</v>
      </c>
      <c r="M1680" s="137" t="str">
        <f>IF(ISERROR(VLOOKUP(C1680,'[1]خريطة الحسابات'!_xlnm.Print_Area,4,FALSE))," ",(VLOOKUP(C1680,'[1]خريطة الحسابات'!_xlnm.Print_Area,4,FALSE)))</f>
        <v>350 تكاليف مشروع شفيق</v>
      </c>
      <c r="N1680" s="138" t="str">
        <f>IF(ISERROR(VLOOKUP(C1680,'[1]خريطة الحسابات'!_xlnm.Print_Area,5,FALSE))," ",(VLOOKUP(C1680,'[1]خريطة الحسابات'!_xlnm.Print_Area,5,FALSE)))</f>
        <v xml:space="preserve">تكاليف العمليات </v>
      </c>
      <c r="O1680" s="84" t="s">
        <v>2054</v>
      </c>
      <c r="P1680" s="84" t="s">
        <v>1325</v>
      </c>
    </row>
    <row r="1681" spans="1:16">
      <c r="A1681" s="104">
        <v>63</v>
      </c>
      <c r="B1681" s="131">
        <v>46090</v>
      </c>
      <c r="C1681" s="150" t="s">
        <v>359</v>
      </c>
      <c r="D1681" s="140" t="str">
        <f>IF(ISERROR(VLOOKUP(C1681,'[1]خريطة الحسابات'!_xlnm.Print_Area,3,FALSE))," ",(VLOOKUP(C1681,'[1]خريطة الحسابات'!_xlnm.Print_Area,3,FALSE)))</f>
        <v>خامات ومصنعية بند الكهرباء</v>
      </c>
      <c r="E1681" s="142"/>
      <c r="F1681" s="133">
        <v>58785</v>
      </c>
      <c r="G1681" s="133"/>
      <c r="H1681" s="134">
        <f t="shared" si="76"/>
        <v>58785</v>
      </c>
      <c r="I1681" s="134">
        <f t="shared" si="76"/>
        <v>0</v>
      </c>
      <c r="J1681" s="134">
        <f t="shared" si="75"/>
        <v>58785</v>
      </c>
      <c r="K1681" s="135"/>
      <c r="L1681" s="136" t="str">
        <f t="shared" si="77"/>
        <v>مدين</v>
      </c>
      <c r="M1681" s="137" t="str">
        <f>IF(ISERROR(VLOOKUP(C1681,'[1]خريطة الحسابات'!_xlnm.Print_Area,4,FALSE))," ",(VLOOKUP(C1681,'[1]خريطة الحسابات'!_xlnm.Print_Area,4,FALSE)))</f>
        <v>318 تكاليف مشروع  المعادي ديونز</v>
      </c>
      <c r="N1681" s="138" t="str">
        <f>IF(ISERROR(VLOOKUP(C1681,'[1]خريطة الحسابات'!_xlnm.Print_Area,5,FALSE))," ",(VLOOKUP(C1681,'[1]خريطة الحسابات'!_xlnm.Print_Area,5,FALSE)))</f>
        <v xml:space="preserve">تكاليف العمليات </v>
      </c>
      <c r="O1681" s="84" t="s">
        <v>2104</v>
      </c>
      <c r="P1681" s="84" t="s">
        <v>1383</v>
      </c>
    </row>
    <row r="1682" spans="1:16">
      <c r="A1682" s="104">
        <v>63</v>
      </c>
      <c r="B1682" s="131">
        <v>46093</v>
      </c>
      <c r="C1682" s="150" t="s">
        <v>359</v>
      </c>
      <c r="D1682" s="140" t="str">
        <f>IF(ISERROR(VLOOKUP(C1682,'[1]خريطة الحسابات'!_xlnm.Print_Area,3,FALSE))," ",(VLOOKUP(C1682,'[1]خريطة الحسابات'!_xlnm.Print_Area,3,FALSE)))</f>
        <v>خامات ومصنعية بند الكهرباء</v>
      </c>
      <c r="E1682" s="142"/>
      <c r="F1682" s="133">
        <v>23652</v>
      </c>
      <c r="G1682" s="133"/>
      <c r="H1682" s="134">
        <f t="shared" si="76"/>
        <v>23652</v>
      </c>
      <c r="I1682" s="134">
        <f t="shared" si="76"/>
        <v>0</v>
      </c>
      <c r="J1682" s="134">
        <f t="shared" si="75"/>
        <v>23652</v>
      </c>
      <c r="K1682" s="135"/>
      <c r="L1682" s="136" t="str">
        <f t="shared" si="77"/>
        <v>مدين</v>
      </c>
      <c r="M1682" s="137" t="str">
        <f>IF(ISERROR(VLOOKUP(C1682,'[1]خريطة الحسابات'!_xlnm.Print_Area,4,FALSE))," ",(VLOOKUP(C1682,'[1]خريطة الحسابات'!_xlnm.Print_Area,4,FALSE)))</f>
        <v>318 تكاليف مشروع  المعادي ديونز</v>
      </c>
      <c r="N1682" s="138" t="str">
        <f>IF(ISERROR(VLOOKUP(C1682,'[1]خريطة الحسابات'!_xlnm.Print_Area,5,FALSE))," ",(VLOOKUP(C1682,'[1]خريطة الحسابات'!_xlnm.Print_Area,5,FALSE)))</f>
        <v xml:space="preserve">تكاليف العمليات </v>
      </c>
      <c r="O1682" s="84" t="s">
        <v>2088</v>
      </c>
      <c r="P1682" s="84" t="s">
        <v>1383</v>
      </c>
    </row>
    <row r="1683" spans="1:16">
      <c r="A1683" s="104">
        <v>63</v>
      </c>
      <c r="B1683" s="131">
        <v>46121</v>
      </c>
      <c r="C1683" s="150" t="s">
        <v>359</v>
      </c>
      <c r="D1683" s="140" t="str">
        <f>IF(ISERROR(VLOOKUP(C1683,'[1]خريطة الحسابات'!_xlnm.Print_Area,3,FALSE))," ",(VLOOKUP(C1683,'[1]خريطة الحسابات'!_xlnm.Print_Area,3,FALSE)))</f>
        <v>خامات ومصنعية بند الكهرباء</v>
      </c>
      <c r="E1683" s="142"/>
      <c r="F1683" s="133">
        <v>3270</v>
      </c>
      <c r="G1683" s="133"/>
      <c r="H1683" s="134">
        <f t="shared" si="76"/>
        <v>3270</v>
      </c>
      <c r="I1683" s="134">
        <f t="shared" si="76"/>
        <v>0</v>
      </c>
      <c r="J1683" s="134">
        <f t="shared" si="75"/>
        <v>3270</v>
      </c>
      <c r="K1683" s="135"/>
      <c r="L1683" s="136" t="str">
        <f t="shared" si="77"/>
        <v>مدين</v>
      </c>
      <c r="M1683" s="137" t="str">
        <f>IF(ISERROR(VLOOKUP(C1683,'[1]خريطة الحسابات'!_xlnm.Print_Area,4,FALSE))," ",(VLOOKUP(C1683,'[1]خريطة الحسابات'!_xlnm.Print_Area,4,FALSE)))</f>
        <v>318 تكاليف مشروع  المعادي ديونز</v>
      </c>
      <c r="N1683" s="138" t="str">
        <f>IF(ISERROR(VLOOKUP(C1683,'[1]خريطة الحسابات'!_xlnm.Print_Area,5,FALSE))," ",(VLOOKUP(C1683,'[1]خريطة الحسابات'!_xlnm.Print_Area,5,FALSE)))</f>
        <v xml:space="preserve">تكاليف العمليات </v>
      </c>
      <c r="O1683" s="84" t="s">
        <v>2105</v>
      </c>
      <c r="P1683" s="84" t="s">
        <v>1383</v>
      </c>
    </row>
    <row r="1684" spans="1:16">
      <c r="A1684" s="104">
        <v>63</v>
      </c>
      <c r="B1684" s="131">
        <v>46132</v>
      </c>
      <c r="C1684" s="150" t="s">
        <v>359</v>
      </c>
      <c r="D1684" s="140" t="str">
        <f>IF(ISERROR(VLOOKUP(C1684,'[1]خريطة الحسابات'!_xlnm.Print_Area,3,FALSE))," ",(VLOOKUP(C1684,'[1]خريطة الحسابات'!_xlnm.Print_Area,3,FALSE)))</f>
        <v>خامات ومصنعية بند الكهرباء</v>
      </c>
      <c r="E1684" s="142"/>
      <c r="F1684" s="133">
        <v>120</v>
      </c>
      <c r="G1684" s="133"/>
      <c r="H1684" s="134">
        <f t="shared" si="76"/>
        <v>120</v>
      </c>
      <c r="I1684" s="134">
        <f t="shared" si="76"/>
        <v>0</v>
      </c>
      <c r="J1684" s="134">
        <f t="shared" si="75"/>
        <v>120</v>
      </c>
      <c r="K1684" s="135"/>
      <c r="L1684" s="136" t="str">
        <f t="shared" si="77"/>
        <v>مدين</v>
      </c>
      <c r="M1684" s="137" t="str">
        <f>IF(ISERROR(VLOOKUP(C1684,'[1]خريطة الحسابات'!_xlnm.Print_Area,4,FALSE))," ",(VLOOKUP(C1684,'[1]خريطة الحسابات'!_xlnm.Print_Area,4,FALSE)))</f>
        <v>318 تكاليف مشروع  المعادي ديونز</v>
      </c>
      <c r="N1684" s="138" t="str">
        <f>IF(ISERROR(VLOOKUP(C1684,'[1]خريطة الحسابات'!_xlnm.Print_Area,5,FALSE))," ",(VLOOKUP(C1684,'[1]خريطة الحسابات'!_xlnm.Print_Area,5,FALSE)))</f>
        <v xml:space="preserve">تكاليف العمليات </v>
      </c>
      <c r="O1684" s="84" t="s">
        <v>2106</v>
      </c>
      <c r="P1684" s="84" t="s">
        <v>1383</v>
      </c>
    </row>
    <row r="1685" spans="1:16">
      <c r="A1685" s="104">
        <v>63</v>
      </c>
      <c r="B1685" s="131">
        <v>46133</v>
      </c>
      <c r="C1685" s="150" t="s">
        <v>359</v>
      </c>
      <c r="D1685" s="140" t="str">
        <f>IF(ISERROR(VLOOKUP(C1685,'[1]خريطة الحسابات'!_xlnm.Print_Area,3,FALSE))," ",(VLOOKUP(C1685,'[1]خريطة الحسابات'!_xlnm.Print_Area,3,FALSE)))</f>
        <v>خامات ومصنعية بند الكهرباء</v>
      </c>
      <c r="E1685" s="142"/>
      <c r="F1685" s="133">
        <v>1100</v>
      </c>
      <c r="G1685" s="133"/>
      <c r="H1685" s="134">
        <f t="shared" si="76"/>
        <v>1100</v>
      </c>
      <c r="I1685" s="134">
        <f t="shared" si="76"/>
        <v>0</v>
      </c>
      <c r="J1685" s="134">
        <f t="shared" si="75"/>
        <v>1100</v>
      </c>
      <c r="K1685" s="135"/>
      <c r="L1685" s="136" t="str">
        <f t="shared" si="77"/>
        <v>مدين</v>
      </c>
      <c r="M1685" s="137" t="str">
        <f>IF(ISERROR(VLOOKUP(C1685,'[1]خريطة الحسابات'!_xlnm.Print_Area,4,FALSE))," ",(VLOOKUP(C1685,'[1]خريطة الحسابات'!_xlnm.Print_Area,4,FALSE)))</f>
        <v>318 تكاليف مشروع  المعادي ديونز</v>
      </c>
      <c r="N1685" s="138" t="str">
        <f>IF(ISERROR(VLOOKUP(C1685,'[1]خريطة الحسابات'!_xlnm.Print_Area,5,FALSE))," ",(VLOOKUP(C1685,'[1]خريطة الحسابات'!_xlnm.Print_Area,5,FALSE)))</f>
        <v xml:space="preserve">تكاليف العمليات </v>
      </c>
      <c r="O1685" s="84" t="s">
        <v>2107</v>
      </c>
      <c r="P1685" s="84" t="s">
        <v>1383</v>
      </c>
    </row>
    <row r="1686" spans="1:16">
      <c r="A1686" s="104">
        <v>63</v>
      </c>
      <c r="B1686" s="131">
        <v>46133</v>
      </c>
      <c r="C1686" s="150" t="s">
        <v>359</v>
      </c>
      <c r="D1686" s="140" t="str">
        <f>IF(ISERROR(VLOOKUP(C1686,'[1]خريطة الحسابات'!_xlnm.Print_Area,3,FALSE))," ",(VLOOKUP(C1686,'[1]خريطة الحسابات'!_xlnm.Print_Area,3,FALSE)))</f>
        <v>خامات ومصنعية بند الكهرباء</v>
      </c>
      <c r="E1686" s="142"/>
      <c r="F1686" s="133">
        <v>47000</v>
      </c>
      <c r="G1686" s="133"/>
      <c r="H1686" s="134">
        <f t="shared" si="76"/>
        <v>47000</v>
      </c>
      <c r="I1686" s="134">
        <f t="shared" si="76"/>
        <v>0</v>
      </c>
      <c r="J1686" s="134">
        <f t="shared" si="75"/>
        <v>47000</v>
      </c>
      <c r="K1686" s="135"/>
      <c r="L1686" s="136" t="str">
        <f t="shared" si="77"/>
        <v>مدين</v>
      </c>
      <c r="M1686" s="137" t="str">
        <f>IF(ISERROR(VLOOKUP(C1686,'[1]خريطة الحسابات'!_xlnm.Print_Area,4,FALSE))," ",(VLOOKUP(C1686,'[1]خريطة الحسابات'!_xlnm.Print_Area,4,FALSE)))</f>
        <v>318 تكاليف مشروع  المعادي ديونز</v>
      </c>
      <c r="N1686" s="138" t="str">
        <f>IF(ISERROR(VLOOKUP(C1686,'[1]خريطة الحسابات'!_xlnm.Print_Area,5,FALSE))," ",(VLOOKUP(C1686,'[1]خريطة الحسابات'!_xlnm.Print_Area,5,FALSE)))</f>
        <v xml:space="preserve">تكاليف العمليات </v>
      </c>
      <c r="O1686" s="84" t="s">
        <v>2030</v>
      </c>
      <c r="P1686" s="84" t="s">
        <v>1383</v>
      </c>
    </row>
    <row r="1687" spans="1:16">
      <c r="A1687" s="104">
        <v>63</v>
      </c>
      <c r="B1687" s="131">
        <v>46139</v>
      </c>
      <c r="C1687" s="150" t="s">
        <v>359</v>
      </c>
      <c r="D1687" s="140" t="str">
        <f>IF(ISERROR(VLOOKUP(C1687,'[1]خريطة الحسابات'!_xlnm.Print_Area,3,FALSE))," ",(VLOOKUP(C1687,'[1]خريطة الحسابات'!_xlnm.Print_Area,3,FALSE)))</f>
        <v>خامات ومصنعية بند الكهرباء</v>
      </c>
      <c r="E1687" s="142"/>
      <c r="F1687" s="133">
        <v>675</v>
      </c>
      <c r="G1687" s="133"/>
      <c r="H1687" s="134">
        <f t="shared" si="76"/>
        <v>675</v>
      </c>
      <c r="I1687" s="134">
        <f t="shared" si="76"/>
        <v>0</v>
      </c>
      <c r="J1687" s="134">
        <f t="shared" si="75"/>
        <v>675</v>
      </c>
      <c r="K1687" s="135"/>
      <c r="L1687" s="136" t="str">
        <f t="shared" si="77"/>
        <v>مدين</v>
      </c>
      <c r="M1687" s="137" t="str">
        <f>IF(ISERROR(VLOOKUP(C1687,'[1]خريطة الحسابات'!_xlnm.Print_Area,4,FALSE))," ",(VLOOKUP(C1687,'[1]خريطة الحسابات'!_xlnm.Print_Area,4,FALSE)))</f>
        <v>318 تكاليف مشروع  المعادي ديونز</v>
      </c>
      <c r="N1687" s="138" t="str">
        <f>IF(ISERROR(VLOOKUP(C1687,'[1]خريطة الحسابات'!_xlnm.Print_Area,5,FALSE))," ",(VLOOKUP(C1687,'[1]خريطة الحسابات'!_xlnm.Print_Area,5,FALSE)))</f>
        <v xml:space="preserve">تكاليف العمليات </v>
      </c>
      <c r="O1687" s="84" t="s">
        <v>2108</v>
      </c>
      <c r="P1687" s="84" t="s">
        <v>1383</v>
      </c>
    </row>
    <row r="1688" spans="1:16">
      <c r="A1688" s="104">
        <v>63</v>
      </c>
      <c r="B1688" s="131">
        <v>46142</v>
      </c>
      <c r="C1688" s="150" t="s">
        <v>359</v>
      </c>
      <c r="D1688" s="140" t="str">
        <f>IF(ISERROR(VLOOKUP(C1688,'[1]خريطة الحسابات'!_xlnm.Print_Area,3,FALSE))," ",(VLOOKUP(C1688,'[1]خريطة الحسابات'!_xlnm.Print_Area,3,FALSE)))</f>
        <v>خامات ومصنعية بند الكهرباء</v>
      </c>
      <c r="E1688" s="142"/>
      <c r="F1688" s="133">
        <v>945</v>
      </c>
      <c r="G1688" s="133"/>
      <c r="H1688" s="134">
        <f t="shared" si="76"/>
        <v>945</v>
      </c>
      <c r="I1688" s="134">
        <f t="shared" si="76"/>
        <v>0</v>
      </c>
      <c r="J1688" s="134">
        <f t="shared" ref="J1688:J1751" si="78">H1688-I1688</f>
        <v>945</v>
      </c>
      <c r="K1688" s="135"/>
      <c r="L1688" s="136" t="str">
        <f t="shared" si="77"/>
        <v>مدين</v>
      </c>
      <c r="M1688" s="137" t="str">
        <f>IF(ISERROR(VLOOKUP(C1688,'[1]خريطة الحسابات'!_xlnm.Print_Area,4,FALSE))," ",(VLOOKUP(C1688,'[1]خريطة الحسابات'!_xlnm.Print_Area,4,FALSE)))</f>
        <v>318 تكاليف مشروع  المعادي ديونز</v>
      </c>
      <c r="N1688" s="138" t="str">
        <f>IF(ISERROR(VLOOKUP(C1688,'[1]خريطة الحسابات'!_xlnm.Print_Area,5,FALSE))," ",(VLOOKUP(C1688,'[1]خريطة الحسابات'!_xlnm.Print_Area,5,FALSE)))</f>
        <v xml:space="preserve">تكاليف العمليات </v>
      </c>
      <c r="O1688" s="84" t="s">
        <v>2109</v>
      </c>
      <c r="P1688" s="84" t="s">
        <v>1383</v>
      </c>
    </row>
    <row r="1689" spans="1:16">
      <c r="A1689" s="104">
        <v>63</v>
      </c>
      <c r="B1689" s="131">
        <v>46144</v>
      </c>
      <c r="C1689" s="150" t="s">
        <v>359</v>
      </c>
      <c r="D1689" s="140" t="str">
        <f>IF(ISERROR(VLOOKUP(C1689,'[1]خريطة الحسابات'!_xlnm.Print_Area,3,FALSE))," ",(VLOOKUP(C1689,'[1]خريطة الحسابات'!_xlnm.Print_Area,3,FALSE)))</f>
        <v>خامات ومصنعية بند الكهرباء</v>
      </c>
      <c r="E1689" s="142"/>
      <c r="F1689" s="133">
        <v>95</v>
      </c>
      <c r="G1689" s="133"/>
      <c r="H1689" s="134">
        <f t="shared" ref="H1689:I1752" si="79">IF($E1689=2,F1689*3.465,F1689)</f>
        <v>95</v>
      </c>
      <c r="I1689" s="134">
        <f t="shared" si="79"/>
        <v>0</v>
      </c>
      <c r="J1689" s="134">
        <f t="shared" si="78"/>
        <v>95</v>
      </c>
      <c r="K1689" s="135"/>
      <c r="L1689" s="136" t="str">
        <f t="shared" si="77"/>
        <v>مدين</v>
      </c>
      <c r="M1689" s="137" t="str">
        <f>IF(ISERROR(VLOOKUP(C1689,'[1]خريطة الحسابات'!_xlnm.Print_Area,4,FALSE))," ",(VLOOKUP(C1689,'[1]خريطة الحسابات'!_xlnm.Print_Area,4,FALSE)))</f>
        <v>318 تكاليف مشروع  المعادي ديونز</v>
      </c>
      <c r="N1689" s="138" t="str">
        <f>IF(ISERROR(VLOOKUP(C1689,'[1]خريطة الحسابات'!_xlnm.Print_Area,5,FALSE))," ",(VLOOKUP(C1689,'[1]خريطة الحسابات'!_xlnm.Print_Area,5,FALSE)))</f>
        <v xml:space="preserve">تكاليف العمليات </v>
      </c>
      <c r="O1689" s="84" t="s">
        <v>2110</v>
      </c>
      <c r="P1689" s="84" t="s">
        <v>1383</v>
      </c>
    </row>
    <row r="1690" spans="1:16">
      <c r="A1690" s="104">
        <v>63</v>
      </c>
      <c r="B1690" s="131">
        <v>46148</v>
      </c>
      <c r="C1690" s="150" t="s">
        <v>359</v>
      </c>
      <c r="D1690" s="140" t="str">
        <f>IF(ISERROR(VLOOKUP(C1690,'[1]خريطة الحسابات'!_xlnm.Print_Area,3,FALSE))," ",(VLOOKUP(C1690,'[1]خريطة الحسابات'!_xlnm.Print_Area,3,FALSE)))</f>
        <v>خامات ومصنعية بند الكهرباء</v>
      </c>
      <c r="E1690" s="142"/>
      <c r="F1690" s="133">
        <v>4420</v>
      </c>
      <c r="G1690" s="133"/>
      <c r="H1690" s="134">
        <f t="shared" si="79"/>
        <v>4420</v>
      </c>
      <c r="I1690" s="134">
        <f t="shared" si="79"/>
        <v>0</v>
      </c>
      <c r="J1690" s="134">
        <f t="shared" si="78"/>
        <v>4420</v>
      </c>
      <c r="K1690" s="135"/>
      <c r="L1690" s="136" t="str">
        <f t="shared" si="77"/>
        <v>مدين</v>
      </c>
      <c r="M1690" s="137" t="str">
        <f>IF(ISERROR(VLOOKUP(C1690,'[1]خريطة الحسابات'!_xlnm.Print_Area,4,FALSE))," ",(VLOOKUP(C1690,'[1]خريطة الحسابات'!_xlnm.Print_Area,4,FALSE)))</f>
        <v>318 تكاليف مشروع  المعادي ديونز</v>
      </c>
      <c r="N1690" s="138" t="str">
        <f>IF(ISERROR(VLOOKUP(C1690,'[1]خريطة الحسابات'!_xlnm.Print_Area,5,FALSE))," ",(VLOOKUP(C1690,'[1]خريطة الحسابات'!_xlnm.Print_Area,5,FALSE)))</f>
        <v xml:space="preserve">تكاليف العمليات </v>
      </c>
      <c r="O1690" s="84" t="s">
        <v>2111</v>
      </c>
      <c r="P1690" s="84" t="s">
        <v>1383</v>
      </c>
    </row>
    <row r="1691" spans="1:16">
      <c r="A1691" s="104">
        <v>63</v>
      </c>
      <c r="B1691" s="131">
        <v>46166</v>
      </c>
      <c r="C1691" s="150" t="s">
        <v>359</v>
      </c>
      <c r="D1691" s="140" t="str">
        <f>IF(ISERROR(VLOOKUP(C1691,'[1]خريطة الحسابات'!_xlnm.Print_Area,3,FALSE))," ",(VLOOKUP(C1691,'[1]خريطة الحسابات'!_xlnm.Print_Area,3,FALSE)))</f>
        <v>خامات ومصنعية بند الكهرباء</v>
      </c>
      <c r="E1691" s="142"/>
      <c r="F1691" s="133">
        <v>920</v>
      </c>
      <c r="G1691" s="133"/>
      <c r="H1691" s="134">
        <f t="shared" si="79"/>
        <v>920</v>
      </c>
      <c r="I1691" s="134">
        <f t="shared" si="79"/>
        <v>0</v>
      </c>
      <c r="J1691" s="134">
        <f t="shared" si="78"/>
        <v>920</v>
      </c>
      <c r="K1691" s="135"/>
      <c r="L1691" s="136" t="str">
        <f t="shared" ref="L1691:L1754" si="80">IF(J1691&lt;0,"دائن",IF(J1691&gt;0,"مدين",""))</f>
        <v>مدين</v>
      </c>
      <c r="M1691" s="137" t="str">
        <f>IF(ISERROR(VLOOKUP(C1691,'[1]خريطة الحسابات'!_xlnm.Print_Area,4,FALSE))," ",(VLOOKUP(C1691,'[1]خريطة الحسابات'!_xlnm.Print_Area,4,FALSE)))</f>
        <v>318 تكاليف مشروع  المعادي ديونز</v>
      </c>
      <c r="N1691" s="138" t="str">
        <f>IF(ISERROR(VLOOKUP(C1691,'[1]خريطة الحسابات'!_xlnm.Print_Area,5,FALSE))," ",(VLOOKUP(C1691,'[1]خريطة الحسابات'!_xlnm.Print_Area,5,FALSE)))</f>
        <v xml:space="preserve">تكاليف العمليات </v>
      </c>
      <c r="O1691" s="84" t="s">
        <v>2112</v>
      </c>
      <c r="P1691" s="84" t="s">
        <v>1383</v>
      </c>
    </row>
    <row r="1692" spans="1:16">
      <c r="A1692" s="104">
        <v>63</v>
      </c>
      <c r="B1692" s="131">
        <v>46166</v>
      </c>
      <c r="C1692" s="150" t="s">
        <v>359</v>
      </c>
      <c r="D1692" s="140" t="str">
        <f>IF(ISERROR(VLOOKUP(C1692,'[1]خريطة الحسابات'!_xlnm.Print_Area,3,FALSE))," ",(VLOOKUP(C1692,'[1]خريطة الحسابات'!_xlnm.Print_Area,3,FALSE)))</f>
        <v>خامات ومصنعية بند الكهرباء</v>
      </c>
      <c r="E1692" s="142"/>
      <c r="F1692" s="133">
        <v>700</v>
      </c>
      <c r="G1692" s="133"/>
      <c r="H1692" s="134">
        <f t="shared" si="79"/>
        <v>700</v>
      </c>
      <c r="I1692" s="134">
        <f t="shared" si="79"/>
        <v>0</v>
      </c>
      <c r="J1692" s="134">
        <f t="shared" si="78"/>
        <v>700</v>
      </c>
      <c r="K1692" s="135"/>
      <c r="L1692" s="136" t="str">
        <f t="shared" si="80"/>
        <v>مدين</v>
      </c>
      <c r="M1692" s="137" t="str">
        <f>IF(ISERROR(VLOOKUP(C1692,'[1]خريطة الحسابات'!_xlnm.Print_Area,4,FALSE))," ",(VLOOKUP(C1692,'[1]خريطة الحسابات'!_xlnm.Print_Area,4,FALSE)))</f>
        <v>318 تكاليف مشروع  المعادي ديونز</v>
      </c>
      <c r="N1692" s="138" t="str">
        <f>IF(ISERROR(VLOOKUP(C1692,'[1]خريطة الحسابات'!_xlnm.Print_Area,5,FALSE))," ",(VLOOKUP(C1692,'[1]خريطة الحسابات'!_xlnm.Print_Area,5,FALSE)))</f>
        <v xml:space="preserve">تكاليف العمليات </v>
      </c>
      <c r="O1692" s="84" t="s">
        <v>2113</v>
      </c>
      <c r="P1692" s="84" t="s">
        <v>1383</v>
      </c>
    </row>
    <row r="1693" spans="1:16">
      <c r="A1693" s="104">
        <v>63</v>
      </c>
      <c r="B1693" s="131">
        <v>46121</v>
      </c>
      <c r="C1693" s="150" t="s">
        <v>289</v>
      </c>
      <c r="D1693" s="140" t="str">
        <f>IF(ISERROR(VLOOKUP(C1693,'[1]خريطة الحسابات'!_xlnm.Print_Area,3,FALSE))," ",(VLOOKUP(C1693,'[1]خريطة الحسابات'!_xlnm.Print_Area,3,FALSE)))</f>
        <v>خامات ومصنعية بند الكهرباء</v>
      </c>
      <c r="E1693" s="142"/>
      <c r="F1693" s="133">
        <v>17040</v>
      </c>
      <c r="G1693" s="133"/>
      <c r="H1693" s="134">
        <f t="shared" si="79"/>
        <v>17040</v>
      </c>
      <c r="I1693" s="134">
        <f t="shared" si="79"/>
        <v>0</v>
      </c>
      <c r="J1693" s="134">
        <f t="shared" si="78"/>
        <v>17040</v>
      </c>
      <c r="K1693" s="135"/>
      <c r="L1693" s="136" t="str">
        <f t="shared" si="80"/>
        <v>مدين</v>
      </c>
      <c r="M1693" s="137" t="str">
        <f>IF(ISERROR(VLOOKUP(C1693,'[1]خريطة الحسابات'!_xlnm.Print_Area,4,FALSE))," ",(VLOOKUP(C1693,'[1]خريطة الحسابات'!_xlnm.Print_Area,4,FALSE)))</f>
        <v>287 تكاليف مشروع المعادي فيو</v>
      </c>
      <c r="N1693" s="138" t="str">
        <f>IF(ISERROR(VLOOKUP(C1693,'[1]خريطة الحسابات'!_xlnm.Print_Area,5,FALSE))," ",(VLOOKUP(C1693,'[1]خريطة الحسابات'!_xlnm.Print_Area,5,FALSE)))</f>
        <v xml:space="preserve">تكاليف العمليات </v>
      </c>
      <c r="O1693" s="84" t="s">
        <v>2114</v>
      </c>
      <c r="P1693" s="84" t="s">
        <v>1415</v>
      </c>
    </row>
    <row r="1694" spans="1:16">
      <c r="A1694" s="104">
        <v>63</v>
      </c>
      <c r="B1694" s="131">
        <v>46133</v>
      </c>
      <c r="C1694" s="150" t="s">
        <v>289</v>
      </c>
      <c r="D1694" s="140" t="str">
        <f>IF(ISERROR(VLOOKUP(C1694,'[1]خريطة الحسابات'!_xlnm.Print_Area,3,FALSE))," ",(VLOOKUP(C1694,'[1]خريطة الحسابات'!_xlnm.Print_Area,3,FALSE)))</f>
        <v>خامات ومصنعية بند الكهرباء</v>
      </c>
      <c r="E1694" s="142"/>
      <c r="F1694" s="133">
        <v>4350</v>
      </c>
      <c r="G1694" s="133"/>
      <c r="H1694" s="134">
        <f t="shared" si="79"/>
        <v>4350</v>
      </c>
      <c r="I1694" s="134">
        <f t="shared" si="79"/>
        <v>0</v>
      </c>
      <c r="J1694" s="134">
        <f t="shared" si="78"/>
        <v>4350</v>
      </c>
      <c r="K1694" s="135"/>
      <c r="L1694" s="136" t="str">
        <f t="shared" si="80"/>
        <v>مدين</v>
      </c>
      <c r="M1694" s="137" t="str">
        <f>IF(ISERROR(VLOOKUP(C1694,'[1]خريطة الحسابات'!_xlnm.Print_Area,4,FALSE))," ",(VLOOKUP(C1694,'[1]خريطة الحسابات'!_xlnm.Print_Area,4,FALSE)))</f>
        <v>287 تكاليف مشروع المعادي فيو</v>
      </c>
      <c r="N1694" s="138" t="str">
        <f>IF(ISERROR(VLOOKUP(C1694,'[1]خريطة الحسابات'!_xlnm.Print_Area,5,FALSE))," ",(VLOOKUP(C1694,'[1]خريطة الحسابات'!_xlnm.Print_Area,5,FALSE)))</f>
        <v xml:space="preserve">تكاليف العمليات </v>
      </c>
      <c r="O1694" s="84" t="s">
        <v>2037</v>
      </c>
      <c r="P1694" s="84" t="s">
        <v>1415</v>
      </c>
    </row>
    <row r="1695" spans="1:16">
      <c r="A1695" s="104">
        <v>63</v>
      </c>
      <c r="B1695" s="131">
        <v>46144</v>
      </c>
      <c r="C1695" s="150" t="s">
        <v>289</v>
      </c>
      <c r="D1695" s="140" t="str">
        <f>IF(ISERROR(VLOOKUP(C1695,'[1]خريطة الحسابات'!_xlnm.Print_Area,3,FALSE))," ",(VLOOKUP(C1695,'[1]خريطة الحسابات'!_xlnm.Print_Area,3,FALSE)))</f>
        <v>خامات ومصنعية بند الكهرباء</v>
      </c>
      <c r="E1695" s="142"/>
      <c r="F1695" s="133">
        <v>1400</v>
      </c>
      <c r="G1695" s="133"/>
      <c r="H1695" s="134">
        <f t="shared" si="79"/>
        <v>1400</v>
      </c>
      <c r="I1695" s="134">
        <f t="shared" si="79"/>
        <v>0</v>
      </c>
      <c r="J1695" s="134">
        <f t="shared" si="78"/>
        <v>1400</v>
      </c>
      <c r="K1695" s="135"/>
      <c r="L1695" s="136" t="str">
        <f t="shared" si="80"/>
        <v>مدين</v>
      </c>
      <c r="M1695" s="137" t="str">
        <f>IF(ISERROR(VLOOKUP(C1695,'[1]خريطة الحسابات'!_xlnm.Print_Area,4,FALSE))," ",(VLOOKUP(C1695,'[1]خريطة الحسابات'!_xlnm.Print_Area,4,FALSE)))</f>
        <v>287 تكاليف مشروع المعادي فيو</v>
      </c>
      <c r="N1695" s="138" t="str">
        <f>IF(ISERROR(VLOOKUP(C1695,'[1]خريطة الحسابات'!_xlnm.Print_Area,5,FALSE))," ",(VLOOKUP(C1695,'[1]خريطة الحسابات'!_xlnm.Print_Area,5,FALSE)))</f>
        <v xml:space="preserve">تكاليف العمليات </v>
      </c>
      <c r="O1695" s="84" t="s">
        <v>2115</v>
      </c>
      <c r="P1695" s="84" t="s">
        <v>1415</v>
      </c>
    </row>
    <row r="1696" spans="1:16">
      <c r="A1696" s="104">
        <v>63</v>
      </c>
      <c r="B1696" s="131">
        <v>46147</v>
      </c>
      <c r="C1696" s="150" t="s">
        <v>289</v>
      </c>
      <c r="D1696" s="140" t="str">
        <f>IF(ISERROR(VLOOKUP(C1696,'[1]خريطة الحسابات'!_xlnm.Print_Area,3,FALSE))," ",(VLOOKUP(C1696,'[1]خريطة الحسابات'!_xlnm.Print_Area,3,FALSE)))</f>
        <v>خامات ومصنعية بند الكهرباء</v>
      </c>
      <c r="E1696" s="142"/>
      <c r="F1696" s="133">
        <v>2400</v>
      </c>
      <c r="G1696" s="133"/>
      <c r="H1696" s="134">
        <f t="shared" si="79"/>
        <v>2400</v>
      </c>
      <c r="I1696" s="134">
        <f t="shared" si="79"/>
        <v>0</v>
      </c>
      <c r="J1696" s="134">
        <f t="shared" si="78"/>
        <v>2400</v>
      </c>
      <c r="K1696" s="135"/>
      <c r="L1696" s="136" t="str">
        <f t="shared" si="80"/>
        <v>مدين</v>
      </c>
      <c r="M1696" s="137" t="str">
        <f>IF(ISERROR(VLOOKUP(C1696,'[1]خريطة الحسابات'!_xlnm.Print_Area,4,FALSE))," ",(VLOOKUP(C1696,'[1]خريطة الحسابات'!_xlnm.Print_Area,4,FALSE)))</f>
        <v>287 تكاليف مشروع المعادي فيو</v>
      </c>
      <c r="N1696" s="138" t="str">
        <f>IF(ISERROR(VLOOKUP(C1696,'[1]خريطة الحسابات'!_xlnm.Print_Area,5,FALSE))," ",(VLOOKUP(C1696,'[1]خريطة الحسابات'!_xlnm.Print_Area,5,FALSE)))</f>
        <v xml:space="preserve">تكاليف العمليات </v>
      </c>
      <c r="O1696" s="84" t="s">
        <v>2116</v>
      </c>
      <c r="P1696" s="84" t="s">
        <v>1415</v>
      </c>
    </row>
    <row r="1697" spans="1:16">
      <c r="A1697" s="104">
        <v>63</v>
      </c>
      <c r="B1697" s="131">
        <v>46135</v>
      </c>
      <c r="C1697" s="150" t="s">
        <v>674</v>
      </c>
      <c r="D1697" s="140" t="str">
        <f>IF(ISERROR(VLOOKUP(C1697,'[1]خريطة الحسابات'!_xlnm.Print_Area,3,FALSE))," ",(VLOOKUP(C1697,'[1]خريطة الحسابات'!_xlnm.Print_Area,3,FALSE)))</f>
        <v>خامات ومصنعية بند الكهرباء</v>
      </c>
      <c r="E1697" s="142"/>
      <c r="F1697" s="133">
        <v>3430</v>
      </c>
      <c r="G1697" s="133"/>
      <c r="H1697" s="134">
        <f t="shared" si="79"/>
        <v>3430</v>
      </c>
      <c r="I1697" s="134">
        <f t="shared" si="79"/>
        <v>0</v>
      </c>
      <c r="J1697" s="134">
        <f t="shared" si="78"/>
        <v>3430</v>
      </c>
      <c r="K1697" s="135"/>
      <c r="L1697" s="136" t="str">
        <f t="shared" si="80"/>
        <v>مدين</v>
      </c>
      <c r="M1697" s="137" t="str">
        <f>IF(ISERROR(VLOOKUP(C1697,'[1]خريطة الحسابات'!_xlnm.Print_Area,4,FALSE))," ",(VLOOKUP(C1697,'[1]خريطة الحسابات'!_xlnm.Print_Area,4,FALSE)))</f>
        <v>تكاليف مشروع هاني العبور 365</v>
      </c>
      <c r="N1697" s="138" t="str">
        <f>IF(ISERROR(VLOOKUP(C1697,'[1]خريطة الحسابات'!_xlnm.Print_Area,5,FALSE))," ",(VLOOKUP(C1697,'[1]خريطة الحسابات'!_xlnm.Print_Area,5,FALSE)))</f>
        <v xml:space="preserve">تكاليف العمليات </v>
      </c>
      <c r="O1697" s="84" t="s">
        <v>2089</v>
      </c>
      <c r="P1697" s="84" t="s">
        <v>1317</v>
      </c>
    </row>
    <row r="1698" spans="1:16">
      <c r="A1698" s="104">
        <v>63</v>
      </c>
      <c r="B1698" s="131">
        <v>46161</v>
      </c>
      <c r="C1698" s="150" t="s">
        <v>674</v>
      </c>
      <c r="D1698" s="140" t="str">
        <f>IF(ISERROR(VLOOKUP(C1698,'[1]خريطة الحسابات'!_xlnm.Print_Area,3,FALSE))," ",(VLOOKUP(C1698,'[1]خريطة الحسابات'!_xlnm.Print_Area,3,FALSE)))</f>
        <v>خامات ومصنعية بند الكهرباء</v>
      </c>
      <c r="E1698" s="142"/>
      <c r="F1698" s="133">
        <v>2260</v>
      </c>
      <c r="G1698" s="133"/>
      <c r="H1698" s="134">
        <f t="shared" si="79"/>
        <v>2260</v>
      </c>
      <c r="I1698" s="134">
        <f t="shared" si="79"/>
        <v>0</v>
      </c>
      <c r="J1698" s="134">
        <f t="shared" si="78"/>
        <v>2260</v>
      </c>
      <c r="K1698" s="135"/>
      <c r="L1698" s="136" t="str">
        <f t="shared" si="80"/>
        <v>مدين</v>
      </c>
      <c r="M1698" s="137" t="str">
        <f>IF(ISERROR(VLOOKUP(C1698,'[1]خريطة الحسابات'!_xlnm.Print_Area,4,FALSE))," ",(VLOOKUP(C1698,'[1]خريطة الحسابات'!_xlnm.Print_Area,4,FALSE)))</f>
        <v>تكاليف مشروع هاني العبور 365</v>
      </c>
      <c r="N1698" s="138" t="str">
        <f>IF(ISERROR(VLOOKUP(C1698,'[1]خريطة الحسابات'!_xlnm.Print_Area,5,FALSE))," ",(VLOOKUP(C1698,'[1]خريطة الحسابات'!_xlnm.Print_Area,5,FALSE)))</f>
        <v xml:space="preserve">تكاليف العمليات </v>
      </c>
      <c r="O1698" s="84" t="s">
        <v>2117</v>
      </c>
      <c r="P1698" s="84" t="s">
        <v>1317</v>
      </c>
    </row>
    <row r="1699" spans="1:16">
      <c r="A1699" s="104">
        <v>63</v>
      </c>
      <c r="B1699" s="131">
        <v>46163</v>
      </c>
      <c r="C1699" s="150" t="s">
        <v>534</v>
      </c>
      <c r="D1699" s="140" t="str">
        <f>IF(ISERROR(VLOOKUP(C1699,'[1]خريطة الحسابات'!_xlnm.Print_Area,3,FALSE))," ",(VLOOKUP(C1699,'[1]خريطة الحسابات'!_xlnm.Print_Area,3,FALSE)))</f>
        <v>خامات ومصنعية بند الكهرباء</v>
      </c>
      <c r="E1699" s="142"/>
      <c r="F1699" s="133">
        <v>1150</v>
      </c>
      <c r="G1699" s="133"/>
      <c r="H1699" s="134">
        <f t="shared" si="79"/>
        <v>1150</v>
      </c>
      <c r="I1699" s="134">
        <f t="shared" si="79"/>
        <v>0</v>
      </c>
      <c r="J1699" s="134">
        <f t="shared" si="78"/>
        <v>1150</v>
      </c>
      <c r="K1699" s="135"/>
      <c r="L1699" s="136" t="str">
        <f t="shared" si="80"/>
        <v>مدين</v>
      </c>
      <c r="M1699" s="137" t="str">
        <f>IF(ISERROR(VLOOKUP(C1699,'[1]خريطة الحسابات'!_xlnm.Print_Area,4,FALSE))," ",(VLOOKUP(C1699,'[1]خريطة الحسابات'!_xlnm.Print_Area,4,FALSE)))</f>
        <v>تكاليف مشروع هاني القرنفل 355</v>
      </c>
      <c r="N1699" s="138" t="str">
        <f>IF(ISERROR(VLOOKUP(C1699,'[1]خريطة الحسابات'!_xlnm.Print_Area,5,FALSE))," ",(VLOOKUP(C1699,'[1]خريطة الحسابات'!_xlnm.Print_Area,5,FALSE)))</f>
        <v xml:space="preserve">تكاليف العمليات </v>
      </c>
      <c r="O1699" s="84" t="s">
        <v>2118</v>
      </c>
      <c r="P1699" s="84" t="s">
        <v>1395</v>
      </c>
    </row>
    <row r="1700" spans="1:16">
      <c r="A1700" s="104">
        <v>63</v>
      </c>
      <c r="B1700" s="131">
        <v>46163</v>
      </c>
      <c r="C1700" s="150" t="s">
        <v>534</v>
      </c>
      <c r="D1700" s="140" t="str">
        <f>IF(ISERROR(VLOOKUP(C1700,'[1]خريطة الحسابات'!_xlnm.Print_Area,3,FALSE))," ",(VLOOKUP(C1700,'[1]خريطة الحسابات'!_xlnm.Print_Area,3,FALSE)))</f>
        <v>خامات ومصنعية بند الكهرباء</v>
      </c>
      <c r="E1700" s="142"/>
      <c r="F1700" s="133">
        <v>10000</v>
      </c>
      <c r="G1700" s="133"/>
      <c r="H1700" s="134">
        <f t="shared" si="79"/>
        <v>10000</v>
      </c>
      <c r="I1700" s="134">
        <f t="shared" si="79"/>
        <v>0</v>
      </c>
      <c r="J1700" s="134">
        <f t="shared" si="78"/>
        <v>10000</v>
      </c>
      <c r="K1700" s="135"/>
      <c r="L1700" s="136" t="str">
        <f t="shared" si="80"/>
        <v>مدين</v>
      </c>
      <c r="M1700" s="137" t="str">
        <f>IF(ISERROR(VLOOKUP(C1700,'[1]خريطة الحسابات'!_xlnm.Print_Area,4,FALSE))," ",(VLOOKUP(C1700,'[1]خريطة الحسابات'!_xlnm.Print_Area,4,FALSE)))</f>
        <v>تكاليف مشروع هاني القرنفل 355</v>
      </c>
      <c r="N1700" s="138" t="str">
        <f>IF(ISERROR(VLOOKUP(C1700,'[1]خريطة الحسابات'!_xlnm.Print_Area,5,FALSE))," ",(VLOOKUP(C1700,'[1]خريطة الحسابات'!_xlnm.Print_Area,5,FALSE)))</f>
        <v xml:space="preserve">تكاليف العمليات </v>
      </c>
      <c r="O1700" s="84" t="s">
        <v>2119</v>
      </c>
      <c r="P1700" s="84" t="s">
        <v>1395</v>
      </c>
    </row>
    <row r="1701" spans="1:16">
      <c r="A1701" s="104">
        <v>63</v>
      </c>
      <c r="B1701" s="131">
        <v>46163</v>
      </c>
      <c r="C1701" s="150" t="s">
        <v>499</v>
      </c>
      <c r="D1701" s="140" t="str">
        <f>IF(ISERROR(VLOOKUP(C1701,'[1]خريطة الحسابات'!_xlnm.Print_Area,3,FALSE))," ",(VLOOKUP(C1701,'[1]خريطة الحسابات'!_xlnm.Print_Area,3,FALSE)))</f>
        <v>خامات ومصنعية بند الكهرباء</v>
      </c>
      <c r="E1701" s="142"/>
      <c r="F1701" s="133">
        <v>10000</v>
      </c>
      <c r="G1701" s="133"/>
      <c r="H1701" s="134">
        <f t="shared" si="79"/>
        <v>10000</v>
      </c>
      <c r="I1701" s="134">
        <f t="shared" si="79"/>
        <v>0</v>
      </c>
      <c r="J1701" s="134">
        <f t="shared" si="78"/>
        <v>10000</v>
      </c>
      <c r="K1701" s="135"/>
      <c r="L1701" s="136" t="str">
        <f t="shared" si="80"/>
        <v>مدين</v>
      </c>
      <c r="M1701" s="137" t="str">
        <f>IF(ISERROR(VLOOKUP(C1701,'[1]خريطة الحسابات'!_xlnm.Print_Area,4,FALSE))," ",(VLOOKUP(C1701,'[1]خريطة الحسابات'!_xlnm.Print_Area,4,FALSE)))</f>
        <v>تكاليف مشروع ياسر القرنفل 354</v>
      </c>
      <c r="N1701" s="138" t="str">
        <f>IF(ISERROR(VLOOKUP(C1701,'[1]خريطة الحسابات'!_xlnm.Print_Area,5,FALSE))," ",(VLOOKUP(C1701,'[1]خريطة الحسابات'!_xlnm.Print_Area,5,FALSE)))</f>
        <v xml:space="preserve">تكاليف العمليات </v>
      </c>
      <c r="O1701" s="84" t="s">
        <v>2119</v>
      </c>
      <c r="P1701" s="84" t="s">
        <v>1393</v>
      </c>
    </row>
    <row r="1702" spans="1:16">
      <c r="A1702" s="104">
        <v>63</v>
      </c>
      <c r="B1702" s="131">
        <v>46163</v>
      </c>
      <c r="C1702" s="150">
        <v>20</v>
      </c>
      <c r="D1702" s="140" t="str">
        <f>IF(ISERROR(VLOOKUP(C1702,'[1]خريطة الحسابات'!_xlnm.Print_Area,3,FALSE))," ",(VLOOKUP(C1702,'[1]خريطة الحسابات'!_xlnm.Print_Area,3,FALSE)))</f>
        <v xml:space="preserve">الخزينة </v>
      </c>
      <c r="E1702" s="142"/>
      <c r="F1702" s="133"/>
      <c r="G1702" s="133">
        <v>1700</v>
      </c>
      <c r="H1702" s="134">
        <f t="shared" si="79"/>
        <v>0</v>
      </c>
      <c r="I1702" s="134">
        <f t="shared" si="79"/>
        <v>1700</v>
      </c>
      <c r="J1702" s="134">
        <f t="shared" si="78"/>
        <v>-1700</v>
      </c>
      <c r="K1702" s="135"/>
      <c r="L1702" s="136" t="str">
        <f t="shared" si="80"/>
        <v>دائن</v>
      </c>
      <c r="M1702" s="137" t="str">
        <f>IF(ISERROR(VLOOKUP(C1702,'[1]خريطة الحسابات'!_xlnm.Print_Area,4,FALSE))," ",(VLOOKUP(C1702,'[1]خريطة الحسابات'!_xlnm.Print_Area,4,FALSE)))</f>
        <v xml:space="preserve">أصول متداوله -النقدية ومافي حكمها </v>
      </c>
      <c r="N1702" s="138" t="str">
        <f>IF(ISERROR(VLOOKUP(C1702,'[1]خريطة الحسابات'!_xlnm.Print_Area,5,FALSE))," ",(VLOOKUP(C1702,'[1]خريطة الحسابات'!_xlnm.Print_Area,5,FALSE)))</f>
        <v>الاصول</v>
      </c>
      <c r="O1702" s="84" t="s">
        <v>2028</v>
      </c>
      <c r="P1702" s="84" t="s">
        <v>2029</v>
      </c>
    </row>
    <row r="1703" spans="1:16">
      <c r="A1703" s="104">
        <v>63</v>
      </c>
      <c r="B1703" s="131">
        <v>46133</v>
      </c>
      <c r="C1703" s="150">
        <v>20</v>
      </c>
      <c r="D1703" s="140" t="str">
        <f>IF(ISERROR(VLOOKUP(C1703,'[1]خريطة الحسابات'!_xlnm.Print_Area,3,FALSE))," ",(VLOOKUP(C1703,'[1]خريطة الحسابات'!_xlnm.Print_Area,3,FALSE)))</f>
        <v xml:space="preserve">الخزينة </v>
      </c>
      <c r="E1703" s="142"/>
      <c r="F1703" s="133"/>
      <c r="G1703" s="133">
        <v>141138</v>
      </c>
      <c r="H1703" s="134">
        <f t="shared" si="79"/>
        <v>0</v>
      </c>
      <c r="I1703" s="134">
        <f t="shared" si="79"/>
        <v>141138</v>
      </c>
      <c r="J1703" s="134">
        <f t="shared" si="78"/>
        <v>-141138</v>
      </c>
      <c r="K1703" s="135"/>
      <c r="L1703" s="136" t="str">
        <f t="shared" si="80"/>
        <v>دائن</v>
      </c>
      <c r="M1703" s="137" t="str">
        <f>IF(ISERROR(VLOOKUP(C1703,'[1]خريطة الحسابات'!_xlnm.Print_Area,4,FALSE))," ",(VLOOKUP(C1703,'[1]خريطة الحسابات'!_xlnm.Print_Area,4,FALSE)))</f>
        <v xml:space="preserve">أصول متداوله -النقدية ومافي حكمها </v>
      </c>
      <c r="N1703" s="138" t="str">
        <f>IF(ISERROR(VLOOKUP(C1703,'[1]خريطة الحسابات'!_xlnm.Print_Area,5,FALSE))," ",(VLOOKUP(C1703,'[1]خريطة الحسابات'!_xlnm.Print_Area,5,FALSE)))</f>
        <v>الاصول</v>
      </c>
      <c r="O1703" s="84" t="s">
        <v>2030</v>
      </c>
      <c r="P1703" s="84" t="s">
        <v>1345</v>
      </c>
    </row>
    <row r="1704" spans="1:16">
      <c r="A1704" s="104">
        <v>63</v>
      </c>
      <c r="B1704" s="131">
        <v>46154</v>
      </c>
      <c r="C1704" s="150">
        <v>20</v>
      </c>
      <c r="D1704" s="140" t="str">
        <f>IF(ISERROR(VLOOKUP(C1704,'[1]خريطة الحسابات'!_xlnm.Print_Area,3,FALSE))," ",(VLOOKUP(C1704,'[1]خريطة الحسابات'!_xlnm.Print_Area,3,FALSE)))</f>
        <v xml:space="preserve">الخزينة </v>
      </c>
      <c r="E1704" s="142"/>
      <c r="F1704" s="133"/>
      <c r="G1704" s="133">
        <v>2500</v>
      </c>
      <c r="H1704" s="134">
        <f t="shared" si="79"/>
        <v>0</v>
      </c>
      <c r="I1704" s="134">
        <f t="shared" si="79"/>
        <v>2500</v>
      </c>
      <c r="J1704" s="134">
        <f t="shared" si="78"/>
        <v>-2500</v>
      </c>
      <c r="K1704" s="135"/>
      <c r="L1704" s="136" t="str">
        <f t="shared" si="80"/>
        <v>دائن</v>
      </c>
      <c r="M1704" s="137" t="str">
        <f>IF(ISERROR(VLOOKUP(C1704,'[1]خريطة الحسابات'!_xlnm.Print_Area,4,FALSE))," ",(VLOOKUP(C1704,'[1]خريطة الحسابات'!_xlnm.Print_Area,4,FALSE)))</f>
        <v xml:space="preserve">أصول متداوله -النقدية ومافي حكمها </v>
      </c>
      <c r="N1704" s="138" t="str">
        <f>IF(ISERROR(VLOOKUP(C1704,'[1]خريطة الحسابات'!_xlnm.Print_Area,5,FALSE))," ",(VLOOKUP(C1704,'[1]خريطة الحسابات'!_xlnm.Print_Area,5,FALSE)))</f>
        <v>الاصول</v>
      </c>
      <c r="O1704" s="84" t="s">
        <v>2031</v>
      </c>
      <c r="P1704" s="84" t="s">
        <v>1345</v>
      </c>
    </row>
    <row r="1705" spans="1:16">
      <c r="A1705" s="104">
        <v>63</v>
      </c>
      <c r="B1705" s="131">
        <v>46147</v>
      </c>
      <c r="C1705" s="150">
        <v>20</v>
      </c>
      <c r="D1705" s="140" t="str">
        <f>IF(ISERROR(VLOOKUP(C1705,'[1]خريطة الحسابات'!_xlnm.Print_Area,3,FALSE))," ",(VLOOKUP(C1705,'[1]خريطة الحسابات'!_xlnm.Print_Area,3,FALSE)))</f>
        <v xml:space="preserve">الخزينة </v>
      </c>
      <c r="E1705" s="142"/>
      <c r="F1705" s="133"/>
      <c r="G1705" s="133">
        <v>68050</v>
      </c>
      <c r="H1705" s="134">
        <f t="shared" si="79"/>
        <v>0</v>
      </c>
      <c r="I1705" s="134">
        <f t="shared" si="79"/>
        <v>68050</v>
      </c>
      <c r="J1705" s="134">
        <f t="shared" si="78"/>
        <v>-68050</v>
      </c>
      <c r="K1705" s="135"/>
      <c r="L1705" s="136" t="str">
        <f t="shared" si="80"/>
        <v>دائن</v>
      </c>
      <c r="M1705" s="137" t="str">
        <f>IF(ISERROR(VLOOKUP(C1705,'[1]خريطة الحسابات'!_xlnm.Print_Area,4,FALSE))," ",(VLOOKUP(C1705,'[1]خريطة الحسابات'!_xlnm.Print_Area,4,FALSE)))</f>
        <v xml:space="preserve">أصول متداوله -النقدية ومافي حكمها </v>
      </c>
      <c r="N1705" s="138" t="str">
        <f>IF(ISERROR(VLOOKUP(C1705,'[1]خريطة الحسابات'!_xlnm.Print_Area,5,FALSE))," ",(VLOOKUP(C1705,'[1]خريطة الحسابات'!_xlnm.Print_Area,5,FALSE)))</f>
        <v>الاصول</v>
      </c>
      <c r="O1705" s="84" t="s">
        <v>2032</v>
      </c>
      <c r="P1705" s="84" t="s">
        <v>1340</v>
      </c>
    </row>
    <row r="1706" spans="1:16">
      <c r="A1706" s="104">
        <v>63</v>
      </c>
      <c r="B1706" s="131">
        <v>46039</v>
      </c>
      <c r="C1706" s="150">
        <v>20</v>
      </c>
      <c r="D1706" s="140" t="str">
        <f>IF(ISERROR(VLOOKUP(C1706,'[1]خريطة الحسابات'!_xlnm.Print_Area,3,FALSE))," ",(VLOOKUP(C1706,'[1]خريطة الحسابات'!_xlnm.Print_Area,3,FALSE)))</f>
        <v xml:space="preserve">الخزينة </v>
      </c>
      <c r="E1706" s="142"/>
      <c r="F1706" s="133"/>
      <c r="G1706" s="133">
        <v>72255</v>
      </c>
      <c r="H1706" s="134">
        <f t="shared" si="79"/>
        <v>0</v>
      </c>
      <c r="I1706" s="134">
        <f t="shared" si="79"/>
        <v>72255</v>
      </c>
      <c r="J1706" s="134">
        <f t="shared" si="78"/>
        <v>-72255</v>
      </c>
      <c r="K1706" s="135"/>
      <c r="L1706" s="136" t="str">
        <f t="shared" si="80"/>
        <v>دائن</v>
      </c>
      <c r="M1706" s="137" t="str">
        <f>IF(ISERROR(VLOOKUP(C1706,'[1]خريطة الحسابات'!_xlnm.Print_Area,4,FALSE))," ",(VLOOKUP(C1706,'[1]خريطة الحسابات'!_xlnm.Print_Area,4,FALSE)))</f>
        <v xml:space="preserve">أصول متداوله -النقدية ومافي حكمها </v>
      </c>
      <c r="N1706" s="138" t="str">
        <f>IF(ISERROR(VLOOKUP(C1706,'[1]خريطة الحسابات'!_xlnm.Print_Area,5,FALSE))," ",(VLOOKUP(C1706,'[1]خريطة الحسابات'!_xlnm.Print_Area,5,FALSE)))</f>
        <v>الاصول</v>
      </c>
      <c r="O1706" s="84" t="s">
        <v>2033</v>
      </c>
      <c r="P1706" s="84" t="s">
        <v>1299</v>
      </c>
    </row>
    <row r="1707" spans="1:16">
      <c r="A1707" s="104">
        <v>63</v>
      </c>
      <c r="B1707" s="131">
        <v>46046</v>
      </c>
      <c r="C1707" s="150">
        <v>20</v>
      </c>
      <c r="D1707" s="140" t="str">
        <f>IF(ISERROR(VLOOKUP(C1707,'[1]خريطة الحسابات'!_xlnm.Print_Area,3,FALSE))," ",(VLOOKUP(C1707,'[1]خريطة الحسابات'!_xlnm.Print_Area,3,FALSE)))</f>
        <v xml:space="preserve">الخزينة </v>
      </c>
      <c r="E1707" s="142"/>
      <c r="F1707" s="133"/>
      <c r="G1707" s="133">
        <v>1232</v>
      </c>
      <c r="H1707" s="134">
        <f t="shared" si="79"/>
        <v>0</v>
      </c>
      <c r="I1707" s="134">
        <f t="shared" si="79"/>
        <v>1232</v>
      </c>
      <c r="J1707" s="134">
        <f t="shared" si="78"/>
        <v>-1232</v>
      </c>
      <c r="K1707" s="135"/>
      <c r="L1707" s="136" t="str">
        <f t="shared" si="80"/>
        <v>دائن</v>
      </c>
      <c r="M1707" s="137" t="str">
        <f>IF(ISERROR(VLOOKUP(C1707,'[1]خريطة الحسابات'!_xlnm.Print_Area,4,FALSE))," ",(VLOOKUP(C1707,'[1]خريطة الحسابات'!_xlnm.Print_Area,4,FALSE)))</f>
        <v xml:space="preserve">أصول متداوله -النقدية ومافي حكمها </v>
      </c>
      <c r="N1707" s="138" t="str">
        <f>IF(ISERROR(VLOOKUP(C1707,'[1]خريطة الحسابات'!_xlnm.Print_Area,5,FALSE))," ",(VLOOKUP(C1707,'[1]خريطة الحسابات'!_xlnm.Print_Area,5,FALSE)))</f>
        <v>الاصول</v>
      </c>
      <c r="O1707" s="84" t="s">
        <v>2034</v>
      </c>
      <c r="P1707" s="84" t="s">
        <v>1299</v>
      </c>
    </row>
    <row r="1708" spans="1:16">
      <c r="A1708" s="104">
        <v>63</v>
      </c>
      <c r="B1708" s="131">
        <v>46051</v>
      </c>
      <c r="C1708" s="150">
        <v>20</v>
      </c>
      <c r="D1708" s="140" t="str">
        <f>IF(ISERROR(VLOOKUP(C1708,'[1]خريطة الحسابات'!_xlnm.Print_Area,3,FALSE))," ",(VLOOKUP(C1708,'[1]خريطة الحسابات'!_xlnm.Print_Area,3,FALSE)))</f>
        <v xml:space="preserve">الخزينة </v>
      </c>
      <c r="E1708" s="142"/>
      <c r="F1708" s="133"/>
      <c r="G1708" s="133">
        <v>270</v>
      </c>
      <c r="H1708" s="134">
        <f t="shared" si="79"/>
        <v>0</v>
      </c>
      <c r="I1708" s="134">
        <f t="shared" si="79"/>
        <v>270</v>
      </c>
      <c r="J1708" s="134">
        <f t="shared" si="78"/>
        <v>-270</v>
      </c>
      <c r="K1708" s="135"/>
      <c r="L1708" s="136" t="str">
        <f t="shared" si="80"/>
        <v>دائن</v>
      </c>
      <c r="M1708" s="137" t="str">
        <f>IF(ISERROR(VLOOKUP(C1708,'[1]خريطة الحسابات'!_xlnm.Print_Area,4,FALSE))," ",(VLOOKUP(C1708,'[1]خريطة الحسابات'!_xlnm.Print_Area,4,FALSE)))</f>
        <v xml:space="preserve">أصول متداوله -النقدية ومافي حكمها </v>
      </c>
      <c r="N1708" s="138" t="str">
        <f>IF(ISERROR(VLOOKUP(C1708,'[1]خريطة الحسابات'!_xlnm.Print_Area,5,FALSE))," ",(VLOOKUP(C1708,'[1]خريطة الحسابات'!_xlnm.Print_Area,5,FALSE)))</f>
        <v>الاصول</v>
      </c>
      <c r="O1708" s="84" t="s">
        <v>2035</v>
      </c>
      <c r="P1708" s="84" t="s">
        <v>1299</v>
      </c>
    </row>
    <row r="1709" spans="1:16">
      <c r="A1709" s="104">
        <v>63</v>
      </c>
      <c r="B1709" s="131">
        <v>46060</v>
      </c>
      <c r="C1709" s="150">
        <v>20</v>
      </c>
      <c r="D1709" s="140" t="str">
        <f>IF(ISERROR(VLOOKUP(C1709,'[1]خريطة الحسابات'!_xlnm.Print_Area,3,FALSE))," ",(VLOOKUP(C1709,'[1]خريطة الحسابات'!_xlnm.Print_Area,3,FALSE)))</f>
        <v xml:space="preserve">الخزينة </v>
      </c>
      <c r="E1709" s="142"/>
      <c r="F1709" s="133"/>
      <c r="G1709" s="133">
        <v>255</v>
      </c>
      <c r="H1709" s="134">
        <f t="shared" si="79"/>
        <v>0</v>
      </c>
      <c r="I1709" s="134">
        <f t="shared" si="79"/>
        <v>255</v>
      </c>
      <c r="J1709" s="134">
        <f t="shared" si="78"/>
        <v>-255</v>
      </c>
      <c r="K1709" s="135"/>
      <c r="L1709" s="136" t="str">
        <f t="shared" si="80"/>
        <v>دائن</v>
      </c>
      <c r="M1709" s="137" t="str">
        <f>IF(ISERROR(VLOOKUP(C1709,'[1]خريطة الحسابات'!_xlnm.Print_Area,4,FALSE))," ",(VLOOKUP(C1709,'[1]خريطة الحسابات'!_xlnm.Print_Area,4,FALSE)))</f>
        <v xml:space="preserve">أصول متداوله -النقدية ومافي حكمها </v>
      </c>
      <c r="N1709" s="138" t="str">
        <f>IF(ISERROR(VLOOKUP(C1709,'[1]خريطة الحسابات'!_xlnm.Print_Area,5,FALSE))," ",(VLOOKUP(C1709,'[1]خريطة الحسابات'!_xlnm.Print_Area,5,FALSE)))</f>
        <v>الاصول</v>
      </c>
      <c r="O1709" s="84" t="s">
        <v>2036</v>
      </c>
      <c r="P1709" s="84" t="s">
        <v>1299</v>
      </c>
    </row>
    <row r="1710" spans="1:16">
      <c r="A1710" s="104">
        <v>63</v>
      </c>
      <c r="B1710" s="131">
        <v>46062</v>
      </c>
      <c r="C1710" s="150">
        <v>20</v>
      </c>
      <c r="D1710" s="140" t="str">
        <f>IF(ISERROR(VLOOKUP(C1710,'[1]خريطة الحسابات'!_xlnm.Print_Area,3,FALSE))," ",(VLOOKUP(C1710,'[1]خريطة الحسابات'!_xlnm.Print_Area,3,FALSE)))</f>
        <v xml:space="preserve">الخزينة </v>
      </c>
      <c r="E1710" s="142"/>
      <c r="F1710" s="133"/>
      <c r="G1710" s="133">
        <v>2043</v>
      </c>
      <c r="H1710" s="134">
        <f t="shared" si="79"/>
        <v>0</v>
      </c>
      <c r="I1710" s="134">
        <f t="shared" si="79"/>
        <v>2043</v>
      </c>
      <c r="J1710" s="134">
        <f t="shared" si="78"/>
        <v>-2043</v>
      </c>
      <c r="K1710" s="135"/>
      <c r="L1710" s="136" t="str">
        <f t="shared" si="80"/>
        <v>دائن</v>
      </c>
      <c r="M1710" s="137" t="str">
        <f>IF(ISERROR(VLOOKUP(C1710,'[1]خريطة الحسابات'!_xlnm.Print_Area,4,FALSE))," ",(VLOOKUP(C1710,'[1]خريطة الحسابات'!_xlnm.Print_Area,4,FALSE)))</f>
        <v xml:space="preserve">أصول متداوله -النقدية ومافي حكمها </v>
      </c>
      <c r="N1710" s="138" t="str">
        <f>IF(ISERROR(VLOOKUP(C1710,'[1]خريطة الحسابات'!_xlnm.Print_Area,5,FALSE))," ",(VLOOKUP(C1710,'[1]خريطة الحسابات'!_xlnm.Print_Area,5,FALSE)))</f>
        <v>الاصول</v>
      </c>
      <c r="O1710" s="84" t="s">
        <v>2037</v>
      </c>
      <c r="P1710" s="84" t="s">
        <v>1299</v>
      </c>
    </row>
    <row r="1711" spans="1:16">
      <c r="A1711" s="104">
        <v>63</v>
      </c>
      <c r="B1711" s="131">
        <v>46063</v>
      </c>
      <c r="C1711" s="150">
        <v>20</v>
      </c>
      <c r="D1711" s="140" t="str">
        <f>IF(ISERROR(VLOOKUP(C1711,'[1]خريطة الحسابات'!_xlnm.Print_Area,3,FALSE))," ",(VLOOKUP(C1711,'[1]خريطة الحسابات'!_xlnm.Print_Area,3,FALSE)))</f>
        <v xml:space="preserve">الخزينة </v>
      </c>
      <c r="E1711" s="142"/>
      <c r="F1711" s="133"/>
      <c r="G1711" s="133">
        <v>855</v>
      </c>
      <c r="H1711" s="134">
        <f t="shared" si="79"/>
        <v>0</v>
      </c>
      <c r="I1711" s="134">
        <f t="shared" si="79"/>
        <v>855</v>
      </c>
      <c r="J1711" s="134">
        <f t="shared" si="78"/>
        <v>-855</v>
      </c>
      <c r="K1711" s="135"/>
      <c r="L1711" s="136" t="str">
        <f t="shared" si="80"/>
        <v>دائن</v>
      </c>
      <c r="M1711" s="137" t="str">
        <f>IF(ISERROR(VLOOKUP(C1711,'[1]خريطة الحسابات'!_xlnm.Print_Area,4,FALSE))," ",(VLOOKUP(C1711,'[1]خريطة الحسابات'!_xlnm.Print_Area,4,FALSE)))</f>
        <v xml:space="preserve">أصول متداوله -النقدية ومافي حكمها </v>
      </c>
      <c r="N1711" s="138" t="str">
        <f>IF(ISERROR(VLOOKUP(C1711,'[1]خريطة الحسابات'!_xlnm.Print_Area,5,FALSE))," ",(VLOOKUP(C1711,'[1]خريطة الحسابات'!_xlnm.Print_Area,5,FALSE)))</f>
        <v>الاصول</v>
      </c>
      <c r="O1711" s="84" t="s">
        <v>2038</v>
      </c>
      <c r="P1711" s="84" t="s">
        <v>1299</v>
      </c>
    </row>
    <row r="1712" spans="1:16">
      <c r="A1712" s="104">
        <v>63</v>
      </c>
      <c r="B1712" s="131">
        <v>46079</v>
      </c>
      <c r="C1712" s="150">
        <v>20</v>
      </c>
      <c r="D1712" s="140" t="str">
        <f>IF(ISERROR(VLOOKUP(C1712,'[1]خريطة الحسابات'!_xlnm.Print_Area,3,FALSE))," ",(VLOOKUP(C1712,'[1]خريطة الحسابات'!_xlnm.Print_Area,3,FALSE)))</f>
        <v xml:space="preserve">الخزينة </v>
      </c>
      <c r="E1712" s="142"/>
      <c r="F1712" s="133"/>
      <c r="G1712" s="133">
        <v>355</v>
      </c>
      <c r="H1712" s="134">
        <f t="shared" si="79"/>
        <v>0</v>
      </c>
      <c r="I1712" s="134">
        <f t="shared" si="79"/>
        <v>355</v>
      </c>
      <c r="J1712" s="134">
        <f t="shared" si="78"/>
        <v>-355</v>
      </c>
      <c r="K1712" s="135"/>
      <c r="L1712" s="136" t="str">
        <f t="shared" si="80"/>
        <v>دائن</v>
      </c>
      <c r="M1712" s="137" t="str">
        <f>IF(ISERROR(VLOOKUP(C1712,'[1]خريطة الحسابات'!_xlnm.Print_Area,4,FALSE))," ",(VLOOKUP(C1712,'[1]خريطة الحسابات'!_xlnm.Print_Area,4,FALSE)))</f>
        <v xml:space="preserve">أصول متداوله -النقدية ومافي حكمها </v>
      </c>
      <c r="N1712" s="138" t="str">
        <f>IF(ISERROR(VLOOKUP(C1712,'[1]خريطة الحسابات'!_xlnm.Print_Area,5,FALSE))," ",(VLOOKUP(C1712,'[1]خريطة الحسابات'!_xlnm.Print_Area,5,FALSE)))</f>
        <v>الاصول</v>
      </c>
      <c r="O1712" s="84" t="s">
        <v>2039</v>
      </c>
      <c r="P1712" s="84" t="s">
        <v>1299</v>
      </c>
    </row>
    <row r="1713" spans="1:16">
      <c r="A1713" s="104">
        <v>63</v>
      </c>
      <c r="B1713" s="131">
        <v>46046</v>
      </c>
      <c r="C1713" s="150">
        <v>20</v>
      </c>
      <c r="D1713" s="140" t="str">
        <f>IF(ISERROR(VLOOKUP(C1713,'[1]خريطة الحسابات'!_xlnm.Print_Area,3,FALSE))," ",(VLOOKUP(C1713,'[1]خريطة الحسابات'!_xlnm.Print_Area,3,FALSE)))</f>
        <v xml:space="preserve">الخزينة </v>
      </c>
      <c r="E1713" s="142"/>
      <c r="F1713" s="133"/>
      <c r="G1713" s="133">
        <v>1200</v>
      </c>
      <c r="H1713" s="134">
        <f t="shared" si="79"/>
        <v>0</v>
      </c>
      <c r="I1713" s="134">
        <f t="shared" si="79"/>
        <v>1200</v>
      </c>
      <c r="J1713" s="134">
        <f t="shared" si="78"/>
        <v>-1200</v>
      </c>
      <c r="K1713" s="135"/>
      <c r="L1713" s="136" t="str">
        <f t="shared" si="80"/>
        <v>دائن</v>
      </c>
      <c r="M1713" s="137" t="str">
        <f>IF(ISERROR(VLOOKUP(C1713,'[1]خريطة الحسابات'!_xlnm.Print_Area,4,FALSE))," ",(VLOOKUP(C1713,'[1]خريطة الحسابات'!_xlnm.Print_Area,4,FALSE)))</f>
        <v xml:space="preserve">أصول متداوله -النقدية ومافي حكمها </v>
      </c>
      <c r="N1713" s="138" t="str">
        <f>IF(ISERROR(VLOOKUP(C1713,'[1]خريطة الحسابات'!_xlnm.Print_Area,5,FALSE))," ",(VLOOKUP(C1713,'[1]خريطة الحسابات'!_xlnm.Print_Area,5,FALSE)))</f>
        <v>الاصول</v>
      </c>
      <c r="O1713" s="84" t="s">
        <v>2040</v>
      </c>
      <c r="P1713" s="84" t="s">
        <v>1304</v>
      </c>
    </row>
    <row r="1714" spans="1:16">
      <c r="A1714" s="104">
        <v>63</v>
      </c>
      <c r="B1714" s="131">
        <v>46060</v>
      </c>
      <c r="C1714" s="150">
        <v>20</v>
      </c>
      <c r="D1714" s="140" t="str">
        <f>IF(ISERROR(VLOOKUP(C1714,'[1]خريطة الحسابات'!_xlnm.Print_Area,3,FALSE))," ",(VLOOKUP(C1714,'[1]خريطة الحسابات'!_xlnm.Print_Area,3,FALSE)))</f>
        <v xml:space="preserve">الخزينة </v>
      </c>
      <c r="E1714" s="142"/>
      <c r="F1714" s="133"/>
      <c r="G1714" s="133">
        <v>1541</v>
      </c>
      <c r="H1714" s="134">
        <f t="shared" si="79"/>
        <v>0</v>
      </c>
      <c r="I1714" s="134">
        <f t="shared" si="79"/>
        <v>1541</v>
      </c>
      <c r="J1714" s="134">
        <f t="shared" si="78"/>
        <v>-1541</v>
      </c>
      <c r="K1714" s="135"/>
      <c r="L1714" s="136" t="str">
        <f t="shared" si="80"/>
        <v>دائن</v>
      </c>
      <c r="M1714" s="137" t="str">
        <f>IF(ISERROR(VLOOKUP(C1714,'[1]خريطة الحسابات'!_xlnm.Print_Area,4,FALSE))," ",(VLOOKUP(C1714,'[1]خريطة الحسابات'!_xlnm.Print_Area,4,FALSE)))</f>
        <v xml:space="preserve">أصول متداوله -النقدية ومافي حكمها </v>
      </c>
      <c r="N1714" s="138" t="str">
        <f>IF(ISERROR(VLOOKUP(C1714,'[1]خريطة الحسابات'!_xlnm.Print_Area,5,FALSE))," ",(VLOOKUP(C1714,'[1]خريطة الحسابات'!_xlnm.Print_Area,5,FALSE)))</f>
        <v>الاصول</v>
      </c>
      <c r="O1714" s="84" t="s">
        <v>2041</v>
      </c>
      <c r="P1714" s="84" t="s">
        <v>1304</v>
      </c>
    </row>
    <row r="1715" spans="1:16">
      <c r="A1715" s="104">
        <v>63</v>
      </c>
      <c r="B1715" s="131">
        <v>46082</v>
      </c>
      <c r="C1715" s="150">
        <v>20</v>
      </c>
      <c r="D1715" s="140" t="str">
        <f>IF(ISERROR(VLOOKUP(C1715,'[1]خريطة الحسابات'!_xlnm.Print_Area,3,FALSE))," ",(VLOOKUP(C1715,'[1]خريطة الحسابات'!_xlnm.Print_Area,3,FALSE)))</f>
        <v xml:space="preserve">الخزينة </v>
      </c>
      <c r="E1715" s="142"/>
      <c r="F1715" s="133"/>
      <c r="G1715" s="133">
        <v>250</v>
      </c>
      <c r="H1715" s="134">
        <f t="shared" si="79"/>
        <v>0</v>
      </c>
      <c r="I1715" s="134">
        <f t="shared" si="79"/>
        <v>250</v>
      </c>
      <c r="J1715" s="134">
        <f t="shared" si="78"/>
        <v>-250</v>
      </c>
      <c r="K1715" s="135"/>
      <c r="L1715" s="136" t="str">
        <f t="shared" si="80"/>
        <v>دائن</v>
      </c>
      <c r="M1715" s="137" t="str">
        <f>IF(ISERROR(VLOOKUP(C1715,'[1]خريطة الحسابات'!_xlnm.Print_Area,4,FALSE))," ",(VLOOKUP(C1715,'[1]خريطة الحسابات'!_xlnm.Print_Area,4,FALSE)))</f>
        <v xml:space="preserve">أصول متداوله -النقدية ومافي حكمها </v>
      </c>
      <c r="N1715" s="138" t="str">
        <f>IF(ISERROR(VLOOKUP(C1715,'[1]خريطة الحسابات'!_xlnm.Print_Area,5,FALSE))," ",(VLOOKUP(C1715,'[1]خريطة الحسابات'!_xlnm.Print_Area,5,FALSE)))</f>
        <v>الاصول</v>
      </c>
      <c r="O1715" s="84" t="s">
        <v>2042</v>
      </c>
      <c r="P1715" s="84" t="s">
        <v>1304</v>
      </c>
    </row>
    <row r="1716" spans="1:16">
      <c r="A1716" s="104">
        <v>63</v>
      </c>
      <c r="B1716" s="131">
        <v>46097</v>
      </c>
      <c r="C1716" s="150">
        <v>20</v>
      </c>
      <c r="D1716" s="140" t="str">
        <f>IF(ISERROR(VLOOKUP(C1716,'[1]خريطة الحسابات'!_xlnm.Print_Area,3,FALSE))," ",(VLOOKUP(C1716,'[1]خريطة الحسابات'!_xlnm.Print_Area,3,FALSE)))</f>
        <v xml:space="preserve">الخزينة </v>
      </c>
      <c r="E1716" s="142"/>
      <c r="F1716" s="133"/>
      <c r="G1716" s="133">
        <v>2220</v>
      </c>
      <c r="H1716" s="134">
        <f t="shared" si="79"/>
        <v>0</v>
      </c>
      <c r="I1716" s="134">
        <f t="shared" si="79"/>
        <v>2220</v>
      </c>
      <c r="J1716" s="134">
        <f t="shared" si="78"/>
        <v>-2220</v>
      </c>
      <c r="K1716" s="135"/>
      <c r="L1716" s="136" t="str">
        <f t="shared" si="80"/>
        <v>دائن</v>
      </c>
      <c r="M1716" s="137" t="str">
        <f>IF(ISERROR(VLOOKUP(C1716,'[1]خريطة الحسابات'!_xlnm.Print_Area,4,FALSE))," ",(VLOOKUP(C1716,'[1]خريطة الحسابات'!_xlnm.Print_Area,4,FALSE)))</f>
        <v xml:space="preserve">أصول متداوله -النقدية ومافي حكمها </v>
      </c>
      <c r="N1716" s="138" t="str">
        <f>IF(ISERROR(VLOOKUP(C1716,'[1]خريطة الحسابات'!_xlnm.Print_Area,5,FALSE))," ",(VLOOKUP(C1716,'[1]خريطة الحسابات'!_xlnm.Print_Area,5,FALSE)))</f>
        <v>الاصول</v>
      </c>
      <c r="O1716" s="84" t="s">
        <v>2043</v>
      </c>
      <c r="P1716" s="84" t="s">
        <v>1304</v>
      </c>
    </row>
    <row r="1717" spans="1:16">
      <c r="A1717" s="104">
        <v>63</v>
      </c>
      <c r="B1717" s="131">
        <v>46118</v>
      </c>
      <c r="C1717" s="150">
        <v>20</v>
      </c>
      <c r="D1717" s="140" t="str">
        <f>IF(ISERROR(VLOOKUP(C1717,'[1]خريطة الحسابات'!_xlnm.Print_Area,3,FALSE))," ",(VLOOKUP(C1717,'[1]خريطة الحسابات'!_xlnm.Print_Area,3,FALSE)))</f>
        <v xml:space="preserve">الخزينة </v>
      </c>
      <c r="E1717" s="142"/>
      <c r="F1717" s="133"/>
      <c r="G1717" s="133">
        <v>100</v>
      </c>
      <c r="H1717" s="134">
        <f t="shared" si="79"/>
        <v>0</v>
      </c>
      <c r="I1717" s="134">
        <f t="shared" si="79"/>
        <v>100</v>
      </c>
      <c r="J1717" s="134">
        <f t="shared" si="78"/>
        <v>-100</v>
      </c>
      <c r="K1717" s="135"/>
      <c r="L1717" s="136" t="str">
        <f t="shared" si="80"/>
        <v>دائن</v>
      </c>
      <c r="M1717" s="137" t="str">
        <f>IF(ISERROR(VLOOKUP(C1717,'[1]خريطة الحسابات'!_xlnm.Print_Area,4,FALSE))," ",(VLOOKUP(C1717,'[1]خريطة الحسابات'!_xlnm.Print_Area,4,FALSE)))</f>
        <v xml:space="preserve">أصول متداوله -النقدية ومافي حكمها </v>
      </c>
      <c r="N1717" s="138" t="str">
        <f>IF(ISERROR(VLOOKUP(C1717,'[1]خريطة الحسابات'!_xlnm.Print_Area,5,FALSE))," ",(VLOOKUP(C1717,'[1]خريطة الحسابات'!_xlnm.Print_Area,5,FALSE)))</f>
        <v>الاصول</v>
      </c>
      <c r="O1717" s="84" t="s">
        <v>2044</v>
      </c>
      <c r="P1717" s="84" t="s">
        <v>1304</v>
      </c>
    </row>
    <row r="1718" spans="1:16">
      <c r="A1718" s="104">
        <v>63</v>
      </c>
      <c r="B1718" s="131">
        <v>46030</v>
      </c>
      <c r="C1718" s="150">
        <v>20</v>
      </c>
      <c r="D1718" s="140" t="str">
        <f>IF(ISERROR(VLOOKUP(C1718,'[1]خريطة الحسابات'!_xlnm.Print_Area,3,FALSE))," ",(VLOOKUP(C1718,'[1]خريطة الحسابات'!_xlnm.Print_Area,3,FALSE)))</f>
        <v xml:space="preserve">الخزينة </v>
      </c>
      <c r="E1718" s="142"/>
      <c r="F1718" s="133"/>
      <c r="G1718" s="133">
        <v>14014</v>
      </c>
      <c r="H1718" s="134">
        <f t="shared" si="79"/>
        <v>0</v>
      </c>
      <c r="I1718" s="134">
        <f t="shared" si="79"/>
        <v>14014</v>
      </c>
      <c r="J1718" s="134">
        <f t="shared" si="78"/>
        <v>-14014</v>
      </c>
      <c r="K1718" s="135"/>
      <c r="L1718" s="136" t="str">
        <f t="shared" si="80"/>
        <v>دائن</v>
      </c>
      <c r="M1718" s="137" t="str">
        <f>IF(ISERROR(VLOOKUP(C1718,'[1]خريطة الحسابات'!_xlnm.Print_Area,4,FALSE))," ",(VLOOKUP(C1718,'[1]خريطة الحسابات'!_xlnm.Print_Area,4,FALSE)))</f>
        <v xml:space="preserve">أصول متداوله -النقدية ومافي حكمها </v>
      </c>
      <c r="N1718" s="138" t="str">
        <f>IF(ISERROR(VLOOKUP(C1718,'[1]خريطة الحسابات'!_xlnm.Print_Area,5,FALSE))," ",(VLOOKUP(C1718,'[1]خريطة الحسابات'!_xlnm.Print_Area,5,FALSE)))</f>
        <v>الاصول</v>
      </c>
      <c r="O1718" s="84" t="s">
        <v>2045</v>
      </c>
      <c r="P1718" s="84" t="s">
        <v>1292</v>
      </c>
    </row>
    <row r="1719" spans="1:16">
      <c r="A1719" s="104">
        <v>63</v>
      </c>
      <c r="B1719" s="131">
        <v>46112</v>
      </c>
      <c r="C1719" s="150">
        <v>20</v>
      </c>
      <c r="D1719" s="140" t="str">
        <f>IF(ISERROR(VLOOKUP(C1719,'[1]خريطة الحسابات'!_xlnm.Print_Area,3,FALSE))," ",(VLOOKUP(C1719,'[1]خريطة الحسابات'!_xlnm.Print_Area,3,FALSE)))</f>
        <v xml:space="preserve">الخزينة </v>
      </c>
      <c r="E1719" s="142"/>
      <c r="F1719" s="133"/>
      <c r="G1719" s="133">
        <v>9500</v>
      </c>
      <c r="H1719" s="134">
        <f t="shared" si="79"/>
        <v>0</v>
      </c>
      <c r="I1719" s="134">
        <f t="shared" si="79"/>
        <v>9500</v>
      </c>
      <c r="J1719" s="134">
        <f t="shared" si="78"/>
        <v>-9500</v>
      </c>
      <c r="K1719" s="135"/>
      <c r="L1719" s="136" t="str">
        <f t="shared" si="80"/>
        <v>دائن</v>
      </c>
      <c r="M1719" s="137" t="str">
        <f>IF(ISERROR(VLOOKUP(C1719,'[1]خريطة الحسابات'!_xlnm.Print_Area,4,FALSE))," ",(VLOOKUP(C1719,'[1]خريطة الحسابات'!_xlnm.Print_Area,4,FALSE)))</f>
        <v xml:space="preserve">أصول متداوله -النقدية ومافي حكمها </v>
      </c>
      <c r="N1719" s="138" t="str">
        <f>IF(ISERROR(VLOOKUP(C1719,'[1]خريطة الحسابات'!_xlnm.Print_Area,5,FALSE))," ",(VLOOKUP(C1719,'[1]خريطة الحسابات'!_xlnm.Print_Area,5,FALSE)))</f>
        <v>الاصول</v>
      </c>
      <c r="O1719" s="84" t="s">
        <v>2046</v>
      </c>
      <c r="P1719" s="84" t="s">
        <v>1292</v>
      </c>
    </row>
    <row r="1720" spans="1:16">
      <c r="A1720" s="104">
        <v>63</v>
      </c>
      <c r="B1720" s="131">
        <v>46121</v>
      </c>
      <c r="C1720" s="150">
        <v>20</v>
      </c>
      <c r="D1720" s="140" t="str">
        <f>IF(ISERROR(VLOOKUP(C1720,'[1]خريطة الحسابات'!_xlnm.Print_Area,3,FALSE))," ",(VLOOKUP(C1720,'[1]خريطة الحسابات'!_xlnm.Print_Area,3,FALSE)))</f>
        <v xml:space="preserve">الخزينة </v>
      </c>
      <c r="E1720" s="142"/>
      <c r="F1720" s="133"/>
      <c r="G1720" s="133">
        <v>128640</v>
      </c>
      <c r="H1720" s="134">
        <f t="shared" si="79"/>
        <v>0</v>
      </c>
      <c r="I1720" s="134">
        <f t="shared" si="79"/>
        <v>128640</v>
      </c>
      <c r="J1720" s="134">
        <f t="shared" si="78"/>
        <v>-128640</v>
      </c>
      <c r="K1720" s="135"/>
      <c r="L1720" s="136" t="str">
        <f t="shared" si="80"/>
        <v>دائن</v>
      </c>
      <c r="M1720" s="137" t="str">
        <f>IF(ISERROR(VLOOKUP(C1720,'[1]خريطة الحسابات'!_xlnm.Print_Area,4,FALSE))," ",(VLOOKUP(C1720,'[1]خريطة الحسابات'!_xlnm.Print_Area,4,FALSE)))</f>
        <v xml:space="preserve">أصول متداوله -النقدية ومافي حكمها </v>
      </c>
      <c r="N1720" s="138" t="str">
        <f>IF(ISERROR(VLOOKUP(C1720,'[1]خريطة الحسابات'!_xlnm.Print_Area,5,FALSE))," ",(VLOOKUP(C1720,'[1]خريطة الحسابات'!_xlnm.Print_Area,5,FALSE)))</f>
        <v>الاصول</v>
      </c>
      <c r="O1720" s="84" t="s">
        <v>2047</v>
      </c>
      <c r="P1720" s="84" t="s">
        <v>1292</v>
      </c>
    </row>
    <row r="1721" spans="1:16">
      <c r="A1721" s="104">
        <v>63</v>
      </c>
      <c r="B1721" s="131">
        <v>46133</v>
      </c>
      <c r="C1721" s="150">
        <v>20</v>
      </c>
      <c r="D1721" s="140" t="str">
        <f>IF(ISERROR(VLOOKUP(C1721,'[1]خريطة الحسابات'!_xlnm.Print_Area,3,FALSE))," ",(VLOOKUP(C1721,'[1]خريطة الحسابات'!_xlnm.Print_Area,3,FALSE)))</f>
        <v xml:space="preserve">الخزينة </v>
      </c>
      <c r="E1721" s="142"/>
      <c r="F1721" s="133"/>
      <c r="G1721" s="133">
        <v>635</v>
      </c>
      <c r="H1721" s="134">
        <f t="shared" si="79"/>
        <v>0</v>
      </c>
      <c r="I1721" s="134">
        <f t="shared" si="79"/>
        <v>635</v>
      </c>
      <c r="J1721" s="134">
        <f t="shared" si="78"/>
        <v>-635</v>
      </c>
      <c r="K1721" s="135"/>
      <c r="L1721" s="136" t="str">
        <f t="shared" si="80"/>
        <v>دائن</v>
      </c>
      <c r="M1721" s="137" t="str">
        <f>IF(ISERROR(VLOOKUP(C1721,'[1]خريطة الحسابات'!_xlnm.Print_Area,4,FALSE))," ",(VLOOKUP(C1721,'[1]خريطة الحسابات'!_xlnm.Print_Area,4,FALSE)))</f>
        <v xml:space="preserve">أصول متداوله -النقدية ومافي حكمها </v>
      </c>
      <c r="N1721" s="138" t="str">
        <f>IF(ISERROR(VLOOKUP(C1721,'[1]خريطة الحسابات'!_xlnm.Print_Area,5,FALSE))," ",(VLOOKUP(C1721,'[1]خريطة الحسابات'!_xlnm.Print_Area,5,FALSE)))</f>
        <v>الاصول</v>
      </c>
      <c r="O1721" s="84" t="s">
        <v>2048</v>
      </c>
      <c r="P1721" s="84" t="s">
        <v>1292</v>
      </c>
    </row>
    <row r="1722" spans="1:16">
      <c r="A1722" s="104">
        <v>63</v>
      </c>
      <c r="B1722" s="131">
        <v>46179</v>
      </c>
      <c r="C1722" s="150">
        <v>20</v>
      </c>
      <c r="D1722" s="140" t="str">
        <f>IF(ISERROR(VLOOKUP(C1722,'[1]خريطة الحسابات'!_xlnm.Print_Area,3,FALSE))," ",(VLOOKUP(C1722,'[1]خريطة الحسابات'!_xlnm.Print_Area,3,FALSE)))</f>
        <v xml:space="preserve">الخزينة </v>
      </c>
      <c r="E1722" s="142"/>
      <c r="F1722" s="133"/>
      <c r="G1722" s="133">
        <v>700</v>
      </c>
      <c r="H1722" s="134">
        <f t="shared" si="79"/>
        <v>0</v>
      </c>
      <c r="I1722" s="134">
        <f t="shared" si="79"/>
        <v>700</v>
      </c>
      <c r="J1722" s="134">
        <f t="shared" si="78"/>
        <v>-700</v>
      </c>
      <c r="K1722" s="135"/>
      <c r="L1722" s="136" t="str">
        <f t="shared" si="80"/>
        <v>دائن</v>
      </c>
      <c r="M1722" s="137" t="str">
        <f>IF(ISERROR(VLOOKUP(C1722,'[1]خريطة الحسابات'!_xlnm.Print_Area,4,FALSE))," ",(VLOOKUP(C1722,'[1]خريطة الحسابات'!_xlnm.Print_Area,4,FALSE)))</f>
        <v xml:space="preserve">أصول متداوله -النقدية ومافي حكمها </v>
      </c>
      <c r="N1722" s="138" t="str">
        <f>IF(ISERROR(VLOOKUP(C1722,'[1]خريطة الحسابات'!_xlnm.Print_Area,5,FALSE))," ",(VLOOKUP(C1722,'[1]خريطة الحسابات'!_xlnm.Print_Area,5,FALSE)))</f>
        <v>الاصول</v>
      </c>
      <c r="O1722" s="84" t="s">
        <v>2049</v>
      </c>
      <c r="P1722" s="84" t="s">
        <v>1292</v>
      </c>
    </row>
    <row r="1723" spans="1:16">
      <c r="A1723" s="104">
        <v>63</v>
      </c>
      <c r="B1723" s="131">
        <v>46179</v>
      </c>
      <c r="C1723" s="150">
        <v>20</v>
      </c>
      <c r="D1723" s="140" t="str">
        <f>IF(ISERROR(VLOOKUP(C1723,'[1]خريطة الحسابات'!_xlnm.Print_Area,3,FALSE))," ",(VLOOKUP(C1723,'[1]خريطة الحسابات'!_xlnm.Print_Area,3,FALSE)))</f>
        <v xml:space="preserve">الخزينة </v>
      </c>
      <c r="E1723" s="142"/>
      <c r="F1723" s="133"/>
      <c r="G1723" s="133">
        <v>350</v>
      </c>
      <c r="H1723" s="134">
        <f t="shared" si="79"/>
        <v>0</v>
      </c>
      <c r="I1723" s="134">
        <f t="shared" si="79"/>
        <v>350</v>
      </c>
      <c r="J1723" s="134">
        <f t="shared" si="78"/>
        <v>-350</v>
      </c>
      <c r="K1723" s="135"/>
      <c r="L1723" s="136" t="str">
        <f t="shared" si="80"/>
        <v>دائن</v>
      </c>
      <c r="M1723" s="137" t="str">
        <f>IF(ISERROR(VLOOKUP(C1723,'[1]خريطة الحسابات'!_xlnm.Print_Area,4,FALSE))," ",(VLOOKUP(C1723,'[1]خريطة الحسابات'!_xlnm.Print_Area,4,FALSE)))</f>
        <v xml:space="preserve">أصول متداوله -النقدية ومافي حكمها </v>
      </c>
      <c r="N1723" s="138" t="str">
        <f>IF(ISERROR(VLOOKUP(C1723,'[1]خريطة الحسابات'!_xlnm.Print_Area,5,FALSE))," ",(VLOOKUP(C1723,'[1]خريطة الحسابات'!_xlnm.Print_Area,5,FALSE)))</f>
        <v>الاصول</v>
      </c>
      <c r="O1723" s="84" t="s">
        <v>2050</v>
      </c>
      <c r="P1723" s="84" t="s">
        <v>1292</v>
      </c>
    </row>
    <row r="1724" spans="1:16">
      <c r="A1724" s="104">
        <v>63</v>
      </c>
      <c r="B1724" s="131">
        <v>46046</v>
      </c>
      <c r="C1724" s="150">
        <v>20</v>
      </c>
      <c r="D1724" s="140" t="str">
        <f>IF(ISERROR(VLOOKUP(C1724,'[1]خريطة الحسابات'!_xlnm.Print_Area,3,FALSE))," ",(VLOOKUP(C1724,'[1]خريطة الحسابات'!_xlnm.Print_Area,3,FALSE)))</f>
        <v xml:space="preserve">الخزينة </v>
      </c>
      <c r="E1724" s="142"/>
      <c r="F1724" s="133"/>
      <c r="G1724" s="133">
        <v>68809</v>
      </c>
      <c r="H1724" s="134">
        <f t="shared" si="79"/>
        <v>0</v>
      </c>
      <c r="I1724" s="134">
        <f t="shared" si="79"/>
        <v>68809</v>
      </c>
      <c r="J1724" s="134">
        <f t="shared" si="78"/>
        <v>-68809</v>
      </c>
      <c r="K1724" s="135"/>
      <c r="L1724" s="136" t="str">
        <f t="shared" si="80"/>
        <v>دائن</v>
      </c>
      <c r="M1724" s="137" t="str">
        <f>IF(ISERROR(VLOOKUP(C1724,'[1]خريطة الحسابات'!_xlnm.Print_Area,4,FALSE))," ",(VLOOKUP(C1724,'[1]خريطة الحسابات'!_xlnm.Print_Area,4,FALSE)))</f>
        <v xml:space="preserve">أصول متداوله -النقدية ومافي حكمها </v>
      </c>
      <c r="N1724" s="138" t="str">
        <f>IF(ISERROR(VLOOKUP(C1724,'[1]خريطة الحسابات'!_xlnm.Print_Area,5,FALSE))," ",(VLOOKUP(C1724,'[1]خريطة الحسابات'!_xlnm.Print_Area,5,FALSE)))</f>
        <v>الاصول</v>
      </c>
      <c r="O1724" s="84" t="s">
        <v>2051</v>
      </c>
      <c r="P1724" s="84" t="s">
        <v>1295</v>
      </c>
    </row>
    <row r="1725" spans="1:16">
      <c r="A1725" s="104">
        <v>63</v>
      </c>
      <c r="B1725" s="131">
        <v>46070</v>
      </c>
      <c r="C1725" s="150">
        <v>20</v>
      </c>
      <c r="D1725" s="140" t="str">
        <f>IF(ISERROR(VLOOKUP(C1725,'[1]خريطة الحسابات'!_xlnm.Print_Area,3,FALSE))," ",(VLOOKUP(C1725,'[1]خريطة الحسابات'!_xlnm.Print_Area,3,FALSE)))</f>
        <v xml:space="preserve">الخزينة </v>
      </c>
      <c r="E1725" s="142"/>
      <c r="F1725" s="133"/>
      <c r="G1725" s="133">
        <v>275</v>
      </c>
      <c r="H1725" s="134">
        <f t="shared" si="79"/>
        <v>0</v>
      </c>
      <c r="I1725" s="134">
        <f t="shared" si="79"/>
        <v>275</v>
      </c>
      <c r="J1725" s="134">
        <f t="shared" si="78"/>
        <v>-275</v>
      </c>
      <c r="K1725" s="135"/>
      <c r="L1725" s="136" t="str">
        <f t="shared" si="80"/>
        <v>دائن</v>
      </c>
      <c r="M1725" s="137" t="str">
        <f>IF(ISERROR(VLOOKUP(C1725,'[1]خريطة الحسابات'!_xlnm.Print_Area,4,FALSE))," ",(VLOOKUP(C1725,'[1]خريطة الحسابات'!_xlnm.Print_Area,4,FALSE)))</f>
        <v xml:space="preserve">أصول متداوله -النقدية ومافي حكمها </v>
      </c>
      <c r="N1725" s="138" t="str">
        <f>IF(ISERROR(VLOOKUP(C1725,'[1]خريطة الحسابات'!_xlnm.Print_Area,5,FALSE))," ",(VLOOKUP(C1725,'[1]خريطة الحسابات'!_xlnm.Print_Area,5,FALSE)))</f>
        <v>الاصول</v>
      </c>
      <c r="O1725" s="84" t="s">
        <v>2052</v>
      </c>
      <c r="P1725" s="84" t="s">
        <v>1295</v>
      </c>
    </row>
    <row r="1726" spans="1:16">
      <c r="A1726" s="104">
        <v>63</v>
      </c>
      <c r="B1726" s="131">
        <v>46078</v>
      </c>
      <c r="C1726" s="150">
        <v>20</v>
      </c>
      <c r="D1726" s="140" t="str">
        <f>IF(ISERROR(VLOOKUP(C1726,'[1]خريطة الحسابات'!_xlnm.Print_Area,3,FALSE))," ",(VLOOKUP(C1726,'[1]خريطة الحسابات'!_xlnm.Print_Area,3,FALSE)))</f>
        <v xml:space="preserve">الخزينة </v>
      </c>
      <c r="E1726" s="142"/>
      <c r="F1726" s="133"/>
      <c r="G1726" s="133">
        <v>475</v>
      </c>
      <c r="H1726" s="134">
        <f t="shared" si="79"/>
        <v>0</v>
      </c>
      <c r="I1726" s="134">
        <f t="shared" si="79"/>
        <v>475</v>
      </c>
      <c r="J1726" s="134">
        <f t="shared" si="78"/>
        <v>-475</v>
      </c>
      <c r="K1726" s="135"/>
      <c r="L1726" s="136" t="str">
        <f t="shared" si="80"/>
        <v>دائن</v>
      </c>
      <c r="M1726" s="137" t="str">
        <f>IF(ISERROR(VLOOKUP(C1726,'[1]خريطة الحسابات'!_xlnm.Print_Area,4,FALSE))," ",(VLOOKUP(C1726,'[1]خريطة الحسابات'!_xlnm.Print_Area,4,FALSE)))</f>
        <v xml:space="preserve">أصول متداوله -النقدية ومافي حكمها </v>
      </c>
      <c r="N1726" s="138" t="str">
        <f>IF(ISERROR(VLOOKUP(C1726,'[1]خريطة الحسابات'!_xlnm.Print_Area,5,FALSE))," ",(VLOOKUP(C1726,'[1]خريطة الحسابات'!_xlnm.Print_Area,5,FALSE)))</f>
        <v>الاصول</v>
      </c>
      <c r="O1726" s="84" t="s">
        <v>2053</v>
      </c>
      <c r="P1726" s="84" t="s">
        <v>1295</v>
      </c>
    </row>
    <row r="1727" spans="1:16">
      <c r="A1727" s="104">
        <v>63</v>
      </c>
      <c r="B1727" s="131">
        <v>46082</v>
      </c>
      <c r="C1727" s="150">
        <v>20</v>
      </c>
      <c r="D1727" s="140" t="str">
        <f>IF(ISERROR(VLOOKUP(C1727,'[1]خريطة الحسابات'!_xlnm.Print_Area,3,FALSE))," ",(VLOOKUP(C1727,'[1]خريطة الحسابات'!_xlnm.Print_Area,3,FALSE)))</f>
        <v xml:space="preserve">الخزينة </v>
      </c>
      <c r="E1727" s="142"/>
      <c r="F1727" s="133"/>
      <c r="G1727" s="133">
        <v>2280</v>
      </c>
      <c r="H1727" s="134">
        <f t="shared" si="79"/>
        <v>0</v>
      </c>
      <c r="I1727" s="134">
        <f t="shared" si="79"/>
        <v>2280</v>
      </c>
      <c r="J1727" s="134">
        <f t="shared" si="78"/>
        <v>-2280</v>
      </c>
      <c r="K1727" s="135"/>
      <c r="L1727" s="136" t="str">
        <f t="shared" si="80"/>
        <v>دائن</v>
      </c>
      <c r="M1727" s="137" t="str">
        <f>IF(ISERROR(VLOOKUP(C1727,'[1]خريطة الحسابات'!_xlnm.Print_Area,4,FALSE))," ",(VLOOKUP(C1727,'[1]خريطة الحسابات'!_xlnm.Print_Area,4,FALSE)))</f>
        <v xml:space="preserve">أصول متداوله -النقدية ومافي حكمها </v>
      </c>
      <c r="N1727" s="138" t="str">
        <f>IF(ISERROR(VLOOKUP(C1727,'[1]خريطة الحسابات'!_xlnm.Print_Area,5,FALSE))," ",(VLOOKUP(C1727,'[1]خريطة الحسابات'!_xlnm.Print_Area,5,FALSE)))</f>
        <v>الاصول</v>
      </c>
      <c r="O1727" s="84" t="s">
        <v>2054</v>
      </c>
      <c r="P1727" s="84" t="s">
        <v>1295</v>
      </c>
    </row>
    <row r="1728" spans="1:16">
      <c r="A1728" s="104">
        <v>63</v>
      </c>
      <c r="B1728" s="131">
        <v>46086</v>
      </c>
      <c r="C1728" s="150">
        <v>20</v>
      </c>
      <c r="D1728" s="140" t="str">
        <f>IF(ISERROR(VLOOKUP(C1728,'[1]خريطة الحسابات'!_xlnm.Print_Area,3,FALSE))," ",(VLOOKUP(C1728,'[1]خريطة الحسابات'!_xlnm.Print_Area,3,FALSE)))</f>
        <v xml:space="preserve">الخزينة </v>
      </c>
      <c r="E1728" s="142"/>
      <c r="F1728" s="133"/>
      <c r="G1728" s="133">
        <v>4800</v>
      </c>
      <c r="H1728" s="134">
        <f t="shared" si="79"/>
        <v>0</v>
      </c>
      <c r="I1728" s="134">
        <f t="shared" si="79"/>
        <v>4800</v>
      </c>
      <c r="J1728" s="134">
        <f t="shared" si="78"/>
        <v>-4800</v>
      </c>
      <c r="K1728" s="135"/>
      <c r="L1728" s="136" t="str">
        <f t="shared" si="80"/>
        <v>دائن</v>
      </c>
      <c r="M1728" s="137" t="str">
        <f>IF(ISERROR(VLOOKUP(C1728,'[1]خريطة الحسابات'!_xlnm.Print_Area,4,FALSE))," ",(VLOOKUP(C1728,'[1]خريطة الحسابات'!_xlnm.Print_Area,4,FALSE)))</f>
        <v xml:space="preserve">أصول متداوله -النقدية ومافي حكمها </v>
      </c>
      <c r="N1728" s="138" t="str">
        <f>IF(ISERROR(VLOOKUP(C1728,'[1]خريطة الحسابات'!_xlnm.Print_Area,5,FALSE))," ",(VLOOKUP(C1728,'[1]خريطة الحسابات'!_xlnm.Print_Area,5,FALSE)))</f>
        <v>الاصول</v>
      </c>
      <c r="O1728" s="84" t="s">
        <v>2055</v>
      </c>
      <c r="P1728" s="84" t="s">
        <v>1327</v>
      </c>
    </row>
    <row r="1729" spans="1:16">
      <c r="A1729" s="104">
        <v>63</v>
      </c>
      <c r="B1729" s="131">
        <v>46128</v>
      </c>
      <c r="C1729" s="150">
        <v>20</v>
      </c>
      <c r="D1729" s="140" t="str">
        <f>IF(ISERROR(VLOOKUP(C1729,'[1]خريطة الحسابات'!_xlnm.Print_Area,3,FALSE))," ",(VLOOKUP(C1729,'[1]خريطة الحسابات'!_xlnm.Print_Area,3,FALSE)))</f>
        <v xml:space="preserve">الخزينة </v>
      </c>
      <c r="E1729" s="142"/>
      <c r="F1729" s="133"/>
      <c r="G1729" s="133">
        <v>1390</v>
      </c>
      <c r="H1729" s="134">
        <f t="shared" si="79"/>
        <v>0</v>
      </c>
      <c r="I1729" s="134">
        <f t="shared" si="79"/>
        <v>1390</v>
      </c>
      <c r="J1729" s="134">
        <f t="shared" si="78"/>
        <v>-1390</v>
      </c>
      <c r="K1729" s="135"/>
      <c r="L1729" s="136" t="str">
        <f t="shared" si="80"/>
        <v>دائن</v>
      </c>
      <c r="M1729" s="137" t="str">
        <f>IF(ISERROR(VLOOKUP(C1729,'[1]خريطة الحسابات'!_xlnm.Print_Area,4,FALSE))," ",(VLOOKUP(C1729,'[1]خريطة الحسابات'!_xlnm.Print_Area,4,FALSE)))</f>
        <v xml:space="preserve">أصول متداوله -النقدية ومافي حكمها </v>
      </c>
      <c r="N1729" s="138" t="str">
        <f>IF(ISERROR(VLOOKUP(C1729,'[1]خريطة الحسابات'!_xlnm.Print_Area,5,FALSE))," ",(VLOOKUP(C1729,'[1]خريطة الحسابات'!_xlnm.Print_Area,5,FALSE)))</f>
        <v>الاصول</v>
      </c>
      <c r="O1729" s="84" t="s">
        <v>2056</v>
      </c>
      <c r="P1729" s="84" t="s">
        <v>1327</v>
      </c>
    </row>
    <row r="1730" spans="1:16">
      <c r="A1730" s="104">
        <v>63</v>
      </c>
      <c r="B1730" s="131">
        <v>46133</v>
      </c>
      <c r="C1730" s="150">
        <v>20</v>
      </c>
      <c r="D1730" s="140" t="str">
        <f>IF(ISERROR(VLOOKUP(C1730,'[1]خريطة الحسابات'!_xlnm.Print_Area,3,FALSE))," ",(VLOOKUP(C1730,'[1]خريطة الحسابات'!_xlnm.Print_Area,3,FALSE)))</f>
        <v xml:space="preserve">الخزينة </v>
      </c>
      <c r="E1730" s="142"/>
      <c r="F1730" s="133"/>
      <c r="G1730" s="133">
        <v>12195</v>
      </c>
      <c r="H1730" s="134">
        <f t="shared" si="79"/>
        <v>0</v>
      </c>
      <c r="I1730" s="134">
        <f t="shared" si="79"/>
        <v>12195</v>
      </c>
      <c r="J1730" s="134">
        <f t="shared" si="78"/>
        <v>-12195</v>
      </c>
      <c r="K1730" s="135"/>
      <c r="L1730" s="136" t="str">
        <f t="shared" si="80"/>
        <v>دائن</v>
      </c>
      <c r="M1730" s="137" t="str">
        <f>IF(ISERROR(VLOOKUP(C1730,'[1]خريطة الحسابات'!_xlnm.Print_Area,4,FALSE))," ",(VLOOKUP(C1730,'[1]خريطة الحسابات'!_xlnm.Print_Area,4,FALSE)))</f>
        <v xml:space="preserve">أصول متداوله -النقدية ومافي حكمها </v>
      </c>
      <c r="N1730" s="138" t="str">
        <f>IF(ISERROR(VLOOKUP(C1730,'[1]خريطة الحسابات'!_xlnm.Print_Area,5,FALSE))," ",(VLOOKUP(C1730,'[1]خريطة الحسابات'!_xlnm.Print_Area,5,FALSE)))</f>
        <v>الاصول</v>
      </c>
      <c r="O1730" s="84" t="s">
        <v>2037</v>
      </c>
      <c r="P1730" s="84" t="s">
        <v>1327</v>
      </c>
    </row>
    <row r="1731" spans="1:16">
      <c r="A1731" s="104">
        <v>63</v>
      </c>
      <c r="B1731" s="131">
        <v>46186</v>
      </c>
      <c r="C1731" s="150">
        <v>20</v>
      </c>
      <c r="D1731" s="140" t="str">
        <f>IF(ISERROR(VLOOKUP(C1731,'[1]خريطة الحسابات'!_xlnm.Print_Area,3,FALSE))," ",(VLOOKUP(C1731,'[1]خريطة الحسابات'!_xlnm.Print_Area,3,FALSE)))</f>
        <v xml:space="preserve">الخزينة </v>
      </c>
      <c r="E1731" s="142"/>
      <c r="F1731" s="133"/>
      <c r="G1731" s="133">
        <v>5005</v>
      </c>
      <c r="H1731" s="134">
        <f t="shared" si="79"/>
        <v>0</v>
      </c>
      <c r="I1731" s="134">
        <f t="shared" si="79"/>
        <v>5005</v>
      </c>
      <c r="J1731" s="134">
        <f t="shared" si="78"/>
        <v>-5005</v>
      </c>
      <c r="K1731" s="135"/>
      <c r="L1731" s="136" t="str">
        <f t="shared" si="80"/>
        <v>دائن</v>
      </c>
      <c r="M1731" s="137" t="str">
        <f>IF(ISERROR(VLOOKUP(C1731,'[1]خريطة الحسابات'!_xlnm.Print_Area,4,FALSE))," ",(VLOOKUP(C1731,'[1]خريطة الحسابات'!_xlnm.Print_Area,4,FALSE)))</f>
        <v xml:space="preserve">أصول متداوله -النقدية ومافي حكمها </v>
      </c>
      <c r="N1731" s="138" t="str">
        <f>IF(ISERROR(VLOOKUP(C1731,'[1]خريطة الحسابات'!_xlnm.Print_Area,5,FALSE))," ",(VLOOKUP(C1731,'[1]خريطة الحسابات'!_xlnm.Print_Area,5,FALSE)))</f>
        <v>الاصول</v>
      </c>
      <c r="O1731" s="84" t="s">
        <v>2057</v>
      </c>
      <c r="P1731" s="84" t="s">
        <v>1964</v>
      </c>
    </row>
    <row r="1732" spans="1:16">
      <c r="A1732" s="104">
        <v>63</v>
      </c>
      <c r="B1732" s="131">
        <v>46187</v>
      </c>
      <c r="C1732" s="150">
        <v>20</v>
      </c>
      <c r="D1732" s="140" t="str">
        <f>IF(ISERROR(VLOOKUP(C1732,'[1]خريطة الحسابات'!_xlnm.Print_Area,3,FALSE))," ",(VLOOKUP(C1732,'[1]خريطة الحسابات'!_xlnm.Print_Area,3,FALSE)))</f>
        <v xml:space="preserve">الخزينة </v>
      </c>
      <c r="E1732" s="142"/>
      <c r="F1732" s="133"/>
      <c r="G1732" s="133">
        <v>500</v>
      </c>
      <c r="H1732" s="134">
        <f t="shared" si="79"/>
        <v>0</v>
      </c>
      <c r="I1732" s="134">
        <f t="shared" si="79"/>
        <v>500</v>
      </c>
      <c r="J1732" s="134">
        <f t="shared" si="78"/>
        <v>-500</v>
      </c>
      <c r="K1732" s="135"/>
      <c r="L1732" s="136" t="str">
        <f t="shared" si="80"/>
        <v>دائن</v>
      </c>
      <c r="M1732" s="137" t="str">
        <f>IF(ISERROR(VLOOKUP(C1732,'[1]خريطة الحسابات'!_xlnm.Print_Area,4,FALSE))," ",(VLOOKUP(C1732,'[1]خريطة الحسابات'!_xlnm.Print_Area,4,FALSE)))</f>
        <v xml:space="preserve">أصول متداوله -النقدية ومافي حكمها </v>
      </c>
      <c r="N1732" s="138" t="str">
        <f>IF(ISERROR(VLOOKUP(C1732,'[1]خريطة الحسابات'!_xlnm.Print_Area,5,FALSE))," ",(VLOOKUP(C1732,'[1]خريطة الحسابات'!_xlnm.Print_Area,5,FALSE)))</f>
        <v>الاصول</v>
      </c>
      <c r="O1732" s="84" t="s">
        <v>2058</v>
      </c>
      <c r="P1732" s="84" t="s">
        <v>1964</v>
      </c>
    </row>
    <row r="1733" spans="1:16">
      <c r="A1733" s="104">
        <v>63</v>
      </c>
      <c r="B1733" s="131">
        <v>46049</v>
      </c>
      <c r="C1733" s="150">
        <v>20</v>
      </c>
      <c r="D1733" s="140" t="str">
        <f>IF(ISERROR(VLOOKUP(C1733,'[1]خريطة الحسابات'!_xlnm.Print_Area,3,FALSE))," ",(VLOOKUP(C1733,'[1]خريطة الحسابات'!_xlnm.Print_Area,3,FALSE)))</f>
        <v xml:space="preserve">الخزينة </v>
      </c>
      <c r="E1733" s="142"/>
      <c r="F1733" s="133"/>
      <c r="G1733" s="133">
        <v>2503</v>
      </c>
      <c r="H1733" s="134">
        <f t="shared" si="79"/>
        <v>0</v>
      </c>
      <c r="I1733" s="134">
        <f t="shared" si="79"/>
        <v>2503</v>
      </c>
      <c r="J1733" s="134">
        <f t="shared" si="78"/>
        <v>-2503</v>
      </c>
      <c r="K1733" s="135"/>
      <c r="L1733" s="136" t="str">
        <f t="shared" si="80"/>
        <v>دائن</v>
      </c>
      <c r="M1733" s="137" t="str">
        <f>IF(ISERROR(VLOOKUP(C1733,'[1]خريطة الحسابات'!_xlnm.Print_Area,4,FALSE))," ",(VLOOKUP(C1733,'[1]خريطة الحسابات'!_xlnm.Print_Area,4,FALSE)))</f>
        <v xml:space="preserve">أصول متداوله -النقدية ومافي حكمها </v>
      </c>
      <c r="N1733" s="138" t="str">
        <f>IF(ISERROR(VLOOKUP(C1733,'[1]خريطة الحسابات'!_xlnm.Print_Area,5,FALSE))," ",(VLOOKUP(C1733,'[1]خريطة الحسابات'!_xlnm.Print_Area,5,FALSE)))</f>
        <v>الاصول</v>
      </c>
      <c r="O1733" s="84" t="s">
        <v>2059</v>
      </c>
      <c r="P1733" s="84" t="s">
        <v>1493</v>
      </c>
    </row>
    <row r="1734" spans="1:16">
      <c r="A1734" s="104">
        <v>63</v>
      </c>
      <c r="B1734" s="131">
        <v>46151</v>
      </c>
      <c r="C1734" s="150">
        <v>20</v>
      </c>
      <c r="D1734" s="140" t="str">
        <f>IF(ISERROR(VLOOKUP(C1734,'[1]خريطة الحسابات'!_xlnm.Print_Area,3,FALSE))," ",(VLOOKUP(C1734,'[1]خريطة الحسابات'!_xlnm.Print_Area,3,FALSE)))</f>
        <v xml:space="preserve">الخزينة </v>
      </c>
      <c r="E1734" s="142"/>
      <c r="F1734" s="133"/>
      <c r="G1734" s="133">
        <v>1675</v>
      </c>
      <c r="H1734" s="134">
        <f t="shared" si="79"/>
        <v>0</v>
      </c>
      <c r="I1734" s="134">
        <f t="shared" si="79"/>
        <v>1675</v>
      </c>
      <c r="J1734" s="134">
        <f t="shared" si="78"/>
        <v>-1675</v>
      </c>
      <c r="K1734" s="135"/>
      <c r="L1734" s="136" t="str">
        <f t="shared" si="80"/>
        <v>دائن</v>
      </c>
      <c r="M1734" s="137" t="str">
        <f>IF(ISERROR(VLOOKUP(C1734,'[1]خريطة الحسابات'!_xlnm.Print_Area,4,FALSE))," ",(VLOOKUP(C1734,'[1]خريطة الحسابات'!_xlnm.Print_Area,4,FALSE)))</f>
        <v xml:space="preserve">أصول متداوله -النقدية ومافي حكمها </v>
      </c>
      <c r="N1734" s="138" t="str">
        <f>IF(ISERROR(VLOOKUP(C1734,'[1]خريطة الحسابات'!_xlnm.Print_Area,5,FALSE))," ",(VLOOKUP(C1734,'[1]خريطة الحسابات'!_xlnm.Print_Area,5,FALSE)))</f>
        <v>الاصول</v>
      </c>
      <c r="O1734" s="84" t="s">
        <v>2060</v>
      </c>
      <c r="P1734" s="84" t="s">
        <v>2061</v>
      </c>
    </row>
    <row r="1735" spans="1:16">
      <c r="A1735" s="104">
        <v>63</v>
      </c>
      <c r="B1735" s="131">
        <v>46034</v>
      </c>
      <c r="C1735" s="150">
        <v>20</v>
      </c>
      <c r="D1735" s="140" t="str">
        <f>IF(ISERROR(VLOOKUP(C1735,'[1]خريطة الحسابات'!_xlnm.Print_Area,3,FALSE))," ",(VLOOKUP(C1735,'[1]خريطة الحسابات'!_xlnm.Print_Area,3,FALSE)))</f>
        <v xml:space="preserve">الخزينة </v>
      </c>
      <c r="E1735" s="142"/>
      <c r="F1735" s="133"/>
      <c r="G1735" s="133">
        <v>1370</v>
      </c>
      <c r="H1735" s="134">
        <f t="shared" si="79"/>
        <v>0</v>
      </c>
      <c r="I1735" s="134">
        <f t="shared" si="79"/>
        <v>1370</v>
      </c>
      <c r="J1735" s="134">
        <f t="shared" si="78"/>
        <v>-1370</v>
      </c>
      <c r="K1735" s="135"/>
      <c r="L1735" s="136" t="str">
        <f t="shared" si="80"/>
        <v>دائن</v>
      </c>
      <c r="M1735" s="137" t="str">
        <f>IF(ISERROR(VLOOKUP(C1735,'[1]خريطة الحسابات'!_xlnm.Print_Area,4,FALSE))," ",(VLOOKUP(C1735,'[1]خريطة الحسابات'!_xlnm.Print_Area,4,FALSE)))</f>
        <v xml:space="preserve">أصول متداوله -النقدية ومافي حكمها </v>
      </c>
      <c r="N1735" s="138" t="str">
        <f>IF(ISERROR(VLOOKUP(C1735,'[1]خريطة الحسابات'!_xlnm.Print_Area,5,FALSE))," ",(VLOOKUP(C1735,'[1]خريطة الحسابات'!_xlnm.Print_Area,5,FALSE)))</f>
        <v>الاصول</v>
      </c>
      <c r="O1735" s="84" t="s">
        <v>2062</v>
      </c>
      <c r="P1735" s="84" t="s">
        <v>1290</v>
      </c>
    </row>
    <row r="1736" spans="1:16">
      <c r="A1736" s="104">
        <v>63</v>
      </c>
      <c r="B1736" s="131">
        <v>46056</v>
      </c>
      <c r="C1736" s="150">
        <v>20</v>
      </c>
      <c r="D1736" s="140" t="str">
        <f>IF(ISERROR(VLOOKUP(C1736,'[1]خريطة الحسابات'!_xlnm.Print_Area,3,FALSE))," ",(VLOOKUP(C1736,'[1]خريطة الحسابات'!_xlnm.Print_Area,3,FALSE)))</f>
        <v xml:space="preserve">الخزينة </v>
      </c>
      <c r="E1736" s="142"/>
      <c r="F1736" s="133"/>
      <c r="G1736" s="133">
        <v>19570</v>
      </c>
      <c r="H1736" s="134">
        <f t="shared" si="79"/>
        <v>0</v>
      </c>
      <c r="I1736" s="134">
        <f t="shared" si="79"/>
        <v>19570</v>
      </c>
      <c r="J1736" s="134">
        <f t="shared" si="78"/>
        <v>-19570</v>
      </c>
      <c r="K1736" s="135"/>
      <c r="L1736" s="136" t="str">
        <f t="shared" si="80"/>
        <v>دائن</v>
      </c>
      <c r="M1736" s="137" t="str">
        <f>IF(ISERROR(VLOOKUP(C1736,'[1]خريطة الحسابات'!_xlnm.Print_Area,4,FALSE))," ",(VLOOKUP(C1736,'[1]خريطة الحسابات'!_xlnm.Print_Area,4,FALSE)))</f>
        <v xml:space="preserve">أصول متداوله -النقدية ومافي حكمها </v>
      </c>
      <c r="N1736" s="138" t="str">
        <f>IF(ISERROR(VLOOKUP(C1736,'[1]خريطة الحسابات'!_xlnm.Print_Area,5,FALSE))," ",(VLOOKUP(C1736,'[1]خريطة الحسابات'!_xlnm.Print_Area,5,FALSE)))</f>
        <v>الاصول</v>
      </c>
      <c r="O1736" s="84" t="s">
        <v>2063</v>
      </c>
      <c r="P1736" s="84" t="s">
        <v>1290</v>
      </c>
    </row>
    <row r="1737" spans="1:16">
      <c r="A1737" s="104">
        <v>63</v>
      </c>
      <c r="B1737" s="131">
        <v>46056</v>
      </c>
      <c r="C1737" s="150">
        <v>20</v>
      </c>
      <c r="D1737" s="140" t="str">
        <f>IF(ISERROR(VLOOKUP(C1737,'[1]خريطة الحسابات'!_xlnm.Print_Area,3,FALSE))," ",(VLOOKUP(C1737,'[1]خريطة الحسابات'!_xlnm.Print_Area,3,FALSE)))</f>
        <v xml:space="preserve">الخزينة </v>
      </c>
      <c r="E1737" s="142"/>
      <c r="F1737" s="133"/>
      <c r="G1737" s="133">
        <v>4275</v>
      </c>
      <c r="H1737" s="134">
        <f t="shared" si="79"/>
        <v>0</v>
      </c>
      <c r="I1737" s="134">
        <f t="shared" si="79"/>
        <v>4275</v>
      </c>
      <c r="J1737" s="134">
        <f t="shared" si="78"/>
        <v>-4275</v>
      </c>
      <c r="K1737" s="135"/>
      <c r="L1737" s="136" t="str">
        <f t="shared" si="80"/>
        <v>دائن</v>
      </c>
      <c r="M1737" s="137" t="str">
        <f>IF(ISERROR(VLOOKUP(C1737,'[1]خريطة الحسابات'!_xlnm.Print_Area,4,FALSE))," ",(VLOOKUP(C1737,'[1]خريطة الحسابات'!_xlnm.Print_Area,4,FALSE)))</f>
        <v xml:space="preserve">أصول متداوله -النقدية ومافي حكمها </v>
      </c>
      <c r="N1737" s="138" t="str">
        <f>IF(ISERROR(VLOOKUP(C1737,'[1]خريطة الحسابات'!_xlnm.Print_Area,5,FALSE))," ",(VLOOKUP(C1737,'[1]خريطة الحسابات'!_xlnm.Print_Area,5,FALSE)))</f>
        <v>الاصول</v>
      </c>
      <c r="O1737" s="84" t="s">
        <v>2064</v>
      </c>
      <c r="P1737" s="84" t="s">
        <v>1290</v>
      </c>
    </row>
    <row r="1738" spans="1:16">
      <c r="A1738" s="104">
        <v>63</v>
      </c>
      <c r="B1738" s="131">
        <v>46075</v>
      </c>
      <c r="C1738" s="150">
        <v>20</v>
      </c>
      <c r="D1738" s="140" t="str">
        <f>IF(ISERROR(VLOOKUP(C1738,'[1]خريطة الحسابات'!_xlnm.Print_Area,3,FALSE))," ",(VLOOKUP(C1738,'[1]خريطة الحسابات'!_xlnm.Print_Area,3,FALSE)))</f>
        <v xml:space="preserve">الخزينة </v>
      </c>
      <c r="E1738" s="142"/>
      <c r="F1738" s="133"/>
      <c r="G1738" s="133">
        <v>11235</v>
      </c>
      <c r="H1738" s="134">
        <f t="shared" si="79"/>
        <v>0</v>
      </c>
      <c r="I1738" s="134">
        <f t="shared" si="79"/>
        <v>11235</v>
      </c>
      <c r="J1738" s="134">
        <f t="shared" si="78"/>
        <v>-11235</v>
      </c>
      <c r="K1738" s="135"/>
      <c r="L1738" s="136" t="str">
        <f t="shared" si="80"/>
        <v>دائن</v>
      </c>
      <c r="M1738" s="137" t="str">
        <f>IF(ISERROR(VLOOKUP(C1738,'[1]خريطة الحسابات'!_xlnm.Print_Area,4,FALSE))," ",(VLOOKUP(C1738,'[1]خريطة الحسابات'!_xlnm.Print_Area,4,FALSE)))</f>
        <v xml:space="preserve">أصول متداوله -النقدية ومافي حكمها </v>
      </c>
      <c r="N1738" s="138" t="str">
        <f>IF(ISERROR(VLOOKUP(C1738,'[1]خريطة الحسابات'!_xlnm.Print_Area,5,FALSE))," ",(VLOOKUP(C1738,'[1]خريطة الحسابات'!_xlnm.Print_Area,5,FALSE)))</f>
        <v>الاصول</v>
      </c>
      <c r="O1738" s="84" t="s">
        <v>2065</v>
      </c>
      <c r="P1738" s="84" t="s">
        <v>1290</v>
      </c>
    </row>
    <row r="1739" spans="1:16">
      <c r="A1739" s="104">
        <v>63</v>
      </c>
      <c r="B1739" s="131">
        <v>46089</v>
      </c>
      <c r="C1739" s="150">
        <v>20</v>
      </c>
      <c r="D1739" s="140" t="str">
        <f>IF(ISERROR(VLOOKUP(C1739,'[1]خريطة الحسابات'!_xlnm.Print_Area,3,FALSE))," ",(VLOOKUP(C1739,'[1]خريطة الحسابات'!_xlnm.Print_Area,3,FALSE)))</f>
        <v xml:space="preserve">الخزينة </v>
      </c>
      <c r="E1739" s="142"/>
      <c r="F1739" s="133"/>
      <c r="G1739" s="133">
        <v>77625</v>
      </c>
      <c r="H1739" s="134">
        <f t="shared" si="79"/>
        <v>0</v>
      </c>
      <c r="I1739" s="134">
        <f t="shared" si="79"/>
        <v>77625</v>
      </c>
      <c r="J1739" s="134">
        <f t="shared" si="78"/>
        <v>-77625</v>
      </c>
      <c r="K1739" s="135"/>
      <c r="L1739" s="136" t="str">
        <f t="shared" si="80"/>
        <v>دائن</v>
      </c>
      <c r="M1739" s="137" t="str">
        <f>IF(ISERROR(VLOOKUP(C1739,'[1]خريطة الحسابات'!_xlnm.Print_Area,4,FALSE))," ",(VLOOKUP(C1739,'[1]خريطة الحسابات'!_xlnm.Print_Area,4,FALSE)))</f>
        <v xml:space="preserve">أصول متداوله -النقدية ومافي حكمها </v>
      </c>
      <c r="N1739" s="138" t="str">
        <f>IF(ISERROR(VLOOKUP(C1739,'[1]خريطة الحسابات'!_xlnm.Print_Area,5,FALSE))," ",(VLOOKUP(C1739,'[1]خريطة الحسابات'!_xlnm.Print_Area,5,FALSE)))</f>
        <v>الاصول</v>
      </c>
      <c r="O1739" s="84" t="s">
        <v>2066</v>
      </c>
      <c r="P1739" s="84" t="s">
        <v>1290</v>
      </c>
    </row>
    <row r="1740" spans="1:16">
      <c r="A1740" s="104">
        <v>63</v>
      </c>
      <c r="B1740" s="131">
        <v>46121</v>
      </c>
      <c r="C1740" s="150">
        <v>20</v>
      </c>
      <c r="D1740" s="140" t="str">
        <f>IF(ISERROR(VLOOKUP(C1740,'[1]خريطة الحسابات'!_xlnm.Print_Area,3,FALSE))," ",(VLOOKUP(C1740,'[1]خريطة الحسابات'!_xlnm.Print_Area,3,FALSE)))</f>
        <v xml:space="preserve">الخزينة </v>
      </c>
      <c r="E1740" s="142"/>
      <c r="F1740" s="133"/>
      <c r="G1740" s="133">
        <v>84425</v>
      </c>
      <c r="H1740" s="134">
        <f t="shared" si="79"/>
        <v>0</v>
      </c>
      <c r="I1740" s="134">
        <f t="shared" si="79"/>
        <v>84425</v>
      </c>
      <c r="J1740" s="134">
        <f t="shared" si="78"/>
        <v>-84425</v>
      </c>
      <c r="K1740" s="135"/>
      <c r="L1740" s="136" t="str">
        <f t="shared" si="80"/>
        <v>دائن</v>
      </c>
      <c r="M1740" s="137" t="str">
        <f>IF(ISERROR(VLOOKUP(C1740,'[1]خريطة الحسابات'!_xlnm.Print_Area,4,FALSE))," ",(VLOOKUP(C1740,'[1]خريطة الحسابات'!_xlnm.Print_Area,4,FALSE)))</f>
        <v xml:space="preserve">أصول متداوله -النقدية ومافي حكمها </v>
      </c>
      <c r="N1740" s="138" t="str">
        <f>IF(ISERROR(VLOOKUP(C1740,'[1]خريطة الحسابات'!_xlnm.Print_Area,5,FALSE))," ",(VLOOKUP(C1740,'[1]خريطة الحسابات'!_xlnm.Print_Area,5,FALSE)))</f>
        <v>الاصول</v>
      </c>
      <c r="O1740" s="84" t="s">
        <v>2067</v>
      </c>
      <c r="P1740" s="84" t="s">
        <v>1290</v>
      </c>
    </row>
    <row r="1741" spans="1:16">
      <c r="A1741" s="104">
        <v>63</v>
      </c>
      <c r="B1741" s="131">
        <v>46133</v>
      </c>
      <c r="C1741" s="150">
        <v>20</v>
      </c>
      <c r="D1741" s="140" t="str">
        <f>IF(ISERROR(VLOOKUP(C1741,'[1]خريطة الحسابات'!_xlnm.Print_Area,3,FALSE))," ",(VLOOKUP(C1741,'[1]خريطة الحسابات'!_xlnm.Print_Area,3,FALSE)))</f>
        <v xml:space="preserve">الخزينة </v>
      </c>
      <c r="E1741" s="142"/>
      <c r="F1741" s="133"/>
      <c r="G1741" s="133">
        <v>225000</v>
      </c>
      <c r="H1741" s="134">
        <f t="shared" si="79"/>
        <v>0</v>
      </c>
      <c r="I1741" s="134">
        <f t="shared" si="79"/>
        <v>225000</v>
      </c>
      <c r="J1741" s="134">
        <f t="shared" si="78"/>
        <v>-225000</v>
      </c>
      <c r="K1741" s="135"/>
      <c r="L1741" s="136" t="str">
        <f t="shared" si="80"/>
        <v>دائن</v>
      </c>
      <c r="M1741" s="137" t="str">
        <f>IF(ISERROR(VLOOKUP(C1741,'[1]خريطة الحسابات'!_xlnm.Print_Area,4,FALSE))," ",(VLOOKUP(C1741,'[1]خريطة الحسابات'!_xlnm.Print_Area,4,FALSE)))</f>
        <v xml:space="preserve">أصول متداوله -النقدية ومافي حكمها </v>
      </c>
      <c r="N1741" s="138" t="str">
        <f>IF(ISERROR(VLOOKUP(C1741,'[1]خريطة الحسابات'!_xlnm.Print_Area,5,FALSE))," ",(VLOOKUP(C1741,'[1]خريطة الحسابات'!_xlnm.Print_Area,5,FALSE)))</f>
        <v>الاصول</v>
      </c>
      <c r="O1741" s="84" t="s">
        <v>2035</v>
      </c>
      <c r="P1741" s="84" t="s">
        <v>1290</v>
      </c>
    </row>
    <row r="1742" spans="1:16">
      <c r="A1742" s="104">
        <v>63</v>
      </c>
      <c r="B1742" s="131">
        <v>46133</v>
      </c>
      <c r="C1742" s="150">
        <v>20</v>
      </c>
      <c r="D1742" s="140" t="str">
        <f>IF(ISERROR(VLOOKUP(C1742,'[1]خريطة الحسابات'!_xlnm.Print_Area,3,FALSE))," ",(VLOOKUP(C1742,'[1]خريطة الحسابات'!_xlnm.Print_Area,3,FALSE)))</f>
        <v xml:space="preserve">الخزينة </v>
      </c>
      <c r="E1742" s="142"/>
      <c r="F1742" s="133"/>
      <c r="G1742" s="133">
        <v>48910</v>
      </c>
      <c r="H1742" s="134">
        <f t="shared" si="79"/>
        <v>0</v>
      </c>
      <c r="I1742" s="134">
        <f t="shared" si="79"/>
        <v>48910</v>
      </c>
      <c r="J1742" s="134">
        <f t="shared" si="78"/>
        <v>-48910</v>
      </c>
      <c r="K1742" s="135"/>
      <c r="L1742" s="136" t="str">
        <f t="shared" si="80"/>
        <v>دائن</v>
      </c>
      <c r="M1742" s="137" t="str">
        <f>IF(ISERROR(VLOOKUP(C1742,'[1]خريطة الحسابات'!_xlnm.Print_Area,4,FALSE))," ",(VLOOKUP(C1742,'[1]خريطة الحسابات'!_xlnm.Print_Area,4,FALSE)))</f>
        <v xml:space="preserve">أصول متداوله -النقدية ومافي حكمها </v>
      </c>
      <c r="N1742" s="138" t="str">
        <f>IF(ISERROR(VLOOKUP(C1742,'[1]خريطة الحسابات'!_xlnm.Print_Area,5,FALSE))," ",(VLOOKUP(C1742,'[1]خريطة الحسابات'!_xlnm.Print_Area,5,FALSE)))</f>
        <v>الاصول</v>
      </c>
      <c r="O1742" s="84" t="s">
        <v>2037</v>
      </c>
      <c r="P1742" s="84" t="s">
        <v>1290</v>
      </c>
    </row>
    <row r="1743" spans="1:16">
      <c r="A1743" s="104">
        <v>63</v>
      </c>
      <c r="B1743" s="131">
        <v>46133</v>
      </c>
      <c r="C1743" s="150">
        <v>20</v>
      </c>
      <c r="D1743" s="140" t="str">
        <f>IF(ISERROR(VLOOKUP(C1743,'[1]خريطة الحسابات'!_xlnm.Print_Area,3,FALSE))," ",(VLOOKUP(C1743,'[1]خريطة الحسابات'!_xlnm.Print_Area,3,FALSE)))</f>
        <v xml:space="preserve">الخزينة </v>
      </c>
      <c r="E1743" s="142"/>
      <c r="F1743" s="133"/>
      <c r="G1743" s="133">
        <v>4800</v>
      </c>
      <c r="H1743" s="134">
        <f t="shared" si="79"/>
        <v>0</v>
      </c>
      <c r="I1743" s="134">
        <f t="shared" si="79"/>
        <v>4800</v>
      </c>
      <c r="J1743" s="134">
        <f t="shared" si="78"/>
        <v>-4800</v>
      </c>
      <c r="K1743" s="135"/>
      <c r="L1743" s="136" t="str">
        <f t="shared" si="80"/>
        <v>دائن</v>
      </c>
      <c r="M1743" s="137" t="str">
        <f>IF(ISERROR(VLOOKUP(C1743,'[1]خريطة الحسابات'!_xlnm.Print_Area,4,FALSE))," ",(VLOOKUP(C1743,'[1]خريطة الحسابات'!_xlnm.Print_Area,4,FALSE)))</f>
        <v xml:space="preserve">أصول متداوله -النقدية ومافي حكمها </v>
      </c>
      <c r="N1743" s="138" t="str">
        <f>IF(ISERROR(VLOOKUP(C1743,'[1]خريطة الحسابات'!_xlnm.Print_Area,5,FALSE))," ",(VLOOKUP(C1743,'[1]خريطة الحسابات'!_xlnm.Print_Area,5,FALSE)))</f>
        <v>الاصول</v>
      </c>
      <c r="O1743" s="84" t="s">
        <v>2037</v>
      </c>
      <c r="P1743" s="84" t="s">
        <v>1290</v>
      </c>
    </row>
    <row r="1744" spans="1:16">
      <c r="A1744" s="104">
        <v>63</v>
      </c>
      <c r="B1744" s="131">
        <v>46135</v>
      </c>
      <c r="C1744" s="150">
        <v>20</v>
      </c>
      <c r="D1744" s="140" t="str">
        <f>IF(ISERROR(VLOOKUP(C1744,'[1]خريطة الحسابات'!_xlnm.Print_Area,3,FALSE))," ",(VLOOKUP(C1744,'[1]خريطة الحسابات'!_xlnm.Print_Area,3,FALSE)))</f>
        <v xml:space="preserve">الخزينة </v>
      </c>
      <c r="E1744" s="142"/>
      <c r="F1744" s="133"/>
      <c r="G1744" s="133">
        <v>1500</v>
      </c>
      <c r="H1744" s="134">
        <f t="shared" si="79"/>
        <v>0</v>
      </c>
      <c r="I1744" s="134">
        <f t="shared" si="79"/>
        <v>1500</v>
      </c>
      <c r="J1744" s="134">
        <f t="shared" si="78"/>
        <v>-1500</v>
      </c>
      <c r="K1744" s="135"/>
      <c r="L1744" s="136" t="str">
        <f t="shared" si="80"/>
        <v>دائن</v>
      </c>
      <c r="M1744" s="137" t="str">
        <f>IF(ISERROR(VLOOKUP(C1744,'[1]خريطة الحسابات'!_xlnm.Print_Area,4,FALSE))," ",(VLOOKUP(C1744,'[1]خريطة الحسابات'!_xlnm.Print_Area,4,FALSE)))</f>
        <v xml:space="preserve">أصول متداوله -النقدية ومافي حكمها </v>
      </c>
      <c r="N1744" s="138" t="str">
        <f>IF(ISERROR(VLOOKUP(C1744,'[1]خريطة الحسابات'!_xlnm.Print_Area,5,FALSE))," ",(VLOOKUP(C1744,'[1]خريطة الحسابات'!_xlnm.Print_Area,5,FALSE)))</f>
        <v>الاصول</v>
      </c>
      <c r="O1744" s="84" t="s">
        <v>2068</v>
      </c>
      <c r="P1744" s="84" t="s">
        <v>1290</v>
      </c>
    </row>
    <row r="1745" spans="1:16">
      <c r="A1745" s="104">
        <v>63</v>
      </c>
      <c r="B1745" s="131">
        <v>46135</v>
      </c>
      <c r="C1745" s="150">
        <v>20</v>
      </c>
      <c r="D1745" s="140" t="str">
        <f>IF(ISERROR(VLOOKUP(C1745,'[1]خريطة الحسابات'!_xlnm.Print_Area,3,FALSE))," ",(VLOOKUP(C1745,'[1]خريطة الحسابات'!_xlnm.Print_Area,3,FALSE)))</f>
        <v xml:space="preserve">الخزينة </v>
      </c>
      <c r="E1745" s="142"/>
      <c r="F1745" s="133"/>
      <c r="G1745" s="133">
        <v>7884</v>
      </c>
      <c r="H1745" s="134">
        <f t="shared" si="79"/>
        <v>0</v>
      </c>
      <c r="I1745" s="134">
        <f t="shared" si="79"/>
        <v>7884</v>
      </c>
      <c r="J1745" s="134">
        <f t="shared" si="78"/>
        <v>-7884</v>
      </c>
      <c r="K1745" s="135"/>
      <c r="L1745" s="136" t="str">
        <f t="shared" si="80"/>
        <v>دائن</v>
      </c>
      <c r="M1745" s="137" t="str">
        <f>IF(ISERROR(VLOOKUP(C1745,'[1]خريطة الحسابات'!_xlnm.Print_Area,4,FALSE))," ",(VLOOKUP(C1745,'[1]خريطة الحسابات'!_xlnm.Print_Area,4,FALSE)))</f>
        <v xml:space="preserve">أصول متداوله -النقدية ومافي حكمها </v>
      </c>
      <c r="N1745" s="138" t="str">
        <f>IF(ISERROR(VLOOKUP(C1745,'[1]خريطة الحسابات'!_xlnm.Print_Area,5,FALSE))," ",(VLOOKUP(C1745,'[1]خريطة الحسابات'!_xlnm.Print_Area,5,FALSE)))</f>
        <v>الاصول</v>
      </c>
      <c r="O1745" s="84" t="s">
        <v>2069</v>
      </c>
      <c r="P1745" s="84" t="s">
        <v>1290</v>
      </c>
    </row>
    <row r="1746" spans="1:16">
      <c r="A1746" s="104">
        <v>63</v>
      </c>
      <c r="B1746" s="131">
        <v>46144</v>
      </c>
      <c r="C1746" s="150">
        <v>20</v>
      </c>
      <c r="D1746" s="140" t="str">
        <f>IF(ISERROR(VLOOKUP(C1746,'[1]خريطة الحسابات'!_xlnm.Print_Area,3,FALSE))," ",(VLOOKUP(C1746,'[1]خريطة الحسابات'!_xlnm.Print_Area,3,FALSE)))</f>
        <v xml:space="preserve">الخزينة </v>
      </c>
      <c r="E1746" s="142"/>
      <c r="F1746" s="133"/>
      <c r="G1746" s="133">
        <v>3240</v>
      </c>
      <c r="H1746" s="134">
        <f t="shared" si="79"/>
        <v>0</v>
      </c>
      <c r="I1746" s="134">
        <f t="shared" si="79"/>
        <v>3240</v>
      </c>
      <c r="J1746" s="134">
        <f t="shared" si="78"/>
        <v>-3240</v>
      </c>
      <c r="K1746" s="135"/>
      <c r="L1746" s="136" t="str">
        <f t="shared" si="80"/>
        <v>دائن</v>
      </c>
      <c r="M1746" s="137" t="str">
        <f>IF(ISERROR(VLOOKUP(C1746,'[1]خريطة الحسابات'!_xlnm.Print_Area,4,FALSE))," ",(VLOOKUP(C1746,'[1]خريطة الحسابات'!_xlnm.Print_Area,4,FALSE)))</f>
        <v xml:space="preserve">أصول متداوله -النقدية ومافي حكمها </v>
      </c>
      <c r="N1746" s="138" t="str">
        <f>IF(ISERROR(VLOOKUP(C1746,'[1]خريطة الحسابات'!_xlnm.Print_Area,5,FALSE))," ",(VLOOKUP(C1746,'[1]خريطة الحسابات'!_xlnm.Print_Area,5,FALSE)))</f>
        <v>الاصول</v>
      </c>
      <c r="O1746" s="84" t="s">
        <v>2070</v>
      </c>
      <c r="P1746" s="84" t="s">
        <v>1290</v>
      </c>
    </row>
    <row r="1747" spans="1:16">
      <c r="A1747" s="104">
        <v>63</v>
      </c>
      <c r="B1747" s="131">
        <v>46144</v>
      </c>
      <c r="C1747" s="150">
        <v>20</v>
      </c>
      <c r="D1747" s="140" t="str">
        <f>IF(ISERROR(VLOOKUP(C1747,'[1]خريطة الحسابات'!_xlnm.Print_Area,3,FALSE))," ",(VLOOKUP(C1747,'[1]خريطة الحسابات'!_xlnm.Print_Area,3,FALSE)))</f>
        <v xml:space="preserve">الخزينة </v>
      </c>
      <c r="E1747" s="142"/>
      <c r="F1747" s="133"/>
      <c r="G1747" s="133">
        <v>1870</v>
      </c>
      <c r="H1747" s="134">
        <f t="shared" si="79"/>
        <v>0</v>
      </c>
      <c r="I1747" s="134">
        <f t="shared" si="79"/>
        <v>1870</v>
      </c>
      <c r="J1747" s="134">
        <f t="shared" si="78"/>
        <v>-1870</v>
      </c>
      <c r="K1747" s="135"/>
      <c r="L1747" s="136" t="str">
        <f t="shared" si="80"/>
        <v>دائن</v>
      </c>
      <c r="M1747" s="137" t="str">
        <f>IF(ISERROR(VLOOKUP(C1747,'[1]خريطة الحسابات'!_xlnm.Print_Area,4,FALSE))," ",(VLOOKUP(C1747,'[1]خريطة الحسابات'!_xlnm.Print_Area,4,FALSE)))</f>
        <v xml:space="preserve">أصول متداوله -النقدية ومافي حكمها </v>
      </c>
      <c r="N1747" s="138" t="str">
        <f>IF(ISERROR(VLOOKUP(C1747,'[1]خريطة الحسابات'!_xlnm.Print_Area,5,FALSE))," ",(VLOOKUP(C1747,'[1]خريطة الحسابات'!_xlnm.Print_Area,5,FALSE)))</f>
        <v>الاصول</v>
      </c>
      <c r="O1747" s="84" t="s">
        <v>2071</v>
      </c>
      <c r="P1747" s="84" t="s">
        <v>1290</v>
      </c>
    </row>
    <row r="1748" spans="1:16">
      <c r="A1748" s="104">
        <v>63</v>
      </c>
      <c r="B1748" s="131">
        <v>46144</v>
      </c>
      <c r="C1748" s="150">
        <v>20</v>
      </c>
      <c r="D1748" s="140" t="str">
        <f>IF(ISERROR(VLOOKUP(C1748,'[1]خريطة الحسابات'!_xlnm.Print_Area,3,FALSE))," ",(VLOOKUP(C1748,'[1]خريطة الحسابات'!_xlnm.Print_Area,3,FALSE)))</f>
        <v xml:space="preserve">الخزينة </v>
      </c>
      <c r="E1748" s="142"/>
      <c r="F1748" s="133"/>
      <c r="G1748" s="133">
        <v>17989</v>
      </c>
      <c r="H1748" s="134">
        <f t="shared" si="79"/>
        <v>0</v>
      </c>
      <c r="I1748" s="134">
        <f t="shared" si="79"/>
        <v>17989</v>
      </c>
      <c r="J1748" s="134">
        <f t="shared" si="78"/>
        <v>-17989</v>
      </c>
      <c r="K1748" s="135"/>
      <c r="L1748" s="136" t="str">
        <f t="shared" si="80"/>
        <v>دائن</v>
      </c>
      <c r="M1748" s="137" t="str">
        <f>IF(ISERROR(VLOOKUP(C1748,'[1]خريطة الحسابات'!_xlnm.Print_Area,4,FALSE))," ",(VLOOKUP(C1748,'[1]خريطة الحسابات'!_xlnm.Print_Area,4,FALSE)))</f>
        <v xml:space="preserve">أصول متداوله -النقدية ومافي حكمها </v>
      </c>
      <c r="N1748" s="138" t="str">
        <f>IF(ISERROR(VLOOKUP(C1748,'[1]خريطة الحسابات'!_xlnm.Print_Area,5,FALSE))," ",(VLOOKUP(C1748,'[1]خريطة الحسابات'!_xlnm.Print_Area,5,FALSE)))</f>
        <v>الاصول</v>
      </c>
      <c r="O1748" s="84" t="s">
        <v>2037</v>
      </c>
      <c r="P1748" s="84" t="s">
        <v>1290</v>
      </c>
    </row>
    <row r="1749" spans="1:16">
      <c r="A1749" s="104">
        <v>63</v>
      </c>
      <c r="B1749" s="131">
        <v>46144</v>
      </c>
      <c r="C1749" s="150">
        <v>20</v>
      </c>
      <c r="D1749" s="140" t="str">
        <f>IF(ISERROR(VLOOKUP(C1749,'[1]خريطة الحسابات'!_xlnm.Print_Area,3,FALSE))," ",(VLOOKUP(C1749,'[1]خريطة الحسابات'!_xlnm.Print_Area,3,FALSE)))</f>
        <v xml:space="preserve">الخزينة </v>
      </c>
      <c r="E1749" s="142"/>
      <c r="F1749" s="133"/>
      <c r="G1749" s="133">
        <v>12616</v>
      </c>
      <c r="H1749" s="134">
        <f t="shared" si="79"/>
        <v>0</v>
      </c>
      <c r="I1749" s="134">
        <f t="shared" si="79"/>
        <v>12616</v>
      </c>
      <c r="J1749" s="134">
        <f t="shared" si="78"/>
        <v>-12616</v>
      </c>
      <c r="K1749" s="135"/>
      <c r="L1749" s="136" t="str">
        <f t="shared" si="80"/>
        <v>دائن</v>
      </c>
      <c r="M1749" s="137" t="str">
        <f>IF(ISERROR(VLOOKUP(C1749,'[1]خريطة الحسابات'!_xlnm.Print_Area,4,FALSE))," ",(VLOOKUP(C1749,'[1]خريطة الحسابات'!_xlnm.Print_Area,4,FALSE)))</f>
        <v xml:space="preserve">أصول متداوله -النقدية ومافي حكمها </v>
      </c>
      <c r="N1749" s="138" t="str">
        <f>IF(ISERROR(VLOOKUP(C1749,'[1]خريطة الحسابات'!_xlnm.Print_Area,5,FALSE))," ",(VLOOKUP(C1749,'[1]خريطة الحسابات'!_xlnm.Print_Area,5,FALSE)))</f>
        <v>الاصول</v>
      </c>
      <c r="O1749" s="84" t="s">
        <v>2037</v>
      </c>
      <c r="P1749" s="84" t="s">
        <v>1290</v>
      </c>
    </row>
    <row r="1750" spans="1:16">
      <c r="A1750" s="104">
        <v>63</v>
      </c>
      <c r="B1750" s="131">
        <v>46144</v>
      </c>
      <c r="C1750" s="150">
        <v>20</v>
      </c>
      <c r="D1750" s="140" t="str">
        <f>IF(ISERROR(VLOOKUP(C1750,'[1]خريطة الحسابات'!_xlnm.Print_Area,3,FALSE))," ",(VLOOKUP(C1750,'[1]خريطة الحسابات'!_xlnm.Print_Area,3,FALSE)))</f>
        <v xml:space="preserve">الخزينة </v>
      </c>
      <c r="E1750" s="142"/>
      <c r="F1750" s="133"/>
      <c r="G1750" s="133">
        <v>715</v>
      </c>
      <c r="H1750" s="134">
        <f t="shared" si="79"/>
        <v>0</v>
      </c>
      <c r="I1750" s="134">
        <f t="shared" si="79"/>
        <v>715</v>
      </c>
      <c r="J1750" s="134">
        <f t="shared" si="78"/>
        <v>-715</v>
      </c>
      <c r="K1750" s="135"/>
      <c r="L1750" s="136" t="str">
        <f t="shared" si="80"/>
        <v>دائن</v>
      </c>
      <c r="M1750" s="137" t="str">
        <f>IF(ISERROR(VLOOKUP(C1750,'[1]خريطة الحسابات'!_xlnm.Print_Area,4,FALSE))," ",(VLOOKUP(C1750,'[1]خريطة الحسابات'!_xlnm.Print_Area,4,FALSE)))</f>
        <v xml:space="preserve">أصول متداوله -النقدية ومافي حكمها </v>
      </c>
      <c r="N1750" s="138" t="str">
        <f>IF(ISERROR(VLOOKUP(C1750,'[1]خريطة الحسابات'!_xlnm.Print_Area,5,FALSE))," ",(VLOOKUP(C1750,'[1]خريطة الحسابات'!_xlnm.Print_Area,5,FALSE)))</f>
        <v>الاصول</v>
      </c>
      <c r="O1750" s="84" t="s">
        <v>2072</v>
      </c>
      <c r="P1750" s="84" t="s">
        <v>1290</v>
      </c>
    </row>
    <row r="1751" spans="1:16">
      <c r="A1751" s="104">
        <v>63</v>
      </c>
      <c r="B1751" s="131">
        <v>46151</v>
      </c>
      <c r="C1751" s="150">
        <v>20</v>
      </c>
      <c r="D1751" s="140" t="str">
        <f>IF(ISERROR(VLOOKUP(C1751,'[1]خريطة الحسابات'!_xlnm.Print_Area,3,FALSE))," ",(VLOOKUP(C1751,'[1]خريطة الحسابات'!_xlnm.Print_Area,3,FALSE)))</f>
        <v xml:space="preserve">الخزينة </v>
      </c>
      <c r="E1751" s="142"/>
      <c r="F1751" s="133"/>
      <c r="G1751" s="133">
        <v>11590</v>
      </c>
      <c r="H1751" s="134">
        <f t="shared" si="79"/>
        <v>0</v>
      </c>
      <c r="I1751" s="134">
        <f t="shared" si="79"/>
        <v>11590</v>
      </c>
      <c r="J1751" s="134">
        <f t="shared" si="78"/>
        <v>-11590</v>
      </c>
      <c r="K1751" s="135"/>
      <c r="L1751" s="136" t="str">
        <f t="shared" si="80"/>
        <v>دائن</v>
      </c>
      <c r="M1751" s="137" t="str">
        <f>IF(ISERROR(VLOOKUP(C1751,'[1]خريطة الحسابات'!_xlnm.Print_Area,4,FALSE))," ",(VLOOKUP(C1751,'[1]خريطة الحسابات'!_xlnm.Print_Area,4,FALSE)))</f>
        <v xml:space="preserve">أصول متداوله -النقدية ومافي حكمها </v>
      </c>
      <c r="N1751" s="138" t="str">
        <f>IF(ISERROR(VLOOKUP(C1751,'[1]خريطة الحسابات'!_xlnm.Print_Area,5,FALSE))," ",(VLOOKUP(C1751,'[1]خريطة الحسابات'!_xlnm.Print_Area,5,FALSE)))</f>
        <v>الاصول</v>
      </c>
      <c r="O1751" s="84" t="s">
        <v>2073</v>
      </c>
      <c r="P1751" s="84" t="s">
        <v>1290</v>
      </c>
    </row>
    <row r="1752" spans="1:16">
      <c r="A1752" s="104">
        <v>63</v>
      </c>
      <c r="B1752" s="131">
        <v>46162</v>
      </c>
      <c r="C1752" s="150">
        <v>20</v>
      </c>
      <c r="D1752" s="140" t="str">
        <f>IF(ISERROR(VLOOKUP(C1752,'[1]خريطة الحسابات'!_xlnm.Print_Area,3,FALSE))," ",(VLOOKUP(C1752,'[1]خريطة الحسابات'!_xlnm.Print_Area,3,FALSE)))</f>
        <v xml:space="preserve">الخزينة </v>
      </c>
      <c r="E1752" s="142"/>
      <c r="F1752" s="133"/>
      <c r="G1752" s="133">
        <v>30000</v>
      </c>
      <c r="H1752" s="134">
        <f t="shared" si="79"/>
        <v>0</v>
      </c>
      <c r="I1752" s="134">
        <f t="shared" si="79"/>
        <v>30000</v>
      </c>
      <c r="J1752" s="134">
        <f t="shared" ref="J1752:J1815" si="81">H1752-I1752</f>
        <v>-30000</v>
      </c>
      <c r="K1752" s="135"/>
      <c r="L1752" s="136" t="str">
        <f t="shared" si="80"/>
        <v>دائن</v>
      </c>
      <c r="M1752" s="137" t="str">
        <f>IF(ISERROR(VLOOKUP(C1752,'[1]خريطة الحسابات'!_xlnm.Print_Area,4,FALSE))," ",(VLOOKUP(C1752,'[1]خريطة الحسابات'!_xlnm.Print_Area,4,FALSE)))</f>
        <v xml:space="preserve">أصول متداوله -النقدية ومافي حكمها </v>
      </c>
      <c r="N1752" s="138" t="str">
        <f>IF(ISERROR(VLOOKUP(C1752,'[1]خريطة الحسابات'!_xlnm.Print_Area,5,FALSE))," ",(VLOOKUP(C1752,'[1]خريطة الحسابات'!_xlnm.Print_Area,5,FALSE)))</f>
        <v>الاصول</v>
      </c>
      <c r="O1752" s="84" t="s">
        <v>2074</v>
      </c>
      <c r="P1752" s="84" t="s">
        <v>1290</v>
      </c>
    </row>
    <row r="1753" spans="1:16">
      <c r="A1753" s="104">
        <v>63</v>
      </c>
      <c r="B1753" s="131">
        <v>46163</v>
      </c>
      <c r="C1753" s="150">
        <v>20</v>
      </c>
      <c r="D1753" s="140" t="str">
        <f>IF(ISERROR(VLOOKUP(C1753,'[1]خريطة الحسابات'!_xlnm.Print_Area,3,FALSE))," ",(VLOOKUP(C1753,'[1]خريطة الحسابات'!_xlnm.Print_Area,3,FALSE)))</f>
        <v xml:space="preserve">الخزينة </v>
      </c>
      <c r="E1753" s="142"/>
      <c r="F1753" s="133"/>
      <c r="G1753" s="133">
        <v>1905</v>
      </c>
      <c r="H1753" s="134">
        <f t="shared" ref="H1753:I1816" si="82">IF($E1753=2,F1753*3.465,F1753)</f>
        <v>0</v>
      </c>
      <c r="I1753" s="134">
        <f t="shared" si="82"/>
        <v>1905</v>
      </c>
      <c r="J1753" s="134">
        <f t="shared" si="81"/>
        <v>-1905</v>
      </c>
      <c r="K1753" s="135"/>
      <c r="L1753" s="136" t="str">
        <f t="shared" si="80"/>
        <v>دائن</v>
      </c>
      <c r="M1753" s="137" t="str">
        <f>IF(ISERROR(VLOOKUP(C1753,'[1]خريطة الحسابات'!_xlnm.Print_Area,4,FALSE))," ",(VLOOKUP(C1753,'[1]خريطة الحسابات'!_xlnm.Print_Area,4,FALSE)))</f>
        <v xml:space="preserve">أصول متداوله -النقدية ومافي حكمها </v>
      </c>
      <c r="N1753" s="138" t="str">
        <f>IF(ISERROR(VLOOKUP(C1753,'[1]خريطة الحسابات'!_xlnm.Print_Area,5,FALSE))," ",(VLOOKUP(C1753,'[1]خريطة الحسابات'!_xlnm.Print_Area,5,FALSE)))</f>
        <v>الاصول</v>
      </c>
      <c r="O1753" s="84" t="s">
        <v>2075</v>
      </c>
      <c r="P1753" s="84" t="s">
        <v>1290</v>
      </c>
    </row>
    <row r="1754" spans="1:16">
      <c r="A1754" s="104">
        <v>63</v>
      </c>
      <c r="B1754" s="131">
        <v>46163</v>
      </c>
      <c r="C1754" s="150">
        <v>20</v>
      </c>
      <c r="D1754" s="140" t="str">
        <f>IF(ISERROR(VLOOKUP(C1754,'[1]خريطة الحسابات'!_xlnm.Print_Area,3,FALSE))," ",(VLOOKUP(C1754,'[1]خريطة الحسابات'!_xlnm.Print_Area,3,FALSE)))</f>
        <v xml:space="preserve">الخزينة </v>
      </c>
      <c r="E1754" s="142"/>
      <c r="F1754" s="133"/>
      <c r="G1754" s="133">
        <v>1400</v>
      </c>
      <c r="H1754" s="134">
        <f t="shared" si="82"/>
        <v>0</v>
      </c>
      <c r="I1754" s="134">
        <f t="shared" si="82"/>
        <v>1400</v>
      </c>
      <c r="J1754" s="134">
        <f t="shared" si="81"/>
        <v>-1400</v>
      </c>
      <c r="K1754" s="135"/>
      <c r="L1754" s="136" t="str">
        <f t="shared" si="80"/>
        <v>دائن</v>
      </c>
      <c r="M1754" s="137" t="str">
        <f>IF(ISERROR(VLOOKUP(C1754,'[1]خريطة الحسابات'!_xlnm.Print_Area,4,FALSE))," ",(VLOOKUP(C1754,'[1]خريطة الحسابات'!_xlnm.Print_Area,4,FALSE)))</f>
        <v xml:space="preserve">أصول متداوله -النقدية ومافي حكمها </v>
      </c>
      <c r="N1754" s="138" t="str">
        <f>IF(ISERROR(VLOOKUP(C1754,'[1]خريطة الحسابات'!_xlnm.Print_Area,5,FALSE))," ",(VLOOKUP(C1754,'[1]خريطة الحسابات'!_xlnm.Print_Area,5,FALSE)))</f>
        <v>الاصول</v>
      </c>
      <c r="O1754" s="84" t="s">
        <v>2076</v>
      </c>
      <c r="P1754" s="84" t="s">
        <v>1290</v>
      </c>
    </row>
    <row r="1755" spans="1:16">
      <c r="A1755" s="104">
        <v>63</v>
      </c>
      <c r="B1755" s="131">
        <v>46166</v>
      </c>
      <c r="C1755" s="150">
        <v>20</v>
      </c>
      <c r="D1755" s="140" t="str">
        <f>IF(ISERROR(VLOOKUP(C1755,'[1]خريطة الحسابات'!_xlnm.Print_Area,3,FALSE))," ",(VLOOKUP(C1755,'[1]خريطة الحسابات'!_xlnm.Print_Area,3,FALSE)))</f>
        <v xml:space="preserve">الخزينة </v>
      </c>
      <c r="E1755" s="142"/>
      <c r="F1755" s="133"/>
      <c r="G1755" s="133">
        <v>9700</v>
      </c>
      <c r="H1755" s="134">
        <f t="shared" si="82"/>
        <v>0</v>
      </c>
      <c r="I1755" s="134">
        <f t="shared" si="82"/>
        <v>9700</v>
      </c>
      <c r="J1755" s="134">
        <f t="shared" si="81"/>
        <v>-9700</v>
      </c>
      <c r="K1755" s="135"/>
      <c r="L1755" s="136" t="str">
        <f t="shared" ref="L1755:L1818" si="83">IF(J1755&lt;0,"دائن",IF(J1755&gt;0,"مدين",""))</f>
        <v>دائن</v>
      </c>
      <c r="M1755" s="137" t="str">
        <f>IF(ISERROR(VLOOKUP(C1755,'[1]خريطة الحسابات'!_xlnm.Print_Area,4,FALSE))," ",(VLOOKUP(C1755,'[1]خريطة الحسابات'!_xlnm.Print_Area,4,FALSE)))</f>
        <v xml:space="preserve">أصول متداوله -النقدية ومافي حكمها </v>
      </c>
      <c r="N1755" s="138" t="str">
        <f>IF(ISERROR(VLOOKUP(C1755,'[1]خريطة الحسابات'!_xlnm.Print_Area,5,FALSE))," ",(VLOOKUP(C1755,'[1]خريطة الحسابات'!_xlnm.Print_Area,5,FALSE)))</f>
        <v>الاصول</v>
      </c>
      <c r="O1755" s="84" t="s">
        <v>2077</v>
      </c>
      <c r="P1755" s="84" t="s">
        <v>1290</v>
      </c>
    </row>
    <row r="1756" spans="1:16">
      <c r="A1756" s="104">
        <v>63</v>
      </c>
      <c r="B1756" s="131">
        <v>46166</v>
      </c>
      <c r="C1756" s="150">
        <v>20</v>
      </c>
      <c r="D1756" s="140" t="str">
        <f>IF(ISERROR(VLOOKUP(C1756,'[1]خريطة الحسابات'!_xlnm.Print_Area,3,FALSE))," ",(VLOOKUP(C1756,'[1]خريطة الحسابات'!_xlnm.Print_Area,3,FALSE)))</f>
        <v xml:space="preserve">الخزينة </v>
      </c>
      <c r="E1756" s="142"/>
      <c r="F1756" s="133"/>
      <c r="G1756" s="133">
        <v>505</v>
      </c>
      <c r="H1756" s="134">
        <f t="shared" si="82"/>
        <v>0</v>
      </c>
      <c r="I1756" s="134">
        <f t="shared" si="82"/>
        <v>505</v>
      </c>
      <c r="J1756" s="134">
        <f t="shared" si="81"/>
        <v>-505</v>
      </c>
      <c r="K1756" s="135"/>
      <c r="L1756" s="136" t="str">
        <f t="shared" si="83"/>
        <v>دائن</v>
      </c>
      <c r="M1756" s="137" t="str">
        <f>IF(ISERROR(VLOOKUP(C1756,'[1]خريطة الحسابات'!_xlnm.Print_Area,4,FALSE))," ",(VLOOKUP(C1756,'[1]خريطة الحسابات'!_xlnm.Print_Area,4,FALSE)))</f>
        <v xml:space="preserve">أصول متداوله -النقدية ومافي حكمها </v>
      </c>
      <c r="N1756" s="138" t="str">
        <f>IF(ISERROR(VLOOKUP(C1756,'[1]خريطة الحسابات'!_xlnm.Print_Area,5,FALSE))," ",(VLOOKUP(C1756,'[1]خريطة الحسابات'!_xlnm.Print_Area,5,FALSE)))</f>
        <v>الاصول</v>
      </c>
      <c r="O1756" s="84" t="s">
        <v>2078</v>
      </c>
      <c r="P1756" s="84" t="s">
        <v>1290</v>
      </c>
    </row>
    <row r="1757" spans="1:16">
      <c r="A1757" s="104">
        <v>63</v>
      </c>
      <c r="B1757" s="131">
        <v>46179</v>
      </c>
      <c r="C1757" s="150">
        <v>20</v>
      </c>
      <c r="D1757" s="140" t="str">
        <f>IF(ISERROR(VLOOKUP(C1757,'[1]خريطة الحسابات'!_xlnm.Print_Area,3,FALSE))," ",(VLOOKUP(C1757,'[1]خريطة الحسابات'!_xlnm.Print_Area,3,FALSE)))</f>
        <v xml:space="preserve">الخزينة </v>
      </c>
      <c r="E1757" s="142"/>
      <c r="F1757" s="133"/>
      <c r="G1757" s="133">
        <v>14000</v>
      </c>
      <c r="H1757" s="134">
        <f t="shared" si="82"/>
        <v>0</v>
      </c>
      <c r="I1757" s="134">
        <f t="shared" si="82"/>
        <v>14000</v>
      </c>
      <c r="J1757" s="134">
        <f t="shared" si="81"/>
        <v>-14000</v>
      </c>
      <c r="K1757" s="135"/>
      <c r="L1757" s="136" t="str">
        <f t="shared" si="83"/>
        <v>دائن</v>
      </c>
      <c r="M1757" s="137" t="str">
        <f>IF(ISERROR(VLOOKUP(C1757,'[1]خريطة الحسابات'!_xlnm.Print_Area,4,FALSE))," ",(VLOOKUP(C1757,'[1]خريطة الحسابات'!_xlnm.Print_Area,4,FALSE)))</f>
        <v xml:space="preserve">أصول متداوله -النقدية ومافي حكمها </v>
      </c>
      <c r="N1757" s="138" t="str">
        <f>IF(ISERROR(VLOOKUP(C1757,'[1]خريطة الحسابات'!_xlnm.Print_Area,5,FALSE))," ",(VLOOKUP(C1757,'[1]خريطة الحسابات'!_xlnm.Print_Area,5,FALSE)))</f>
        <v>الاصول</v>
      </c>
      <c r="O1757" s="84" t="s">
        <v>2078</v>
      </c>
      <c r="P1757" s="84" t="s">
        <v>1290</v>
      </c>
    </row>
    <row r="1758" spans="1:16">
      <c r="A1758" s="104">
        <v>63</v>
      </c>
      <c r="B1758" s="131">
        <v>46184</v>
      </c>
      <c r="C1758" s="150">
        <v>20</v>
      </c>
      <c r="D1758" s="140" t="str">
        <f>IF(ISERROR(VLOOKUP(C1758,'[1]خريطة الحسابات'!_xlnm.Print_Area,3,FALSE))," ",(VLOOKUP(C1758,'[1]خريطة الحسابات'!_xlnm.Print_Area,3,FALSE)))</f>
        <v xml:space="preserve">الخزينة </v>
      </c>
      <c r="E1758" s="142"/>
      <c r="F1758" s="133"/>
      <c r="G1758" s="133">
        <v>550</v>
      </c>
      <c r="H1758" s="134">
        <f t="shared" si="82"/>
        <v>0</v>
      </c>
      <c r="I1758" s="134">
        <f t="shared" si="82"/>
        <v>550</v>
      </c>
      <c r="J1758" s="134">
        <f t="shared" si="81"/>
        <v>-550</v>
      </c>
      <c r="K1758" s="135"/>
      <c r="L1758" s="136" t="str">
        <f t="shared" si="83"/>
        <v>دائن</v>
      </c>
      <c r="M1758" s="137" t="str">
        <f>IF(ISERROR(VLOOKUP(C1758,'[1]خريطة الحسابات'!_xlnm.Print_Area,4,FALSE))," ",(VLOOKUP(C1758,'[1]خريطة الحسابات'!_xlnm.Print_Area,4,FALSE)))</f>
        <v xml:space="preserve">أصول متداوله -النقدية ومافي حكمها </v>
      </c>
      <c r="N1758" s="138" t="str">
        <f>IF(ISERROR(VLOOKUP(C1758,'[1]خريطة الحسابات'!_xlnm.Print_Area,5,FALSE))," ",(VLOOKUP(C1758,'[1]خريطة الحسابات'!_xlnm.Print_Area,5,FALSE)))</f>
        <v>الاصول</v>
      </c>
      <c r="O1758" s="84" t="s">
        <v>2079</v>
      </c>
      <c r="P1758" s="84" t="s">
        <v>1290</v>
      </c>
    </row>
    <row r="1759" spans="1:16">
      <c r="A1759" s="104">
        <v>63</v>
      </c>
      <c r="B1759" s="131">
        <v>46184</v>
      </c>
      <c r="C1759" s="150">
        <v>20</v>
      </c>
      <c r="D1759" s="140" t="str">
        <f>IF(ISERROR(VLOOKUP(C1759,'[1]خريطة الحسابات'!_xlnm.Print_Area,3,FALSE))," ",(VLOOKUP(C1759,'[1]خريطة الحسابات'!_xlnm.Print_Area,3,FALSE)))</f>
        <v xml:space="preserve">الخزينة </v>
      </c>
      <c r="E1759" s="142"/>
      <c r="F1759" s="133"/>
      <c r="G1759" s="133">
        <v>2200</v>
      </c>
      <c r="H1759" s="134">
        <f t="shared" si="82"/>
        <v>0</v>
      </c>
      <c r="I1759" s="134">
        <f t="shared" si="82"/>
        <v>2200</v>
      </c>
      <c r="J1759" s="134">
        <f t="shared" si="81"/>
        <v>-2200</v>
      </c>
      <c r="K1759" s="135"/>
      <c r="L1759" s="136" t="str">
        <f t="shared" si="83"/>
        <v>دائن</v>
      </c>
      <c r="M1759" s="137" t="str">
        <f>IF(ISERROR(VLOOKUP(C1759,'[1]خريطة الحسابات'!_xlnm.Print_Area,4,FALSE))," ",(VLOOKUP(C1759,'[1]خريطة الحسابات'!_xlnm.Print_Area,4,FALSE)))</f>
        <v xml:space="preserve">أصول متداوله -النقدية ومافي حكمها </v>
      </c>
      <c r="N1759" s="138" t="str">
        <f>IF(ISERROR(VLOOKUP(C1759,'[1]خريطة الحسابات'!_xlnm.Print_Area,5,FALSE))," ",(VLOOKUP(C1759,'[1]خريطة الحسابات'!_xlnm.Print_Area,5,FALSE)))</f>
        <v>الاصول</v>
      </c>
      <c r="O1759" s="84" t="s">
        <v>2080</v>
      </c>
      <c r="P1759" s="84" t="s">
        <v>1290</v>
      </c>
    </row>
    <row r="1760" spans="1:16">
      <c r="A1760" s="104">
        <v>63</v>
      </c>
      <c r="B1760" s="131">
        <v>46186</v>
      </c>
      <c r="C1760" s="150">
        <v>20</v>
      </c>
      <c r="D1760" s="140" t="str">
        <f>IF(ISERROR(VLOOKUP(C1760,'[1]خريطة الحسابات'!_xlnm.Print_Area,3,FALSE))," ",(VLOOKUP(C1760,'[1]خريطة الحسابات'!_xlnm.Print_Area,3,FALSE)))</f>
        <v xml:space="preserve">الخزينة </v>
      </c>
      <c r="E1760" s="142"/>
      <c r="F1760" s="133"/>
      <c r="G1760" s="133">
        <v>90950</v>
      </c>
      <c r="H1760" s="134">
        <f t="shared" si="82"/>
        <v>0</v>
      </c>
      <c r="I1760" s="134">
        <f t="shared" si="82"/>
        <v>90950</v>
      </c>
      <c r="J1760" s="134">
        <f t="shared" si="81"/>
        <v>-90950</v>
      </c>
      <c r="K1760" s="135"/>
      <c r="L1760" s="136" t="str">
        <f t="shared" si="83"/>
        <v>دائن</v>
      </c>
      <c r="M1760" s="137" t="str">
        <f>IF(ISERROR(VLOOKUP(C1760,'[1]خريطة الحسابات'!_xlnm.Print_Area,4,FALSE))," ",(VLOOKUP(C1760,'[1]خريطة الحسابات'!_xlnm.Print_Area,4,FALSE)))</f>
        <v xml:space="preserve">أصول متداوله -النقدية ومافي حكمها </v>
      </c>
      <c r="N1760" s="138" t="str">
        <f>IF(ISERROR(VLOOKUP(C1760,'[1]خريطة الحسابات'!_xlnm.Print_Area,5,FALSE))," ",(VLOOKUP(C1760,'[1]خريطة الحسابات'!_xlnm.Print_Area,5,FALSE)))</f>
        <v>الاصول</v>
      </c>
      <c r="O1760" s="84" t="s">
        <v>2081</v>
      </c>
      <c r="P1760" s="84" t="s">
        <v>1290</v>
      </c>
    </row>
    <row r="1761" spans="1:16">
      <c r="A1761" s="104">
        <v>63</v>
      </c>
      <c r="B1761" s="131">
        <v>46046</v>
      </c>
      <c r="C1761" s="150">
        <v>20</v>
      </c>
      <c r="D1761" s="140" t="str">
        <f>IF(ISERROR(VLOOKUP(C1761,'[1]خريطة الحسابات'!_xlnm.Print_Area,3,FALSE))," ",(VLOOKUP(C1761,'[1]خريطة الحسابات'!_xlnm.Print_Area,3,FALSE)))</f>
        <v xml:space="preserve">الخزينة </v>
      </c>
      <c r="E1761" s="142"/>
      <c r="F1761" s="133"/>
      <c r="G1761" s="133">
        <v>50790</v>
      </c>
      <c r="H1761" s="134">
        <f t="shared" si="82"/>
        <v>0</v>
      </c>
      <c r="I1761" s="134">
        <f t="shared" si="82"/>
        <v>50790</v>
      </c>
      <c r="J1761" s="134">
        <f t="shared" si="81"/>
        <v>-50790</v>
      </c>
      <c r="K1761" s="135"/>
      <c r="L1761" s="136" t="str">
        <f t="shared" si="83"/>
        <v>دائن</v>
      </c>
      <c r="M1761" s="137" t="str">
        <f>IF(ISERROR(VLOOKUP(C1761,'[1]خريطة الحسابات'!_xlnm.Print_Area,4,FALSE))," ",(VLOOKUP(C1761,'[1]خريطة الحسابات'!_xlnm.Print_Area,4,FALSE)))</f>
        <v xml:space="preserve">أصول متداوله -النقدية ومافي حكمها </v>
      </c>
      <c r="N1761" s="138" t="str">
        <f>IF(ISERROR(VLOOKUP(C1761,'[1]خريطة الحسابات'!_xlnm.Print_Area,5,FALSE))," ",(VLOOKUP(C1761,'[1]خريطة الحسابات'!_xlnm.Print_Area,5,FALSE)))</f>
        <v>الاصول</v>
      </c>
      <c r="O1761" s="84" t="s">
        <v>2082</v>
      </c>
      <c r="P1761" s="84" t="s">
        <v>2083</v>
      </c>
    </row>
    <row r="1762" spans="1:16">
      <c r="A1762" s="104">
        <v>63</v>
      </c>
      <c r="B1762" s="131">
        <v>46046</v>
      </c>
      <c r="C1762" s="150">
        <v>20</v>
      </c>
      <c r="D1762" s="140" t="str">
        <f>IF(ISERROR(VLOOKUP(C1762,'[1]خريطة الحسابات'!_xlnm.Print_Area,3,FALSE))," ",(VLOOKUP(C1762,'[1]خريطة الحسابات'!_xlnm.Print_Area,3,FALSE)))</f>
        <v xml:space="preserve">الخزينة </v>
      </c>
      <c r="E1762" s="142"/>
      <c r="F1762" s="133"/>
      <c r="G1762" s="133">
        <v>6205</v>
      </c>
      <c r="H1762" s="134">
        <f t="shared" si="82"/>
        <v>0</v>
      </c>
      <c r="I1762" s="134">
        <f t="shared" si="82"/>
        <v>6205</v>
      </c>
      <c r="J1762" s="134">
        <f t="shared" si="81"/>
        <v>-6205</v>
      </c>
      <c r="K1762" s="135"/>
      <c r="L1762" s="136" t="str">
        <f t="shared" si="83"/>
        <v>دائن</v>
      </c>
      <c r="M1762" s="137" t="str">
        <f>IF(ISERROR(VLOOKUP(C1762,'[1]خريطة الحسابات'!_xlnm.Print_Area,4,FALSE))," ",(VLOOKUP(C1762,'[1]خريطة الحسابات'!_xlnm.Print_Area,4,FALSE)))</f>
        <v xml:space="preserve">أصول متداوله -النقدية ومافي حكمها </v>
      </c>
      <c r="N1762" s="138" t="str">
        <f>IF(ISERROR(VLOOKUP(C1762,'[1]خريطة الحسابات'!_xlnm.Print_Area,5,FALSE))," ",(VLOOKUP(C1762,'[1]خريطة الحسابات'!_xlnm.Print_Area,5,FALSE)))</f>
        <v>الاصول</v>
      </c>
      <c r="O1762" s="84" t="s">
        <v>2084</v>
      </c>
      <c r="P1762" s="84" t="s">
        <v>1315</v>
      </c>
    </row>
    <row r="1763" spans="1:16">
      <c r="A1763" s="104">
        <v>63</v>
      </c>
      <c r="B1763" s="131">
        <v>46056</v>
      </c>
      <c r="C1763" s="150">
        <v>20</v>
      </c>
      <c r="D1763" s="140" t="str">
        <f>IF(ISERROR(VLOOKUP(C1763,'[1]خريطة الحسابات'!_xlnm.Print_Area,3,FALSE))," ",(VLOOKUP(C1763,'[1]خريطة الحسابات'!_xlnm.Print_Area,3,FALSE)))</f>
        <v xml:space="preserve">الخزينة </v>
      </c>
      <c r="E1763" s="142"/>
      <c r="F1763" s="133"/>
      <c r="G1763" s="133">
        <v>375</v>
      </c>
      <c r="H1763" s="134">
        <f t="shared" si="82"/>
        <v>0</v>
      </c>
      <c r="I1763" s="134">
        <f t="shared" si="82"/>
        <v>375</v>
      </c>
      <c r="J1763" s="134">
        <f t="shared" si="81"/>
        <v>-375</v>
      </c>
      <c r="K1763" s="135"/>
      <c r="L1763" s="136" t="str">
        <f t="shared" si="83"/>
        <v>دائن</v>
      </c>
      <c r="M1763" s="137" t="str">
        <f>IF(ISERROR(VLOOKUP(C1763,'[1]خريطة الحسابات'!_xlnm.Print_Area,4,FALSE))," ",(VLOOKUP(C1763,'[1]خريطة الحسابات'!_xlnm.Print_Area,4,FALSE)))</f>
        <v xml:space="preserve">أصول متداوله -النقدية ومافي حكمها </v>
      </c>
      <c r="N1763" s="138" t="str">
        <f>IF(ISERROR(VLOOKUP(C1763,'[1]خريطة الحسابات'!_xlnm.Print_Area,5,FALSE))," ",(VLOOKUP(C1763,'[1]خريطة الحسابات'!_xlnm.Print_Area,5,FALSE)))</f>
        <v>الاصول</v>
      </c>
      <c r="O1763" s="84" t="s">
        <v>2085</v>
      </c>
      <c r="P1763" s="84" t="s">
        <v>1315</v>
      </c>
    </row>
    <row r="1764" spans="1:16">
      <c r="A1764" s="104">
        <v>63</v>
      </c>
      <c r="B1764" s="131">
        <v>46086</v>
      </c>
      <c r="C1764" s="150">
        <v>20</v>
      </c>
      <c r="D1764" s="140" t="str">
        <f>IF(ISERROR(VLOOKUP(C1764,'[1]خريطة الحسابات'!_xlnm.Print_Area,3,FALSE))," ",(VLOOKUP(C1764,'[1]خريطة الحسابات'!_xlnm.Print_Area,3,FALSE)))</f>
        <v xml:space="preserve">الخزينة </v>
      </c>
      <c r="E1764" s="142"/>
      <c r="F1764" s="133"/>
      <c r="G1764" s="133">
        <v>5405</v>
      </c>
      <c r="H1764" s="134">
        <f t="shared" si="82"/>
        <v>0</v>
      </c>
      <c r="I1764" s="134">
        <f t="shared" si="82"/>
        <v>5405</v>
      </c>
      <c r="J1764" s="134">
        <f t="shared" si="81"/>
        <v>-5405</v>
      </c>
      <c r="K1764" s="135"/>
      <c r="L1764" s="136" t="str">
        <f t="shared" si="83"/>
        <v>دائن</v>
      </c>
      <c r="M1764" s="137" t="str">
        <f>IF(ISERROR(VLOOKUP(C1764,'[1]خريطة الحسابات'!_xlnm.Print_Area,4,FALSE))," ",(VLOOKUP(C1764,'[1]خريطة الحسابات'!_xlnm.Print_Area,4,FALSE)))</f>
        <v xml:space="preserve">أصول متداوله -النقدية ومافي حكمها </v>
      </c>
      <c r="N1764" s="138" t="str">
        <f>IF(ISERROR(VLOOKUP(C1764,'[1]خريطة الحسابات'!_xlnm.Print_Area,5,FALSE))," ",(VLOOKUP(C1764,'[1]خريطة الحسابات'!_xlnm.Print_Area,5,FALSE)))</f>
        <v>الاصول</v>
      </c>
      <c r="O1764" s="84" t="s">
        <v>2086</v>
      </c>
      <c r="P1764" s="84" t="s">
        <v>1315</v>
      </c>
    </row>
    <row r="1765" spans="1:16">
      <c r="A1765" s="104">
        <v>63</v>
      </c>
      <c r="B1765" s="131">
        <v>46089</v>
      </c>
      <c r="C1765" s="150">
        <v>20</v>
      </c>
      <c r="D1765" s="140" t="str">
        <f>IF(ISERROR(VLOOKUP(C1765,'[1]خريطة الحسابات'!_xlnm.Print_Area,3,FALSE))," ",(VLOOKUP(C1765,'[1]خريطة الحسابات'!_xlnm.Print_Area,3,FALSE)))</f>
        <v xml:space="preserve">الخزينة </v>
      </c>
      <c r="E1765" s="142"/>
      <c r="F1765" s="133"/>
      <c r="G1765" s="133">
        <v>77385</v>
      </c>
      <c r="H1765" s="134">
        <f t="shared" si="82"/>
        <v>0</v>
      </c>
      <c r="I1765" s="134">
        <f t="shared" si="82"/>
        <v>77385</v>
      </c>
      <c r="J1765" s="134">
        <f t="shared" si="81"/>
        <v>-77385</v>
      </c>
      <c r="K1765" s="135"/>
      <c r="L1765" s="136" t="str">
        <f t="shared" si="83"/>
        <v>دائن</v>
      </c>
      <c r="M1765" s="137" t="str">
        <f>IF(ISERROR(VLOOKUP(C1765,'[1]خريطة الحسابات'!_xlnm.Print_Area,4,FALSE))," ",(VLOOKUP(C1765,'[1]خريطة الحسابات'!_xlnm.Print_Area,4,FALSE)))</f>
        <v xml:space="preserve">أصول متداوله -النقدية ومافي حكمها </v>
      </c>
      <c r="N1765" s="138" t="str">
        <f>IF(ISERROR(VLOOKUP(C1765,'[1]خريطة الحسابات'!_xlnm.Print_Area,5,FALSE))," ",(VLOOKUP(C1765,'[1]خريطة الحسابات'!_xlnm.Print_Area,5,FALSE)))</f>
        <v>الاصول</v>
      </c>
      <c r="O1765" s="84" t="s">
        <v>2087</v>
      </c>
      <c r="P1765" s="84" t="s">
        <v>1315</v>
      </c>
    </row>
    <row r="1766" spans="1:16">
      <c r="A1766" s="104">
        <v>63</v>
      </c>
      <c r="B1766" s="131">
        <v>46093</v>
      </c>
      <c r="C1766" s="150">
        <v>20</v>
      </c>
      <c r="D1766" s="140" t="str">
        <f>IF(ISERROR(VLOOKUP(C1766,'[1]خريطة الحسابات'!_xlnm.Print_Area,3,FALSE))," ",(VLOOKUP(C1766,'[1]خريطة الحسابات'!_xlnm.Print_Area,3,FALSE)))</f>
        <v xml:space="preserve">الخزينة </v>
      </c>
      <c r="E1766" s="142"/>
      <c r="F1766" s="133"/>
      <c r="G1766" s="133">
        <v>24024</v>
      </c>
      <c r="H1766" s="134">
        <f t="shared" si="82"/>
        <v>0</v>
      </c>
      <c r="I1766" s="134">
        <f t="shared" si="82"/>
        <v>24024</v>
      </c>
      <c r="J1766" s="134">
        <f t="shared" si="81"/>
        <v>-24024</v>
      </c>
      <c r="K1766" s="135"/>
      <c r="L1766" s="136" t="str">
        <f t="shared" si="83"/>
        <v>دائن</v>
      </c>
      <c r="M1766" s="137" t="str">
        <f>IF(ISERROR(VLOOKUP(C1766,'[1]خريطة الحسابات'!_xlnm.Print_Area,4,FALSE))," ",(VLOOKUP(C1766,'[1]خريطة الحسابات'!_xlnm.Print_Area,4,FALSE)))</f>
        <v xml:space="preserve">أصول متداوله -النقدية ومافي حكمها </v>
      </c>
      <c r="N1766" s="138" t="str">
        <f>IF(ISERROR(VLOOKUP(C1766,'[1]خريطة الحسابات'!_xlnm.Print_Area,5,FALSE))," ",(VLOOKUP(C1766,'[1]خريطة الحسابات'!_xlnm.Print_Area,5,FALSE)))</f>
        <v>الاصول</v>
      </c>
      <c r="O1766" s="84" t="s">
        <v>2088</v>
      </c>
      <c r="P1766" s="84" t="s">
        <v>1315</v>
      </c>
    </row>
    <row r="1767" spans="1:16">
      <c r="A1767" s="104">
        <v>63</v>
      </c>
      <c r="B1767" s="131">
        <v>46099</v>
      </c>
      <c r="C1767" s="150">
        <v>20</v>
      </c>
      <c r="D1767" s="140" t="str">
        <f>IF(ISERROR(VLOOKUP(C1767,'[1]خريطة الحسابات'!_xlnm.Print_Area,3,FALSE))," ",(VLOOKUP(C1767,'[1]خريطة الحسابات'!_xlnm.Print_Area,3,FALSE)))</f>
        <v xml:space="preserve">الخزينة </v>
      </c>
      <c r="E1767" s="142"/>
      <c r="F1767" s="133"/>
      <c r="G1767" s="133">
        <v>726</v>
      </c>
      <c r="H1767" s="134">
        <f t="shared" si="82"/>
        <v>0</v>
      </c>
      <c r="I1767" s="134">
        <f t="shared" si="82"/>
        <v>726</v>
      </c>
      <c r="J1767" s="134">
        <f t="shared" si="81"/>
        <v>-726</v>
      </c>
      <c r="K1767" s="135"/>
      <c r="L1767" s="136" t="str">
        <f t="shared" si="83"/>
        <v>دائن</v>
      </c>
      <c r="M1767" s="137" t="str">
        <f>IF(ISERROR(VLOOKUP(C1767,'[1]خريطة الحسابات'!_xlnm.Print_Area,4,FALSE))," ",(VLOOKUP(C1767,'[1]خريطة الحسابات'!_xlnm.Print_Area,4,FALSE)))</f>
        <v xml:space="preserve">أصول متداوله -النقدية ومافي حكمها </v>
      </c>
      <c r="N1767" s="138" t="str">
        <f>IF(ISERROR(VLOOKUP(C1767,'[1]خريطة الحسابات'!_xlnm.Print_Area,5,FALSE))," ",(VLOOKUP(C1767,'[1]خريطة الحسابات'!_xlnm.Print_Area,5,FALSE)))</f>
        <v>الاصول</v>
      </c>
      <c r="O1767" s="84" t="s">
        <v>2089</v>
      </c>
      <c r="P1767" s="84" t="s">
        <v>1315</v>
      </c>
    </row>
    <row r="1768" spans="1:16">
      <c r="A1768" s="104">
        <v>63</v>
      </c>
      <c r="B1768" s="131">
        <v>46133</v>
      </c>
      <c r="C1768" s="150">
        <v>20</v>
      </c>
      <c r="D1768" s="140" t="str">
        <f>IF(ISERROR(VLOOKUP(C1768,'[1]خريطة الحسابات'!_xlnm.Print_Area,3,FALSE))," ",(VLOOKUP(C1768,'[1]خريطة الحسابات'!_xlnm.Print_Area,3,FALSE)))</f>
        <v xml:space="preserve">الخزينة </v>
      </c>
      <c r="E1768" s="142"/>
      <c r="F1768" s="133"/>
      <c r="G1768" s="133">
        <v>118625</v>
      </c>
      <c r="H1768" s="134">
        <f t="shared" si="82"/>
        <v>0</v>
      </c>
      <c r="I1768" s="134">
        <f t="shared" si="82"/>
        <v>118625</v>
      </c>
      <c r="J1768" s="134">
        <f t="shared" si="81"/>
        <v>-118625</v>
      </c>
      <c r="K1768" s="135"/>
      <c r="L1768" s="136" t="str">
        <f t="shared" si="83"/>
        <v>دائن</v>
      </c>
      <c r="M1768" s="137" t="str">
        <f>IF(ISERROR(VLOOKUP(C1768,'[1]خريطة الحسابات'!_xlnm.Print_Area,4,FALSE))," ",(VLOOKUP(C1768,'[1]خريطة الحسابات'!_xlnm.Print_Area,4,FALSE)))</f>
        <v xml:space="preserve">أصول متداوله -النقدية ومافي حكمها </v>
      </c>
      <c r="N1768" s="138" t="str">
        <f>IF(ISERROR(VLOOKUP(C1768,'[1]خريطة الحسابات'!_xlnm.Print_Area,5,FALSE))," ",(VLOOKUP(C1768,'[1]خريطة الحسابات'!_xlnm.Print_Area,5,FALSE)))</f>
        <v>الاصول</v>
      </c>
      <c r="O1768" s="84" t="s">
        <v>2035</v>
      </c>
      <c r="P1768" s="84" t="s">
        <v>1315</v>
      </c>
    </row>
    <row r="1769" spans="1:16">
      <c r="A1769" s="104">
        <v>63</v>
      </c>
      <c r="B1769" s="131">
        <v>46135</v>
      </c>
      <c r="C1769" s="150">
        <v>20</v>
      </c>
      <c r="D1769" s="140" t="str">
        <f>IF(ISERROR(VLOOKUP(C1769,'[1]خريطة الحسابات'!_xlnm.Print_Area,3,FALSE))," ",(VLOOKUP(C1769,'[1]خريطة الحسابات'!_xlnm.Print_Area,3,FALSE)))</f>
        <v xml:space="preserve">الخزينة </v>
      </c>
      <c r="E1769" s="142"/>
      <c r="F1769" s="133"/>
      <c r="G1769" s="133">
        <v>522</v>
      </c>
      <c r="H1769" s="134">
        <f t="shared" si="82"/>
        <v>0</v>
      </c>
      <c r="I1769" s="134">
        <f t="shared" si="82"/>
        <v>522</v>
      </c>
      <c r="J1769" s="134">
        <f t="shared" si="81"/>
        <v>-522</v>
      </c>
      <c r="K1769" s="135"/>
      <c r="L1769" s="136" t="str">
        <f t="shared" si="83"/>
        <v>دائن</v>
      </c>
      <c r="M1769" s="137" t="str">
        <f>IF(ISERROR(VLOOKUP(C1769,'[1]خريطة الحسابات'!_xlnm.Print_Area,4,FALSE))," ",(VLOOKUP(C1769,'[1]خريطة الحسابات'!_xlnm.Print_Area,4,FALSE)))</f>
        <v xml:space="preserve">أصول متداوله -النقدية ومافي حكمها </v>
      </c>
      <c r="N1769" s="138" t="str">
        <f>IF(ISERROR(VLOOKUP(C1769,'[1]خريطة الحسابات'!_xlnm.Print_Area,5,FALSE))," ",(VLOOKUP(C1769,'[1]خريطة الحسابات'!_xlnm.Print_Area,5,FALSE)))</f>
        <v>الاصول</v>
      </c>
      <c r="O1769" s="84" t="s">
        <v>2090</v>
      </c>
      <c r="P1769" s="84" t="s">
        <v>1315</v>
      </c>
    </row>
    <row r="1770" spans="1:16">
      <c r="A1770" s="104">
        <v>63</v>
      </c>
      <c r="B1770" s="131">
        <v>46161</v>
      </c>
      <c r="C1770" s="150">
        <v>20</v>
      </c>
      <c r="D1770" s="140" t="str">
        <f>IF(ISERROR(VLOOKUP(C1770,'[1]خريطة الحسابات'!_xlnm.Print_Area,3,FALSE))," ",(VLOOKUP(C1770,'[1]خريطة الحسابات'!_xlnm.Print_Area,3,FALSE)))</f>
        <v xml:space="preserve">الخزينة </v>
      </c>
      <c r="E1770" s="142"/>
      <c r="F1770" s="133"/>
      <c r="G1770" s="133">
        <v>2115</v>
      </c>
      <c r="H1770" s="134">
        <f t="shared" si="82"/>
        <v>0</v>
      </c>
      <c r="I1770" s="134">
        <f t="shared" si="82"/>
        <v>2115</v>
      </c>
      <c r="J1770" s="134">
        <f t="shared" si="81"/>
        <v>-2115</v>
      </c>
      <c r="K1770" s="135"/>
      <c r="L1770" s="136" t="str">
        <f t="shared" si="83"/>
        <v>دائن</v>
      </c>
      <c r="M1770" s="137" t="str">
        <f>IF(ISERROR(VLOOKUP(C1770,'[1]خريطة الحسابات'!_xlnm.Print_Area,4,FALSE))," ",(VLOOKUP(C1770,'[1]خريطة الحسابات'!_xlnm.Print_Area,4,FALSE)))</f>
        <v xml:space="preserve">أصول متداوله -النقدية ومافي حكمها </v>
      </c>
      <c r="N1770" s="138" t="str">
        <f>IF(ISERROR(VLOOKUP(C1770,'[1]خريطة الحسابات'!_xlnm.Print_Area,5,FALSE))," ",(VLOOKUP(C1770,'[1]خريطة الحسابات'!_xlnm.Print_Area,5,FALSE)))</f>
        <v>الاصول</v>
      </c>
      <c r="O1770" s="84" t="s">
        <v>2091</v>
      </c>
      <c r="P1770" s="84" t="s">
        <v>1315</v>
      </c>
    </row>
    <row r="1771" spans="1:16">
      <c r="A1771" s="104">
        <v>63</v>
      </c>
      <c r="B1771" s="131">
        <v>46161</v>
      </c>
      <c r="C1771" s="150">
        <v>20</v>
      </c>
      <c r="D1771" s="140" t="str">
        <f>IF(ISERROR(VLOOKUP(C1771,'[1]خريطة الحسابات'!_xlnm.Print_Area,3,FALSE))," ",(VLOOKUP(C1771,'[1]خريطة الحسابات'!_xlnm.Print_Area,3,FALSE)))</f>
        <v xml:space="preserve">الخزينة </v>
      </c>
      <c r="E1771" s="142"/>
      <c r="F1771" s="133"/>
      <c r="G1771" s="133">
        <v>200</v>
      </c>
      <c r="H1771" s="134">
        <f t="shared" si="82"/>
        <v>0</v>
      </c>
      <c r="I1771" s="134">
        <f t="shared" si="82"/>
        <v>200</v>
      </c>
      <c r="J1771" s="134">
        <f t="shared" si="81"/>
        <v>-200</v>
      </c>
      <c r="K1771" s="135"/>
      <c r="L1771" s="136" t="str">
        <f t="shared" si="83"/>
        <v>دائن</v>
      </c>
      <c r="M1771" s="137" t="str">
        <f>IF(ISERROR(VLOOKUP(C1771,'[1]خريطة الحسابات'!_xlnm.Print_Area,4,FALSE))," ",(VLOOKUP(C1771,'[1]خريطة الحسابات'!_xlnm.Print_Area,4,FALSE)))</f>
        <v xml:space="preserve">أصول متداوله -النقدية ومافي حكمها </v>
      </c>
      <c r="N1771" s="138" t="str">
        <f>IF(ISERROR(VLOOKUP(C1771,'[1]خريطة الحسابات'!_xlnm.Print_Area,5,FALSE))," ",(VLOOKUP(C1771,'[1]خريطة الحسابات'!_xlnm.Print_Area,5,FALSE)))</f>
        <v>الاصول</v>
      </c>
      <c r="O1771" s="84" t="s">
        <v>2092</v>
      </c>
      <c r="P1771" s="84" t="s">
        <v>1315</v>
      </c>
    </row>
    <row r="1772" spans="1:16">
      <c r="A1772" s="104">
        <v>63</v>
      </c>
      <c r="B1772" s="131">
        <v>46162</v>
      </c>
      <c r="C1772" s="150">
        <v>20</v>
      </c>
      <c r="D1772" s="140" t="str">
        <f>IF(ISERROR(VLOOKUP(C1772,'[1]خريطة الحسابات'!_xlnm.Print_Area,3,FALSE))," ",(VLOOKUP(C1772,'[1]خريطة الحسابات'!_xlnm.Print_Area,3,FALSE)))</f>
        <v xml:space="preserve">الخزينة </v>
      </c>
      <c r="E1772" s="142"/>
      <c r="F1772" s="133"/>
      <c r="G1772" s="133">
        <v>130</v>
      </c>
      <c r="H1772" s="134">
        <f t="shared" si="82"/>
        <v>0</v>
      </c>
      <c r="I1772" s="134">
        <f t="shared" si="82"/>
        <v>130</v>
      </c>
      <c r="J1772" s="134">
        <f t="shared" si="81"/>
        <v>-130</v>
      </c>
      <c r="K1772" s="135"/>
      <c r="L1772" s="136" t="str">
        <f t="shared" si="83"/>
        <v>دائن</v>
      </c>
      <c r="M1772" s="137" t="str">
        <f>IF(ISERROR(VLOOKUP(C1772,'[1]خريطة الحسابات'!_xlnm.Print_Area,4,FALSE))," ",(VLOOKUP(C1772,'[1]خريطة الحسابات'!_xlnm.Print_Area,4,FALSE)))</f>
        <v xml:space="preserve">أصول متداوله -النقدية ومافي حكمها </v>
      </c>
      <c r="N1772" s="138" t="str">
        <f>IF(ISERROR(VLOOKUP(C1772,'[1]خريطة الحسابات'!_xlnm.Print_Area,5,FALSE))," ",(VLOOKUP(C1772,'[1]خريطة الحسابات'!_xlnm.Print_Area,5,FALSE)))</f>
        <v>الاصول</v>
      </c>
      <c r="O1772" s="84" t="s">
        <v>2093</v>
      </c>
      <c r="P1772" s="84" t="s">
        <v>1315</v>
      </c>
    </row>
    <row r="1773" spans="1:16">
      <c r="A1773" s="104">
        <v>63</v>
      </c>
      <c r="B1773" s="131">
        <v>46184</v>
      </c>
      <c r="C1773" s="150">
        <v>20</v>
      </c>
      <c r="D1773" s="140" t="str">
        <f>IF(ISERROR(VLOOKUP(C1773,'[1]خريطة الحسابات'!_xlnm.Print_Area,3,FALSE))," ",(VLOOKUP(C1773,'[1]خريطة الحسابات'!_xlnm.Print_Area,3,FALSE)))</f>
        <v xml:space="preserve">الخزينة </v>
      </c>
      <c r="E1773" s="142"/>
      <c r="F1773" s="133"/>
      <c r="G1773" s="133">
        <v>8465</v>
      </c>
      <c r="H1773" s="134">
        <f t="shared" si="82"/>
        <v>0</v>
      </c>
      <c r="I1773" s="134">
        <f t="shared" si="82"/>
        <v>8465</v>
      </c>
      <c r="J1773" s="134">
        <f t="shared" si="81"/>
        <v>-8465</v>
      </c>
      <c r="K1773" s="135"/>
      <c r="L1773" s="136" t="str">
        <f t="shared" si="83"/>
        <v>دائن</v>
      </c>
      <c r="M1773" s="137" t="str">
        <f>IF(ISERROR(VLOOKUP(C1773,'[1]خريطة الحسابات'!_xlnm.Print_Area,4,FALSE))," ",(VLOOKUP(C1773,'[1]خريطة الحسابات'!_xlnm.Print_Area,4,FALSE)))</f>
        <v xml:space="preserve">أصول متداوله -النقدية ومافي حكمها </v>
      </c>
      <c r="N1773" s="138" t="str">
        <f>IF(ISERROR(VLOOKUP(C1773,'[1]خريطة الحسابات'!_xlnm.Print_Area,5,FALSE))," ",(VLOOKUP(C1773,'[1]خريطة الحسابات'!_xlnm.Print_Area,5,FALSE)))</f>
        <v>الاصول</v>
      </c>
      <c r="O1773" s="84" t="s">
        <v>2094</v>
      </c>
      <c r="P1773" s="84" t="s">
        <v>1315</v>
      </c>
    </row>
    <row r="1774" spans="1:16">
      <c r="A1774" s="104">
        <v>63</v>
      </c>
      <c r="B1774" s="131">
        <v>46184</v>
      </c>
      <c r="C1774" s="150">
        <v>20</v>
      </c>
      <c r="D1774" s="140" t="str">
        <f>IF(ISERROR(VLOOKUP(C1774,'[1]خريطة الحسابات'!_xlnm.Print_Area,3,FALSE))," ",(VLOOKUP(C1774,'[1]خريطة الحسابات'!_xlnm.Print_Area,3,FALSE)))</f>
        <v xml:space="preserve">الخزينة </v>
      </c>
      <c r="E1774" s="142"/>
      <c r="F1774" s="133"/>
      <c r="G1774" s="133">
        <v>2200</v>
      </c>
      <c r="H1774" s="134">
        <f t="shared" si="82"/>
        <v>0</v>
      </c>
      <c r="I1774" s="134">
        <f t="shared" si="82"/>
        <v>2200</v>
      </c>
      <c r="J1774" s="134">
        <f t="shared" si="81"/>
        <v>-2200</v>
      </c>
      <c r="K1774" s="135"/>
      <c r="L1774" s="136" t="str">
        <f t="shared" si="83"/>
        <v>دائن</v>
      </c>
      <c r="M1774" s="137" t="str">
        <f>IF(ISERROR(VLOOKUP(C1774,'[1]خريطة الحسابات'!_xlnm.Print_Area,4,FALSE))," ",(VLOOKUP(C1774,'[1]خريطة الحسابات'!_xlnm.Print_Area,4,FALSE)))</f>
        <v xml:space="preserve">أصول متداوله -النقدية ومافي حكمها </v>
      </c>
      <c r="N1774" s="138" t="str">
        <f>IF(ISERROR(VLOOKUP(C1774,'[1]خريطة الحسابات'!_xlnm.Print_Area,5,FALSE))," ",(VLOOKUP(C1774,'[1]خريطة الحسابات'!_xlnm.Print_Area,5,FALSE)))</f>
        <v>الاصول</v>
      </c>
      <c r="O1774" s="84" t="s">
        <v>2080</v>
      </c>
      <c r="P1774" s="84" t="s">
        <v>1315</v>
      </c>
    </row>
    <row r="1775" spans="1:16">
      <c r="A1775" s="104">
        <v>63</v>
      </c>
      <c r="B1775" s="131">
        <v>46121</v>
      </c>
      <c r="C1775" s="150">
        <v>20</v>
      </c>
      <c r="D1775" s="140" t="str">
        <f>IF(ISERROR(VLOOKUP(C1775,'[1]خريطة الحسابات'!_xlnm.Print_Area,3,FALSE))," ",(VLOOKUP(C1775,'[1]خريطة الحسابات'!_xlnm.Print_Area,3,FALSE)))</f>
        <v xml:space="preserve">الخزينة </v>
      </c>
      <c r="E1775" s="142"/>
      <c r="F1775" s="133"/>
      <c r="G1775" s="133">
        <v>194850</v>
      </c>
      <c r="H1775" s="134">
        <f t="shared" si="82"/>
        <v>0</v>
      </c>
      <c r="I1775" s="134">
        <f t="shared" si="82"/>
        <v>194850</v>
      </c>
      <c r="J1775" s="134">
        <f t="shared" si="81"/>
        <v>-194850</v>
      </c>
      <c r="K1775" s="135"/>
      <c r="L1775" s="136" t="str">
        <f t="shared" si="83"/>
        <v>دائن</v>
      </c>
      <c r="M1775" s="137" t="str">
        <f>IF(ISERROR(VLOOKUP(C1775,'[1]خريطة الحسابات'!_xlnm.Print_Area,4,FALSE))," ",(VLOOKUP(C1775,'[1]خريطة الحسابات'!_xlnm.Print_Area,4,FALSE)))</f>
        <v xml:space="preserve">أصول متداوله -النقدية ومافي حكمها </v>
      </c>
      <c r="N1775" s="138" t="str">
        <f>IF(ISERROR(VLOOKUP(C1775,'[1]خريطة الحسابات'!_xlnm.Print_Area,5,FALSE))," ",(VLOOKUP(C1775,'[1]خريطة الحسابات'!_xlnm.Print_Area,5,FALSE)))</f>
        <v>الاصول</v>
      </c>
      <c r="O1775" s="84" t="s">
        <v>2095</v>
      </c>
      <c r="P1775" s="84" t="s">
        <v>1489</v>
      </c>
    </row>
    <row r="1776" spans="1:16">
      <c r="A1776" s="104">
        <v>63</v>
      </c>
      <c r="B1776" s="131">
        <v>46121</v>
      </c>
      <c r="C1776" s="150">
        <v>20</v>
      </c>
      <c r="D1776" s="140" t="str">
        <f>IF(ISERROR(VLOOKUP(C1776,'[1]خريطة الحسابات'!_xlnm.Print_Area,3,FALSE))," ",(VLOOKUP(C1776,'[1]خريطة الحسابات'!_xlnm.Print_Area,3,FALSE)))</f>
        <v xml:space="preserve">الخزينة </v>
      </c>
      <c r="E1776" s="142"/>
      <c r="F1776" s="133"/>
      <c r="G1776" s="133">
        <v>960</v>
      </c>
      <c r="H1776" s="134">
        <f t="shared" si="82"/>
        <v>0</v>
      </c>
      <c r="I1776" s="134">
        <f t="shared" si="82"/>
        <v>960</v>
      </c>
      <c r="J1776" s="134">
        <f t="shared" si="81"/>
        <v>-960</v>
      </c>
      <c r="K1776" s="135"/>
      <c r="L1776" s="136" t="str">
        <f t="shared" si="83"/>
        <v>دائن</v>
      </c>
      <c r="M1776" s="137" t="str">
        <f>IF(ISERROR(VLOOKUP(C1776,'[1]خريطة الحسابات'!_xlnm.Print_Area,4,FALSE))," ",(VLOOKUP(C1776,'[1]خريطة الحسابات'!_xlnm.Print_Area,4,FALSE)))</f>
        <v xml:space="preserve">أصول متداوله -النقدية ومافي حكمها </v>
      </c>
      <c r="N1776" s="138" t="str">
        <f>IF(ISERROR(VLOOKUP(C1776,'[1]خريطة الحسابات'!_xlnm.Print_Area,5,FALSE))," ",(VLOOKUP(C1776,'[1]خريطة الحسابات'!_xlnm.Print_Area,5,FALSE)))</f>
        <v>الاصول</v>
      </c>
      <c r="O1776" s="84" t="s">
        <v>2096</v>
      </c>
      <c r="P1776" s="84" t="s">
        <v>1489</v>
      </c>
    </row>
    <row r="1777" spans="1:16">
      <c r="A1777" s="104">
        <v>63</v>
      </c>
      <c r="B1777" s="131">
        <v>46086</v>
      </c>
      <c r="C1777" s="150">
        <v>20</v>
      </c>
      <c r="D1777" s="140" t="str">
        <f>IF(ISERROR(VLOOKUP(C1777,'[1]خريطة الحسابات'!_xlnm.Print_Area,3,FALSE))," ",(VLOOKUP(C1777,'[1]خريطة الحسابات'!_xlnm.Print_Area,3,FALSE)))</f>
        <v xml:space="preserve">الخزينة </v>
      </c>
      <c r="E1777" s="142"/>
      <c r="F1777" s="133"/>
      <c r="G1777" s="133">
        <v>12300</v>
      </c>
      <c r="H1777" s="134">
        <f t="shared" si="82"/>
        <v>0</v>
      </c>
      <c r="I1777" s="134">
        <f t="shared" si="82"/>
        <v>12300</v>
      </c>
      <c r="J1777" s="134">
        <f t="shared" si="81"/>
        <v>-12300</v>
      </c>
      <c r="K1777" s="135"/>
      <c r="L1777" s="136" t="str">
        <f t="shared" si="83"/>
        <v>دائن</v>
      </c>
      <c r="M1777" s="137" t="str">
        <f>IF(ISERROR(VLOOKUP(C1777,'[1]خريطة الحسابات'!_xlnm.Print_Area,4,FALSE))," ",(VLOOKUP(C1777,'[1]خريطة الحسابات'!_xlnm.Print_Area,4,FALSE)))</f>
        <v xml:space="preserve">أصول متداوله -النقدية ومافي حكمها </v>
      </c>
      <c r="N1777" s="138" t="str">
        <f>IF(ISERROR(VLOOKUP(C1777,'[1]خريطة الحسابات'!_xlnm.Print_Area,5,FALSE))," ",(VLOOKUP(C1777,'[1]خريطة الحسابات'!_xlnm.Print_Area,5,FALSE)))</f>
        <v>الاصول</v>
      </c>
      <c r="O1777" s="84" t="s">
        <v>2097</v>
      </c>
      <c r="P1777" s="84" t="s">
        <v>1297</v>
      </c>
    </row>
    <row r="1778" spans="1:16">
      <c r="A1778" s="104">
        <v>63</v>
      </c>
      <c r="B1778" s="131">
        <v>46166</v>
      </c>
      <c r="C1778" s="150">
        <v>20</v>
      </c>
      <c r="D1778" s="140" t="str">
        <f>IF(ISERROR(VLOOKUP(C1778,'[1]خريطة الحسابات'!_xlnm.Print_Area,3,FALSE))," ",(VLOOKUP(C1778,'[1]خريطة الحسابات'!_xlnm.Print_Area,3,FALSE)))</f>
        <v xml:space="preserve">الخزينة </v>
      </c>
      <c r="E1778" s="142"/>
      <c r="F1778" s="133"/>
      <c r="G1778" s="133">
        <v>800</v>
      </c>
      <c r="H1778" s="134">
        <f t="shared" si="82"/>
        <v>0</v>
      </c>
      <c r="I1778" s="134">
        <f t="shared" si="82"/>
        <v>800</v>
      </c>
      <c r="J1778" s="134">
        <f t="shared" si="81"/>
        <v>-800</v>
      </c>
      <c r="K1778" s="135"/>
      <c r="L1778" s="136" t="str">
        <f t="shared" si="83"/>
        <v>دائن</v>
      </c>
      <c r="M1778" s="137" t="str">
        <f>IF(ISERROR(VLOOKUP(C1778,'[1]خريطة الحسابات'!_xlnm.Print_Area,4,FALSE))," ",(VLOOKUP(C1778,'[1]خريطة الحسابات'!_xlnm.Print_Area,4,FALSE)))</f>
        <v xml:space="preserve">أصول متداوله -النقدية ومافي حكمها </v>
      </c>
      <c r="N1778" s="138" t="str">
        <f>IF(ISERROR(VLOOKUP(C1778,'[1]خريطة الحسابات'!_xlnm.Print_Area,5,FALSE))," ",(VLOOKUP(C1778,'[1]خريطة الحسابات'!_xlnm.Print_Area,5,FALSE)))</f>
        <v>الاصول</v>
      </c>
      <c r="O1778" s="84" t="s">
        <v>2098</v>
      </c>
      <c r="P1778" s="84" t="s">
        <v>1297</v>
      </c>
    </row>
    <row r="1779" spans="1:16">
      <c r="A1779" s="104">
        <v>63</v>
      </c>
      <c r="B1779" s="131">
        <v>46034</v>
      </c>
      <c r="C1779" s="150">
        <v>20</v>
      </c>
      <c r="D1779" s="140" t="str">
        <f>IF(ISERROR(VLOOKUP(C1779,'[1]خريطة الحسابات'!_xlnm.Print_Area,3,FALSE))," ",(VLOOKUP(C1779,'[1]خريطة الحسابات'!_xlnm.Print_Area,3,FALSE)))</f>
        <v xml:space="preserve">الخزينة </v>
      </c>
      <c r="E1779" s="142"/>
      <c r="F1779" s="133"/>
      <c r="G1779" s="133">
        <v>1930</v>
      </c>
      <c r="H1779" s="134">
        <f t="shared" si="82"/>
        <v>0</v>
      </c>
      <c r="I1779" s="134">
        <f t="shared" si="82"/>
        <v>1930</v>
      </c>
      <c r="J1779" s="134">
        <f t="shared" si="81"/>
        <v>-1930</v>
      </c>
      <c r="K1779" s="135"/>
      <c r="L1779" s="136" t="str">
        <f t="shared" si="83"/>
        <v>دائن</v>
      </c>
      <c r="M1779" s="137" t="str">
        <f>IF(ISERROR(VLOOKUP(C1779,'[1]خريطة الحسابات'!_xlnm.Print_Area,4,FALSE))," ",(VLOOKUP(C1779,'[1]خريطة الحسابات'!_xlnm.Print_Area,4,FALSE)))</f>
        <v xml:space="preserve">أصول متداوله -النقدية ومافي حكمها </v>
      </c>
      <c r="N1779" s="138" t="str">
        <f>IF(ISERROR(VLOOKUP(C1779,'[1]خريطة الحسابات'!_xlnm.Print_Area,5,FALSE))," ",(VLOOKUP(C1779,'[1]خريطة الحسابات'!_xlnm.Print_Area,5,FALSE)))</f>
        <v>الاصول</v>
      </c>
      <c r="O1779" s="84" t="s">
        <v>2099</v>
      </c>
      <c r="P1779" s="84" t="s">
        <v>1405</v>
      </c>
    </row>
    <row r="1780" spans="1:16">
      <c r="A1780" s="104">
        <v>63</v>
      </c>
      <c r="B1780" s="131">
        <v>46046</v>
      </c>
      <c r="C1780" s="150">
        <v>20</v>
      </c>
      <c r="D1780" s="140" t="str">
        <f>IF(ISERROR(VLOOKUP(C1780,'[1]خريطة الحسابات'!_xlnm.Print_Area,3,FALSE))," ",(VLOOKUP(C1780,'[1]خريطة الحسابات'!_xlnm.Print_Area,3,FALSE)))</f>
        <v xml:space="preserve">الخزينة </v>
      </c>
      <c r="E1780" s="142"/>
      <c r="F1780" s="133"/>
      <c r="G1780" s="133">
        <v>7100</v>
      </c>
      <c r="H1780" s="134">
        <f t="shared" si="82"/>
        <v>0</v>
      </c>
      <c r="I1780" s="134">
        <f t="shared" si="82"/>
        <v>7100</v>
      </c>
      <c r="J1780" s="134">
        <f t="shared" si="81"/>
        <v>-7100</v>
      </c>
      <c r="K1780" s="135"/>
      <c r="L1780" s="136" t="str">
        <f t="shared" si="83"/>
        <v>دائن</v>
      </c>
      <c r="M1780" s="137" t="str">
        <f>IF(ISERROR(VLOOKUP(C1780,'[1]خريطة الحسابات'!_xlnm.Print_Area,4,FALSE))," ",(VLOOKUP(C1780,'[1]خريطة الحسابات'!_xlnm.Print_Area,4,FALSE)))</f>
        <v xml:space="preserve">أصول متداوله -النقدية ومافي حكمها </v>
      </c>
      <c r="N1780" s="138" t="str">
        <f>IF(ISERROR(VLOOKUP(C1780,'[1]خريطة الحسابات'!_xlnm.Print_Area,5,FALSE))," ",(VLOOKUP(C1780,'[1]خريطة الحسابات'!_xlnm.Print_Area,5,FALSE)))</f>
        <v>الاصول</v>
      </c>
      <c r="O1780" s="84" t="s">
        <v>2100</v>
      </c>
      <c r="P1780" s="84" t="s">
        <v>1405</v>
      </c>
    </row>
    <row r="1781" spans="1:16">
      <c r="A1781" s="104">
        <v>63</v>
      </c>
      <c r="B1781" s="131">
        <v>46086</v>
      </c>
      <c r="C1781" s="150">
        <v>20</v>
      </c>
      <c r="D1781" s="140" t="str">
        <f>IF(ISERROR(VLOOKUP(C1781,'[1]خريطة الحسابات'!_xlnm.Print_Area,3,FALSE))," ",(VLOOKUP(C1781,'[1]خريطة الحسابات'!_xlnm.Print_Area,3,FALSE)))</f>
        <v xml:space="preserve">الخزينة </v>
      </c>
      <c r="E1781" s="142"/>
      <c r="F1781" s="133"/>
      <c r="G1781" s="133">
        <v>2395</v>
      </c>
      <c r="H1781" s="134">
        <f t="shared" si="82"/>
        <v>0</v>
      </c>
      <c r="I1781" s="134">
        <f t="shared" si="82"/>
        <v>2395</v>
      </c>
      <c r="J1781" s="134">
        <f t="shared" si="81"/>
        <v>-2395</v>
      </c>
      <c r="K1781" s="135"/>
      <c r="L1781" s="136" t="str">
        <f t="shared" si="83"/>
        <v>دائن</v>
      </c>
      <c r="M1781" s="137" t="str">
        <f>IF(ISERROR(VLOOKUP(C1781,'[1]خريطة الحسابات'!_xlnm.Print_Area,4,FALSE))," ",(VLOOKUP(C1781,'[1]خريطة الحسابات'!_xlnm.Print_Area,4,FALSE)))</f>
        <v xml:space="preserve">أصول متداوله -النقدية ومافي حكمها </v>
      </c>
      <c r="N1781" s="138" t="str">
        <f>IF(ISERROR(VLOOKUP(C1781,'[1]خريطة الحسابات'!_xlnm.Print_Area,5,FALSE))," ",(VLOOKUP(C1781,'[1]خريطة الحسابات'!_xlnm.Print_Area,5,FALSE)))</f>
        <v>الاصول</v>
      </c>
      <c r="O1781" s="84" t="s">
        <v>2101</v>
      </c>
      <c r="P1781" s="84" t="s">
        <v>1405</v>
      </c>
    </row>
    <row r="1782" spans="1:16">
      <c r="A1782" s="104">
        <v>63</v>
      </c>
      <c r="B1782" s="131">
        <v>46046</v>
      </c>
      <c r="C1782" s="150">
        <v>20</v>
      </c>
      <c r="D1782" s="140" t="str">
        <f>IF(ISERROR(VLOOKUP(C1782,'[1]خريطة الحسابات'!_xlnm.Print_Area,3,FALSE))," ",(VLOOKUP(C1782,'[1]خريطة الحسابات'!_xlnm.Print_Area,3,FALSE)))</f>
        <v xml:space="preserve">الخزينة </v>
      </c>
      <c r="E1782" s="142"/>
      <c r="F1782" s="133"/>
      <c r="G1782" s="133">
        <v>38822</v>
      </c>
      <c r="H1782" s="134">
        <f t="shared" si="82"/>
        <v>0</v>
      </c>
      <c r="I1782" s="134">
        <f t="shared" si="82"/>
        <v>38822</v>
      </c>
      <c r="J1782" s="134">
        <f t="shared" si="81"/>
        <v>-38822</v>
      </c>
      <c r="K1782" s="135"/>
      <c r="L1782" s="136" t="str">
        <f t="shared" si="83"/>
        <v>دائن</v>
      </c>
      <c r="M1782" s="137" t="str">
        <f>IF(ISERROR(VLOOKUP(C1782,'[1]خريطة الحسابات'!_xlnm.Print_Area,4,FALSE))," ",(VLOOKUP(C1782,'[1]خريطة الحسابات'!_xlnm.Print_Area,4,FALSE)))</f>
        <v xml:space="preserve">أصول متداوله -النقدية ومافي حكمها </v>
      </c>
      <c r="N1782" s="138" t="str">
        <f>IF(ISERROR(VLOOKUP(C1782,'[1]خريطة الحسابات'!_xlnm.Print_Area,5,FALSE))," ",(VLOOKUP(C1782,'[1]خريطة الحسابات'!_xlnm.Print_Area,5,FALSE)))</f>
        <v>الاصول</v>
      </c>
      <c r="O1782" s="84" t="s">
        <v>2102</v>
      </c>
      <c r="P1782" s="84" t="s">
        <v>1325</v>
      </c>
    </row>
    <row r="1783" spans="1:16">
      <c r="A1783" s="104">
        <v>63</v>
      </c>
      <c r="B1783" s="131">
        <v>46046</v>
      </c>
      <c r="C1783" s="150">
        <v>20</v>
      </c>
      <c r="D1783" s="140" t="str">
        <f>IF(ISERROR(VLOOKUP(C1783,'[1]خريطة الحسابات'!_xlnm.Print_Area,3,FALSE))," ",(VLOOKUP(C1783,'[1]خريطة الحسابات'!_xlnm.Print_Area,3,FALSE)))</f>
        <v xml:space="preserve">الخزينة </v>
      </c>
      <c r="E1783" s="142"/>
      <c r="F1783" s="133"/>
      <c r="G1783" s="133">
        <v>500</v>
      </c>
      <c r="H1783" s="134">
        <f t="shared" si="82"/>
        <v>0</v>
      </c>
      <c r="I1783" s="134">
        <f t="shared" si="82"/>
        <v>500</v>
      </c>
      <c r="J1783" s="134">
        <f t="shared" si="81"/>
        <v>-500</v>
      </c>
      <c r="K1783" s="135"/>
      <c r="L1783" s="136" t="str">
        <f t="shared" si="83"/>
        <v>دائن</v>
      </c>
      <c r="M1783" s="137" t="str">
        <f>IF(ISERROR(VLOOKUP(C1783,'[1]خريطة الحسابات'!_xlnm.Print_Area,4,FALSE))," ",(VLOOKUP(C1783,'[1]خريطة الحسابات'!_xlnm.Print_Area,4,FALSE)))</f>
        <v xml:space="preserve">أصول متداوله -النقدية ومافي حكمها </v>
      </c>
      <c r="N1783" s="138" t="str">
        <f>IF(ISERROR(VLOOKUP(C1783,'[1]خريطة الحسابات'!_xlnm.Print_Area,5,FALSE))," ",(VLOOKUP(C1783,'[1]خريطة الحسابات'!_xlnm.Print_Area,5,FALSE)))</f>
        <v>الاصول</v>
      </c>
      <c r="O1783" s="84" t="s">
        <v>2103</v>
      </c>
      <c r="P1783" s="84" t="s">
        <v>1325</v>
      </c>
    </row>
    <row r="1784" spans="1:16">
      <c r="A1784" s="104">
        <v>63</v>
      </c>
      <c r="B1784" s="131">
        <v>46051</v>
      </c>
      <c r="C1784" s="150">
        <v>20</v>
      </c>
      <c r="D1784" s="140" t="str">
        <f>IF(ISERROR(VLOOKUP(C1784,'[1]خريطة الحسابات'!_xlnm.Print_Area,3,FALSE))," ",(VLOOKUP(C1784,'[1]خريطة الحسابات'!_xlnm.Print_Area,3,FALSE)))</f>
        <v xml:space="preserve">الخزينة </v>
      </c>
      <c r="E1784" s="142"/>
      <c r="F1784" s="133"/>
      <c r="G1784" s="133">
        <v>1495</v>
      </c>
      <c r="H1784" s="134">
        <f t="shared" si="82"/>
        <v>0</v>
      </c>
      <c r="I1784" s="134">
        <f t="shared" si="82"/>
        <v>1495</v>
      </c>
      <c r="J1784" s="134">
        <f t="shared" si="81"/>
        <v>-1495</v>
      </c>
      <c r="K1784" s="135"/>
      <c r="L1784" s="136" t="str">
        <f t="shared" si="83"/>
        <v>دائن</v>
      </c>
      <c r="M1784" s="137" t="str">
        <f>IF(ISERROR(VLOOKUP(C1784,'[1]خريطة الحسابات'!_xlnm.Print_Area,4,FALSE))," ",(VLOOKUP(C1784,'[1]خريطة الحسابات'!_xlnm.Print_Area,4,FALSE)))</f>
        <v xml:space="preserve">أصول متداوله -النقدية ومافي حكمها </v>
      </c>
      <c r="N1784" s="138" t="str">
        <f>IF(ISERROR(VLOOKUP(C1784,'[1]خريطة الحسابات'!_xlnm.Print_Area,5,FALSE))," ",(VLOOKUP(C1784,'[1]خريطة الحسابات'!_xlnm.Print_Area,5,FALSE)))</f>
        <v>الاصول</v>
      </c>
      <c r="O1784" s="84" t="s">
        <v>2035</v>
      </c>
      <c r="P1784" s="84" t="s">
        <v>1325</v>
      </c>
    </row>
    <row r="1785" spans="1:16">
      <c r="A1785" s="104">
        <v>63</v>
      </c>
      <c r="B1785" s="131">
        <v>46082</v>
      </c>
      <c r="C1785" s="150">
        <v>20</v>
      </c>
      <c r="D1785" s="140" t="str">
        <f>IF(ISERROR(VLOOKUP(C1785,'[1]خريطة الحسابات'!_xlnm.Print_Area,3,FALSE))," ",(VLOOKUP(C1785,'[1]خريطة الحسابات'!_xlnm.Print_Area,3,FALSE)))</f>
        <v xml:space="preserve">الخزينة </v>
      </c>
      <c r="E1785" s="142"/>
      <c r="F1785" s="133"/>
      <c r="G1785" s="133">
        <v>420</v>
      </c>
      <c r="H1785" s="134">
        <f t="shared" si="82"/>
        <v>0</v>
      </c>
      <c r="I1785" s="134">
        <f t="shared" si="82"/>
        <v>420</v>
      </c>
      <c r="J1785" s="134">
        <f t="shared" si="81"/>
        <v>-420</v>
      </c>
      <c r="K1785" s="135"/>
      <c r="L1785" s="136" t="str">
        <f t="shared" si="83"/>
        <v>دائن</v>
      </c>
      <c r="M1785" s="137" t="str">
        <f>IF(ISERROR(VLOOKUP(C1785,'[1]خريطة الحسابات'!_xlnm.Print_Area,4,FALSE))," ",(VLOOKUP(C1785,'[1]خريطة الحسابات'!_xlnm.Print_Area,4,FALSE)))</f>
        <v xml:space="preserve">أصول متداوله -النقدية ومافي حكمها </v>
      </c>
      <c r="N1785" s="138" t="str">
        <f>IF(ISERROR(VLOOKUP(C1785,'[1]خريطة الحسابات'!_xlnm.Print_Area,5,FALSE))," ",(VLOOKUP(C1785,'[1]خريطة الحسابات'!_xlnm.Print_Area,5,FALSE)))</f>
        <v>الاصول</v>
      </c>
      <c r="O1785" s="84" t="s">
        <v>2054</v>
      </c>
      <c r="P1785" s="84" t="s">
        <v>1325</v>
      </c>
    </row>
    <row r="1786" spans="1:16">
      <c r="A1786" s="104">
        <v>63</v>
      </c>
      <c r="B1786" s="131">
        <v>46090</v>
      </c>
      <c r="C1786" s="150">
        <v>20</v>
      </c>
      <c r="D1786" s="140" t="str">
        <f>IF(ISERROR(VLOOKUP(C1786,'[1]خريطة الحسابات'!_xlnm.Print_Area,3,FALSE))," ",(VLOOKUP(C1786,'[1]خريطة الحسابات'!_xlnm.Print_Area,3,FALSE)))</f>
        <v xml:space="preserve">الخزينة </v>
      </c>
      <c r="E1786" s="142"/>
      <c r="F1786" s="133"/>
      <c r="G1786" s="133">
        <v>58785</v>
      </c>
      <c r="H1786" s="134">
        <f t="shared" si="82"/>
        <v>0</v>
      </c>
      <c r="I1786" s="134">
        <f t="shared" si="82"/>
        <v>58785</v>
      </c>
      <c r="J1786" s="134">
        <f t="shared" si="81"/>
        <v>-58785</v>
      </c>
      <c r="K1786" s="135"/>
      <c r="L1786" s="136" t="str">
        <f t="shared" si="83"/>
        <v>دائن</v>
      </c>
      <c r="M1786" s="137" t="str">
        <f>IF(ISERROR(VLOOKUP(C1786,'[1]خريطة الحسابات'!_xlnm.Print_Area,4,FALSE))," ",(VLOOKUP(C1786,'[1]خريطة الحسابات'!_xlnm.Print_Area,4,FALSE)))</f>
        <v xml:space="preserve">أصول متداوله -النقدية ومافي حكمها </v>
      </c>
      <c r="N1786" s="138" t="str">
        <f>IF(ISERROR(VLOOKUP(C1786,'[1]خريطة الحسابات'!_xlnm.Print_Area,5,FALSE))," ",(VLOOKUP(C1786,'[1]خريطة الحسابات'!_xlnm.Print_Area,5,FALSE)))</f>
        <v>الاصول</v>
      </c>
      <c r="O1786" s="84" t="s">
        <v>2104</v>
      </c>
      <c r="P1786" s="84" t="s">
        <v>1383</v>
      </c>
    </row>
    <row r="1787" spans="1:16">
      <c r="A1787" s="104">
        <v>63</v>
      </c>
      <c r="B1787" s="131">
        <v>46093</v>
      </c>
      <c r="C1787" s="150">
        <v>20</v>
      </c>
      <c r="D1787" s="140" t="str">
        <f>IF(ISERROR(VLOOKUP(C1787,'[1]خريطة الحسابات'!_xlnm.Print_Area,3,FALSE))," ",(VLOOKUP(C1787,'[1]خريطة الحسابات'!_xlnm.Print_Area,3,FALSE)))</f>
        <v xml:space="preserve">الخزينة </v>
      </c>
      <c r="E1787" s="142"/>
      <c r="F1787" s="133"/>
      <c r="G1787" s="133">
        <v>23652</v>
      </c>
      <c r="H1787" s="134">
        <f t="shared" si="82"/>
        <v>0</v>
      </c>
      <c r="I1787" s="134">
        <f t="shared" si="82"/>
        <v>23652</v>
      </c>
      <c r="J1787" s="134">
        <f t="shared" si="81"/>
        <v>-23652</v>
      </c>
      <c r="K1787" s="135"/>
      <c r="L1787" s="136" t="str">
        <f t="shared" si="83"/>
        <v>دائن</v>
      </c>
      <c r="M1787" s="137" t="str">
        <f>IF(ISERROR(VLOOKUP(C1787,'[1]خريطة الحسابات'!_xlnm.Print_Area,4,FALSE))," ",(VLOOKUP(C1787,'[1]خريطة الحسابات'!_xlnm.Print_Area,4,FALSE)))</f>
        <v xml:space="preserve">أصول متداوله -النقدية ومافي حكمها </v>
      </c>
      <c r="N1787" s="138" t="str">
        <f>IF(ISERROR(VLOOKUP(C1787,'[1]خريطة الحسابات'!_xlnm.Print_Area,5,FALSE))," ",(VLOOKUP(C1787,'[1]خريطة الحسابات'!_xlnm.Print_Area,5,FALSE)))</f>
        <v>الاصول</v>
      </c>
      <c r="O1787" s="84" t="s">
        <v>2088</v>
      </c>
      <c r="P1787" s="84" t="s">
        <v>1383</v>
      </c>
    </row>
    <row r="1788" spans="1:16">
      <c r="A1788" s="104">
        <v>63</v>
      </c>
      <c r="B1788" s="131">
        <v>46121</v>
      </c>
      <c r="C1788" s="150">
        <v>20</v>
      </c>
      <c r="D1788" s="140" t="str">
        <f>IF(ISERROR(VLOOKUP(C1788,'[1]خريطة الحسابات'!_xlnm.Print_Area,3,FALSE))," ",(VLOOKUP(C1788,'[1]خريطة الحسابات'!_xlnm.Print_Area,3,FALSE)))</f>
        <v xml:space="preserve">الخزينة </v>
      </c>
      <c r="E1788" s="142"/>
      <c r="F1788" s="133"/>
      <c r="G1788" s="133">
        <v>3270</v>
      </c>
      <c r="H1788" s="134">
        <f t="shared" si="82"/>
        <v>0</v>
      </c>
      <c r="I1788" s="134">
        <f t="shared" si="82"/>
        <v>3270</v>
      </c>
      <c r="J1788" s="134">
        <f t="shared" si="81"/>
        <v>-3270</v>
      </c>
      <c r="K1788" s="135"/>
      <c r="L1788" s="136" t="str">
        <f t="shared" si="83"/>
        <v>دائن</v>
      </c>
      <c r="M1788" s="137" t="str">
        <f>IF(ISERROR(VLOOKUP(C1788,'[1]خريطة الحسابات'!_xlnm.Print_Area,4,FALSE))," ",(VLOOKUP(C1788,'[1]خريطة الحسابات'!_xlnm.Print_Area,4,FALSE)))</f>
        <v xml:space="preserve">أصول متداوله -النقدية ومافي حكمها </v>
      </c>
      <c r="N1788" s="138" t="str">
        <f>IF(ISERROR(VLOOKUP(C1788,'[1]خريطة الحسابات'!_xlnm.Print_Area,5,FALSE))," ",(VLOOKUP(C1788,'[1]خريطة الحسابات'!_xlnm.Print_Area,5,FALSE)))</f>
        <v>الاصول</v>
      </c>
      <c r="O1788" s="84" t="s">
        <v>2105</v>
      </c>
      <c r="P1788" s="84" t="s">
        <v>1383</v>
      </c>
    </row>
    <row r="1789" spans="1:16">
      <c r="A1789" s="104">
        <v>63</v>
      </c>
      <c r="B1789" s="131">
        <v>46132</v>
      </c>
      <c r="C1789" s="150">
        <v>20</v>
      </c>
      <c r="D1789" s="140" t="str">
        <f>IF(ISERROR(VLOOKUP(C1789,'[1]خريطة الحسابات'!_xlnm.Print_Area,3,FALSE))," ",(VLOOKUP(C1789,'[1]خريطة الحسابات'!_xlnm.Print_Area,3,FALSE)))</f>
        <v xml:space="preserve">الخزينة </v>
      </c>
      <c r="E1789" s="142"/>
      <c r="F1789" s="133"/>
      <c r="G1789" s="133">
        <v>120</v>
      </c>
      <c r="H1789" s="134">
        <f t="shared" si="82"/>
        <v>0</v>
      </c>
      <c r="I1789" s="134">
        <f t="shared" si="82"/>
        <v>120</v>
      </c>
      <c r="J1789" s="134">
        <f t="shared" si="81"/>
        <v>-120</v>
      </c>
      <c r="K1789" s="135"/>
      <c r="L1789" s="136" t="str">
        <f t="shared" si="83"/>
        <v>دائن</v>
      </c>
      <c r="M1789" s="137" t="str">
        <f>IF(ISERROR(VLOOKUP(C1789,'[1]خريطة الحسابات'!_xlnm.Print_Area,4,FALSE))," ",(VLOOKUP(C1789,'[1]خريطة الحسابات'!_xlnm.Print_Area,4,FALSE)))</f>
        <v xml:space="preserve">أصول متداوله -النقدية ومافي حكمها </v>
      </c>
      <c r="N1789" s="138" t="str">
        <f>IF(ISERROR(VLOOKUP(C1789,'[1]خريطة الحسابات'!_xlnm.Print_Area,5,FALSE))," ",(VLOOKUP(C1789,'[1]خريطة الحسابات'!_xlnm.Print_Area,5,FALSE)))</f>
        <v>الاصول</v>
      </c>
      <c r="O1789" s="84" t="s">
        <v>2106</v>
      </c>
      <c r="P1789" s="84" t="s">
        <v>1383</v>
      </c>
    </row>
    <row r="1790" spans="1:16">
      <c r="A1790" s="104">
        <v>63</v>
      </c>
      <c r="B1790" s="131">
        <v>46133</v>
      </c>
      <c r="C1790" s="150">
        <v>20</v>
      </c>
      <c r="D1790" s="140" t="str">
        <f>IF(ISERROR(VLOOKUP(C1790,'[1]خريطة الحسابات'!_xlnm.Print_Area,3,FALSE))," ",(VLOOKUP(C1790,'[1]خريطة الحسابات'!_xlnm.Print_Area,3,FALSE)))</f>
        <v xml:space="preserve">الخزينة </v>
      </c>
      <c r="E1790" s="142"/>
      <c r="F1790" s="133"/>
      <c r="G1790" s="133">
        <v>1100</v>
      </c>
      <c r="H1790" s="134">
        <f t="shared" si="82"/>
        <v>0</v>
      </c>
      <c r="I1790" s="134">
        <f t="shared" si="82"/>
        <v>1100</v>
      </c>
      <c r="J1790" s="134">
        <f t="shared" si="81"/>
        <v>-1100</v>
      </c>
      <c r="K1790" s="135"/>
      <c r="L1790" s="136" t="str">
        <f t="shared" si="83"/>
        <v>دائن</v>
      </c>
      <c r="M1790" s="137" t="str">
        <f>IF(ISERROR(VLOOKUP(C1790,'[1]خريطة الحسابات'!_xlnm.Print_Area,4,FALSE))," ",(VLOOKUP(C1790,'[1]خريطة الحسابات'!_xlnm.Print_Area,4,FALSE)))</f>
        <v xml:space="preserve">أصول متداوله -النقدية ومافي حكمها </v>
      </c>
      <c r="N1790" s="138" t="str">
        <f>IF(ISERROR(VLOOKUP(C1790,'[1]خريطة الحسابات'!_xlnm.Print_Area,5,FALSE))," ",(VLOOKUP(C1790,'[1]خريطة الحسابات'!_xlnm.Print_Area,5,FALSE)))</f>
        <v>الاصول</v>
      </c>
      <c r="O1790" s="84" t="s">
        <v>2107</v>
      </c>
      <c r="P1790" s="84" t="s">
        <v>1383</v>
      </c>
    </row>
    <row r="1791" spans="1:16">
      <c r="A1791" s="104">
        <v>63</v>
      </c>
      <c r="B1791" s="131">
        <v>46133</v>
      </c>
      <c r="C1791" s="150">
        <v>20</v>
      </c>
      <c r="D1791" s="140" t="str">
        <f>IF(ISERROR(VLOOKUP(C1791,'[1]خريطة الحسابات'!_xlnm.Print_Area,3,FALSE))," ",(VLOOKUP(C1791,'[1]خريطة الحسابات'!_xlnm.Print_Area,3,FALSE)))</f>
        <v xml:space="preserve">الخزينة </v>
      </c>
      <c r="E1791" s="142"/>
      <c r="F1791" s="133"/>
      <c r="G1791" s="133">
        <v>47000</v>
      </c>
      <c r="H1791" s="134">
        <f t="shared" si="82"/>
        <v>0</v>
      </c>
      <c r="I1791" s="134">
        <f t="shared" si="82"/>
        <v>47000</v>
      </c>
      <c r="J1791" s="134">
        <f t="shared" si="81"/>
        <v>-47000</v>
      </c>
      <c r="K1791" s="135"/>
      <c r="L1791" s="136" t="str">
        <f t="shared" si="83"/>
        <v>دائن</v>
      </c>
      <c r="M1791" s="137" t="str">
        <f>IF(ISERROR(VLOOKUP(C1791,'[1]خريطة الحسابات'!_xlnm.Print_Area,4,FALSE))," ",(VLOOKUP(C1791,'[1]خريطة الحسابات'!_xlnm.Print_Area,4,FALSE)))</f>
        <v xml:space="preserve">أصول متداوله -النقدية ومافي حكمها </v>
      </c>
      <c r="N1791" s="138" t="str">
        <f>IF(ISERROR(VLOOKUP(C1791,'[1]خريطة الحسابات'!_xlnm.Print_Area,5,FALSE))," ",(VLOOKUP(C1791,'[1]خريطة الحسابات'!_xlnm.Print_Area,5,FALSE)))</f>
        <v>الاصول</v>
      </c>
      <c r="O1791" s="84" t="s">
        <v>2030</v>
      </c>
      <c r="P1791" s="84" t="s">
        <v>1383</v>
      </c>
    </row>
    <row r="1792" spans="1:16">
      <c r="A1792" s="104">
        <v>63</v>
      </c>
      <c r="B1792" s="131">
        <v>46139</v>
      </c>
      <c r="C1792" s="150">
        <v>20</v>
      </c>
      <c r="D1792" s="140" t="str">
        <f>IF(ISERROR(VLOOKUP(C1792,'[1]خريطة الحسابات'!_xlnm.Print_Area,3,FALSE))," ",(VLOOKUP(C1792,'[1]خريطة الحسابات'!_xlnm.Print_Area,3,FALSE)))</f>
        <v xml:space="preserve">الخزينة </v>
      </c>
      <c r="E1792" s="142"/>
      <c r="F1792" s="133"/>
      <c r="G1792" s="133">
        <v>675</v>
      </c>
      <c r="H1792" s="134">
        <f t="shared" si="82"/>
        <v>0</v>
      </c>
      <c r="I1792" s="134">
        <f t="shared" si="82"/>
        <v>675</v>
      </c>
      <c r="J1792" s="134">
        <f t="shared" si="81"/>
        <v>-675</v>
      </c>
      <c r="K1792" s="135"/>
      <c r="L1792" s="136" t="str">
        <f t="shared" si="83"/>
        <v>دائن</v>
      </c>
      <c r="M1792" s="137" t="str">
        <f>IF(ISERROR(VLOOKUP(C1792,'[1]خريطة الحسابات'!_xlnm.Print_Area,4,FALSE))," ",(VLOOKUP(C1792,'[1]خريطة الحسابات'!_xlnm.Print_Area,4,FALSE)))</f>
        <v xml:space="preserve">أصول متداوله -النقدية ومافي حكمها </v>
      </c>
      <c r="N1792" s="138" t="str">
        <f>IF(ISERROR(VLOOKUP(C1792,'[1]خريطة الحسابات'!_xlnm.Print_Area,5,FALSE))," ",(VLOOKUP(C1792,'[1]خريطة الحسابات'!_xlnm.Print_Area,5,FALSE)))</f>
        <v>الاصول</v>
      </c>
      <c r="O1792" s="84" t="s">
        <v>2108</v>
      </c>
      <c r="P1792" s="84" t="s">
        <v>1383</v>
      </c>
    </row>
    <row r="1793" spans="1:16">
      <c r="A1793" s="104">
        <v>63</v>
      </c>
      <c r="B1793" s="131">
        <v>46142</v>
      </c>
      <c r="C1793" s="150">
        <v>20</v>
      </c>
      <c r="D1793" s="140" t="str">
        <f>IF(ISERROR(VLOOKUP(C1793,'[1]خريطة الحسابات'!_xlnm.Print_Area,3,FALSE))," ",(VLOOKUP(C1793,'[1]خريطة الحسابات'!_xlnm.Print_Area,3,FALSE)))</f>
        <v xml:space="preserve">الخزينة </v>
      </c>
      <c r="E1793" s="142"/>
      <c r="F1793" s="133"/>
      <c r="G1793" s="133">
        <v>945</v>
      </c>
      <c r="H1793" s="134">
        <f t="shared" si="82"/>
        <v>0</v>
      </c>
      <c r="I1793" s="134">
        <f t="shared" si="82"/>
        <v>945</v>
      </c>
      <c r="J1793" s="134">
        <f t="shared" si="81"/>
        <v>-945</v>
      </c>
      <c r="K1793" s="135"/>
      <c r="L1793" s="136" t="str">
        <f t="shared" si="83"/>
        <v>دائن</v>
      </c>
      <c r="M1793" s="137" t="str">
        <f>IF(ISERROR(VLOOKUP(C1793,'[1]خريطة الحسابات'!_xlnm.Print_Area,4,FALSE))," ",(VLOOKUP(C1793,'[1]خريطة الحسابات'!_xlnm.Print_Area,4,FALSE)))</f>
        <v xml:space="preserve">أصول متداوله -النقدية ومافي حكمها </v>
      </c>
      <c r="N1793" s="138" t="str">
        <f>IF(ISERROR(VLOOKUP(C1793,'[1]خريطة الحسابات'!_xlnm.Print_Area,5,FALSE))," ",(VLOOKUP(C1793,'[1]خريطة الحسابات'!_xlnm.Print_Area,5,FALSE)))</f>
        <v>الاصول</v>
      </c>
      <c r="O1793" s="84" t="s">
        <v>2109</v>
      </c>
      <c r="P1793" s="84" t="s">
        <v>1383</v>
      </c>
    </row>
    <row r="1794" spans="1:16">
      <c r="A1794" s="104">
        <v>63</v>
      </c>
      <c r="B1794" s="131">
        <v>46144</v>
      </c>
      <c r="C1794" s="150">
        <v>20</v>
      </c>
      <c r="D1794" s="140" t="str">
        <f>IF(ISERROR(VLOOKUP(C1794,'[1]خريطة الحسابات'!_xlnm.Print_Area,3,FALSE))," ",(VLOOKUP(C1794,'[1]خريطة الحسابات'!_xlnm.Print_Area,3,FALSE)))</f>
        <v xml:space="preserve">الخزينة </v>
      </c>
      <c r="E1794" s="142"/>
      <c r="F1794" s="133"/>
      <c r="G1794" s="133">
        <v>95</v>
      </c>
      <c r="H1794" s="134">
        <f t="shared" si="82"/>
        <v>0</v>
      </c>
      <c r="I1794" s="134">
        <f t="shared" si="82"/>
        <v>95</v>
      </c>
      <c r="J1794" s="134">
        <f t="shared" si="81"/>
        <v>-95</v>
      </c>
      <c r="K1794" s="135"/>
      <c r="L1794" s="136" t="str">
        <f t="shared" si="83"/>
        <v>دائن</v>
      </c>
      <c r="M1794" s="137" t="str">
        <f>IF(ISERROR(VLOOKUP(C1794,'[1]خريطة الحسابات'!_xlnm.Print_Area,4,FALSE))," ",(VLOOKUP(C1794,'[1]خريطة الحسابات'!_xlnm.Print_Area,4,FALSE)))</f>
        <v xml:space="preserve">أصول متداوله -النقدية ومافي حكمها </v>
      </c>
      <c r="N1794" s="138" t="str">
        <f>IF(ISERROR(VLOOKUP(C1794,'[1]خريطة الحسابات'!_xlnm.Print_Area,5,FALSE))," ",(VLOOKUP(C1794,'[1]خريطة الحسابات'!_xlnm.Print_Area,5,FALSE)))</f>
        <v>الاصول</v>
      </c>
      <c r="O1794" s="84" t="s">
        <v>2110</v>
      </c>
      <c r="P1794" s="84" t="s">
        <v>1383</v>
      </c>
    </row>
    <row r="1795" spans="1:16">
      <c r="A1795" s="104">
        <v>63</v>
      </c>
      <c r="B1795" s="131">
        <v>46148</v>
      </c>
      <c r="C1795" s="150">
        <v>20</v>
      </c>
      <c r="D1795" s="140" t="str">
        <f>IF(ISERROR(VLOOKUP(C1795,'[1]خريطة الحسابات'!_xlnm.Print_Area,3,FALSE))," ",(VLOOKUP(C1795,'[1]خريطة الحسابات'!_xlnm.Print_Area,3,FALSE)))</f>
        <v xml:space="preserve">الخزينة </v>
      </c>
      <c r="E1795" s="142"/>
      <c r="F1795" s="133"/>
      <c r="G1795" s="133">
        <v>4420</v>
      </c>
      <c r="H1795" s="134">
        <f t="shared" si="82"/>
        <v>0</v>
      </c>
      <c r="I1795" s="134">
        <f t="shared" si="82"/>
        <v>4420</v>
      </c>
      <c r="J1795" s="134">
        <f t="shared" si="81"/>
        <v>-4420</v>
      </c>
      <c r="K1795" s="135"/>
      <c r="L1795" s="136" t="str">
        <f t="shared" si="83"/>
        <v>دائن</v>
      </c>
      <c r="M1795" s="137" t="str">
        <f>IF(ISERROR(VLOOKUP(C1795,'[1]خريطة الحسابات'!_xlnm.Print_Area,4,FALSE))," ",(VLOOKUP(C1795,'[1]خريطة الحسابات'!_xlnm.Print_Area,4,FALSE)))</f>
        <v xml:space="preserve">أصول متداوله -النقدية ومافي حكمها </v>
      </c>
      <c r="N1795" s="138" t="str">
        <f>IF(ISERROR(VLOOKUP(C1795,'[1]خريطة الحسابات'!_xlnm.Print_Area,5,FALSE))," ",(VLOOKUP(C1795,'[1]خريطة الحسابات'!_xlnm.Print_Area,5,FALSE)))</f>
        <v>الاصول</v>
      </c>
      <c r="O1795" s="84" t="s">
        <v>2111</v>
      </c>
      <c r="P1795" s="84" t="s">
        <v>1383</v>
      </c>
    </row>
    <row r="1796" spans="1:16">
      <c r="A1796" s="104">
        <v>63</v>
      </c>
      <c r="B1796" s="131">
        <v>46166</v>
      </c>
      <c r="C1796" s="150">
        <v>20</v>
      </c>
      <c r="D1796" s="140" t="str">
        <f>IF(ISERROR(VLOOKUP(C1796,'[1]خريطة الحسابات'!_xlnm.Print_Area,3,FALSE))," ",(VLOOKUP(C1796,'[1]خريطة الحسابات'!_xlnm.Print_Area,3,FALSE)))</f>
        <v xml:space="preserve">الخزينة </v>
      </c>
      <c r="E1796" s="142"/>
      <c r="F1796" s="133"/>
      <c r="G1796" s="133">
        <v>920</v>
      </c>
      <c r="H1796" s="134">
        <f t="shared" si="82"/>
        <v>0</v>
      </c>
      <c r="I1796" s="134">
        <f t="shared" si="82"/>
        <v>920</v>
      </c>
      <c r="J1796" s="134">
        <f t="shared" si="81"/>
        <v>-920</v>
      </c>
      <c r="K1796" s="135"/>
      <c r="L1796" s="136" t="str">
        <f t="shared" si="83"/>
        <v>دائن</v>
      </c>
      <c r="M1796" s="137" t="str">
        <f>IF(ISERROR(VLOOKUP(C1796,'[1]خريطة الحسابات'!_xlnm.Print_Area,4,FALSE))," ",(VLOOKUP(C1796,'[1]خريطة الحسابات'!_xlnm.Print_Area,4,FALSE)))</f>
        <v xml:space="preserve">أصول متداوله -النقدية ومافي حكمها </v>
      </c>
      <c r="N1796" s="138" t="str">
        <f>IF(ISERROR(VLOOKUP(C1796,'[1]خريطة الحسابات'!_xlnm.Print_Area,5,FALSE))," ",(VLOOKUP(C1796,'[1]خريطة الحسابات'!_xlnm.Print_Area,5,FALSE)))</f>
        <v>الاصول</v>
      </c>
      <c r="O1796" s="84" t="s">
        <v>2112</v>
      </c>
      <c r="P1796" s="84" t="s">
        <v>1383</v>
      </c>
    </row>
    <row r="1797" spans="1:16">
      <c r="A1797" s="104">
        <v>63</v>
      </c>
      <c r="B1797" s="131">
        <v>46166</v>
      </c>
      <c r="C1797" s="150">
        <v>20</v>
      </c>
      <c r="D1797" s="140" t="str">
        <f>IF(ISERROR(VLOOKUP(C1797,'[1]خريطة الحسابات'!_xlnm.Print_Area,3,FALSE))," ",(VLOOKUP(C1797,'[1]خريطة الحسابات'!_xlnm.Print_Area,3,FALSE)))</f>
        <v xml:space="preserve">الخزينة </v>
      </c>
      <c r="E1797" s="142"/>
      <c r="F1797" s="133"/>
      <c r="G1797" s="133">
        <v>700</v>
      </c>
      <c r="H1797" s="134">
        <f t="shared" si="82"/>
        <v>0</v>
      </c>
      <c r="I1797" s="134">
        <f t="shared" si="82"/>
        <v>700</v>
      </c>
      <c r="J1797" s="134">
        <f t="shared" si="81"/>
        <v>-700</v>
      </c>
      <c r="K1797" s="135"/>
      <c r="L1797" s="136" t="str">
        <f t="shared" si="83"/>
        <v>دائن</v>
      </c>
      <c r="M1797" s="137" t="str">
        <f>IF(ISERROR(VLOOKUP(C1797,'[1]خريطة الحسابات'!_xlnm.Print_Area,4,FALSE))," ",(VLOOKUP(C1797,'[1]خريطة الحسابات'!_xlnm.Print_Area,4,FALSE)))</f>
        <v xml:space="preserve">أصول متداوله -النقدية ومافي حكمها </v>
      </c>
      <c r="N1797" s="138" t="str">
        <f>IF(ISERROR(VLOOKUP(C1797,'[1]خريطة الحسابات'!_xlnm.Print_Area,5,FALSE))," ",(VLOOKUP(C1797,'[1]خريطة الحسابات'!_xlnm.Print_Area,5,FALSE)))</f>
        <v>الاصول</v>
      </c>
      <c r="O1797" s="84" t="s">
        <v>2113</v>
      </c>
      <c r="P1797" s="84" t="s">
        <v>1383</v>
      </c>
    </row>
    <row r="1798" spans="1:16">
      <c r="A1798" s="104">
        <v>63</v>
      </c>
      <c r="B1798" s="131">
        <v>46121</v>
      </c>
      <c r="C1798" s="150">
        <v>20</v>
      </c>
      <c r="D1798" s="140" t="str">
        <f>IF(ISERROR(VLOOKUP(C1798,'[1]خريطة الحسابات'!_xlnm.Print_Area,3,FALSE))," ",(VLOOKUP(C1798,'[1]خريطة الحسابات'!_xlnm.Print_Area,3,FALSE)))</f>
        <v xml:space="preserve">الخزينة </v>
      </c>
      <c r="E1798" s="142"/>
      <c r="F1798" s="133"/>
      <c r="G1798" s="133">
        <v>17040</v>
      </c>
      <c r="H1798" s="134">
        <f t="shared" si="82"/>
        <v>0</v>
      </c>
      <c r="I1798" s="134">
        <f t="shared" si="82"/>
        <v>17040</v>
      </c>
      <c r="J1798" s="134">
        <f t="shared" si="81"/>
        <v>-17040</v>
      </c>
      <c r="K1798" s="135"/>
      <c r="L1798" s="136" t="str">
        <f t="shared" si="83"/>
        <v>دائن</v>
      </c>
      <c r="M1798" s="137" t="str">
        <f>IF(ISERROR(VLOOKUP(C1798,'[1]خريطة الحسابات'!_xlnm.Print_Area,4,FALSE))," ",(VLOOKUP(C1798,'[1]خريطة الحسابات'!_xlnm.Print_Area,4,FALSE)))</f>
        <v xml:space="preserve">أصول متداوله -النقدية ومافي حكمها </v>
      </c>
      <c r="N1798" s="138" t="str">
        <f>IF(ISERROR(VLOOKUP(C1798,'[1]خريطة الحسابات'!_xlnm.Print_Area,5,FALSE))," ",(VLOOKUP(C1798,'[1]خريطة الحسابات'!_xlnm.Print_Area,5,FALSE)))</f>
        <v>الاصول</v>
      </c>
      <c r="O1798" s="84" t="s">
        <v>2114</v>
      </c>
      <c r="P1798" s="84" t="s">
        <v>1415</v>
      </c>
    </row>
    <row r="1799" spans="1:16">
      <c r="A1799" s="104">
        <v>63</v>
      </c>
      <c r="B1799" s="131">
        <v>46133</v>
      </c>
      <c r="C1799" s="150">
        <v>20</v>
      </c>
      <c r="D1799" s="140" t="str">
        <f>IF(ISERROR(VLOOKUP(C1799,'[1]خريطة الحسابات'!_xlnm.Print_Area,3,FALSE))," ",(VLOOKUP(C1799,'[1]خريطة الحسابات'!_xlnm.Print_Area,3,FALSE)))</f>
        <v xml:space="preserve">الخزينة </v>
      </c>
      <c r="E1799" s="142"/>
      <c r="F1799" s="133"/>
      <c r="G1799" s="133">
        <v>4350</v>
      </c>
      <c r="H1799" s="134">
        <f t="shared" si="82"/>
        <v>0</v>
      </c>
      <c r="I1799" s="134">
        <f t="shared" si="82"/>
        <v>4350</v>
      </c>
      <c r="J1799" s="134">
        <f t="shared" si="81"/>
        <v>-4350</v>
      </c>
      <c r="K1799" s="135"/>
      <c r="L1799" s="136" t="str">
        <f t="shared" si="83"/>
        <v>دائن</v>
      </c>
      <c r="M1799" s="137" t="str">
        <f>IF(ISERROR(VLOOKUP(C1799,'[1]خريطة الحسابات'!_xlnm.Print_Area,4,FALSE))," ",(VLOOKUP(C1799,'[1]خريطة الحسابات'!_xlnm.Print_Area,4,FALSE)))</f>
        <v xml:space="preserve">أصول متداوله -النقدية ومافي حكمها </v>
      </c>
      <c r="N1799" s="138" t="str">
        <f>IF(ISERROR(VLOOKUP(C1799,'[1]خريطة الحسابات'!_xlnm.Print_Area,5,FALSE))," ",(VLOOKUP(C1799,'[1]خريطة الحسابات'!_xlnm.Print_Area,5,FALSE)))</f>
        <v>الاصول</v>
      </c>
      <c r="O1799" s="84" t="s">
        <v>2037</v>
      </c>
      <c r="P1799" s="84" t="s">
        <v>1415</v>
      </c>
    </row>
    <row r="1800" spans="1:16">
      <c r="A1800" s="104">
        <v>63</v>
      </c>
      <c r="B1800" s="131">
        <v>46144</v>
      </c>
      <c r="C1800" s="150">
        <v>20</v>
      </c>
      <c r="D1800" s="140" t="str">
        <f>IF(ISERROR(VLOOKUP(C1800,'[1]خريطة الحسابات'!_xlnm.Print_Area,3,FALSE))," ",(VLOOKUP(C1800,'[1]خريطة الحسابات'!_xlnm.Print_Area,3,FALSE)))</f>
        <v xml:space="preserve">الخزينة </v>
      </c>
      <c r="E1800" s="142"/>
      <c r="F1800" s="133"/>
      <c r="G1800" s="133">
        <v>1400</v>
      </c>
      <c r="H1800" s="134">
        <f t="shared" si="82"/>
        <v>0</v>
      </c>
      <c r="I1800" s="134">
        <f t="shared" si="82"/>
        <v>1400</v>
      </c>
      <c r="J1800" s="134">
        <f t="shared" si="81"/>
        <v>-1400</v>
      </c>
      <c r="K1800" s="135"/>
      <c r="L1800" s="136" t="str">
        <f t="shared" si="83"/>
        <v>دائن</v>
      </c>
      <c r="M1800" s="137" t="str">
        <f>IF(ISERROR(VLOOKUP(C1800,'[1]خريطة الحسابات'!_xlnm.Print_Area,4,FALSE))," ",(VLOOKUP(C1800,'[1]خريطة الحسابات'!_xlnm.Print_Area,4,FALSE)))</f>
        <v xml:space="preserve">أصول متداوله -النقدية ومافي حكمها </v>
      </c>
      <c r="N1800" s="138" t="str">
        <f>IF(ISERROR(VLOOKUP(C1800,'[1]خريطة الحسابات'!_xlnm.Print_Area,5,FALSE))," ",(VLOOKUP(C1800,'[1]خريطة الحسابات'!_xlnm.Print_Area,5,FALSE)))</f>
        <v>الاصول</v>
      </c>
      <c r="O1800" s="84" t="s">
        <v>2115</v>
      </c>
      <c r="P1800" s="84" t="s">
        <v>1415</v>
      </c>
    </row>
    <row r="1801" spans="1:16">
      <c r="A1801" s="104">
        <v>63</v>
      </c>
      <c r="B1801" s="131">
        <v>46147</v>
      </c>
      <c r="C1801" s="150">
        <v>20</v>
      </c>
      <c r="D1801" s="140" t="str">
        <f>IF(ISERROR(VLOOKUP(C1801,'[1]خريطة الحسابات'!_xlnm.Print_Area,3,FALSE))," ",(VLOOKUP(C1801,'[1]خريطة الحسابات'!_xlnm.Print_Area,3,FALSE)))</f>
        <v xml:space="preserve">الخزينة </v>
      </c>
      <c r="E1801" s="142"/>
      <c r="F1801" s="133"/>
      <c r="G1801" s="133">
        <v>2400</v>
      </c>
      <c r="H1801" s="134">
        <f t="shared" si="82"/>
        <v>0</v>
      </c>
      <c r="I1801" s="134">
        <f t="shared" si="82"/>
        <v>2400</v>
      </c>
      <c r="J1801" s="134">
        <f t="shared" si="81"/>
        <v>-2400</v>
      </c>
      <c r="K1801" s="135"/>
      <c r="L1801" s="136" t="str">
        <f t="shared" si="83"/>
        <v>دائن</v>
      </c>
      <c r="M1801" s="137" t="str">
        <f>IF(ISERROR(VLOOKUP(C1801,'[1]خريطة الحسابات'!_xlnm.Print_Area,4,FALSE))," ",(VLOOKUP(C1801,'[1]خريطة الحسابات'!_xlnm.Print_Area,4,FALSE)))</f>
        <v xml:space="preserve">أصول متداوله -النقدية ومافي حكمها </v>
      </c>
      <c r="N1801" s="138" t="str">
        <f>IF(ISERROR(VLOOKUP(C1801,'[1]خريطة الحسابات'!_xlnm.Print_Area,5,FALSE))," ",(VLOOKUP(C1801,'[1]خريطة الحسابات'!_xlnm.Print_Area,5,FALSE)))</f>
        <v>الاصول</v>
      </c>
      <c r="O1801" s="84" t="s">
        <v>2116</v>
      </c>
      <c r="P1801" s="84" t="s">
        <v>1415</v>
      </c>
    </row>
    <row r="1802" spans="1:16">
      <c r="A1802" s="104">
        <v>63</v>
      </c>
      <c r="B1802" s="131">
        <v>46135</v>
      </c>
      <c r="C1802" s="150">
        <v>20</v>
      </c>
      <c r="D1802" s="140" t="str">
        <f>IF(ISERROR(VLOOKUP(C1802,'[1]خريطة الحسابات'!_xlnm.Print_Area,3,FALSE))," ",(VLOOKUP(C1802,'[1]خريطة الحسابات'!_xlnm.Print_Area,3,FALSE)))</f>
        <v xml:space="preserve">الخزينة </v>
      </c>
      <c r="E1802" s="142"/>
      <c r="F1802" s="133"/>
      <c r="G1802" s="133">
        <v>3430</v>
      </c>
      <c r="H1802" s="134">
        <f t="shared" si="82"/>
        <v>0</v>
      </c>
      <c r="I1802" s="134">
        <f t="shared" si="82"/>
        <v>3430</v>
      </c>
      <c r="J1802" s="134">
        <f t="shared" si="81"/>
        <v>-3430</v>
      </c>
      <c r="K1802" s="135"/>
      <c r="L1802" s="136" t="str">
        <f t="shared" si="83"/>
        <v>دائن</v>
      </c>
      <c r="M1802" s="137" t="str">
        <f>IF(ISERROR(VLOOKUP(C1802,'[1]خريطة الحسابات'!_xlnm.Print_Area,4,FALSE))," ",(VLOOKUP(C1802,'[1]خريطة الحسابات'!_xlnm.Print_Area,4,FALSE)))</f>
        <v xml:space="preserve">أصول متداوله -النقدية ومافي حكمها </v>
      </c>
      <c r="N1802" s="138" t="str">
        <f>IF(ISERROR(VLOOKUP(C1802,'[1]خريطة الحسابات'!_xlnm.Print_Area,5,FALSE))," ",(VLOOKUP(C1802,'[1]خريطة الحسابات'!_xlnm.Print_Area,5,FALSE)))</f>
        <v>الاصول</v>
      </c>
      <c r="O1802" s="84" t="s">
        <v>2089</v>
      </c>
      <c r="P1802" s="84" t="s">
        <v>1317</v>
      </c>
    </row>
    <row r="1803" spans="1:16">
      <c r="A1803" s="104">
        <v>63</v>
      </c>
      <c r="B1803" s="131">
        <v>46161</v>
      </c>
      <c r="C1803" s="150">
        <v>20</v>
      </c>
      <c r="D1803" s="140" t="str">
        <f>IF(ISERROR(VLOOKUP(C1803,'[1]خريطة الحسابات'!_xlnm.Print_Area,3,FALSE))," ",(VLOOKUP(C1803,'[1]خريطة الحسابات'!_xlnm.Print_Area,3,FALSE)))</f>
        <v xml:space="preserve">الخزينة </v>
      </c>
      <c r="E1803" s="142"/>
      <c r="F1803" s="133"/>
      <c r="G1803" s="133">
        <v>2260</v>
      </c>
      <c r="H1803" s="134">
        <f t="shared" si="82"/>
        <v>0</v>
      </c>
      <c r="I1803" s="134">
        <f t="shared" si="82"/>
        <v>2260</v>
      </c>
      <c r="J1803" s="134">
        <f t="shared" si="81"/>
        <v>-2260</v>
      </c>
      <c r="K1803" s="135"/>
      <c r="L1803" s="136" t="str">
        <f t="shared" si="83"/>
        <v>دائن</v>
      </c>
      <c r="M1803" s="137" t="str">
        <f>IF(ISERROR(VLOOKUP(C1803,'[1]خريطة الحسابات'!_xlnm.Print_Area,4,FALSE))," ",(VLOOKUP(C1803,'[1]خريطة الحسابات'!_xlnm.Print_Area,4,FALSE)))</f>
        <v xml:space="preserve">أصول متداوله -النقدية ومافي حكمها </v>
      </c>
      <c r="N1803" s="138" t="str">
        <f>IF(ISERROR(VLOOKUP(C1803,'[1]خريطة الحسابات'!_xlnm.Print_Area,5,FALSE))," ",(VLOOKUP(C1803,'[1]خريطة الحسابات'!_xlnm.Print_Area,5,FALSE)))</f>
        <v>الاصول</v>
      </c>
      <c r="O1803" s="84" t="s">
        <v>2117</v>
      </c>
      <c r="P1803" s="84" t="s">
        <v>1317</v>
      </c>
    </row>
    <row r="1804" spans="1:16">
      <c r="A1804" s="104">
        <v>63</v>
      </c>
      <c r="B1804" s="131">
        <v>46163</v>
      </c>
      <c r="C1804" s="150">
        <v>20</v>
      </c>
      <c r="D1804" s="140" t="str">
        <f>IF(ISERROR(VLOOKUP(C1804,'[1]خريطة الحسابات'!_xlnm.Print_Area,3,FALSE))," ",(VLOOKUP(C1804,'[1]خريطة الحسابات'!_xlnm.Print_Area,3,FALSE)))</f>
        <v xml:space="preserve">الخزينة </v>
      </c>
      <c r="E1804" s="142"/>
      <c r="F1804" s="133"/>
      <c r="G1804" s="133">
        <v>1150</v>
      </c>
      <c r="H1804" s="134">
        <f t="shared" si="82"/>
        <v>0</v>
      </c>
      <c r="I1804" s="134">
        <f t="shared" si="82"/>
        <v>1150</v>
      </c>
      <c r="J1804" s="134">
        <f t="shared" si="81"/>
        <v>-1150</v>
      </c>
      <c r="K1804" s="135"/>
      <c r="L1804" s="136" t="str">
        <f t="shared" si="83"/>
        <v>دائن</v>
      </c>
      <c r="M1804" s="137" t="str">
        <f>IF(ISERROR(VLOOKUP(C1804,'[1]خريطة الحسابات'!_xlnm.Print_Area,4,FALSE))," ",(VLOOKUP(C1804,'[1]خريطة الحسابات'!_xlnm.Print_Area,4,FALSE)))</f>
        <v xml:space="preserve">أصول متداوله -النقدية ومافي حكمها </v>
      </c>
      <c r="N1804" s="138" t="str">
        <f>IF(ISERROR(VLOOKUP(C1804,'[1]خريطة الحسابات'!_xlnm.Print_Area,5,FALSE))," ",(VLOOKUP(C1804,'[1]خريطة الحسابات'!_xlnm.Print_Area,5,FALSE)))</f>
        <v>الاصول</v>
      </c>
      <c r="O1804" s="84" t="s">
        <v>2118</v>
      </c>
      <c r="P1804" s="84" t="s">
        <v>1395</v>
      </c>
    </row>
    <row r="1805" spans="1:16">
      <c r="A1805" s="104">
        <v>63</v>
      </c>
      <c r="B1805" s="131">
        <v>46163</v>
      </c>
      <c r="C1805" s="150">
        <v>20</v>
      </c>
      <c r="D1805" s="140" t="str">
        <f>IF(ISERROR(VLOOKUP(C1805,'[1]خريطة الحسابات'!_xlnm.Print_Area,3,FALSE))," ",(VLOOKUP(C1805,'[1]خريطة الحسابات'!_xlnm.Print_Area,3,FALSE)))</f>
        <v xml:space="preserve">الخزينة </v>
      </c>
      <c r="E1805" s="142"/>
      <c r="F1805" s="133"/>
      <c r="G1805" s="133">
        <v>10000</v>
      </c>
      <c r="H1805" s="134">
        <f t="shared" si="82"/>
        <v>0</v>
      </c>
      <c r="I1805" s="134">
        <f t="shared" si="82"/>
        <v>10000</v>
      </c>
      <c r="J1805" s="134">
        <f t="shared" si="81"/>
        <v>-10000</v>
      </c>
      <c r="K1805" s="135"/>
      <c r="L1805" s="136" t="str">
        <f t="shared" si="83"/>
        <v>دائن</v>
      </c>
      <c r="M1805" s="137" t="str">
        <f>IF(ISERROR(VLOOKUP(C1805,'[1]خريطة الحسابات'!_xlnm.Print_Area,4,FALSE))," ",(VLOOKUP(C1805,'[1]خريطة الحسابات'!_xlnm.Print_Area,4,FALSE)))</f>
        <v xml:space="preserve">أصول متداوله -النقدية ومافي حكمها </v>
      </c>
      <c r="N1805" s="138" t="str">
        <f>IF(ISERROR(VLOOKUP(C1805,'[1]خريطة الحسابات'!_xlnm.Print_Area,5,FALSE))," ",(VLOOKUP(C1805,'[1]خريطة الحسابات'!_xlnm.Print_Area,5,FALSE)))</f>
        <v>الاصول</v>
      </c>
      <c r="O1805" s="84" t="s">
        <v>2119</v>
      </c>
      <c r="P1805" s="84" t="s">
        <v>1395</v>
      </c>
    </row>
    <row r="1806" spans="1:16">
      <c r="A1806" s="104">
        <v>63</v>
      </c>
      <c r="B1806" s="131">
        <v>46163</v>
      </c>
      <c r="C1806" s="150">
        <v>20</v>
      </c>
      <c r="D1806" s="140" t="str">
        <f>IF(ISERROR(VLOOKUP(C1806,'[1]خريطة الحسابات'!_xlnm.Print_Area,3,FALSE))," ",(VLOOKUP(C1806,'[1]خريطة الحسابات'!_xlnm.Print_Area,3,FALSE)))</f>
        <v xml:space="preserve">الخزينة </v>
      </c>
      <c r="E1806" s="142"/>
      <c r="F1806" s="133"/>
      <c r="G1806" s="133">
        <v>10000</v>
      </c>
      <c r="H1806" s="134">
        <f t="shared" si="82"/>
        <v>0</v>
      </c>
      <c r="I1806" s="134">
        <f t="shared" si="82"/>
        <v>10000</v>
      </c>
      <c r="J1806" s="134">
        <f t="shared" si="81"/>
        <v>-10000</v>
      </c>
      <c r="K1806" s="135"/>
      <c r="L1806" s="136" t="str">
        <f t="shared" si="83"/>
        <v>دائن</v>
      </c>
      <c r="M1806" s="137" t="str">
        <f>IF(ISERROR(VLOOKUP(C1806,'[1]خريطة الحسابات'!_xlnm.Print_Area,4,FALSE))," ",(VLOOKUP(C1806,'[1]خريطة الحسابات'!_xlnm.Print_Area,4,FALSE)))</f>
        <v xml:space="preserve">أصول متداوله -النقدية ومافي حكمها </v>
      </c>
      <c r="N1806" s="138" t="str">
        <f>IF(ISERROR(VLOOKUP(C1806,'[1]خريطة الحسابات'!_xlnm.Print_Area,5,FALSE))," ",(VLOOKUP(C1806,'[1]خريطة الحسابات'!_xlnm.Print_Area,5,FALSE)))</f>
        <v>الاصول</v>
      </c>
      <c r="O1806" s="84" t="s">
        <v>2119</v>
      </c>
      <c r="P1806" s="84" t="s">
        <v>1393</v>
      </c>
    </row>
    <row r="1807" spans="1:16">
      <c r="A1807" s="151">
        <v>64</v>
      </c>
      <c r="B1807" s="131">
        <v>46152</v>
      </c>
      <c r="C1807" s="150" t="s">
        <v>806</v>
      </c>
      <c r="D1807" s="140" t="str">
        <f>IF(ISERROR(VLOOKUP(C1807,'[1]خريطة الحسابات'!_xlnm.Print_Area,3,FALSE))," ",(VLOOKUP(C1807,'[1]خريطة الحسابات'!_xlnm.Print_Area,3,FALSE)))</f>
        <v>اعمال التكسير والهدم والنظافة</v>
      </c>
      <c r="E1807" s="142"/>
      <c r="F1807" s="133">
        <v>8230</v>
      </c>
      <c r="G1807" s="133"/>
      <c r="H1807" s="134">
        <f t="shared" si="82"/>
        <v>8230</v>
      </c>
      <c r="I1807" s="134">
        <f t="shared" si="82"/>
        <v>0</v>
      </c>
      <c r="J1807" s="134">
        <f t="shared" si="81"/>
        <v>8230</v>
      </c>
      <c r="K1807" s="135"/>
      <c r="L1807" s="136" t="str">
        <f t="shared" si="83"/>
        <v>مدين</v>
      </c>
      <c r="M1807" s="137" t="str">
        <f>IF(ISERROR(VLOOKUP(C1807,'[1]خريطة الحسابات'!_xlnm.Print_Area,4,FALSE))," ",(VLOOKUP(C1807,'[1]خريطة الحسابات'!_xlnm.Print_Area,4,FALSE)))</f>
        <v>تكاليف مشروع احمد زايد 401</v>
      </c>
      <c r="N1807" s="138" t="str">
        <f>IF(ISERROR(VLOOKUP(C1807,'[1]خريطة الحسابات'!_xlnm.Print_Area,5,FALSE))," ",(VLOOKUP(C1807,'[1]خريطة الحسابات'!_xlnm.Print_Area,5,FALSE)))</f>
        <v xml:space="preserve">تكاليف العمليات </v>
      </c>
      <c r="O1807" s="84" t="s">
        <v>2120</v>
      </c>
      <c r="P1807" s="84" t="s">
        <v>1345</v>
      </c>
    </row>
    <row r="1808" spans="1:16">
      <c r="A1808" s="151">
        <v>64</v>
      </c>
      <c r="B1808" s="131">
        <v>46064</v>
      </c>
      <c r="C1808" s="150" t="s">
        <v>701</v>
      </c>
      <c r="D1808" s="140" t="str">
        <f>IF(ISERROR(VLOOKUP(C1808,'[1]خريطة الحسابات'!_xlnm.Print_Area,3,FALSE))," ",(VLOOKUP(C1808,'[1]خريطة الحسابات'!_xlnm.Print_Area,3,FALSE)))</f>
        <v>اعمال التكسير والهدم والنظافة</v>
      </c>
      <c r="E1808" s="142"/>
      <c r="F1808" s="133">
        <v>801</v>
      </c>
      <c r="G1808" s="133"/>
      <c r="H1808" s="134">
        <f t="shared" si="82"/>
        <v>801</v>
      </c>
      <c r="I1808" s="134">
        <f t="shared" si="82"/>
        <v>0</v>
      </c>
      <c r="J1808" s="134">
        <f t="shared" si="81"/>
        <v>801</v>
      </c>
      <c r="K1808" s="135"/>
      <c r="L1808" s="136" t="str">
        <f t="shared" si="83"/>
        <v>مدين</v>
      </c>
      <c r="M1808" s="137" t="str">
        <f>IF(ISERROR(VLOOKUP(C1808,'[1]خريطة الحسابات'!_xlnm.Print_Area,4,FALSE))," ",(VLOOKUP(C1808,'[1]خريطة الحسابات'!_xlnm.Print_Area,4,FALSE)))</f>
        <v>تكاليف مشروع اشرف الشروق 372</v>
      </c>
      <c r="N1808" s="138" t="str">
        <f>IF(ISERROR(VLOOKUP(C1808,'[1]خريطة الحسابات'!_xlnm.Print_Area,5,FALSE))," ",(VLOOKUP(C1808,'[1]خريطة الحسابات'!_xlnm.Print_Area,5,FALSE)))</f>
        <v xml:space="preserve">تكاليف العمليات </v>
      </c>
      <c r="O1808" s="84" t="s">
        <v>1953</v>
      </c>
      <c r="P1808" s="84" t="s">
        <v>1340</v>
      </c>
    </row>
    <row r="1809" spans="1:16">
      <c r="A1809" s="151">
        <v>64</v>
      </c>
      <c r="B1809" s="131">
        <v>46064</v>
      </c>
      <c r="C1809" s="150" t="s">
        <v>701</v>
      </c>
      <c r="D1809" s="140" t="str">
        <f>IF(ISERROR(VLOOKUP(C1809,'[1]خريطة الحسابات'!_xlnm.Print_Area,3,FALSE))," ",(VLOOKUP(C1809,'[1]خريطة الحسابات'!_xlnm.Print_Area,3,FALSE)))</f>
        <v>اعمال التكسير والهدم والنظافة</v>
      </c>
      <c r="E1809" s="142"/>
      <c r="F1809" s="133">
        <v>500</v>
      </c>
      <c r="G1809" s="133"/>
      <c r="H1809" s="134">
        <f t="shared" si="82"/>
        <v>500</v>
      </c>
      <c r="I1809" s="134">
        <f t="shared" si="82"/>
        <v>0</v>
      </c>
      <c r="J1809" s="134">
        <f t="shared" si="81"/>
        <v>500</v>
      </c>
      <c r="K1809" s="135"/>
      <c r="L1809" s="136" t="str">
        <f t="shared" si="83"/>
        <v>مدين</v>
      </c>
      <c r="M1809" s="137" t="str">
        <f>IF(ISERROR(VLOOKUP(C1809,'[1]خريطة الحسابات'!_xlnm.Print_Area,4,FALSE))," ",(VLOOKUP(C1809,'[1]خريطة الحسابات'!_xlnm.Print_Area,4,FALSE)))</f>
        <v>تكاليف مشروع اشرف الشروق 372</v>
      </c>
      <c r="N1809" s="138" t="str">
        <f>IF(ISERROR(VLOOKUP(C1809,'[1]خريطة الحسابات'!_xlnm.Print_Area,5,FALSE))," ",(VLOOKUP(C1809,'[1]خريطة الحسابات'!_xlnm.Print_Area,5,FALSE)))</f>
        <v xml:space="preserve">تكاليف العمليات </v>
      </c>
      <c r="O1809" s="84" t="s">
        <v>2121</v>
      </c>
      <c r="P1809" s="84" t="s">
        <v>1340</v>
      </c>
    </row>
    <row r="1810" spans="1:16">
      <c r="A1810" s="151">
        <v>64</v>
      </c>
      <c r="B1810" s="131">
        <v>46097</v>
      </c>
      <c r="C1810" s="150" t="s">
        <v>701</v>
      </c>
      <c r="D1810" s="140" t="str">
        <f>IF(ISERROR(VLOOKUP(C1810,'[1]خريطة الحسابات'!_xlnm.Print_Area,3,FALSE))," ",(VLOOKUP(C1810,'[1]خريطة الحسابات'!_xlnm.Print_Area,3,FALSE)))</f>
        <v>اعمال التكسير والهدم والنظافة</v>
      </c>
      <c r="E1810" s="142"/>
      <c r="F1810" s="133">
        <v>2002</v>
      </c>
      <c r="G1810" s="133"/>
      <c r="H1810" s="134">
        <f t="shared" si="82"/>
        <v>2002</v>
      </c>
      <c r="I1810" s="134">
        <f t="shared" si="82"/>
        <v>0</v>
      </c>
      <c r="J1810" s="134">
        <f t="shared" si="81"/>
        <v>2002</v>
      </c>
      <c r="K1810" s="135"/>
      <c r="L1810" s="136" t="str">
        <f t="shared" si="83"/>
        <v>مدين</v>
      </c>
      <c r="M1810" s="137" t="str">
        <f>IF(ISERROR(VLOOKUP(C1810,'[1]خريطة الحسابات'!_xlnm.Print_Area,4,FALSE))," ",(VLOOKUP(C1810,'[1]خريطة الحسابات'!_xlnm.Print_Area,4,FALSE)))</f>
        <v>تكاليف مشروع اشرف الشروق 372</v>
      </c>
      <c r="N1810" s="138" t="str">
        <f>IF(ISERROR(VLOOKUP(C1810,'[1]خريطة الحسابات'!_xlnm.Print_Area,5,FALSE))," ",(VLOOKUP(C1810,'[1]خريطة الحسابات'!_xlnm.Print_Area,5,FALSE)))</f>
        <v xml:space="preserve">تكاليف العمليات </v>
      </c>
      <c r="O1810" s="84" t="s">
        <v>2122</v>
      </c>
      <c r="P1810" s="84" t="s">
        <v>1340</v>
      </c>
    </row>
    <row r="1811" spans="1:16">
      <c r="A1811" s="151">
        <v>64</v>
      </c>
      <c r="B1811" s="131">
        <v>46062</v>
      </c>
      <c r="C1811" s="150" t="s">
        <v>631</v>
      </c>
      <c r="D1811" s="140" t="str">
        <f>IF(ISERROR(VLOOKUP(C1811,'[1]خريطة الحسابات'!_xlnm.Print_Area,3,FALSE))," ",(VLOOKUP(C1811,'[1]خريطة الحسابات'!_xlnm.Print_Area,3,FALSE)))</f>
        <v>اعمال التكسير والهدم والنظافة</v>
      </c>
      <c r="E1811" s="142"/>
      <c r="F1811" s="133">
        <v>500</v>
      </c>
      <c r="G1811" s="133"/>
      <c r="H1811" s="134">
        <f t="shared" si="82"/>
        <v>500</v>
      </c>
      <c r="I1811" s="134">
        <f t="shared" si="82"/>
        <v>0</v>
      </c>
      <c r="J1811" s="134">
        <f t="shared" si="81"/>
        <v>500</v>
      </c>
      <c r="K1811" s="135"/>
      <c r="L1811" s="136" t="str">
        <f t="shared" si="83"/>
        <v>مدين</v>
      </c>
      <c r="M1811" s="137" t="str">
        <f>IF(ISERROR(VLOOKUP(C1811,'[1]خريطة الحسابات'!_xlnm.Print_Area,4,FALSE))," ",(VLOOKUP(C1811,'[1]خريطة الحسابات'!_xlnm.Print_Area,4,FALSE)))</f>
        <v>تكاليف مشروع الاندلس 364</v>
      </c>
      <c r="N1811" s="138" t="str">
        <f>IF(ISERROR(VLOOKUP(C1811,'[1]خريطة الحسابات'!_xlnm.Print_Area,5,FALSE))," ",(VLOOKUP(C1811,'[1]خريطة الحسابات'!_xlnm.Print_Area,5,FALSE)))</f>
        <v xml:space="preserve">تكاليف العمليات </v>
      </c>
      <c r="O1811" s="84" t="s">
        <v>2123</v>
      </c>
      <c r="P1811" s="84" t="s">
        <v>1299</v>
      </c>
    </row>
    <row r="1812" spans="1:16">
      <c r="A1812" s="151">
        <v>64</v>
      </c>
      <c r="B1812" s="131">
        <v>46063</v>
      </c>
      <c r="C1812" s="150" t="s">
        <v>631</v>
      </c>
      <c r="D1812" s="140" t="str">
        <f>IF(ISERROR(VLOOKUP(C1812,'[1]خريطة الحسابات'!_xlnm.Print_Area,3,FALSE))," ",(VLOOKUP(C1812,'[1]خريطة الحسابات'!_xlnm.Print_Area,3,FALSE)))</f>
        <v>اعمال التكسير والهدم والنظافة</v>
      </c>
      <c r="E1812" s="142"/>
      <c r="F1812" s="133">
        <v>250</v>
      </c>
      <c r="G1812" s="133"/>
      <c r="H1812" s="134">
        <f t="shared" si="82"/>
        <v>250</v>
      </c>
      <c r="I1812" s="134">
        <f t="shared" si="82"/>
        <v>0</v>
      </c>
      <c r="J1812" s="134">
        <f t="shared" si="81"/>
        <v>250</v>
      </c>
      <c r="K1812" s="135"/>
      <c r="L1812" s="136" t="str">
        <f t="shared" si="83"/>
        <v>مدين</v>
      </c>
      <c r="M1812" s="137" t="str">
        <f>IF(ISERROR(VLOOKUP(C1812,'[1]خريطة الحسابات'!_xlnm.Print_Area,4,FALSE))," ",(VLOOKUP(C1812,'[1]خريطة الحسابات'!_xlnm.Print_Area,4,FALSE)))</f>
        <v>تكاليف مشروع الاندلس 364</v>
      </c>
      <c r="N1812" s="138" t="str">
        <f>IF(ISERROR(VLOOKUP(C1812,'[1]خريطة الحسابات'!_xlnm.Print_Area,5,FALSE))," ",(VLOOKUP(C1812,'[1]خريطة الحسابات'!_xlnm.Print_Area,5,FALSE)))</f>
        <v xml:space="preserve">تكاليف العمليات </v>
      </c>
      <c r="O1812" s="84" t="s">
        <v>2124</v>
      </c>
      <c r="P1812" s="84" t="s">
        <v>1299</v>
      </c>
    </row>
    <row r="1813" spans="1:16">
      <c r="A1813" s="151">
        <v>64</v>
      </c>
      <c r="B1813" s="131">
        <v>46070</v>
      </c>
      <c r="C1813" s="150" t="s">
        <v>631</v>
      </c>
      <c r="D1813" s="140" t="str">
        <f>IF(ISERROR(VLOOKUP(C1813,'[1]خريطة الحسابات'!_xlnm.Print_Area,3,FALSE))," ",(VLOOKUP(C1813,'[1]خريطة الحسابات'!_xlnm.Print_Area,3,FALSE)))</f>
        <v>اعمال التكسير والهدم والنظافة</v>
      </c>
      <c r="E1813" s="142"/>
      <c r="F1813" s="133">
        <v>6000</v>
      </c>
      <c r="G1813" s="133"/>
      <c r="H1813" s="134">
        <f t="shared" si="82"/>
        <v>6000</v>
      </c>
      <c r="I1813" s="134">
        <f t="shared" si="82"/>
        <v>0</v>
      </c>
      <c r="J1813" s="134">
        <f t="shared" si="81"/>
        <v>6000</v>
      </c>
      <c r="K1813" s="135"/>
      <c r="L1813" s="136" t="str">
        <f t="shared" si="83"/>
        <v>مدين</v>
      </c>
      <c r="M1813" s="137" t="str">
        <f>IF(ISERROR(VLOOKUP(C1813,'[1]خريطة الحسابات'!_xlnm.Print_Area,4,FALSE))," ",(VLOOKUP(C1813,'[1]خريطة الحسابات'!_xlnm.Print_Area,4,FALSE)))</f>
        <v>تكاليف مشروع الاندلس 364</v>
      </c>
      <c r="N1813" s="138" t="str">
        <f>IF(ISERROR(VLOOKUP(C1813,'[1]خريطة الحسابات'!_xlnm.Print_Area,5,FALSE))," ",(VLOOKUP(C1813,'[1]خريطة الحسابات'!_xlnm.Print_Area,5,FALSE)))</f>
        <v xml:space="preserve">تكاليف العمليات </v>
      </c>
      <c r="O1813" s="84" t="s">
        <v>2125</v>
      </c>
      <c r="P1813" s="84" t="s">
        <v>1299</v>
      </c>
    </row>
    <row r="1814" spans="1:16">
      <c r="A1814" s="151">
        <v>64</v>
      </c>
      <c r="B1814" s="131">
        <v>46039</v>
      </c>
      <c r="C1814" s="150" t="s">
        <v>176</v>
      </c>
      <c r="D1814" s="140" t="str">
        <f>IF(ISERROR(VLOOKUP(C1814,'[1]خريطة الحسابات'!_xlnm.Print_Area,3,FALSE))," ",(VLOOKUP(C1814,'[1]خريطة الحسابات'!_xlnm.Print_Area,3,FALSE)))</f>
        <v>اعمال التكسير والهدم والنظافة</v>
      </c>
      <c r="E1814" s="142"/>
      <c r="F1814" s="133">
        <v>175</v>
      </c>
      <c r="G1814" s="133"/>
      <c r="H1814" s="134">
        <f t="shared" si="82"/>
        <v>175</v>
      </c>
      <c r="I1814" s="134">
        <f t="shared" si="82"/>
        <v>0</v>
      </c>
      <c r="J1814" s="134">
        <f t="shared" si="81"/>
        <v>175</v>
      </c>
      <c r="K1814" s="135"/>
      <c r="L1814" s="136" t="str">
        <f t="shared" si="83"/>
        <v>مدين</v>
      </c>
      <c r="M1814" s="137" t="str">
        <f>IF(ISERROR(VLOOKUP(C1814,'[1]خريطة الحسابات'!_xlnm.Print_Area,4,FALSE))," ",(VLOOKUP(C1814,'[1]خريطة الحسابات'!_xlnm.Print_Area,4,FALSE)))</f>
        <v>تكاليف مشروع الباتيو 235</v>
      </c>
      <c r="N1814" s="138" t="str">
        <f>IF(ISERROR(VLOOKUP(C1814,'[1]خريطة الحسابات'!_xlnm.Print_Area,5,FALSE))," ",(VLOOKUP(C1814,'[1]خريطة الحسابات'!_xlnm.Print_Area,5,FALSE)))</f>
        <v xml:space="preserve">تكاليف العمليات </v>
      </c>
      <c r="O1814" s="84" t="s">
        <v>2126</v>
      </c>
      <c r="P1814" s="84" t="s">
        <v>1304</v>
      </c>
    </row>
    <row r="1815" spans="1:16">
      <c r="A1815" s="151">
        <v>64</v>
      </c>
      <c r="B1815" s="131">
        <v>46067</v>
      </c>
      <c r="C1815" s="150" t="s">
        <v>176</v>
      </c>
      <c r="D1815" s="140" t="str">
        <f>IF(ISERROR(VLOOKUP(C1815,'[1]خريطة الحسابات'!_xlnm.Print_Area,3,FALSE))," ",(VLOOKUP(C1815,'[1]خريطة الحسابات'!_xlnm.Print_Area,3,FALSE)))</f>
        <v>اعمال التكسير والهدم والنظافة</v>
      </c>
      <c r="E1815" s="142"/>
      <c r="F1815" s="133">
        <v>1000</v>
      </c>
      <c r="G1815" s="133"/>
      <c r="H1815" s="134">
        <f t="shared" si="82"/>
        <v>1000</v>
      </c>
      <c r="I1815" s="134">
        <f t="shared" si="82"/>
        <v>0</v>
      </c>
      <c r="J1815" s="134">
        <f t="shared" si="81"/>
        <v>1000</v>
      </c>
      <c r="K1815" s="135"/>
      <c r="L1815" s="136" t="str">
        <f t="shared" si="83"/>
        <v>مدين</v>
      </c>
      <c r="M1815" s="137" t="str">
        <f>IF(ISERROR(VLOOKUP(C1815,'[1]خريطة الحسابات'!_xlnm.Print_Area,4,FALSE))," ",(VLOOKUP(C1815,'[1]خريطة الحسابات'!_xlnm.Print_Area,4,FALSE)))</f>
        <v>تكاليف مشروع الباتيو 235</v>
      </c>
      <c r="N1815" s="138" t="str">
        <f>IF(ISERROR(VLOOKUP(C1815,'[1]خريطة الحسابات'!_xlnm.Print_Area,5,FALSE))," ",(VLOOKUP(C1815,'[1]خريطة الحسابات'!_xlnm.Print_Area,5,FALSE)))</f>
        <v xml:space="preserve">تكاليف العمليات </v>
      </c>
      <c r="O1815" s="84" t="s">
        <v>1953</v>
      </c>
      <c r="P1815" s="84" t="s">
        <v>1304</v>
      </c>
    </row>
    <row r="1816" spans="1:16">
      <c r="A1816" s="151">
        <v>64</v>
      </c>
      <c r="B1816" s="131">
        <v>46077</v>
      </c>
      <c r="C1816" s="150" t="s">
        <v>176</v>
      </c>
      <c r="D1816" s="140" t="str">
        <f>IF(ISERROR(VLOOKUP(C1816,'[1]خريطة الحسابات'!_xlnm.Print_Area,3,FALSE))," ",(VLOOKUP(C1816,'[1]خريطة الحسابات'!_xlnm.Print_Area,3,FALSE)))</f>
        <v>اعمال التكسير والهدم والنظافة</v>
      </c>
      <c r="E1816" s="142"/>
      <c r="F1816" s="133">
        <v>11000</v>
      </c>
      <c r="G1816" s="133"/>
      <c r="H1816" s="134">
        <f t="shared" si="82"/>
        <v>11000</v>
      </c>
      <c r="I1816" s="134">
        <f t="shared" si="82"/>
        <v>0</v>
      </c>
      <c r="J1816" s="134">
        <f t="shared" ref="J1816:J1879" si="84">H1816-I1816</f>
        <v>11000</v>
      </c>
      <c r="K1816" s="135"/>
      <c r="L1816" s="136" t="str">
        <f t="shared" si="83"/>
        <v>مدين</v>
      </c>
      <c r="M1816" s="137" t="str">
        <f>IF(ISERROR(VLOOKUP(C1816,'[1]خريطة الحسابات'!_xlnm.Print_Area,4,FALSE))," ",(VLOOKUP(C1816,'[1]خريطة الحسابات'!_xlnm.Print_Area,4,FALSE)))</f>
        <v>تكاليف مشروع الباتيو 235</v>
      </c>
      <c r="N1816" s="138" t="str">
        <f>IF(ISERROR(VLOOKUP(C1816,'[1]خريطة الحسابات'!_xlnm.Print_Area,5,FALSE))," ",(VLOOKUP(C1816,'[1]خريطة الحسابات'!_xlnm.Print_Area,5,FALSE)))</f>
        <v xml:space="preserve">تكاليف العمليات </v>
      </c>
      <c r="O1816" s="84" t="s">
        <v>2127</v>
      </c>
      <c r="P1816" s="84" t="s">
        <v>1304</v>
      </c>
    </row>
    <row r="1817" spans="1:16">
      <c r="A1817" s="151">
        <v>64</v>
      </c>
      <c r="B1817" s="131">
        <v>46078</v>
      </c>
      <c r="C1817" s="150" t="s">
        <v>596</v>
      </c>
      <c r="D1817" s="140" t="str">
        <f>IF(ISERROR(VLOOKUP(C1817,'[1]خريطة الحسابات'!_xlnm.Print_Area,3,FALSE))," ",(VLOOKUP(C1817,'[1]خريطة الحسابات'!_xlnm.Print_Area,3,FALSE)))</f>
        <v>اعمال التكسير والهدم والنظافة</v>
      </c>
      <c r="E1817" s="142"/>
      <c r="F1817" s="133">
        <v>2650</v>
      </c>
      <c r="G1817" s="133"/>
      <c r="H1817" s="134">
        <f t="shared" ref="H1817:I1880" si="85">IF($E1817=2,F1817*3.465,F1817)</f>
        <v>2650</v>
      </c>
      <c r="I1817" s="134">
        <f t="shared" si="85"/>
        <v>0</v>
      </c>
      <c r="J1817" s="134">
        <f t="shared" si="84"/>
        <v>2650</v>
      </c>
      <c r="K1817" s="135"/>
      <c r="L1817" s="136" t="str">
        <f t="shared" si="83"/>
        <v>مدين</v>
      </c>
      <c r="M1817" s="137" t="str">
        <f>IF(ISERROR(VLOOKUP(C1817,'[1]خريطة الحسابات'!_xlnm.Print_Area,4,FALSE))," ",(VLOOKUP(C1817,'[1]خريطة الحسابات'!_xlnm.Print_Area,4,FALSE)))</f>
        <v>تكاليف مشروع اللوتس 361</v>
      </c>
      <c r="N1817" s="138" t="str">
        <f>IF(ISERROR(VLOOKUP(C1817,'[1]خريطة الحسابات'!_xlnm.Print_Area,5,FALSE))," ",(VLOOKUP(C1817,'[1]خريطة الحسابات'!_xlnm.Print_Area,5,FALSE)))</f>
        <v xml:space="preserve">تكاليف العمليات </v>
      </c>
      <c r="O1817" s="84" t="s">
        <v>2128</v>
      </c>
      <c r="P1817" s="84" t="s">
        <v>1295</v>
      </c>
    </row>
    <row r="1818" spans="1:16">
      <c r="A1818" s="151">
        <v>64</v>
      </c>
      <c r="B1818" s="131">
        <v>46093</v>
      </c>
      <c r="C1818" s="150" t="s">
        <v>596</v>
      </c>
      <c r="D1818" s="140" t="str">
        <f>IF(ISERROR(VLOOKUP(C1818,'[1]خريطة الحسابات'!_xlnm.Print_Area,3,FALSE))," ",(VLOOKUP(C1818,'[1]خريطة الحسابات'!_xlnm.Print_Area,3,FALSE)))</f>
        <v>اعمال التكسير والهدم والنظافة</v>
      </c>
      <c r="E1818" s="142"/>
      <c r="F1818" s="133">
        <v>1350</v>
      </c>
      <c r="G1818" s="133"/>
      <c r="H1818" s="134">
        <f t="shared" si="85"/>
        <v>1350</v>
      </c>
      <c r="I1818" s="134">
        <f t="shared" si="85"/>
        <v>0</v>
      </c>
      <c r="J1818" s="134">
        <f t="shared" si="84"/>
        <v>1350</v>
      </c>
      <c r="K1818" s="135"/>
      <c r="L1818" s="136" t="str">
        <f t="shared" si="83"/>
        <v>مدين</v>
      </c>
      <c r="M1818" s="137" t="str">
        <f>IF(ISERROR(VLOOKUP(C1818,'[1]خريطة الحسابات'!_xlnm.Print_Area,4,FALSE))," ",(VLOOKUP(C1818,'[1]خريطة الحسابات'!_xlnm.Print_Area,4,FALSE)))</f>
        <v>تكاليف مشروع اللوتس 361</v>
      </c>
      <c r="N1818" s="138" t="str">
        <f>IF(ISERROR(VLOOKUP(C1818,'[1]خريطة الحسابات'!_xlnm.Print_Area,5,FALSE))," ",(VLOOKUP(C1818,'[1]خريطة الحسابات'!_xlnm.Print_Area,5,FALSE)))</f>
        <v xml:space="preserve">تكاليف العمليات </v>
      </c>
      <c r="O1818" s="84" t="s">
        <v>2129</v>
      </c>
      <c r="P1818" s="84" t="s">
        <v>1295</v>
      </c>
    </row>
    <row r="1819" spans="1:16">
      <c r="A1819" s="151">
        <v>64</v>
      </c>
      <c r="B1819" s="131">
        <v>46099</v>
      </c>
      <c r="C1819" s="150" t="s">
        <v>596</v>
      </c>
      <c r="D1819" s="140" t="str">
        <f>IF(ISERROR(VLOOKUP(C1819,'[1]خريطة الحسابات'!_xlnm.Print_Area,3,FALSE))," ",(VLOOKUP(C1819,'[1]خريطة الحسابات'!_xlnm.Print_Area,3,FALSE)))</f>
        <v>اعمال التكسير والهدم والنظافة</v>
      </c>
      <c r="E1819" s="142"/>
      <c r="F1819" s="133">
        <v>450</v>
      </c>
      <c r="G1819" s="133"/>
      <c r="H1819" s="134">
        <f t="shared" si="85"/>
        <v>450</v>
      </c>
      <c r="I1819" s="134">
        <f t="shared" si="85"/>
        <v>0</v>
      </c>
      <c r="J1819" s="134">
        <f t="shared" si="84"/>
        <v>450</v>
      </c>
      <c r="K1819" s="135"/>
      <c r="L1819" s="136" t="str">
        <f t="shared" ref="L1819:L1882" si="86">IF(J1819&lt;0,"دائن",IF(J1819&gt;0,"مدين",""))</f>
        <v>مدين</v>
      </c>
      <c r="M1819" s="137" t="str">
        <f>IF(ISERROR(VLOOKUP(C1819,'[1]خريطة الحسابات'!_xlnm.Print_Area,4,FALSE))," ",(VLOOKUP(C1819,'[1]خريطة الحسابات'!_xlnm.Print_Area,4,FALSE)))</f>
        <v>تكاليف مشروع اللوتس 361</v>
      </c>
      <c r="N1819" s="138" t="str">
        <f>IF(ISERROR(VLOOKUP(C1819,'[1]خريطة الحسابات'!_xlnm.Print_Area,5,FALSE))," ",(VLOOKUP(C1819,'[1]خريطة الحسابات'!_xlnm.Print_Area,5,FALSE)))</f>
        <v xml:space="preserve">تكاليف العمليات </v>
      </c>
      <c r="O1819" s="84" t="s">
        <v>2130</v>
      </c>
      <c r="P1819" s="84" t="s">
        <v>1295</v>
      </c>
    </row>
    <row r="1820" spans="1:16">
      <c r="A1820" s="151">
        <v>64</v>
      </c>
      <c r="B1820" s="131">
        <v>46078</v>
      </c>
      <c r="C1820" s="150" t="s">
        <v>421</v>
      </c>
      <c r="D1820" s="140" t="str">
        <f>IF(ISERROR(VLOOKUP(C1820,'[1]خريطة الحسابات'!_xlnm.Print_Area,3,FALSE))," ",(VLOOKUP(C1820,'[1]خريطة الحسابات'!_xlnm.Print_Area,3,FALSE)))</f>
        <v>اعمال التكسير والهدم والنظافة</v>
      </c>
      <c r="E1820" s="142"/>
      <c r="F1820" s="133">
        <v>550</v>
      </c>
      <c r="G1820" s="133"/>
      <c r="H1820" s="134">
        <f t="shared" si="85"/>
        <v>550</v>
      </c>
      <c r="I1820" s="134">
        <f t="shared" si="85"/>
        <v>0</v>
      </c>
      <c r="J1820" s="134">
        <f t="shared" si="84"/>
        <v>550</v>
      </c>
      <c r="K1820" s="135"/>
      <c r="L1820" s="136" t="str">
        <f t="shared" si="86"/>
        <v>مدين</v>
      </c>
      <c r="M1820" s="137" t="str">
        <f>IF(ISERROR(VLOOKUP(C1820,'[1]خريطة الحسابات'!_xlnm.Print_Area,4,FALSE))," ",(VLOOKUP(C1820,'[1]خريطة الحسابات'!_xlnm.Print_Area,4,FALSE)))</f>
        <v>345 تكاليف مشروع بالم هيلز</v>
      </c>
      <c r="N1820" s="138" t="str">
        <f>IF(ISERROR(VLOOKUP(C1820,'[1]خريطة الحسابات'!_xlnm.Print_Area,5,FALSE))," ",(VLOOKUP(C1820,'[1]خريطة الحسابات'!_xlnm.Print_Area,5,FALSE)))</f>
        <v xml:space="preserve">تكاليف العمليات </v>
      </c>
      <c r="O1820" s="84" t="s">
        <v>2131</v>
      </c>
      <c r="P1820" s="84" t="s">
        <v>1327</v>
      </c>
    </row>
    <row r="1821" spans="1:16">
      <c r="A1821" s="151">
        <v>64</v>
      </c>
      <c r="B1821" s="131">
        <v>46086</v>
      </c>
      <c r="C1821" s="150" t="s">
        <v>421</v>
      </c>
      <c r="D1821" s="140" t="str">
        <f>IF(ISERROR(VLOOKUP(C1821,'[1]خريطة الحسابات'!_xlnm.Print_Area,3,FALSE))," ",(VLOOKUP(C1821,'[1]خريطة الحسابات'!_xlnm.Print_Area,3,FALSE)))</f>
        <v>اعمال التكسير والهدم والنظافة</v>
      </c>
      <c r="E1821" s="142"/>
      <c r="F1821" s="133">
        <v>600</v>
      </c>
      <c r="G1821" s="133"/>
      <c r="H1821" s="134">
        <f t="shared" si="85"/>
        <v>600</v>
      </c>
      <c r="I1821" s="134">
        <f t="shared" si="85"/>
        <v>0</v>
      </c>
      <c r="J1821" s="134">
        <f t="shared" si="84"/>
        <v>600</v>
      </c>
      <c r="K1821" s="135"/>
      <c r="L1821" s="136" t="str">
        <f t="shared" si="86"/>
        <v>مدين</v>
      </c>
      <c r="M1821" s="137" t="str">
        <f>IF(ISERROR(VLOOKUP(C1821,'[1]خريطة الحسابات'!_xlnm.Print_Area,4,FALSE))," ",(VLOOKUP(C1821,'[1]خريطة الحسابات'!_xlnm.Print_Area,4,FALSE)))</f>
        <v>345 تكاليف مشروع بالم هيلز</v>
      </c>
      <c r="N1821" s="138" t="str">
        <f>IF(ISERROR(VLOOKUP(C1821,'[1]خريطة الحسابات'!_xlnm.Print_Area,5,FALSE))," ",(VLOOKUP(C1821,'[1]خريطة الحسابات'!_xlnm.Print_Area,5,FALSE)))</f>
        <v xml:space="preserve">تكاليف العمليات </v>
      </c>
      <c r="O1821" s="84" t="s">
        <v>2132</v>
      </c>
      <c r="P1821" s="84" t="s">
        <v>1327</v>
      </c>
    </row>
    <row r="1822" spans="1:16">
      <c r="A1822" s="151">
        <v>64</v>
      </c>
      <c r="B1822" s="131">
        <v>46099</v>
      </c>
      <c r="C1822" s="150" t="s">
        <v>421</v>
      </c>
      <c r="D1822" s="140" t="str">
        <f>IF(ISERROR(VLOOKUP(C1822,'[1]خريطة الحسابات'!_xlnm.Print_Area,3,FALSE))," ",(VLOOKUP(C1822,'[1]خريطة الحسابات'!_xlnm.Print_Area,3,FALSE)))</f>
        <v>اعمال التكسير والهدم والنظافة</v>
      </c>
      <c r="E1822" s="142"/>
      <c r="F1822" s="133">
        <v>2400</v>
      </c>
      <c r="G1822" s="133"/>
      <c r="H1822" s="134">
        <f t="shared" si="85"/>
        <v>2400</v>
      </c>
      <c r="I1822" s="134">
        <f t="shared" si="85"/>
        <v>0</v>
      </c>
      <c r="J1822" s="134">
        <f t="shared" si="84"/>
        <v>2400</v>
      </c>
      <c r="K1822" s="135"/>
      <c r="L1822" s="136" t="str">
        <f t="shared" si="86"/>
        <v>مدين</v>
      </c>
      <c r="M1822" s="137" t="str">
        <f>IF(ISERROR(VLOOKUP(C1822,'[1]خريطة الحسابات'!_xlnm.Print_Area,4,FALSE))," ",(VLOOKUP(C1822,'[1]خريطة الحسابات'!_xlnm.Print_Area,4,FALSE)))</f>
        <v>345 تكاليف مشروع بالم هيلز</v>
      </c>
      <c r="N1822" s="138" t="str">
        <f>IF(ISERROR(VLOOKUP(C1822,'[1]خريطة الحسابات'!_xlnm.Print_Area,5,FALSE))," ",(VLOOKUP(C1822,'[1]خريطة الحسابات'!_xlnm.Print_Area,5,FALSE)))</f>
        <v xml:space="preserve">تكاليف العمليات </v>
      </c>
      <c r="O1822" s="84" t="s">
        <v>1997</v>
      </c>
      <c r="P1822" s="84" t="s">
        <v>1327</v>
      </c>
    </row>
    <row r="1823" spans="1:16">
      <c r="A1823" s="151">
        <v>64</v>
      </c>
      <c r="B1823" s="131">
        <v>46120</v>
      </c>
      <c r="C1823" s="150" t="s">
        <v>421</v>
      </c>
      <c r="D1823" s="140" t="str">
        <f>IF(ISERROR(VLOOKUP(C1823,'[1]خريطة الحسابات'!_xlnm.Print_Area,3,FALSE))," ",(VLOOKUP(C1823,'[1]خريطة الحسابات'!_xlnm.Print_Area,3,FALSE)))</f>
        <v>اعمال التكسير والهدم والنظافة</v>
      </c>
      <c r="E1823" s="142"/>
      <c r="F1823" s="133">
        <v>615</v>
      </c>
      <c r="G1823" s="133"/>
      <c r="H1823" s="134">
        <f t="shared" si="85"/>
        <v>615</v>
      </c>
      <c r="I1823" s="134">
        <f t="shared" si="85"/>
        <v>0</v>
      </c>
      <c r="J1823" s="134">
        <f t="shared" si="84"/>
        <v>615</v>
      </c>
      <c r="K1823" s="135"/>
      <c r="L1823" s="136" t="str">
        <f t="shared" si="86"/>
        <v>مدين</v>
      </c>
      <c r="M1823" s="137" t="str">
        <f>IF(ISERROR(VLOOKUP(C1823,'[1]خريطة الحسابات'!_xlnm.Print_Area,4,FALSE))," ",(VLOOKUP(C1823,'[1]خريطة الحسابات'!_xlnm.Print_Area,4,FALSE)))</f>
        <v>345 تكاليف مشروع بالم هيلز</v>
      </c>
      <c r="N1823" s="138" t="str">
        <f>IF(ISERROR(VLOOKUP(C1823,'[1]خريطة الحسابات'!_xlnm.Print_Area,5,FALSE))," ",(VLOOKUP(C1823,'[1]خريطة الحسابات'!_xlnm.Print_Area,5,FALSE)))</f>
        <v xml:space="preserve">تكاليف العمليات </v>
      </c>
      <c r="O1823" s="84" t="s">
        <v>2133</v>
      </c>
      <c r="P1823" s="84" t="s">
        <v>1327</v>
      </c>
    </row>
    <row r="1824" spans="1:16">
      <c r="A1824" s="151">
        <v>64</v>
      </c>
      <c r="B1824" s="131">
        <v>46128</v>
      </c>
      <c r="C1824" s="150" t="s">
        <v>421</v>
      </c>
      <c r="D1824" s="140" t="str">
        <f>IF(ISERROR(VLOOKUP(C1824,'[1]خريطة الحسابات'!_xlnm.Print_Area,3,FALSE))," ",(VLOOKUP(C1824,'[1]خريطة الحسابات'!_xlnm.Print_Area,3,FALSE)))</f>
        <v>اعمال التكسير والهدم والنظافة</v>
      </c>
      <c r="E1824" s="142"/>
      <c r="F1824" s="133">
        <v>1600</v>
      </c>
      <c r="G1824" s="133"/>
      <c r="H1824" s="134">
        <f t="shared" si="85"/>
        <v>1600</v>
      </c>
      <c r="I1824" s="134">
        <f t="shared" si="85"/>
        <v>0</v>
      </c>
      <c r="J1824" s="134">
        <f t="shared" si="84"/>
        <v>1600</v>
      </c>
      <c r="K1824" s="135"/>
      <c r="L1824" s="136" t="str">
        <f t="shared" si="86"/>
        <v>مدين</v>
      </c>
      <c r="M1824" s="137" t="str">
        <f>IF(ISERROR(VLOOKUP(C1824,'[1]خريطة الحسابات'!_xlnm.Print_Area,4,FALSE))," ",(VLOOKUP(C1824,'[1]خريطة الحسابات'!_xlnm.Print_Area,4,FALSE)))</f>
        <v>345 تكاليف مشروع بالم هيلز</v>
      </c>
      <c r="N1824" s="138" t="str">
        <f>IF(ISERROR(VLOOKUP(C1824,'[1]خريطة الحسابات'!_xlnm.Print_Area,5,FALSE))," ",(VLOOKUP(C1824,'[1]خريطة الحسابات'!_xlnm.Print_Area,5,FALSE)))</f>
        <v xml:space="preserve">تكاليف العمليات </v>
      </c>
      <c r="O1824" s="84" t="s">
        <v>2134</v>
      </c>
      <c r="P1824" s="84" t="s">
        <v>1327</v>
      </c>
    </row>
    <row r="1825" spans="1:16">
      <c r="A1825" s="151">
        <v>64</v>
      </c>
      <c r="B1825" s="131">
        <v>46139</v>
      </c>
      <c r="C1825" s="150" t="s">
        <v>421</v>
      </c>
      <c r="D1825" s="140" t="str">
        <f>IF(ISERROR(VLOOKUP(C1825,'[1]خريطة الحسابات'!_xlnm.Print_Area,3,FALSE))," ",(VLOOKUP(C1825,'[1]خريطة الحسابات'!_xlnm.Print_Area,3,FALSE)))</f>
        <v>اعمال التكسير والهدم والنظافة</v>
      </c>
      <c r="E1825" s="142"/>
      <c r="F1825" s="133">
        <v>820</v>
      </c>
      <c r="G1825" s="133"/>
      <c r="H1825" s="134">
        <f t="shared" si="85"/>
        <v>820</v>
      </c>
      <c r="I1825" s="134">
        <f t="shared" si="85"/>
        <v>0</v>
      </c>
      <c r="J1825" s="134">
        <f t="shared" si="84"/>
        <v>820</v>
      </c>
      <c r="K1825" s="135"/>
      <c r="L1825" s="136" t="str">
        <f t="shared" si="86"/>
        <v>مدين</v>
      </c>
      <c r="M1825" s="137" t="str">
        <f>IF(ISERROR(VLOOKUP(C1825,'[1]خريطة الحسابات'!_xlnm.Print_Area,4,FALSE))," ",(VLOOKUP(C1825,'[1]خريطة الحسابات'!_xlnm.Print_Area,4,FALSE)))</f>
        <v>345 تكاليف مشروع بالم هيلز</v>
      </c>
      <c r="N1825" s="138" t="str">
        <f>IF(ISERROR(VLOOKUP(C1825,'[1]خريطة الحسابات'!_xlnm.Print_Area,5,FALSE))," ",(VLOOKUP(C1825,'[1]خريطة الحسابات'!_xlnm.Print_Area,5,FALSE)))</f>
        <v xml:space="preserve">تكاليف العمليات </v>
      </c>
      <c r="O1825" s="84" t="s">
        <v>2135</v>
      </c>
      <c r="P1825" s="84" t="s">
        <v>1327</v>
      </c>
    </row>
    <row r="1826" spans="1:16">
      <c r="A1826" s="151">
        <v>64</v>
      </c>
      <c r="B1826" s="131">
        <v>46049</v>
      </c>
      <c r="C1826" s="150" t="s">
        <v>841</v>
      </c>
      <c r="D1826" s="140" t="str">
        <f>IF(ISERROR(VLOOKUP(C1826,'[1]خريطة الحسابات'!_xlnm.Print_Area,3,FALSE))," ",(VLOOKUP(C1826,'[1]خريطة الحسابات'!_xlnm.Print_Area,3,FALSE)))</f>
        <v>اعمال التكسير والهدم والنظافة</v>
      </c>
      <c r="E1826" s="142"/>
      <c r="F1826" s="133">
        <v>11011</v>
      </c>
      <c r="G1826" s="133"/>
      <c r="H1826" s="134">
        <f t="shared" si="85"/>
        <v>11011</v>
      </c>
      <c r="I1826" s="134">
        <f t="shared" si="85"/>
        <v>0</v>
      </c>
      <c r="J1826" s="134">
        <f t="shared" si="84"/>
        <v>11011</v>
      </c>
      <c r="K1826" s="135"/>
      <c r="L1826" s="136" t="str">
        <f t="shared" si="86"/>
        <v>مدين</v>
      </c>
      <c r="M1826" s="137" t="str">
        <f>IF(ISERROR(VLOOKUP(C1826,'[1]خريطة الحسابات'!_xlnm.Print_Area,4,FALSE))," ",(VLOOKUP(C1826,'[1]خريطة الحسابات'!_xlnm.Print_Area,4,FALSE)))</f>
        <v>تكاليف مشروع رأس الحكمة</v>
      </c>
      <c r="N1826" s="138" t="str">
        <f>IF(ISERROR(VLOOKUP(C1826,'[1]خريطة الحسابات'!_xlnm.Print_Area,5,FALSE))," ",(VLOOKUP(C1826,'[1]خريطة الحسابات'!_xlnm.Print_Area,5,FALSE)))</f>
        <v xml:space="preserve">تكاليف العمليات </v>
      </c>
      <c r="O1826" s="84" t="s">
        <v>2136</v>
      </c>
      <c r="P1826" s="84" t="s">
        <v>1493</v>
      </c>
    </row>
    <row r="1827" spans="1:16">
      <c r="A1827" s="151">
        <v>64</v>
      </c>
      <c r="B1827" s="131">
        <v>46049</v>
      </c>
      <c r="C1827" s="150" t="s">
        <v>841</v>
      </c>
      <c r="D1827" s="140" t="str">
        <f>IF(ISERROR(VLOOKUP(C1827,'[1]خريطة الحسابات'!_xlnm.Print_Area,3,FALSE))," ",(VLOOKUP(C1827,'[1]خريطة الحسابات'!_xlnm.Print_Area,3,FALSE)))</f>
        <v>اعمال التكسير والهدم والنظافة</v>
      </c>
      <c r="E1827" s="142"/>
      <c r="F1827" s="133">
        <v>1500</v>
      </c>
      <c r="G1827" s="133"/>
      <c r="H1827" s="134">
        <f t="shared" si="85"/>
        <v>1500</v>
      </c>
      <c r="I1827" s="134">
        <f t="shared" si="85"/>
        <v>0</v>
      </c>
      <c r="J1827" s="134">
        <f t="shared" si="84"/>
        <v>1500</v>
      </c>
      <c r="K1827" s="135"/>
      <c r="L1827" s="136" t="str">
        <f t="shared" si="86"/>
        <v>مدين</v>
      </c>
      <c r="M1827" s="137" t="str">
        <f>IF(ISERROR(VLOOKUP(C1827,'[1]خريطة الحسابات'!_xlnm.Print_Area,4,FALSE))," ",(VLOOKUP(C1827,'[1]خريطة الحسابات'!_xlnm.Print_Area,4,FALSE)))</f>
        <v>تكاليف مشروع رأس الحكمة</v>
      </c>
      <c r="N1827" s="138" t="str">
        <f>IF(ISERROR(VLOOKUP(C1827,'[1]خريطة الحسابات'!_xlnm.Print_Area,5,FALSE))," ",(VLOOKUP(C1827,'[1]خريطة الحسابات'!_xlnm.Print_Area,5,FALSE)))</f>
        <v xml:space="preserve">تكاليف العمليات </v>
      </c>
      <c r="O1827" s="84" t="s">
        <v>2137</v>
      </c>
      <c r="P1827" s="84" t="s">
        <v>1493</v>
      </c>
    </row>
    <row r="1828" spans="1:16">
      <c r="A1828" s="151">
        <v>64</v>
      </c>
      <c r="B1828" s="131">
        <v>46063</v>
      </c>
      <c r="C1828" s="150" t="s">
        <v>841</v>
      </c>
      <c r="D1828" s="140" t="str">
        <f>IF(ISERROR(VLOOKUP(C1828,'[1]خريطة الحسابات'!_xlnm.Print_Area,3,FALSE))," ",(VLOOKUP(C1828,'[1]خريطة الحسابات'!_xlnm.Print_Area,3,FALSE)))</f>
        <v>اعمال التكسير والهدم والنظافة</v>
      </c>
      <c r="E1828" s="142"/>
      <c r="F1828" s="133">
        <v>600</v>
      </c>
      <c r="G1828" s="133"/>
      <c r="H1828" s="134">
        <f t="shared" si="85"/>
        <v>600</v>
      </c>
      <c r="I1828" s="134">
        <f t="shared" si="85"/>
        <v>0</v>
      </c>
      <c r="J1828" s="134">
        <f t="shared" si="84"/>
        <v>600</v>
      </c>
      <c r="K1828" s="135"/>
      <c r="L1828" s="136" t="str">
        <f t="shared" si="86"/>
        <v>مدين</v>
      </c>
      <c r="M1828" s="137" t="str">
        <f>IF(ISERROR(VLOOKUP(C1828,'[1]خريطة الحسابات'!_xlnm.Print_Area,4,FALSE))," ",(VLOOKUP(C1828,'[1]خريطة الحسابات'!_xlnm.Print_Area,4,FALSE)))</f>
        <v>تكاليف مشروع رأس الحكمة</v>
      </c>
      <c r="N1828" s="138" t="str">
        <f>IF(ISERROR(VLOOKUP(C1828,'[1]خريطة الحسابات'!_xlnm.Print_Area,5,FALSE))," ",(VLOOKUP(C1828,'[1]خريطة الحسابات'!_xlnm.Print_Area,5,FALSE)))</f>
        <v xml:space="preserve">تكاليف العمليات </v>
      </c>
      <c r="O1828" s="84" t="s">
        <v>2121</v>
      </c>
      <c r="P1828" s="84" t="s">
        <v>1493</v>
      </c>
    </row>
    <row r="1829" spans="1:16">
      <c r="A1829" s="151">
        <v>64</v>
      </c>
      <c r="B1829" s="131">
        <v>46116</v>
      </c>
      <c r="C1829" s="150" t="s">
        <v>77</v>
      </c>
      <c r="D1829" s="140" t="str">
        <f>IF(ISERROR(VLOOKUP(C1829,'[1]خريطة الحسابات'!_xlnm.Print_Area,3,FALSE))," ",(VLOOKUP(C1829,'[1]خريطة الحسابات'!_xlnm.Print_Area,3,FALSE)))</f>
        <v xml:space="preserve">اعمال التكسير والهدم والنظافة والتشوينات من مواد </v>
      </c>
      <c r="E1829" s="142"/>
      <c r="F1829" s="133">
        <v>3000</v>
      </c>
      <c r="G1829" s="133"/>
      <c r="H1829" s="134">
        <f t="shared" si="85"/>
        <v>3000</v>
      </c>
      <c r="I1829" s="134">
        <f t="shared" si="85"/>
        <v>0</v>
      </c>
      <c r="J1829" s="134">
        <f t="shared" si="84"/>
        <v>3000</v>
      </c>
      <c r="K1829" s="135"/>
      <c r="L1829" s="136" t="str">
        <f t="shared" si="86"/>
        <v>مدين</v>
      </c>
      <c r="M1829" s="137" t="str">
        <f>IF(ISERROR(VLOOKUP(C1829,'[1]خريطة الحسابات'!_xlnm.Print_Area,4,FALSE))," ",(VLOOKUP(C1829,'[1]خريطة الحسابات'!_xlnm.Print_Area,4,FALSE)))</f>
        <v>تكاليف مشروع سوديك  341</v>
      </c>
      <c r="N1829" s="138" t="str">
        <f>IF(ISERROR(VLOOKUP(C1829,'[1]خريطة الحسابات'!_xlnm.Print_Area,5,FALSE))," ",(VLOOKUP(C1829,'[1]خريطة الحسابات'!_xlnm.Print_Area,5,FALSE)))</f>
        <v xml:space="preserve">تكاليف العمليات </v>
      </c>
      <c r="O1829" s="84" t="s">
        <v>2138</v>
      </c>
      <c r="P1829" s="84" t="s">
        <v>1290</v>
      </c>
    </row>
    <row r="1830" spans="1:16">
      <c r="A1830" s="151">
        <v>64</v>
      </c>
      <c r="B1830" s="131">
        <v>46128</v>
      </c>
      <c r="C1830" s="150" t="s">
        <v>77</v>
      </c>
      <c r="D1830" s="140" t="str">
        <f>IF(ISERROR(VLOOKUP(C1830,'[1]خريطة الحسابات'!_xlnm.Print_Area,3,FALSE))," ",(VLOOKUP(C1830,'[1]خريطة الحسابات'!_xlnm.Print_Area,3,FALSE)))</f>
        <v xml:space="preserve">اعمال التكسير والهدم والنظافة والتشوينات من مواد </v>
      </c>
      <c r="E1830" s="142"/>
      <c r="F1830" s="133">
        <v>1500</v>
      </c>
      <c r="G1830" s="133"/>
      <c r="H1830" s="134">
        <f t="shared" si="85"/>
        <v>1500</v>
      </c>
      <c r="I1830" s="134">
        <f t="shared" si="85"/>
        <v>0</v>
      </c>
      <c r="J1830" s="134">
        <f t="shared" si="84"/>
        <v>1500</v>
      </c>
      <c r="K1830" s="135"/>
      <c r="L1830" s="136" t="str">
        <f t="shared" si="86"/>
        <v>مدين</v>
      </c>
      <c r="M1830" s="137" t="str">
        <f>IF(ISERROR(VLOOKUP(C1830,'[1]خريطة الحسابات'!_xlnm.Print_Area,4,FALSE))," ",(VLOOKUP(C1830,'[1]خريطة الحسابات'!_xlnm.Print_Area,4,FALSE)))</f>
        <v>تكاليف مشروع سوديك  341</v>
      </c>
      <c r="N1830" s="138" t="str">
        <f>IF(ISERROR(VLOOKUP(C1830,'[1]خريطة الحسابات'!_xlnm.Print_Area,5,FALSE))," ",(VLOOKUP(C1830,'[1]خريطة الحسابات'!_xlnm.Print_Area,5,FALSE)))</f>
        <v xml:space="preserve">تكاليف العمليات </v>
      </c>
      <c r="O1830" s="84" t="s">
        <v>2139</v>
      </c>
      <c r="P1830" s="84" t="s">
        <v>1290</v>
      </c>
    </row>
    <row r="1831" spans="1:16">
      <c r="A1831" s="151">
        <v>64</v>
      </c>
      <c r="B1831" s="131">
        <v>46134</v>
      </c>
      <c r="C1831" s="150" t="s">
        <v>77</v>
      </c>
      <c r="D1831" s="140" t="str">
        <f>IF(ISERROR(VLOOKUP(C1831,'[1]خريطة الحسابات'!_xlnm.Print_Area,3,FALSE))," ",(VLOOKUP(C1831,'[1]خريطة الحسابات'!_xlnm.Print_Area,3,FALSE)))</f>
        <v xml:space="preserve">اعمال التكسير والهدم والنظافة والتشوينات من مواد </v>
      </c>
      <c r="E1831" s="142"/>
      <c r="F1831" s="133">
        <v>2250</v>
      </c>
      <c r="G1831" s="133"/>
      <c r="H1831" s="134">
        <f t="shared" si="85"/>
        <v>2250</v>
      </c>
      <c r="I1831" s="134">
        <f t="shared" si="85"/>
        <v>0</v>
      </c>
      <c r="J1831" s="134">
        <f t="shared" si="84"/>
        <v>2250</v>
      </c>
      <c r="K1831" s="135"/>
      <c r="L1831" s="136" t="str">
        <f t="shared" si="86"/>
        <v>مدين</v>
      </c>
      <c r="M1831" s="137" t="str">
        <f>IF(ISERROR(VLOOKUP(C1831,'[1]خريطة الحسابات'!_xlnm.Print_Area,4,FALSE))," ",(VLOOKUP(C1831,'[1]خريطة الحسابات'!_xlnm.Print_Area,4,FALSE)))</f>
        <v>تكاليف مشروع سوديك  341</v>
      </c>
      <c r="N1831" s="138" t="str">
        <f>IF(ISERROR(VLOOKUP(C1831,'[1]خريطة الحسابات'!_xlnm.Print_Area,5,FALSE))," ",(VLOOKUP(C1831,'[1]خريطة الحسابات'!_xlnm.Print_Area,5,FALSE)))</f>
        <v xml:space="preserve">تكاليف العمليات </v>
      </c>
      <c r="O1831" s="84" t="s">
        <v>2140</v>
      </c>
      <c r="P1831" s="84" t="s">
        <v>1290</v>
      </c>
    </row>
    <row r="1832" spans="1:16">
      <c r="A1832" s="151">
        <v>64</v>
      </c>
      <c r="B1832" s="131">
        <v>46142</v>
      </c>
      <c r="C1832" s="150" t="s">
        <v>77</v>
      </c>
      <c r="D1832" s="140" t="str">
        <f>IF(ISERROR(VLOOKUP(C1832,'[1]خريطة الحسابات'!_xlnm.Print_Area,3,FALSE))," ",(VLOOKUP(C1832,'[1]خريطة الحسابات'!_xlnm.Print_Area,3,FALSE)))</f>
        <v xml:space="preserve">اعمال التكسير والهدم والنظافة والتشوينات من مواد </v>
      </c>
      <c r="E1832" s="142"/>
      <c r="F1832" s="133">
        <v>2300</v>
      </c>
      <c r="G1832" s="133"/>
      <c r="H1832" s="134">
        <f t="shared" si="85"/>
        <v>2300</v>
      </c>
      <c r="I1832" s="134">
        <f t="shared" si="85"/>
        <v>0</v>
      </c>
      <c r="J1832" s="134">
        <f t="shared" si="84"/>
        <v>2300</v>
      </c>
      <c r="K1832" s="135"/>
      <c r="L1832" s="136" t="str">
        <f t="shared" si="86"/>
        <v>مدين</v>
      </c>
      <c r="M1832" s="137" t="str">
        <f>IF(ISERROR(VLOOKUP(C1832,'[1]خريطة الحسابات'!_xlnm.Print_Area,4,FALSE))," ",(VLOOKUP(C1832,'[1]خريطة الحسابات'!_xlnm.Print_Area,4,FALSE)))</f>
        <v>تكاليف مشروع سوديك  341</v>
      </c>
      <c r="N1832" s="138" t="str">
        <f>IF(ISERROR(VLOOKUP(C1832,'[1]خريطة الحسابات'!_xlnm.Print_Area,5,FALSE))," ",(VLOOKUP(C1832,'[1]خريطة الحسابات'!_xlnm.Print_Area,5,FALSE)))</f>
        <v xml:space="preserve">تكاليف العمليات </v>
      </c>
      <c r="O1832" s="84" t="s">
        <v>2141</v>
      </c>
      <c r="P1832" s="84" t="s">
        <v>1290</v>
      </c>
    </row>
    <row r="1833" spans="1:16">
      <c r="A1833" s="151">
        <v>64</v>
      </c>
      <c r="B1833" s="131">
        <v>46147</v>
      </c>
      <c r="C1833" s="150" t="s">
        <v>77</v>
      </c>
      <c r="D1833" s="140" t="str">
        <f>IF(ISERROR(VLOOKUP(C1833,'[1]خريطة الحسابات'!_xlnm.Print_Area,3,FALSE))," ",(VLOOKUP(C1833,'[1]خريطة الحسابات'!_xlnm.Print_Area,3,FALSE)))</f>
        <v xml:space="preserve">اعمال التكسير والهدم والنظافة والتشوينات من مواد </v>
      </c>
      <c r="E1833" s="142"/>
      <c r="F1833" s="133">
        <v>490</v>
      </c>
      <c r="G1833" s="133"/>
      <c r="H1833" s="134">
        <f t="shared" si="85"/>
        <v>490</v>
      </c>
      <c r="I1833" s="134">
        <f t="shared" si="85"/>
        <v>0</v>
      </c>
      <c r="J1833" s="134">
        <f t="shared" si="84"/>
        <v>490</v>
      </c>
      <c r="K1833" s="135"/>
      <c r="L1833" s="136" t="str">
        <f t="shared" si="86"/>
        <v>مدين</v>
      </c>
      <c r="M1833" s="137" t="str">
        <f>IF(ISERROR(VLOOKUP(C1833,'[1]خريطة الحسابات'!_xlnm.Print_Area,4,FALSE))," ",(VLOOKUP(C1833,'[1]خريطة الحسابات'!_xlnm.Print_Area,4,FALSE)))</f>
        <v>تكاليف مشروع سوديك  341</v>
      </c>
      <c r="N1833" s="138" t="str">
        <f>IF(ISERROR(VLOOKUP(C1833,'[1]خريطة الحسابات'!_xlnm.Print_Area,5,FALSE))," ",(VLOOKUP(C1833,'[1]خريطة الحسابات'!_xlnm.Print_Area,5,FALSE)))</f>
        <v xml:space="preserve">تكاليف العمليات </v>
      </c>
      <c r="O1833" s="84" t="s">
        <v>2142</v>
      </c>
      <c r="P1833" s="84" t="s">
        <v>1290</v>
      </c>
    </row>
    <row r="1834" spans="1:16">
      <c r="A1834" s="151">
        <v>64</v>
      </c>
      <c r="B1834" s="131">
        <v>46151</v>
      </c>
      <c r="C1834" s="150" t="s">
        <v>77</v>
      </c>
      <c r="D1834" s="140" t="str">
        <f>IF(ISERROR(VLOOKUP(C1834,'[1]خريطة الحسابات'!_xlnm.Print_Area,3,FALSE))," ",(VLOOKUP(C1834,'[1]خريطة الحسابات'!_xlnm.Print_Area,3,FALSE)))</f>
        <v xml:space="preserve">اعمال التكسير والهدم والنظافة والتشوينات من مواد </v>
      </c>
      <c r="E1834" s="142"/>
      <c r="F1834" s="133">
        <v>1102</v>
      </c>
      <c r="G1834" s="133"/>
      <c r="H1834" s="134">
        <f t="shared" si="85"/>
        <v>1102</v>
      </c>
      <c r="I1834" s="134">
        <f t="shared" si="85"/>
        <v>0</v>
      </c>
      <c r="J1834" s="134">
        <f t="shared" si="84"/>
        <v>1102</v>
      </c>
      <c r="K1834" s="135"/>
      <c r="L1834" s="136" t="str">
        <f t="shared" si="86"/>
        <v>مدين</v>
      </c>
      <c r="M1834" s="137" t="str">
        <f>IF(ISERROR(VLOOKUP(C1834,'[1]خريطة الحسابات'!_xlnm.Print_Area,4,FALSE))," ",(VLOOKUP(C1834,'[1]خريطة الحسابات'!_xlnm.Print_Area,4,FALSE)))</f>
        <v>تكاليف مشروع سوديك  341</v>
      </c>
      <c r="N1834" s="138" t="str">
        <f>IF(ISERROR(VLOOKUP(C1834,'[1]خريطة الحسابات'!_xlnm.Print_Area,5,FALSE))," ",(VLOOKUP(C1834,'[1]خريطة الحسابات'!_xlnm.Print_Area,5,FALSE)))</f>
        <v xml:space="preserve">تكاليف العمليات </v>
      </c>
      <c r="O1834" s="84" t="s">
        <v>2143</v>
      </c>
      <c r="P1834" s="84" t="s">
        <v>1290</v>
      </c>
    </row>
    <row r="1835" spans="1:16">
      <c r="A1835" s="151">
        <v>64</v>
      </c>
      <c r="B1835" s="131">
        <v>46152</v>
      </c>
      <c r="C1835" s="150" t="s">
        <v>77</v>
      </c>
      <c r="D1835" s="140" t="str">
        <f>IF(ISERROR(VLOOKUP(C1835,'[1]خريطة الحسابات'!_xlnm.Print_Area,3,FALSE))," ",(VLOOKUP(C1835,'[1]خريطة الحسابات'!_xlnm.Print_Area,3,FALSE)))</f>
        <v xml:space="preserve">اعمال التكسير والهدم والنظافة والتشوينات من مواد </v>
      </c>
      <c r="E1835" s="142"/>
      <c r="F1835" s="133">
        <v>1552</v>
      </c>
      <c r="G1835" s="133"/>
      <c r="H1835" s="134">
        <f t="shared" si="85"/>
        <v>1552</v>
      </c>
      <c r="I1835" s="134">
        <f t="shared" si="85"/>
        <v>0</v>
      </c>
      <c r="J1835" s="134">
        <f t="shared" si="84"/>
        <v>1552</v>
      </c>
      <c r="K1835" s="135"/>
      <c r="L1835" s="136" t="str">
        <f t="shared" si="86"/>
        <v>مدين</v>
      </c>
      <c r="M1835" s="137" t="str">
        <f>IF(ISERROR(VLOOKUP(C1835,'[1]خريطة الحسابات'!_xlnm.Print_Area,4,FALSE))," ",(VLOOKUP(C1835,'[1]خريطة الحسابات'!_xlnm.Print_Area,4,FALSE)))</f>
        <v>تكاليف مشروع سوديك  341</v>
      </c>
      <c r="N1835" s="138" t="str">
        <f>IF(ISERROR(VLOOKUP(C1835,'[1]خريطة الحسابات'!_xlnm.Print_Area,5,FALSE))," ",(VLOOKUP(C1835,'[1]خريطة الحسابات'!_xlnm.Print_Area,5,FALSE)))</f>
        <v xml:space="preserve">تكاليف العمليات </v>
      </c>
      <c r="O1835" s="84" t="s">
        <v>2139</v>
      </c>
      <c r="P1835" s="84" t="s">
        <v>1290</v>
      </c>
    </row>
    <row r="1836" spans="1:16">
      <c r="A1836" s="151">
        <v>64</v>
      </c>
      <c r="B1836" s="131">
        <v>46153</v>
      </c>
      <c r="C1836" s="150" t="s">
        <v>77</v>
      </c>
      <c r="D1836" s="140" t="str">
        <f>IF(ISERROR(VLOOKUP(C1836,'[1]خريطة الحسابات'!_xlnm.Print_Area,3,FALSE))," ",(VLOOKUP(C1836,'[1]خريطة الحسابات'!_xlnm.Print_Area,3,FALSE)))</f>
        <v xml:space="preserve">اعمال التكسير والهدم والنظافة والتشوينات من مواد </v>
      </c>
      <c r="E1836" s="142"/>
      <c r="F1836" s="133">
        <v>650</v>
      </c>
      <c r="G1836" s="133"/>
      <c r="H1836" s="134">
        <f t="shared" si="85"/>
        <v>650</v>
      </c>
      <c r="I1836" s="134">
        <f t="shared" si="85"/>
        <v>0</v>
      </c>
      <c r="J1836" s="134">
        <f t="shared" si="84"/>
        <v>650</v>
      </c>
      <c r="K1836" s="135"/>
      <c r="L1836" s="136" t="str">
        <f t="shared" si="86"/>
        <v>مدين</v>
      </c>
      <c r="M1836" s="137" t="str">
        <f>IF(ISERROR(VLOOKUP(C1836,'[1]خريطة الحسابات'!_xlnm.Print_Area,4,FALSE))," ",(VLOOKUP(C1836,'[1]خريطة الحسابات'!_xlnm.Print_Area,4,FALSE)))</f>
        <v>تكاليف مشروع سوديك  341</v>
      </c>
      <c r="N1836" s="138" t="str">
        <f>IF(ISERROR(VLOOKUP(C1836,'[1]خريطة الحسابات'!_xlnm.Print_Area,5,FALSE))," ",(VLOOKUP(C1836,'[1]خريطة الحسابات'!_xlnm.Print_Area,5,FALSE)))</f>
        <v xml:space="preserve">تكاليف العمليات </v>
      </c>
      <c r="O1836" s="84" t="s">
        <v>2144</v>
      </c>
      <c r="P1836" s="84" t="s">
        <v>1290</v>
      </c>
    </row>
    <row r="1837" spans="1:16">
      <c r="A1837" s="151">
        <v>64</v>
      </c>
      <c r="B1837" s="131">
        <v>46156</v>
      </c>
      <c r="C1837" s="150" t="s">
        <v>77</v>
      </c>
      <c r="D1837" s="140" t="str">
        <f>IF(ISERROR(VLOOKUP(C1837,'[1]خريطة الحسابات'!_xlnm.Print_Area,3,FALSE))," ",(VLOOKUP(C1837,'[1]خريطة الحسابات'!_xlnm.Print_Area,3,FALSE)))</f>
        <v xml:space="preserve">اعمال التكسير والهدم والنظافة والتشوينات من مواد </v>
      </c>
      <c r="E1837" s="142"/>
      <c r="F1837" s="133">
        <v>650</v>
      </c>
      <c r="G1837" s="133"/>
      <c r="H1837" s="134">
        <f t="shared" si="85"/>
        <v>650</v>
      </c>
      <c r="I1837" s="134">
        <f t="shared" si="85"/>
        <v>0</v>
      </c>
      <c r="J1837" s="134">
        <f t="shared" si="84"/>
        <v>650</v>
      </c>
      <c r="K1837" s="135"/>
      <c r="L1837" s="136" t="str">
        <f t="shared" si="86"/>
        <v>مدين</v>
      </c>
      <c r="M1837" s="137" t="str">
        <f>IF(ISERROR(VLOOKUP(C1837,'[1]خريطة الحسابات'!_xlnm.Print_Area,4,FALSE))," ",(VLOOKUP(C1837,'[1]خريطة الحسابات'!_xlnm.Print_Area,4,FALSE)))</f>
        <v>تكاليف مشروع سوديك  341</v>
      </c>
      <c r="N1837" s="138" t="str">
        <f>IF(ISERROR(VLOOKUP(C1837,'[1]خريطة الحسابات'!_xlnm.Print_Area,5,FALSE))," ",(VLOOKUP(C1837,'[1]خريطة الحسابات'!_xlnm.Print_Area,5,FALSE)))</f>
        <v xml:space="preserve">تكاليف العمليات </v>
      </c>
      <c r="O1837" s="84" t="s">
        <v>2145</v>
      </c>
      <c r="P1837" s="84" t="s">
        <v>1290</v>
      </c>
    </row>
    <row r="1838" spans="1:16">
      <c r="A1838" s="151">
        <v>64</v>
      </c>
      <c r="B1838" s="131">
        <v>46161</v>
      </c>
      <c r="C1838" s="150" t="s">
        <v>77</v>
      </c>
      <c r="D1838" s="140" t="str">
        <f>IF(ISERROR(VLOOKUP(C1838,'[1]خريطة الحسابات'!_xlnm.Print_Area,3,FALSE))," ",(VLOOKUP(C1838,'[1]خريطة الحسابات'!_xlnm.Print_Area,3,FALSE)))</f>
        <v xml:space="preserve">اعمال التكسير والهدم والنظافة والتشوينات من مواد </v>
      </c>
      <c r="E1838" s="142"/>
      <c r="F1838" s="133">
        <v>3053</v>
      </c>
      <c r="G1838" s="133"/>
      <c r="H1838" s="134">
        <f t="shared" si="85"/>
        <v>3053</v>
      </c>
      <c r="I1838" s="134">
        <f t="shared" si="85"/>
        <v>0</v>
      </c>
      <c r="J1838" s="134">
        <f t="shared" si="84"/>
        <v>3053</v>
      </c>
      <c r="K1838" s="135"/>
      <c r="L1838" s="136" t="str">
        <f t="shared" si="86"/>
        <v>مدين</v>
      </c>
      <c r="M1838" s="137" t="str">
        <f>IF(ISERROR(VLOOKUP(C1838,'[1]خريطة الحسابات'!_xlnm.Print_Area,4,FALSE))," ",(VLOOKUP(C1838,'[1]خريطة الحسابات'!_xlnm.Print_Area,4,FALSE)))</f>
        <v>تكاليف مشروع سوديك  341</v>
      </c>
      <c r="N1838" s="138" t="str">
        <f>IF(ISERROR(VLOOKUP(C1838,'[1]خريطة الحسابات'!_xlnm.Print_Area,5,FALSE))," ",(VLOOKUP(C1838,'[1]خريطة الحسابات'!_xlnm.Print_Area,5,FALSE)))</f>
        <v xml:space="preserve">تكاليف العمليات </v>
      </c>
      <c r="O1838" s="84" t="s">
        <v>2146</v>
      </c>
      <c r="P1838" s="84" t="s">
        <v>1290</v>
      </c>
    </row>
    <row r="1839" spans="1:16">
      <c r="A1839" s="151">
        <v>64</v>
      </c>
      <c r="B1839" s="131">
        <v>46163</v>
      </c>
      <c r="C1839" s="150" t="s">
        <v>77</v>
      </c>
      <c r="D1839" s="140" t="str">
        <f>IF(ISERROR(VLOOKUP(C1839,'[1]خريطة الحسابات'!_xlnm.Print_Area,3,FALSE))," ",(VLOOKUP(C1839,'[1]خريطة الحسابات'!_xlnm.Print_Area,3,FALSE)))</f>
        <v xml:space="preserve">اعمال التكسير والهدم والنظافة والتشوينات من مواد </v>
      </c>
      <c r="E1839" s="142"/>
      <c r="F1839" s="133">
        <v>550</v>
      </c>
      <c r="G1839" s="133"/>
      <c r="H1839" s="134">
        <f t="shared" si="85"/>
        <v>550</v>
      </c>
      <c r="I1839" s="134">
        <f t="shared" si="85"/>
        <v>0</v>
      </c>
      <c r="J1839" s="134">
        <f t="shared" si="84"/>
        <v>550</v>
      </c>
      <c r="K1839" s="135"/>
      <c r="L1839" s="136" t="str">
        <f t="shared" si="86"/>
        <v>مدين</v>
      </c>
      <c r="M1839" s="137" t="str">
        <f>IF(ISERROR(VLOOKUP(C1839,'[1]خريطة الحسابات'!_xlnm.Print_Area,4,FALSE))," ",(VLOOKUP(C1839,'[1]خريطة الحسابات'!_xlnm.Print_Area,4,FALSE)))</f>
        <v>تكاليف مشروع سوديك  341</v>
      </c>
      <c r="N1839" s="138" t="str">
        <f>IF(ISERROR(VLOOKUP(C1839,'[1]خريطة الحسابات'!_xlnm.Print_Area,5,FALSE))," ",(VLOOKUP(C1839,'[1]خريطة الحسابات'!_xlnm.Print_Area,5,FALSE)))</f>
        <v xml:space="preserve">تكاليف العمليات </v>
      </c>
      <c r="O1839" s="84" t="s">
        <v>2147</v>
      </c>
      <c r="P1839" s="84" t="s">
        <v>1290</v>
      </c>
    </row>
    <row r="1840" spans="1:16">
      <c r="A1840" s="151">
        <v>64</v>
      </c>
      <c r="B1840" s="131">
        <v>46167</v>
      </c>
      <c r="C1840" s="150" t="s">
        <v>77</v>
      </c>
      <c r="D1840" s="140" t="str">
        <f>IF(ISERROR(VLOOKUP(C1840,'[1]خريطة الحسابات'!_xlnm.Print_Area,3,FALSE))," ",(VLOOKUP(C1840,'[1]خريطة الحسابات'!_xlnm.Print_Area,3,FALSE)))</f>
        <v xml:space="preserve">اعمال التكسير والهدم والنظافة والتشوينات من مواد </v>
      </c>
      <c r="E1840" s="142"/>
      <c r="F1840" s="133">
        <v>3203</v>
      </c>
      <c r="G1840" s="133"/>
      <c r="H1840" s="134">
        <f t="shared" si="85"/>
        <v>3203</v>
      </c>
      <c r="I1840" s="134">
        <f t="shared" si="85"/>
        <v>0</v>
      </c>
      <c r="J1840" s="134">
        <f t="shared" si="84"/>
        <v>3203</v>
      </c>
      <c r="K1840" s="135"/>
      <c r="L1840" s="136" t="str">
        <f t="shared" si="86"/>
        <v>مدين</v>
      </c>
      <c r="M1840" s="137" t="str">
        <f>IF(ISERROR(VLOOKUP(C1840,'[1]خريطة الحسابات'!_xlnm.Print_Area,4,FALSE))," ",(VLOOKUP(C1840,'[1]خريطة الحسابات'!_xlnm.Print_Area,4,FALSE)))</f>
        <v>تكاليف مشروع سوديك  341</v>
      </c>
      <c r="N1840" s="138" t="str">
        <f>IF(ISERROR(VLOOKUP(C1840,'[1]خريطة الحسابات'!_xlnm.Print_Area,5,FALSE))," ",(VLOOKUP(C1840,'[1]خريطة الحسابات'!_xlnm.Print_Area,5,FALSE)))</f>
        <v xml:space="preserve">تكاليف العمليات </v>
      </c>
      <c r="O1840" s="84" t="s">
        <v>2148</v>
      </c>
      <c r="P1840" s="84" t="s">
        <v>1290</v>
      </c>
    </row>
    <row r="1841" spans="1:16">
      <c r="A1841" s="151">
        <v>64</v>
      </c>
      <c r="B1841" s="131">
        <v>46174</v>
      </c>
      <c r="C1841" s="150" t="s">
        <v>77</v>
      </c>
      <c r="D1841" s="140" t="str">
        <f>IF(ISERROR(VLOOKUP(C1841,'[1]خريطة الحسابات'!_xlnm.Print_Area,3,FALSE))," ",(VLOOKUP(C1841,'[1]خريطة الحسابات'!_xlnm.Print_Area,3,FALSE)))</f>
        <v xml:space="preserve">اعمال التكسير والهدم والنظافة والتشوينات من مواد </v>
      </c>
      <c r="E1841" s="142"/>
      <c r="F1841" s="133">
        <v>1650</v>
      </c>
      <c r="G1841" s="133"/>
      <c r="H1841" s="134">
        <f t="shared" si="85"/>
        <v>1650</v>
      </c>
      <c r="I1841" s="134">
        <f t="shared" si="85"/>
        <v>0</v>
      </c>
      <c r="J1841" s="134">
        <f t="shared" si="84"/>
        <v>1650</v>
      </c>
      <c r="K1841" s="135"/>
      <c r="L1841" s="136" t="str">
        <f t="shared" si="86"/>
        <v>مدين</v>
      </c>
      <c r="M1841" s="137" t="str">
        <f>IF(ISERROR(VLOOKUP(C1841,'[1]خريطة الحسابات'!_xlnm.Print_Area,4,FALSE))," ",(VLOOKUP(C1841,'[1]خريطة الحسابات'!_xlnm.Print_Area,4,FALSE)))</f>
        <v>تكاليف مشروع سوديك  341</v>
      </c>
      <c r="N1841" s="138" t="str">
        <f>IF(ISERROR(VLOOKUP(C1841,'[1]خريطة الحسابات'!_xlnm.Print_Area,5,FALSE))," ",(VLOOKUP(C1841,'[1]خريطة الحسابات'!_xlnm.Print_Area,5,FALSE)))</f>
        <v xml:space="preserve">تكاليف العمليات </v>
      </c>
      <c r="O1841" s="84" t="s">
        <v>2149</v>
      </c>
      <c r="P1841" s="84" t="s">
        <v>1290</v>
      </c>
    </row>
    <row r="1842" spans="1:16">
      <c r="A1842" s="151">
        <v>64</v>
      </c>
      <c r="B1842" s="131">
        <v>46174</v>
      </c>
      <c r="C1842" s="150" t="s">
        <v>77</v>
      </c>
      <c r="D1842" s="140" t="str">
        <f>IF(ISERROR(VLOOKUP(C1842,'[1]خريطة الحسابات'!_xlnm.Print_Area,3,FALSE))," ",(VLOOKUP(C1842,'[1]خريطة الحسابات'!_xlnm.Print_Area,3,FALSE)))</f>
        <v xml:space="preserve">اعمال التكسير والهدم والنظافة والتشوينات من مواد </v>
      </c>
      <c r="E1842" s="142"/>
      <c r="F1842" s="133">
        <v>550</v>
      </c>
      <c r="G1842" s="133"/>
      <c r="H1842" s="134">
        <f t="shared" si="85"/>
        <v>550</v>
      </c>
      <c r="I1842" s="134">
        <f t="shared" si="85"/>
        <v>0</v>
      </c>
      <c r="J1842" s="134">
        <f t="shared" si="84"/>
        <v>550</v>
      </c>
      <c r="K1842" s="135"/>
      <c r="L1842" s="136" t="str">
        <f t="shared" si="86"/>
        <v>مدين</v>
      </c>
      <c r="M1842" s="137" t="str">
        <f>IF(ISERROR(VLOOKUP(C1842,'[1]خريطة الحسابات'!_xlnm.Print_Area,4,FALSE))," ",(VLOOKUP(C1842,'[1]خريطة الحسابات'!_xlnm.Print_Area,4,FALSE)))</f>
        <v>تكاليف مشروع سوديك  341</v>
      </c>
      <c r="N1842" s="138" t="str">
        <f>IF(ISERROR(VLOOKUP(C1842,'[1]خريطة الحسابات'!_xlnm.Print_Area,5,FALSE))," ",(VLOOKUP(C1842,'[1]خريطة الحسابات'!_xlnm.Print_Area,5,FALSE)))</f>
        <v xml:space="preserve">تكاليف العمليات </v>
      </c>
      <c r="O1842" s="84" t="s">
        <v>2150</v>
      </c>
      <c r="P1842" s="84" t="s">
        <v>1290</v>
      </c>
    </row>
    <row r="1843" spans="1:16">
      <c r="A1843" s="151">
        <v>64</v>
      </c>
      <c r="B1843" s="131">
        <v>46187</v>
      </c>
      <c r="C1843" s="150" t="s">
        <v>77</v>
      </c>
      <c r="D1843" s="140" t="str">
        <f>IF(ISERROR(VLOOKUP(C1843,'[1]خريطة الحسابات'!_xlnm.Print_Area,3,FALSE))," ",(VLOOKUP(C1843,'[1]خريطة الحسابات'!_xlnm.Print_Area,3,FALSE)))</f>
        <v xml:space="preserve">اعمال التكسير والهدم والنظافة والتشوينات من مواد </v>
      </c>
      <c r="E1843" s="142"/>
      <c r="F1843" s="133">
        <v>2202</v>
      </c>
      <c r="G1843" s="133"/>
      <c r="H1843" s="134">
        <f t="shared" si="85"/>
        <v>2202</v>
      </c>
      <c r="I1843" s="134">
        <f t="shared" si="85"/>
        <v>0</v>
      </c>
      <c r="J1843" s="134">
        <f t="shared" si="84"/>
        <v>2202</v>
      </c>
      <c r="K1843" s="135"/>
      <c r="L1843" s="136" t="str">
        <f t="shared" si="86"/>
        <v>مدين</v>
      </c>
      <c r="M1843" s="137" t="str">
        <f>IF(ISERROR(VLOOKUP(C1843,'[1]خريطة الحسابات'!_xlnm.Print_Area,4,FALSE))," ",(VLOOKUP(C1843,'[1]خريطة الحسابات'!_xlnm.Print_Area,4,FALSE)))</f>
        <v>تكاليف مشروع سوديك  341</v>
      </c>
      <c r="N1843" s="138" t="str">
        <f>IF(ISERROR(VLOOKUP(C1843,'[1]خريطة الحسابات'!_xlnm.Print_Area,5,FALSE))," ",(VLOOKUP(C1843,'[1]خريطة الحسابات'!_xlnm.Print_Area,5,FALSE)))</f>
        <v xml:space="preserve">تكاليف العمليات </v>
      </c>
      <c r="O1843" s="84" t="s">
        <v>2151</v>
      </c>
      <c r="P1843" s="84" t="s">
        <v>1290</v>
      </c>
    </row>
    <row r="1844" spans="1:16">
      <c r="A1844" s="151">
        <v>64</v>
      </c>
      <c r="B1844" s="131">
        <v>46027</v>
      </c>
      <c r="C1844" s="150" t="s">
        <v>771</v>
      </c>
      <c r="D1844" s="140" t="str">
        <f>IF(ISERROR(VLOOKUP(C1844,'[1]خريطة الحسابات'!_xlnm.Print_Area,3,FALSE))," ",(VLOOKUP(C1844,'[1]خريطة الحسابات'!_xlnm.Print_Area,3,FALSE)))</f>
        <v>اعمال التكسير والهدم والنظافة</v>
      </c>
      <c r="E1844" s="142"/>
      <c r="F1844" s="133">
        <v>4255</v>
      </c>
      <c r="G1844" s="133"/>
      <c r="H1844" s="134">
        <f t="shared" si="85"/>
        <v>4255</v>
      </c>
      <c r="I1844" s="134">
        <f t="shared" si="85"/>
        <v>0</v>
      </c>
      <c r="J1844" s="134">
        <f t="shared" si="84"/>
        <v>4255</v>
      </c>
      <c r="K1844" s="135"/>
      <c r="L1844" s="136" t="str">
        <f t="shared" si="86"/>
        <v>مدين</v>
      </c>
      <c r="M1844" s="137" t="str">
        <f>IF(ISERROR(VLOOKUP(C1844,'[1]خريطة الحسابات'!_xlnm.Print_Area,4,FALSE))," ",(VLOOKUP(C1844,'[1]خريطة الحسابات'!_xlnm.Print_Area,4,FALSE)))</f>
        <v>388 تكاليف مشروع الدقي</v>
      </c>
      <c r="N1844" s="138" t="str">
        <f>IF(ISERROR(VLOOKUP(C1844,'[1]خريطة الحسابات'!_xlnm.Print_Area,5,FALSE))," ",(VLOOKUP(C1844,'[1]خريطة الحسابات'!_xlnm.Print_Area,5,FALSE)))</f>
        <v xml:space="preserve">تكاليف العمليات </v>
      </c>
      <c r="O1844" s="84" t="s">
        <v>2152</v>
      </c>
      <c r="P1844" s="84" t="s">
        <v>1315</v>
      </c>
    </row>
    <row r="1845" spans="1:16">
      <c r="A1845" s="151">
        <v>64</v>
      </c>
      <c r="B1845" s="131">
        <v>46048</v>
      </c>
      <c r="C1845" s="150" t="s">
        <v>771</v>
      </c>
      <c r="D1845" s="140" t="str">
        <f>IF(ISERROR(VLOOKUP(C1845,'[1]خريطة الحسابات'!_xlnm.Print_Area,3,FALSE))," ",(VLOOKUP(C1845,'[1]خريطة الحسابات'!_xlnm.Print_Area,3,FALSE)))</f>
        <v>اعمال التكسير والهدم والنظافة</v>
      </c>
      <c r="E1845" s="142"/>
      <c r="F1845" s="133">
        <v>5255</v>
      </c>
      <c r="G1845" s="133"/>
      <c r="H1845" s="134">
        <f t="shared" si="85"/>
        <v>5255</v>
      </c>
      <c r="I1845" s="134">
        <f t="shared" si="85"/>
        <v>0</v>
      </c>
      <c r="J1845" s="134">
        <f t="shared" si="84"/>
        <v>5255</v>
      </c>
      <c r="K1845" s="135"/>
      <c r="L1845" s="136" t="str">
        <f t="shared" si="86"/>
        <v>مدين</v>
      </c>
      <c r="M1845" s="137" t="str">
        <f>IF(ISERROR(VLOOKUP(C1845,'[1]خريطة الحسابات'!_xlnm.Print_Area,4,FALSE))," ",(VLOOKUP(C1845,'[1]خريطة الحسابات'!_xlnm.Print_Area,4,FALSE)))</f>
        <v>388 تكاليف مشروع الدقي</v>
      </c>
      <c r="N1845" s="138" t="str">
        <f>IF(ISERROR(VLOOKUP(C1845,'[1]خريطة الحسابات'!_xlnm.Print_Area,5,FALSE))," ",(VLOOKUP(C1845,'[1]خريطة الحسابات'!_xlnm.Print_Area,5,FALSE)))</f>
        <v xml:space="preserve">تكاليف العمليات </v>
      </c>
      <c r="O1845" s="84" t="s">
        <v>2153</v>
      </c>
      <c r="P1845" s="84" t="s">
        <v>1315</v>
      </c>
    </row>
    <row r="1846" spans="1:16">
      <c r="A1846" s="151">
        <v>64</v>
      </c>
      <c r="B1846" s="131">
        <v>46093</v>
      </c>
      <c r="C1846" s="150" t="s">
        <v>771</v>
      </c>
      <c r="D1846" s="140" t="str">
        <f>IF(ISERROR(VLOOKUP(C1846,'[1]خريطة الحسابات'!_xlnm.Print_Area,3,FALSE))," ",(VLOOKUP(C1846,'[1]خريطة الحسابات'!_xlnm.Print_Area,3,FALSE)))</f>
        <v>اعمال التكسير والهدم والنظافة</v>
      </c>
      <c r="E1846" s="142"/>
      <c r="F1846" s="133">
        <v>350</v>
      </c>
      <c r="G1846" s="133"/>
      <c r="H1846" s="134">
        <f t="shared" si="85"/>
        <v>350</v>
      </c>
      <c r="I1846" s="134">
        <f t="shared" si="85"/>
        <v>0</v>
      </c>
      <c r="J1846" s="134">
        <f t="shared" si="84"/>
        <v>350</v>
      </c>
      <c r="K1846" s="135"/>
      <c r="L1846" s="136" t="str">
        <f t="shared" si="86"/>
        <v>مدين</v>
      </c>
      <c r="M1846" s="137" t="str">
        <f>IF(ISERROR(VLOOKUP(C1846,'[1]خريطة الحسابات'!_xlnm.Print_Area,4,FALSE))," ",(VLOOKUP(C1846,'[1]خريطة الحسابات'!_xlnm.Print_Area,4,FALSE)))</f>
        <v>388 تكاليف مشروع الدقي</v>
      </c>
      <c r="N1846" s="138" t="str">
        <f>IF(ISERROR(VLOOKUP(C1846,'[1]خريطة الحسابات'!_xlnm.Print_Area,5,FALSE))," ",(VLOOKUP(C1846,'[1]خريطة الحسابات'!_xlnm.Print_Area,5,FALSE)))</f>
        <v xml:space="preserve">تكاليف العمليات </v>
      </c>
      <c r="O1846" s="84" t="s">
        <v>2154</v>
      </c>
      <c r="P1846" s="84" t="s">
        <v>1315</v>
      </c>
    </row>
    <row r="1847" spans="1:16">
      <c r="A1847" s="151">
        <v>64</v>
      </c>
      <c r="B1847" s="131">
        <v>46123</v>
      </c>
      <c r="C1847" s="150" t="s">
        <v>771</v>
      </c>
      <c r="D1847" s="140" t="str">
        <f>IF(ISERROR(VLOOKUP(C1847,'[1]خريطة الحسابات'!_xlnm.Print_Area,3,FALSE))," ",(VLOOKUP(C1847,'[1]خريطة الحسابات'!_xlnm.Print_Area,3,FALSE)))</f>
        <v>اعمال التكسير والهدم والنظافة</v>
      </c>
      <c r="E1847" s="142"/>
      <c r="F1847" s="133">
        <v>1000</v>
      </c>
      <c r="G1847" s="133"/>
      <c r="H1847" s="134">
        <f t="shared" si="85"/>
        <v>1000</v>
      </c>
      <c r="I1847" s="134">
        <f t="shared" si="85"/>
        <v>0</v>
      </c>
      <c r="J1847" s="134">
        <f t="shared" si="84"/>
        <v>1000</v>
      </c>
      <c r="K1847" s="135"/>
      <c r="L1847" s="136" t="str">
        <f t="shared" si="86"/>
        <v>مدين</v>
      </c>
      <c r="M1847" s="137" t="str">
        <f>IF(ISERROR(VLOOKUP(C1847,'[1]خريطة الحسابات'!_xlnm.Print_Area,4,FALSE))," ",(VLOOKUP(C1847,'[1]خريطة الحسابات'!_xlnm.Print_Area,4,FALSE)))</f>
        <v>388 تكاليف مشروع الدقي</v>
      </c>
      <c r="N1847" s="138" t="str">
        <f>IF(ISERROR(VLOOKUP(C1847,'[1]خريطة الحسابات'!_xlnm.Print_Area,5,FALSE))," ",(VLOOKUP(C1847,'[1]خريطة الحسابات'!_xlnm.Print_Area,5,FALSE)))</f>
        <v xml:space="preserve">تكاليف العمليات </v>
      </c>
      <c r="O1847" s="84" t="s">
        <v>2155</v>
      </c>
      <c r="P1847" s="84" t="s">
        <v>1315</v>
      </c>
    </row>
    <row r="1848" spans="1:16">
      <c r="A1848" s="151">
        <v>64</v>
      </c>
      <c r="B1848" s="131">
        <v>46131</v>
      </c>
      <c r="C1848" s="150" t="s">
        <v>771</v>
      </c>
      <c r="D1848" s="140" t="str">
        <f>IF(ISERROR(VLOOKUP(C1848,'[1]خريطة الحسابات'!_xlnm.Print_Area,3,FALSE))," ",(VLOOKUP(C1848,'[1]خريطة الحسابات'!_xlnm.Print_Area,3,FALSE)))</f>
        <v>اعمال التكسير والهدم والنظافة</v>
      </c>
      <c r="E1848" s="142"/>
      <c r="F1848" s="133">
        <v>1800</v>
      </c>
      <c r="G1848" s="133"/>
      <c r="H1848" s="134">
        <f t="shared" si="85"/>
        <v>1800</v>
      </c>
      <c r="I1848" s="134">
        <f t="shared" si="85"/>
        <v>0</v>
      </c>
      <c r="J1848" s="134">
        <f t="shared" si="84"/>
        <v>1800</v>
      </c>
      <c r="K1848" s="135"/>
      <c r="L1848" s="136" t="str">
        <f t="shared" si="86"/>
        <v>مدين</v>
      </c>
      <c r="M1848" s="137" t="str">
        <f>IF(ISERROR(VLOOKUP(C1848,'[1]خريطة الحسابات'!_xlnm.Print_Area,4,FALSE))," ",(VLOOKUP(C1848,'[1]خريطة الحسابات'!_xlnm.Print_Area,4,FALSE)))</f>
        <v>388 تكاليف مشروع الدقي</v>
      </c>
      <c r="N1848" s="138" t="str">
        <f>IF(ISERROR(VLOOKUP(C1848,'[1]خريطة الحسابات'!_xlnm.Print_Area,5,FALSE))," ",(VLOOKUP(C1848,'[1]خريطة الحسابات'!_xlnm.Print_Area,5,FALSE)))</f>
        <v xml:space="preserve">تكاليف العمليات </v>
      </c>
      <c r="O1848" s="84" t="s">
        <v>2156</v>
      </c>
      <c r="P1848" s="84" t="s">
        <v>1315</v>
      </c>
    </row>
    <row r="1849" spans="1:16">
      <c r="A1849" s="151">
        <v>64</v>
      </c>
      <c r="B1849" s="131">
        <v>46156</v>
      </c>
      <c r="C1849" s="150" t="s">
        <v>771</v>
      </c>
      <c r="D1849" s="140" t="str">
        <f>IF(ISERROR(VLOOKUP(C1849,'[1]خريطة الحسابات'!_xlnm.Print_Area,3,FALSE))," ",(VLOOKUP(C1849,'[1]خريطة الحسابات'!_xlnm.Print_Area,3,FALSE)))</f>
        <v>اعمال التكسير والهدم والنظافة</v>
      </c>
      <c r="E1849" s="142"/>
      <c r="F1849" s="133">
        <v>1100</v>
      </c>
      <c r="G1849" s="133"/>
      <c r="H1849" s="134">
        <f t="shared" si="85"/>
        <v>1100</v>
      </c>
      <c r="I1849" s="134">
        <f t="shared" si="85"/>
        <v>0</v>
      </c>
      <c r="J1849" s="134">
        <f t="shared" si="84"/>
        <v>1100</v>
      </c>
      <c r="K1849" s="135"/>
      <c r="L1849" s="136" t="str">
        <f t="shared" si="86"/>
        <v>مدين</v>
      </c>
      <c r="M1849" s="137" t="str">
        <f>IF(ISERROR(VLOOKUP(C1849,'[1]خريطة الحسابات'!_xlnm.Print_Area,4,FALSE))," ",(VLOOKUP(C1849,'[1]خريطة الحسابات'!_xlnm.Print_Area,4,FALSE)))</f>
        <v>388 تكاليف مشروع الدقي</v>
      </c>
      <c r="N1849" s="138" t="str">
        <f>IF(ISERROR(VLOOKUP(C1849,'[1]خريطة الحسابات'!_xlnm.Print_Area,5,FALSE))," ",(VLOOKUP(C1849,'[1]خريطة الحسابات'!_xlnm.Print_Area,5,FALSE)))</f>
        <v xml:space="preserve">تكاليف العمليات </v>
      </c>
      <c r="O1849" s="84" t="s">
        <v>2157</v>
      </c>
      <c r="P1849" s="84" t="s">
        <v>1315</v>
      </c>
    </row>
    <row r="1850" spans="1:16">
      <c r="A1850" s="151">
        <v>64</v>
      </c>
      <c r="B1850" s="131">
        <v>46184</v>
      </c>
      <c r="C1850" s="150" t="s">
        <v>771</v>
      </c>
      <c r="D1850" s="140" t="str">
        <f>IF(ISERROR(VLOOKUP(C1850,'[1]خريطة الحسابات'!_xlnm.Print_Area,3,FALSE))," ",(VLOOKUP(C1850,'[1]خريطة الحسابات'!_xlnm.Print_Area,3,FALSE)))</f>
        <v>اعمال التكسير والهدم والنظافة</v>
      </c>
      <c r="E1850" s="142"/>
      <c r="F1850" s="133">
        <v>500</v>
      </c>
      <c r="G1850" s="133"/>
      <c r="H1850" s="134">
        <f t="shared" si="85"/>
        <v>500</v>
      </c>
      <c r="I1850" s="134">
        <f t="shared" si="85"/>
        <v>0</v>
      </c>
      <c r="J1850" s="134">
        <f t="shared" si="84"/>
        <v>500</v>
      </c>
      <c r="K1850" s="135"/>
      <c r="L1850" s="136" t="str">
        <f t="shared" si="86"/>
        <v>مدين</v>
      </c>
      <c r="M1850" s="137" t="str">
        <f>IF(ISERROR(VLOOKUP(C1850,'[1]خريطة الحسابات'!_xlnm.Print_Area,4,FALSE))," ",(VLOOKUP(C1850,'[1]خريطة الحسابات'!_xlnm.Print_Area,4,FALSE)))</f>
        <v>388 تكاليف مشروع الدقي</v>
      </c>
      <c r="N1850" s="138" t="str">
        <f>IF(ISERROR(VLOOKUP(C1850,'[1]خريطة الحسابات'!_xlnm.Print_Area,5,FALSE))," ",(VLOOKUP(C1850,'[1]خريطة الحسابات'!_xlnm.Print_Area,5,FALSE)))</f>
        <v xml:space="preserve">تكاليف العمليات </v>
      </c>
      <c r="O1850" s="84" t="s">
        <v>2158</v>
      </c>
      <c r="P1850" s="84" t="s">
        <v>1315</v>
      </c>
    </row>
    <row r="1851" spans="1:16">
      <c r="A1851" s="151">
        <v>64</v>
      </c>
      <c r="B1851" s="131">
        <v>46121</v>
      </c>
      <c r="C1851" s="150" t="s">
        <v>912</v>
      </c>
      <c r="D1851" s="140" t="str">
        <f>IF(ISERROR(VLOOKUP(C1851,'[1]خريطة الحسابات'!_xlnm.Print_Area,3,FALSE))," ",(VLOOKUP(C1851,'[1]خريطة الحسابات'!_xlnm.Print_Area,3,FALSE)))</f>
        <v>اعمال التكسير والهدم والنظافة</v>
      </c>
      <c r="E1851" s="142"/>
      <c r="F1851" s="133">
        <v>400</v>
      </c>
      <c r="G1851" s="133"/>
      <c r="H1851" s="134">
        <f t="shared" si="85"/>
        <v>400</v>
      </c>
      <c r="I1851" s="134">
        <f t="shared" si="85"/>
        <v>0</v>
      </c>
      <c r="J1851" s="134">
        <f t="shared" si="84"/>
        <v>400</v>
      </c>
      <c r="K1851" s="135"/>
      <c r="L1851" s="136" t="str">
        <f t="shared" si="86"/>
        <v>مدين</v>
      </c>
      <c r="M1851" s="137" t="str">
        <f>IF(ISERROR(VLOOKUP(C1851,'[1]خريطة الحسابات'!_xlnm.Print_Area,4,FALSE))," ",(VLOOKUP(C1851,'[1]خريطة الحسابات'!_xlnm.Print_Area,4,FALSE)))</f>
        <v>تكاليف مشروع وصال العشري 398</v>
      </c>
      <c r="N1851" s="138" t="str">
        <f>IF(ISERROR(VLOOKUP(C1851,'[1]خريطة الحسابات'!_xlnm.Print_Area,5,FALSE))," ",(VLOOKUP(C1851,'[1]خريطة الحسابات'!_xlnm.Print_Area,5,FALSE)))</f>
        <v xml:space="preserve">تكاليف العمليات </v>
      </c>
      <c r="O1851" s="84" t="s">
        <v>2159</v>
      </c>
      <c r="P1851" s="84" t="s">
        <v>1489</v>
      </c>
    </row>
    <row r="1852" spans="1:16">
      <c r="A1852" s="151">
        <v>64</v>
      </c>
      <c r="B1852" s="131">
        <v>46134</v>
      </c>
      <c r="C1852" s="150" t="s">
        <v>912</v>
      </c>
      <c r="D1852" s="140" t="str">
        <f>IF(ISERROR(VLOOKUP(C1852,'[1]خريطة الحسابات'!_xlnm.Print_Area,3,FALSE))," ",(VLOOKUP(C1852,'[1]خريطة الحسابات'!_xlnm.Print_Area,3,FALSE)))</f>
        <v>اعمال التكسير والهدم والنظافة</v>
      </c>
      <c r="E1852" s="142"/>
      <c r="F1852" s="133">
        <v>7250</v>
      </c>
      <c r="G1852" s="133"/>
      <c r="H1852" s="134">
        <f t="shared" si="85"/>
        <v>7250</v>
      </c>
      <c r="I1852" s="134">
        <f t="shared" si="85"/>
        <v>0</v>
      </c>
      <c r="J1852" s="134">
        <f t="shared" si="84"/>
        <v>7250</v>
      </c>
      <c r="K1852" s="135"/>
      <c r="L1852" s="136" t="str">
        <f t="shared" si="86"/>
        <v>مدين</v>
      </c>
      <c r="M1852" s="137" t="str">
        <f>IF(ISERROR(VLOOKUP(C1852,'[1]خريطة الحسابات'!_xlnm.Print_Area,4,FALSE))," ",(VLOOKUP(C1852,'[1]خريطة الحسابات'!_xlnm.Print_Area,4,FALSE)))</f>
        <v>تكاليف مشروع وصال العشري 398</v>
      </c>
      <c r="N1852" s="138" t="str">
        <f>IF(ISERROR(VLOOKUP(C1852,'[1]خريطة الحسابات'!_xlnm.Print_Area,5,FALSE))," ",(VLOOKUP(C1852,'[1]خريطة الحسابات'!_xlnm.Print_Area,5,FALSE)))</f>
        <v xml:space="preserve">تكاليف العمليات </v>
      </c>
      <c r="O1852" s="84" t="s">
        <v>2160</v>
      </c>
      <c r="P1852" s="84" t="s">
        <v>1489</v>
      </c>
    </row>
    <row r="1853" spans="1:16">
      <c r="A1853" s="151">
        <v>64</v>
      </c>
      <c r="B1853" s="131">
        <v>46141</v>
      </c>
      <c r="C1853" s="150" t="s">
        <v>912</v>
      </c>
      <c r="D1853" s="140" t="str">
        <f>IF(ISERROR(VLOOKUP(C1853,'[1]خريطة الحسابات'!_xlnm.Print_Area,3,FALSE))," ",(VLOOKUP(C1853,'[1]خريطة الحسابات'!_xlnm.Print_Area,3,FALSE)))</f>
        <v>اعمال التكسير والهدم والنظافة</v>
      </c>
      <c r="E1853" s="142"/>
      <c r="F1853" s="133">
        <v>1100</v>
      </c>
      <c r="G1853" s="133"/>
      <c r="H1853" s="134">
        <f t="shared" si="85"/>
        <v>1100</v>
      </c>
      <c r="I1853" s="134">
        <f t="shared" si="85"/>
        <v>0</v>
      </c>
      <c r="J1853" s="134">
        <f t="shared" si="84"/>
        <v>1100</v>
      </c>
      <c r="K1853" s="135"/>
      <c r="L1853" s="136" t="str">
        <f t="shared" si="86"/>
        <v>مدين</v>
      </c>
      <c r="M1853" s="137" t="str">
        <f>IF(ISERROR(VLOOKUP(C1853,'[1]خريطة الحسابات'!_xlnm.Print_Area,4,FALSE))," ",(VLOOKUP(C1853,'[1]خريطة الحسابات'!_xlnm.Print_Area,4,FALSE)))</f>
        <v>تكاليف مشروع وصال العشري 398</v>
      </c>
      <c r="N1853" s="138" t="str">
        <f>IF(ISERROR(VLOOKUP(C1853,'[1]خريطة الحسابات'!_xlnm.Print_Area,5,FALSE))," ",(VLOOKUP(C1853,'[1]خريطة الحسابات'!_xlnm.Print_Area,5,FALSE)))</f>
        <v xml:space="preserve">تكاليف العمليات </v>
      </c>
      <c r="O1853" s="84" t="s">
        <v>1953</v>
      </c>
      <c r="P1853" s="84" t="s">
        <v>1489</v>
      </c>
    </row>
    <row r="1854" spans="1:16">
      <c r="A1854" s="151">
        <v>64</v>
      </c>
      <c r="B1854" s="131">
        <v>46151</v>
      </c>
      <c r="C1854" s="150" t="s">
        <v>912</v>
      </c>
      <c r="D1854" s="140" t="str">
        <f>IF(ISERROR(VLOOKUP(C1854,'[1]خريطة الحسابات'!_xlnm.Print_Area,3,FALSE))," ",(VLOOKUP(C1854,'[1]خريطة الحسابات'!_xlnm.Print_Area,3,FALSE)))</f>
        <v>اعمال التكسير والهدم والنظافة</v>
      </c>
      <c r="E1854" s="142"/>
      <c r="F1854" s="133">
        <v>4600</v>
      </c>
      <c r="G1854" s="133"/>
      <c r="H1854" s="134">
        <f t="shared" si="85"/>
        <v>4600</v>
      </c>
      <c r="I1854" s="134">
        <f t="shared" si="85"/>
        <v>0</v>
      </c>
      <c r="J1854" s="134">
        <f t="shared" si="84"/>
        <v>4600</v>
      </c>
      <c r="K1854" s="135"/>
      <c r="L1854" s="136" t="str">
        <f t="shared" si="86"/>
        <v>مدين</v>
      </c>
      <c r="M1854" s="137" t="str">
        <f>IF(ISERROR(VLOOKUP(C1854,'[1]خريطة الحسابات'!_xlnm.Print_Area,4,FALSE))," ",(VLOOKUP(C1854,'[1]خريطة الحسابات'!_xlnm.Print_Area,4,FALSE)))</f>
        <v>تكاليف مشروع وصال العشري 398</v>
      </c>
      <c r="N1854" s="138" t="str">
        <f>IF(ISERROR(VLOOKUP(C1854,'[1]خريطة الحسابات'!_xlnm.Print_Area,5,FALSE))," ",(VLOOKUP(C1854,'[1]خريطة الحسابات'!_xlnm.Print_Area,5,FALSE)))</f>
        <v xml:space="preserve">تكاليف العمليات </v>
      </c>
      <c r="O1854" s="84" t="s">
        <v>2161</v>
      </c>
      <c r="P1854" s="84" t="s">
        <v>1489</v>
      </c>
    </row>
    <row r="1855" spans="1:16">
      <c r="A1855" s="151">
        <v>64</v>
      </c>
      <c r="B1855" s="131">
        <v>46151</v>
      </c>
      <c r="C1855" s="150" t="s">
        <v>912</v>
      </c>
      <c r="D1855" s="140" t="str">
        <f>IF(ISERROR(VLOOKUP(C1855,'[1]خريطة الحسابات'!_xlnm.Print_Area,3,FALSE))," ",(VLOOKUP(C1855,'[1]خريطة الحسابات'!_xlnm.Print_Area,3,FALSE)))</f>
        <v>اعمال التكسير والهدم والنظافة</v>
      </c>
      <c r="E1855" s="142"/>
      <c r="F1855" s="133">
        <v>4004</v>
      </c>
      <c r="G1855" s="133"/>
      <c r="H1855" s="134">
        <f t="shared" si="85"/>
        <v>4004</v>
      </c>
      <c r="I1855" s="134">
        <f t="shared" si="85"/>
        <v>0</v>
      </c>
      <c r="J1855" s="134">
        <f t="shared" si="84"/>
        <v>4004</v>
      </c>
      <c r="K1855" s="135"/>
      <c r="L1855" s="136" t="str">
        <f t="shared" si="86"/>
        <v>مدين</v>
      </c>
      <c r="M1855" s="137" t="str">
        <f>IF(ISERROR(VLOOKUP(C1855,'[1]خريطة الحسابات'!_xlnm.Print_Area,4,FALSE))," ",(VLOOKUP(C1855,'[1]خريطة الحسابات'!_xlnm.Print_Area,4,FALSE)))</f>
        <v>تكاليف مشروع وصال العشري 398</v>
      </c>
      <c r="N1855" s="138" t="str">
        <f>IF(ISERROR(VLOOKUP(C1855,'[1]خريطة الحسابات'!_xlnm.Print_Area,5,FALSE))," ",(VLOOKUP(C1855,'[1]خريطة الحسابات'!_xlnm.Print_Area,5,FALSE)))</f>
        <v xml:space="preserve">تكاليف العمليات </v>
      </c>
      <c r="O1855" s="84" t="s">
        <v>2162</v>
      </c>
      <c r="P1855" s="84" t="s">
        <v>1489</v>
      </c>
    </row>
    <row r="1856" spans="1:16">
      <c r="A1856" s="151">
        <v>64</v>
      </c>
      <c r="B1856" s="131">
        <v>46152</v>
      </c>
      <c r="C1856" s="150" t="s">
        <v>912</v>
      </c>
      <c r="D1856" s="140" t="str">
        <f>IF(ISERROR(VLOOKUP(C1856,'[1]خريطة الحسابات'!_xlnm.Print_Area,3,FALSE))," ",(VLOOKUP(C1856,'[1]خريطة الحسابات'!_xlnm.Print_Area,3,FALSE)))</f>
        <v>اعمال التكسير والهدم والنظافة</v>
      </c>
      <c r="E1856" s="142"/>
      <c r="F1856" s="133">
        <v>4404</v>
      </c>
      <c r="G1856" s="133"/>
      <c r="H1856" s="134">
        <f t="shared" si="85"/>
        <v>4404</v>
      </c>
      <c r="I1856" s="134">
        <f t="shared" si="85"/>
        <v>0</v>
      </c>
      <c r="J1856" s="134">
        <f t="shared" si="84"/>
        <v>4404</v>
      </c>
      <c r="K1856" s="135"/>
      <c r="L1856" s="136" t="str">
        <f t="shared" si="86"/>
        <v>مدين</v>
      </c>
      <c r="M1856" s="137" t="str">
        <f>IF(ISERROR(VLOOKUP(C1856,'[1]خريطة الحسابات'!_xlnm.Print_Area,4,FALSE))," ",(VLOOKUP(C1856,'[1]خريطة الحسابات'!_xlnm.Print_Area,4,FALSE)))</f>
        <v>تكاليف مشروع وصال العشري 398</v>
      </c>
      <c r="N1856" s="138" t="str">
        <f>IF(ISERROR(VLOOKUP(C1856,'[1]خريطة الحسابات'!_xlnm.Print_Area,5,FALSE))," ",(VLOOKUP(C1856,'[1]خريطة الحسابات'!_xlnm.Print_Area,5,FALSE)))</f>
        <v xml:space="preserve">تكاليف العمليات </v>
      </c>
      <c r="O1856" s="84" t="s">
        <v>2163</v>
      </c>
      <c r="P1856" s="84" t="s">
        <v>1489</v>
      </c>
    </row>
    <row r="1857" spans="1:16">
      <c r="A1857" s="151">
        <v>64</v>
      </c>
      <c r="B1857" s="131">
        <v>46152</v>
      </c>
      <c r="C1857" s="150" t="s">
        <v>912</v>
      </c>
      <c r="D1857" s="140" t="str">
        <f>IF(ISERROR(VLOOKUP(C1857,'[1]خريطة الحسابات'!_xlnm.Print_Area,3,FALSE))," ",(VLOOKUP(C1857,'[1]خريطة الحسابات'!_xlnm.Print_Area,3,FALSE)))</f>
        <v>اعمال التكسير والهدم والنظافة</v>
      </c>
      <c r="E1857" s="142"/>
      <c r="F1857" s="133">
        <v>4000</v>
      </c>
      <c r="G1857" s="133"/>
      <c r="H1857" s="134">
        <f t="shared" si="85"/>
        <v>4000</v>
      </c>
      <c r="I1857" s="134">
        <f t="shared" si="85"/>
        <v>0</v>
      </c>
      <c r="J1857" s="134">
        <f t="shared" si="84"/>
        <v>4000</v>
      </c>
      <c r="K1857" s="135"/>
      <c r="L1857" s="136" t="str">
        <f t="shared" si="86"/>
        <v>مدين</v>
      </c>
      <c r="M1857" s="137" t="str">
        <f>IF(ISERROR(VLOOKUP(C1857,'[1]خريطة الحسابات'!_xlnm.Print_Area,4,FALSE))," ",(VLOOKUP(C1857,'[1]خريطة الحسابات'!_xlnm.Print_Area,4,FALSE)))</f>
        <v>تكاليف مشروع وصال العشري 398</v>
      </c>
      <c r="N1857" s="138" t="str">
        <f>IF(ISERROR(VLOOKUP(C1857,'[1]خريطة الحسابات'!_xlnm.Print_Area,5,FALSE))," ",(VLOOKUP(C1857,'[1]خريطة الحسابات'!_xlnm.Print_Area,5,FALSE)))</f>
        <v xml:space="preserve">تكاليف العمليات </v>
      </c>
      <c r="O1857" s="84" t="s">
        <v>2164</v>
      </c>
      <c r="P1857" s="84" t="s">
        <v>1489</v>
      </c>
    </row>
    <row r="1858" spans="1:16">
      <c r="A1858" s="151">
        <v>64</v>
      </c>
      <c r="B1858" s="131">
        <v>46153</v>
      </c>
      <c r="C1858" s="150" t="s">
        <v>912</v>
      </c>
      <c r="D1858" s="140" t="str">
        <f>IF(ISERROR(VLOOKUP(C1858,'[1]خريطة الحسابات'!_xlnm.Print_Area,3,FALSE))," ",(VLOOKUP(C1858,'[1]خريطة الحسابات'!_xlnm.Print_Area,3,FALSE)))</f>
        <v>اعمال التكسير والهدم والنظافة</v>
      </c>
      <c r="E1858" s="142"/>
      <c r="F1858" s="133">
        <v>2000</v>
      </c>
      <c r="G1858" s="133"/>
      <c r="H1858" s="134">
        <f t="shared" si="85"/>
        <v>2000</v>
      </c>
      <c r="I1858" s="134">
        <f t="shared" si="85"/>
        <v>0</v>
      </c>
      <c r="J1858" s="134">
        <f t="shared" si="84"/>
        <v>2000</v>
      </c>
      <c r="K1858" s="135"/>
      <c r="L1858" s="136" t="str">
        <f t="shared" si="86"/>
        <v>مدين</v>
      </c>
      <c r="M1858" s="137" t="str">
        <f>IF(ISERROR(VLOOKUP(C1858,'[1]خريطة الحسابات'!_xlnm.Print_Area,4,FALSE))," ",(VLOOKUP(C1858,'[1]خريطة الحسابات'!_xlnm.Print_Area,4,FALSE)))</f>
        <v>تكاليف مشروع وصال العشري 398</v>
      </c>
      <c r="N1858" s="138" t="str">
        <f>IF(ISERROR(VLOOKUP(C1858,'[1]خريطة الحسابات'!_xlnm.Print_Area,5,FALSE))," ",(VLOOKUP(C1858,'[1]خريطة الحسابات'!_xlnm.Print_Area,5,FALSE)))</f>
        <v xml:space="preserve">تكاليف العمليات </v>
      </c>
      <c r="O1858" s="84" t="s">
        <v>2165</v>
      </c>
      <c r="P1858" s="84" t="s">
        <v>1489</v>
      </c>
    </row>
    <row r="1859" spans="1:16">
      <c r="A1859" s="151">
        <v>64</v>
      </c>
      <c r="B1859" s="131">
        <v>46158</v>
      </c>
      <c r="C1859" s="150" t="s">
        <v>912</v>
      </c>
      <c r="D1859" s="140" t="str">
        <f>IF(ISERROR(VLOOKUP(C1859,'[1]خريطة الحسابات'!_xlnm.Print_Area,3,FALSE))," ",(VLOOKUP(C1859,'[1]خريطة الحسابات'!_xlnm.Print_Area,3,FALSE)))</f>
        <v>اعمال التكسير والهدم والنظافة</v>
      </c>
      <c r="E1859" s="142"/>
      <c r="F1859" s="133">
        <v>2202</v>
      </c>
      <c r="G1859" s="133"/>
      <c r="H1859" s="134">
        <f t="shared" si="85"/>
        <v>2202</v>
      </c>
      <c r="I1859" s="134">
        <f t="shared" si="85"/>
        <v>0</v>
      </c>
      <c r="J1859" s="134">
        <f t="shared" si="84"/>
        <v>2202</v>
      </c>
      <c r="K1859" s="135"/>
      <c r="L1859" s="136" t="str">
        <f t="shared" si="86"/>
        <v>مدين</v>
      </c>
      <c r="M1859" s="137" t="str">
        <f>IF(ISERROR(VLOOKUP(C1859,'[1]خريطة الحسابات'!_xlnm.Print_Area,4,FALSE))," ",(VLOOKUP(C1859,'[1]خريطة الحسابات'!_xlnm.Print_Area,4,FALSE)))</f>
        <v>تكاليف مشروع وصال العشري 398</v>
      </c>
      <c r="N1859" s="138" t="str">
        <f>IF(ISERROR(VLOOKUP(C1859,'[1]خريطة الحسابات'!_xlnm.Print_Area,5,FALSE))," ",(VLOOKUP(C1859,'[1]خريطة الحسابات'!_xlnm.Print_Area,5,FALSE)))</f>
        <v xml:space="preserve">تكاليف العمليات </v>
      </c>
      <c r="O1859" s="84" t="s">
        <v>1993</v>
      </c>
      <c r="P1859" s="84" t="s">
        <v>1489</v>
      </c>
    </row>
    <row r="1860" spans="1:16">
      <c r="A1860" s="151">
        <v>64</v>
      </c>
      <c r="B1860" s="131">
        <v>46155</v>
      </c>
      <c r="C1860" s="150" t="s">
        <v>912</v>
      </c>
      <c r="D1860" s="140" t="str">
        <f>IF(ISERROR(VLOOKUP(C1860,'[1]خريطة الحسابات'!_xlnm.Print_Area,3,FALSE))," ",(VLOOKUP(C1860,'[1]خريطة الحسابات'!_xlnm.Print_Area,3,FALSE)))</f>
        <v>اعمال التكسير والهدم والنظافة</v>
      </c>
      <c r="E1860" s="142"/>
      <c r="F1860" s="133">
        <v>2300</v>
      </c>
      <c r="G1860" s="133"/>
      <c r="H1860" s="134">
        <f t="shared" si="85"/>
        <v>2300</v>
      </c>
      <c r="I1860" s="134">
        <f t="shared" si="85"/>
        <v>0</v>
      </c>
      <c r="J1860" s="134">
        <f t="shared" si="84"/>
        <v>2300</v>
      </c>
      <c r="K1860" s="135"/>
      <c r="L1860" s="136" t="str">
        <f t="shared" si="86"/>
        <v>مدين</v>
      </c>
      <c r="M1860" s="137" t="str">
        <f>IF(ISERROR(VLOOKUP(C1860,'[1]خريطة الحسابات'!_xlnm.Print_Area,4,FALSE))," ",(VLOOKUP(C1860,'[1]خريطة الحسابات'!_xlnm.Print_Area,4,FALSE)))</f>
        <v>تكاليف مشروع وصال العشري 398</v>
      </c>
      <c r="N1860" s="138" t="str">
        <f>IF(ISERROR(VLOOKUP(C1860,'[1]خريطة الحسابات'!_xlnm.Print_Area,5,FALSE))," ",(VLOOKUP(C1860,'[1]خريطة الحسابات'!_xlnm.Print_Area,5,FALSE)))</f>
        <v xml:space="preserve">تكاليف العمليات </v>
      </c>
      <c r="O1860" s="84" t="s">
        <v>1993</v>
      </c>
      <c r="P1860" s="84" t="s">
        <v>1489</v>
      </c>
    </row>
    <row r="1861" spans="1:16">
      <c r="A1861" s="151">
        <v>64</v>
      </c>
      <c r="B1861" s="131">
        <v>46163</v>
      </c>
      <c r="C1861" s="150" t="s">
        <v>912</v>
      </c>
      <c r="D1861" s="140" t="str">
        <f>IF(ISERROR(VLOOKUP(C1861,'[1]خريطة الحسابات'!_xlnm.Print_Area,3,FALSE))," ",(VLOOKUP(C1861,'[1]خريطة الحسابات'!_xlnm.Print_Area,3,FALSE)))</f>
        <v>اعمال التكسير والهدم والنظافة</v>
      </c>
      <c r="E1861" s="142"/>
      <c r="F1861" s="133">
        <v>1100</v>
      </c>
      <c r="G1861" s="133"/>
      <c r="H1861" s="134">
        <f t="shared" si="85"/>
        <v>1100</v>
      </c>
      <c r="I1861" s="134">
        <f t="shared" si="85"/>
        <v>0</v>
      </c>
      <c r="J1861" s="134">
        <f t="shared" si="84"/>
        <v>1100</v>
      </c>
      <c r="K1861" s="135"/>
      <c r="L1861" s="136" t="str">
        <f t="shared" si="86"/>
        <v>مدين</v>
      </c>
      <c r="M1861" s="137" t="str">
        <f>IF(ISERROR(VLOOKUP(C1861,'[1]خريطة الحسابات'!_xlnm.Print_Area,4,FALSE))," ",(VLOOKUP(C1861,'[1]خريطة الحسابات'!_xlnm.Print_Area,4,FALSE)))</f>
        <v>تكاليف مشروع وصال العشري 398</v>
      </c>
      <c r="N1861" s="138" t="str">
        <f>IF(ISERROR(VLOOKUP(C1861,'[1]خريطة الحسابات'!_xlnm.Print_Area,5,FALSE))," ",(VLOOKUP(C1861,'[1]خريطة الحسابات'!_xlnm.Print_Area,5,FALSE)))</f>
        <v xml:space="preserve">تكاليف العمليات </v>
      </c>
      <c r="O1861" s="84" t="s">
        <v>2166</v>
      </c>
      <c r="P1861" s="84" t="s">
        <v>1489</v>
      </c>
    </row>
    <row r="1862" spans="1:16">
      <c r="A1862" s="151">
        <v>64</v>
      </c>
      <c r="B1862" s="131">
        <v>46163</v>
      </c>
      <c r="C1862" s="150" t="s">
        <v>912</v>
      </c>
      <c r="D1862" s="140" t="str">
        <f>IF(ISERROR(VLOOKUP(C1862,'[1]خريطة الحسابات'!_xlnm.Print_Area,3,FALSE))," ",(VLOOKUP(C1862,'[1]خريطة الحسابات'!_xlnm.Print_Area,3,FALSE)))</f>
        <v>اعمال التكسير والهدم والنظافة</v>
      </c>
      <c r="E1862" s="142"/>
      <c r="F1862" s="133">
        <v>2002</v>
      </c>
      <c r="G1862" s="133"/>
      <c r="H1862" s="134">
        <f t="shared" si="85"/>
        <v>2002</v>
      </c>
      <c r="I1862" s="134">
        <f t="shared" si="85"/>
        <v>0</v>
      </c>
      <c r="J1862" s="134">
        <f t="shared" si="84"/>
        <v>2002</v>
      </c>
      <c r="K1862" s="135"/>
      <c r="L1862" s="136" t="str">
        <f t="shared" si="86"/>
        <v>مدين</v>
      </c>
      <c r="M1862" s="137" t="str">
        <f>IF(ISERROR(VLOOKUP(C1862,'[1]خريطة الحسابات'!_xlnm.Print_Area,4,FALSE))," ",(VLOOKUP(C1862,'[1]خريطة الحسابات'!_xlnm.Print_Area,4,FALSE)))</f>
        <v>تكاليف مشروع وصال العشري 398</v>
      </c>
      <c r="N1862" s="138" t="str">
        <f>IF(ISERROR(VLOOKUP(C1862,'[1]خريطة الحسابات'!_xlnm.Print_Area,5,FALSE))," ",(VLOOKUP(C1862,'[1]خريطة الحسابات'!_xlnm.Print_Area,5,FALSE)))</f>
        <v xml:space="preserve">تكاليف العمليات </v>
      </c>
      <c r="O1862" s="84" t="s">
        <v>2167</v>
      </c>
      <c r="P1862" s="84" t="s">
        <v>1489</v>
      </c>
    </row>
    <row r="1863" spans="1:16">
      <c r="A1863" s="151">
        <v>64</v>
      </c>
      <c r="B1863" s="131">
        <v>46177</v>
      </c>
      <c r="C1863" s="150" t="s">
        <v>912</v>
      </c>
      <c r="D1863" s="140" t="str">
        <f>IF(ISERROR(VLOOKUP(C1863,'[1]خريطة الحسابات'!_xlnm.Print_Area,3,FALSE))," ",(VLOOKUP(C1863,'[1]خريطة الحسابات'!_xlnm.Print_Area,3,FALSE)))</f>
        <v>اعمال التكسير والهدم والنظافة</v>
      </c>
      <c r="E1863" s="142"/>
      <c r="F1863" s="133">
        <v>1502</v>
      </c>
      <c r="G1863" s="133"/>
      <c r="H1863" s="134">
        <f t="shared" si="85"/>
        <v>1502</v>
      </c>
      <c r="I1863" s="134">
        <f t="shared" si="85"/>
        <v>0</v>
      </c>
      <c r="J1863" s="134">
        <f t="shared" si="84"/>
        <v>1502</v>
      </c>
      <c r="K1863" s="135"/>
      <c r="L1863" s="136" t="str">
        <f t="shared" si="86"/>
        <v>مدين</v>
      </c>
      <c r="M1863" s="137" t="str">
        <f>IF(ISERROR(VLOOKUP(C1863,'[1]خريطة الحسابات'!_xlnm.Print_Area,4,FALSE))," ",(VLOOKUP(C1863,'[1]خريطة الحسابات'!_xlnm.Print_Area,4,FALSE)))</f>
        <v>تكاليف مشروع وصال العشري 398</v>
      </c>
      <c r="N1863" s="138" t="str">
        <f>IF(ISERROR(VLOOKUP(C1863,'[1]خريطة الحسابات'!_xlnm.Print_Area,5,FALSE))," ",(VLOOKUP(C1863,'[1]خريطة الحسابات'!_xlnm.Print_Area,5,FALSE)))</f>
        <v xml:space="preserve">تكاليف العمليات </v>
      </c>
      <c r="O1863" s="84" t="s">
        <v>2168</v>
      </c>
      <c r="P1863" s="84" t="s">
        <v>1489</v>
      </c>
    </row>
    <row r="1864" spans="1:16">
      <c r="A1864" s="151">
        <v>64</v>
      </c>
      <c r="B1864" s="131">
        <v>46036</v>
      </c>
      <c r="C1864" s="150" t="s">
        <v>211</v>
      </c>
      <c r="D1864" s="140" t="str">
        <f>IF(ISERROR(VLOOKUP(C1864,'[1]خريطة الحسابات'!_xlnm.Print_Area,3,FALSE))," ",(VLOOKUP(C1864,'[1]خريطة الحسابات'!_xlnm.Print_Area,3,FALSE)))</f>
        <v>اعمال التكسير والهدم والنظافة</v>
      </c>
      <c r="E1864" s="142"/>
      <c r="F1864" s="133">
        <v>900</v>
      </c>
      <c r="G1864" s="133"/>
      <c r="H1864" s="134">
        <f t="shared" si="85"/>
        <v>900</v>
      </c>
      <c r="I1864" s="134">
        <f t="shared" si="85"/>
        <v>0</v>
      </c>
      <c r="J1864" s="134">
        <f t="shared" si="84"/>
        <v>900</v>
      </c>
      <c r="K1864" s="135"/>
      <c r="L1864" s="136" t="str">
        <f t="shared" si="86"/>
        <v>مدين</v>
      </c>
      <c r="M1864" s="137" t="str">
        <f>IF(ISERROR(VLOOKUP(C1864,'[1]خريطة الحسابات'!_xlnm.Print_Area,4,FALSE))," ",(VLOOKUP(C1864,'[1]خريطة الحسابات'!_xlnm.Print_Area,4,FALSE)))</f>
        <v>تكاليف مشروع كناريا  273</v>
      </c>
      <c r="N1864" s="138" t="str">
        <f>IF(ISERROR(VLOOKUP(C1864,'[1]خريطة الحسابات'!_xlnm.Print_Area,5,FALSE))," ",(VLOOKUP(C1864,'[1]خريطة الحسابات'!_xlnm.Print_Area,5,FALSE)))</f>
        <v xml:space="preserve">تكاليف العمليات </v>
      </c>
      <c r="O1864" s="84" t="s">
        <v>2169</v>
      </c>
      <c r="P1864" s="84" t="s">
        <v>1405</v>
      </c>
    </row>
    <row r="1865" spans="1:16">
      <c r="A1865" s="151">
        <v>64</v>
      </c>
      <c r="B1865" s="131">
        <v>46084</v>
      </c>
      <c r="C1865" s="150" t="s">
        <v>456</v>
      </c>
      <c r="D1865" s="140" t="str">
        <f>IF(ISERROR(VLOOKUP(C1865,'[1]خريطة الحسابات'!_xlnm.Print_Area,3,FALSE))," ",(VLOOKUP(C1865,'[1]خريطة الحسابات'!_xlnm.Print_Area,3,FALSE)))</f>
        <v>اعمال التكسير والهدم والنظافة</v>
      </c>
      <c r="E1865" s="142"/>
      <c r="F1865" s="133">
        <v>9000</v>
      </c>
      <c r="G1865" s="133"/>
      <c r="H1865" s="134">
        <f t="shared" si="85"/>
        <v>9000</v>
      </c>
      <c r="I1865" s="134">
        <f t="shared" si="85"/>
        <v>0</v>
      </c>
      <c r="J1865" s="134">
        <f t="shared" si="84"/>
        <v>9000</v>
      </c>
      <c r="K1865" s="135"/>
      <c r="L1865" s="136" t="str">
        <f t="shared" si="86"/>
        <v>مدين</v>
      </c>
      <c r="M1865" s="137" t="str">
        <f>IF(ISERROR(VLOOKUP(C1865,'[1]خريطة الحسابات'!_xlnm.Print_Area,4,FALSE))," ",(VLOOKUP(C1865,'[1]خريطة الحسابات'!_xlnm.Print_Area,4,FALSE)))</f>
        <v>350 تكاليف مشروع شفيق</v>
      </c>
      <c r="N1865" s="138" t="str">
        <f>IF(ISERROR(VLOOKUP(C1865,'[1]خريطة الحسابات'!_xlnm.Print_Area,5,FALSE))," ",(VLOOKUP(C1865,'[1]خريطة الحسابات'!_xlnm.Print_Area,5,FALSE)))</f>
        <v xml:space="preserve">تكاليف العمليات </v>
      </c>
      <c r="O1865" s="84" t="s">
        <v>2170</v>
      </c>
      <c r="P1865" s="84" t="s">
        <v>1325</v>
      </c>
    </row>
    <row r="1866" spans="1:16">
      <c r="A1866" s="151">
        <v>64</v>
      </c>
      <c r="B1866" s="131">
        <v>46142</v>
      </c>
      <c r="C1866" s="150" t="s">
        <v>351</v>
      </c>
      <c r="D1866" s="140" t="str">
        <f>IF(ISERROR(VLOOKUP(C1866,'[1]خريطة الحسابات'!_xlnm.Print_Area,3,FALSE))," ",(VLOOKUP(C1866,'[1]خريطة الحسابات'!_xlnm.Print_Area,3,FALSE)))</f>
        <v>اعمال التكسير والهدم والنظافة</v>
      </c>
      <c r="E1866" s="142"/>
      <c r="F1866" s="133">
        <v>1000</v>
      </c>
      <c r="G1866" s="133"/>
      <c r="H1866" s="134">
        <f t="shared" si="85"/>
        <v>1000</v>
      </c>
      <c r="I1866" s="134">
        <f t="shared" si="85"/>
        <v>0</v>
      </c>
      <c r="J1866" s="134">
        <f t="shared" si="84"/>
        <v>1000</v>
      </c>
      <c r="K1866" s="135"/>
      <c r="L1866" s="136" t="str">
        <f t="shared" si="86"/>
        <v>مدين</v>
      </c>
      <c r="M1866" s="137" t="str">
        <f>IF(ISERROR(VLOOKUP(C1866,'[1]خريطة الحسابات'!_xlnm.Print_Area,4,FALSE))," ",(VLOOKUP(C1866,'[1]خريطة الحسابات'!_xlnm.Print_Area,4,FALSE)))</f>
        <v>318 تكاليف مشروع  المعادي ديونز</v>
      </c>
      <c r="N1866" s="138" t="str">
        <f>IF(ISERROR(VLOOKUP(C1866,'[1]خريطة الحسابات'!_xlnm.Print_Area,5,FALSE))," ",(VLOOKUP(C1866,'[1]خريطة الحسابات'!_xlnm.Print_Area,5,FALSE)))</f>
        <v xml:space="preserve">تكاليف العمليات </v>
      </c>
      <c r="O1866" s="84" t="s">
        <v>2171</v>
      </c>
      <c r="P1866" s="84" t="s">
        <v>1383</v>
      </c>
    </row>
    <row r="1867" spans="1:16">
      <c r="A1867" s="151">
        <v>64</v>
      </c>
      <c r="B1867" s="131">
        <v>46153</v>
      </c>
      <c r="C1867" s="150" t="s">
        <v>351</v>
      </c>
      <c r="D1867" s="140" t="str">
        <f>IF(ISERROR(VLOOKUP(C1867,'[1]خريطة الحسابات'!_xlnm.Print_Area,3,FALSE))," ",(VLOOKUP(C1867,'[1]خريطة الحسابات'!_xlnm.Print_Area,3,FALSE)))</f>
        <v>اعمال التكسير والهدم والنظافة</v>
      </c>
      <c r="E1867" s="142"/>
      <c r="F1867" s="133">
        <v>1600</v>
      </c>
      <c r="G1867" s="133"/>
      <c r="H1867" s="134">
        <f t="shared" si="85"/>
        <v>1600</v>
      </c>
      <c r="I1867" s="134">
        <f t="shared" si="85"/>
        <v>0</v>
      </c>
      <c r="J1867" s="134">
        <f t="shared" si="84"/>
        <v>1600</v>
      </c>
      <c r="K1867" s="135"/>
      <c r="L1867" s="136" t="str">
        <f t="shared" si="86"/>
        <v>مدين</v>
      </c>
      <c r="M1867" s="137" t="str">
        <f>IF(ISERROR(VLOOKUP(C1867,'[1]خريطة الحسابات'!_xlnm.Print_Area,4,FALSE))," ",(VLOOKUP(C1867,'[1]خريطة الحسابات'!_xlnm.Print_Area,4,FALSE)))</f>
        <v>318 تكاليف مشروع  المعادي ديونز</v>
      </c>
      <c r="N1867" s="138" t="str">
        <f>IF(ISERROR(VLOOKUP(C1867,'[1]خريطة الحسابات'!_xlnm.Print_Area,5,FALSE))," ",(VLOOKUP(C1867,'[1]خريطة الحسابات'!_xlnm.Print_Area,5,FALSE)))</f>
        <v xml:space="preserve">تكاليف العمليات </v>
      </c>
      <c r="O1867" s="84" t="s">
        <v>2172</v>
      </c>
      <c r="P1867" s="84" t="s">
        <v>1383</v>
      </c>
    </row>
    <row r="1868" spans="1:16">
      <c r="A1868" s="151">
        <v>64</v>
      </c>
      <c r="B1868" s="131">
        <v>46132</v>
      </c>
      <c r="C1868" s="150" t="s">
        <v>281</v>
      </c>
      <c r="D1868" s="140" t="str">
        <f>IF(ISERROR(VLOOKUP(C1868,'[1]خريطة الحسابات'!_xlnm.Print_Area,3,FALSE))," ",(VLOOKUP(C1868,'[1]خريطة الحسابات'!_xlnm.Print_Area,3,FALSE)))</f>
        <v>اعمال التكسير والهدم والنظافة</v>
      </c>
      <c r="E1868" s="142"/>
      <c r="F1868" s="133">
        <v>210</v>
      </c>
      <c r="G1868" s="133"/>
      <c r="H1868" s="134">
        <f t="shared" si="85"/>
        <v>210</v>
      </c>
      <c r="I1868" s="134">
        <f t="shared" si="85"/>
        <v>0</v>
      </c>
      <c r="J1868" s="134">
        <f t="shared" si="84"/>
        <v>210</v>
      </c>
      <c r="K1868" s="135"/>
      <c r="L1868" s="136" t="str">
        <f t="shared" si="86"/>
        <v>مدين</v>
      </c>
      <c r="M1868" s="137" t="str">
        <f>IF(ISERROR(VLOOKUP(C1868,'[1]خريطة الحسابات'!_xlnm.Print_Area,4,FALSE))," ",(VLOOKUP(C1868,'[1]خريطة الحسابات'!_xlnm.Print_Area,4,FALSE)))</f>
        <v>287 تكاليف مشروع المعادي فيو</v>
      </c>
      <c r="N1868" s="138" t="str">
        <f>IF(ISERROR(VLOOKUP(C1868,'[1]خريطة الحسابات'!_xlnm.Print_Area,5,FALSE))," ",(VLOOKUP(C1868,'[1]خريطة الحسابات'!_xlnm.Print_Area,5,FALSE)))</f>
        <v xml:space="preserve">تكاليف العمليات </v>
      </c>
      <c r="O1868" s="84" t="s">
        <v>2173</v>
      </c>
      <c r="P1868" s="84" t="s">
        <v>1415</v>
      </c>
    </row>
    <row r="1869" spans="1:16">
      <c r="A1869" s="151">
        <v>64</v>
      </c>
      <c r="B1869" s="131">
        <v>46153</v>
      </c>
      <c r="C1869" s="150" t="s">
        <v>281</v>
      </c>
      <c r="D1869" s="140" t="str">
        <f>IF(ISERROR(VLOOKUP(C1869,'[1]خريطة الحسابات'!_xlnm.Print_Area,3,FALSE))," ",(VLOOKUP(C1869,'[1]خريطة الحسابات'!_xlnm.Print_Area,3,FALSE)))</f>
        <v>اعمال التكسير والهدم والنظافة</v>
      </c>
      <c r="E1869" s="142"/>
      <c r="F1869" s="133">
        <v>1000</v>
      </c>
      <c r="G1869" s="133"/>
      <c r="H1869" s="134">
        <f t="shared" si="85"/>
        <v>1000</v>
      </c>
      <c r="I1869" s="134">
        <f t="shared" si="85"/>
        <v>0</v>
      </c>
      <c r="J1869" s="134">
        <f t="shared" si="84"/>
        <v>1000</v>
      </c>
      <c r="K1869" s="135"/>
      <c r="L1869" s="136" t="str">
        <f t="shared" si="86"/>
        <v>مدين</v>
      </c>
      <c r="M1869" s="137" t="str">
        <f>IF(ISERROR(VLOOKUP(C1869,'[1]خريطة الحسابات'!_xlnm.Print_Area,4,FALSE))," ",(VLOOKUP(C1869,'[1]خريطة الحسابات'!_xlnm.Print_Area,4,FALSE)))</f>
        <v>287 تكاليف مشروع المعادي فيو</v>
      </c>
      <c r="N1869" s="138" t="str">
        <f>IF(ISERROR(VLOOKUP(C1869,'[1]خريطة الحسابات'!_xlnm.Print_Area,5,FALSE))," ",(VLOOKUP(C1869,'[1]خريطة الحسابات'!_xlnm.Print_Area,5,FALSE)))</f>
        <v xml:space="preserve">تكاليف العمليات </v>
      </c>
      <c r="O1869" s="84" t="s">
        <v>2174</v>
      </c>
      <c r="P1869" s="84" t="s">
        <v>1415</v>
      </c>
    </row>
    <row r="1870" spans="1:16">
      <c r="A1870" s="151">
        <v>64</v>
      </c>
      <c r="B1870" s="131">
        <v>46156</v>
      </c>
      <c r="C1870" s="150" t="s">
        <v>666</v>
      </c>
      <c r="D1870" s="140" t="str">
        <f>IF(ISERROR(VLOOKUP(C1870,'[1]خريطة الحسابات'!_xlnm.Print_Area,3,FALSE))," ",(VLOOKUP(C1870,'[1]خريطة الحسابات'!_xlnm.Print_Area,3,FALSE)))</f>
        <v>اعمال التكسير والهدم والنظافة</v>
      </c>
      <c r="E1870" s="142"/>
      <c r="F1870" s="133">
        <v>10010</v>
      </c>
      <c r="G1870" s="133"/>
      <c r="H1870" s="134">
        <f t="shared" si="85"/>
        <v>10010</v>
      </c>
      <c r="I1870" s="134">
        <f t="shared" si="85"/>
        <v>0</v>
      </c>
      <c r="J1870" s="134">
        <f t="shared" si="84"/>
        <v>10010</v>
      </c>
      <c r="K1870" s="135"/>
      <c r="L1870" s="136" t="str">
        <f t="shared" si="86"/>
        <v>مدين</v>
      </c>
      <c r="M1870" s="137" t="str">
        <f>IF(ISERROR(VLOOKUP(C1870,'[1]خريطة الحسابات'!_xlnm.Print_Area,4,FALSE))," ",(VLOOKUP(C1870,'[1]خريطة الحسابات'!_xlnm.Print_Area,4,FALSE)))</f>
        <v>تكاليف مشروع هاني العبور 365</v>
      </c>
      <c r="N1870" s="138" t="str">
        <f>IF(ISERROR(VLOOKUP(C1870,'[1]خريطة الحسابات'!_xlnm.Print_Area,5,FALSE))," ",(VLOOKUP(C1870,'[1]خريطة الحسابات'!_xlnm.Print_Area,5,FALSE)))</f>
        <v xml:space="preserve">تكاليف العمليات </v>
      </c>
      <c r="O1870" s="84" t="s">
        <v>2175</v>
      </c>
      <c r="P1870" s="84" t="s">
        <v>1317</v>
      </c>
    </row>
    <row r="1871" spans="1:16">
      <c r="A1871" s="151">
        <v>64</v>
      </c>
      <c r="B1871" s="131">
        <v>46156</v>
      </c>
      <c r="C1871" s="150" t="s">
        <v>666</v>
      </c>
      <c r="D1871" s="140" t="str">
        <f>IF(ISERROR(VLOOKUP(C1871,'[1]خريطة الحسابات'!_xlnm.Print_Area,3,FALSE))," ",(VLOOKUP(C1871,'[1]خريطة الحسابات'!_xlnm.Print_Area,3,FALSE)))</f>
        <v>اعمال التكسير والهدم والنظافة</v>
      </c>
      <c r="E1871" s="142"/>
      <c r="F1871" s="133">
        <v>1665</v>
      </c>
      <c r="G1871" s="133"/>
      <c r="H1871" s="134">
        <f t="shared" si="85"/>
        <v>1665</v>
      </c>
      <c r="I1871" s="134">
        <f t="shared" si="85"/>
        <v>0</v>
      </c>
      <c r="J1871" s="134">
        <f t="shared" si="84"/>
        <v>1665</v>
      </c>
      <c r="K1871" s="135"/>
      <c r="L1871" s="136" t="str">
        <f t="shared" si="86"/>
        <v>مدين</v>
      </c>
      <c r="M1871" s="137" t="str">
        <f>IF(ISERROR(VLOOKUP(C1871,'[1]خريطة الحسابات'!_xlnm.Print_Area,4,FALSE))," ",(VLOOKUP(C1871,'[1]خريطة الحسابات'!_xlnm.Print_Area,4,FALSE)))</f>
        <v>تكاليف مشروع هاني العبور 365</v>
      </c>
      <c r="N1871" s="138" t="str">
        <f>IF(ISERROR(VLOOKUP(C1871,'[1]خريطة الحسابات'!_xlnm.Print_Area,5,FALSE))," ",(VLOOKUP(C1871,'[1]خريطة الحسابات'!_xlnm.Print_Area,5,FALSE)))</f>
        <v xml:space="preserve">تكاليف العمليات </v>
      </c>
      <c r="O1871" s="84" t="s">
        <v>2176</v>
      </c>
      <c r="P1871" s="84" t="s">
        <v>1317</v>
      </c>
    </row>
    <row r="1872" spans="1:16">
      <c r="A1872" s="151">
        <v>64</v>
      </c>
      <c r="B1872" s="131">
        <v>46163</v>
      </c>
      <c r="C1872" s="150" t="s">
        <v>666</v>
      </c>
      <c r="D1872" s="140" t="str">
        <f>IF(ISERROR(VLOOKUP(C1872,'[1]خريطة الحسابات'!_xlnm.Print_Area,3,FALSE))," ",(VLOOKUP(C1872,'[1]خريطة الحسابات'!_xlnm.Print_Area,3,FALSE)))</f>
        <v>اعمال التكسير والهدم والنظافة</v>
      </c>
      <c r="E1872" s="142"/>
      <c r="F1872" s="133">
        <v>4510</v>
      </c>
      <c r="G1872" s="133"/>
      <c r="H1872" s="134">
        <f t="shared" si="85"/>
        <v>4510</v>
      </c>
      <c r="I1872" s="134">
        <f t="shared" si="85"/>
        <v>0</v>
      </c>
      <c r="J1872" s="134">
        <f t="shared" si="84"/>
        <v>4510</v>
      </c>
      <c r="K1872" s="135"/>
      <c r="L1872" s="136" t="str">
        <f t="shared" si="86"/>
        <v>مدين</v>
      </c>
      <c r="M1872" s="137" t="str">
        <f>IF(ISERROR(VLOOKUP(C1872,'[1]خريطة الحسابات'!_xlnm.Print_Area,4,FALSE))," ",(VLOOKUP(C1872,'[1]خريطة الحسابات'!_xlnm.Print_Area,4,FALSE)))</f>
        <v>تكاليف مشروع هاني العبور 365</v>
      </c>
      <c r="N1872" s="138" t="str">
        <f>IF(ISERROR(VLOOKUP(C1872,'[1]خريطة الحسابات'!_xlnm.Print_Area,5,FALSE))," ",(VLOOKUP(C1872,'[1]خريطة الحسابات'!_xlnm.Print_Area,5,FALSE)))</f>
        <v xml:space="preserve">تكاليف العمليات </v>
      </c>
      <c r="O1872" s="84" t="s">
        <v>2177</v>
      </c>
      <c r="P1872" s="84" t="s">
        <v>1317</v>
      </c>
    </row>
    <row r="1873" spans="1:16">
      <c r="A1873" s="151">
        <v>64</v>
      </c>
      <c r="B1873" s="131">
        <v>46152</v>
      </c>
      <c r="C1873" s="150" t="s">
        <v>526</v>
      </c>
      <c r="D1873" s="140" t="str">
        <f>IF(ISERROR(VLOOKUP(C1873,'[1]خريطة الحسابات'!_xlnm.Print_Area,3,FALSE))," ",(VLOOKUP(C1873,'[1]خريطة الحسابات'!_xlnm.Print_Area,3,FALSE)))</f>
        <v>اعمال التكسير والهدم والنظافة</v>
      </c>
      <c r="E1873" s="142"/>
      <c r="F1873" s="133">
        <v>690</v>
      </c>
      <c r="G1873" s="133"/>
      <c r="H1873" s="134">
        <f t="shared" si="85"/>
        <v>690</v>
      </c>
      <c r="I1873" s="134">
        <f t="shared" si="85"/>
        <v>0</v>
      </c>
      <c r="J1873" s="134">
        <f t="shared" si="84"/>
        <v>690</v>
      </c>
      <c r="K1873" s="135"/>
      <c r="L1873" s="136" t="str">
        <f t="shared" si="86"/>
        <v>مدين</v>
      </c>
      <c r="M1873" s="137" t="str">
        <f>IF(ISERROR(VLOOKUP(C1873,'[1]خريطة الحسابات'!_xlnm.Print_Area,4,FALSE))," ",(VLOOKUP(C1873,'[1]خريطة الحسابات'!_xlnm.Print_Area,4,FALSE)))</f>
        <v>تكاليف مشروع هاني القرنفل 355</v>
      </c>
      <c r="N1873" s="138" t="str">
        <f>IF(ISERROR(VLOOKUP(C1873,'[1]خريطة الحسابات'!_xlnm.Print_Area,5,FALSE))," ",(VLOOKUP(C1873,'[1]خريطة الحسابات'!_xlnm.Print_Area,5,FALSE)))</f>
        <v xml:space="preserve">تكاليف العمليات </v>
      </c>
      <c r="O1873" s="84" t="s">
        <v>2178</v>
      </c>
      <c r="P1873" s="84" t="s">
        <v>1395</v>
      </c>
    </row>
    <row r="1874" spans="1:16">
      <c r="A1874" s="151">
        <v>64</v>
      </c>
      <c r="B1874" s="131">
        <v>46166</v>
      </c>
      <c r="C1874" s="150" t="s">
        <v>526</v>
      </c>
      <c r="D1874" s="140" t="str">
        <f>IF(ISERROR(VLOOKUP(C1874,'[1]خريطة الحسابات'!_xlnm.Print_Area,3,FALSE))," ",(VLOOKUP(C1874,'[1]خريطة الحسابات'!_xlnm.Print_Area,3,FALSE)))</f>
        <v>اعمال التكسير والهدم والنظافة</v>
      </c>
      <c r="E1874" s="142"/>
      <c r="F1874" s="133">
        <v>1000</v>
      </c>
      <c r="G1874" s="133"/>
      <c r="H1874" s="134">
        <f t="shared" si="85"/>
        <v>1000</v>
      </c>
      <c r="I1874" s="134">
        <f t="shared" si="85"/>
        <v>0</v>
      </c>
      <c r="J1874" s="134">
        <f t="shared" si="84"/>
        <v>1000</v>
      </c>
      <c r="K1874" s="135"/>
      <c r="L1874" s="136" t="str">
        <f t="shared" si="86"/>
        <v>مدين</v>
      </c>
      <c r="M1874" s="137" t="str">
        <f>IF(ISERROR(VLOOKUP(C1874,'[1]خريطة الحسابات'!_xlnm.Print_Area,4,FALSE))," ",(VLOOKUP(C1874,'[1]خريطة الحسابات'!_xlnm.Print_Area,4,FALSE)))</f>
        <v>تكاليف مشروع هاني القرنفل 355</v>
      </c>
      <c r="N1874" s="138" t="str">
        <f>IF(ISERROR(VLOOKUP(C1874,'[1]خريطة الحسابات'!_xlnm.Print_Area,5,FALSE))," ",(VLOOKUP(C1874,'[1]خريطة الحسابات'!_xlnm.Print_Area,5,FALSE)))</f>
        <v xml:space="preserve">تكاليف العمليات </v>
      </c>
      <c r="O1874" s="84" t="s">
        <v>2179</v>
      </c>
      <c r="P1874" s="84" t="s">
        <v>1395</v>
      </c>
    </row>
    <row r="1875" spans="1:16">
      <c r="A1875" s="151">
        <v>64</v>
      </c>
      <c r="B1875" s="131">
        <v>46184</v>
      </c>
      <c r="C1875" s="150" t="s">
        <v>526</v>
      </c>
      <c r="D1875" s="140" t="str">
        <f>IF(ISERROR(VLOOKUP(C1875,'[1]خريطة الحسابات'!_xlnm.Print_Area,3,FALSE))," ",(VLOOKUP(C1875,'[1]خريطة الحسابات'!_xlnm.Print_Area,3,FALSE)))</f>
        <v>اعمال التكسير والهدم والنظافة</v>
      </c>
      <c r="E1875" s="142"/>
      <c r="F1875" s="133">
        <v>1000</v>
      </c>
      <c r="G1875" s="133"/>
      <c r="H1875" s="134">
        <f t="shared" si="85"/>
        <v>1000</v>
      </c>
      <c r="I1875" s="134">
        <f t="shared" si="85"/>
        <v>0</v>
      </c>
      <c r="J1875" s="134">
        <f t="shared" si="84"/>
        <v>1000</v>
      </c>
      <c r="K1875" s="135"/>
      <c r="L1875" s="136" t="str">
        <f t="shared" si="86"/>
        <v>مدين</v>
      </c>
      <c r="M1875" s="137" t="str">
        <f>IF(ISERROR(VLOOKUP(C1875,'[1]خريطة الحسابات'!_xlnm.Print_Area,4,FALSE))," ",(VLOOKUP(C1875,'[1]خريطة الحسابات'!_xlnm.Print_Area,4,FALSE)))</f>
        <v>تكاليف مشروع هاني القرنفل 355</v>
      </c>
      <c r="N1875" s="138" t="str">
        <f>IF(ISERROR(VLOOKUP(C1875,'[1]خريطة الحسابات'!_xlnm.Print_Area,5,FALSE))," ",(VLOOKUP(C1875,'[1]خريطة الحسابات'!_xlnm.Print_Area,5,FALSE)))</f>
        <v xml:space="preserve">تكاليف العمليات </v>
      </c>
      <c r="O1875" s="84" t="s">
        <v>2180</v>
      </c>
      <c r="P1875" s="84" t="s">
        <v>1395</v>
      </c>
    </row>
    <row r="1876" spans="1:16">
      <c r="A1876" s="151">
        <v>64</v>
      </c>
      <c r="B1876" s="131">
        <v>46152</v>
      </c>
      <c r="C1876" s="150" t="s">
        <v>491</v>
      </c>
      <c r="D1876" s="140" t="str">
        <f>IF(ISERROR(VLOOKUP(C1876,'[1]خريطة الحسابات'!_xlnm.Print_Area,3,FALSE))," ",(VLOOKUP(C1876,'[1]خريطة الحسابات'!_xlnm.Print_Area,3,FALSE)))</f>
        <v>اعمال التكسير والهدم والنظافة</v>
      </c>
      <c r="E1876" s="142"/>
      <c r="F1876" s="133">
        <v>690</v>
      </c>
      <c r="G1876" s="133"/>
      <c r="H1876" s="134">
        <f t="shared" si="85"/>
        <v>690</v>
      </c>
      <c r="I1876" s="134">
        <f t="shared" si="85"/>
        <v>0</v>
      </c>
      <c r="J1876" s="134">
        <f t="shared" si="84"/>
        <v>690</v>
      </c>
      <c r="K1876" s="135"/>
      <c r="L1876" s="136" t="str">
        <f t="shared" si="86"/>
        <v>مدين</v>
      </c>
      <c r="M1876" s="137" t="str">
        <f>IF(ISERROR(VLOOKUP(C1876,'[1]خريطة الحسابات'!_xlnm.Print_Area,4,FALSE))," ",(VLOOKUP(C1876,'[1]خريطة الحسابات'!_xlnm.Print_Area,4,FALSE)))</f>
        <v>تكاليف مشروع ياسر القرنفل 354</v>
      </c>
      <c r="N1876" s="138" t="str">
        <f>IF(ISERROR(VLOOKUP(C1876,'[1]خريطة الحسابات'!_xlnm.Print_Area,5,FALSE))," ",(VLOOKUP(C1876,'[1]خريطة الحسابات'!_xlnm.Print_Area,5,FALSE)))</f>
        <v xml:space="preserve">تكاليف العمليات </v>
      </c>
      <c r="O1876" s="84" t="s">
        <v>2178</v>
      </c>
      <c r="P1876" s="84" t="s">
        <v>1393</v>
      </c>
    </row>
    <row r="1877" spans="1:16">
      <c r="A1877" s="151">
        <v>64</v>
      </c>
      <c r="B1877" s="131">
        <v>46156</v>
      </c>
      <c r="C1877" s="150" t="s">
        <v>491</v>
      </c>
      <c r="D1877" s="140" t="str">
        <f>IF(ISERROR(VLOOKUP(C1877,'[1]خريطة الحسابات'!_xlnm.Print_Area,3,FALSE))," ",(VLOOKUP(C1877,'[1]خريطة الحسابات'!_xlnm.Print_Area,3,FALSE)))</f>
        <v>اعمال التكسير والهدم والنظافة</v>
      </c>
      <c r="E1877" s="142"/>
      <c r="F1877" s="133">
        <v>500</v>
      </c>
      <c r="G1877" s="133"/>
      <c r="H1877" s="134">
        <f t="shared" si="85"/>
        <v>500</v>
      </c>
      <c r="I1877" s="134">
        <f t="shared" si="85"/>
        <v>0</v>
      </c>
      <c r="J1877" s="134">
        <f t="shared" si="84"/>
        <v>500</v>
      </c>
      <c r="K1877" s="135"/>
      <c r="L1877" s="136" t="str">
        <f t="shared" si="86"/>
        <v>مدين</v>
      </c>
      <c r="M1877" s="137" t="str">
        <f>IF(ISERROR(VLOOKUP(C1877,'[1]خريطة الحسابات'!_xlnm.Print_Area,4,FALSE))," ",(VLOOKUP(C1877,'[1]خريطة الحسابات'!_xlnm.Print_Area,4,FALSE)))</f>
        <v>تكاليف مشروع ياسر القرنفل 354</v>
      </c>
      <c r="N1877" s="138" t="str">
        <f>IF(ISERROR(VLOOKUP(C1877,'[1]خريطة الحسابات'!_xlnm.Print_Area,5,FALSE))," ",(VLOOKUP(C1877,'[1]خريطة الحسابات'!_xlnm.Print_Area,5,FALSE)))</f>
        <v xml:space="preserve">تكاليف العمليات </v>
      </c>
      <c r="O1877" s="84" t="s">
        <v>2181</v>
      </c>
      <c r="P1877" s="84" t="s">
        <v>1393</v>
      </c>
    </row>
    <row r="1878" spans="1:16">
      <c r="A1878" s="151">
        <v>64</v>
      </c>
      <c r="B1878" s="131">
        <v>46163</v>
      </c>
      <c r="C1878" s="150" t="s">
        <v>491</v>
      </c>
      <c r="D1878" s="140" t="str">
        <f>IF(ISERROR(VLOOKUP(C1878,'[1]خريطة الحسابات'!_xlnm.Print_Area,3,FALSE))," ",(VLOOKUP(C1878,'[1]خريطة الحسابات'!_xlnm.Print_Area,3,FALSE)))</f>
        <v>اعمال التكسير والهدم والنظافة</v>
      </c>
      <c r="E1878" s="142"/>
      <c r="F1878" s="133">
        <v>1500</v>
      </c>
      <c r="G1878" s="133"/>
      <c r="H1878" s="134">
        <f t="shared" si="85"/>
        <v>1500</v>
      </c>
      <c r="I1878" s="134">
        <f t="shared" si="85"/>
        <v>0</v>
      </c>
      <c r="J1878" s="134">
        <f t="shared" si="84"/>
        <v>1500</v>
      </c>
      <c r="K1878" s="135"/>
      <c r="L1878" s="136" t="str">
        <f t="shared" si="86"/>
        <v>مدين</v>
      </c>
      <c r="M1878" s="137" t="str">
        <f>IF(ISERROR(VLOOKUP(C1878,'[1]خريطة الحسابات'!_xlnm.Print_Area,4,FALSE))," ",(VLOOKUP(C1878,'[1]خريطة الحسابات'!_xlnm.Print_Area,4,FALSE)))</f>
        <v>تكاليف مشروع ياسر القرنفل 354</v>
      </c>
      <c r="N1878" s="138" t="str">
        <f>IF(ISERROR(VLOOKUP(C1878,'[1]خريطة الحسابات'!_xlnm.Print_Area,5,FALSE))," ",(VLOOKUP(C1878,'[1]خريطة الحسابات'!_xlnm.Print_Area,5,FALSE)))</f>
        <v xml:space="preserve">تكاليف العمليات </v>
      </c>
      <c r="O1878" s="84" t="s">
        <v>2182</v>
      </c>
      <c r="P1878" s="84" t="s">
        <v>1393</v>
      </c>
    </row>
    <row r="1879" spans="1:16">
      <c r="A1879" s="151">
        <v>64</v>
      </c>
      <c r="B1879" s="131">
        <v>46152</v>
      </c>
      <c r="C1879" s="150">
        <v>20</v>
      </c>
      <c r="D1879" s="140" t="str">
        <f>IF(ISERROR(VLOOKUP(C1879,'[1]خريطة الحسابات'!_xlnm.Print_Area,3,FALSE))," ",(VLOOKUP(C1879,'[1]خريطة الحسابات'!_xlnm.Print_Area,3,FALSE)))</f>
        <v xml:space="preserve">الخزينة </v>
      </c>
      <c r="E1879" s="142"/>
      <c r="F1879" s="133"/>
      <c r="G1879" s="133">
        <v>8230</v>
      </c>
      <c r="H1879" s="134">
        <f t="shared" si="85"/>
        <v>0</v>
      </c>
      <c r="I1879" s="134">
        <f t="shared" si="85"/>
        <v>8230</v>
      </c>
      <c r="J1879" s="134">
        <f t="shared" si="84"/>
        <v>-8230</v>
      </c>
      <c r="K1879" s="135"/>
      <c r="L1879" s="136" t="str">
        <f t="shared" si="86"/>
        <v>دائن</v>
      </c>
      <c r="M1879" s="137" t="str">
        <f>IF(ISERROR(VLOOKUP(C1879,'[1]خريطة الحسابات'!_xlnm.Print_Area,4,FALSE))," ",(VLOOKUP(C1879,'[1]خريطة الحسابات'!_xlnm.Print_Area,4,FALSE)))</f>
        <v xml:space="preserve">أصول متداوله -النقدية ومافي حكمها </v>
      </c>
      <c r="N1879" s="138" t="str">
        <f>IF(ISERROR(VLOOKUP(C1879,'[1]خريطة الحسابات'!_xlnm.Print_Area,5,FALSE))," ",(VLOOKUP(C1879,'[1]خريطة الحسابات'!_xlnm.Print_Area,5,FALSE)))</f>
        <v>الاصول</v>
      </c>
      <c r="O1879" s="84" t="s">
        <v>2120</v>
      </c>
      <c r="P1879" s="84" t="s">
        <v>1345</v>
      </c>
    </row>
    <row r="1880" spans="1:16">
      <c r="A1880" s="151">
        <v>64</v>
      </c>
      <c r="B1880" s="131">
        <v>46064</v>
      </c>
      <c r="C1880" s="150">
        <v>20</v>
      </c>
      <c r="D1880" s="140" t="str">
        <f>IF(ISERROR(VLOOKUP(C1880,'[1]خريطة الحسابات'!_xlnm.Print_Area,3,FALSE))," ",(VLOOKUP(C1880,'[1]خريطة الحسابات'!_xlnm.Print_Area,3,FALSE)))</f>
        <v xml:space="preserve">الخزينة </v>
      </c>
      <c r="E1880" s="142"/>
      <c r="F1880" s="133"/>
      <c r="G1880" s="133">
        <v>801</v>
      </c>
      <c r="H1880" s="134">
        <f t="shared" si="85"/>
        <v>0</v>
      </c>
      <c r="I1880" s="134">
        <f t="shared" si="85"/>
        <v>801</v>
      </c>
      <c r="J1880" s="134">
        <f t="shared" ref="J1880:J1943" si="87">H1880-I1880</f>
        <v>-801</v>
      </c>
      <c r="K1880" s="135"/>
      <c r="L1880" s="136" t="str">
        <f t="shared" si="86"/>
        <v>دائن</v>
      </c>
      <c r="M1880" s="137" t="str">
        <f>IF(ISERROR(VLOOKUP(C1880,'[1]خريطة الحسابات'!_xlnm.Print_Area,4,FALSE))," ",(VLOOKUP(C1880,'[1]خريطة الحسابات'!_xlnm.Print_Area,4,FALSE)))</f>
        <v xml:space="preserve">أصول متداوله -النقدية ومافي حكمها </v>
      </c>
      <c r="N1880" s="138" t="str">
        <f>IF(ISERROR(VLOOKUP(C1880,'[1]خريطة الحسابات'!_xlnm.Print_Area,5,FALSE))," ",(VLOOKUP(C1880,'[1]خريطة الحسابات'!_xlnm.Print_Area,5,FALSE)))</f>
        <v>الاصول</v>
      </c>
      <c r="O1880" s="84" t="s">
        <v>1953</v>
      </c>
      <c r="P1880" s="84" t="s">
        <v>1340</v>
      </c>
    </row>
    <row r="1881" spans="1:16">
      <c r="A1881" s="151">
        <v>64</v>
      </c>
      <c r="B1881" s="131">
        <v>46064</v>
      </c>
      <c r="C1881" s="150">
        <v>20</v>
      </c>
      <c r="D1881" s="140" t="str">
        <f>IF(ISERROR(VLOOKUP(C1881,'[1]خريطة الحسابات'!_xlnm.Print_Area,3,FALSE))," ",(VLOOKUP(C1881,'[1]خريطة الحسابات'!_xlnm.Print_Area,3,FALSE)))</f>
        <v xml:space="preserve">الخزينة </v>
      </c>
      <c r="E1881" s="142"/>
      <c r="F1881" s="133"/>
      <c r="G1881" s="133">
        <v>500</v>
      </c>
      <c r="H1881" s="134">
        <f t="shared" ref="H1881:I1944" si="88">IF($E1881=2,F1881*3.465,F1881)</f>
        <v>0</v>
      </c>
      <c r="I1881" s="134">
        <f t="shared" si="88"/>
        <v>500</v>
      </c>
      <c r="J1881" s="134">
        <f t="shared" si="87"/>
        <v>-500</v>
      </c>
      <c r="K1881" s="135"/>
      <c r="L1881" s="136" t="str">
        <f t="shared" si="86"/>
        <v>دائن</v>
      </c>
      <c r="M1881" s="137" t="str">
        <f>IF(ISERROR(VLOOKUP(C1881,'[1]خريطة الحسابات'!_xlnm.Print_Area,4,FALSE))," ",(VLOOKUP(C1881,'[1]خريطة الحسابات'!_xlnm.Print_Area,4,FALSE)))</f>
        <v xml:space="preserve">أصول متداوله -النقدية ومافي حكمها </v>
      </c>
      <c r="N1881" s="138" t="str">
        <f>IF(ISERROR(VLOOKUP(C1881,'[1]خريطة الحسابات'!_xlnm.Print_Area,5,FALSE))," ",(VLOOKUP(C1881,'[1]خريطة الحسابات'!_xlnm.Print_Area,5,FALSE)))</f>
        <v>الاصول</v>
      </c>
      <c r="O1881" s="84" t="s">
        <v>2121</v>
      </c>
      <c r="P1881" s="84" t="s">
        <v>1340</v>
      </c>
    </row>
    <row r="1882" spans="1:16">
      <c r="A1882" s="151">
        <v>64</v>
      </c>
      <c r="B1882" s="131">
        <v>46097</v>
      </c>
      <c r="C1882" s="150">
        <v>20</v>
      </c>
      <c r="D1882" s="140" t="str">
        <f>IF(ISERROR(VLOOKUP(C1882,'[1]خريطة الحسابات'!_xlnm.Print_Area,3,FALSE))," ",(VLOOKUP(C1882,'[1]خريطة الحسابات'!_xlnm.Print_Area,3,FALSE)))</f>
        <v xml:space="preserve">الخزينة </v>
      </c>
      <c r="E1882" s="142"/>
      <c r="F1882" s="133"/>
      <c r="G1882" s="133">
        <v>2002</v>
      </c>
      <c r="H1882" s="134">
        <f t="shared" si="88"/>
        <v>0</v>
      </c>
      <c r="I1882" s="134">
        <f t="shared" si="88"/>
        <v>2002</v>
      </c>
      <c r="J1882" s="134">
        <f t="shared" si="87"/>
        <v>-2002</v>
      </c>
      <c r="K1882" s="135"/>
      <c r="L1882" s="136" t="str">
        <f t="shared" si="86"/>
        <v>دائن</v>
      </c>
      <c r="M1882" s="137" t="str">
        <f>IF(ISERROR(VLOOKUP(C1882,'[1]خريطة الحسابات'!_xlnm.Print_Area,4,FALSE))," ",(VLOOKUP(C1882,'[1]خريطة الحسابات'!_xlnm.Print_Area,4,FALSE)))</f>
        <v xml:space="preserve">أصول متداوله -النقدية ومافي حكمها </v>
      </c>
      <c r="N1882" s="138" t="str">
        <f>IF(ISERROR(VLOOKUP(C1882,'[1]خريطة الحسابات'!_xlnm.Print_Area,5,FALSE))," ",(VLOOKUP(C1882,'[1]خريطة الحسابات'!_xlnm.Print_Area,5,FALSE)))</f>
        <v>الاصول</v>
      </c>
      <c r="O1882" s="84" t="s">
        <v>2122</v>
      </c>
      <c r="P1882" s="84" t="s">
        <v>1340</v>
      </c>
    </row>
    <row r="1883" spans="1:16">
      <c r="A1883" s="151">
        <v>64</v>
      </c>
      <c r="B1883" s="131">
        <v>46062</v>
      </c>
      <c r="C1883" s="150">
        <v>20</v>
      </c>
      <c r="D1883" s="140" t="str">
        <f>IF(ISERROR(VLOOKUP(C1883,'[1]خريطة الحسابات'!_xlnm.Print_Area,3,FALSE))," ",(VLOOKUP(C1883,'[1]خريطة الحسابات'!_xlnm.Print_Area,3,FALSE)))</f>
        <v xml:space="preserve">الخزينة </v>
      </c>
      <c r="E1883" s="142"/>
      <c r="F1883" s="133"/>
      <c r="G1883" s="133">
        <v>500</v>
      </c>
      <c r="H1883" s="134">
        <f t="shared" si="88"/>
        <v>0</v>
      </c>
      <c r="I1883" s="134">
        <f t="shared" si="88"/>
        <v>500</v>
      </c>
      <c r="J1883" s="134">
        <f t="shared" si="87"/>
        <v>-500</v>
      </c>
      <c r="K1883" s="135"/>
      <c r="L1883" s="136" t="str">
        <f t="shared" ref="L1883:L1946" si="89">IF(J1883&lt;0,"دائن",IF(J1883&gt;0,"مدين",""))</f>
        <v>دائن</v>
      </c>
      <c r="M1883" s="137" t="str">
        <f>IF(ISERROR(VLOOKUP(C1883,'[1]خريطة الحسابات'!_xlnm.Print_Area,4,FALSE))," ",(VLOOKUP(C1883,'[1]خريطة الحسابات'!_xlnm.Print_Area,4,FALSE)))</f>
        <v xml:space="preserve">أصول متداوله -النقدية ومافي حكمها </v>
      </c>
      <c r="N1883" s="138" t="str">
        <f>IF(ISERROR(VLOOKUP(C1883,'[1]خريطة الحسابات'!_xlnm.Print_Area,5,FALSE))," ",(VLOOKUP(C1883,'[1]خريطة الحسابات'!_xlnm.Print_Area,5,FALSE)))</f>
        <v>الاصول</v>
      </c>
      <c r="O1883" s="84" t="s">
        <v>2123</v>
      </c>
      <c r="P1883" s="84" t="s">
        <v>1299</v>
      </c>
    </row>
    <row r="1884" spans="1:16">
      <c r="A1884" s="151">
        <v>64</v>
      </c>
      <c r="B1884" s="131">
        <v>46063</v>
      </c>
      <c r="C1884" s="150">
        <v>20</v>
      </c>
      <c r="D1884" s="140" t="str">
        <f>IF(ISERROR(VLOOKUP(C1884,'[1]خريطة الحسابات'!_xlnm.Print_Area,3,FALSE))," ",(VLOOKUP(C1884,'[1]خريطة الحسابات'!_xlnm.Print_Area,3,FALSE)))</f>
        <v xml:space="preserve">الخزينة </v>
      </c>
      <c r="E1884" s="142"/>
      <c r="F1884" s="133"/>
      <c r="G1884" s="133">
        <v>250</v>
      </c>
      <c r="H1884" s="134">
        <f t="shared" si="88"/>
        <v>0</v>
      </c>
      <c r="I1884" s="134">
        <f t="shared" si="88"/>
        <v>250</v>
      </c>
      <c r="J1884" s="134">
        <f t="shared" si="87"/>
        <v>-250</v>
      </c>
      <c r="K1884" s="135"/>
      <c r="L1884" s="136" t="str">
        <f t="shared" si="89"/>
        <v>دائن</v>
      </c>
      <c r="M1884" s="137" t="str">
        <f>IF(ISERROR(VLOOKUP(C1884,'[1]خريطة الحسابات'!_xlnm.Print_Area,4,FALSE))," ",(VLOOKUP(C1884,'[1]خريطة الحسابات'!_xlnm.Print_Area,4,FALSE)))</f>
        <v xml:space="preserve">أصول متداوله -النقدية ومافي حكمها </v>
      </c>
      <c r="N1884" s="138" t="str">
        <f>IF(ISERROR(VLOOKUP(C1884,'[1]خريطة الحسابات'!_xlnm.Print_Area,5,FALSE))," ",(VLOOKUP(C1884,'[1]خريطة الحسابات'!_xlnm.Print_Area,5,FALSE)))</f>
        <v>الاصول</v>
      </c>
      <c r="O1884" s="84" t="s">
        <v>2124</v>
      </c>
      <c r="P1884" s="84" t="s">
        <v>1299</v>
      </c>
    </row>
    <row r="1885" spans="1:16">
      <c r="A1885" s="151">
        <v>64</v>
      </c>
      <c r="B1885" s="131">
        <v>46070</v>
      </c>
      <c r="C1885" s="150">
        <v>20</v>
      </c>
      <c r="D1885" s="140" t="str">
        <f>IF(ISERROR(VLOOKUP(C1885,'[1]خريطة الحسابات'!_xlnm.Print_Area,3,FALSE))," ",(VLOOKUP(C1885,'[1]خريطة الحسابات'!_xlnm.Print_Area,3,FALSE)))</f>
        <v xml:space="preserve">الخزينة </v>
      </c>
      <c r="E1885" s="142"/>
      <c r="F1885" s="133"/>
      <c r="G1885" s="133">
        <v>6000</v>
      </c>
      <c r="H1885" s="134">
        <f t="shared" si="88"/>
        <v>0</v>
      </c>
      <c r="I1885" s="134">
        <f t="shared" si="88"/>
        <v>6000</v>
      </c>
      <c r="J1885" s="134">
        <f t="shared" si="87"/>
        <v>-6000</v>
      </c>
      <c r="K1885" s="135"/>
      <c r="L1885" s="136" t="str">
        <f t="shared" si="89"/>
        <v>دائن</v>
      </c>
      <c r="M1885" s="137" t="str">
        <f>IF(ISERROR(VLOOKUP(C1885,'[1]خريطة الحسابات'!_xlnm.Print_Area,4,FALSE))," ",(VLOOKUP(C1885,'[1]خريطة الحسابات'!_xlnm.Print_Area,4,FALSE)))</f>
        <v xml:space="preserve">أصول متداوله -النقدية ومافي حكمها </v>
      </c>
      <c r="N1885" s="138" t="str">
        <f>IF(ISERROR(VLOOKUP(C1885,'[1]خريطة الحسابات'!_xlnm.Print_Area,5,FALSE))," ",(VLOOKUP(C1885,'[1]خريطة الحسابات'!_xlnm.Print_Area,5,FALSE)))</f>
        <v>الاصول</v>
      </c>
      <c r="O1885" s="84" t="s">
        <v>2125</v>
      </c>
      <c r="P1885" s="84" t="s">
        <v>1299</v>
      </c>
    </row>
    <row r="1886" spans="1:16">
      <c r="A1886" s="151">
        <v>64</v>
      </c>
      <c r="B1886" s="131">
        <v>46039</v>
      </c>
      <c r="C1886" s="150">
        <v>20</v>
      </c>
      <c r="D1886" s="140" t="str">
        <f>IF(ISERROR(VLOOKUP(C1886,'[1]خريطة الحسابات'!_xlnm.Print_Area,3,FALSE))," ",(VLOOKUP(C1886,'[1]خريطة الحسابات'!_xlnm.Print_Area,3,FALSE)))</f>
        <v xml:space="preserve">الخزينة </v>
      </c>
      <c r="E1886" s="142"/>
      <c r="F1886" s="133"/>
      <c r="G1886" s="133">
        <v>175</v>
      </c>
      <c r="H1886" s="134">
        <f t="shared" si="88"/>
        <v>0</v>
      </c>
      <c r="I1886" s="134">
        <f t="shared" si="88"/>
        <v>175</v>
      </c>
      <c r="J1886" s="134">
        <f t="shared" si="87"/>
        <v>-175</v>
      </c>
      <c r="K1886" s="135"/>
      <c r="L1886" s="136" t="str">
        <f t="shared" si="89"/>
        <v>دائن</v>
      </c>
      <c r="M1886" s="137" t="str">
        <f>IF(ISERROR(VLOOKUP(C1886,'[1]خريطة الحسابات'!_xlnm.Print_Area,4,FALSE))," ",(VLOOKUP(C1886,'[1]خريطة الحسابات'!_xlnm.Print_Area,4,FALSE)))</f>
        <v xml:space="preserve">أصول متداوله -النقدية ومافي حكمها </v>
      </c>
      <c r="N1886" s="138" t="str">
        <f>IF(ISERROR(VLOOKUP(C1886,'[1]خريطة الحسابات'!_xlnm.Print_Area,5,FALSE))," ",(VLOOKUP(C1886,'[1]خريطة الحسابات'!_xlnm.Print_Area,5,FALSE)))</f>
        <v>الاصول</v>
      </c>
      <c r="O1886" s="84" t="s">
        <v>2126</v>
      </c>
      <c r="P1886" s="84" t="s">
        <v>1304</v>
      </c>
    </row>
    <row r="1887" spans="1:16">
      <c r="A1887" s="151">
        <v>64</v>
      </c>
      <c r="B1887" s="131">
        <v>46067</v>
      </c>
      <c r="C1887" s="150">
        <v>20</v>
      </c>
      <c r="D1887" s="140" t="str">
        <f>IF(ISERROR(VLOOKUP(C1887,'[1]خريطة الحسابات'!_xlnm.Print_Area,3,FALSE))," ",(VLOOKUP(C1887,'[1]خريطة الحسابات'!_xlnm.Print_Area,3,FALSE)))</f>
        <v xml:space="preserve">الخزينة </v>
      </c>
      <c r="E1887" s="142"/>
      <c r="F1887" s="133"/>
      <c r="G1887" s="133">
        <v>1000</v>
      </c>
      <c r="H1887" s="134">
        <f t="shared" si="88"/>
        <v>0</v>
      </c>
      <c r="I1887" s="134">
        <f t="shared" si="88"/>
        <v>1000</v>
      </c>
      <c r="J1887" s="134">
        <f t="shared" si="87"/>
        <v>-1000</v>
      </c>
      <c r="K1887" s="135"/>
      <c r="L1887" s="136" t="str">
        <f t="shared" si="89"/>
        <v>دائن</v>
      </c>
      <c r="M1887" s="137" t="str">
        <f>IF(ISERROR(VLOOKUP(C1887,'[1]خريطة الحسابات'!_xlnm.Print_Area,4,FALSE))," ",(VLOOKUP(C1887,'[1]خريطة الحسابات'!_xlnm.Print_Area,4,FALSE)))</f>
        <v xml:space="preserve">أصول متداوله -النقدية ومافي حكمها </v>
      </c>
      <c r="N1887" s="138" t="str">
        <f>IF(ISERROR(VLOOKUP(C1887,'[1]خريطة الحسابات'!_xlnm.Print_Area,5,FALSE))," ",(VLOOKUP(C1887,'[1]خريطة الحسابات'!_xlnm.Print_Area,5,FALSE)))</f>
        <v>الاصول</v>
      </c>
      <c r="O1887" s="84" t="s">
        <v>1953</v>
      </c>
      <c r="P1887" s="84" t="s">
        <v>1304</v>
      </c>
    </row>
    <row r="1888" spans="1:16">
      <c r="A1888" s="151">
        <v>64</v>
      </c>
      <c r="B1888" s="131">
        <v>46077</v>
      </c>
      <c r="C1888" s="150">
        <v>20</v>
      </c>
      <c r="D1888" s="140" t="str">
        <f>IF(ISERROR(VLOOKUP(C1888,'[1]خريطة الحسابات'!_xlnm.Print_Area,3,FALSE))," ",(VLOOKUP(C1888,'[1]خريطة الحسابات'!_xlnm.Print_Area,3,FALSE)))</f>
        <v xml:space="preserve">الخزينة </v>
      </c>
      <c r="E1888" s="142"/>
      <c r="F1888" s="133"/>
      <c r="G1888" s="133">
        <v>11000</v>
      </c>
      <c r="H1888" s="134">
        <f t="shared" si="88"/>
        <v>0</v>
      </c>
      <c r="I1888" s="134">
        <f t="shared" si="88"/>
        <v>11000</v>
      </c>
      <c r="J1888" s="134">
        <f t="shared" si="87"/>
        <v>-11000</v>
      </c>
      <c r="K1888" s="135"/>
      <c r="L1888" s="136" t="str">
        <f t="shared" si="89"/>
        <v>دائن</v>
      </c>
      <c r="M1888" s="137" t="str">
        <f>IF(ISERROR(VLOOKUP(C1888,'[1]خريطة الحسابات'!_xlnm.Print_Area,4,FALSE))," ",(VLOOKUP(C1888,'[1]خريطة الحسابات'!_xlnm.Print_Area,4,FALSE)))</f>
        <v xml:space="preserve">أصول متداوله -النقدية ومافي حكمها </v>
      </c>
      <c r="N1888" s="138" t="str">
        <f>IF(ISERROR(VLOOKUP(C1888,'[1]خريطة الحسابات'!_xlnm.Print_Area,5,FALSE))," ",(VLOOKUP(C1888,'[1]خريطة الحسابات'!_xlnm.Print_Area,5,FALSE)))</f>
        <v>الاصول</v>
      </c>
      <c r="O1888" s="84" t="s">
        <v>2127</v>
      </c>
      <c r="P1888" s="84" t="s">
        <v>1304</v>
      </c>
    </row>
    <row r="1889" spans="1:16">
      <c r="A1889" s="151">
        <v>64</v>
      </c>
      <c r="B1889" s="131">
        <v>46078</v>
      </c>
      <c r="C1889" s="150">
        <v>20</v>
      </c>
      <c r="D1889" s="140" t="str">
        <f>IF(ISERROR(VLOOKUP(C1889,'[1]خريطة الحسابات'!_xlnm.Print_Area,3,FALSE))," ",(VLOOKUP(C1889,'[1]خريطة الحسابات'!_xlnm.Print_Area,3,FALSE)))</f>
        <v xml:space="preserve">الخزينة </v>
      </c>
      <c r="E1889" s="142"/>
      <c r="F1889" s="133"/>
      <c r="G1889" s="133">
        <v>2650</v>
      </c>
      <c r="H1889" s="134">
        <f t="shared" si="88"/>
        <v>0</v>
      </c>
      <c r="I1889" s="134">
        <f t="shared" si="88"/>
        <v>2650</v>
      </c>
      <c r="J1889" s="134">
        <f t="shared" si="87"/>
        <v>-2650</v>
      </c>
      <c r="K1889" s="135"/>
      <c r="L1889" s="136" t="str">
        <f t="shared" si="89"/>
        <v>دائن</v>
      </c>
      <c r="M1889" s="137" t="str">
        <f>IF(ISERROR(VLOOKUP(C1889,'[1]خريطة الحسابات'!_xlnm.Print_Area,4,FALSE))," ",(VLOOKUP(C1889,'[1]خريطة الحسابات'!_xlnm.Print_Area,4,FALSE)))</f>
        <v xml:space="preserve">أصول متداوله -النقدية ومافي حكمها </v>
      </c>
      <c r="N1889" s="138" t="str">
        <f>IF(ISERROR(VLOOKUP(C1889,'[1]خريطة الحسابات'!_xlnm.Print_Area,5,FALSE))," ",(VLOOKUP(C1889,'[1]خريطة الحسابات'!_xlnm.Print_Area,5,FALSE)))</f>
        <v>الاصول</v>
      </c>
      <c r="O1889" s="84" t="s">
        <v>2128</v>
      </c>
      <c r="P1889" s="84" t="s">
        <v>1295</v>
      </c>
    </row>
    <row r="1890" spans="1:16">
      <c r="A1890" s="151">
        <v>64</v>
      </c>
      <c r="B1890" s="131">
        <v>46093</v>
      </c>
      <c r="C1890" s="150">
        <v>20</v>
      </c>
      <c r="D1890" s="140" t="str">
        <f>IF(ISERROR(VLOOKUP(C1890,'[1]خريطة الحسابات'!_xlnm.Print_Area,3,FALSE))," ",(VLOOKUP(C1890,'[1]خريطة الحسابات'!_xlnm.Print_Area,3,FALSE)))</f>
        <v xml:space="preserve">الخزينة </v>
      </c>
      <c r="E1890" s="142"/>
      <c r="F1890" s="133"/>
      <c r="G1890" s="133">
        <v>1350</v>
      </c>
      <c r="H1890" s="134">
        <f t="shared" si="88"/>
        <v>0</v>
      </c>
      <c r="I1890" s="134">
        <f t="shared" si="88"/>
        <v>1350</v>
      </c>
      <c r="J1890" s="134">
        <f t="shared" si="87"/>
        <v>-1350</v>
      </c>
      <c r="K1890" s="135"/>
      <c r="L1890" s="136" t="str">
        <f t="shared" si="89"/>
        <v>دائن</v>
      </c>
      <c r="M1890" s="137" t="str">
        <f>IF(ISERROR(VLOOKUP(C1890,'[1]خريطة الحسابات'!_xlnm.Print_Area,4,FALSE))," ",(VLOOKUP(C1890,'[1]خريطة الحسابات'!_xlnm.Print_Area,4,FALSE)))</f>
        <v xml:space="preserve">أصول متداوله -النقدية ومافي حكمها </v>
      </c>
      <c r="N1890" s="138" t="str">
        <f>IF(ISERROR(VLOOKUP(C1890,'[1]خريطة الحسابات'!_xlnm.Print_Area,5,FALSE))," ",(VLOOKUP(C1890,'[1]خريطة الحسابات'!_xlnm.Print_Area,5,FALSE)))</f>
        <v>الاصول</v>
      </c>
      <c r="O1890" s="84" t="s">
        <v>2129</v>
      </c>
      <c r="P1890" s="84" t="s">
        <v>1295</v>
      </c>
    </row>
    <row r="1891" spans="1:16">
      <c r="A1891" s="151">
        <v>64</v>
      </c>
      <c r="B1891" s="131">
        <v>46099</v>
      </c>
      <c r="C1891" s="150">
        <v>20</v>
      </c>
      <c r="D1891" s="140" t="str">
        <f>IF(ISERROR(VLOOKUP(C1891,'[1]خريطة الحسابات'!_xlnm.Print_Area,3,FALSE))," ",(VLOOKUP(C1891,'[1]خريطة الحسابات'!_xlnm.Print_Area,3,FALSE)))</f>
        <v xml:space="preserve">الخزينة </v>
      </c>
      <c r="E1891" s="142"/>
      <c r="F1891" s="133"/>
      <c r="G1891" s="133">
        <v>450</v>
      </c>
      <c r="H1891" s="134">
        <f t="shared" si="88"/>
        <v>0</v>
      </c>
      <c r="I1891" s="134">
        <f t="shared" si="88"/>
        <v>450</v>
      </c>
      <c r="J1891" s="134">
        <f t="shared" si="87"/>
        <v>-450</v>
      </c>
      <c r="K1891" s="135"/>
      <c r="L1891" s="136" t="str">
        <f t="shared" si="89"/>
        <v>دائن</v>
      </c>
      <c r="M1891" s="137" t="str">
        <f>IF(ISERROR(VLOOKUP(C1891,'[1]خريطة الحسابات'!_xlnm.Print_Area,4,FALSE))," ",(VLOOKUP(C1891,'[1]خريطة الحسابات'!_xlnm.Print_Area,4,FALSE)))</f>
        <v xml:space="preserve">أصول متداوله -النقدية ومافي حكمها </v>
      </c>
      <c r="N1891" s="138" t="str">
        <f>IF(ISERROR(VLOOKUP(C1891,'[1]خريطة الحسابات'!_xlnm.Print_Area,5,FALSE))," ",(VLOOKUP(C1891,'[1]خريطة الحسابات'!_xlnm.Print_Area,5,FALSE)))</f>
        <v>الاصول</v>
      </c>
      <c r="O1891" s="84" t="s">
        <v>2130</v>
      </c>
      <c r="P1891" s="84" t="s">
        <v>1295</v>
      </c>
    </row>
    <row r="1892" spans="1:16">
      <c r="A1892" s="151">
        <v>64</v>
      </c>
      <c r="B1892" s="131">
        <v>46078</v>
      </c>
      <c r="C1892" s="150">
        <v>20</v>
      </c>
      <c r="D1892" s="140" t="str">
        <f>IF(ISERROR(VLOOKUP(C1892,'[1]خريطة الحسابات'!_xlnm.Print_Area,3,FALSE))," ",(VLOOKUP(C1892,'[1]خريطة الحسابات'!_xlnm.Print_Area,3,FALSE)))</f>
        <v xml:space="preserve">الخزينة </v>
      </c>
      <c r="E1892" s="142"/>
      <c r="F1892" s="133"/>
      <c r="G1892" s="133">
        <v>550</v>
      </c>
      <c r="H1892" s="134">
        <f t="shared" si="88"/>
        <v>0</v>
      </c>
      <c r="I1892" s="134">
        <f t="shared" si="88"/>
        <v>550</v>
      </c>
      <c r="J1892" s="134">
        <f t="shared" si="87"/>
        <v>-550</v>
      </c>
      <c r="K1892" s="135"/>
      <c r="L1892" s="136" t="str">
        <f t="shared" si="89"/>
        <v>دائن</v>
      </c>
      <c r="M1892" s="137" t="str">
        <f>IF(ISERROR(VLOOKUP(C1892,'[1]خريطة الحسابات'!_xlnm.Print_Area,4,FALSE))," ",(VLOOKUP(C1892,'[1]خريطة الحسابات'!_xlnm.Print_Area,4,FALSE)))</f>
        <v xml:space="preserve">أصول متداوله -النقدية ومافي حكمها </v>
      </c>
      <c r="N1892" s="138" t="str">
        <f>IF(ISERROR(VLOOKUP(C1892,'[1]خريطة الحسابات'!_xlnm.Print_Area,5,FALSE))," ",(VLOOKUP(C1892,'[1]خريطة الحسابات'!_xlnm.Print_Area,5,FALSE)))</f>
        <v>الاصول</v>
      </c>
      <c r="O1892" s="84" t="s">
        <v>2131</v>
      </c>
      <c r="P1892" s="84" t="s">
        <v>1327</v>
      </c>
    </row>
    <row r="1893" spans="1:16">
      <c r="A1893" s="151">
        <v>64</v>
      </c>
      <c r="B1893" s="131">
        <v>46086</v>
      </c>
      <c r="C1893" s="150">
        <v>20</v>
      </c>
      <c r="D1893" s="140" t="str">
        <f>IF(ISERROR(VLOOKUP(C1893,'[1]خريطة الحسابات'!_xlnm.Print_Area,3,FALSE))," ",(VLOOKUP(C1893,'[1]خريطة الحسابات'!_xlnm.Print_Area,3,FALSE)))</f>
        <v xml:space="preserve">الخزينة </v>
      </c>
      <c r="E1893" s="142"/>
      <c r="F1893" s="133"/>
      <c r="G1893" s="133">
        <v>600</v>
      </c>
      <c r="H1893" s="134">
        <f t="shared" si="88"/>
        <v>0</v>
      </c>
      <c r="I1893" s="134">
        <f t="shared" si="88"/>
        <v>600</v>
      </c>
      <c r="J1893" s="134">
        <f t="shared" si="87"/>
        <v>-600</v>
      </c>
      <c r="K1893" s="135"/>
      <c r="L1893" s="136" t="str">
        <f t="shared" si="89"/>
        <v>دائن</v>
      </c>
      <c r="M1893" s="137" t="str">
        <f>IF(ISERROR(VLOOKUP(C1893,'[1]خريطة الحسابات'!_xlnm.Print_Area,4,FALSE))," ",(VLOOKUP(C1893,'[1]خريطة الحسابات'!_xlnm.Print_Area,4,FALSE)))</f>
        <v xml:space="preserve">أصول متداوله -النقدية ومافي حكمها </v>
      </c>
      <c r="N1893" s="138" t="str">
        <f>IF(ISERROR(VLOOKUP(C1893,'[1]خريطة الحسابات'!_xlnm.Print_Area,5,FALSE))," ",(VLOOKUP(C1893,'[1]خريطة الحسابات'!_xlnm.Print_Area,5,FALSE)))</f>
        <v>الاصول</v>
      </c>
      <c r="O1893" s="84" t="s">
        <v>2132</v>
      </c>
      <c r="P1893" s="84" t="s">
        <v>1327</v>
      </c>
    </row>
    <row r="1894" spans="1:16">
      <c r="A1894" s="151">
        <v>64</v>
      </c>
      <c r="B1894" s="131">
        <v>46099</v>
      </c>
      <c r="C1894" s="150">
        <v>20</v>
      </c>
      <c r="D1894" s="140" t="str">
        <f>IF(ISERROR(VLOOKUP(C1894,'[1]خريطة الحسابات'!_xlnm.Print_Area,3,FALSE))," ",(VLOOKUP(C1894,'[1]خريطة الحسابات'!_xlnm.Print_Area,3,FALSE)))</f>
        <v xml:space="preserve">الخزينة </v>
      </c>
      <c r="E1894" s="142"/>
      <c r="F1894" s="133"/>
      <c r="G1894" s="133">
        <v>2400</v>
      </c>
      <c r="H1894" s="134">
        <f t="shared" si="88"/>
        <v>0</v>
      </c>
      <c r="I1894" s="134">
        <f t="shared" si="88"/>
        <v>2400</v>
      </c>
      <c r="J1894" s="134">
        <f t="shared" si="87"/>
        <v>-2400</v>
      </c>
      <c r="K1894" s="135"/>
      <c r="L1894" s="136" t="str">
        <f t="shared" si="89"/>
        <v>دائن</v>
      </c>
      <c r="M1894" s="137" t="str">
        <f>IF(ISERROR(VLOOKUP(C1894,'[1]خريطة الحسابات'!_xlnm.Print_Area,4,FALSE))," ",(VLOOKUP(C1894,'[1]خريطة الحسابات'!_xlnm.Print_Area,4,FALSE)))</f>
        <v xml:space="preserve">أصول متداوله -النقدية ومافي حكمها </v>
      </c>
      <c r="N1894" s="138" t="str">
        <f>IF(ISERROR(VLOOKUP(C1894,'[1]خريطة الحسابات'!_xlnm.Print_Area,5,FALSE))," ",(VLOOKUP(C1894,'[1]خريطة الحسابات'!_xlnm.Print_Area,5,FALSE)))</f>
        <v>الاصول</v>
      </c>
      <c r="O1894" s="84" t="s">
        <v>1997</v>
      </c>
      <c r="P1894" s="84" t="s">
        <v>1327</v>
      </c>
    </row>
    <row r="1895" spans="1:16">
      <c r="A1895" s="151">
        <v>64</v>
      </c>
      <c r="B1895" s="131">
        <v>46120</v>
      </c>
      <c r="C1895" s="150">
        <v>20</v>
      </c>
      <c r="D1895" s="140" t="str">
        <f>IF(ISERROR(VLOOKUP(C1895,'[1]خريطة الحسابات'!_xlnm.Print_Area,3,FALSE))," ",(VLOOKUP(C1895,'[1]خريطة الحسابات'!_xlnm.Print_Area,3,FALSE)))</f>
        <v xml:space="preserve">الخزينة </v>
      </c>
      <c r="E1895" s="142"/>
      <c r="F1895" s="133"/>
      <c r="G1895" s="133">
        <v>615</v>
      </c>
      <c r="H1895" s="134">
        <f t="shared" si="88"/>
        <v>0</v>
      </c>
      <c r="I1895" s="134">
        <f t="shared" si="88"/>
        <v>615</v>
      </c>
      <c r="J1895" s="134">
        <f t="shared" si="87"/>
        <v>-615</v>
      </c>
      <c r="K1895" s="135"/>
      <c r="L1895" s="136" t="str">
        <f t="shared" si="89"/>
        <v>دائن</v>
      </c>
      <c r="M1895" s="137" t="str">
        <f>IF(ISERROR(VLOOKUP(C1895,'[1]خريطة الحسابات'!_xlnm.Print_Area,4,FALSE))," ",(VLOOKUP(C1895,'[1]خريطة الحسابات'!_xlnm.Print_Area,4,FALSE)))</f>
        <v xml:space="preserve">أصول متداوله -النقدية ومافي حكمها </v>
      </c>
      <c r="N1895" s="138" t="str">
        <f>IF(ISERROR(VLOOKUP(C1895,'[1]خريطة الحسابات'!_xlnm.Print_Area,5,FALSE))," ",(VLOOKUP(C1895,'[1]خريطة الحسابات'!_xlnm.Print_Area,5,FALSE)))</f>
        <v>الاصول</v>
      </c>
      <c r="O1895" s="84" t="s">
        <v>2133</v>
      </c>
      <c r="P1895" s="84" t="s">
        <v>1327</v>
      </c>
    </row>
    <row r="1896" spans="1:16">
      <c r="A1896" s="151">
        <v>64</v>
      </c>
      <c r="B1896" s="131">
        <v>46128</v>
      </c>
      <c r="C1896" s="150">
        <v>20</v>
      </c>
      <c r="D1896" s="140" t="str">
        <f>IF(ISERROR(VLOOKUP(C1896,'[1]خريطة الحسابات'!_xlnm.Print_Area,3,FALSE))," ",(VLOOKUP(C1896,'[1]خريطة الحسابات'!_xlnm.Print_Area,3,FALSE)))</f>
        <v xml:space="preserve">الخزينة </v>
      </c>
      <c r="E1896" s="142"/>
      <c r="F1896" s="133"/>
      <c r="G1896" s="133">
        <v>1600</v>
      </c>
      <c r="H1896" s="134">
        <f t="shared" si="88"/>
        <v>0</v>
      </c>
      <c r="I1896" s="134">
        <f t="shared" si="88"/>
        <v>1600</v>
      </c>
      <c r="J1896" s="134">
        <f t="shared" si="87"/>
        <v>-1600</v>
      </c>
      <c r="K1896" s="135"/>
      <c r="L1896" s="136" t="str">
        <f t="shared" si="89"/>
        <v>دائن</v>
      </c>
      <c r="M1896" s="137" t="str">
        <f>IF(ISERROR(VLOOKUP(C1896,'[1]خريطة الحسابات'!_xlnm.Print_Area,4,FALSE))," ",(VLOOKUP(C1896,'[1]خريطة الحسابات'!_xlnm.Print_Area,4,FALSE)))</f>
        <v xml:space="preserve">أصول متداوله -النقدية ومافي حكمها </v>
      </c>
      <c r="N1896" s="138" t="str">
        <f>IF(ISERROR(VLOOKUP(C1896,'[1]خريطة الحسابات'!_xlnm.Print_Area,5,FALSE))," ",(VLOOKUP(C1896,'[1]خريطة الحسابات'!_xlnm.Print_Area,5,FALSE)))</f>
        <v>الاصول</v>
      </c>
      <c r="O1896" s="84" t="s">
        <v>2134</v>
      </c>
      <c r="P1896" s="84" t="s">
        <v>1327</v>
      </c>
    </row>
    <row r="1897" spans="1:16">
      <c r="A1897" s="151">
        <v>64</v>
      </c>
      <c r="B1897" s="131">
        <v>46139</v>
      </c>
      <c r="C1897" s="150">
        <v>20</v>
      </c>
      <c r="D1897" s="140" t="str">
        <f>IF(ISERROR(VLOOKUP(C1897,'[1]خريطة الحسابات'!_xlnm.Print_Area,3,FALSE))," ",(VLOOKUP(C1897,'[1]خريطة الحسابات'!_xlnm.Print_Area,3,FALSE)))</f>
        <v xml:space="preserve">الخزينة </v>
      </c>
      <c r="E1897" s="142"/>
      <c r="F1897" s="133"/>
      <c r="G1897" s="133">
        <v>820</v>
      </c>
      <c r="H1897" s="134">
        <f t="shared" si="88"/>
        <v>0</v>
      </c>
      <c r="I1897" s="134">
        <f t="shared" si="88"/>
        <v>820</v>
      </c>
      <c r="J1897" s="134">
        <f t="shared" si="87"/>
        <v>-820</v>
      </c>
      <c r="K1897" s="135"/>
      <c r="L1897" s="136" t="str">
        <f t="shared" si="89"/>
        <v>دائن</v>
      </c>
      <c r="M1897" s="137" t="str">
        <f>IF(ISERROR(VLOOKUP(C1897,'[1]خريطة الحسابات'!_xlnm.Print_Area,4,FALSE))," ",(VLOOKUP(C1897,'[1]خريطة الحسابات'!_xlnm.Print_Area,4,FALSE)))</f>
        <v xml:space="preserve">أصول متداوله -النقدية ومافي حكمها </v>
      </c>
      <c r="N1897" s="138" t="str">
        <f>IF(ISERROR(VLOOKUP(C1897,'[1]خريطة الحسابات'!_xlnm.Print_Area,5,FALSE))," ",(VLOOKUP(C1897,'[1]خريطة الحسابات'!_xlnm.Print_Area,5,FALSE)))</f>
        <v>الاصول</v>
      </c>
      <c r="O1897" s="84" t="s">
        <v>2135</v>
      </c>
      <c r="P1897" s="84" t="s">
        <v>1327</v>
      </c>
    </row>
    <row r="1898" spans="1:16">
      <c r="A1898" s="151">
        <v>64</v>
      </c>
      <c r="B1898" s="131">
        <v>46049</v>
      </c>
      <c r="C1898" s="150">
        <v>20</v>
      </c>
      <c r="D1898" s="140" t="str">
        <f>IF(ISERROR(VLOOKUP(C1898,'[1]خريطة الحسابات'!_xlnm.Print_Area,3,FALSE))," ",(VLOOKUP(C1898,'[1]خريطة الحسابات'!_xlnm.Print_Area,3,FALSE)))</f>
        <v xml:space="preserve">الخزينة </v>
      </c>
      <c r="E1898" s="142"/>
      <c r="F1898" s="133"/>
      <c r="G1898" s="133">
        <v>11011</v>
      </c>
      <c r="H1898" s="134">
        <f t="shared" si="88"/>
        <v>0</v>
      </c>
      <c r="I1898" s="134">
        <f t="shared" si="88"/>
        <v>11011</v>
      </c>
      <c r="J1898" s="134">
        <f t="shared" si="87"/>
        <v>-11011</v>
      </c>
      <c r="K1898" s="135"/>
      <c r="L1898" s="136" t="str">
        <f t="shared" si="89"/>
        <v>دائن</v>
      </c>
      <c r="M1898" s="137" t="str">
        <f>IF(ISERROR(VLOOKUP(C1898,'[1]خريطة الحسابات'!_xlnm.Print_Area,4,FALSE))," ",(VLOOKUP(C1898,'[1]خريطة الحسابات'!_xlnm.Print_Area,4,FALSE)))</f>
        <v xml:space="preserve">أصول متداوله -النقدية ومافي حكمها </v>
      </c>
      <c r="N1898" s="138" t="str">
        <f>IF(ISERROR(VLOOKUP(C1898,'[1]خريطة الحسابات'!_xlnm.Print_Area,5,FALSE))," ",(VLOOKUP(C1898,'[1]خريطة الحسابات'!_xlnm.Print_Area,5,FALSE)))</f>
        <v>الاصول</v>
      </c>
      <c r="O1898" s="84" t="s">
        <v>2136</v>
      </c>
      <c r="P1898" s="84" t="s">
        <v>1493</v>
      </c>
    </row>
    <row r="1899" spans="1:16">
      <c r="A1899" s="151">
        <v>64</v>
      </c>
      <c r="B1899" s="131">
        <v>46049</v>
      </c>
      <c r="C1899" s="150">
        <v>20</v>
      </c>
      <c r="D1899" s="140" t="str">
        <f>IF(ISERROR(VLOOKUP(C1899,'[1]خريطة الحسابات'!_xlnm.Print_Area,3,FALSE))," ",(VLOOKUP(C1899,'[1]خريطة الحسابات'!_xlnm.Print_Area,3,FALSE)))</f>
        <v xml:space="preserve">الخزينة </v>
      </c>
      <c r="E1899" s="142"/>
      <c r="F1899" s="133"/>
      <c r="G1899" s="133">
        <v>1500</v>
      </c>
      <c r="H1899" s="134">
        <f t="shared" si="88"/>
        <v>0</v>
      </c>
      <c r="I1899" s="134">
        <f t="shared" si="88"/>
        <v>1500</v>
      </c>
      <c r="J1899" s="134">
        <f t="shared" si="87"/>
        <v>-1500</v>
      </c>
      <c r="K1899" s="135"/>
      <c r="L1899" s="136" t="str">
        <f t="shared" si="89"/>
        <v>دائن</v>
      </c>
      <c r="M1899" s="137" t="str">
        <f>IF(ISERROR(VLOOKUP(C1899,'[1]خريطة الحسابات'!_xlnm.Print_Area,4,FALSE))," ",(VLOOKUP(C1899,'[1]خريطة الحسابات'!_xlnm.Print_Area,4,FALSE)))</f>
        <v xml:space="preserve">أصول متداوله -النقدية ومافي حكمها </v>
      </c>
      <c r="N1899" s="138" t="str">
        <f>IF(ISERROR(VLOOKUP(C1899,'[1]خريطة الحسابات'!_xlnm.Print_Area,5,FALSE))," ",(VLOOKUP(C1899,'[1]خريطة الحسابات'!_xlnm.Print_Area,5,FALSE)))</f>
        <v>الاصول</v>
      </c>
      <c r="O1899" s="84" t="s">
        <v>2137</v>
      </c>
      <c r="P1899" s="84" t="s">
        <v>1493</v>
      </c>
    </row>
    <row r="1900" spans="1:16">
      <c r="A1900" s="151">
        <v>64</v>
      </c>
      <c r="B1900" s="131">
        <v>46063</v>
      </c>
      <c r="C1900" s="150">
        <v>20</v>
      </c>
      <c r="D1900" s="140" t="str">
        <f>IF(ISERROR(VLOOKUP(C1900,'[1]خريطة الحسابات'!_xlnm.Print_Area,3,FALSE))," ",(VLOOKUP(C1900,'[1]خريطة الحسابات'!_xlnm.Print_Area,3,FALSE)))</f>
        <v xml:space="preserve">الخزينة </v>
      </c>
      <c r="E1900" s="142"/>
      <c r="F1900" s="133"/>
      <c r="G1900" s="133">
        <v>600</v>
      </c>
      <c r="H1900" s="134">
        <f t="shared" si="88"/>
        <v>0</v>
      </c>
      <c r="I1900" s="134">
        <f t="shared" si="88"/>
        <v>600</v>
      </c>
      <c r="J1900" s="134">
        <f t="shared" si="87"/>
        <v>-600</v>
      </c>
      <c r="K1900" s="135"/>
      <c r="L1900" s="136" t="str">
        <f t="shared" si="89"/>
        <v>دائن</v>
      </c>
      <c r="M1900" s="137" t="str">
        <f>IF(ISERROR(VLOOKUP(C1900,'[1]خريطة الحسابات'!_xlnm.Print_Area,4,FALSE))," ",(VLOOKUP(C1900,'[1]خريطة الحسابات'!_xlnm.Print_Area,4,FALSE)))</f>
        <v xml:space="preserve">أصول متداوله -النقدية ومافي حكمها </v>
      </c>
      <c r="N1900" s="138" t="str">
        <f>IF(ISERROR(VLOOKUP(C1900,'[1]خريطة الحسابات'!_xlnm.Print_Area,5,FALSE))," ",(VLOOKUP(C1900,'[1]خريطة الحسابات'!_xlnm.Print_Area,5,FALSE)))</f>
        <v>الاصول</v>
      </c>
      <c r="O1900" s="84" t="s">
        <v>2121</v>
      </c>
      <c r="P1900" s="84" t="s">
        <v>1493</v>
      </c>
    </row>
    <row r="1901" spans="1:16">
      <c r="A1901" s="151">
        <v>64</v>
      </c>
      <c r="B1901" s="131">
        <v>46116</v>
      </c>
      <c r="C1901" s="150">
        <v>20</v>
      </c>
      <c r="D1901" s="140" t="str">
        <f>IF(ISERROR(VLOOKUP(C1901,'[1]خريطة الحسابات'!_xlnm.Print_Area,3,FALSE))," ",(VLOOKUP(C1901,'[1]خريطة الحسابات'!_xlnm.Print_Area,3,FALSE)))</f>
        <v xml:space="preserve">الخزينة </v>
      </c>
      <c r="E1901" s="142"/>
      <c r="F1901" s="133"/>
      <c r="G1901" s="133">
        <v>3000</v>
      </c>
      <c r="H1901" s="134">
        <f t="shared" si="88"/>
        <v>0</v>
      </c>
      <c r="I1901" s="134">
        <f t="shared" si="88"/>
        <v>3000</v>
      </c>
      <c r="J1901" s="134">
        <f t="shared" si="87"/>
        <v>-3000</v>
      </c>
      <c r="K1901" s="135"/>
      <c r="L1901" s="136" t="str">
        <f t="shared" si="89"/>
        <v>دائن</v>
      </c>
      <c r="M1901" s="137" t="str">
        <f>IF(ISERROR(VLOOKUP(C1901,'[1]خريطة الحسابات'!_xlnm.Print_Area,4,FALSE))," ",(VLOOKUP(C1901,'[1]خريطة الحسابات'!_xlnm.Print_Area,4,FALSE)))</f>
        <v xml:space="preserve">أصول متداوله -النقدية ومافي حكمها </v>
      </c>
      <c r="N1901" s="138" t="str">
        <f>IF(ISERROR(VLOOKUP(C1901,'[1]خريطة الحسابات'!_xlnm.Print_Area,5,FALSE))," ",(VLOOKUP(C1901,'[1]خريطة الحسابات'!_xlnm.Print_Area,5,FALSE)))</f>
        <v>الاصول</v>
      </c>
      <c r="O1901" s="84" t="s">
        <v>2138</v>
      </c>
      <c r="P1901" s="84" t="s">
        <v>1290</v>
      </c>
    </row>
    <row r="1902" spans="1:16">
      <c r="A1902" s="151">
        <v>64</v>
      </c>
      <c r="B1902" s="131">
        <v>46128</v>
      </c>
      <c r="C1902" s="150">
        <v>20</v>
      </c>
      <c r="D1902" s="140" t="str">
        <f>IF(ISERROR(VLOOKUP(C1902,'[1]خريطة الحسابات'!_xlnm.Print_Area,3,FALSE))," ",(VLOOKUP(C1902,'[1]خريطة الحسابات'!_xlnm.Print_Area,3,FALSE)))</f>
        <v xml:space="preserve">الخزينة </v>
      </c>
      <c r="E1902" s="142"/>
      <c r="F1902" s="133"/>
      <c r="G1902" s="133">
        <v>1500</v>
      </c>
      <c r="H1902" s="134">
        <f t="shared" si="88"/>
        <v>0</v>
      </c>
      <c r="I1902" s="134">
        <f t="shared" si="88"/>
        <v>1500</v>
      </c>
      <c r="J1902" s="134">
        <f t="shared" si="87"/>
        <v>-1500</v>
      </c>
      <c r="K1902" s="135"/>
      <c r="L1902" s="136" t="str">
        <f t="shared" si="89"/>
        <v>دائن</v>
      </c>
      <c r="M1902" s="137" t="str">
        <f>IF(ISERROR(VLOOKUP(C1902,'[1]خريطة الحسابات'!_xlnm.Print_Area,4,FALSE))," ",(VLOOKUP(C1902,'[1]خريطة الحسابات'!_xlnm.Print_Area,4,FALSE)))</f>
        <v xml:space="preserve">أصول متداوله -النقدية ومافي حكمها </v>
      </c>
      <c r="N1902" s="138" t="str">
        <f>IF(ISERROR(VLOOKUP(C1902,'[1]خريطة الحسابات'!_xlnm.Print_Area,5,FALSE))," ",(VLOOKUP(C1902,'[1]خريطة الحسابات'!_xlnm.Print_Area,5,FALSE)))</f>
        <v>الاصول</v>
      </c>
      <c r="O1902" s="84" t="s">
        <v>2139</v>
      </c>
      <c r="P1902" s="84" t="s">
        <v>1290</v>
      </c>
    </row>
    <row r="1903" spans="1:16">
      <c r="A1903" s="151">
        <v>64</v>
      </c>
      <c r="B1903" s="131">
        <v>46134</v>
      </c>
      <c r="C1903" s="150">
        <v>20</v>
      </c>
      <c r="D1903" s="140" t="str">
        <f>IF(ISERROR(VLOOKUP(C1903,'[1]خريطة الحسابات'!_xlnm.Print_Area,3,FALSE))," ",(VLOOKUP(C1903,'[1]خريطة الحسابات'!_xlnm.Print_Area,3,FALSE)))</f>
        <v xml:space="preserve">الخزينة </v>
      </c>
      <c r="E1903" s="142"/>
      <c r="F1903" s="133"/>
      <c r="G1903" s="133">
        <v>2250</v>
      </c>
      <c r="H1903" s="134">
        <f t="shared" si="88"/>
        <v>0</v>
      </c>
      <c r="I1903" s="134">
        <f t="shared" si="88"/>
        <v>2250</v>
      </c>
      <c r="J1903" s="134">
        <f t="shared" si="87"/>
        <v>-2250</v>
      </c>
      <c r="K1903" s="135"/>
      <c r="L1903" s="136" t="str">
        <f t="shared" si="89"/>
        <v>دائن</v>
      </c>
      <c r="M1903" s="137" t="str">
        <f>IF(ISERROR(VLOOKUP(C1903,'[1]خريطة الحسابات'!_xlnm.Print_Area,4,FALSE))," ",(VLOOKUP(C1903,'[1]خريطة الحسابات'!_xlnm.Print_Area,4,FALSE)))</f>
        <v xml:space="preserve">أصول متداوله -النقدية ومافي حكمها </v>
      </c>
      <c r="N1903" s="138" t="str">
        <f>IF(ISERROR(VLOOKUP(C1903,'[1]خريطة الحسابات'!_xlnm.Print_Area,5,FALSE))," ",(VLOOKUP(C1903,'[1]خريطة الحسابات'!_xlnm.Print_Area,5,FALSE)))</f>
        <v>الاصول</v>
      </c>
      <c r="O1903" s="84" t="s">
        <v>2140</v>
      </c>
      <c r="P1903" s="84" t="s">
        <v>1290</v>
      </c>
    </row>
    <row r="1904" spans="1:16">
      <c r="A1904" s="151">
        <v>64</v>
      </c>
      <c r="B1904" s="131">
        <v>46142</v>
      </c>
      <c r="C1904" s="150">
        <v>20</v>
      </c>
      <c r="D1904" s="140" t="str">
        <f>IF(ISERROR(VLOOKUP(C1904,'[1]خريطة الحسابات'!_xlnm.Print_Area,3,FALSE))," ",(VLOOKUP(C1904,'[1]خريطة الحسابات'!_xlnm.Print_Area,3,FALSE)))</f>
        <v xml:space="preserve">الخزينة </v>
      </c>
      <c r="E1904" s="142"/>
      <c r="F1904" s="133"/>
      <c r="G1904" s="133">
        <v>2300</v>
      </c>
      <c r="H1904" s="134">
        <f t="shared" si="88"/>
        <v>0</v>
      </c>
      <c r="I1904" s="134">
        <f t="shared" si="88"/>
        <v>2300</v>
      </c>
      <c r="J1904" s="134">
        <f t="shared" si="87"/>
        <v>-2300</v>
      </c>
      <c r="K1904" s="135"/>
      <c r="L1904" s="136" t="str">
        <f t="shared" si="89"/>
        <v>دائن</v>
      </c>
      <c r="M1904" s="137" t="str">
        <f>IF(ISERROR(VLOOKUP(C1904,'[1]خريطة الحسابات'!_xlnm.Print_Area,4,FALSE))," ",(VLOOKUP(C1904,'[1]خريطة الحسابات'!_xlnm.Print_Area,4,FALSE)))</f>
        <v xml:space="preserve">أصول متداوله -النقدية ومافي حكمها </v>
      </c>
      <c r="N1904" s="138" t="str">
        <f>IF(ISERROR(VLOOKUP(C1904,'[1]خريطة الحسابات'!_xlnm.Print_Area,5,FALSE))," ",(VLOOKUP(C1904,'[1]خريطة الحسابات'!_xlnm.Print_Area,5,FALSE)))</f>
        <v>الاصول</v>
      </c>
      <c r="O1904" s="84" t="s">
        <v>2141</v>
      </c>
      <c r="P1904" s="84" t="s">
        <v>1290</v>
      </c>
    </row>
    <row r="1905" spans="1:16">
      <c r="A1905" s="151">
        <v>64</v>
      </c>
      <c r="B1905" s="131">
        <v>46147</v>
      </c>
      <c r="C1905" s="150">
        <v>20</v>
      </c>
      <c r="D1905" s="140" t="str">
        <f>IF(ISERROR(VLOOKUP(C1905,'[1]خريطة الحسابات'!_xlnm.Print_Area,3,FALSE))," ",(VLOOKUP(C1905,'[1]خريطة الحسابات'!_xlnm.Print_Area,3,FALSE)))</f>
        <v xml:space="preserve">الخزينة </v>
      </c>
      <c r="E1905" s="142"/>
      <c r="F1905" s="133"/>
      <c r="G1905" s="133">
        <v>490</v>
      </c>
      <c r="H1905" s="134">
        <f t="shared" si="88"/>
        <v>0</v>
      </c>
      <c r="I1905" s="134">
        <f t="shared" si="88"/>
        <v>490</v>
      </c>
      <c r="J1905" s="134">
        <f t="shared" si="87"/>
        <v>-490</v>
      </c>
      <c r="K1905" s="135"/>
      <c r="L1905" s="136" t="str">
        <f t="shared" si="89"/>
        <v>دائن</v>
      </c>
      <c r="M1905" s="137" t="str">
        <f>IF(ISERROR(VLOOKUP(C1905,'[1]خريطة الحسابات'!_xlnm.Print_Area,4,FALSE))," ",(VLOOKUP(C1905,'[1]خريطة الحسابات'!_xlnm.Print_Area,4,FALSE)))</f>
        <v xml:space="preserve">أصول متداوله -النقدية ومافي حكمها </v>
      </c>
      <c r="N1905" s="138" t="str">
        <f>IF(ISERROR(VLOOKUP(C1905,'[1]خريطة الحسابات'!_xlnm.Print_Area,5,FALSE))," ",(VLOOKUP(C1905,'[1]خريطة الحسابات'!_xlnm.Print_Area,5,FALSE)))</f>
        <v>الاصول</v>
      </c>
      <c r="O1905" s="84" t="s">
        <v>2142</v>
      </c>
      <c r="P1905" s="84" t="s">
        <v>1290</v>
      </c>
    </row>
    <row r="1906" spans="1:16">
      <c r="A1906" s="151">
        <v>64</v>
      </c>
      <c r="B1906" s="131">
        <v>46151</v>
      </c>
      <c r="C1906" s="150">
        <v>20</v>
      </c>
      <c r="D1906" s="140" t="str">
        <f>IF(ISERROR(VLOOKUP(C1906,'[1]خريطة الحسابات'!_xlnm.Print_Area,3,FALSE))," ",(VLOOKUP(C1906,'[1]خريطة الحسابات'!_xlnm.Print_Area,3,FALSE)))</f>
        <v xml:space="preserve">الخزينة </v>
      </c>
      <c r="E1906" s="142"/>
      <c r="F1906" s="133"/>
      <c r="G1906" s="133">
        <v>1102</v>
      </c>
      <c r="H1906" s="134">
        <f t="shared" si="88"/>
        <v>0</v>
      </c>
      <c r="I1906" s="134">
        <f t="shared" si="88"/>
        <v>1102</v>
      </c>
      <c r="J1906" s="134">
        <f t="shared" si="87"/>
        <v>-1102</v>
      </c>
      <c r="K1906" s="135"/>
      <c r="L1906" s="136" t="str">
        <f t="shared" si="89"/>
        <v>دائن</v>
      </c>
      <c r="M1906" s="137" t="str">
        <f>IF(ISERROR(VLOOKUP(C1906,'[1]خريطة الحسابات'!_xlnm.Print_Area,4,FALSE))," ",(VLOOKUP(C1906,'[1]خريطة الحسابات'!_xlnm.Print_Area,4,FALSE)))</f>
        <v xml:space="preserve">أصول متداوله -النقدية ومافي حكمها </v>
      </c>
      <c r="N1906" s="138" t="str">
        <f>IF(ISERROR(VLOOKUP(C1906,'[1]خريطة الحسابات'!_xlnm.Print_Area,5,FALSE))," ",(VLOOKUP(C1906,'[1]خريطة الحسابات'!_xlnm.Print_Area,5,FALSE)))</f>
        <v>الاصول</v>
      </c>
      <c r="O1906" s="84" t="s">
        <v>2143</v>
      </c>
      <c r="P1906" s="84" t="s">
        <v>1290</v>
      </c>
    </row>
    <row r="1907" spans="1:16">
      <c r="A1907" s="151">
        <v>64</v>
      </c>
      <c r="B1907" s="131">
        <v>46152</v>
      </c>
      <c r="C1907" s="150">
        <v>20</v>
      </c>
      <c r="D1907" s="140" t="str">
        <f>IF(ISERROR(VLOOKUP(C1907,'[1]خريطة الحسابات'!_xlnm.Print_Area,3,FALSE))," ",(VLOOKUP(C1907,'[1]خريطة الحسابات'!_xlnm.Print_Area,3,FALSE)))</f>
        <v xml:space="preserve">الخزينة </v>
      </c>
      <c r="E1907" s="142"/>
      <c r="F1907" s="133"/>
      <c r="G1907" s="133">
        <v>1552</v>
      </c>
      <c r="H1907" s="134">
        <f t="shared" si="88"/>
        <v>0</v>
      </c>
      <c r="I1907" s="134">
        <f t="shared" si="88"/>
        <v>1552</v>
      </c>
      <c r="J1907" s="134">
        <f t="shared" si="87"/>
        <v>-1552</v>
      </c>
      <c r="K1907" s="135"/>
      <c r="L1907" s="136" t="str">
        <f t="shared" si="89"/>
        <v>دائن</v>
      </c>
      <c r="M1907" s="137" t="str">
        <f>IF(ISERROR(VLOOKUP(C1907,'[1]خريطة الحسابات'!_xlnm.Print_Area,4,FALSE))," ",(VLOOKUP(C1907,'[1]خريطة الحسابات'!_xlnm.Print_Area,4,FALSE)))</f>
        <v xml:space="preserve">أصول متداوله -النقدية ومافي حكمها </v>
      </c>
      <c r="N1907" s="138" t="str">
        <f>IF(ISERROR(VLOOKUP(C1907,'[1]خريطة الحسابات'!_xlnm.Print_Area,5,FALSE))," ",(VLOOKUP(C1907,'[1]خريطة الحسابات'!_xlnm.Print_Area,5,FALSE)))</f>
        <v>الاصول</v>
      </c>
      <c r="O1907" s="84" t="s">
        <v>2139</v>
      </c>
      <c r="P1907" s="84" t="s">
        <v>1290</v>
      </c>
    </row>
    <row r="1908" spans="1:16">
      <c r="A1908" s="151">
        <v>64</v>
      </c>
      <c r="B1908" s="131">
        <v>46153</v>
      </c>
      <c r="C1908" s="150">
        <v>20</v>
      </c>
      <c r="D1908" s="140" t="str">
        <f>IF(ISERROR(VLOOKUP(C1908,'[1]خريطة الحسابات'!_xlnm.Print_Area,3,FALSE))," ",(VLOOKUP(C1908,'[1]خريطة الحسابات'!_xlnm.Print_Area,3,FALSE)))</f>
        <v xml:space="preserve">الخزينة </v>
      </c>
      <c r="E1908" s="142"/>
      <c r="F1908" s="133"/>
      <c r="G1908" s="133">
        <v>650</v>
      </c>
      <c r="H1908" s="134">
        <f t="shared" si="88"/>
        <v>0</v>
      </c>
      <c r="I1908" s="134">
        <f t="shared" si="88"/>
        <v>650</v>
      </c>
      <c r="J1908" s="134">
        <f t="shared" si="87"/>
        <v>-650</v>
      </c>
      <c r="K1908" s="135"/>
      <c r="L1908" s="136" t="str">
        <f t="shared" si="89"/>
        <v>دائن</v>
      </c>
      <c r="M1908" s="137" t="str">
        <f>IF(ISERROR(VLOOKUP(C1908,'[1]خريطة الحسابات'!_xlnm.Print_Area,4,FALSE))," ",(VLOOKUP(C1908,'[1]خريطة الحسابات'!_xlnm.Print_Area,4,FALSE)))</f>
        <v xml:space="preserve">أصول متداوله -النقدية ومافي حكمها </v>
      </c>
      <c r="N1908" s="138" t="str">
        <f>IF(ISERROR(VLOOKUP(C1908,'[1]خريطة الحسابات'!_xlnm.Print_Area,5,FALSE))," ",(VLOOKUP(C1908,'[1]خريطة الحسابات'!_xlnm.Print_Area,5,FALSE)))</f>
        <v>الاصول</v>
      </c>
      <c r="O1908" s="84" t="s">
        <v>2144</v>
      </c>
      <c r="P1908" s="84" t="s">
        <v>1290</v>
      </c>
    </row>
    <row r="1909" spans="1:16">
      <c r="A1909" s="151">
        <v>64</v>
      </c>
      <c r="B1909" s="131">
        <v>46156</v>
      </c>
      <c r="C1909" s="150">
        <v>20</v>
      </c>
      <c r="D1909" s="140" t="str">
        <f>IF(ISERROR(VLOOKUP(C1909,'[1]خريطة الحسابات'!_xlnm.Print_Area,3,FALSE))," ",(VLOOKUP(C1909,'[1]خريطة الحسابات'!_xlnm.Print_Area,3,FALSE)))</f>
        <v xml:space="preserve">الخزينة </v>
      </c>
      <c r="E1909" s="142"/>
      <c r="F1909" s="133"/>
      <c r="G1909" s="133">
        <v>650</v>
      </c>
      <c r="H1909" s="134">
        <f t="shared" si="88"/>
        <v>0</v>
      </c>
      <c r="I1909" s="134">
        <f t="shared" si="88"/>
        <v>650</v>
      </c>
      <c r="J1909" s="134">
        <f t="shared" si="87"/>
        <v>-650</v>
      </c>
      <c r="K1909" s="135"/>
      <c r="L1909" s="136" t="str">
        <f t="shared" si="89"/>
        <v>دائن</v>
      </c>
      <c r="M1909" s="137" t="str">
        <f>IF(ISERROR(VLOOKUP(C1909,'[1]خريطة الحسابات'!_xlnm.Print_Area,4,FALSE))," ",(VLOOKUP(C1909,'[1]خريطة الحسابات'!_xlnm.Print_Area,4,FALSE)))</f>
        <v xml:space="preserve">أصول متداوله -النقدية ومافي حكمها </v>
      </c>
      <c r="N1909" s="138" t="str">
        <f>IF(ISERROR(VLOOKUP(C1909,'[1]خريطة الحسابات'!_xlnm.Print_Area,5,FALSE))," ",(VLOOKUP(C1909,'[1]خريطة الحسابات'!_xlnm.Print_Area,5,FALSE)))</f>
        <v>الاصول</v>
      </c>
      <c r="O1909" s="84" t="s">
        <v>2145</v>
      </c>
      <c r="P1909" s="84" t="s">
        <v>1290</v>
      </c>
    </row>
    <row r="1910" spans="1:16">
      <c r="A1910" s="151">
        <v>64</v>
      </c>
      <c r="B1910" s="131">
        <v>46161</v>
      </c>
      <c r="C1910" s="150">
        <v>20</v>
      </c>
      <c r="D1910" s="140" t="str">
        <f>IF(ISERROR(VLOOKUP(C1910,'[1]خريطة الحسابات'!_xlnm.Print_Area,3,FALSE))," ",(VLOOKUP(C1910,'[1]خريطة الحسابات'!_xlnm.Print_Area,3,FALSE)))</f>
        <v xml:space="preserve">الخزينة </v>
      </c>
      <c r="E1910" s="142"/>
      <c r="F1910" s="133"/>
      <c r="G1910" s="133">
        <v>3053</v>
      </c>
      <c r="H1910" s="134">
        <f t="shared" si="88"/>
        <v>0</v>
      </c>
      <c r="I1910" s="134">
        <f t="shared" si="88"/>
        <v>3053</v>
      </c>
      <c r="J1910" s="134">
        <f t="shared" si="87"/>
        <v>-3053</v>
      </c>
      <c r="K1910" s="135"/>
      <c r="L1910" s="136" t="str">
        <f t="shared" si="89"/>
        <v>دائن</v>
      </c>
      <c r="M1910" s="137" t="str">
        <f>IF(ISERROR(VLOOKUP(C1910,'[1]خريطة الحسابات'!_xlnm.Print_Area,4,FALSE))," ",(VLOOKUP(C1910,'[1]خريطة الحسابات'!_xlnm.Print_Area,4,FALSE)))</f>
        <v xml:space="preserve">أصول متداوله -النقدية ومافي حكمها </v>
      </c>
      <c r="N1910" s="138" t="str">
        <f>IF(ISERROR(VLOOKUP(C1910,'[1]خريطة الحسابات'!_xlnm.Print_Area,5,FALSE))," ",(VLOOKUP(C1910,'[1]خريطة الحسابات'!_xlnm.Print_Area,5,FALSE)))</f>
        <v>الاصول</v>
      </c>
      <c r="O1910" s="84" t="s">
        <v>2146</v>
      </c>
      <c r="P1910" s="84" t="s">
        <v>1290</v>
      </c>
    </row>
    <row r="1911" spans="1:16">
      <c r="A1911" s="151">
        <v>64</v>
      </c>
      <c r="B1911" s="131">
        <v>46163</v>
      </c>
      <c r="C1911" s="150">
        <v>20</v>
      </c>
      <c r="D1911" s="140" t="str">
        <f>IF(ISERROR(VLOOKUP(C1911,'[1]خريطة الحسابات'!_xlnm.Print_Area,3,FALSE))," ",(VLOOKUP(C1911,'[1]خريطة الحسابات'!_xlnm.Print_Area,3,FALSE)))</f>
        <v xml:space="preserve">الخزينة </v>
      </c>
      <c r="E1911" s="142"/>
      <c r="F1911" s="133"/>
      <c r="G1911" s="133">
        <v>550</v>
      </c>
      <c r="H1911" s="134">
        <f t="shared" si="88"/>
        <v>0</v>
      </c>
      <c r="I1911" s="134">
        <f t="shared" si="88"/>
        <v>550</v>
      </c>
      <c r="J1911" s="134">
        <f t="shared" si="87"/>
        <v>-550</v>
      </c>
      <c r="K1911" s="135"/>
      <c r="L1911" s="136" t="str">
        <f t="shared" si="89"/>
        <v>دائن</v>
      </c>
      <c r="M1911" s="137" t="str">
        <f>IF(ISERROR(VLOOKUP(C1911,'[1]خريطة الحسابات'!_xlnm.Print_Area,4,FALSE))," ",(VLOOKUP(C1911,'[1]خريطة الحسابات'!_xlnm.Print_Area,4,FALSE)))</f>
        <v xml:space="preserve">أصول متداوله -النقدية ومافي حكمها </v>
      </c>
      <c r="N1911" s="138" t="str">
        <f>IF(ISERROR(VLOOKUP(C1911,'[1]خريطة الحسابات'!_xlnm.Print_Area,5,FALSE))," ",(VLOOKUP(C1911,'[1]خريطة الحسابات'!_xlnm.Print_Area,5,FALSE)))</f>
        <v>الاصول</v>
      </c>
      <c r="O1911" s="84" t="s">
        <v>2147</v>
      </c>
      <c r="P1911" s="84" t="s">
        <v>1290</v>
      </c>
    </row>
    <row r="1912" spans="1:16">
      <c r="A1912" s="151">
        <v>64</v>
      </c>
      <c r="B1912" s="131">
        <v>46167</v>
      </c>
      <c r="C1912" s="150">
        <v>20</v>
      </c>
      <c r="D1912" s="140" t="str">
        <f>IF(ISERROR(VLOOKUP(C1912,'[1]خريطة الحسابات'!_xlnm.Print_Area,3,FALSE))," ",(VLOOKUP(C1912,'[1]خريطة الحسابات'!_xlnm.Print_Area,3,FALSE)))</f>
        <v xml:space="preserve">الخزينة </v>
      </c>
      <c r="E1912" s="142"/>
      <c r="F1912" s="133"/>
      <c r="G1912" s="133">
        <v>3203</v>
      </c>
      <c r="H1912" s="134">
        <f t="shared" si="88"/>
        <v>0</v>
      </c>
      <c r="I1912" s="134">
        <f t="shared" si="88"/>
        <v>3203</v>
      </c>
      <c r="J1912" s="134">
        <f t="shared" si="87"/>
        <v>-3203</v>
      </c>
      <c r="K1912" s="135"/>
      <c r="L1912" s="136" t="str">
        <f t="shared" si="89"/>
        <v>دائن</v>
      </c>
      <c r="M1912" s="137" t="str">
        <f>IF(ISERROR(VLOOKUP(C1912,'[1]خريطة الحسابات'!_xlnm.Print_Area,4,FALSE))," ",(VLOOKUP(C1912,'[1]خريطة الحسابات'!_xlnm.Print_Area,4,FALSE)))</f>
        <v xml:space="preserve">أصول متداوله -النقدية ومافي حكمها </v>
      </c>
      <c r="N1912" s="138" t="str">
        <f>IF(ISERROR(VLOOKUP(C1912,'[1]خريطة الحسابات'!_xlnm.Print_Area,5,FALSE))," ",(VLOOKUP(C1912,'[1]خريطة الحسابات'!_xlnm.Print_Area,5,FALSE)))</f>
        <v>الاصول</v>
      </c>
      <c r="O1912" s="84" t="s">
        <v>2148</v>
      </c>
      <c r="P1912" s="84" t="s">
        <v>1290</v>
      </c>
    </row>
    <row r="1913" spans="1:16">
      <c r="A1913" s="151">
        <v>64</v>
      </c>
      <c r="B1913" s="131">
        <v>46174</v>
      </c>
      <c r="C1913" s="150">
        <v>20</v>
      </c>
      <c r="D1913" s="140" t="str">
        <f>IF(ISERROR(VLOOKUP(C1913,'[1]خريطة الحسابات'!_xlnm.Print_Area,3,FALSE))," ",(VLOOKUP(C1913,'[1]خريطة الحسابات'!_xlnm.Print_Area,3,FALSE)))</f>
        <v xml:space="preserve">الخزينة </v>
      </c>
      <c r="E1913" s="142"/>
      <c r="F1913" s="133"/>
      <c r="G1913" s="133">
        <v>1650</v>
      </c>
      <c r="H1913" s="134">
        <f t="shared" si="88"/>
        <v>0</v>
      </c>
      <c r="I1913" s="134">
        <f t="shared" si="88"/>
        <v>1650</v>
      </c>
      <c r="J1913" s="134">
        <f t="shared" si="87"/>
        <v>-1650</v>
      </c>
      <c r="K1913" s="135"/>
      <c r="L1913" s="136" t="str">
        <f t="shared" si="89"/>
        <v>دائن</v>
      </c>
      <c r="M1913" s="137" t="str">
        <f>IF(ISERROR(VLOOKUP(C1913,'[1]خريطة الحسابات'!_xlnm.Print_Area,4,FALSE))," ",(VLOOKUP(C1913,'[1]خريطة الحسابات'!_xlnm.Print_Area,4,FALSE)))</f>
        <v xml:space="preserve">أصول متداوله -النقدية ومافي حكمها </v>
      </c>
      <c r="N1913" s="138" t="str">
        <f>IF(ISERROR(VLOOKUP(C1913,'[1]خريطة الحسابات'!_xlnm.Print_Area,5,FALSE))," ",(VLOOKUP(C1913,'[1]خريطة الحسابات'!_xlnm.Print_Area,5,FALSE)))</f>
        <v>الاصول</v>
      </c>
      <c r="O1913" s="84" t="s">
        <v>2149</v>
      </c>
      <c r="P1913" s="84" t="s">
        <v>1290</v>
      </c>
    </row>
    <row r="1914" spans="1:16">
      <c r="A1914" s="151">
        <v>64</v>
      </c>
      <c r="B1914" s="131">
        <v>46174</v>
      </c>
      <c r="C1914" s="150">
        <v>20</v>
      </c>
      <c r="D1914" s="140" t="str">
        <f>IF(ISERROR(VLOOKUP(C1914,'[1]خريطة الحسابات'!_xlnm.Print_Area,3,FALSE))," ",(VLOOKUP(C1914,'[1]خريطة الحسابات'!_xlnm.Print_Area,3,FALSE)))</f>
        <v xml:space="preserve">الخزينة </v>
      </c>
      <c r="E1914" s="142"/>
      <c r="F1914" s="133"/>
      <c r="G1914" s="133">
        <v>550</v>
      </c>
      <c r="H1914" s="134">
        <f t="shared" si="88"/>
        <v>0</v>
      </c>
      <c r="I1914" s="134">
        <f t="shared" si="88"/>
        <v>550</v>
      </c>
      <c r="J1914" s="134">
        <f t="shared" si="87"/>
        <v>-550</v>
      </c>
      <c r="K1914" s="135"/>
      <c r="L1914" s="136" t="str">
        <f t="shared" si="89"/>
        <v>دائن</v>
      </c>
      <c r="M1914" s="137" t="str">
        <f>IF(ISERROR(VLOOKUP(C1914,'[1]خريطة الحسابات'!_xlnm.Print_Area,4,FALSE))," ",(VLOOKUP(C1914,'[1]خريطة الحسابات'!_xlnm.Print_Area,4,FALSE)))</f>
        <v xml:space="preserve">أصول متداوله -النقدية ومافي حكمها </v>
      </c>
      <c r="N1914" s="138" t="str">
        <f>IF(ISERROR(VLOOKUP(C1914,'[1]خريطة الحسابات'!_xlnm.Print_Area,5,FALSE))," ",(VLOOKUP(C1914,'[1]خريطة الحسابات'!_xlnm.Print_Area,5,FALSE)))</f>
        <v>الاصول</v>
      </c>
      <c r="O1914" s="84" t="s">
        <v>2150</v>
      </c>
      <c r="P1914" s="84" t="s">
        <v>1290</v>
      </c>
    </row>
    <row r="1915" spans="1:16">
      <c r="A1915" s="151">
        <v>64</v>
      </c>
      <c r="B1915" s="131">
        <v>46187</v>
      </c>
      <c r="C1915" s="150">
        <v>20</v>
      </c>
      <c r="D1915" s="140" t="str">
        <f>IF(ISERROR(VLOOKUP(C1915,'[1]خريطة الحسابات'!_xlnm.Print_Area,3,FALSE))," ",(VLOOKUP(C1915,'[1]خريطة الحسابات'!_xlnm.Print_Area,3,FALSE)))</f>
        <v xml:space="preserve">الخزينة </v>
      </c>
      <c r="E1915" s="142"/>
      <c r="F1915" s="133"/>
      <c r="G1915" s="133">
        <v>2202</v>
      </c>
      <c r="H1915" s="134">
        <f t="shared" si="88"/>
        <v>0</v>
      </c>
      <c r="I1915" s="134">
        <f t="shared" si="88"/>
        <v>2202</v>
      </c>
      <c r="J1915" s="134">
        <f t="shared" si="87"/>
        <v>-2202</v>
      </c>
      <c r="K1915" s="135"/>
      <c r="L1915" s="136" t="str">
        <f t="shared" si="89"/>
        <v>دائن</v>
      </c>
      <c r="M1915" s="137" t="str">
        <f>IF(ISERROR(VLOOKUP(C1915,'[1]خريطة الحسابات'!_xlnm.Print_Area,4,FALSE))," ",(VLOOKUP(C1915,'[1]خريطة الحسابات'!_xlnm.Print_Area,4,FALSE)))</f>
        <v xml:space="preserve">أصول متداوله -النقدية ومافي حكمها </v>
      </c>
      <c r="N1915" s="138" t="str">
        <f>IF(ISERROR(VLOOKUP(C1915,'[1]خريطة الحسابات'!_xlnm.Print_Area,5,FALSE))," ",(VLOOKUP(C1915,'[1]خريطة الحسابات'!_xlnm.Print_Area,5,FALSE)))</f>
        <v>الاصول</v>
      </c>
      <c r="O1915" s="84" t="s">
        <v>2151</v>
      </c>
      <c r="P1915" s="84" t="s">
        <v>1290</v>
      </c>
    </row>
    <row r="1916" spans="1:16">
      <c r="A1916" s="151">
        <v>64</v>
      </c>
      <c r="B1916" s="131">
        <v>46027</v>
      </c>
      <c r="C1916" s="150">
        <v>20</v>
      </c>
      <c r="D1916" s="140" t="str">
        <f>IF(ISERROR(VLOOKUP(C1916,'[1]خريطة الحسابات'!_xlnm.Print_Area,3,FALSE))," ",(VLOOKUP(C1916,'[1]خريطة الحسابات'!_xlnm.Print_Area,3,FALSE)))</f>
        <v xml:space="preserve">الخزينة </v>
      </c>
      <c r="E1916" s="142"/>
      <c r="F1916" s="133"/>
      <c r="G1916" s="133">
        <v>4255</v>
      </c>
      <c r="H1916" s="134">
        <f t="shared" si="88"/>
        <v>0</v>
      </c>
      <c r="I1916" s="134">
        <f t="shared" si="88"/>
        <v>4255</v>
      </c>
      <c r="J1916" s="134">
        <f t="shared" si="87"/>
        <v>-4255</v>
      </c>
      <c r="K1916" s="135"/>
      <c r="L1916" s="136" t="str">
        <f t="shared" si="89"/>
        <v>دائن</v>
      </c>
      <c r="M1916" s="137" t="str">
        <f>IF(ISERROR(VLOOKUP(C1916,'[1]خريطة الحسابات'!_xlnm.Print_Area,4,FALSE))," ",(VLOOKUP(C1916,'[1]خريطة الحسابات'!_xlnm.Print_Area,4,FALSE)))</f>
        <v xml:space="preserve">أصول متداوله -النقدية ومافي حكمها </v>
      </c>
      <c r="N1916" s="138" t="str">
        <f>IF(ISERROR(VLOOKUP(C1916,'[1]خريطة الحسابات'!_xlnm.Print_Area,5,FALSE))," ",(VLOOKUP(C1916,'[1]خريطة الحسابات'!_xlnm.Print_Area,5,FALSE)))</f>
        <v>الاصول</v>
      </c>
      <c r="O1916" s="84" t="s">
        <v>2152</v>
      </c>
      <c r="P1916" s="84" t="s">
        <v>1315</v>
      </c>
    </row>
    <row r="1917" spans="1:16">
      <c r="A1917" s="151">
        <v>64</v>
      </c>
      <c r="B1917" s="131">
        <v>46048</v>
      </c>
      <c r="C1917" s="150">
        <v>20</v>
      </c>
      <c r="D1917" s="140" t="str">
        <f>IF(ISERROR(VLOOKUP(C1917,'[1]خريطة الحسابات'!_xlnm.Print_Area,3,FALSE))," ",(VLOOKUP(C1917,'[1]خريطة الحسابات'!_xlnm.Print_Area,3,FALSE)))</f>
        <v xml:space="preserve">الخزينة </v>
      </c>
      <c r="E1917" s="142"/>
      <c r="F1917" s="133"/>
      <c r="G1917" s="133">
        <v>5255</v>
      </c>
      <c r="H1917" s="134">
        <f t="shared" si="88"/>
        <v>0</v>
      </c>
      <c r="I1917" s="134">
        <f t="shared" si="88"/>
        <v>5255</v>
      </c>
      <c r="J1917" s="134">
        <f t="shared" si="87"/>
        <v>-5255</v>
      </c>
      <c r="K1917" s="135"/>
      <c r="L1917" s="136" t="str">
        <f t="shared" si="89"/>
        <v>دائن</v>
      </c>
      <c r="M1917" s="137" t="str">
        <f>IF(ISERROR(VLOOKUP(C1917,'[1]خريطة الحسابات'!_xlnm.Print_Area,4,FALSE))," ",(VLOOKUP(C1917,'[1]خريطة الحسابات'!_xlnm.Print_Area,4,FALSE)))</f>
        <v xml:space="preserve">أصول متداوله -النقدية ومافي حكمها </v>
      </c>
      <c r="N1917" s="138" t="str">
        <f>IF(ISERROR(VLOOKUP(C1917,'[1]خريطة الحسابات'!_xlnm.Print_Area,5,FALSE))," ",(VLOOKUP(C1917,'[1]خريطة الحسابات'!_xlnm.Print_Area,5,FALSE)))</f>
        <v>الاصول</v>
      </c>
      <c r="O1917" s="84" t="s">
        <v>2153</v>
      </c>
      <c r="P1917" s="84" t="s">
        <v>1315</v>
      </c>
    </row>
    <row r="1918" spans="1:16">
      <c r="A1918" s="151">
        <v>64</v>
      </c>
      <c r="B1918" s="131">
        <v>46093</v>
      </c>
      <c r="C1918" s="150">
        <v>20</v>
      </c>
      <c r="D1918" s="140" t="str">
        <f>IF(ISERROR(VLOOKUP(C1918,'[1]خريطة الحسابات'!_xlnm.Print_Area,3,FALSE))," ",(VLOOKUP(C1918,'[1]خريطة الحسابات'!_xlnm.Print_Area,3,FALSE)))</f>
        <v xml:space="preserve">الخزينة </v>
      </c>
      <c r="E1918" s="142"/>
      <c r="F1918" s="133"/>
      <c r="G1918" s="133">
        <v>350</v>
      </c>
      <c r="H1918" s="134">
        <f t="shared" si="88"/>
        <v>0</v>
      </c>
      <c r="I1918" s="134">
        <f t="shared" si="88"/>
        <v>350</v>
      </c>
      <c r="J1918" s="134">
        <f t="shared" si="87"/>
        <v>-350</v>
      </c>
      <c r="K1918" s="135"/>
      <c r="L1918" s="136" t="str">
        <f t="shared" si="89"/>
        <v>دائن</v>
      </c>
      <c r="M1918" s="137" t="str">
        <f>IF(ISERROR(VLOOKUP(C1918,'[1]خريطة الحسابات'!_xlnm.Print_Area,4,FALSE))," ",(VLOOKUP(C1918,'[1]خريطة الحسابات'!_xlnm.Print_Area,4,FALSE)))</f>
        <v xml:space="preserve">أصول متداوله -النقدية ومافي حكمها </v>
      </c>
      <c r="N1918" s="138" t="str">
        <f>IF(ISERROR(VLOOKUP(C1918,'[1]خريطة الحسابات'!_xlnm.Print_Area,5,FALSE))," ",(VLOOKUP(C1918,'[1]خريطة الحسابات'!_xlnm.Print_Area,5,FALSE)))</f>
        <v>الاصول</v>
      </c>
      <c r="O1918" s="84" t="s">
        <v>2154</v>
      </c>
      <c r="P1918" s="84" t="s">
        <v>1315</v>
      </c>
    </row>
    <row r="1919" spans="1:16">
      <c r="A1919" s="151">
        <v>64</v>
      </c>
      <c r="B1919" s="131">
        <v>46123</v>
      </c>
      <c r="C1919" s="150">
        <v>20</v>
      </c>
      <c r="D1919" s="140" t="str">
        <f>IF(ISERROR(VLOOKUP(C1919,'[1]خريطة الحسابات'!_xlnm.Print_Area,3,FALSE))," ",(VLOOKUP(C1919,'[1]خريطة الحسابات'!_xlnm.Print_Area,3,FALSE)))</f>
        <v xml:space="preserve">الخزينة </v>
      </c>
      <c r="E1919" s="142"/>
      <c r="F1919" s="133"/>
      <c r="G1919" s="133">
        <v>1000</v>
      </c>
      <c r="H1919" s="134">
        <f t="shared" si="88"/>
        <v>0</v>
      </c>
      <c r="I1919" s="134">
        <f t="shared" si="88"/>
        <v>1000</v>
      </c>
      <c r="J1919" s="134">
        <f t="shared" si="87"/>
        <v>-1000</v>
      </c>
      <c r="K1919" s="135"/>
      <c r="L1919" s="136" t="str">
        <f t="shared" si="89"/>
        <v>دائن</v>
      </c>
      <c r="M1919" s="137" t="str">
        <f>IF(ISERROR(VLOOKUP(C1919,'[1]خريطة الحسابات'!_xlnm.Print_Area,4,FALSE))," ",(VLOOKUP(C1919,'[1]خريطة الحسابات'!_xlnm.Print_Area,4,FALSE)))</f>
        <v xml:space="preserve">أصول متداوله -النقدية ومافي حكمها </v>
      </c>
      <c r="N1919" s="138" t="str">
        <f>IF(ISERROR(VLOOKUP(C1919,'[1]خريطة الحسابات'!_xlnm.Print_Area,5,FALSE))," ",(VLOOKUP(C1919,'[1]خريطة الحسابات'!_xlnm.Print_Area,5,FALSE)))</f>
        <v>الاصول</v>
      </c>
      <c r="O1919" s="84" t="s">
        <v>2155</v>
      </c>
      <c r="P1919" s="84" t="s">
        <v>1315</v>
      </c>
    </row>
    <row r="1920" spans="1:16">
      <c r="A1920" s="151">
        <v>64</v>
      </c>
      <c r="B1920" s="131">
        <v>46131</v>
      </c>
      <c r="C1920" s="150">
        <v>20</v>
      </c>
      <c r="D1920" s="140" t="str">
        <f>IF(ISERROR(VLOOKUP(C1920,'[1]خريطة الحسابات'!_xlnm.Print_Area,3,FALSE))," ",(VLOOKUP(C1920,'[1]خريطة الحسابات'!_xlnm.Print_Area,3,FALSE)))</f>
        <v xml:space="preserve">الخزينة </v>
      </c>
      <c r="E1920" s="142"/>
      <c r="F1920" s="133"/>
      <c r="G1920" s="133">
        <v>1800</v>
      </c>
      <c r="H1920" s="134">
        <f t="shared" si="88"/>
        <v>0</v>
      </c>
      <c r="I1920" s="134">
        <f t="shared" si="88"/>
        <v>1800</v>
      </c>
      <c r="J1920" s="134">
        <f t="shared" si="87"/>
        <v>-1800</v>
      </c>
      <c r="K1920" s="135"/>
      <c r="L1920" s="136" t="str">
        <f t="shared" si="89"/>
        <v>دائن</v>
      </c>
      <c r="M1920" s="137" t="str">
        <f>IF(ISERROR(VLOOKUP(C1920,'[1]خريطة الحسابات'!_xlnm.Print_Area,4,FALSE))," ",(VLOOKUP(C1920,'[1]خريطة الحسابات'!_xlnm.Print_Area,4,FALSE)))</f>
        <v xml:space="preserve">أصول متداوله -النقدية ومافي حكمها </v>
      </c>
      <c r="N1920" s="138" t="str">
        <f>IF(ISERROR(VLOOKUP(C1920,'[1]خريطة الحسابات'!_xlnm.Print_Area,5,FALSE))," ",(VLOOKUP(C1920,'[1]خريطة الحسابات'!_xlnm.Print_Area,5,FALSE)))</f>
        <v>الاصول</v>
      </c>
      <c r="O1920" s="84" t="s">
        <v>2156</v>
      </c>
      <c r="P1920" s="84" t="s">
        <v>1315</v>
      </c>
    </row>
    <row r="1921" spans="1:16">
      <c r="A1921" s="151">
        <v>64</v>
      </c>
      <c r="B1921" s="131">
        <v>46156</v>
      </c>
      <c r="C1921" s="150">
        <v>20</v>
      </c>
      <c r="D1921" s="140" t="str">
        <f>IF(ISERROR(VLOOKUP(C1921,'[1]خريطة الحسابات'!_xlnm.Print_Area,3,FALSE))," ",(VLOOKUP(C1921,'[1]خريطة الحسابات'!_xlnm.Print_Area,3,FALSE)))</f>
        <v xml:space="preserve">الخزينة </v>
      </c>
      <c r="E1921" s="142"/>
      <c r="F1921" s="133"/>
      <c r="G1921" s="133">
        <v>1100</v>
      </c>
      <c r="H1921" s="134">
        <f t="shared" si="88"/>
        <v>0</v>
      </c>
      <c r="I1921" s="134">
        <f t="shared" si="88"/>
        <v>1100</v>
      </c>
      <c r="J1921" s="134">
        <f t="shared" si="87"/>
        <v>-1100</v>
      </c>
      <c r="K1921" s="135"/>
      <c r="L1921" s="136" t="str">
        <f t="shared" si="89"/>
        <v>دائن</v>
      </c>
      <c r="M1921" s="137" t="str">
        <f>IF(ISERROR(VLOOKUP(C1921,'[1]خريطة الحسابات'!_xlnm.Print_Area,4,FALSE))," ",(VLOOKUP(C1921,'[1]خريطة الحسابات'!_xlnm.Print_Area,4,FALSE)))</f>
        <v xml:space="preserve">أصول متداوله -النقدية ومافي حكمها </v>
      </c>
      <c r="N1921" s="138" t="str">
        <f>IF(ISERROR(VLOOKUP(C1921,'[1]خريطة الحسابات'!_xlnm.Print_Area,5,FALSE))," ",(VLOOKUP(C1921,'[1]خريطة الحسابات'!_xlnm.Print_Area,5,FALSE)))</f>
        <v>الاصول</v>
      </c>
      <c r="O1921" s="84" t="s">
        <v>2157</v>
      </c>
      <c r="P1921" s="84" t="s">
        <v>1315</v>
      </c>
    </row>
    <row r="1922" spans="1:16">
      <c r="A1922" s="151">
        <v>64</v>
      </c>
      <c r="B1922" s="131">
        <v>46184</v>
      </c>
      <c r="C1922" s="150">
        <v>20</v>
      </c>
      <c r="D1922" s="140" t="str">
        <f>IF(ISERROR(VLOOKUP(C1922,'[1]خريطة الحسابات'!_xlnm.Print_Area,3,FALSE))," ",(VLOOKUP(C1922,'[1]خريطة الحسابات'!_xlnm.Print_Area,3,FALSE)))</f>
        <v xml:space="preserve">الخزينة </v>
      </c>
      <c r="E1922" s="142"/>
      <c r="F1922" s="133"/>
      <c r="G1922" s="133">
        <v>500</v>
      </c>
      <c r="H1922" s="134">
        <f t="shared" si="88"/>
        <v>0</v>
      </c>
      <c r="I1922" s="134">
        <f t="shared" si="88"/>
        <v>500</v>
      </c>
      <c r="J1922" s="134">
        <f t="shared" si="87"/>
        <v>-500</v>
      </c>
      <c r="K1922" s="135"/>
      <c r="L1922" s="136" t="str">
        <f t="shared" si="89"/>
        <v>دائن</v>
      </c>
      <c r="M1922" s="137" t="str">
        <f>IF(ISERROR(VLOOKUP(C1922,'[1]خريطة الحسابات'!_xlnm.Print_Area,4,FALSE))," ",(VLOOKUP(C1922,'[1]خريطة الحسابات'!_xlnm.Print_Area,4,FALSE)))</f>
        <v xml:space="preserve">أصول متداوله -النقدية ومافي حكمها </v>
      </c>
      <c r="N1922" s="138" t="str">
        <f>IF(ISERROR(VLOOKUP(C1922,'[1]خريطة الحسابات'!_xlnm.Print_Area,5,FALSE))," ",(VLOOKUP(C1922,'[1]خريطة الحسابات'!_xlnm.Print_Area,5,FALSE)))</f>
        <v>الاصول</v>
      </c>
      <c r="O1922" s="84" t="s">
        <v>2158</v>
      </c>
      <c r="P1922" s="84" t="s">
        <v>1315</v>
      </c>
    </row>
    <row r="1923" spans="1:16">
      <c r="A1923" s="151">
        <v>64</v>
      </c>
      <c r="B1923" s="131">
        <v>46121</v>
      </c>
      <c r="C1923" s="150">
        <v>20</v>
      </c>
      <c r="D1923" s="140" t="str">
        <f>IF(ISERROR(VLOOKUP(C1923,'[1]خريطة الحسابات'!_xlnm.Print_Area,3,FALSE))," ",(VLOOKUP(C1923,'[1]خريطة الحسابات'!_xlnm.Print_Area,3,FALSE)))</f>
        <v xml:space="preserve">الخزينة </v>
      </c>
      <c r="E1923" s="142"/>
      <c r="F1923" s="133"/>
      <c r="G1923" s="133">
        <v>400</v>
      </c>
      <c r="H1923" s="134">
        <f t="shared" si="88"/>
        <v>0</v>
      </c>
      <c r="I1923" s="134">
        <f t="shared" si="88"/>
        <v>400</v>
      </c>
      <c r="J1923" s="134">
        <f t="shared" si="87"/>
        <v>-400</v>
      </c>
      <c r="K1923" s="135"/>
      <c r="L1923" s="136" t="str">
        <f t="shared" si="89"/>
        <v>دائن</v>
      </c>
      <c r="M1923" s="137" t="str">
        <f>IF(ISERROR(VLOOKUP(C1923,'[1]خريطة الحسابات'!_xlnm.Print_Area,4,FALSE))," ",(VLOOKUP(C1923,'[1]خريطة الحسابات'!_xlnm.Print_Area,4,FALSE)))</f>
        <v xml:space="preserve">أصول متداوله -النقدية ومافي حكمها </v>
      </c>
      <c r="N1923" s="138" t="str">
        <f>IF(ISERROR(VLOOKUP(C1923,'[1]خريطة الحسابات'!_xlnm.Print_Area,5,FALSE))," ",(VLOOKUP(C1923,'[1]خريطة الحسابات'!_xlnm.Print_Area,5,FALSE)))</f>
        <v>الاصول</v>
      </c>
      <c r="O1923" s="84" t="s">
        <v>2159</v>
      </c>
      <c r="P1923" s="84" t="s">
        <v>1489</v>
      </c>
    </row>
    <row r="1924" spans="1:16">
      <c r="A1924" s="151">
        <v>64</v>
      </c>
      <c r="B1924" s="131">
        <v>46134</v>
      </c>
      <c r="C1924" s="150">
        <v>20</v>
      </c>
      <c r="D1924" s="140" t="str">
        <f>IF(ISERROR(VLOOKUP(C1924,'[1]خريطة الحسابات'!_xlnm.Print_Area,3,FALSE))," ",(VLOOKUP(C1924,'[1]خريطة الحسابات'!_xlnm.Print_Area,3,FALSE)))</f>
        <v xml:space="preserve">الخزينة </v>
      </c>
      <c r="E1924" s="142"/>
      <c r="F1924" s="133"/>
      <c r="G1924" s="133">
        <v>7250</v>
      </c>
      <c r="H1924" s="134">
        <f t="shared" si="88"/>
        <v>0</v>
      </c>
      <c r="I1924" s="134">
        <f t="shared" si="88"/>
        <v>7250</v>
      </c>
      <c r="J1924" s="134">
        <f t="shared" si="87"/>
        <v>-7250</v>
      </c>
      <c r="K1924" s="135"/>
      <c r="L1924" s="136" t="str">
        <f t="shared" si="89"/>
        <v>دائن</v>
      </c>
      <c r="M1924" s="137" t="str">
        <f>IF(ISERROR(VLOOKUP(C1924,'[1]خريطة الحسابات'!_xlnm.Print_Area,4,FALSE))," ",(VLOOKUP(C1924,'[1]خريطة الحسابات'!_xlnm.Print_Area,4,FALSE)))</f>
        <v xml:space="preserve">أصول متداوله -النقدية ومافي حكمها </v>
      </c>
      <c r="N1924" s="138" t="str">
        <f>IF(ISERROR(VLOOKUP(C1924,'[1]خريطة الحسابات'!_xlnm.Print_Area,5,FALSE))," ",(VLOOKUP(C1924,'[1]خريطة الحسابات'!_xlnm.Print_Area,5,FALSE)))</f>
        <v>الاصول</v>
      </c>
      <c r="O1924" s="84" t="s">
        <v>2160</v>
      </c>
      <c r="P1924" s="84" t="s">
        <v>1489</v>
      </c>
    </row>
    <row r="1925" spans="1:16">
      <c r="A1925" s="151">
        <v>64</v>
      </c>
      <c r="B1925" s="131">
        <v>46141</v>
      </c>
      <c r="C1925" s="150">
        <v>20</v>
      </c>
      <c r="D1925" s="140" t="str">
        <f>IF(ISERROR(VLOOKUP(C1925,'[1]خريطة الحسابات'!_xlnm.Print_Area,3,FALSE))," ",(VLOOKUP(C1925,'[1]خريطة الحسابات'!_xlnm.Print_Area,3,FALSE)))</f>
        <v xml:space="preserve">الخزينة </v>
      </c>
      <c r="E1925" s="142"/>
      <c r="F1925" s="133"/>
      <c r="G1925" s="133">
        <v>1100</v>
      </c>
      <c r="H1925" s="134">
        <f t="shared" si="88"/>
        <v>0</v>
      </c>
      <c r="I1925" s="134">
        <f t="shared" si="88"/>
        <v>1100</v>
      </c>
      <c r="J1925" s="134">
        <f t="shared" si="87"/>
        <v>-1100</v>
      </c>
      <c r="K1925" s="135"/>
      <c r="L1925" s="136" t="str">
        <f t="shared" si="89"/>
        <v>دائن</v>
      </c>
      <c r="M1925" s="137" t="str">
        <f>IF(ISERROR(VLOOKUP(C1925,'[1]خريطة الحسابات'!_xlnm.Print_Area,4,FALSE))," ",(VLOOKUP(C1925,'[1]خريطة الحسابات'!_xlnm.Print_Area,4,FALSE)))</f>
        <v xml:space="preserve">أصول متداوله -النقدية ومافي حكمها </v>
      </c>
      <c r="N1925" s="138" t="str">
        <f>IF(ISERROR(VLOOKUP(C1925,'[1]خريطة الحسابات'!_xlnm.Print_Area,5,FALSE))," ",(VLOOKUP(C1925,'[1]خريطة الحسابات'!_xlnm.Print_Area,5,FALSE)))</f>
        <v>الاصول</v>
      </c>
      <c r="O1925" s="84" t="s">
        <v>1953</v>
      </c>
      <c r="P1925" s="84" t="s">
        <v>1489</v>
      </c>
    </row>
    <row r="1926" spans="1:16">
      <c r="A1926" s="151">
        <v>64</v>
      </c>
      <c r="B1926" s="131">
        <v>46151</v>
      </c>
      <c r="C1926" s="150">
        <v>20</v>
      </c>
      <c r="D1926" s="140" t="str">
        <f>IF(ISERROR(VLOOKUP(C1926,'[1]خريطة الحسابات'!_xlnm.Print_Area,3,FALSE))," ",(VLOOKUP(C1926,'[1]خريطة الحسابات'!_xlnm.Print_Area,3,FALSE)))</f>
        <v xml:space="preserve">الخزينة </v>
      </c>
      <c r="E1926" s="142"/>
      <c r="F1926" s="133"/>
      <c r="G1926" s="133">
        <v>4600</v>
      </c>
      <c r="H1926" s="134">
        <f t="shared" si="88"/>
        <v>0</v>
      </c>
      <c r="I1926" s="134">
        <f t="shared" si="88"/>
        <v>4600</v>
      </c>
      <c r="J1926" s="134">
        <f t="shared" si="87"/>
        <v>-4600</v>
      </c>
      <c r="K1926" s="135"/>
      <c r="L1926" s="136" t="str">
        <f t="shared" si="89"/>
        <v>دائن</v>
      </c>
      <c r="M1926" s="137" t="str">
        <f>IF(ISERROR(VLOOKUP(C1926,'[1]خريطة الحسابات'!_xlnm.Print_Area,4,FALSE))," ",(VLOOKUP(C1926,'[1]خريطة الحسابات'!_xlnm.Print_Area,4,FALSE)))</f>
        <v xml:space="preserve">أصول متداوله -النقدية ومافي حكمها </v>
      </c>
      <c r="N1926" s="138" t="str">
        <f>IF(ISERROR(VLOOKUP(C1926,'[1]خريطة الحسابات'!_xlnm.Print_Area,5,FALSE))," ",(VLOOKUP(C1926,'[1]خريطة الحسابات'!_xlnm.Print_Area,5,FALSE)))</f>
        <v>الاصول</v>
      </c>
      <c r="O1926" s="84" t="s">
        <v>2161</v>
      </c>
      <c r="P1926" s="84" t="s">
        <v>1489</v>
      </c>
    </row>
    <row r="1927" spans="1:16">
      <c r="A1927" s="151">
        <v>64</v>
      </c>
      <c r="B1927" s="131">
        <v>46151</v>
      </c>
      <c r="C1927" s="150">
        <v>20</v>
      </c>
      <c r="D1927" s="140" t="str">
        <f>IF(ISERROR(VLOOKUP(C1927,'[1]خريطة الحسابات'!_xlnm.Print_Area,3,FALSE))," ",(VLOOKUP(C1927,'[1]خريطة الحسابات'!_xlnm.Print_Area,3,FALSE)))</f>
        <v xml:space="preserve">الخزينة </v>
      </c>
      <c r="E1927" s="142"/>
      <c r="F1927" s="133"/>
      <c r="G1927" s="133">
        <v>4004</v>
      </c>
      <c r="H1927" s="134">
        <f t="shared" si="88"/>
        <v>0</v>
      </c>
      <c r="I1927" s="134">
        <f t="shared" si="88"/>
        <v>4004</v>
      </c>
      <c r="J1927" s="134">
        <f t="shared" si="87"/>
        <v>-4004</v>
      </c>
      <c r="K1927" s="135"/>
      <c r="L1927" s="136" t="str">
        <f t="shared" si="89"/>
        <v>دائن</v>
      </c>
      <c r="M1927" s="137" t="str">
        <f>IF(ISERROR(VLOOKUP(C1927,'[1]خريطة الحسابات'!_xlnm.Print_Area,4,FALSE))," ",(VLOOKUP(C1927,'[1]خريطة الحسابات'!_xlnm.Print_Area,4,FALSE)))</f>
        <v xml:space="preserve">أصول متداوله -النقدية ومافي حكمها </v>
      </c>
      <c r="N1927" s="138" t="str">
        <f>IF(ISERROR(VLOOKUP(C1927,'[1]خريطة الحسابات'!_xlnm.Print_Area,5,FALSE))," ",(VLOOKUP(C1927,'[1]خريطة الحسابات'!_xlnm.Print_Area,5,FALSE)))</f>
        <v>الاصول</v>
      </c>
      <c r="O1927" s="84" t="s">
        <v>2162</v>
      </c>
      <c r="P1927" s="84" t="s">
        <v>1489</v>
      </c>
    </row>
    <row r="1928" spans="1:16">
      <c r="A1928" s="151">
        <v>64</v>
      </c>
      <c r="B1928" s="131">
        <v>46152</v>
      </c>
      <c r="C1928" s="150">
        <v>20</v>
      </c>
      <c r="D1928" s="140" t="str">
        <f>IF(ISERROR(VLOOKUP(C1928,'[1]خريطة الحسابات'!_xlnm.Print_Area,3,FALSE))," ",(VLOOKUP(C1928,'[1]خريطة الحسابات'!_xlnm.Print_Area,3,FALSE)))</f>
        <v xml:space="preserve">الخزينة </v>
      </c>
      <c r="E1928" s="142"/>
      <c r="F1928" s="133"/>
      <c r="G1928" s="133">
        <v>4404</v>
      </c>
      <c r="H1928" s="134">
        <f t="shared" si="88"/>
        <v>0</v>
      </c>
      <c r="I1928" s="134">
        <f t="shared" si="88"/>
        <v>4404</v>
      </c>
      <c r="J1928" s="134">
        <f t="shared" si="87"/>
        <v>-4404</v>
      </c>
      <c r="K1928" s="135"/>
      <c r="L1928" s="136" t="str">
        <f t="shared" si="89"/>
        <v>دائن</v>
      </c>
      <c r="M1928" s="137" t="str">
        <f>IF(ISERROR(VLOOKUP(C1928,'[1]خريطة الحسابات'!_xlnm.Print_Area,4,FALSE))," ",(VLOOKUP(C1928,'[1]خريطة الحسابات'!_xlnm.Print_Area,4,FALSE)))</f>
        <v xml:space="preserve">أصول متداوله -النقدية ومافي حكمها </v>
      </c>
      <c r="N1928" s="138" t="str">
        <f>IF(ISERROR(VLOOKUP(C1928,'[1]خريطة الحسابات'!_xlnm.Print_Area,5,FALSE))," ",(VLOOKUP(C1928,'[1]خريطة الحسابات'!_xlnm.Print_Area,5,FALSE)))</f>
        <v>الاصول</v>
      </c>
      <c r="O1928" s="84" t="s">
        <v>2163</v>
      </c>
      <c r="P1928" s="84" t="s">
        <v>1489</v>
      </c>
    </row>
    <row r="1929" spans="1:16">
      <c r="A1929" s="151">
        <v>64</v>
      </c>
      <c r="B1929" s="131">
        <v>46152</v>
      </c>
      <c r="C1929" s="150">
        <v>20</v>
      </c>
      <c r="D1929" s="140" t="str">
        <f>IF(ISERROR(VLOOKUP(C1929,'[1]خريطة الحسابات'!_xlnm.Print_Area,3,FALSE))," ",(VLOOKUP(C1929,'[1]خريطة الحسابات'!_xlnm.Print_Area,3,FALSE)))</f>
        <v xml:space="preserve">الخزينة </v>
      </c>
      <c r="E1929" s="142"/>
      <c r="F1929" s="133"/>
      <c r="G1929" s="133">
        <v>4000</v>
      </c>
      <c r="H1929" s="134">
        <f t="shared" si="88"/>
        <v>0</v>
      </c>
      <c r="I1929" s="134">
        <f t="shared" si="88"/>
        <v>4000</v>
      </c>
      <c r="J1929" s="134">
        <f t="shared" si="87"/>
        <v>-4000</v>
      </c>
      <c r="K1929" s="135"/>
      <c r="L1929" s="136" t="str">
        <f t="shared" si="89"/>
        <v>دائن</v>
      </c>
      <c r="M1929" s="137" t="str">
        <f>IF(ISERROR(VLOOKUP(C1929,'[1]خريطة الحسابات'!_xlnm.Print_Area,4,FALSE))," ",(VLOOKUP(C1929,'[1]خريطة الحسابات'!_xlnm.Print_Area,4,FALSE)))</f>
        <v xml:space="preserve">أصول متداوله -النقدية ومافي حكمها </v>
      </c>
      <c r="N1929" s="138" t="str">
        <f>IF(ISERROR(VLOOKUP(C1929,'[1]خريطة الحسابات'!_xlnm.Print_Area,5,FALSE))," ",(VLOOKUP(C1929,'[1]خريطة الحسابات'!_xlnm.Print_Area,5,FALSE)))</f>
        <v>الاصول</v>
      </c>
      <c r="O1929" s="84" t="s">
        <v>2164</v>
      </c>
      <c r="P1929" s="84" t="s">
        <v>1489</v>
      </c>
    </row>
    <row r="1930" spans="1:16">
      <c r="A1930" s="151">
        <v>64</v>
      </c>
      <c r="B1930" s="131">
        <v>46153</v>
      </c>
      <c r="C1930" s="150">
        <v>20</v>
      </c>
      <c r="D1930" s="140" t="str">
        <f>IF(ISERROR(VLOOKUP(C1930,'[1]خريطة الحسابات'!_xlnm.Print_Area,3,FALSE))," ",(VLOOKUP(C1930,'[1]خريطة الحسابات'!_xlnm.Print_Area,3,FALSE)))</f>
        <v xml:space="preserve">الخزينة </v>
      </c>
      <c r="E1930" s="142"/>
      <c r="F1930" s="133"/>
      <c r="G1930" s="133">
        <v>2000</v>
      </c>
      <c r="H1930" s="134">
        <f t="shared" si="88"/>
        <v>0</v>
      </c>
      <c r="I1930" s="134">
        <f t="shared" si="88"/>
        <v>2000</v>
      </c>
      <c r="J1930" s="134">
        <f t="shared" si="87"/>
        <v>-2000</v>
      </c>
      <c r="K1930" s="135"/>
      <c r="L1930" s="136" t="str">
        <f t="shared" si="89"/>
        <v>دائن</v>
      </c>
      <c r="M1930" s="137" t="str">
        <f>IF(ISERROR(VLOOKUP(C1930,'[1]خريطة الحسابات'!_xlnm.Print_Area,4,FALSE))," ",(VLOOKUP(C1930,'[1]خريطة الحسابات'!_xlnm.Print_Area,4,FALSE)))</f>
        <v xml:space="preserve">أصول متداوله -النقدية ومافي حكمها </v>
      </c>
      <c r="N1930" s="138" t="str">
        <f>IF(ISERROR(VLOOKUP(C1930,'[1]خريطة الحسابات'!_xlnm.Print_Area,5,FALSE))," ",(VLOOKUP(C1930,'[1]خريطة الحسابات'!_xlnm.Print_Area,5,FALSE)))</f>
        <v>الاصول</v>
      </c>
      <c r="O1930" s="84" t="s">
        <v>2165</v>
      </c>
      <c r="P1930" s="84" t="s">
        <v>1489</v>
      </c>
    </row>
    <row r="1931" spans="1:16">
      <c r="A1931" s="151">
        <v>64</v>
      </c>
      <c r="B1931" s="131">
        <v>46158</v>
      </c>
      <c r="C1931" s="150">
        <v>20</v>
      </c>
      <c r="D1931" s="140" t="str">
        <f>IF(ISERROR(VLOOKUP(C1931,'[1]خريطة الحسابات'!_xlnm.Print_Area,3,FALSE))," ",(VLOOKUP(C1931,'[1]خريطة الحسابات'!_xlnm.Print_Area,3,FALSE)))</f>
        <v xml:space="preserve">الخزينة </v>
      </c>
      <c r="E1931" s="142"/>
      <c r="F1931" s="133"/>
      <c r="G1931" s="133">
        <v>2202</v>
      </c>
      <c r="H1931" s="134">
        <f t="shared" si="88"/>
        <v>0</v>
      </c>
      <c r="I1931" s="134">
        <f t="shared" si="88"/>
        <v>2202</v>
      </c>
      <c r="J1931" s="134">
        <f t="shared" si="87"/>
        <v>-2202</v>
      </c>
      <c r="K1931" s="135"/>
      <c r="L1931" s="136" t="str">
        <f t="shared" si="89"/>
        <v>دائن</v>
      </c>
      <c r="M1931" s="137" t="str">
        <f>IF(ISERROR(VLOOKUP(C1931,'[1]خريطة الحسابات'!_xlnm.Print_Area,4,FALSE))," ",(VLOOKUP(C1931,'[1]خريطة الحسابات'!_xlnm.Print_Area,4,FALSE)))</f>
        <v xml:space="preserve">أصول متداوله -النقدية ومافي حكمها </v>
      </c>
      <c r="N1931" s="138" t="str">
        <f>IF(ISERROR(VLOOKUP(C1931,'[1]خريطة الحسابات'!_xlnm.Print_Area,5,FALSE))," ",(VLOOKUP(C1931,'[1]خريطة الحسابات'!_xlnm.Print_Area,5,FALSE)))</f>
        <v>الاصول</v>
      </c>
      <c r="O1931" s="84" t="s">
        <v>1993</v>
      </c>
      <c r="P1931" s="84" t="s">
        <v>1489</v>
      </c>
    </row>
    <row r="1932" spans="1:16">
      <c r="A1932" s="151">
        <v>64</v>
      </c>
      <c r="B1932" s="131">
        <v>46155</v>
      </c>
      <c r="C1932" s="150">
        <v>20</v>
      </c>
      <c r="D1932" s="140" t="str">
        <f>IF(ISERROR(VLOOKUP(C1932,'[1]خريطة الحسابات'!_xlnm.Print_Area,3,FALSE))," ",(VLOOKUP(C1932,'[1]خريطة الحسابات'!_xlnm.Print_Area,3,FALSE)))</f>
        <v xml:space="preserve">الخزينة </v>
      </c>
      <c r="E1932" s="142"/>
      <c r="F1932" s="133"/>
      <c r="G1932" s="133">
        <v>2300</v>
      </c>
      <c r="H1932" s="134">
        <f t="shared" si="88"/>
        <v>0</v>
      </c>
      <c r="I1932" s="134">
        <f t="shared" si="88"/>
        <v>2300</v>
      </c>
      <c r="J1932" s="134">
        <f t="shared" si="87"/>
        <v>-2300</v>
      </c>
      <c r="K1932" s="135"/>
      <c r="L1932" s="136" t="str">
        <f t="shared" si="89"/>
        <v>دائن</v>
      </c>
      <c r="M1932" s="137" t="str">
        <f>IF(ISERROR(VLOOKUP(C1932,'[1]خريطة الحسابات'!_xlnm.Print_Area,4,FALSE))," ",(VLOOKUP(C1932,'[1]خريطة الحسابات'!_xlnm.Print_Area,4,FALSE)))</f>
        <v xml:space="preserve">أصول متداوله -النقدية ومافي حكمها </v>
      </c>
      <c r="N1932" s="138" t="str">
        <f>IF(ISERROR(VLOOKUP(C1932,'[1]خريطة الحسابات'!_xlnm.Print_Area,5,FALSE))," ",(VLOOKUP(C1932,'[1]خريطة الحسابات'!_xlnm.Print_Area,5,FALSE)))</f>
        <v>الاصول</v>
      </c>
      <c r="O1932" s="84" t="s">
        <v>1993</v>
      </c>
      <c r="P1932" s="84" t="s">
        <v>1489</v>
      </c>
    </row>
    <row r="1933" spans="1:16">
      <c r="A1933" s="151">
        <v>64</v>
      </c>
      <c r="B1933" s="131">
        <v>46163</v>
      </c>
      <c r="C1933" s="150">
        <v>20</v>
      </c>
      <c r="D1933" s="140" t="str">
        <f>IF(ISERROR(VLOOKUP(C1933,'[1]خريطة الحسابات'!_xlnm.Print_Area,3,FALSE))," ",(VLOOKUP(C1933,'[1]خريطة الحسابات'!_xlnm.Print_Area,3,FALSE)))</f>
        <v xml:space="preserve">الخزينة </v>
      </c>
      <c r="E1933" s="142"/>
      <c r="F1933" s="133"/>
      <c r="G1933" s="133">
        <v>1100</v>
      </c>
      <c r="H1933" s="134">
        <f t="shared" si="88"/>
        <v>0</v>
      </c>
      <c r="I1933" s="134">
        <f t="shared" si="88"/>
        <v>1100</v>
      </c>
      <c r="J1933" s="134">
        <f t="shared" si="87"/>
        <v>-1100</v>
      </c>
      <c r="K1933" s="135"/>
      <c r="L1933" s="136" t="str">
        <f t="shared" si="89"/>
        <v>دائن</v>
      </c>
      <c r="M1933" s="137" t="str">
        <f>IF(ISERROR(VLOOKUP(C1933,'[1]خريطة الحسابات'!_xlnm.Print_Area,4,FALSE))," ",(VLOOKUP(C1933,'[1]خريطة الحسابات'!_xlnm.Print_Area,4,FALSE)))</f>
        <v xml:space="preserve">أصول متداوله -النقدية ومافي حكمها </v>
      </c>
      <c r="N1933" s="138" t="str">
        <f>IF(ISERROR(VLOOKUP(C1933,'[1]خريطة الحسابات'!_xlnm.Print_Area,5,FALSE))," ",(VLOOKUP(C1933,'[1]خريطة الحسابات'!_xlnm.Print_Area,5,FALSE)))</f>
        <v>الاصول</v>
      </c>
      <c r="O1933" s="84" t="s">
        <v>2166</v>
      </c>
      <c r="P1933" s="84" t="s">
        <v>1489</v>
      </c>
    </row>
    <row r="1934" spans="1:16">
      <c r="A1934" s="151">
        <v>64</v>
      </c>
      <c r="B1934" s="131">
        <v>46163</v>
      </c>
      <c r="C1934" s="150">
        <v>20</v>
      </c>
      <c r="D1934" s="140" t="str">
        <f>IF(ISERROR(VLOOKUP(C1934,'[1]خريطة الحسابات'!_xlnm.Print_Area,3,FALSE))," ",(VLOOKUP(C1934,'[1]خريطة الحسابات'!_xlnm.Print_Area,3,FALSE)))</f>
        <v xml:space="preserve">الخزينة </v>
      </c>
      <c r="E1934" s="142"/>
      <c r="F1934" s="133"/>
      <c r="G1934" s="133">
        <v>2002</v>
      </c>
      <c r="H1934" s="134">
        <f t="shared" si="88"/>
        <v>0</v>
      </c>
      <c r="I1934" s="134">
        <f t="shared" si="88"/>
        <v>2002</v>
      </c>
      <c r="J1934" s="134">
        <f t="shared" si="87"/>
        <v>-2002</v>
      </c>
      <c r="K1934" s="135"/>
      <c r="L1934" s="136" t="str">
        <f t="shared" si="89"/>
        <v>دائن</v>
      </c>
      <c r="M1934" s="137" t="str">
        <f>IF(ISERROR(VLOOKUP(C1934,'[1]خريطة الحسابات'!_xlnm.Print_Area,4,FALSE))," ",(VLOOKUP(C1934,'[1]خريطة الحسابات'!_xlnm.Print_Area,4,FALSE)))</f>
        <v xml:space="preserve">أصول متداوله -النقدية ومافي حكمها </v>
      </c>
      <c r="N1934" s="138" t="str">
        <f>IF(ISERROR(VLOOKUP(C1934,'[1]خريطة الحسابات'!_xlnm.Print_Area,5,FALSE))," ",(VLOOKUP(C1934,'[1]خريطة الحسابات'!_xlnm.Print_Area,5,FALSE)))</f>
        <v>الاصول</v>
      </c>
      <c r="O1934" s="84" t="s">
        <v>2167</v>
      </c>
      <c r="P1934" s="84" t="s">
        <v>1489</v>
      </c>
    </row>
    <row r="1935" spans="1:16">
      <c r="A1935" s="151">
        <v>64</v>
      </c>
      <c r="B1935" s="131">
        <v>46177</v>
      </c>
      <c r="C1935" s="150">
        <v>20</v>
      </c>
      <c r="D1935" s="140" t="str">
        <f>IF(ISERROR(VLOOKUP(C1935,'[1]خريطة الحسابات'!_xlnm.Print_Area,3,FALSE))," ",(VLOOKUP(C1935,'[1]خريطة الحسابات'!_xlnm.Print_Area,3,FALSE)))</f>
        <v xml:space="preserve">الخزينة </v>
      </c>
      <c r="E1935" s="142"/>
      <c r="F1935" s="133"/>
      <c r="G1935" s="133">
        <v>1502</v>
      </c>
      <c r="H1935" s="134">
        <f t="shared" si="88"/>
        <v>0</v>
      </c>
      <c r="I1935" s="134">
        <f t="shared" si="88"/>
        <v>1502</v>
      </c>
      <c r="J1935" s="134">
        <f t="shared" si="87"/>
        <v>-1502</v>
      </c>
      <c r="K1935" s="135"/>
      <c r="L1935" s="136" t="str">
        <f t="shared" si="89"/>
        <v>دائن</v>
      </c>
      <c r="M1935" s="137" t="str">
        <f>IF(ISERROR(VLOOKUP(C1935,'[1]خريطة الحسابات'!_xlnm.Print_Area,4,FALSE))," ",(VLOOKUP(C1935,'[1]خريطة الحسابات'!_xlnm.Print_Area,4,FALSE)))</f>
        <v xml:space="preserve">أصول متداوله -النقدية ومافي حكمها </v>
      </c>
      <c r="N1935" s="138" t="str">
        <f>IF(ISERROR(VLOOKUP(C1935,'[1]خريطة الحسابات'!_xlnm.Print_Area,5,FALSE))," ",(VLOOKUP(C1935,'[1]خريطة الحسابات'!_xlnm.Print_Area,5,FALSE)))</f>
        <v>الاصول</v>
      </c>
      <c r="O1935" s="84" t="s">
        <v>2168</v>
      </c>
      <c r="P1935" s="84" t="s">
        <v>1489</v>
      </c>
    </row>
    <row r="1936" spans="1:16">
      <c r="A1936" s="151">
        <v>64</v>
      </c>
      <c r="B1936" s="131">
        <v>46036</v>
      </c>
      <c r="C1936" s="150">
        <v>20</v>
      </c>
      <c r="D1936" s="140" t="str">
        <f>IF(ISERROR(VLOOKUP(C1936,'[1]خريطة الحسابات'!_xlnm.Print_Area,3,FALSE))," ",(VLOOKUP(C1936,'[1]خريطة الحسابات'!_xlnm.Print_Area,3,FALSE)))</f>
        <v xml:space="preserve">الخزينة </v>
      </c>
      <c r="E1936" s="142"/>
      <c r="F1936" s="133"/>
      <c r="G1936" s="133">
        <v>900</v>
      </c>
      <c r="H1936" s="134">
        <f t="shared" si="88"/>
        <v>0</v>
      </c>
      <c r="I1936" s="134">
        <f t="shared" si="88"/>
        <v>900</v>
      </c>
      <c r="J1936" s="134">
        <f t="shared" si="87"/>
        <v>-900</v>
      </c>
      <c r="K1936" s="135"/>
      <c r="L1936" s="136" t="str">
        <f t="shared" si="89"/>
        <v>دائن</v>
      </c>
      <c r="M1936" s="137" t="str">
        <f>IF(ISERROR(VLOOKUP(C1936,'[1]خريطة الحسابات'!_xlnm.Print_Area,4,FALSE))," ",(VLOOKUP(C1936,'[1]خريطة الحسابات'!_xlnm.Print_Area,4,FALSE)))</f>
        <v xml:space="preserve">أصول متداوله -النقدية ومافي حكمها </v>
      </c>
      <c r="N1936" s="138" t="str">
        <f>IF(ISERROR(VLOOKUP(C1936,'[1]خريطة الحسابات'!_xlnm.Print_Area,5,FALSE))," ",(VLOOKUP(C1936,'[1]خريطة الحسابات'!_xlnm.Print_Area,5,FALSE)))</f>
        <v>الاصول</v>
      </c>
      <c r="O1936" s="84" t="s">
        <v>2169</v>
      </c>
      <c r="P1936" s="84" t="s">
        <v>1405</v>
      </c>
    </row>
    <row r="1937" spans="1:16">
      <c r="A1937" s="151">
        <v>64</v>
      </c>
      <c r="B1937" s="131">
        <v>46084</v>
      </c>
      <c r="C1937" s="150">
        <v>20</v>
      </c>
      <c r="D1937" s="140" t="str">
        <f>IF(ISERROR(VLOOKUP(C1937,'[1]خريطة الحسابات'!_xlnm.Print_Area,3,FALSE))," ",(VLOOKUP(C1937,'[1]خريطة الحسابات'!_xlnm.Print_Area,3,FALSE)))</f>
        <v xml:space="preserve">الخزينة </v>
      </c>
      <c r="E1937" s="142"/>
      <c r="F1937" s="133"/>
      <c r="G1937" s="133">
        <v>9000</v>
      </c>
      <c r="H1937" s="134">
        <f t="shared" si="88"/>
        <v>0</v>
      </c>
      <c r="I1937" s="134">
        <f t="shared" si="88"/>
        <v>9000</v>
      </c>
      <c r="J1937" s="134">
        <f t="shared" si="87"/>
        <v>-9000</v>
      </c>
      <c r="K1937" s="135"/>
      <c r="L1937" s="136" t="str">
        <f t="shared" si="89"/>
        <v>دائن</v>
      </c>
      <c r="M1937" s="137" t="str">
        <f>IF(ISERROR(VLOOKUP(C1937,'[1]خريطة الحسابات'!_xlnm.Print_Area,4,FALSE))," ",(VLOOKUP(C1937,'[1]خريطة الحسابات'!_xlnm.Print_Area,4,FALSE)))</f>
        <v xml:space="preserve">أصول متداوله -النقدية ومافي حكمها </v>
      </c>
      <c r="N1937" s="138" t="str">
        <f>IF(ISERROR(VLOOKUP(C1937,'[1]خريطة الحسابات'!_xlnm.Print_Area,5,FALSE))," ",(VLOOKUP(C1937,'[1]خريطة الحسابات'!_xlnm.Print_Area,5,FALSE)))</f>
        <v>الاصول</v>
      </c>
      <c r="O1937" s="84" t="s">
        <v>2170</v>
      </c>
      <c r="P1937" s="84" t="s">
        <v>1325</v>
      </c>
    </row>
    <row r="1938" spans="1:16">
      <c r="A1938" s="151">
        <v>64</v>
      </c>
      <c r="B1938" s="131">
        <v>46142</v>
      </c>
      <c r="C1938" s="150">
        <v>20</v>
      </c>
      <c r="D1938" s="140" t="str">
        <f>IF(ISERROR(VLOOKUP(C1938,'[1]خريطة الحسابات'!_xlnm.Print_Area,3,FALSE))," ",(VLOOKUP(C1938,'[1]خريطة الحسابات'!_xlnm.Print_Area,3,FALSE)))</f>
        <v xml:space="preserve">الخزينة </v>
      </c>
      <c r="E1938" s="142"/>
      <c r="F1938" s="133"/>
      <c r="G1938" s="133">
        <v>1000</v>
      </c>
      <c r="H1938" s="134">
        <f t="shared" si="88"/>
        <v>0</v>
      </c>
      <c r="I1938" s="134">
        <f t="shared" si="88"/>
        <v>1000</v>
      </c>
      <c r="J1938" s="134">
        <f t="shared" si="87"/>
        <v>-1000</v>
      </c>
      <c r="K1938" s="135"/>
      <c r="L1938" s="136" t="str">
        <f t="shared" si="89"/>
        <v>دائن</v>
      </c>
      <c r="M1938" s="137" t="str">
        <f>IF(ISERROR(VLOOKUP(C1938,'[1]خريطة الحسابات'!_xlnm.Print_Area,4,FALSE))," ",(VLOOKUP(C1938,'[1]خريطة الحسابات'!_xlnm.Print_Area,4,FALSE)))</f>
        <v xml:space="preserve">أصول متداوله -النقدية ومافي حكمها </v>
      </c>
      <c r="N1938" s="138" t="str">
        <f>IF(ISERROR(VLOOKUP(C1938,'[1]خريطة الحسابات'!_xlnm.Print_Area,5,FALSE))," ",(VLOOKUP(C1938,'[1]خريطة الحسابات'!_xlnm.Print_Area,5,FALSE)))</f>
        <v>الاصول</v>
      </c>
      <c r="O1938" s="84" t="s">
        <v>2171</v>
      </c>
      <c r="P1938" s="84" t="s">
        <v>1383</v>
      </c>
    </row>
    <row r="1939" spans="1:16">
      <c r="A1939" s="151">
        <v>64</v>
      </c>
      <c r="B1939" s="131">
        <v>46153</v>
      </c>
      <c r="C1939" s="150">
        <v>20</v>
      </c>
      <c r="D1939" s="140" t="str">
        <f>IF(ISERROR(VLOOKUP(C1939,'[1]خريطة الحسابات'!_xlnm.Print_Area,3,FALSE))," ",(VLOOKUP(C1939,'[1]خريطة الحسابات'!_xlnm.Print_Area,3,FALSE)))</f>
        <v xml:space="preserve">الخزينة </v>
      </c>
      <c r="E1939" s="142"/>
      <c r="F1939" s="133"/>
      <c r="G1939" s="133">
        <v>1600</v>
      </c>
      <c r="H1939" s="134">
        <f t="shared" si="88"/>
        <v>0</v>
      </c>
      <c r="I1939" s="134">
        <f t="shared" si="88"/>
        <v>1600</v>
      </c>
      <c r="J1939" s="134">
        <f t="shared" si="87"/>
        <v>-1600</v>
      </c>
      <c r="K1939" s="135"/>
      <c r="L1939" s="136" t="str">
        <f t="shared" si="89"/>
        <v>دائن</v>
      </c>
      <c r="M1939" s="137" t="str">
        <f>IF(ISERROR(VLOOKUP(C1939,'[1]خريطة الحسابات'!_xlnm.Print_Area,4,FALSE))," ",(VLOOKUP(C1939,'[1]خريطة الحسابات'!_xlnm.Print_Area,4,FALSE)))</f>
        <v xml:space="preserve">أصول متداوله -النقدية ومافي حكمها </v>
      </c>
      <c r="N1939" s="138" t="str">
        <f>IF(ISERROR(VLOOKUP(C1939,'[1]خريطة الحسابات'!_xlnm.Print_Area,5,FALSE))," ",(VLOOKUP(C1939,'[1]خريطة الحسابات'!_xlnm.Print_Area,5,FALSE)))</f>
        <v>الاصول</v>
      </c>
      <c r="O1939" s="84" t="s">
        <v>2172</v>
      </c>
      <c r="P1939" s="84" t="s">
        <v>1383</v>
      </c>
    </row>
    <row r="1940" spans="1:16">
      <c r="A1940" s="151">
        <v>64</v>
      </c>
      <c r="B1940" s="131">
        <v>46132</v>
      </c>
      <c r="C1940" s="150">
        <v>20</v>
      </c>
      <c r="D1940" s="140" t="str">
        <f>IF(ISERROR(VLOOKUP(C1940,'[1]خريطة الحسابات'!_xlnm.Print_Area,3,FALSE))," ",(VLOOKUP(C1940,'[1]خريطة الحسابات'!_xlnm.Print_Area,3,FALSE)))</f>
        <v xml:space="preserve">الخزينة </v>
      </c>
      <c r="E1940" s="142"/>
      <c r="F1940" s="133"/>
      <c r="G1940" s="133">
        <v>210</v>
      </c>
      <c r="H1940" s="134">
        <f t="shared" si="88"/>
        <v>0</v>
      </c>
      <c r="I1940" s="134">
        <f t="shared" si="88"/>
        <v>210</v>
      </c>
      <c r="J1940" s="134">
        <f t="shared" si="87"/>
        <v>-210</v>
      </c>
      <c r="K1940" s="135"/>
      <c r="L1940" s="136" t="str">
        <f t="shared" si="89"/>
        <v>دائن</v>
      </c>
      <c r="M1940" s="137" t="str">
        <f>IF(ISERROR(VLOOKUP(C1940,'[1]خريطة الحسابات'!_xlnm.Print_Area,4,FALSE))," ",(VLOOKUP(C1940,'[1]خريطة الحسابات'!_xlnm.Print_Area,4,FALSE)))</f>
        <v xml:space="preserve">أصول متداوله -النقدية ومافي حكمها </v>
      </c>
      <c r="N1940" s="138" t="str">
        <f>IF(ISERROR(VLOOKUP(C1940,'[1]خريطة الحسابات'!_xlnm.Print_Area,5,FALSE))," ",(VLOOKUP(C1940,'[1]خريطة الحسابات'!_xlnm.Print_Area,5,FALSE)))</f>
        <v>الاصول</v>
      </c>
      <c r="O1940" s="84" t="s">
        <v>2173</v>
      </c>
      <c r="P1940" s="84" t="s">
        <v>1415</v>
      </c>
    </row>
    <row r="1941" spans="1:16">
      <c r="A1941" s="151">
        <v>64</v>
      </c>
      <c r="B1941" s="131">
        <v>46153</v>
      </c>
      <c r="C1941" s="150">
        <v>20</v>
      </c>
      <c r="D1941" s="140" t="str">
        <f>IF(ISERROR(VLOOKUP(C1941,'[1]خريطة الحسابات'!_xlnm.Print_Area,3,FALSE))," ",(VLOOKUP(C1941,'[1]خريطة الحسابات'!_xlnm.Print_Area,3,FALSE)))</f>
        <v xml:space="preserve">الخزينة </v>
      </c>
      <c r="E1941" s="142"/>
      <c r="F1941" s="133"/>
      <c r="G1941" s="133">
        <v>1000</v>
      </c>
      <c r="H1941" s="134">
        <f t="shared" si="88"/>
        <v>0</v>
      </c>
      <c r="I1941" s="134">
        <f t="shared" si="88"/>
        <v>1000</v>
      </c>
      <c r="J1941" s="134">
        <f t="shared" si="87"/>
        <v>-1000</v>
      </c>
      <c r="K1941" s="135"/>
      <c r="L1941" s="136" t="str">
        <f t="shared" si="89"/>
        <v>دائن</v>
      </c>
      <c r="M1941" s="137" t="str">
        <f>IF(ISERROR(VLOOKUP(C1941,'[1]خريطة الحسابات'!_xlnm.Print_Area,4,FALSE))," ",(VLOOKUP(C1941,'[1]خريطة الحسابات'!_xlnm.Print_Area,4,FALSE)))</f>
        <v xml:space="preserve">أصول متداوله -النقدية ومافي حكمها </v>
      </c>
      <c r="N1941" s="138" t="str">
        <f>IF(ISERROR(VLOOKUP(C1941,'[1]خريطة الحسابات'!_xlnm.Print_Area,5,FALSE))," ",(VLOOKUP(C1941,'[1]خريطة الحسابات'!_xlnm.Print_Area,5,FALSE)))</f>
        <v>الاصول</v>
      </c>
      <c r="O1941" s="84" t="s">
        <v>2174</v>
      </c>
      <c r="P1941" s="84" t="s">
        <v>1415</v>
      </c>
    </row>
    <row r="1942" spans="1:16">
      <c r="A1942" s="151">
        <v>64</v>
      </c>
      <c r="B1942" s="131">
        <v>46156</v>
      </c>
      <c r="C1942" s="150">
        <v>20</v>
      </c>
      <c r="D1942" s="140" t="str">
        <f>IF(ISERROR(VLOOKUP(C1942,'[1]خريطة الحسابات'!_xlnm.Print_Area,3,FALSE))," ",(VLOOKUP(C1942,'[1]خريطة الحسابات'!_xlnm.Print_Area,3,FALSE)))</f>
        <v xml:space="preserve">الخزينة </v>
      </c>
      <c r="E1942" s="142"/>
      <c r="F1942" s="133"/>
      <c r="G1942" s="133">
        <v>10010</v>
      </c>
      <c r="H1942" s="134">
        <f t="shared" si="88"/>
        <v>0</v>
      </c>
      <c r="I1942" s="134">
        <f t="shared" si="88"/>
        <v>10010</v>
      </c>
      <c r="J1942" s="134">
        <f t="shared" si="87"/>
        <v>-10010</v>
      </c>
      <c r="K1942" s="135"/>
      <c r="L1942" s="136" t="str">
        <f t="shared" si="89"/>
        <v>دائن</v>
      </c>
      <c r="M1942" s="137" t="str">
        <f>IF(ISERROR(VLOOKUP(C1942,'[1]خريطة الحسابات'!_xlnm.Print_Area,4,FALSE))," ",(VLOOKUP(C1942,'[1]خريطة الحسابات'!_xlnm.Print_Area,4,FALSE)))</f>
        <v xml:space="preserve">أصول متداوله -النقدية ومافي حكمها </v>
      </c>
      <c r="N1942" s="138" t="str">
        <f>IF(ISERROR(VLOOKUP(C1942,'[1]خريطة الحسابات'!_xlnm.Print_Area,5,FALSE))," ",(VLOOKUP(C1942,'[1]خريطة الحسابات'!_xlnm.Print_Area,5,FALSE)))</f>
        <v>الاصول</v>
      </c>
      <c r="O1942" s="84" t="s">
        <v>2175</v>
      </c>
      <c r="P1942" s="84" t="s">
        <v>1317</v>
      </c>
    </row>
    <row r="1943" spans="1:16">
      <c r="A1943" s="151">
        <v>64</v>
      </c>
      <c r="B1943" s="131">
        <v>46156</v>
      </c>
      <c r="C1943" s="150">
        <v>20</v>
      </c>
      <c r="D1943" s="140" t="str">
        <f>IF(ISERROR(VLOOKUP(C1943,'[1]خريطة الحسابات'!_xlnm.Print_Area,3,FALSE))," ",(VLOOKUP(C1943,'[1]خريطة الحسابات'!_xlnm.Print_Area,3,FALSE)))</f>
        <v xml:space="preserve">الخزينة </v>
      </c>
      <c r="E1943" s="142"/>
      <c r="F1943" s="133"/>
      <c r="G1943" s="133">
        <v>1665</v>
      </c>
      <c r="H1943" s="134">
        <f t="shared" si="88"/>
        <v>0</v>
      </c>
      <c r="I1943" s="134">
        <f t="shared" si="88"/>
        <v>1665</v>
      </c>
      <c r="J1943" s="134">
        <f t="shared" si="87"/>
        <v>-1665</v>
      </c>
      <c r="K1943" s="135"/>
      <c r="L1943" s="136" t="str">
        <f t="shared" si="89"/>
        <v>دائن</v>
      </c>
      <c r="M1943" s="137" t="str">
        <f>IF(ISERROR(VLOOKUP(C1943,'[1]خريطة الحسابات'!_xlnm.Print_Area,4,FALSE))," ",(VLOOKUP(C1943,'[1]خريطة الحسابات'!_xlnm.Print_Area,4,FALSE)))</f>
        <v xml:space="preserve">أصول متداوله -النقدية ومافي حكمها </v>
      </c>
      <c r="N1943" s="138" t="str">
        <f>IF(ISERROR(VLOOKUP(C1943,'[1]خريطة الحسابات'!_xlnm.Print_Area,5,FALSE))," ",(VLOOKUP(C1943,'[1]خريطة الحسابات'!_xlnm.Print_Area,5,FALSE)))</f>
        <v>الاصول</v>
      </c>
      <c r="O1943" s="84" t="s">
        <v>2176</v>
      </c>
      <c r="P1943" s="84" t="s">
        <v>1317</v>
      </c>
    </row>
    <row r="1944" spans="1:16">
      <c r="A1944" s="151">
        <v>64</v>
      </c>
      <c r="B1944" s="131">
        <v>46163</v>
      </c>
      <c r="C1944" s="150">
        <v>20</v>
      </c>
      <c r="D1944" s="140" t="str">
        <f>IF(ISERROR(VLOOKUP(C1944,'[1]خريطة الحسابات'!_xlnm.Print_Area,3,FALSE))," ",(VLOOKUP(C1944,'[1]خريطة الحسابات'!_xlnm.Print_Area,3,FALSE)))</f>
        <v xml:space="preserve">الخزينة </v>
      </c>
      <c r="E1944" s="142"/>
      <c r="F1944" s="133"/>
      <c r="G1944" s="133">
        <v>4510</v>
      </c>
      <c r="H1944" s="134">
        <f t="shared" si="88"/>
        <v>0</v>
      </c>
      <c r="I1944" s="134">
        <f t="shared" si="88"/>
        <v>4510</v>
      </c>
      <c r="J1944" s="134">
        <f t="shared" ref="J1944:J2007" si="90">H1944-I1944</f>
        <v>-4510</v>
      </c>
      <c r="K1944" s="135"/>
      <c r="L1944" s="136" t="str">
        <f t="shared" si="89"/>
        <v>دائن</v>
      </c>
      <c r="M1944" s="137" t="str">
        <f>IF(ISERROR(VLOOKUP(C1944,'[1]خريطة الحسابات'!_xlnm.Print_Area,4,FALSE))," ",(VLOOKUP(C1944,'[1]خريطة الحسابات'!_xlnm.Print_Area,4,FALSE)))</f>
        <v xml:space="preserve">أصول متداوله -النقدية ومافي حكمها </v>
      </c>
      <c r="N1944" s="138" t="str">
        <f>IF(ISERROR(VLOOKUP(C1944,'[1]خريطة الحسابات'!_xlnm.Print_Area,5,FALSE))," ",(VLOOKUP(C1944,'[1]خريطة الحسابات'!_xlnm.Print_Area,5,FALSE)))</f>
        <v>الاصول</v>
      </c>
      <c r="O1944" s="84" t="s">
        <v>2177</v>
      </c>
      <c r="P1944" s="84" t="s">
        <v>1317</v>
      </c>
    </row>
    <row r="1945" spans="1:16">
      <c r="A1945" s="151">
        <v>64</v>
      </c>
      <c r="B1945" s="131">
        <v>46152</v>
      </c>
      <c r="C1945" s="150">
        <v>20</v>
      </c>
      <c r="D1945" s="140" t="str">
        <f>IF(ISERROR(VLOOKUP(C1945,'[1]خريطة الحسابات'!_xlnm.Print_Area,3,FALSE))," ",(VLOOKUP(C1945,'[1]خريطة الحسابات'!_xlnm.Print_Area,3,FALSE)))</f>
        <v xml:space="preserve">الخزينة </v>
      </c>
      <c r="E1945" s="142"/>
      <c r="F1945" s="133"/>
      <c r="G1945" s="133">
        <v>690</v>
      </c>
      <c r="H1945" s="134">
        <f t="shared" ref="H1945:I2008" si="91">IF($E1945=2,F1945*3.465,F1945)</f>
        <v>0</v>
      </c>
      <c r="I1945" s="134">
        <f t="shared" si="91"/>
        <v>690</v>
      </c>
      <c r="J1945" s="134">
        <f t="shared" si="90"/>
        <v>-690</v>
      </c>
      <c r="K1945" s="135"/>
      <c r="L1945" s="136" t="str">
        <f t="shared" si="89"/>
        <v>دائن</v>
      </c>
      <c r="M1945" s="137" t="str">
        <f>IF(ISERROR(VLOOKUP(C1945,'[1]خريطة الحسابات'!_xlnm.Print_Area,4,FALSE))," ",(VLOOKUP(C1945,'[1]خريطة الحسابات'!_xlnm.Print_Area,4,FALSE)))</f>
        <v xml:space="preserve">أصول متداوله -النقدية ومافي حكمها </v>
      </c>
      <c r="N1945" s="138" t="str">
        <f>IF(ISERROR(VLOOKUP(C1945,'[1]خريطة الحسابات'!_xlnm.Print_Area,5,FALSE))," ",(VLOOKUP(C1945,'[1]خريطة الحسابات'!_xlnm.Print_Area,5,FALSE)))</f>
        <v>الاصول</v>
      </c>
      <c r="O1945" s="84" t="s">
        <v>2178</v>
      </c>
      <c r="P1945" s="84" t="s">
        <v>1395</v>
      </c>
    </row>
    <row r="1946" spans="1:16">
      <c r="A1946" s="151">
        <v>64</v>
      </c>
      <c r="B1946" s="131">
        <v>46166</v>
      </c>
      <c r="C1946" s="150">
        <v>20</v>
      </c>
      <c r="D1946" s="140" t="str">
        <f>IF(ISERROR(VLOOKUP(C1946,'[1]خريطة الحسابات'!_xlnm.Print_Area,3,FALSE))," ",(VLOOKUP(C1946,'[1]خريطة الحسابات'!_xlnm.Print_Area,3,FALSE)))</f>
        <v xml:space="preserve">الخزينة </v>
      </c>
      <c r="E1946" s="142"/>
      <c r="F1946" s="133"/>
      <c r="G1946" s="133">
        <v>1000</v>
      </c>
      <c r="H1946" s="134">
        <f t="shared" si="91"/>
        <v>0</v>
      </c>
      <c r="I1946" s="134">
        <f t="shared" si="91"/>
        <v>1000</v>
      </c>
      <c r="J1946" s="134">
        <f t="shared" si="90"/>
        <v>-1000</v>
      </c>
      <c r="K1946" s="135"/>
      <c r="L1946" s="136" t="str">
        <f t="shared" si="89"/>
        <v>دائن</v>
      </c>
      <c r="M1946" s="137" t="str">
        <f>IF(ISERROR(VLOOKUP(C1946,'[1]خريطة الحسابات'!_xlnm.Print_Area,4,FALSE))," ",(VLOOKUP(C1946,'[1]خريطة الحسابات'!_xlnm.Print_Area,4,FALSE)))</f>
        <v xml:space="preserve">أصول متداوله -النقدية ومافي حكمها </v>
      </c>
      <c r="N1946" s="138" t="str">
        <f>IF(ISERROR(VLOOKUP(C1946,'[1]خريطة الحسابات'!_xlnm.Print_Area,5,FALSE))," ",(VLOOKUP(C1946,'[1]خريطة الحسابات'!_xlnm.Print_Area,5,FALSE)))</f>
        <v>الاصول</v>
      </c>
      <c r="O1946" s="84" t="s">
        <v>2179</v>
      </c>
      <c r="P1946" s="84" t="s">
        <v>1395</v>
      </c>
    </row>
    <row r="1947" spans="1:16">
      <c r="A1947" s="151">
        <v>64</v>
      </c>
      <c r="B1947" s="131">
        <v>46184</v>
      </c>
      <c r="C1947" s="150">
        <v>20</v>
      </c>
      <c r="D1947" s="140" t="str">
        <f>IF(ISERROR(VLOOKUP(C1947,'[1]خريطة الحسابات'!_xlnm.Print_Area,3,FALSE))," ",(VLOOKUP(C1947,'[1]خريطة الحسابات'!_xlnm.Print_Area,3,FALSE)))</f>
        <v xml:space="preserve">الخزينة </v>
      </c>
      <c r="E1947" s="142"/>
      <c r="F1947" s="133"/>
      <c r="G1947" s="133">
        <v>1000</v>
      </c>
      <c r="H1947" s="134">
        <f t="shared" si="91"/>
        <v>0</v>
      </c>
      <c r="I1947" s="134">
        <f t="shared" si="91"/>
        <v>1000</v>
      </c>
      <c r="J1947" s="134">
        <f t="shared" si="90"/>
        <v>-1000</v>
      </c>
      <c r="K1947" s="135"/>
      <c r="L1947" s="136" t="str">
        <f t="shared" ref="L1947:L2010" si="92">IF(J1947&lt;0,"دائن",IF(J1947&gt;0,"مدين",""))</f>
        <v>دائن</v>
      </c>
      <c r="M1947" s="137" t="str">
        <f>IF(ISERROR(VLOOKUP(C1947,'[1]خريطة الحسابات'!_xlnm.Print_Area,4,FALSE))," ",(VLOOKUP(C1947,'[1]خريطة الحسابات'!_xlnm.Print_Area,4,FALSE)))</f>
        <v xml:space="preserve">أصول متداوله -النقدية ومافي حكمها </v>
      </c>
      <c r="N1947" s="138" t="str">
        <f>IF(ISERROR(VLOOKUP(C1947,'[1]خريطة الحسابات'!_xlnm.Print_Area,5,FALSE))," ",(VLOOKUP(C1947,'[1]خريطة الحسابات'!_xlnm.Print_Area,5,FALSE)))</f>
        <v>الاصول</v>
      </c>
      <c r="O1947" s="84" t="s">
        <v>2180</v>
      </c>
      <c r="P1947" s="84" t="s">
        <v>1395</v>
      </c>
    </row>
    <row r="1948" spans="1:16">
      <c r="A1948" s="151">
        <v>64</v>
      </c>
      <c r="B1948" s="131">
        <v>46152</v>
      </c>
      <c r="C1948" s="150">
        <v>20</v>
      </c>
      <c r="D1948" s="140" t="str">
        <f>IF(ISERROR(VLOOKUP(C1948,'[1]خريطة الحسابات'!_xlnm.Print_Area,3,FALSE))," ",(VLOOKUP(C1948,'[1]خريطة الحسابات'!_xlnm.Print_Area,3,FALSE)))</f>
        <v xml:space="preserve">الخزينة </v>
      </c>
      <c r="E1948" s="142"/>
      <c r="F1948" s="133"/>
      <c r="G1948" s="133">
        <v>690</v>
      </c>
      <c r="H1948" s="134">
        <f t="shared" si="91"/>
        <v>0</v>
      </c>
      <c r="I1948" s="134">
        <f t="shared" si="91"/>
        <v>690</v>
      </c>
      <c r="J1948" s="134">
        <f t="shared" si="90"/>
        <v>-690</v>
      </c>
      <c r="K1948" s="135"/>
      <c r="L1948" s="136" t="str">
        <f t="shared" si="92"/>
        <v>دائن</v>
      </c>
      <c r="M1948" s="137" t="str">
        <f>IF(ISERROR(VLOOKUP(C1948,'[1]خريطة الحسابات'!_xlnm.Print_Area,4,FALSE))," ",(VLOOKUP(C1948,'[1]خريطة الحسابات'!_xlnm.Print_Area,4,FALSE)))</f>
        <v xml:space="preserve">أصول متداوله -النقدية ومافي حكمها </v>
      </c>
      <c r="N1948" s="138" t="str">
        <f>IF(ISERROR(VLOOKUP(C1948,'[1]خريطة الحسابات'!_xlnm.Print_Area,5,FALSE))," ",(VLOOKUP(C1948,'[1]خريطة الحسابات'!_xlnm.Print_Area,5,FALSE)))</f>
        <v>الاصول</v>
      </c>
      <c r="O1948" s="84" t="s">
        <v>2178</v>
      </c>
      <c r="P1948" s="84" t="s">
        <v>1393</v>
      </c>
    </row>
    <row r="1949" spans="1:16">
      <c r="A1949" s="151">
        <v>64</v>
      </c>
      <c r="B1949" s="131">
        <v>46156</v>
      </c>
      <c r="C1949" s="150">
        <v>20</v>
      </c>
      <c r="D1949" s="140" t="str">
        <f>IF(ISERROR(VLOOKUP(C1949,'[1]خريطة الحسابات'!_xlnm.Print_Area,3,FALSE))," ",(VLOOKUP(C1949,'[1]خريطة الحسابات'!_xlnm.Print_Area,3,FALSE)))</f>
        <v xml:space="preserve">الخزينة </v>
      </c>
      <c r="E1949" s="142"/>
      <c r="F1949" s="133"/>
      <c r="G1949" s="133">
        <v>500</v>
      </c>
      <c r="H1949" s="134">
        <f t="shared" si="91"/>
        <v>0</v>
      </c>
      <c r="I1949" s="134">
        <f t="shared" si="91"/>
        <v>500</v>
      </c>
      <c r="J1949" s="134">
        <f t="shared" si="90"/>
        <v>-500</v>
      </c>
      <c r="K1949" s="135"/>
      <c r="L1949" s="136" t="str">
        <f t="shared" si="92"/>
        <v>دائن</v>
      </c>
      <c r="M1949" s="137" t="str">
        <f>IF(ISERROR(VLOOKUP(C1949,'[1]خريطة الحسابات'!_xlnm.Print_Area,4,FALSE))," ",(VLOOKUP(C1949,'[1]خريطة الحسابات'!_xlnm.Print_Area,4,FALSE)))</f>
        <v xml:space="preserve">أصول متداوله -النقدية ومافي حكمها </v>
      </c>
      <c r="N1949" s="138" t="str">
        <f>IF(ISERROR(VLOOKUP(C1949,'[1]خريطة الحسابات'!_xlnm.Print_Area,5,FALSE))," ",(VLOOKUP(C1949,'[1]خريطة الحسابات'!_xlnm.Print_Area,5,FALSE)))</f>
        <v>الاصول</v>
      </c>
      <c r="O1949" s="84" t="s">
        <v>2181</v>
      </c>
      <c r="P1949" s="84" t="s">
        <v>1393</v>
      </c>
    </row>
    <row r="1950" spans="1:16">
      <c r="A1950" s="151">
        <v>64</v>
      </c>
      <c r="B1950" s="131">
        <v>46163</v>
      </c>
      <c r="C1950" s="150">
        <v>20</v>
      </c>
      <c r="D1950" s="140" t="str">
        <f>IF(ISERROR(VLOOKUP(C1950,'[1]خريطة الحسابات'!_xlnm.Print_Area,3,FALSE))," ",(VLOOKUP(C1950,'[1]خريطة الحسابات'!_xlnm.Print_Area,3,FALSE)))</f>
        <v xml:space="preserve">الخزينة </v>
      </c>
      <c r="E1950" s="142"/>
      <c r="F1950" s="133"/>
      <c r="G1950" s="133">
        <v>1500</v>
      </c>
      <c r="H1950" s="134">
        <f t="shared" si="91"/>
        <v>0</v>
      </c>
      <c r="I1950" s="134">
        <f t="shared" si="91"/>
        <v>1500</v>
      </c>
      <c r="J1950" s="134">
        <f t="shared" si="90"/>
        <v>-1500</v>
      </c>
      <c r="K1950" s="135"/>
      <c r="L1950" s="136" t="str">
        <f t="shared" si="92"/>
        <v>دائن</v>
      </c>
      <c r="M1950" s="137" t="str">
        <f>IF(ISERROR(VLOOKUP(C1950,'[1]خريطة الحسابات'!_xlnm.Print_Area,4,FALSE))," ",(VLOOKUP(C1950,'[1]خريطة الحسابات'!_xlnm.Print_Area,4,FALSE)))</f>
        <v xml:space="preserve">أصول متداوله -النقدية ومافي حكمها </v>
      </c>
      <c r="N1950" s="138" t="str">
        <f>IF(ISERROR(VLOOKUP(C1950,'[1]خريطة الحسابات'!_xlnm.Print_Area,5,FALSE))," ",(VLOOKUP(C1950,'[1]خريطة الحسابات'!_xlnm.Print_Area,5,FALSE)))</f>
        <v>الاصول</v>
      </c>
      <c r="O1950" s="84" t="s">
        <v>2182</v>
      </c>
      <c r="P1950" s="84" t="s">
        <v>1393</v>
      </c>
    </row>
    <row r="1951" spans="1:16">
      <c r="A1951" s="151">
        <v>65</v>
      </c>
      <c r="B1951" s="131">
        <v>46046</v>
      </c>
      <c r="C1951" s="150" t="s">
        <v>788</v>
      </c>
      <c r="D1951" s="140" t="str">
        <f>IF(ISERROR(VLOOKUP(C1951,'[1]خريطة الحسابات'!_xlnm.Print_Area,3,FALSE))," ",(VLOOKUP(C1951,'[1]خريطة الحسابات'!_xlnm.Print_Area,3,FALSE)))</f>
        <v>خامات ومصنعية أعمال العزل</v>
      </c>
      <c r="E1951" s="142"/>
      <c r="F1951" s="133">
        <v>2950</v>
      </c>
      <c r="G1951" s="133"/>
      <c r="H1951" s="134">
        <f t="shared" si="91"/>
        <v>2950</v>
      </c>
      <c r="I1951" s="134">
        <f t="shared" si="91"/>
        <v>0</v>
      </c>
      <c r="J1951" s="134">
        <f t="shared" si="90"/>
        <v>2950</v>
      </c>
      <c r="K1951" s="135"/>
      <c r="L1951" s="136" t="str">
        <f t="shared" si="92"/>
        <v>مدين</v>
      </c>
      <c r="M1951" s="137" t="str">
        <f>IF(ISERROR(VLOOKUP(C1951,'[1]خريطة الحسابات'!_xlnm.Print_Area,4,FALSE))," ",(VLOOKUP(C1951,'[1]خريطة الحسابات'!_xlnm.Print_Area,4,FALSE)))</f>
        <v>388 تكاليف مشروع الدقي</v>
      </c>
      <c r="N1951" s="138" t="str">
        <f>IF(ISERROR(VLOOKUP(C1951,'[1]خريطة الحسابات'!_xlnm.Print_Area,5,FALSE))," ",(VLOOKUP(C1951,'[1]خريطة الحسابات'!_xlnm.Print_Area,5,FALSE)))</f>
        <v xml:space="preserve">تكاليف العمليات </v>
      </c>
      <c r="O1951" s="84" t="s">
        <v>2183</v>
      </c>
      <c r="P1951" s="84" t="s">
        <v>1315</v>
      </c>
    </row>
    <row r="1952" spans="1:16">
      <c r="A1952" s="151">
        <v>65</v>
      </c>
      <c r="B1952" s="131">
        <v>46154</v>
      </c>
      <c r="C1952" s="150" t="s">
        <v>753</v>
      </c>
      <c r="D1952" s="140" t="str">
        <f>IF(ISERROR(VLOOKUP(C1952,'[1]خريطة الحسابات'!_xlnm.Print_Area,3,FALSE))," ",(VLOOKUP(C1952,'[1]خريطة الحسابات'!_xlnm.Print_Area,3,FALSE)))</f>
        <v>خامات ومصنعية أعمال العزل</v>
      </c>
      <c r="E1952" s="142"/>
      <c r="F1952" s="133">
        <v>21890</v>
      </c>
      <c r="G1952" s="133"/>
      <c r="H1952" s="134">
        <f t="shared" si="91"/>
        <v>21890</v>
      </c>
      <c r="I1952" s="134">
        <f t="shared" si="91"/>
        <v>0</v>
      </c>
      <c r="J1952" s="134">
        <f t="shared" si="90"/>
        <v>21890</v>
      </c>
      <c r="K1952" s="135"/>
      <c r="L1952" s="136" t="str">
        <f t="shared" si="92"/>
        <v>مدين</v>
      </c>
      <c r="M1952" s="137" t="str">
        <f>IF(ISERROR(VLOOKUP(C1952,'[1]خريطة الحسابات'!_xlnm.Print_Area,4,FALSE))," ",(VLOOKUP(C1952,'[1]خريطة الحسابات'!_xlnm.Print_Area,4,FALSE)))</f>
        <v>تكاليف مشروع القصر 380</v>
      </c>
      <c r="N1952" s="138" t="str">
        <f>IF(ISERROR(VLOOKUP(C1952,'[1]خريطة الحسابات'!_xlnm.Print_Area,5,FALSE))," ",(VLOOKUP(C1952,'[1]خريطة الحسابات'!_xlnm.Print_Area,5,FALSE)))</f>
        <v xml:space="preserve">تكاليف العمليات </v>
      </c>
      <c r="O1952" s="84" t="s">
        <v>2184</v>
      </c>
      <c r="P1952" s="84" t="s">
        <v>1480</v>
      </c>
    </row>
    <row r="1953" spans="1:16">
      <c r="A1953" s="151">
        <v>65</v>
      </c>
      <c r="B1953" s="131">
        <v>46156</v>
      </c>
      <c r="C1953" s="150" t="s">
        <v>753</v>
      </c>
      <c r="D1953" s="140" t="str">
        <f>IF(ISERROR(VLOOKUP(C1953,'[1]خريطة الحسابات'!_xlnm.Print_Area,3,FALSE))," ",(VLOOKUP(C1953,'[1]خريطة الحسابات'!_xlnm.Print_Area,3,FALSE)))</f>
        <v>خامات ومصنعية أعمال العزل</v>
      </c>
      <c r="E1953" s="142"/>
      <c r="F1953" s="133">
        <v>400</v>
      </c>
      <c r="G1953" s="133"/>
      <c r="H1953" s="134">
        <f t="shared" si="91"/>
        <v>400</v>
      </c>
      <c r="I1953" s="134">
        <f t="shared" si="91"/>
        <v>0</v>
      </c>
      <c r="J1953" s="134">
        <f t="shared" si="90"/>
        <v>400</v>
      </c>
      <c r="K1953" s="135"/>
      <c r="L1953" s="136" t="str">
        <f t="shared" si="92"/>
        <v>مدين</v>
      </c>
      <c r="M1953" s="137" t="str">
        <f>IF(ISERROR(VLOOKUP(C1953,'[1]خريطة الحسابات'!_xlnm.Print_Area,4,FALSE))," ",(VLOOKUP(C1953,'[1]خريطة الحسابات'!_xlnm.Print_Area,4,FALSE)))</f>
        <v>تكاليف مشروع القصر 380</v>
      </c>
      <c r="N1953" s="138" t="str">
        <f>IF(ISERROR(VLOOKUP(C1953,'[1]خريطة الحسابات'!_xlnm.Print_Area,5,FALSE))," ",(VLOOKUP(C1953,'[1]خريطة الحسابات'!_xlnm.Print_Area,5,FALSE)))</f>
        <v xml:space="preserve">تكاليف العمليات </v>
      </c>
      <c r="O1953" s="84" t="s">
        <v>2185</v>
      </c>
      <c r="P1953" s="84" t="s">
        <v>1480</v>
      </c>
    </row>
    <row r="1954" spans="1:16">
      <c r="A1954" s="151">
        <v>65</v>
      </c>
      <c r="B1954" s="131">
        <v>46161</v>
      </c>
      <c r="C1954" s="150" t="s">
        <v>683</v>
      </c>
      <c r="D1954" s="140" t="str">
        <f>IF(ISERROR(VLOOKUP(C1954,'[1]خريطة الحسابات'!_xlnm.Print_Area,3,FALSE))," ",(VLOOKUP(C1954,'[1]خريطة الحسابات'!_xlnm.Print_Area,3,FALSE)))</f>
        <v>خامات ومصنعية أعمال العزل</v>
      </c>
      <c r="E1954" s="142"/>
      <c r="F1954" s="133">
        <v>2650</v>
      </c>
      <c r="G1954" s="133"/>
      <c r="H1954" s="134">
        <f t="shared" si="91"/>
        <v>2650</v>
      </c>
      <c r="I1954" s="134">
        <f t="shared" si="91"/>
        <v>0</v>
      </c>
      <c r="J1954" s="134">
        <f t="shared" si="90"/>
        <v>2650</v>
      </c>
      <c r="K1954" s="135"/>
      <c r="L1954" s="136" t="str">
        <f t="shared" si="92"/>
        <v>مدين</v>
      </c>
      <c r="M1954" s="137" t="str">
        <f>IF(ISERROR(VLOOKUP(C1954,'[1]خريطة الحسابات'!_xlnm.Print_Area,4,FALSE))," ",(VLOOKUP(C1954,'[1]خريطة الحسابات'!_xlnm.Print_Area,4,FALSE)))</f>
        <v>تكاليف مشروع هاني العبور 365</v>
      </c>
      <c r="N1954" s="138" t="str">
        <f>IF(ISERROR(VLOOKUP(C1954,'[1]خريطة الحسابات'!_xlnm.Print_Area,5,FALSE))," ",(VLOOKUP(C1954,'[1]خريطة الحسابات'!_xlnm.Print_Area,5,FALSE)))</f>
        <v xml:space="preserve">تكاليف العمليات </v>
      </c>
      <c r="O1954" s="84" t="s">
        <v>2186</v>
      </c>
      <c r="P1954" s="84" t="s">
        <v>1317</v>
      </c>
    </row>
    <row r="1955" spans="1:16">
      <c r="A1955" s="151">
        <v>65</v>
      </c>
      <c r="B1955" s="131">
        <v>46176</v>
      </c>
      <c r="C1955" s="150" t="s">
        <v>111</v>
      </c>
      <c r="D1955" s="140" t="str">
        <f>IF(ISERROR(VLOOKUP(C1955,'[1]خريطة الحسابات'!_xlnm.Print_Area,3,FALSE))," ",(VLOOKUP(C1955,'[1]خريطة الحسابات'!_xlnm.Print_Area,3,FALSE)))</f>
        <v>خامات ومصنعية أعمال العزل</v>
      </c>
      <c r="E1955" s="142"/>
      <c r="F1955" s="133">
        <v>4250</v>
      </c>
      <c r="G1955" s="133"/>
      <c r="H1955" s="134">
        <f t="shared" si="91"/>
        <v>4250</v>
      </c>
      <c r="I1955" s="134">
        <f t="shared" si="91"/>
        <v>0</v>
      </c>
      <c r="J1955" s="134">
        <f t="shared" si="90"/>
        <v>4250</v>
      </c>
      <c r="K1955" s="135"/>
      <c r="L1955" s="136" t="str">
        <f t="shared" si="92"/>
        <v>مدين</v>
      </c>
      <c r="M1955" s="137" t="str">
        <f>IF(ISERROR(VLOOKUP(C1955,'[1]خريطة الحسابات'!_xlnm.Print_Area,4,FALSE))," ",(VLOOKUP(C1955,'[1]خريطة الحسابات'!_xlnm.Print_Area,4,FALSE)))</f>
        <v>تكاليف مشروع سوديك  341</v>
      </c>
      <c r="N1955" s="138" t="str">
        <f>IF(ISERROR(VLOOKUP(C1955,'[1]خريطة الحسابات'!_xlnm.Print_Area,5,FALSE))," ",(VLOOKUP(C1955,'[1]خريطة الحسابات'!_xlnm.Print_Area,5,FALSE)))</f>
        <v xml:space="preserve">تكاليف العمليات </v>
      </c>
      <c r="O1955" s="84" t="s">
        <v>2187</v>
      </c>
      <c r="P1955" s="84" t="s">
        <v>1290</v>
      </c>
    </row>
    <row r="1956" spans="1:16">
      <c r="A1956" s="151">
        <v>65</v>
      </c>
      <c r="B1956" s="131">
        <v>46182</v>
      </c>
      <c r="C1956" s="150" t="s">
        <v>508</v>
      </c>
      <c r="D1956" s="140" t="str">
        <f>IF(ISERROR(VLOOKUP(C1956,'[1]خريطة الحسابات'!_xlnm.Print_Area,3,FALSE))," ",(VLOOKUP(C1956,'[1]خريطة الحسابات'!_xlnm.Print_Area,3,FALSE)))</f>
        <v>خامات ومصنعية أعمال العزل</v>
      </c>
      <c r="E1956" s="142"/>
      <c r="F1956" s="133">
        <v>2800</v>
      </c>
      <c r="G1956" s="133"/>
      <c r="H1956" s="134">
        <f t="shared" si="91"/>
        <v>2800</v>
      </c>
      <c r="I1956" s="134">
        <f t="shared" si="91"/>
        <v>0</v>
      </c>
      <c r="J1956" s="134">
        <f t="shared" si="90"/>
        <v>2800</v>
      </c>
      <c r="K1956" s="135"/>
      <c r="L1956" s="136" t="str">
        <f t="shared" si="92"/>
        <v>مدين</v>
      </c>
      <c r="M1956" s="137" t="str">
        <f>IF(ISERROR(VLOOKUP(C1956,'[1]خريطة الحسابات'!_xlnm.Print_Area,4,FALSE))," ",(VLOOKUP(C1956,'[1]خريطة الحسابات'!_xlnm.Print_Area,4,FALSE)))</f>
        <v>تكاليف مشروع ياسر القرنفل 354</v>
      </c>
      <c r="N1956" s="138" t="str">
        <f>IF(ISERROR(VLOOKUP(C1956,'[1]خريطة الحسابات'!_xlnm.Print_Area,5,FALSE))," ",(VLOOKUP(C1956,'[1]خريطة الحسابات'!_xlnm.Print_Area,5,FALSE)))</f>
        <v xml:space="preserve">تكاليف العمليات </v>
      </c>
      <c r="O1956" s="84" t="s">
        <v>2188</v>
      </c>
      <c r="P1956" s="84" t="s">
        <v>1393</v>
      </c>
    </row>
    <row r="1957" spans="1:16">
      <c r="A1957" s="151">
        <v>65</v>
      </c>
      <c r="B1957" s="131">
        <v>46046</v>
      </c>
      <c r="C1957" s="150">
        <v>20</v>
      </c>
      <c r="D1957" s="140" t="str">
        <f>IF(ISERROR(VLOOKUP(C1957,'[1]خريطة الحسابات'!_xlnm.Print_Area,3,FALSE))," ",(VLOOKUP(C1957,'[1]خريطة الحسابات'!_xlnm.Print_Area,3,FALSE)))</f>
        <v xml:space="preserve">الخزينة </v>
      </c>
      <c r="E1957" s="142"/>
      <c r="F1957" s="133"/>
      <c r="G1957" s="133">
        <v>2950</v>
      </c>
      <c r="H1957" s="134">
        <f t="shared" si="91"/>
        <v>0</v>
      </c>
      <c r="I1957" s="134">
        <f t="shared" si="91"/>
        <v>2950</v>
      </c>
      <c r="J1957" s="134">
        <f t="shared" si="90"/>
        <v>-2950</v>
      </c>
      <c r="K1957" s="135"/>
      <c r="L1957" s="136" t="str">
        <f t="shared" si="92"/>
        <v>دائن</v>
      </c>
      <c r="M1957" s="137" t="str">
        <f>IF(ISERROR(VLOOKUP(C1957,'[1]خريطة الحسابات'!_xlnm.Print_Area,4,FALSE))," ",(VLOOKUP(C1957,'[1]خريطة الحسابات'!_xlnm.Print_Area,4,FALSE)))</f>
        <v xml:space="preserve">أصول متداوله -النقدية ومافي حكمها </v>
      </c>
      <c r="N1957" s="138" t="str">
        <f>IF(ISERROR(VLOOKUP(C1957,'[1]خريطة الحسابات'!_xlnm.Print_Area,5,FALSE))," ",(VLOOKUP(C1957,'[1]خريطة الحسابات'!_xlnm.Print_Area,5,FALSE)))</f>
        <v>الاصول</v>
      </c>
      <c r="O1957" s="84" t="s">
        <v>2183</v>
      </c>
      <c r="P1957" s="84" t="s">
        <v>1315</v>
      </c>
    </row>
    <row r="1958" spans="1:16">
      <c r="A1958" s="151">
        <v>65</v>
      </c>
      <c r="B1958" s="131">
        <v>46154</v>
      </c>
      <c r="C1958" s="141">
        <v>20</v>
      </c>
      <c r="D1958" s="140" t="str">
        <f>IF(ISERROR(VLOOKUP(C1958,'[1]خريطة الحسابات'!_xlnm.Print_Area,3,FALSE))," ",(VLOOKUP(C1958,'[1]خريطة الحسابات'!_xlnm.Print_Area,3,FALSE)))</f>
        <v xml:space="preserve">الخزينة </v>
      </c>
      <c r="E1958" s="142"/>
      <c r="F1958" s="133"/>
      <c r="G1958" s="133">
        <v>21890</v>
      </c>
      <c r="H1958" s="134">
        <f t="shared" si="91"/>
        <v>0</v>
      </c>
      <c r="I1958" s="134">
        <f t="shared" si="91"/>
        <v>21890</v>
      </c>
      <c r="J1958" s="134">
        <f t="shared" si="90"/>
        <v>-21890</v>
      </c>
      <c r="K1958" s="135"/>
      <c r="L1958" s="136" t="str">
        <f t="shared" si="92"/>
        <v>دائن</v>
      </c>
      <c r="M1958" s="137" t="str">
        <f>IF(ISERROR(VLOOKUP(C1958,'[1]خريطة الحسابات'!_xlnm.Print_Area,4,FALSE))," ",(VLOOKUP(C1958,'[1]خريطة الحسابات'!_xlnm.Print_Area,4,FALSE)))</f>
        <v xml:space="preserve">أصول متداوله -النقدية ومافي حكمها </v>
      </c>
      <c r="N1958" s="138" t="str">
        <f>IF(ISERROR(VLOOKUP(C1958,'[1]خريطة الحسابات'!_xlnm.Print_Area,5,FALSE))," ",(VLOOKUP(C1958,'[1]خريطة الحسابات'!_xlnm.Print_Area,5,FALSE)))</f>
        <v>الاصول</v>
      </c>
      <c r="O1958" s="84" t="s">
        <v>2184</v>
      </c>
      <c r="P1958" s="84" t="s">
        <v>1480</v>
      </c>
    </row>
    <row r="1959" spans="1:16">
      <c r="A1959" s="151">
        <v>65</v>
      </c>
      <c r="B1959" s="131">
        <v>46156</v>
      </c>
      <c r="C1959" s="141">
        <v>20</v>
      </c>
      <c r="D1959" s="140" t="str">
        <f>IF(ISERROR(VLOOKUP(C1959,'[1]خريطة الحسابات'!_xlnm.Print_Area,3,FALSE))," ",(VLOOKUP(C1959,'[1]خريطة الحسابات'!_xlnm.Print_Area,3,FALSE)))</f>
        <v xml:space="preserve">الخزينة </v>
      </c>
      <c r="E1959" s="142"/>
      <c r="F1959" s="133"/>
      <c r="G1959" s="133">
        <v>400</v>
      </c>
      <c r="H1959" s="134">
        <f t="shared" si="91"/>
        <v>0</v>
      </c>
      <c r="I1959" s="134">
        <f t="shared" si="91"/>
        <v>400</v>
      </c>
      <c r="J1959" s="134">
        <f t="shared" si="90"/>
        <v>-400</v>
      </c>
      <c r="K1959" s="135"/>
      <c r="L1959" s="136" t="str">
        <f t="shared" si="92"/>
        <v>دائن</v>
      </c>
      <c r="M1959" s="137" t="str">
        <f>IF(ISERROR(VLOOKUP(C1959,'[1]خريطة الحسابات'!_xlnm.Print_Area,4,FALSE))," ",(VLOOKUP(C1959,'[1]خريطة الحسابات'!_xlnm.Print_Area,4,FALSE)))</f>
        <v xml:space="preserve">أصول متداوله -النقدية ومافي حكمها </v>
      </c>
      <c r="N1959" s="138" t="str">
        <f>IF(ISERROR(VLOOKUP(C1959,'[1]خريطة الحسابات'!_xlnm.Print_Area,5,FALSE))," ",(VLOOKUP(C1959,'[1]خريطة الحسابات'!_xlnm.Print_Area,5,FALSE)))</f>
        <v>الاصول</v>
      </c>
      <c r="O1959" s="84" t="s">
        <v>2185</v>
      </c>
      <c r="P1959" s="84" t="s">
        <v>1480</v>
      </c>
    </row>
    <row r="1960" spans="1:16">
      <c r="A1960" s="151">
        <v>65</v>
      </c>
      <c r="B1960" s="131">
        <v>46161</v>
      </c>
      <c r="C1960" s="141">
        <v>20</v>
      </c>
      <c r="D1960" s="140" t="str">
        <f>IF(ISERROR(VLOOKUP(C1960,'[1]خريطة الحسابات'!_xlnm.Print_Area,3,FALSE))," ",(VLOOKUP(C1960,'[1]خريطة الحسابات'!_xlnm.Print_Area,3,FALSE)))</f>
        <v xml:space="preserve">الخزينة </v>
      </c>
      <c r="E1960" s="142"/>
      <c r="F1960" s="133"/>
      <c r="G1960" s="133">
        <v>2650</v>
      </c>
      <c r="H1960" s="134">
        <f t="shared" si="91"/>
        <v>0</v>
      </c>
      <c r="I1960" s="134">
        <f t="shared" si="91"/>
        <v>2650</v>
      </c>
      <c r="J1960" s="134">
        <f t="shared" si="90"/>
        <v>-2650</v>
      </c>
      <c r="K1960" s="135"/>
      <c r="L1960" s="136" t="str">
        <f t="shared" si="92"/>
        <v>دائن</v>
      </c>
      <c r="M1960" s="137" t="str">
        <f>IF(ISERROR(VLOOKUP(C1960,'[1]خريطة الحسابات'!_xlnm.Print_Area,4,FALSE))," ",(VLOOKUP(C1960,'[1]خريطة الحسابات'!_xlnm.Print_Area,4,FALSE)))</f>
        <v xml:space="preserve">أصول متداوله -النقدية ومافي حكمها </v>
      </c>
      <c r="N1960" s="138" t="str">
        <f>IF(ISERROR(VLOOKUP(C1960,'[1]خريطة الحسابات'!_xlnm.Print_Area,5,FALSE))," ",(VLOOKUP(C1960,'[1]خريطة الحسابات'!_xlnm.Print_Area,5,FALSE)))</f>
        <v>الاصول</v>
      </c>
      <c r="O1960" s="84" t="s">
        <v>2186</v>
      </c>
      <c r="P1960" s="84" t="s">
        <v>1317</v>
      </c>
    </row>
    <row r="1961" spans="1:16">
      <c r="A1961" s="151">
        <v>65</v>
      </c>
      <c r="B1961" s="131">
        <v>46176</v>
      </c>
      <c r="C1961" s="150">
        <v>20</v>
      </c>
      <c r="D1961" s="140" t="str">
        <f>IF(ISERROR(VLOOKUP(C1961,'[1]خريطة الحسابات'!_xlnm.Print_Area,3,FALSE))," ",(VLOOKUP(C1961,'[1]خريطة الحسابات'!_xlnm.Print_Area,3,FALSE)))</f>
        <v xml:space="preserve">الخزينة </v>
      </c>
      <c r="E1961" s="142"/>
      <c r="F1961" s="133"/>
      <c r="G1961" s="133">
        <v>4250</v>
      </c>
      <c r="H1961" s="134">
        <f t="shared" si="91"/>
        <v>0</v>
      </c>
      <c r="I1961" s="134">
        <f t="shared" si="91"/>
        <v>4250</v>
      </c>
      <c r="J1961" s="134">
        <f t="shared" si="90"/>
        <v>-4250</v>
      </c>
      <c r="K1961" s="135"/>
      <c r="L1961" s="136" t="str">
        <f t="shared" si="92"/>
        <v>دائن</v>
      </c>
      <c r="M1961" s="137" t="str">
        <f>IF(ISERROR(VLOOKUP(C1961,'[1]خريطة الحسابات'!_xlnm.Print_Area,4,FALSE))," ",(VLOOKUP(C1961,'[1]خريطة الحسابات'!_xlnm.Print_Area,4,FALSE)))</f>
        <v xml:space="preserve">أصول متداوله -النقدية ومافي حكمها </v>
      </c>
      <c r="N1961" s="138" t="str">
        <f>IF(ISERROR(VLOOKUP(C1961,'[1]خريطة الحسابات'!_xlnm.Print_Area,5,FALSE))," ",(VLOOKUP(C1961,'[1]خريطة الحسابات'!_xlnm.Print_Area,5,FALSE)))</f>
        <v>الاصول</v>
      </c>
      <c r="O1961" s="84" t="s">
        <v>2187</v>
      </c>
      <c r="P1961" s="84" t="s">
        <v>1290</v>
      </c>
    </row>
    <row r="1962" spans="1:16">
      <c r="A1962" s="151">
        <v>65</v>
      </c>
      <c r="B1962" s="131">
        <v>46182</v>
      </c>
      <c r="C1962" s="150">
        <v>20</v>
      </c>
      <c r="D1962" s="140" t="str">
        <f>IF(ISERROR(VLOOKUP(C1962,'[1]خريطة الحسابات'!_xlnm.Print_Area,3,FALSE))," ",(VLOOKUP(C1962,'[1]خريطة الحسابات'!_xlnm.Print_Area,3,FALSE)))</f>
        <v xml:space="preserve">الخزينة </v>
      </c>
      <c r="E1962" s="142"/>
      <c r="F1962" s="133"/>
      <c r="G1962" s="133">
        <v>2800</v>
      </c>
      <c r="H1962" s="134">
        <f t="shared" si="91"/>
        <v>0</v>
      </c>
      <c r="I1962" s="134">
        <f t="shared" si="91"/>
        <v>2800</v>
      </c>
      <c r="J1962" s="134">
        <f t="shared" si="90"/>
        <v>-2800</v>
      </c>
      <c r="K1962" s="135"/>
      <c r="L1962" s="136" t="str">
        <f t="shared" si="92"/>
        <v>دائن</v>
      </c>
      <c r="M1962" s="137" t="str">
        <f>IF(ISERROR(VLOOKUP(C1962,'[1]خريطة الحسابات'!_xlnm.Print_Area,4,FALSE))," ",(VLOOKUP(C1962,'[1]خريطة الحسابات'!_xlnm.Print_Area,4,FALSE)))</f>
        <v xml:space="preserve">أصول متداوله -النقدية ومافي حكمها </v>
      </c>
      <c r="N1962" s="138" t="str">
        <f>IF(ISERROR(VLOOKUP(C1962,'[1]خريطة الحسابات'!_xlnm.Print_Area,5,FALSE))," ",(VLOOKUP(C1962,'[1]خريطة الحسابات'!_xlnm.Print_Area,5,FALSE)))</f>
        <v>الاصول</v>
      </c>
      <c r="O1962" s="84" t="s">
        <v>2188</v>
      </c>
      <c r="P1962" s="84" t="s">
        <v>1393</v>
      </c>
    </row>
    <row r="1963" spans="1:16">
      <c r="A1963" s="151">
        <v>66</v>
      </c>
      <c r="B1963" s="131">
        <v>46086</v>
      </c>
      <c r="C1963" s="150" t="s">
        <v>701</v>
      </c>
      <c r="D1963" s="140" t="str">
        <f>IF(ISERROR(VLOOKUP(C1963,'[1]خريطة الحسابات'!_xlnm.Print_Area,3,FALSE))," ",(VLOOKUP(C1963,'[1]خريطة الحسابات'!_xlnm.Print_Area,3,FALSE)))</f>
        <v>اعمال التكسير والهدم والنظافة</v>
      </c>
      <c r="E1963" s="142"/>
      <c r="F1963" s="133">
        <v>500</v>
      </c>
      <c r="G1963" s="133"/>
      <c r="H1963" s="134">
        <f t="shared" si="91"/>
        <v>500</v>
      </c>
      <c r="I1963" s="134">
        <f t="shared" si="91"/>
        <v>0</v>
      </c>
      <c r="J1963" s="134">
        <f t="shared" si="90"/>
        <v>500</v>
      </c>
      <c r="K1963" s="135"/>
      <c r="L1963" s="136" t="str">
        <f t="shared" si="92"/>
        <v>مدين</v>
      </c>
      <c r="M1963" s="137" t="str">
        <f>IF(ISERROR(VLOOKUP(C1963,'[1]خريطة الحسابات'!_xlnm.Print_Area,4,FALSE))," ",(VLOOKUP(C1963,'[1]خريطة الحسابات'!_xlnm.Print_Area,4,FALSE)))</f>
        <v>تكاليف مشروع اشرف الشروق 372</v>
      </c>
      <c r="N1963" s="138" t="str">
        <f>IF(ISERROR(VLOOKUP(C1963,'[1]خريطة الحسابات'!_xlnm.Print_Area,5,FALSE))," ",(VLOOKUP(C1963,'[1]خريطة الحسابات'!_xlnm.Print_Area,5,FALSE)))</f>
        <v xml:space="preserve">تكاليف العمليات </v>
      </c>
      <c r="O1963" s="84" t="s">
        <v>2189</v>
      </c>
      <c r="P1963" s="84" t="s">
        <v>1340</v>
      </c>
    </row>
    <row r="1964" spans="1:16">
      <c r="A1964" s="151">
        <v>66</v>
      </c>
      <c r="B1964" s="131">
        <v>46096</v>
      </c>
      <c r="C1964" s="150" t="s">
        <v>701</v>
      </c>
      <c r="D1964" s="140" t="str">
        <f>IF(ISERROR(VLOOKUP(C1964,'[1]خريطة الحسابات'!_xlnm.Print_Area,3,FALSE))," ",(VLOOKUP(C1964,'[1]خريطة الحسابات'!_xlnm.Print_Area,3,FALSE)))</f>
        <v>اعمال التكسير والهدم والنظافة</v>
      </c>
      <c r="E1964" s="142"/>
      <c r="F1964" s="133">
        <v>550</v>
      </c>
      <c r="G1964" s="133"/>
      <c r="H1964" s="134">
        <f t="shared" si="91"/>
        <v>550</v>
      </c>
      <c r="I1964" s="134">
        <f t="shared" si="91"/>
        <v>0</v>
      </c>
      <c r="J1964" s="134">
        <f t="shared" si="90"/>
        <v>550</v>
      </c>
      <c r="K1964" s="135"/>
      <c r="L1964" s="136" t="str">
        <f t="shared" si="92"/>
        <v>مدين</v>
      </c>
      <c r="M1964" s="137" t="str">
        <f>IF(ISERROR(VLOOKUP(C1964,'[1]خريطة الحسابات'!_xlnm.Print_Area,4,FALSE))," ",(VLOOKUP(C1964,'[1]خريطة الحسابات'!_xlnm.Print_Area,4,FALSE)))</f>
        <v>تكاليف مشروع اشرف الشروق 372</v>
      </c>
      <c r="N1964" s="138" t="str">
        <f>IF(ISERROR(VLOOKUP(C1964,'[1]خريطة الحسابات'!_xlnm.Print_Area,5,FALSE))," ",(VLOOKUP(C1964,'[1]خريطة الحسابات'!_xlnm.Print_Area,5,FALSE)))</f>
        <v xml:space="preserve">تكاليف العمليات </v>
      </c>
      <c r="O1964" s="84" t="s">
        <v>2190</v>
      </c>
      <c r="P1964" s="84" t="s">
        <v>1340</v>
      </c>
    </row>
    <row r="1965" spans="1:16">
      <c r="A1965" s="151">
        <v>66</v>
      </c>
      <c r="B1965" s="131">
        <v>46071</v>
      </c>
      <c r="C1965" s="150" t="s">
        <v>246</v>
      </c>
      <c r="D1965" s="140" t="str">
        <f>IF(ISERROR(VLOOKUP(C1965,'[1]خريطة الحسابات'!_xlnm.Print_Area,3,FALSE))," ",(VLOOKUP(C1965,'[1]خريطة الحسابات'!_xlnm.Print_Area,3,FALSE)))</f>
        <v>اعمال التكسير والهدم والنظافة</v>
      </c>
      <c r="E1965" s="142"/>
      <c r="F1965" s="133">
        <v>700</v>
      </c>
      <c r="G1965" s="133"/>
      <c r="H1965" s="134">
        <f t="shared" si="91"/>
        <v>700</v>
      </c>
      <c r="I1965" s="134">
        <f t="shared" si="91"/>
        <v>0</v>
      </c>
      <c r="J1965" s="134">
        <f t="shared" si="90"/>
        <v>700</v>
      </c>
      <c r="K1965" s="135"/>
      <c r="L1965" s="136" t="str">
        <f t="shared" si="92"/>
        <v>مدين</v>
      </c>
      <c r="M1965" s="137" t="str">
        <f>IF(ISERROR(VLOOKUP(C1965,'[1]خريطة الحسابات'!_xlnm.Print_Area,4,FALSE))," ",(VLOOKUP(C1965,'[1]خريطة الحسابات'!_xlnm.Print_Area,4,FALSE)))</f>
        <v>تكاليف مشروع الاندلس 280</v>
      </c>
      <c r="N1965" s="138" t="str">
        <f>IF(ISERROR(VLOOKUP(C1965,'[1]خريطة الحسابات'!_xlnm.Print_Area,5,FALSE))," ",(VLOOKUP(C1965,'[1]خريطة الحسابات'!_xlnm.Print_Area,5,FALSE)))</f>
        <v xml:space="preserve">تكاليف العمليات </v>
      </c>
      <c r="O1965" s="84" t="s">
        <v>2191</v>
      </c>
      <c r="P1965" s="84" t="s">
        <v>1310</v>
      </c>
    </row>
    <row r="1966" spans="1:16">
      <c r="A1966" s="151">
        <v>66</v>
      </c>
      <c r="B1966" s="131">
        <v>46077</v>
      </c>
      <c r="C1966" s="150" t="s">
        <v>246</v>
      </c>
      <c r="D1966" s="140" t="str">
        <f>IF(ISERROR(VLOOKUP(C1966,'[1]خريطة الحسابات'!_xlnm.Print_Area,3,FALSE))," ",(VLOOKUP(C1966,'[1]خريطة الحسابات'!_xlnm.Print_Area,3,FALSE)))</f>
        <v>اعمال التكسير والهدم والنظافة</v>
      </c>
      <c r="E1966" s="142"/>
      <c r="F1966" s="133">
        <v>600</v>
      </c>
      <c r="G1966" s="133"/>
      <c r="H1966" s="134">
        <f t="shared" si="91"/>
        <v>600</v>
      </c>
      <c r="I1966" s="134">
        <f t="shared" si="91"/>
        <v>0</v>
      </c>
      <c r="J1966" s="134">
        <f t="shared" si="90"/>
        <v>600</v>
      </c>
      <c r="K1966" s="135"/>
      <c r="L1966" s="136" t="str">
        <f t="shared" si="92"/>
        <v>مدين</v>
      </c>
      <c r="M1966" s="137" t="str">
        <f>IF(ISERROR(VLOOKUP(C1966,'[1]خريطة الحسابات'!_xlnm.Print_Area,4,FALSE))," ",(VLOOKUP(C1966,'[1]خريطة الحسابات'!_xlnm.Print_Area,4,FALSE)))</f>
        <v>تكاليف مشروع الاندلس 280</v>
      </c>
      <c r="N1966" s="138" t="str">
        <f>IF(ISERROR(VLOOKUP(C1966,'[1]خريطة الحسابات'!_xlnm.Print_Area,5,FALSE))," ",(VLOOKUP(C1966,'[1]خريطة الحسابات'!_xlnm.Print_Area,5,FALSE)))</f>
        <v xml:space="preserve">تكاليف العمليات </v>
      </c>
      <c r="O1966" s="84" t="s">
        <v>2192</v>
      </c>
      <c r="P1966" s="84" t="s">
        <v>1310</v>
      </c>
    </row>
    <row r="1967" spans="1:16">
      <c r="A1967" s="151">
        <v>66</v>
      </c>
      <c r="B1967" s="131">
        <v>46044</v>
      </c>
      <c r="C1967" s="150" t="s">
        <v>631</v>
      </c>
      <c r="D1967" s="140" t="str">
        <f>IF(ISERROR(VLOOKUP(C1967,'[1]خريطة الحسابات'!_xlnm.Print_Area,3,FALSE))," ",(VLOOKUP(C1967,'[1]خريطة الحسابات'!_xlnm.Print_Area,3,FALSE)))</f>
        <v>اعمال التكسير والهدم والنظافة</v>
      </c>
      <c r="E1967" s="142"/>
      <c r="F1967" s="133">
        <v>1150</v>
      </c>
      <c r="G1967" s="133"/>
      <c r="H1967" s="134">
        <f t="shared" si="91"/>
        <v>1150</v>
      </c>
      <c r="I1967" s="134">
        <f t="shared" si="91"/>
        <v>0</v>
      </c>
      <c r="J1967" s="134">
        <f t="shared" si="90"/>
        <v>1150</v>
      </c>
      <c r="K1967" s="135"/>
      <c r="L1967" s="136" t="str">
        <f t="shared" si="92"/>
        <v>مدين</v>
      </c>
      <c r="M1967" s="137" t="str">
        <f>IF(ISERROR(VLOOKUP(C1967,'[1]خريطة الحسابات'!_xlnm.Print_Area,4,FALSE))," ",(VLOOKUP(C1967,'[1]خريطة الحسابات'!_xlnm.Print_Area,4,FALSE)))</f>
        <v>تكاليف مشروع الاندلس 364</v>
      </c>
      <c r="N1967" s="138" t="str">
        <f>IF(ISERROR(VLOOKUP(C1967,'[1]خريطة الحسابات'!_xlnm.Print_Area,5,FALSE))," ",(VLOOKUP(C1967,'[1]خريطة الحسابات'!_xlnm.Print_Area,5,FALSE)))</f>
        <v xml:space="preserve">تكاليف العمليات </v>
      </c>
      <c r="O1967" s="84" t="s">
        <v>2193</v>
      </c>
      <c r="P1967" s="84" t="s">
        <v>1299</v>
      </c>
    </row>
    <row r="1968" spans="1:16">
      <c r="A1968" s="151">
        <v>66</v>
      </c>
      <c r="B1968" s="131">
        <v>46050</v>
      </c>
      <c r="C1968" s="150" t="s">
        <v>631</v>
      </c>
      <c r="D1968" s="140" t="str">
        <f>IF(ISERROR(VLOOKUP(C1968,'[1]خريطة الحسابات'!_xlnm.Print_Area,3,FALSE))," ",(VLOOKUP(C1968,'[1]خريطة الحسابات'!_xlnm.Print_Area,3,FALSE)))</f>
        <v>اعمال التكسير والهدم والنظافة</v>
      </c>
      <c r="E1968" s="142"/>
      <c r="F1968" s="133">
        <v>600</v>
      </c>
      <c r="G1968" s="133"/>
      <c r="H1968" s="134">
        <f t="shared" si="91"/>
        <v>600</v>
      </c>
      <c r="I1968" s="134">
        <f t="shared" si="91"/>
        <v>0</v>
      </c>
      <c r="J1968" s="134">
        <f t="shared" si="90"/>
        <v>600</v>
      </c>
      <c r="K1968" s="135"/>
      <c r="L1968" s="136" t="str">
        <f t="shared" si="92"/>
        <v>مدين</v>
      </c>
      <c r="M1968" s="137" t="str">
        <f>IF(ISERROR(VLOOKUP(C1968,'[1]خريطة الحسابات'!_xlnm.Print_Area,4,FALSE))," ",(VLOOKUP(C1968,'[1]خريطة الحسابات'!_xlnm.Print_Area,4,FALSE)))</f>
        <v>تكاليف مشروع الاندلس 364</v>
      </c>
      <c r="N1968" s="138" t="str">
        <f>IF(ISERROR(VLOOKUP(C1968,'[1]خريطة الحسابات'!_xlnm.Print_Area,5,FALSE))," ",(VLOOKUP(C1968,'[1]خريطة الحسابات'!_xlnm.Print_Area,5,FALSE)))</f>
        <v xml:space="preserve">تكاليف العمليات </v>
      </c>
      <c r="O1968" s="84" t="s">
        <v>2194</v>
      </c>
      <c r="P1968" s="84" t="s">
        <v>1299</v>
      </c>
    </row>
    <row r="1969" spans="1:16">
      <c r="A1969" s="151">
        <v>66</v>
      </c>
      <c r="B1969" s="131">
        <v>46050</v>
      </c>
      <c r="C1969" s="150" t="s">
        <v>631</v>
      </c>
      <c r="D1969" s="140" t="str">
        <f>IF(ISERROR(VLOOKUP(C1969,'[1]خريطة الحسابات'!_xlnm.Print_Area,3,FALSE))," ",(VLOOKUP(C1969,'[1]خريطة الحسابات'!_xlnm.Print_Area,3,FALSE)))</f>
        <v>اعمال التكسير والهدم والنظافة</v>
      </c>
      <c r="E1969" s="142"/>
      <c r="F1969" s="133">
        <v>500</v>
      </c>
      <c r="G1969" s="133"/>
      <c r="H1969" s="134">
        <f t="shared" si="91"/>
        <v>500</v>
      </c>
      <c r="I1969" s="134">
        <f t="shared" si="91"/>
        <v>0</v>
      </c>
      <c r="J1969" s="134">
        <f t="shared" si="90"/>
        <v>500</v>
      </c>
      <c r="K1969" s="135"/>
      <c r="L1969" s="136" t="str">
        <f t="shared" si="92"/>
        <v>مدين</v>
      </c>
      <c r="M1969" s="137" t="str">
        <f>IF(ISERROR(VLOOKUP(C1969,'[1]خريطة الحسابات'!_xlnm.Print_Area,4,FALSE))," ",(VLOOKUP(C1969,'[1]خريطة الحسابات'!_xlnm.Print_Area,4,FALSE)))</f>
        <v>تكاليف مشروع الاندلس 364</v>
      </c>
      <c r="N1969" s="138" t="str">
        <f>IF(ISERROR(VLOOKUP(C1969,'[1]خريطة الحسابات'!_xlnm.Print_Area,5,FALSE))," ",(VLOOKUP(C1969,'[1]خريطة الحسابات'!_xlnm.Print_Area,5,FALSE)))</f>
        <v xml:space="preserve">تكاليف العمليات </v>
      </c>
      <c r="O1969" s="84" t="s">
        <v>2195</v>
      </c>
      <c r="P1969" s="84" t="s">
        <v>1299</v>
      </c>
    </row>
    <row r="1970" spans="1:16">
      <c r="A1970" s="151">
        <v>66</v>
      </c>
      <c r="B1970" s="131">
        <v>46036</v>
      </c>
      <c r="C1970" s="150" t="s">
        <v>176</v>
      </c>
      <c r="D1970" s="140" t="str">
        <f>IF(ISERROR(VLOOKUP(C1970,'[1]خريطة الحسابات'!_xlnm.Print_Area,3,FALSE))," ",(VLOOKUP(C1970,'[1]خريطة الحسابات'!_xlnm.Print_Area,3,FALSE)))</f>
        <v>اعمال التكسير والهدم والنظافة</v>
      </c>
      <c r="E1970" s="142"/>
      <c r="F1970" s="133">
        <v>500</v>
      </c>
      <c r="G1970" s="133"/>
      <c r="H1970" s="134">
        <f t="shared" si="91"/>
        <v>500</v>
      </c>
      <c r="I1970" s="134">
        <f t="shared" si="91"/>
        <v>0</v>
      </c>
      <c r="J1970" s="134">
        <f t="shared" si="90"/>
        <v>500</v>
      </c>
      <c r="K1970" s="135"/>
      <c r="L1970" s="136" t="str">
        <f t="shared" si="92"/>
        <v>مدين</v>
      </c>
      <c r="M1970" s="137" t="str">
        <f>IF(ISERROR(VLOOKUP(C1970,'[1]خريطة الحسابات'!_xlnm.Print_Area,4,FALSE))," ",(VLOOKUP(C1970,'[1]خريطة الحسابات'!_xlnm.Print_Area,4,FALSE)))</f>
        <v>تكاليف مشروع الباتيو 235</v>
      </c>
      <c r="N1970" s="138" t="str">
        <f>IF(ISERROR(VLOOKUP(C1970,'[1]خريطة الحسابات'!_xlnm.Print_Area,5,FALSE))," ",(VLOOKUP(C1970,'[1]خريطة الحسابات'!_xlnm.Print_Area,5,FALSE)))</f>
        <v xml:space="preserve">تكاليف العمليات </v>
      </c>
      <c r="O1970" s="84" t="s">
        <v>2196</v>
      </c>
      <c r="P1970" s="84" t="s">
        <v>1369</v>
      </c>
    </row>
    <row r="1971" spans="1:16">
      <c r="A1971" s="151">
        <v>66</v>
      </c>
      <c r="B1971" s="131">
        <v>46030</v>
      </c>
      <c r="C1971" s="150" t="s">
        <v>176</v>
      </c>
      <c r="D1971" s="140" t="str">
        <f>IF(ISERROR(VLOOKUP(C1971,'[1]خريطة الحسابات'!_xlnm.Print_Area,3,FALSE))," ",(VLOOKUP(C1971,'[1]خريطة الحسابات'!_xlnm.Print_Area,3,FALSE)))</f>
        <v>اعمال التكسير والهدم والنظافة</v>
      </c>
      <c r="E1971" s="142"/>
      <c r="F1971" s="133">
        <v>500</v>
      </c>
      <c r="G1971" s="133"/>
      <c r="H1971" s="134">
        <f t="shared" si="91"/>
        <v>500</v>
      </c>
      <c r="I1971" s="134">
        <f t="shared" si="91"/>
        <v>0</v>
      </c>
      <c r="J1971" s="134">
        <f t="shared" si="90"/>
        <v>500</v>
      </c>
      <c r="K1971" s="135"/>
      <c r="L1971" s="136" t="str">
        <f t="shared" si="92"/>
        <v>مدين</v>
      </c>
      <c r="M1971" s="137" t="str">
        <f>IF(ISERROR(VLOOKUP(C1971,'[1]خريطة الحسابات'!_xlnm.Print_Area,4,FALSE))," ",(VLOOKUP(C1971,'[1]خريطة الحسابات'!_xlnm.Print_Area,4,FALSE)))</f>
        <v>تكاليف مشروع الباتيو 235</v>
      </c>
      <c r="N1971" s="138" t="str">
        <f>IF(ISERROR(VLOOKUP(C1971,'[1]خريطة الحسابات'!_xlnm.Print_Area,5,FALSE))," ",(VLOOKUP(C1971,'[1]خريطة الحسابات'!_xlnm.Print_Area,5,FALSE)))</f>
        <v xml:space="preserve">تكاليف العمليات </v>
      </c>
      <c r="O1971" s="84" t="s">
        <v>2197</v>
      </c>
      <c r="P1971" s="84" t="s">
        <v>1304</v>
      </c>
    </row>
    <row r="1972" spans="1:16">
      <c r="A1972" s="151">
        <v>66</v>
      </c>
      <c r="B1972" s="131">
        <v>46039</v>
      </c>
      <c r="C1972" s="150" t="s">
        <v>176</v>
      </c>
      <c r="D1972" s="140" t="str">
        <f>IF(ISERROR(VLOOKUP(C1972,'[1]خريطة الحسابات'!_xlnm.Print_Area,3,FALSE))," ",(VLOOKUP(C1972,'[1]خريطة الحسابات'!_xlnm.Print_Area,3,FALSE)))</f>
        <v>اعمال التكسير والهدم والنظافة</v>
      </c>
      <c r="E1972" s="142"/>
      <c r="F1972" s="133">
        <v>1050</v>
      </c>
      <c r="G1972" s="133"/>
      <c r="H1972" s="134">
        <f t="shared" si="91"/>
        <v>1050</v>
      </c>
      <c r="I1972" s="134">
        <f t="shared" si="91"/>
        <v>0</v>
      </c>
      <c r="J1972" s="134">
        <f t="shared" si="90"/>
        <v>1050</v>
      </c>
      <c r="K1972" s="135"/>
      <c r="L1972" s="136" t="str">
        <f t="shared" si="92"/>
        <v>مدين</v>
      </c>
      <c r="M1972" s="137" t="str">
        <f>IF(ISERROR(VLOOKUP(C1972,'[1]خريطة الحسابات'!_xlnm.Print_Area,4,FALSE))," ",(VLOOKUP(C1972,'[1]خريطة الحسابات'!_xlnm.Print_Area,4,FALSE)))</f>
        <v>تكاليف مشروع الباتيو 235</v>
      </c>
      <c r="N1972" s="138" t="str">
        <f>IF(ISERROR(VLOOKUP(C1972,'[1]خريطة الحسابات'!_xlnm.Print_Area,5,FALSE))," ",(VLOOKUP(C1972,'[1]خريطة الحسابات'!_xlnm.Print_Area,5,FALSE)))</f>
        <v xml:space="preserve">تكاليف العمليات </v>
      </c>
      <c r="O1972" s="84" t="s">
        <v>2198</v>
      </c>
      <c r="P1972" s="84" t="s">
        <v>1304</v>
      </c>
    </row>
    <row r="1973" spans="1:16">
      <c r="A1973" s="151">
        <v>66</v>
      </c>
      <c r="B1973" s="131">
        <v>46056</v>
      </c>
      <c r="C1973" s="150" t="s">
        <v>176</v>
      </c>
      <c r="D1973" s="140" t="str">
        <f>IF(ISERROR(VLOOKUP(C1973,'[1]خريطة الحسابات'!_xlnm.Print_Area,3,FALSE))," ",(VLOOKUP(C1973,'[1]خريطة الحسابات'!_xlnm.Print_Area,3,FALSE)))</f>
        <v>اعمال التكسير والهدم والنظافة</v>
      </c>
      <c r="E1973" s="142"/>
      <c r="F1973" s="133">
        <v>500</v>
      </c>
      <c r="G1973" s="133"/>
      <c r="H1973" s="134">
        <f t="shared" si="91"/>
        <v>500</v>
      </c>
      <c r="I1973" s="134">
        <f t="shared" si="91"/>
        <v>0</v>
      </c>
      <c r="J1973" s="134">
        <f t="shared" si="90"/>
        <v>500</v>
      </c>
      <c r="K1973" s="135"/>
      <c r="L1973" s="136" t="str">
        <f t="shared" si="92"/>
        <v>مدين</v>
      </c>
      <c r="M1973" s="137" t="str">
        <f>IF(ISERROR(VLOOKUP(C1973,'[1]خريطة الحسابات'!_xlnm.Print_Area,4,FALSE))," ",(VLOOKUP(C1973,'[1]خريطة الحسابات'!_xlnm.Print_Area,4,FALSE)))</f>
        <v>تكاليف مشروع الباتيو 235</v>
      </c>
      <c r="N1973" s="138" t="str">
        <f>IF(ISERROR(VLOOKUP(C1973,'[1]خريطة الحسابات'!_xlnm.Print_Area,5,FALSE))," ",(VLOOKUP(C1973,'[1]خريطة الحسابات'!_xlnm.Print_Area,5,FALSE)))</f>
        <v xml:space="preserve">تكاليف العمليات </v>
      </c>
      <c r="O1973" s="84" t="s">
        <v>2199</v>
      </c>
      <c r="P1973" s="84" t="s">
        <v>1304</v>
      </c>
    </row>
    <row r="1974" spans="1:16">
      <c r="A1974" s="151">
        <v>66</v>
      </c>
      <c r="B1974" s="131">
        <v>46058</v>
      </c>
      <c r="C1974" s="150" t="s">
        <v>176</v>
      </c>
      <c r="D1974" s="140" t="str">
        <f>IF(ISERROR(VLOOKUP(C1974,'[1]خريطة الحسابات'!_xlnm.Print_Area,3,FALSE))," ",(VLOOKUP(C1974,'[1]خريطة الحسابات'!_xlnm.Print_Area,3,FALSE)))</f>
        <v>اعمال التكسير والهدم والنظافة</v>
      </c>
      <c r="E1974" s="142"/>
      <c r="F1974" s="133">
        <v>1050</v>
      </c>
      <c r="G1974" s="133"/>
      <c r="H1974" s="134">
        <f t="shared" si="91"/>
        <v>1050</v>
      </c>
      <c r="I1974" s="134">
        <f t="shared" si="91"/>
        <v>0</v>
      </c>
      <c r="J1974" s="134">
        <f t="shared" si="90"/>
        <v>1050</v>
      </c>
      <c r="K1974" s="135"/>
      <c r="L1974" s="136" t="str">
        <f t="shared" si="92"/>
        <v>مدين</v>
      </c>
      <c r="M1974" s="137" t="str">
        <f>IF(ISERROR(VLOOKUP(C1974,'[1]خريطة الحسابات'!_xlnm.Print_Area,4,FALSE))," ",(VLOOKUP(C1974,'[1]خريطة الحسابات'!_xlnm.Print_Area,4,FALSE)))</f>
        <v>تكاليف مشروع الباتيو 235</v>
      </c>
      <c r="N1974" s="138" t="str">
        <f>IF(ISERROR(VLOOKUP(C1974,'[1]خريطة الحسابات'!_xlnm.Print_Area,5,FALSE))," ",(VLOOKUP(C1974,'[1]خريطة الحسابات'!_xlnm.Print_Area,5,FALSE)))</f>
        <v xml:space="preserve">تكاليف العمليات </v>
      </c>
      <c r="O1974" s="84" t="s">
        <v>2200</v>
      </c>
      <c r="P1974" s="84" t="s">
        <v>1304</v>
      </c>
    </row>
    <row r="1975" spans="1:16">
      <c r="A1975" s="151">
        <v>66</v>
      </c>
      <c r="B1975" s="131">
        <v>46071</v>
      </c>
      <c r="C1975" s="150" t="s">
        <v>176</v>
      </c>
      <c r="D1975" s="140" t="str">
        <f>IF(ISERROR(VLOOKUP(C1975,'[1]خريطة الحسابات'!_xlnm.Print_Area,3,FALSE))," ",(VLOOKUP(C1975,'[1]خريطة الحسابات'!_xlnm.Print_Area,3,FALSE)))</f>
        <v>اعمال التكسير والهدم والنظافة</v>
      </c>
      <c r="E1975" s="142"/>
      <c r="F1975" s="133">
        <v>650</v>
      </c>
      <c r="G1975" s="133"/>
      <c r="H1975" s="134">
        <f t="shared" si="91"/>
        <v>650</v>
      </c>
      <c r="I1975" s="134">
        <f t="shared" si="91"/>
        <v>0</v>
      </c>
      <c r="J1975" s="134">
        <f t="shared" si="90"/>
        <v>650</v>
      </c>
      <c r="K1975" s="135"/>
      <c r="L1975" s="136" t="str">
        <f t="shared" si="92"/>
        <v>مدين</v>
      </c>
      <c r="M1975" s="137" t="str">
        <f>IF(ISERROR(VLOOKUP(C1975,'[1]خريطة الحسابات'!_xlnm.Print_Area,4,FALSE))," ",(VLOOKUP(C1975,'[1]خريطة الحسابات'!_xlnm.Print_Area,4,FALSE)))</f>
        <v>تكاليف مشروع الباتيو 235</v>
      </c>
      <c r="N1975" s="138" t="str">
        <f>IF(ISERROR(VLOOKUP(C1975,'[1]خريطة الحسابات'!_xlnm.Print_Area,5,FALSE))," ",(VLOOKUP(C1975,'[1]خريطة الحسابات'!_xlnm.Print_Area,5,FALSE)))</f>
        <v xml:space="preserve">تكاليف العمليات </v>
      </c>
      <c r="O1975" s="84" t="s">
        <v>2201</v>
      </c>
      <c r="P1975" s="84" t="s">
        <v>1304</v>
      </c>
    </row>
    <row r="1976" spans="1:16">
      <c r="A1976" s="151">
        <v>66</v>
      </c>
      <c r="B1976" s="131">
        <v>46079</v>
      </c>
      <c r="C1976" s="150" t="s">
        <v>596</v>
      </c>
      <c r="D1976" s="140" t="str">
        <f>IF(ISERROR(VLOOKUP(C1976,'[1]خريطة الحسابات'!_xlnm.Print_Area,3,FALSE))," ",(VLOOKUP(C1976,'[1]خريطة الحسابات'!_xlnm.Print_Area,3,FALSE)))</f>
        <v>اعمال التكسير والهدم والنظافة</v>
      </c>
      <c r="E1976" s="142"/>
      <c r="F1976" s="133">
        <v>1900</v>
      </c>
      <c r="G1976" s="133"/>
      <c r="H1976" s="134">
        <f t="shared" si="91"/>
        <v>1900</v>
      </c>
      <c r="I1976" s="134">
        <f t="shared" si="91"/>
        <v>0</v>
      </c>
      <c r="J1976" s="134">
        <f t="shared" si="90"/>
        <v>1900</v>
      </c>
      <c r="K1976" s="135"/>
      <c r="L1976" s="136" t="str">
        <f t="shared" si="92"/>
        <v>مدين</v>
      </c>
      <c r="M1976" s="137" t="str">
        <f>IF(ISERROR(VLOOKUP(C1976,'[1]خريطة الحسابات'!_xlnm.Print_Area,4,FALSE))," ",(VLOOKUP(C1976,'[1]خريطة الحسابات'!_xlnm.Print_Area,4,FALSE)))</f>
        <v>تكاليف مشروع اللوتس 361</v>
      </c>
      <c r="N1976" s="138" t="str">
        <f>IF(ISERROR(VLOOKUP(C1976,'[1]خريطة الحسابات'!_xlnm.Print_Area,5,FALSE))," ",(VLOOKUP(C1976,'[1]خريطة الحسابات'!_xlnm.Print_Area,5,FALSE)))</f>
        <v xml:space="preserve">تكاليف العمليات </v>
      </c>
      <c r="O1976" s="84" t="s">
        <v>2202</v>
      </c>
      <c r="P1976" s="84" t="s">
        <v>1295</v>
      </c>
    </row>
    <row r="1977" spans="1:16">
      <c r="A1977" s="151">
        <v>66</v>
      </c>
      <c r="B1977" s="131">
        <v>46109</v>
      </c>
      <c r="C1977" s="150" t="s">
        <v>596</v>
      </c>
      <c r="D1977" s="140" t="str">
        <f>IF(ISERROR(VLOOKUP(C1977,'[1]خريطة الحسابات'!_xlnm.Print_Area,3,FALSE))," ",(VLOOKUP(C1977,'[1]خريطة الحسابات'!_xlnm.Print_Area,3,FALSE)))</f>
        <v>اعمال التكسير والهدم والنظافة</v>
      </c>
      <c r="E1977" s="142"/>
      <c r="F1977" s="133">
        <v>550</v>
      </c>
      <c r="G1977" s="133"/>
      <c r="H1977" s="134">
        <f t="shared" si="91"/>
        <v>550</v>
      </c>
      <c r="I1977" s="134">
        <f t="shared" si="91"/>
        <v>0</v>
      </c>
      <c r="J1977" s="134">
        <f t="shared" si="90"/>
        <v>550</v>
      </c>
      <c r="K1977" s="135"/>
      <c r="L1977" s="136" t="str">
        <f t="shared" si="92"/>
        <v>مدين</v>
      </c>
      <c r="M1977" s="137" t="str">
        <f>IF(ISERROR(VLOOKUP(C1977,'[1]خريطة الحسابات'!_xlnm.Print_Area,4,FALSE))," ",(VLOOKUP(C1977,'[1]خريطة الحسابات'!_xlnm.Print_Area,4,FALSE)))</f>
        <v>تكاليف مشروع اللوتس 361</v>
      </c>
      <c r="N1977" s="138" t="str">
        <f>IF(ISERROR(VLOOKUP(C1977,'[1]خريطة الحسابات'!_xlnm.Print_Area,5,FALSE))," ",(VLOOKUP(C1977,'[1]خريطة الحسابات'!_xlnm.Print_Area,5,FALSE)))</f>
        <v xml:space="preserve">تكاليف العمليات </v>
      </c>
      <c r="O1977" s="84" t="s">
        <v>2203</v>
      </c>
      <c r="P1977" s="84" t="s">
        <v>1295</v>
      </c>
    </row>
    <row r="1978" spans="1:16">
      <c r="A1978" s="151">
        <v>66</v>
      </c>
      <c r="B1978" s="131">
        <v>46086</v>
      </c>
      <c r="C1978" s="150" t="s">
        <v>421</v>
      </c>
      <c r="D1978" s="140" t="str">
        <f>IF(ISERROR(VLOOKUP(C1978,'[1]خريطة الحسابات'!_xlnm.Print_Area,3,FALSE))," ",(VLOOKUP(C1978,'[1]خريطة الحسابات'!_xlnm.Print_Area,3,FALSE)))</f>
        <v>اعمال التكسير والهدم والنظافة</v>
      </c>
      <c r="E1978" s="142"/>
      <c r="F1978" s="133">
        <v>1600</v>
      </c>
      <c r="G1978" s="133"/>
      <c r="H1978" s="134">
        <f t="shared" si="91"/>
        <v>1600</v>
      </c>
      <c r="I1978" s="134">
        <f t="shared" si="91"/>
        <v>0</v>
      </c>
      <c r="J1978" s="134">
        <f t="shared" si="90"/>
        <v>1600</v>
      </c>
      <c r="K1978" s="135"/>
      <c r="L1978" s="136" t="str">
        <f t="shared" si="92"/>
        <v>مدين</v>
      </c>
      <c r="M1978" s="137" t="str">
        <f>IF(ISERROR(VLOOKUP(C1978,'[1]خريطة الحسابات'!_xlnm.Print_Area,4,FALSE))," ",(VLOOKUP(C1978,'[1]خريطة الحسابات'!_xlnm.Print_Area,4,FALSE)))</f>
        <v>345 تكاليف مشروع بالم هيلز</v>
      </c>
      <c r="N1978" s="138" t="str">
        <f>IF(ISERROR(VLOOKUP(C1978,'[1]خريطة الحسابات'!_xlnm.Print_Area,5,FALSE))," ",(VLOOKUP(C1978,'[1]خريطة الحسابات'!_xlnm.Print_Area,5,FALSE)))</f>
        <v xml:space="preserve">تكاليف العمليات </v>
      </c>
      <c r="O1978" s="84" t="s">
        <v>2204</v>
      </c>
      <c r="P1978" s="84" t="s">
        <v>1327</v>
      </c>
    </row>
    <row r="1979" spans="1:16">
      <c r="A1979" s="151">
        <v>66</v>
      </c>
      <c r="B1979" s="131">
        <v>46096</v>
      </c>
      <c r="C1979" s="150" t="s">
        <v>421</v>
      </c>
      <c r="D1979" s="140" t="str">
        <f>IF(ISERROR(VLOOKUP(C1979,'[1]خريطة الحسابات'!_xlnm.Print_Area,3,FALSE))," ",(VLOOKUP(C1979,'[1]خريطة الحسابات'!_xlnm.Print_Area,3,FALSE)))</f>
        <v>اعمال التكسير والهدم والنظافة</v>
      </c>
      <c r="E1979" s="142"/>
      <c r="F1979" s="133">
        <v>550</v>
      </c>
      <c r="G1979" s="133"/>
      <c r="H1979" s="134">
        <f t="shared" si="91"/>
        <v>550</v>
      </c>
      <c r="I1979" s="134">
        <f t="shared" si="91"/>
        <v>0</v>
      </c>
      <c r="J1979" s="134">
        <f t="shared" si="90"/>
        <v>550</v>
      </c>
      <c r="K1979" s="135"/>
      <c r="L1979" s="136" t="str">
        <f t="shared" si="92"/>
        <v>مدين</v>
      </c>
      <c r="M1979" s="137" t="str">
        <f>IF(ISERROR(VLOOKUP(C1979,'[1]خريطة الحسابات'!_xlnm.Print_Area,4,FALSE))," ",(VLOOKUP(C1979,'[1]خريطة الحسابات'!_xlnm.Print_Area,4,FALSE)))</f>
        <v>345 تكاليف مشروع بالم هيلز</v>
      </c>
      <c r="N1979" s="138" t="str">
        <f>IF(ISERROR(VLOOKUP(C1979,'[1]خريطة الحسابات'!_xlnm.Print_Area,5,FALSE))," ",(VLOOKUP(C1979,'[1]خريطة الحسابات'!_xlnm.Print_Area,5,FALSE)))</f>
        <v xml:space="preserve">تكاليف العمليات </v>
      </c>
      <c r="O1979" s="84" t="s">
        <v>2205</v>
      </c>
      <c r="P1979" s="84" t="s">
        <v>1327</v>
      </c>
    </row>
    <row r="1980" spans="1:16">
      <c r="A1980" s="151">
        <v>66</v>
      </c>
      <c r="B1980" s="131">
        <v>46096</v>
      </c>
      <c r="C1980" s="150" t="s">
        <v>421</v>
      </c>
      <c r="D1980" s="140" t="str">
        <f>IF(ISERROR(VLOOKUP(C1980,'[1]خريطة الحسابات'!_xlnm.Print_Area,3,FALSE))," ",(VLOOKUP(C1980,'[1]خريطة الحسابات'!_xlnm.Print_Area,3,FALSE)))</f>
        <v>اعمال التكسير والهدم والنظافة</v>
      </c>
      <c r="E1980" s="142"/>
      <c r="F1980" s="133">
        <v>550</v>
      </c>
      <c r="G1980" s="133"/>
      <c r="H1980" s="134">
        <f t="shared" si="91"/>
        <v>550</v>
      </c>
      <c r="I1980" s="134">
        <f t="shared" si="91"/>
        <v>0</v>
      </c>
      <c r="J1980" s="134">
        <f t="shared" si="90"/>
        <v>550</v>
      </c>
      <c r="K1980" s="135"/>
      <c r="L1980" s="136" t="str">
        <f t="shared" si="92"/>
        <v>مدين</v>
      </c>
      <c r="M1980" s="137" t="str">
        <f>IF(ISERROR(VLOOKUP(C1980,'[1]خريطة الحسابات'!_xlnm.Print_Area,4,FALSE))," ",(VLOOKUP(C1980,'[1]خريطة الحسابات'!_xlnm.Print_Area,4,FALSE)))</f>
        <v>345 تكاليف مشروع بالم هيلز</v>
      </c>
      <c r="N1980" s="138" t="str">
        <f>IF(ISERROR(VLOOKUP(C1980,'[1]خريطة الحسابات'!_xlnm.Print_Area,5,FALSE))," ",(VLOOKUP(C1980,'[1]خريطة الحسابات'!_xlnm.Print_Area,5,FALSE)))</f>
        <v xml:space="preserve">تكاليف العمليات </v>
      </c>
      <c r="O1980" s="84" t="s">
        <v>2206</v>
      </c>
      <c r="P1980" s="84" t="s">
        <v>1327</v>
      </c>
    </row>
    <row r="1981" spans="1:16">
      <c r="A1981" s="151">
        <v>66</v>
      </c>
      <c r="B1981" s="131">
        <v>46121</v>
      </c>
      <c r="C1981" s="150" t="s">
        <v>421</v>
      </c>
      <c r="D1981" s="140" t="str">
        <f>IF(ISERROR(VLOOKUP(C1981,'[1]خريطة الحسابات'!_xlnm.Print_Area,3,FALSE))," ",(VLOOKUP(C1981,'[1]خريطة الحسابات'!_xlnm.Print_Area,3,FALSE)))</f>
        <v>اعمال التكسير والهدم والنظافة</v>
      </c>
      <c r="E1981" s="142"/>
      <c r="F1981" s="133">
        <v>550</v>
      </c>
      <c r="G1981" s="133"/>
      <c r="H1981" s="134">
        <f t="shared" si="91"/>
        <v>550</v>
      </c>
      <c r="I1981" s="134">
        <f t="shared" si="91"/>
        <v>0</v>
      </c>
      <c r="J1981" s="134">
        <f t="shared" si="90"/>
        <v>550</v>
      </c>
      <c r="K1981" s="135"/>
      <c r="L1981" s="136" t="str">
        <f t="shared" si="92"/>
        <v>مدين</v>
      </c>
      <c r="M1981" s="137" t="str">
        <f>IF(ISERROR(VLOOKUP(C1981,'[1]خريطة الحسابات'!_xlnm.Print_Area,4,FALSE))," ",(VLOOKUP(C1981,'[1]خريطة الحسابات'!_xlnm.Print_Area,4,FALSE)))</f>
        <v>345 تكاليف مشروع بالم هيلز</v>
      </c>
      <c r="N1981" s="138" t="str">
        <f>IF(ISERROR(VLOOKUP(C1981,'[1]خريطة الحسابات'!_xlnm.Print_Area,5,FALSE))," ",(VLOOKUP(C1981,'[1]خريطة الحسابات'!_xlnm.Print_Area,5,FALSE)))</f>
        <v xml:space="preserve">تكاليف العمليات </v>
      </c>
      <c r="O1981" s="84" t="s">
        <v>2207</v>
      </c>
      <c r="P1981" s="84" t="s">
        <v>1327</v>
      </c>
    </row>
    <row r="1982" spans="1:16">
      <c r="A1982" s="151">
        <v>66</v>
      </c>
      <c r="B1982" s="131">
        <v>46142</v>
      </c>
      <c r="C1982" s="150" t="s">
        <v>421</v>
      </c>
      <c r="D1982" s="140" t="str">
        <f>IF(ISERROR(VLOOKUP(C1982,'[1]خريطة الحسابات'!_xlnm.Print_Area,3,FALSE))," ",(VLOOKUP(C1982,'[1]خريطة الحسابات'!_xlnm.Print_Area,3,FALSE)))</f>
        <v>اعمال التكسير والهدم والنظافة</v>
      </c>
      <c r="E1982" s="142"/>
      <c r="F1982" s="133">
        <v>2750</v>
      </c>
      <c r="G1982" s="133"/>
      <c r="H1982" s="134">
        <f t="shared" si="91"/>
        <v>2750</v>
      </c>
      <c r="I1982" s="134">
        <f t="shared" si="91"/>
        <v>0</v>
      </c>
      <c r="J1982" s="134">
        <f t="shared" si="90"/>
        <v>2750</v>
      </c>
      <c r="K1982" s="135"/>
      <c r="L1982" s="136" t="str">
        <f t="shared" si="92"/>
        <v>مدين</v>
      </c>
      <c r="M1982" s="137" t="str">
        <f>IF(ISERROR(VLOOKUP(C1982,'[1]خريطة الحسابات'!_xlnm.Print_Area,4,FALSE))," ",(VLOOKUP(C1982,'[1]خريطة الحسابات'!_xlnm.Print_Area,4,FALSE)))</f>
        <v>345 تكاليف مشروع بالم هيلز</v>
      </c>
      <c r="N1982" s="138" t="str">
        <f>IF(ISERROR(VLOOKUP(C1982,'[1]خريطة الحسابات'!_xlnm.Print_Area,5,FALSE))," ",(VLOOKUP(C1982,'[1]خريطة الحسابات'!_xlnm.Print_Area,5,FALSE)))</f>
        <v xml:space="preserve">تكاليف العمليات </v>
      </c>
      <c r="O1982" s="84" t="s">
        <v>2208</v>
      </c>
      <c r="P1982" s="84" t="s">
        <v>1327</v>
      </c>
    </row>
    <row r="1983" spans="1:16">
      <c r="A1983" s="151">
        <v>66</v>
      </c>
      <c r="B1983" s="131">
        <v>46028</v>
      </c>
      <c r="C1983" s="150" t="s">
        <v>77</v>
      </c>
      <c r="D1983" s="140" t="str">
        <f>IF(ISERROR(VLOOKUP(C1983,'[1]خريطة الحسابات'!_xlnm.Print_Area,3,FALSE))," ",(VLOOKUP(C1983,'[1]خريطة الحسابات'!_xlnm.Print_Area,3,FALSE)))</f>
        <v xml:space="preserve">اعمال التكسير والهدم والنظافة والتشوينات من مواد </v>
      </c>
      <c r="E1983" s="142"/>
      <c r="F1983" s="133">
        <v>550</v>
      </c>
      <c r="G1983" s="133"/>
      <c r="H1983" s="134">
        <f t="shared" si="91"/>
        <v>550</v>
      </c>
      <c r="I1983" s="134">
        <f t="shared" si="91"/>
        <v>0</v>
      </c>
      <c r="J1983" s="134">
        <f t="shared" si="90"/>
        <v>550</v>
      </c>
      <c r="K1983" s="135"/>
      <c r="L1983" s="136" t="str">
        <f t="shared" si="92"/>
        <v>مدين</v>
      </c>
      <c r="M1983" s="137" t="str">
        <f>IF(ISERROR(VLOOKUP(C1983,'[1]خريطة الحسابات'!_xlnm.Print_Area,4,FALSE))," ",(VLOOKUP(C1983,'[1]خريطة الحسابات'!_xlnm.Print_Area,4,FALSE)))</f>
        <v>تكاليف مشروع سوديك  341</v>
      </c>
      <c r="N1983" s="138" t="str">
        <f>IF(ISERROR(VLOOKUP(C1983,'[1]خريطة الحسابات'!_xlnm.Print_Area,5,FALSE))," ",(VLOOKUP(C1983,'[1]خريطة الحسابات'!_xlnm.Print_Area,5,FALSE)))</f>
        <v xml:space="preserve">تكاليف العمليات </v>
      </c>
      <c r="O1983" s="84" t="s">
        <v>2209</v>
      </c>
      <c r="P1983" s="84" t="s">
        <v>1290</v>
      </c>
    </row>
    <row r="1984" spans="1:16">
      <c r="A1984" s="151">
        <v>66</v>
      </c>
      <c r="B1984" s="131">
        <v>46028</v>
      </c>
      <c r="C1984" s="150" t="s">
        <v>77</v>
      </c>
      <c r="D1984" s="140" t="str">
        <f>IF(ISERROR(VLOOKUP(C1984,'[1]خريطة الحسابات'!_xlnm.Print_Area,3,FALSE))," ",(VLOOKUP(C1984,'[1]خريطة الحسابات'!_xlnm.Print_Area,3,FALSE)))</f>
        <v xml:space="preserve">اعمال التكسير والهدم والنظافة والتشوينات من مواد </v>
      </c>
      <c r="E1984" s="142"/>
      <c r="F1984" s="133">
        <v>550</v>
      </c>
      <c r="G1984" s="133"/>
      <c r="H1984" s="134">
        <f t="shared" si="91"/>
        <v>550</v>
      </c>
      <c r="I1984" s="134">
        <f t="shared" si="91"/>
        <v>0</v>
      </c>
      <c r="J1984" s="134">
        <f t="shared" si="90"/>
        <v>550</v>
      </c>
      <c r="K1984" s="135"/>
      <c r="L1984" s="136" t="str">
        <f t="shared" si="92"/>
        <v>مدين</v>
      </c>
      <c r="M1984" s="137" t="str">
        <f>IF(ISERROR(VLOOKUP(C1984,'[1]خريطة الحسابات'!_xlnm.Print_Area,4,FALSE))," ",(VLOOKUP(C1984,'[1]خريطة الحسابات'!_xlnm.Print_Area,4,FALSE)))</f>
        <v>تكاليف مشروع سوديك  341</v>
      </c>
      <c r="N1984" s="138" t="str">
        <f>IF(ISERROR(VLOOKUP(C1984,'[1]خريطة الحسابات'!_xlnm.Print_Area,5,FALSE))," ",(VLOOKUP(C1984,'[1]خريطة الحسابات'!_xlnm.Print_Area,5,FALSE)))</f>
        <v xml:space="preserve">تكاليف العمليات </v>
      </c>
      <c r="O1984" s="84" t="s">
        <v>2210</v>
      </c>
      <c r="P1984" s="84" t="s">
        <v>1290</v>
      </c>
    </row>
    <row r="1985" spans="1:16">
      <c r="A1985" s="151">
        <v>66</v>
      </c>
      <c r="B1985" s="131">
        <v>46030</v>
      </c>
      <c r="C1985" s="150" t="s">
        <v>77</v>
      </c>
      <c r="D1985" s="140" t="str">
        <f>IF(ISERROR(VLOOKUP(C1985,'[1]خريطة الحسابات'!_xlnm.Print_Area,3,FALSE))," ",(VLOOKUP(C1985,'[1]خريطة الحسابات'!_xlnm.Print_Area,3,FALSE)))</f>
        <v xml:space="preserve">اعمال التكسير والهدم والنظافة والتشوينات من مواد </v>
      </c>
      <c r="E1985" s="142"/>
      <c r="F1985" s="133">
        <v>550</v>
      </c>
      <c r="G1985" s="133"/>
      <c r="H1985" s="134">
        <f t="shared" si="91"/>
        <v>550</v>
      </c>
      <c r="I1985" s="134">
        <f t="shared" si="91"/>
        <v>0</v>
      </c>
      <c r="J1985" s="134">
        <f t="shared" si="90"/>
        <v>550</v>
      </c>
      <c r="K1985" s="135"/>
      <c r="L1985" s="136" t="str">
        <f t="shared" si="92"/>
        <v>مدين</v>
      </c>
      <c r="M1985" s="137" t="str">
        <f>IF(ISERROR(VLOOKUP(C1985,'[1]خريطة الحسابات'!_xlnm.Print_Area,4,FALSE))," ",(VLOOKUP(C1985,'[1]خريطة الحسابات'!_xlnm.Print_Area,4,FALSE)))</f>
        <v>تكاليف مشروع سوديك  341</v>
      </c>
      <c r="N1985" s="138" t="str">
        <f>IF(ISERROR(VLOOKUP(C1985,'[1]خريطة الحسابات'!_xlnm.Print_Area,5,FALSE))," ",(VLOOKUP(C1985,'[1]خريطة الحسابات'!_xlnm.Print_Area,5,FALSE)))</f>
        <v xml:space="preserve">تكاليف العمليات </v>
      </c>
      <c r="O1985" s="84" t="s">
        <v>2211</v>
      </c>
      <c r="P1985" s="84" t="s">
        <v>1290</v>
      </c>
    </row>
    <row r="1986" spans="1:16">
      <c r="A1986" s="151">
        <v>66</v>
      </c>
      <c r="B1986" s="131">
        <v>46030</v>
      </c>
      <c r="C1986" s="150" t="s">
        <v>77</v>
      </c>
      <c r="D1986" s="140" t="str">
        <f>IF(ISERROR(VLOOKUP(C1986,'[1]خريطة الحسابات'!_xlnm.Print_Area,3,FALSE))," ",(VLOOKUP(C1986,'[1]خريطة الحسابات'!_xlnm.Print_Area,3,FALSE)))</f>
        <v xml:space="preserve">اعمال التكسير والهدم والنظافة والتشوينات من مواد </v>
      </c>
      <c r="E1986" s="142"/>
      <c r="F1986" s="133">
        <v>550</v>
      </c>
      <c r="G1986" s="133"/>
      <c r="H1986" s="134">
        <f t="shared" si="91"/>
        <v>550</v>
      </c>
      <c r="I1986" s="134">
        <f t="shared" si="91"/>
        <v>0</v>
      </c>
      <c r="J1986" s="134">
        <f t="shared" si="90"/>
        <v>550</v>
      </c>
      <c r="K1986" s="135"/>
      <c r="L1986" s="136" t="str">
        <f t="shared" si="92"/>
        <v>مدين</v>
      </c>
      <c r="M1986" s="137" t="str">
        <f>IF(ISERROR(VLOOKUP(C1986,'[1]خريطة الحسابات'!_xlnm.Print_Area,4,FALSE))," ",(VLOOKUP(C1986,'[1]خريطة الحسابات'!_xlnm.Print_Area,4,FALSE)))</f>
        <v>تكاليف مشروع سوديك  341</v>
      </c>
      <c r="N1986" s="138" t="str">
        <f>IF(ISERROR(VLOOKUP(C1986,'[1]خريطة الحسابات'!_xlnm.Print_Area,5,FALSE))," ",(VLOOKUP(C1986,'[1]خريطة الحسابات'!_xlnm.Print_Area,5,FALSE)))</f>
        <v xml:space="preserve">تكاليف العمليات </v>
      </c>
      <c r="O1986" s="84" t="s">
        <v>2212</v>
      </c>
      <c r="P1986" s="84" t="s">
        <v>1290</v>
      </c>
    </row>
    <row r="1987" spans="1:16">
      <c r="A1987" s="151">
        <v>66</v>
      </c>
      <c r="B1987" s="131">
        <v>46036</v>
      </c>
      <c r="C1987" s="150" t="s">
        <v>77</v>
      </c>
      <c r="D1987" s="140" t="str">
        <f>IF(ISERROR(VLOOKUP(C1987,'[1]خريطة الحسابات'!_xlnm.Print_Area,3,FALSE))," ",(VLOOKUP(C1987,'[1]خريطة الحسابات'!_xlnm.Print_Area,3,FALSE)))</f>
        <v xml:space="preserve">اعمال التكسير والهدم والنظافة والتشوينات من مواد </v>
      </c>
      <c r="E1987" s="142"/>
      <c r="F1987" s="133">
        <v>550</v>
      </c>
      <c r="G1987" s="133"/>
      <c r="H1987" s="134">
        <f t="shared" si="91"/>
        <v>550</v>
      </c>
      <c r="I1987" s="134">
        <f t="shared" si="91"/>
        <v>0</v>
      </c>
      <c r="J1987" s="134">
        <f t="shared" si="90"/>
        <v>550</v>
      </c>
      <c r="K1987" s="135"/>
      <c r="L1987" s="136" t="str">
        <f t="shared" si="92"/>
        <v>مدين</v>
      </c>
      <c r="M1987" s="137" t="str">
        <f>IF(ISERROR(VLOOKUP(C1987,'[1]خريطة الحسابات'!_xlnm.Print_Area,4,FALSE))," ",(VLOOKUP(C1987,'[1]خريطة الحسابات'!_xlnm.Print_Area,4,FALSE)))</f>
        <v>تكاليف مشروع سوديك  341</v>
      </c>
      <c r="N1987" s="138" t="str">
        <f>IF(ISERROR(VLOOKUP(C1987,'[1]خريطة الحسابات'!_xlnm.Print_Area,5,FALSE))," ",(VLOOKUP(C1987,'[1]خريطة الحسابات'!_xlnm.Print_Area,5,FALSE)))</f>
        <v xml:space="preserve">تكاليف العمليات </v>
      </c>
      <c r="O1987" s="84" t="s">
        <v>2213</v>
      </c>
      <c r="P1987" s="84" t="s">
        <v>1290</v>
      </c>
    </row>
    <row r="1988" spans="1:16">
      <c r="A1988" s="151">
        <v>66</v>
      </c>
      <c r="B1988" s="131">
        <v>46036</v>
      </c>
      <c r="C1988" s="150" t="s">
        <v>77</v>
      </c>
      <c r="D1988" s="140" t="str">
        <f>IF(ISERROR(VLOOKUP(C1988,'[1]خريطة الحسابات'!_xlnm.Print_Area,3,FALSE))," ",(VLOOKUP(C1988,'[1]خريطة الحسابات'!_xlnm.Print_Area,3,FALSE)))</f>
        <v xml:space="preserve">اعمال التكسير والهدم والنظافة والتشوينات من مواد </v>
      </c>
      <c r="E1988" s="142"/>
      <c r="F1988" s="133">
        <v>550</v>
      </c>
      <c r="G1988" s="133"/>
      <c r="H1988" s="134">
        <f t="shared" si="91"/>
        <v>550</v>
      </c>
      <c r="I1988" s="134">
        <f t="shared" si="91"/>
        <v>0</v>
      </c>
      <c r="J1988" s="134">
        <f t="shared" si="90"/>
        <v>550</v>
      </c>
      <c r="K1988" s="135"/>
      <c r="L1988" s="136" t="str">
        <f t="shared" si="92"/>
        <v>مدين</v>
      </c>
      <c r="M1988" s="137" t="str">
        <f>IF(ISERROR(VLOOKUP(C1988,'[1]خريطة الحسابات'!_xlnm.Print_Area,4,FALSE))," ",(VLOOKUP(C1988,'[1]خريطة الحسابات'!_xlnm.Print_Area,4,FALSE)))</f>
        <v>تكاليف مشروع سوديك  341</v>
      </c>
      <c r="N1988" s="138" t="str">
        <f>IF(ISERROR(VLOOKUP(C1988,'[1]خريطة الحسابات'!_xlnm.Print_Area,5,FALSE))," ",(VLOOKUP(C1988,'[1]خريطة الحسابات'!_xlnm.Print_Area,5,FALSE)))</f>
        <v xml:space="preserve">تكاليف العمليات </v>
      </c>
      <c r="O1988" s="84" t="s">
        <v>2214</v>
      </c>
      <c r="P1988" s="84" t="s">
        <v>1290</v>
      </c>
    </row>
    <row r="1989" spans="1:16">
      <c r="A1989" s="151">
        <v>66</v>
      </c>
      <c r="B1989" s="131">
        <v>46036</v>
      </c>
      <c r="C1989" s="150" t="s">
        <v>77</v>
      </c>
      <c r="D1989" s="140" t="str">
        <f>IF(ISERROR(VLOOKUP(C1989,'[1]خريطة الحسابات'!_xlnm.Print_Area,3,FALSE))," ",(VLOOKUP(C1989,'[1]خريطة الحسابات'!_xlnm.Print_Area,3,FALSE)))</f>
        <v xml:space="preserve">اعمال التكسير والهدم والنظافة والتشوينات من مواد </v>
      </c>
      <c r="E1989" s="142"/>
      <c r="F1989" s="133">
        <v>550</v>
      </c>
      <c r="G1989" s="133"/>
      <c r="H1989" s="134">
        <f t="shared" si="91"/>
        <v>550</v>
      </c>
      <c r="I1989" s="134">
        <f t="shared" si="91"/>
        <v>0</v>
      </c>
      <c r="J1989" s="134">
        <f t="shared" si="90"/>
        <v>550</v>
      </c>
      <c r="K1989" s="135"/>
      <c r="L1989" s="136" t="str">
        <f t="shared" si="92"/>
        <v>مدين</v>
      </c>
      <c r="M1989" s="137" t="str">
        <f>IF(ISERROR(VLOOKUP(C1989,'[1]خريطة الحسابات'!_xlnm.Print_Area,4,FALSE))," ",(VLOOKUP(C1989,'[1]خريطة الحسابات'!_xlnm.Print_Area,4,FALSE)))</f>
        <v>تكاليف مشروع سوديك  341</v>
      </c>
      <c r="N1989" s="138" t="str">
        <f>IF(ISERROR(VLOOKUP(C1989,'[1]خريطة الحسابات'!_xlnm.Print_Area,5,FALSE))," ",(VLOOKUP(C1989,'[1]خريطة الحسابات'!_xlnm.Print_Area,5,FALSE)))</f>
        <v xml:space="preserve">تكاليف العمليات </v>
      </c>
      <c r="O1989" s="84" t="s">
        <v>2215</v>
      </c>
      <c r="P1989" s="84" t="s">
        <v>1290</v>
      </c>
    </row>
    <row r="1990" spans="1:16">
      <c r="A1990" s="151">
        <v>66</v>
      </c>
      <c r="B1990" s="131">
        <v>46039</v>
      </c>
      <c r="C1990" s="150" t="s">
        <v>77</v>
      </c>
      <c r="D1990" s="140" t="str">
        <f>IF(ISERROR(VLOOKUP(C1990,'[1]خريطة الحسابات'!_xlnm.Print_Area,3,FALSE))," ",(VLOOKUP(C1990,'[1]خريطة الحسابات'!_xlnm.Print_Area,3,FALSE)))</f>
        <v xml:space="preserve">اعمال التكسير والهدم والنظافة والتشوينات من مواد </v>
      </c>
      <c r="E1990" s="142"/>
      <c r="F1990" s="133">
        <v>1100</v>
      </c>
      <c r="G1990" s="133"/>
      <c r="H1990" s="134">
        <f t="shared" si="91"/>
        <v>1100</v>
      </c>
      <c r="I1990" s="134">
        <f t="shared" si="91"/>
        <v>0</v>
      </c>
      <c r="J1990" s="134">
        <f t="shared" si="90"/>
        <v>1100</v>
      </c>
      <c r="K1990" s="135"/>
      <c r="L1990" s="136" t="str">
        <f t="shared" si="92"/>
        <v>مدين</v>
      </c>
      <c r="M1990" s="137" t="str">
        <f>IF(ISERROR(VLOOKUP(C1990,'[1]خريطة الحسابات'!_xlnm.Print_Area,4,FALSE))," ",(VLOOKUP(C1990,'[1]خريطة الحسابات'!_xlnm.Print_Area,4,FALSE)))</f>
        <v>تكاليف مشروع سوديك  341</v>
      </c>
      <c r="N1990" s="138" t="str">
        <f>IF(ISERROR(VLOOKUP(C1990,'[1]خريطة الحسابات'!_xlnm.Print_Area,5,FALSE))," ",(VLOOKUP(C1990,'[1]خريطة الحسابات'!_xlnm.Print_Area,5,FALSE)))</f>
        <v xml:space="preserve">تكاليف العمليات </v>
      </c>
      <c r="O1990" s="84" t="s">
        <v>2216</v>
      </c>
      <c r="P1990" s="84" t="s">
        <v>1290</v>
      </c>
    </row>
    <row r="1991" spans="1:16">
      <c r="A1991" s="151">
        <v>66</v>
      </c>
      <c r="B1991" s="131">
        <v>46039</v>
      </c>
      <c r="C1991" s="150" t="s">
        <v>77</v>
      </c>
      <c r="D1991" s="140" t="str">
        <f>IF(ISERROR(VLOOKUP(C1991,'[1]خريطة الحسابات'!_xlnm.Print_Area,3,FALSE))," ",(VLOOKUP(C1991,'[1]خريطة الحسابات'!_xlnm.Print_Area,3,FALSE)))</f>
        <v xml:space="preserve">اعمال التكسير والهدم والنظافة والتشوينات من مواد </v>
      </c>
      <c r="E1991" s="142"/>
      <c r="F1991" s="133">
        <v>550</v>
      </c>
      <c r="G1991" s="133"/>
      <c r="H1991" s="134">
        <f t="shared" si="91"/>
        <v>550</v>
      </c>
      <c r="I1991" s="134">
        <f t="shared" si="91"/>
        <v>0</v>
      </c>
      <c r="J1991" s="134">
        <f t="shared" si="90"/>
        <v>550</v>
      </c>
      <c r="K1991" s="135"/>
      <c r="L1991" s="136" t="str">
        <f t="shared" si="92"/>
        <v>مدين</v>
      </c>
      <c r="M1991" s="137" t="str">
        <f>IF(ISERROR(VLOOKUP(C1991,'[1]خريطة الحسابات'!_xlnm.Print_Area,4,FALSE))," ",(VLOOKUP(C1991,'[1]خريطة الحسابات'!_xlnm.Print_Area,4,FALSE)))</f>
        <v>تكاليف مشروع سوديك  341</v>
      </c>
      <c r="N1991" s="138" t="str">
        <f>IF(ISERROR(VLOOKUP(C1991,'[1]خريطة الحسابات'!_xlnm.Print_Area,5,FALSE))," ",(VLOOKUP(C1991,'[1]خريطة الحسابات'!_xlnm.Print_Area,5,FALSE)))</f>
        <v xml:space="preserve">تكاليف العمليات </v>
      </c>
      <c r="O1991" s="84" t="s">
        <v>2217</v>
      </c>
      <c r="P1991" s="84" t="s">
        <v>1290</v>
      </c>
    </row>
    <row r="1992" spans="1:16">
      <c r="A1992" s="151">
        <v>66</v>
      </c>
      <c r="B1992" s="131">
        <v>46039</v>
      </c>
      <c r="C1992" s="150" t="s">
        <v>77</v>
      </c>
      <c r="D1992" s="140" t="str">
        <f>IF(ISERROR(VLOOKUP(C1992,'[1]خريطة الحسابات'!_xlnm.Print_Area,3,FALSE))," ",(VLOOKUP(C1992,'[1]خريطة الحسابات'!_xlnm.Print_Area,3,FALSE)))</f>
        <v xml:space="preserve">اعمال التكسير والهدم والنظافة والتشوينات من مواد </v>
      </c>
      <c r="E1992" s="142"/>
      <c r="F1992" s="133">
        <v>3900</v>
      </c>
      <c r="G1992" s="133"/>
      <c r="H1992" s="134">
        <f t="shared" si="91"/>
        <v>3900</v>
      </c>
      <c r="I1992" s="134">
        <f t="shared" si="91"/>
        <v>0</v>
      </c>
      <c r="J1992" s="134">
        <f t="shared" si="90"/>
        <v>3900</v>
      </c>
      <c r="K1992" s="135"/>
      <c r="L1992" s="136" t="str">
        <f t="shared" si="92"/>
        <v>مدين</v>
      </c>
      <c r="M1992" s="137" t="str">
        <f>IF(ISERROR(VLOOKUP(C1992,'[1]خريطة الحسابات'!_xlnm.Print_Area,4,FALSE))," ",(VLOOKUP(C1992,'[1]خريطة الحسابات'!_xlnm.Print_Area,4,FALSE)))</f>
        <v>تكاليف مشروع سوديك  341</v>
      </c>
      <c r="N1992" s="138" t="str">
        <f>IF(ISERROR(VLOOKUP(C1992,'[1]خريطة الحسابات'!_xlnm.Print_Area,5,FALSE))," ",(VLOOKUP(C1992,'[1]خريطة الحسابات'!_xlnm.Print_Area,5,FALSE)))</f>
        <v xml:space="preserve">تكاليف العمليات </v>
      </c>
      <c r="O1992" s="84" t="s">
        <v>2218</v>
      </c>
      <c r="P1992" s="84" t="s">
        <v>1290</v>
      </c>
    </row>
    <row r="1993" spans="1:16">
      <c r="A1993" s="151">
        <v>66</v>
      </c>
      <c r="B1993" s="131">
        <v>46043</v>
      </c>
      <c r="C1993" s="150" t="s">
        <v>77</v>
      </c>
      <c r="D1993" s="140" t="str">
        <f>IF(ISERROR(VLOOKUP(C1993,'[1]خريطة الحسابات'!_xlnm.Print_Area,3,FALSE))," ",(VLOOKUP(C1993,'[1]خريطة الحسابات'!_xlnm.Print_Area,3,FALSE)))</f>
        <v xml:space="preserve">اعمال التكسير والهدم والنظافة والتشوينات من مواد </v>
      </c>
      <c r="E1993" s="142"/>
      <c r="F1993" s="133">
        <v>550</v>
      </c>
      <c r="G1993" s="133"/>
      <c r="H1993" s="134">
        <f t="shared" si="91"/>
        <v>550</v>
      </c>
      <c r="I1993" s="134">
        <f t="shared" si="91"/>
        <v>0</v>
      </c>
      <c r="J1993" s="134">
        <f t="shared" si="90"/>
        <v>550</v>
      </c>
      <c r="K1993" s="135"/>
      <c r="L1993" s="136" t="str">
        <f t="shared" si="92"/>
        <v>مدين</v>
      </c>
      <c r="M1993" s="137" t="str">
        <f>IF(ISERROR(VLOOKUP(C1993,'[1]خريطة الحسابات'!_xlnm.Print_Area,4,FALSE))," ",(VLOOKUP(C1993,'[1]خريطة الحسابات'!_xlnm.Print_Area,4,FALSE)))</f>
        <v>تكاليف مشروع سوديك  341</v>
      </c>
      <c r="N1993" s="138" t="str">
        <f>IF(ISERROR(VLOOKUP(C1993,'[1]خريطة الحسابات'!_xlnm.Print_Area,5,FALSE))," ",(VLOOKUP(C1993,'[1]خريطة الحسابات'!_xlnm.Print_Area,5,FALSE)))</f>
        <v xml:space="preserve">تكاليف العمليات </v>
      </c>
      <c r="O1993" s="84" t="s">
        <v>2219</v>
      </c>
      <c r="P1993" s="84" t="s">
        <v>1290</v>
      </c>
    </row>
    <row r="1994" spans="1:16">
      <c r="A1994" s="151">
        <v>66</v>
      </c>
      <c r="B1994" s="131">
        <v>46043</v>
      </c>
      <c r="C1994" s="150" t="s">
        <v>77</v>
      </c>
      <c r="D1994" s="140" t="str">
        <f>IF(ISERROR(VLOOKUP(C1994,'[1]خريطة الحسابات'!_xlnm.Print_Area,3,FALSE))," ",(VLOOKUP(C1994,'[1]خريطة الحسابات'!_xlnm.Print_Area,3,FALSE)))</f>
        <v xml:space="preserve">اعمال التكسير والهدم والنظافة والتشوينات من مواد </v>
      </c>
      <c r="E1994" s="142"/>
      <c r="F1994" s="133">
        <v>550</v>
      </c>
      <c r="G1994" s="133"/>
      <c r="H1994" s="134">
        <f t="shared" si="91"/>
        <v>550</v>
      </c>
      <c r="I1994" s="134">
        <f t="shared" si="91"/>
        <v>0</v>
      </c>
      <c r="J1994" s="134">
        <f t="shared" si="90"/>
        <v>550</v>
      </c>
      <c r="K1994" s="135"/>
      <c r="L1994" s="136" t="str">
        <f t="shared" si="92"/>
        <v>مدين</v>
      </c>
      <c r="M1994" s="137" t="str">
        <f>IF(ISERROR(VLOOKUP(C1994,'[1]خريطة الحسابات'!_xlnm.Print_Area,4,FALSE))," ",(VLOOKUP(C1994,'[1]خريطة الحسابات'!_xlnm.Print_Area,4,FALSE)))</f>
        <v>تكاليف مشروع سوديك  341</v>
      </c>
      <c r="N1994" s="138" t="str">
        <f>IF(ISERROR(VLOOKUP(C1994,'[1]خريطة الحسابات'!_xlnm.Print_Area,5,FALSE))," ",(VLOOKUP(C1994,'[1]خريطة الحسابات'!_xlnm.Print_Area,5,FALSE)))</f>
        <v xml:space="preserve">تكاليف العمليات </v>
      </c>
      <c r="O1994" s="84" t="s">
        <v>2220</v>
      </c>
      <c r="P1994" s="84" t="s">
        <v>1290</v>
      </c>
    </row>
    <row r="1995" spans="1:16">
      <c r="A1995" s="151">
        <v>66</v>
      </c>
      <c r="B1995" s="131">
        <v>46044</v>
      </c>
      <c r="C1995" s="150" t="s">
        <v>77</v>
      </c>
      <c r="D1995" s="140" t="str">
        <f>IF(ISERROR(VLOOKUP(C1995,'[1]خريطة الحسابات'!_xlnm.Print_Area,3,FALSE))," ",(VLOOKUP(C1995,'[1]خريطة الحسابات'!_xlnm.Print_Area,3,FALSE)))</f>
        <v xml:space="preserve">اعمال التكسير والهدم والنظافة والتشوينات من مواد </v>
      </c>
      <c r="E1995" s="142"/>
      <c r="F1995" s="133">
        <v>550</v>
      </c>
      <c r="G1995" s="133"/>
      <c r="H1995" s="134">
        <f t="shared" si="91"/>
        <v>550</v>
      </c>
      <c r="I1995" s="134">
        <f t="shared" si="91"/>
        <v>0</v>
      </c>
      <c r="J1995" s="134">
        <f t="shared" si="90"/>
        <v>550</v>
      </c>
      <c r="K1995" s="135"/>
      <c r="L1995" s="136" t="str">
        <f t="shared" si="92"/>
        <v>مدين</v>
      </c>
      <c r="M1995" s="137" t="str">
        <f>IF(ISERROR(VLOOKUP(C1995,'[1]خريطة الحسابات'!_xlnm.Print_Area,4,FALSE))," ",(VLOOKUP(C1995,'[1]خريطة الحسابات'!_xlnm.Print_Area,4,FALSE)))</f>
        <v>تكاليف مشروع سوديك  341</v>
      </c>
      <c r="N1995" s="138" t="str">
        <f>IF(ISERROR(VLOOKUP(C1995,'[1]خريطة الحسابات'!_xlnm.Print_Area,5,FALSE))," ",(VLOOKUP(C1995,'[1]خريطة الحسابات'!_xlnm.Print_Area,5,FALSE)))</f>
        <v xml:space="preserve">تكاليف العمليات </v>
      </c>
      <c r="O1995" s="84" t="s">
        <v>2221</v>
      </c>
      <c r="P1995" s="84" t="s">
        <v>1290</v>
      </c>
    </row>
    <row r="1996" spans="1:16">
      <c r="A1996" s="151">
        <v>66</v>
      </c>
      <c r="B1996" s="131">
        <v>46044</v>
      </c>
      <c r="C1996" s="150" t="s">
        <v>77</v>
      </c>
      <c r="D1996" s="140" t="str">
        <f>IF(ISERROR(VLOOKUP(C1996,'[1]خريطة الحسابات'!_xlnm.Print_Area,3,FALSE))," ",(VLOOKUP(C1996,'[1]خريطة الحسابات'!_xlnm.Print_Area,3,FALSE)))</f>
        <v xml:space="preserve">اعمال التكسير والهدم والنظافة والتشوينات من مواد </v>
      </c>
      <c r="E1996" s="142"/>
      <c r="F1996" s="133">
        <v>550</v>
      </c>
      <c r="G1996" s="133"/>
      <c r="H1996" s="134">
        <f t="shared" si="91"/>
        <v>550</v>
      </c>
      <c r="I1996" s="134">
        <f t="shared" si="91"/>
        <v>0</v>
      </c>
      <c r="J1996" s="134">
        <f t="shared" si="90"/>
        <v>550</v>
      </c>
      <c r="K1996" s="135"/>
      <c r="L1996" s="136" t="str">
        <f t="shared" si="92"/>
        <v>مدين</v>
      </c>
      <c r="M1996" s="137" t="str">
        <f>IF(ISERROR(VLOOKUP(C1996,'[1]خريطة الحسابات'!_xlnm.Print_Area,4,FALSE))," ",(VLOOKUP(C1996,'[1]خريطة الحسابات'!_xlnm.Print_Area,4,FALSE)))</f>
        <v>تكاليف مشروع سوديك  341</v>
      </c>
      <c r="N1996" s="138" t="str">
        <f>IF(ISERROR(VLOOKUP(C1996,'[1]خريطة الحسابات'!_xlnm.Print_Area,5,FALSE))," ",(VLOOKUP(C1996,'[1]خريطة الحسابات'!_xlnm.Print_Area,5,FALSE)))</f>
        <v xml:space="preserve">تكاليف العمليات </v>
      </c>
      <c r="O1996" s="84" t="s">
        <v>2222</v>
      </c>
      <c r="P1996" s="84" t="s">
        <v>1290</v>
      </c>
    </row>
    <row r="1997" spans="1:16">
      <c r="A1997" s="151">
        <v>66</v>
      </c>
      <c r="B1997" s="131">
        <v>46050</v>
      </c>
      <c r="C1997" s="150" t="s">
        <v>77</v>
      </c>
      <c r="D1997" s="140" t="str">
        <f>IF(ISERROR(VLOOKUP(C1997,'[1]خريطة الحسابات'!_xlnm.Print_Area,3,FALSE))," ",(VLOOKUP(C1997,'[1]خريطة الحسابات'!_xlnm.Print_Area,3,FALSE)))</f>
        <v xml:space="preserve">اعمال التكسير والهدم والنظافة والتشوينات من مواد </v>
      </c>
      <c r="E1997" s="142"/>
      <c r="F1997" s="133">
        <v>550</v>
      </c>
      <c r="G1997" s="133"/>
      <c r="H1997" s="134">
        <f t="shared" si="91"/>
        <v>550</v>
      </c>
      <c r="I1997" s="134">
        <f t="shared" si="91"/>
        <v>0</v>
      </c>
      <c r="J1997" s="134">
        <f t="shared" si="90"/>
        <v>550</v>
      </c>
      <c r="K1997" s="135"/>
      <c r="L1997" s="136" t="str">
        <f t="shared" si="92"/>
        <v>مدين</v>
      </c>
      <c r="M1997" s="137" t="str">
        <f>IF(ISERROR(VLOOKUP(C1997,'[1]خريطة الحسابات'!_xlnm.Print_Area,4,FALSE))," ",(VLOOKUP(C1997,'[1]خريطة الحسابات'!_xlnm.Print_Area,4,FALSE)))</f>
        <v>تكاليف مشروع سوديك  341</v>
      </c>
      <c r="N1997" s="138" t="str">
        <f>IF(ISERROR(VLOOKUP(C1997,'[1]خريطة الحسابات'!_xlnm.Print_Area,5,FALSE))," ",(VLOOKUP(C1997,'[1]خريطة الحسابات'!_xlnm.Print_Area,5,FALSE)))</f>
        <v xml:space="preserve">تكاليف العمليات </v>
      </c>
      <c r="O1997" s="84" t="s">
        <v>2223</v>
      </c>
      <c r="P1997" s="84" t="s">
        <v>1290</v>
      </c>
    </row>
    <row r="1998" spans="1:16">
      <c r="A1998" s="151">
        <v>66</v>
      </c>
      <c r="B1998" s="131">
        <v>46050</v>
      </c>
      <c r="C1998" s="150" t="s">
        <v>77</v>
      </c>
      <c r="D1998" s="140" t="str">
        <f>IF(ISERROR(VLOOKUP(C1998,'[1]خريطة الحسابات'!_xlnm.Print_Area,3,FALSE))," ",(VLOOKUP(C1998,'[1]خريطة الحسابات'!_xlnm.Print_Area,3,FALSE)))</f>
        <v xml:space="preserve">اعمال التكسير والهدم والنظافة والتشوينات من مواد </v>
      </c>
      <c r="E1998" s="142"/>
      <c r="F1998" s="133">
        <v>550</v>
      </c>
      <c r="G1998" s="133"/>
      <c r="H1998" s="134">
        <f t="shared" si="91"/>
        <v>550</v>
      </c>
      <c r="I1998" s="134">
        <f t="shared" si="91"/>
        <v>0</v>
      </c>
      <c r="J1998" s="134">
        <f t="shared" si="90"/>
        <v>550</v>
      </c>
      <c r="K1998" s="135"/>
      <c r="L1998" s="136" t="str">
        <f t="shared" si="92"/>
        <v>مدين</v>
      </c>
      <c r="M1998" s="137" t="str">
        <f>IF(ISERROR(VLOOKUP(C1998,'[1]خريطة الحسابات'!_xlnm.Print_Area,4,FALSE))," ",(VLOOKUP(C1998,'[1]خريطة الحسابات'!_xlnm.Print_Area,4,FALSE)))</f>
        <v>تكاليف مشروع سوديك  341</v>
      </c>
      <c r="N1998" s="138" t="str">
        <f>IF(ISERROR(VLOOKUP(C1998,'[1]خريطة الحسابات'!_xlnm.Print_Area,5,FALSE))," ",(VLOOKUP(C1998,'[1]خريطة الحسابات'!_xlnm.Print_Area,5,FALSE)))</f>
        <v xml:space="preserve">تكاليف العمليات </v>
      </c>
      <c r="O1998" s="84" t="s">
        <v>2224</v>
      </c>
      <c r="P1998" s="84" t="s">
        <v>1290</v>
      </c>
    </row>
    <row r="1999" spans="1:16">
      <c r="A1999" s="151">
        <v>66</v>
      </c>
      <c r="B1999" s="131">
        <v>46056</v>
      </c>
      <c r="C1999" s="150" t="s">
        <v>77</v>
      </c>
      <c r="D1999" s="140" t="str">
        <f>IF(ISERROR(VLOOKUP(C1999,'[1]خريطة الحسابات'!_xlnm.Print_Area,3,FALSE))," ",(VLOOKUP(C1999,'[1]خريطة الحسابات'!_xlnm.Print_Area,3,FALSE)))</f>
        <v xml:space="preserve">اعمال التكسير والهدم والنظافة والتشوينات من مواد </v>
      </c>
      <c r="E1999" s="142"/>
      <c r="F1999" s="133">
        <v>1652</v>
      </c>
      <c r="G1999" s="133"/>
      <c r="H1999" s="134">
        <f t="shared" si="91"/>
        <v>1652</v>
      </c>
      <c r="I1999" s="134">
        <f t="shared" si="91"/>
        <v>0</v>
      </c>
      <c r="J1999" s="134">
        <f t="shared" si="90"/>
        <v>1652</v>
      </c>
      <c r="K1999" s="135"/>
      <c r="L1999" s="136" t="str">
        <f t="shared" si="92"/>
        <v>مدين</v>
      </c>
      <c r="M1999" s="137" t="str">
        <f>IF(ISERROR(VLOOKUP(C1999,'[1]خريطة الحسابات'!_xlnm.Print_Area,4,FALSE))," ",(VLOOKUP(C1999,'[1]خريطة الحسابات'!_xlnm.Print_Area,4,FALSE)))</f>
        <v>تكاليف مشروع سوديك  341</v>
      </c>
      <c r="N1999" s="138" t="str">
        <f>IF(ISERROR(VLOOKUP(C1999,'[1]خريطة الحسابات'!_xlnm.Print_Area,5,FALSE))," ",(VLOOKUP(C1999,'[1]خريطة الحسابات'!_xlnm.Print_Area,5,FALSE)))</f>
        <v xml:space="preserve">تكاليف العمليات </v>
      </c>
      <c r="O1999" s="84" t="s">
        <v>2225</v>
      </c>
      <c r="P1999" s="84" t="s">
        <v>1290</v>
      </c>
    </row>
    <row r="2000" spans="1:16">
      <c r="A2000" s="151">
        <v>66</v>
      </c>
      <c r="B2000" s="131">
        <v>46056</v>
      </c>
      <c r="C2000" s="150" t="s">
        <v>77</v>
      </c>
      <c r="D2000" s="140" t="str">
        <f>IF(ISERROR(VLOOKUP(C2000,'[1]خريطة الحسابات'!_xlnm.Print_Area,3,FALSE))," ",(VLOOKUP(C2000,'[1]خريطة الحسابات'!_xlnm.Print_Area,3,FALSE)))</f>
        <v xml:space="preserve">اعمال التكسير والهدم والنظافة والتشوينات من مواد </v>
      </c>
      <c r="E2000" s="142"/>
      <c r="F2000" s="133">
        <v>1102</v>
      </c>
      <c r="G2000" s="133"/>
      <c r="H2000" s="134">
        <f t="shared" si="91"/>
        <v>1102</v>
      </c>
      <c r="I2000" s="134">
        <f t="shared" si="91"/>
        <v>0</v>
      </c>
      <c r="J2000" s="134">
        <f t="shared" si="90"/>
        <v>1102</v>
      </c>
      <c r="K2000" s="135"/>
      <c r="L2000" s="136" t="str">
        <f t="shared" si="92"/>
        <v>مدين</v>
      </c>
      <c r="M2000" s="137" t="str">
        <f>IF(ISERROR(VLOOKUP(C2000,'[1]خريطة الحسابات'!_xlnm.Print_Area,4,FALSE))," ",(VLOOKUP(C2000,'[1]خريطة الحسابات'!_xlnm.Print_Area,4,FALSE)))</f>
        <v>تكاليف مشروع سوديك  341</v>
      </c>
      <c r="N2000" s="138" t="str">
        <f>IF(ISERROR(VLOOKUP(C2000,'[1]خريطة الحسابات'!_xlnm.Print_Area,5,FALSE))," ",(VLOOKUP(C2000,'[1]خريطة الحسابات'!_xlnm.Print_Area,5,FALSE)))</f>
        <v xml:space="preserve">تكاليف العمليات </v>
      </c>
      <c r="O2000" s="84" t="s">
        <v>2226</v>
      </c>
      <c r="P2000" s="84" t="s">
        <v>1290</v>
      </c>
    </row>
    <row r="2001" spans="1:16">
      <c r="A2001" s="151">
        <v>66</v>
      </c>
      <c r="B2001" s="131">
        <v>46058</v>
      </c>
      <c r="C2001" s="150" t="s">
        <v>77</v>
      </c>
      <c r="D2001" s="140" t="str">
        <f>IF(ISERROR(VLOOKUP(C2001,'[1]خريطة الحسابات'!_xlnm.Print_Area,3,FALSE))," ",(VLOOKUP(C2001,'[1]خريطة الحسابات'!_xlnm.Print_Area,3,FALSE)))</f>
        <v xml:space="preserve">اعمال التكسير والهدم والنظافة والتشوينات من مواد </v>
      </c>
      <c r="E2001" s="142"/>
      <c r="F2001" s="133">
        <v>550</v>
      </c>
      <c r="G2001" s="133"/>
      <c r="H2001" s="134">
        <f t="shared" si="91"/>
        <v>550</v>
      </c>
      <c r="I2001" s="134">
        <f t="shared" si="91"/>
        <v>0</v>
      </c>
      <c r="J2001" s="134">
        <f t="shared" si="90"/>
        <v>550</v>
      </c>
      <c r="K2001" s="135"/>
      <c r="L2001" s="136" t="str">
        <f t="shared" si="92"/>
        <v>مدين</v>
      </c>
      <c r="M2001" s="137" t="str">
        <f>IF(ISERROR(VLOOKUP(C2001,'[1]خريطة الحسابات'!_xlnm.Print_Area,4,FALSE))," ",(VLOOKUP(C2001,'[1]خريطة الحسابات'!_xlnm.Print_Area,4,FALSE)))</f>
        <v>تكاليف مشروع سوديك  341</v>
      </c>
      <c r="N2001" s="138" t="str">
        <f>IF(ISERROR(VLOOKUP(C2001,'[1]خريطة الحسابات'!_xlnm.Print_Area,5,FALSE))," ",(VLOOKUP(C2001,'[1]خريطة الحسابات'!_xlnm.Print_Area,5,FALSE)))</f>
        <v xml:space="preserve">تكاليف العمليات </v>
      </c>
      <c r="O2001" s="84" t="s">
        <v>2227</v>
      </c>
      <c r="P2001" s="84" t="s">
        <v>1290</v>
      </c>
    </row>
    <row r="2002" spans="1:16">
      <c r="A2002" s="151">
        <v>66</v>
      </c>
      <c r="B2002" s="131">
        <v>46063</v>
      </c>
      <c r="C2002" s="150" t="s">
        <v>77</v>
      </c>
      <c r="D2002" s="140" t="str">
        <f>IF(ISERROR(VLOOKUP(C2002,'[1]خريطة الحسابات'!_xlnm.Print_Area,3,FALSE))," ",(VLOOKUP(C2002,'[1]خريطة الحسابات'!_xlnm.Print_Area,3,FALSE)))</f>
        <v xml:space="preserve">اعمال التكسير والهدم والنظافة والتشوينات من مواد </v>
      </c>
      <c r="E2002" s="142"/>
      <c r="F2002" s="133">
        <v>550</v>
      </c>
      <c r="G2002" s="133"/>
      <c r="H2002" s="134">
        <f t="shared" si="91"/>
        <v>550</v>
      </c>
      <c r="I2002" s="134">
        <f t="shared" si="91"/>
        <v>0</v>
      </c>
      <c r="J2002" s="134">
        <f t="shared" si="90"/>
        <v>550</v>
      </c>
      <c r="K2002" s="135"/>
      <c r="L2002" s="136" t="str">
        <f t="shared" si="92"/>
        <v>مدين</v>
      </c>
      <c r="M2002" s="137" t="str">
        <f>IF(ISERROR(VLOOKUP(C2002,'[1]خريطة الحسابات'!_xlnm.Print_Area,4,FALSE))," ",(VLOOKUP(C2002,'[1]خريطة الحسابات'!_xlnm.Print_Area,4,FALSE)))</f>
        <v>تكاليف مشروع سوديك  341</v>
      </c>
      <c r="N2002" s="138" t="str">
        <f>IF(ISERROR(VLOOKUP(C2002,'[1]خريطة الحسابات'!_xlnm.Print_Area,5,FALSE))," ",(VLOOKUP(C2002,'[1]خريطة الحسابات'!_xlnm.Print_Area,5,FALSE)))</f>
        <v xml:space="preserve">تكاليف العمليات </v>
      </c>
      <c r="O2002" s="84" t="s">
        <v>2228</v>
      </c>
      <c r="P2002" s="84" t="s">
        <v>1290</v>
      </c>
    </row>
    <row r="2003" spans="1:16">
      <c r="A2003" s="151">
        <v>66</v>
      </c>
      <c r="B2003" s="131">
        <v>46063</v>
      </c>
      <c r="C2003" s="150" t="s">
        <v>77</v>
      </c>
      <c r="D2003" s="140" t="str">
        <f>IF(ISERROR(VLOOKUP(C2003,'[1]خريطة الحسابات'!_xlnm.Print_Area,3,FALSE))," ",(VLOOKUP(C2003,'[1]خريطة الحسابات'!_xlnm.Print_Area,3,FALSE)))</f>
        <v xml:space="preserve">اعمال التكسير والهدم والنظافة والتشوينات من مواد </v>
      </c>
      <c r="E2003" s="142"/>
      <c r="F2003" s="133">
        <v>1100</v>
      </c>
      <c r="G2003" s="133"/>
      <c r="H2003" s="134">
        <f t="shared" si="91"/>
        <v>1100</v>
      </c>
      <c r="I2003" s="134">
        <f t="shared" si="91"/>
        <v>0</v>
      </c>
      <c r="J2003" s="134">
        <f t="shared" si="90"/>
        <v>1100</v>
      </c>
      <c r="K2003" s="135"/>
      <c r="L2003" s="136" t="str">
        <f t="shared" si="92"/>
        <v>مدين</v>
      </c>
      <c r="M2003" s="137" t="str">
        <f>IF(ISERROR(VLOOKUP(C2003,'[1]خريطة الحسابات'!_xlnm.Print_Area,4,FALSE))," ",(VLOOKUP(C2003,'[1]خريطة الحسابات'!_xlnm.Print_Area,4,FALSE)))</f>
        <v>تكاليف مشروع سوديك  341</v>
      </c>
      <c r="N2003" s="138" t="str">
        <f>IF(ISERROR(VLOOKUP(C2003,'[1]خريطة الحسابات'!_xlnm.Print_Area,5,FALSE))," ",(VLOOKUP(C2003,'[1]خريطة الحسابات'!_xlnm.Print_Area,5,FALSE)))</f>
        <v xml:space="preserve">تكاليف العمليات </v>
      </c>
      <c r="O2003" s="84" t="s">
        <v>2229</v>
      </c>
      <c r="P2003" s="84" t="s">
        <v>1290</v>
      </c>
    </row>
    <row r="2004" spans="1:16">
      <c r="A2004" s="151">
        <v>66</v>
      </c>
      <c r="B2004" s="131">
        <v>46065</v>
      </c>
      <c r="C2004" s="150" t="s">
        <v>77</v>
      </c>
      <c r="D2004" s="140" t="str">
        <f>IF(ISERROR(VLOOKUP(C2004,'[1]خريطة الحسابات'!_xlnm.Print_Area,3,FALSE))," ",(VLOOKUP(C2004,'[1]خريطة الحسابات'!_xlnm.Print_Area,3,FALSE)))</f>
        <v xml:space="preserve">اعمال التكسير والهدم والنظافة والتشوينات من مواد </v>
      </c>
      <c r="E2004" s="142"/>
      <c r="F2004" s="133">
        <v>2753</v>
      </c>
      <c r="G2004" s="133"/>
      <c r="H2004" s="134">
        <f t="shared" si="91"/>
        <v>2753</v>
      </c>
      <c r="I2004" s="134">
        <f t="shared" si="91"/>
        <v>0</v>
      </c>
      <c r="J2004" s="134">
        <f t="shared" si="90"/>
        <v>2753</v>
      </c>
      <c r="K2004" s="135"/>
      <c r="L2004" s="136" t="str">
        <f t="shared" si="92"/>
        <v>مدين</v>
      </c>
      <c r="M2004" s="137" t="str">
        <f>IF(ISERROR(VLOOKUP(C2004,'[1]خريطة الحسابات'!_xlnm.Print_Area,4,FALSE))," ",(VLOOKUP(C2004,'[1]خريطة الحسابات'!_xlnm.Print_Area,4,FALSE)))</f>
        <v>تكاليف مشروع سوديك  341</v>
      </c>
      <c r="N2004" s="138" t="str">
        <f>IF(ISERROR(VLOOKUP(C2004,'[1]خريطة الحسابات'!_xlnm.Print_Area,5,FALSE))," ",(VLOOKUP(C2004,'[1]خريطة الحسابات'!_xlnm.Print_Area,5,FALSE)))</f>
        <v xml:space="preserve">تكاليف العمليات </v>
      </c>
      <c r="O2004" s="84" t="s">
        <v>2230</v>
      </c>
      <c r="P2004" s="84" t="s">
        <v>1290</v>
      </c>
    </row>
    <row r="2005" spans="1:16">
      <c r="A2005" s="151">
        <v>66</v>
      </c>
      <c r="B2005" s="131">
        <v>46071</v>
      </c>
      <c r="C2005" s="150" t="s">
        <v>77</v>
      </c>
      <c r="D2005" s="140" t="str">
        <f>IF(ISERROR(VLOOKUP(C2005,'[1]خريطة الحسابات'!_xlnm.Print_Area,3,FALSE))," ",(VLOOKUP(C2005,'[1]خريطة الحسابات'!_xlnm.Print_Area,3,FALSE)))</f>
        <v xml:space="preserve">اعمال التكسير والهدم والنظافة والتشوينات من مواد </v>
      </c>
      <c r="E2005" s="142"/>
      <c r="F2005" s="133">
        <v>1100</v>
      </c>
      <c r="G2005" s="133"/>
      <c r="H2005" s="134">
        <f t="shared" si="91"/>
        <v>1100</v>
      </c>
      <c r="I2005" s="134">
        <f t="shared" si="91"/>
        <v>0</v>
      </c>
      <c r="J2005" s="134">
        <f t="shared" si="90"/>
        <v>1100</v>
      </c>
      <c r="K2005" s="135"/>
      <c r="L2005" s="136" t="str">
        <f t="shared" si="92"/>
        <v>مدين</v>
      </c>
      <c r="M2005" s="137" t="str">
        <f>IF(ISERROR(VLOOKUP(C2005,'[1]خريطة الحسابات'!_xlnm.Print_Area,4,FALSE))," ",(VLOOKUP(C2005,'[1]خريطة الحسابات'!_xlnm.Print_Area,4,FALSE)))</f>
        <v>تكاليف مشروع سوديك  341</v>
      </c>
      <c r="N2005" s="138" t="str">
        <f>IF(ISERROR(VLOOKUP(C2005,'[1]خريطة الحسابات'!_xlnm.Print_Area,5,FALSE))," ",(VLOOKUP(C2005,'[1]خريطة الحسابات'!_xlnm.Print_Area,5,FALSE)))</f>
        <v xml:space="preserve">تكاليف العمليات </v>
      </c>
      <c r="O2005" s="84" t="s">
        <v>2231</v>
      </c>
      <c r="P2005" s="84" t="s">
        <v>1290</v>
      </c>
    </row>
    <row r="2006" spans="1:16">
      <c r="A2006" s="151">
        <v>66</v>
      </c>
      <c r="B2006" s="131">
        <v>46077</v>
      </c>
      <c r="C2006" s="150" t="s">
        <v>77</v>
      </c>
      <c r="D2006" s="140" t="str">
        <f>IF(ISERROR(VLOOKUP(C2006,'[1]خريطة الحسابات'!_xlnm.Print_Area,3,FALSE))," ",(VLOOKUP(C2006,'[1]خريطة الحسابات'!_xlnm.Print_Area,3,FALSE)))</f>
        <v xml:space="preserve">اعمال التكسير والهدم والنظافة والتشوينات من مواد </v>
      </c>
      <c r="E2006" s="142"/>
      <c r="F2006" s="133">
        <v>1100</v>
      </c>
      <c r="G2006" s="133"/>
      <c r="H2006" s="134">
        <f t="shared" si="91"/>
        <v>1100</v>
      </c>
      <c r="I2006" s="134">
        <f t="shared" si="91"/>
        <v>0</v>
      </c>
      <c r="J2006" s="134">
        <f t="shared" si="90"/>
        <v>1100</v>
      </c>
      <c r="K2006" s="135"/>
      <c r="L2006" s="136" t="str">
        <f t="shared" si="92"/>
        <v>مدين</v>
      </c>
      <c r="M2006" s="137" t="str">
        <f>IF(ISERROR(VLOOKUP(C2006,'[1]خريطة الحسابات'!_xlnm.Print_Area,4,FALSE))," ",(VLOOKUP(C2006,'[1]خريطة الحسابات'!_xlnm.Print_Area,4,FALSE)))</f>
        <v>تكاليف مشروع سوديك  341</v>
      </c>
      <c r="N2006" s="138" t="str">
        <f>IF(ISERROR(VLOOKUP(C2006,'[1]خريطة الحسابات'!_xlnm.Print_Area,5,FALSE))," ",(VLOOKUP(C2006,'[1]خريطة الحسابات'!_xlnm.Print_Area,5,FALSE)))</f>
        <v xml:space="preserve">تكاليف العمليات </v>
      </c>
      <c r="O2006" s="84" t="s">
        <v>2232</v>
      </c>
      <c r="P2006" s="84" t="s">
        <v>1290</v>
      </c>
    </row>
    <row r="2007" spans="1:16">
      <c r="A2007" s="151">
        <v>66</v>
      </c>
      <c r="B2007" s="131">
        <v>46079</v>
      </c>
      <c r="C2007" s="150" t="s">
        <v>77</v>
      </c>
      <c r="D2007" s="140" t="str">
        <f>IF(ISERROR(VLOOKUP(C2007,'[1]خريطة الحسابات'!_xlnm.Print_Area,3,FALSE))," ",(VLOOKUP(C2007,'[1]خريطة الحسابات'!_xlnm.Print_Area,3,FALSE)))</f>
        <v xml:space="preserve">اعمال التكسير والهدم والنظافة والتشوينات من مواد </v>
      </c>
      <c r="E2007" s="142"/>
      <c r="F2007" s="133">
        <v>850</v>
      </c>
      <c r="G2007" s="133"/>
      <c r="H2007" s="134">
        <f t="shared" si="91"/>
        <v>850</v>
      </c>
      <c r="I2007" s="134">
        <f t="shared" si="91"/>
        <v>0</v>
      </c>
      <c r="J2007" s="134">
        <f t="shared" si="90"/>
        <v>850</v>
      </c>
      <c r="K2007" s="135"/>
      <c r="L2007" s="136" t="str">
        <f t="shared" si="92"/>
        <v>مدين</v>
      </c>
      <c r="M2007" s="137" t="str">
        <f>IF(ISERROR(VLOOKUP(C2007,'[1]خريطة الحسابات'!_xlnm.Print_Area,4,FALSE))," ",(VLOOKUP(C2007,'[1]خريطة الحسابات'!_xlnm.Print_Area,4,FALSE)))</f>
        <v>تكاليف مشروع سوديك  341</v>
      </c>
      <c r="N2007" s="138" t="str">
        <f>IF(ISERROR(VLOOKUP(C2007,'[1]خريطة الحسابات'!_xlnm.Print_Area,5,FALSE))," ",(VLOOKUP(C2007,'[1]خريطة الحسابات'!_xlnm.Print_Area,5,FALSE)))</f>
        <v xml:space="preserve">تكاليف العمليات </v>
      </c>
      <c r="O2007" s="84" t="s">
        <v>2233</v>
      </c>
      <c r="P2007" s="84" t="s">
        <v>1290</v>
      </c>
    </row>
    <row r="2008" spans="1:16">
      <c r="A2008" s="151">
        <v>66</v>
      </c>
      <c r="B2008" s="131">
        <v>46079</v>
      </c>
      <c r="C2008" s="150" t="s">
        <v>77</v>
      </c>
      <c r="D2008" s="140" t="str">
        <f>IF(ISERROR(VLOOKUP(C2008,'[1]خريطة الحسابات'!_xlnm.Print_Area,3,FALSE))," ",(VLOOKUP(C2008,'[1]خريطة الحسابات'!_xlnm.Print_Area,3,FALSE)))</f>
        <v xml:space="preserve">اعمال التكسير والهدم والنظافة والتشوينات من مواد </v>
      </c>
      <c r="E2008" s="142"/>
      <c r="F2008" s="133">
        <v>1100</v>
      </c>
      <c r="G2008" s="133"/>
      <c r="H2008" s="134">
        <f t="shared" si="91"/>
        <v>1100</v>
      </c>
      <c r="I2008" s="134">
        <f t="shared" si="91"/>
        <v>0</v>
      </c>
      <c r="J2008" s="134">
        <f t="shared" ref="J2008:J2071" si="93">H2008-I2008</f>
        <v>1100</v>
      </c>
      <c r="K2008" s="135"/>
      <c r="L2008" s="136" t="str">
        <f t="shared" si="92"/>
        <v>مدين</v>
      </c>
      <c r="M2008" s="137" t="str">
        <f>IF(ISERROR(VLOOKUP(C2008,'[1]خريطة الحسابات'!_xlnm.Print_Area,4,FALSE))," ",(VLOOKUP(C2008,'[1]خريطة الحسابات'!_xlnm.Print_Area,4,FALSE)))</f>
        <v>تكاليف مشروع سوديك  341</v>
      </c>
      <c r="N2008" s="138" t="str">
        <f>IF(ISERROR(VLOOKUP(C2008,'[1]خريطة الحسابات'!_xlnm.Print_Area,5,FALSE))," ",(VLOOKUP(C2008,'[1]خريطة الحسابات'!_xlnm.Print_Area,5,FALSE)))</f>
        <v xml:space="preserve">تكاليف العمليات </v>
      </c>
      <c r="O2008" s="84" t="s">
        <v>2234</v>
      </c>
      <c r="P2008" s="84" t="s">
        <v>1290</v>
      </c>
    </row>
    <row r="2009" spans="1:16">
      <c r="A2009" s="151">
        <v>66</v>
      </c>
      <c r="B2009" s="131">
        <v>46079</v>
      </c>
      <c r="C2009" s="150" t="s">
        <v>77</v>
      </c>
      <c r="D2009" s="140" t="str">
        <f>IF(ISERROR(VLOOKUP(C2009,'[1]خريطة الحسابات'!_xlnm.Print_Area,3,FALSE))," ",(VLOOKUP(C2009,'[1]خريطة الحسابات'!_xlnm.Print_Area,3,FALSE)))</f>
        <v xml:space="preserve">اعمال التكسير والهدم والنظافة والتشوينات من مواد </v>
      </c>
      <c r="E2009" s="142"/>
      <c r="F2009" s="133">
        <v>550</v>
      </c>
      <c r="G2009" s="133"/>
      <c r="H2009" s="134">
        <f t="shared" ref="H2009:I2072" si="94">IF($E2009=2,F2009*3.465,F2009)</f>
        <v>550</v>
      </c>
      <c r="I2009" s="134">
        <f t="shared" si="94"/>
        <v>0</v>
      </c>
      <c r="J2009" s="134">
        <f t="shared" si="93"/>
        <v>550</v>
      </c>
      <c r="K2009" s="135"/>
      <c r="L2009" s="136" t="str">
        <f t="shared" si="92"/>
        <v>مدين</v>
      </c>
      <c r="M2009" s="137" t="str">
        <f>IF(ISERROR(VLOOKUP(C2009,'[1]خريطة الحسابات'!_xlnm.Print_Area,4,FALSE))," ",(VLOOKUP(C2009,'[1]خريطة الحسابات'!_xlnm.Print_Area,4,FALSE)))</f>
        <v>تكاليف مشروع سوديك  341</v>
      </c>
      <c r="N2009" s="138" t="str">
        <f>IF(ISERROR(VLOOKUP(C2009,'[1]خريطة الحسابات'!_xlnm.Print_Area,5,FALSE))," ",(VLOOKUP(C2009,'[1]خريطة الحسابات'!_xlnm.Print_Area,5,FALSE)))</f>
        <v xml:space="preserve">تكاليف العمليات </v>
      </c>
      <c r="O2009" s="84" t="s">
        <v>2196</v>
      </c>
      <c r="P2009" s="84" t="s">
        <v>1290</v>
      </c>
    </row>
    <row r="2010" spans="1:16">
      <c r="A2010" s="151">
        <v>66</v>
      </c>
      <c r="B2010" s="131">
        <v>46096</v>
      </c>
      <c r="C2010" s="150" t="s">
        <v>77</v>
      </c>
      <c r="D2010" s="140" t="str">
        <f>IF(ISERROR(VLOOKUP(C2010,'[1]خريطة الحسابات'!_xlnm.Print_Area,3,FALSE))," ",(VLOOKUP(C2010,'[1]خريطة الحسابات'!_xlnm.Print_Area,3,FALSE)))</f>
        <v xml:space="preserve">اعمال التكسير والهدم والنظافة والتشوينات من مواد </v>
      </c>
      <c r="E2010" s="142"/>
      <c r="F2010" s="133">
        <v>600</v>
      </c>
      <c r="G2010" s="133"/>
      <c r="H2010" s="134">
        <f t="shared" si="94"/>
        <v>600</v>
      </c>
      <c r="I2010" s="134">
        <f t="shared" si="94"/>
        <v>0</v>
      </c>
      <c r="J2010" s="134">
        <f t="shared" si="93"/>
        <v>600</v>
      </c>
      <c r="K2010" s="135"/>
      <c r="L2010" s="136" t="str">
        <f t="shared" si="92"/>
        <v>مدين</v>
      </c>
      <c r="M2010" s="137" t="str">
        <f>IF(ISERROR(VLOOKUP(C2010,'[1]خريطة الحسابات'!_xlnm.Print_Area,4,FALSE))," ",(VLOOKUP(C2010,'[1]خريطة الحسابات'!_xlnm.Print_Area,4,FALSE)))</f>
        <v>تكاليف مشروع سوديك  341</v>
      </c>
      <c r="N2010" s="138" t="str">
        <f>IF(ISERROR(VLOOKUP(C2010,'[1]خريطة الحسابات'!_xlnm.Print_Area,5,FALSE))," ",(VLOOKUP(C2010,'[1]خريطة الحسابات'!_xlnm.Print_Area,5,FALSE)))</f>
        <v xml:space="preserve">تكاليف العمليات </v>
      </c>
      <c r="O2010" s="84" t="s">
        <v>2235</v>
      </c>
      <c r="P2010" s="84" t="s">
        <v>1290</v>
      </c>
    </row>
    <row r="2011" spans="1:16">
      <c r="A2011" s="151">
        <v>66</v>
      </c>
      <c r="B2011" s="131">
        <v>46109</v>
      </c>
      <c r="C2011" s="150" t="s">
        <v>77</v>
      </c>
      <c r="D2011" s="140" t="str">
        <f>IF(ISERROR(VLOOKUP(C2011,'[1]خريطة الحسابات'!_xlnm.Print_Area,3,FALSE))," ",(VLOOKUP(C2011,'[1]خريطة الحسابات'!_xlnm.Print_Area,3,FALSE)))</f>
        <v xml:space="preserve">اعمال التكسير والهدم والنظافة والتشوينات من مواد </v>
      </c>
      <c r="E2011" s="142"/>
      <c r="F2011" s="133">
        <v>550</v>
      </c>
      <c r="G2011" s="133"/>
      <c r="H2011" s="134">
        <f t="shared" si="94"/>
        <v>550</v>
      </c>
      <c r="I2011" s="134">
        <f t="shared" si="94"/>
        <v>0</v>
      </c>
      <c r="J2011" s="134">
        <f t="shared" si="93"/>
        <v>550</v>
      </c>
      <c r="K2011" s="135"/>
      <c r="L2011" s="136" t="str">
        <f t="shared" ref="L2011:L2074" si="95">IF(J2011&lt;0,"دائن",IF(J2011&gt;0,"مدين",""))</f>
        <v>مدين</v>
      </c>
      <c r="M2011" s="137" t="str">
        <f>IF(ISERROR(VLOOKUP(C2011,'[1]خريطة الحسابات'!_xlnm.Print_Area,4,FALSE))," ",(VLOOKUP(C2011,'[1]خريطة الحسابات'!_xlnm.Print_Area,4,FALSE)))</f>
        <v>تكاليف مشروع سوديك  341</v>
      </c>
      <c r="N2011" s="138" t="str">
        <f>IF(ISERROR(VLOOKUP(C2011,'[1]خريطة الحسابات'!_xlnm.Print_Area,5,FALSE))," ",(VLOOKUP(C2011,'[1]خريطة الحسابات'!_xlnm.Print_Area,5,FALSE)))</f>
        <v xml:space="preserve">تكاليف العمليات </v>
      </c>
      <c r="O2011" s="84" t="s">
        <v>2203</v>
      </c>
      <c r="P2011" s="84" t="s">
        <v>1290</v>
      </c>
    </row>
    <row r="2012" spans="1:16">
      <c r="A2012" s="151">
        <v>66</v>
      </c>
      <c r="B2012" s="131">
        <v>46116</v>
      </c>
      <c r="C2012" s="150" t="s">
        <v>77</v>
      </c>
      <c r="D2012" s="140" t="str">
        <f>IF(ISERROR(VLOOKUP(C2012,'[1]خريطة الحسابات'!_xlnm.Print_Area,3,FALSE))," ",(VLOOKUP(C2012,'[1]خريطة الحسابات'!_xlnm.Print_Area,3,FALSE)))</f>
        <v xml:space="preserve">اعمال التكسير والهدم والنظافة والتشوينات من مواد </v>
      </c>
      <c r="E2012" s="142"/>
      <c r="F2012" s="133">
        <v>1650</v>
      </c>
      <c r="G2012" s="133"/>
      <c r="H2012" s="134">
        <f t="shared" si="94"/>
        <v>1650</v>
      </c>
      <c r="I2012" s="134">
        <f t="shared" si="94"/>
        <v>0</v>
      </c>
      <c r="J2012" s="134">
        <f t="shared" si="93"/>
        <v>1650</v>
      </c>
      <c r="K2012" s="135"/>
      <c r="L2012" s="136" t="str">
        <f t="shared" si="95"/>
        <v>مدين</v>
      </c>
      <c r="M2012" s="137" t="str">
        <f>IF(ISERROR(VLOOKUP(C2012,'[1]خريطة الحسابات'!_xlnm.Print_Area,4,FALSE))," ",(VLOOKUP(C2012,'[1]خريطة الحسابات'!_xlnm.Print_Area,4,FALSE)))</f>
        <v>تكاليف مشروع سوديك  341</v>
      </c>
      <c r="N2012" s="138" t="str">
        <f>IF(ISERROR(VLOOKUP(C2012,'[1]خريطة الحسابات'!_xlnm.Print_Area,5,FALSE))," ",(VLOOKUP(C2012,'[1]خريطة الحسابات'!_xlnm.Print_Area,5,FALSE)))</f>
        <v xml:space="preserve">تكاليف العمليات </v>
      </c>
      <c r="O2012" s="84" t="s">
        <v>2236</v>
      </c>
      <c r="P2012" s="84" t="s">
        <v>1290</v>
      </c>
    </row>
    <row r="2013" spans="1:16">
      <c r="A2013" s="151">
        <v>66</v>
      </c>
      <c r="B2013" s="131">
        <v>46121</v>
      </c>
      <c r="C2013" s="150" t="s">
        <v>77</v>
      </c>
      <c r="D2013" s="140" t="str">
        <f>IF(ISERROR(VLOOKUP(C2013,'[1]خريطة الحسابات'!_xlnm.Print_Area,3,FALSE))," ",(VLOOKUP(C2013,'[1]خريطة الحسابات'!_xlnm.Print_Area,3,FALSE)))</f>
        <v xml:space="preserve">اعمال التكسير والهدم والنظافة والتشوينات من مواد </v>
      </c>
      <c r="E2013" s="142"/>
      <c r="F2013" s="133">
        <v>1150</v>
      </c>
      <c r="G2013" s="133"/>
      <c r="H2013" s="134">
        <f t="shared" si="94"/>
        <v>1150</v>
      </c>
      <c r="I2013" s="134">
        <f t="shared" si="94"/>
        <v>0</v>
      </c>
      <c r="J2013" s="134">
        <f t="shared" si="93"/>
        <v>1150</v>
      </c>
      <c r="K2013" s="135"/>
      <c r="L2013" s="136" t="str">
        <f t="shared" si="95"/>
        <v>مدين</v>
      </c>
      <c r="M2013" s="137" t="str">
        <f>IF(ISERROR(VLOOKUP(C2013,'[1]خريطة الحسابات'!_xlnm.Print_Area,4,FALSE))," ",(VLOOKUP(C2013,'[1]خريطة الحسابات'!_xlnm.Print_Area,4,FALSE)))</f>
        <v>تكاليف مشروع سوديك  341</v>
      </c>
      <c r="N2013" s="138" t="str">
        <f>IF(ISERROR(VLOOKUP(C2013,'[1]خريطة الحسابات'!_xlnm.Print_Area,5,FALSE))," ",(VLOOKUP(C2013,'[1]خريطة الحسابات'!_xlnm.Print_Area,5,FALSE)))</f>
        <v xml:space="preserve">تكاليف العمليات </v>
      </c>
      <c r="O2013" s="84" t="s">
        <v>2237</v>
      </c>
      <c r="P2013" s="84" t="s">
        <v>1290</v>
      </c>
    </row>
    <row r="2014" spans="1:16">
      <c r="A2014" s="151">
        <v>66</v>
      </c>
      <c r="B2014" s="131">
        <v>46121</v>
      </c>
      <c r="C2014" s="150" t="s">
        <v>77</v>
      </c>
      <c r="D2014" s="140" t="str">
        <f>IF(ISERROR(VLOOKUP(C2014,'[1]خريطة الحسابات'!_xlnm.Print_Area,3,FALSE))," ",(VLOOKUP(C2014,'[1]خريطة الحسابات'!_xlnm.Print_Area,3,FALSE)))</f>
        <v xml:space="preserve">اعمال التكسير والهدم والنظافة والتشوينات من مواد </v>
      </c>
      <c r="E2014" s="142"/>
      <c r="F2014" s="133">
        <v>1850</v>
      </c>
      <c r="G2014" s="133"/>
      <c r="H2014" s="134">
        <f t="shared" si="94"/>
        <v>1850</v>
      </c>
      <c r="I2014" s="134">
        <f t="shared" si="94"/>
        <v>0</v>
      </c>
      <c r="J2014" s="134">
        <f t="shared" si="93"/>
        <v>1850</v>
      </c>
      <c r="K2014" s="135"/>
      <c r="L2014" s="136" t="str">
        <f t="shared" si="95"/>
        <v>مدين</v>
      </c>
      <c r="M2014" s="137" t="str">
        <f>IF(ISERROR(VLOOKUP(C2014,'[1]خريطة الحسابات'!_xlnm.Print_Area,4,FALSE))," ",(VLOOKUP(C2014,'[1]خريطة الحسابات'!_xlnm.Print_Area,4,FALSE)))</f>
        <v>تكاليف مشروع سوديك  341</v>
      </c>
      <c r="N2014" s="138" t="str">
        <f>IF(ISERROR(VLOOKUP(C2014,'[1]خريطة الحسابات'!_xlnm.Print_Area,5,FALSE))," ",(VLOOKUP(C2014,'[1]خريطة الحسابات'!_xlnm.Print_Area,5,FALSE)))</f>
        <v xml:space="preserve">تكاليف العمليات </v>
      </c>
      <c r="O2014" s="84" t="s">
        <v>2238</v>
      </c>
      <c r="P2014" s="84" t="s">
        <v>1290</v>
      </c>
    </row>
    <row r="2015" spans="1:16">
      <c r="A2015" s="151">
        <v>66</v>
      </c>
      <c r="B2015" s="131">
        <v>46131</v>
      </c>
      <c r="C2015" s="150" t="s">
        <v>77</v>
      </c>
      <c r="D2015" s="140" t="str">
        <f>IF(ISERROR(VLOOKUP(C2015,'[1]خريطة الحسابات'!_xlnm.Print_Area,3,FALSE))," ",(VLOOKUP(C2015,'[1]خريطة الحسابات'!_xlnm.Print_Area,3,FALSE)))</f>
        <v xml:space="preserve">اعمال التكسير والهدم والنظافة والتشوينات من مواد </v>
      </c>
      <c r="E2015" s="142"/>
      <c r="F2015" s="133">
        <v>1650</v>
      </c>
      <c r="G2015" s="133"/>
      <c r="H2015" s="134">
        <f t="shared" si="94"/>
        <v>1650</v>
      </c>
      <c r="I2015" s="134">
        <f t="shared" si="94"/>
        <v>0</v>
      </c>
      <c r="J2015" s="134">
        <f t="shared" si="93"/>
        <v>1650</v>
      </c>
      <c r="K2015" s="135"/>
      <c r="L2015" s="136" t="str">
        <f t="shared" si="95"/>
        <v>مدين</v>
      </c>
      <c r="M2015" s="137" t="str">
        <f>IF(ISERROR(VLOOKUP(C2015,'[1]خريطة الحسابات'!_xlnm.Print_Area,4,FALSE))," ",(VLOOKUP(C2015,'[1]خريطة الحسابات'!_xlnm.Print_Area,4,FALSE)))</f>
        <v>تكاليف مشروع سوديك  341</v>
      </c>
      <c r="N2015" s="138" t="str">
        <f>IF(ISERROR(VLOOKUP(C2015,'[1]خريطة الحسابات'!_xlnm.Print_Area,5,FALSE))," ",(VLOOKUP(C2015,'[1]خريطة الحسابات'!_xlnm.Print_Area,5,FALSE)))</f>
        <v xml:space="preserve">تكاليف العمليات </v>
      </c>
      <c r="O2015" s="84" t="s">
        <v>2239</v>
      </c>
      <c r="P2015" s="84" t="s">
        <v>1290</v>
      </c>
    </row>
    <row r="2016" spans="1:16">
      <c r="A2016" s="151">
        <v>66</v>
      </c>
      <c r="B2016" s="131">
        <v>46133</v>
      </c>
      <c r="C2016" s="150" t="s">
        <v>77</v>
      </c>
      <c r="D2016" s="140" t="str">
        <f>IF(ISERROR(VLOOKUP(C2016,'[1]خريطة الحسابات'!_xlnm.Print_Area,3,FALSE))," ",(VLOOKUP(C2016,'[1]خريطة الحسابات'!_xlnm.Print_Area,3,FALSE)))</f>
        <v xml:space="preserve">اعمال التكسير والهدم والنظافة والتشوينات من مواد </v>
      </c>
      <c r="E2016" s="142"/>
      <c r="F2016" s="133">
        <v>550</v>
      </c>
      <c r="G2016" s="133"/>
      <c r="H2016" s="134">
        <f t="shared" si="94"/>
        <v>550</v>
      </c>
      <c r="I2016" s="134">
        <f t="shared" si="94"/>
        <v>0</v>
      </c>
      <c r="J2016" s="134">
        <f t="shared" si="93"/>
        <v>550</v>
      </c>
      <c r="K2016" s="135"/>
      <c r="L2016" s="136" t="str">
        <f t="shared" si="95"/>
        <v>مدين</v>
      </c>
      <c r="M2016" s="137" t="str">
        <f>IF(ISERROR(VLOOKUP(C2016,'[1]خريطة الحسابات'!_xlnm.Print_Area,4,FALSE))," ",(VLOOKUP(C2016,'[1]خريطة الحسابات'!_xlnm.Print_Area,4,FALSE)))</f>
        <v>تكاليف مشروع سوديك  341</v>
      </c>
      <c r="N2016" s="138" t="str">
        <f>IF(ISERROR(VLOOKUP(C2016,'[1]خريطة الحسابات'!_xlnm.Print_Area,5,FALSE))," ",(VLOOKUP(C2016,'[1]خريطة الحسابات'!_xlnm.Print_Area,5,FALSE)))</f>
        <v xml:space="preserve">تكاليف العمليات </v>
      </c>
      <c r="O2016" s="84" t="s">
        <v>2240</v>
      </c>
      <c r="P2016" s="84" t="s">
        <v>1290</v>
      </c>
    </row>
    <row r="2017" spans="1:16">
      <c r="A2017" s="151">
        <v>66</v>
      </c>
      <c r="B2017" s="131">
        <v>46135</v>
      </c>
      <c r="C2017" s="150" t="s">
        <v>77</v>
      </c>
      <c r="D2017" s="140" t="str">
        <f>IF(ISERROR(VLOOKUP(C2017,'[1]خريطة الحسابات'!_xlnm.Print_Area,3,FALSE))," ",(VLOOKUP(C2017,'[1]خريطة الحسابات'!_xlnm.Print_Area,3,FALSE)))</f>
        <v xml:space="preserve">اعمال التكسير والهدم والنظافة والتشوينات من مواد </v>
      </c>
      <c r="E2017" s="142"/>
      <c r="F2017" s="133">
        <v>550</v>
      </c>
      <c r="G2017" s="133"/>
      <c r="H2017" s="134">
        <f t="shared" si="94"/>
        <v>550</v>
      </c>
      <c r="I2017" s="134">
        <f t="shared" si="94"/>
        <v>0</v>
      </c>
      <c r="J2017" s="134">
        <f t="shared" si="93"/>
        <v>550</v>
      </c>
      <c r="K2017" s="135"/>
      <c r="L2017" s="136" t="str">
        <f t="shared" si="95"/>
        <v>مدين</v>
      </c>
      <c r="M2017" s="137" t="str">
        <f>IF(ISERROR(VLOOKUP(C2017,'[1]خريطة الحسابات'!_xlnm.Print_Area,4,FALSE))," ",(VLOOKUP(C2017,'[1]خريطة الحسابات'!_xlnm.Print_Area,4,FALSE)))</f>
        <v>تكاليف مشروع سوديك  341</v>
      </c>
      <c r="N2017" s="138" t="str">
        <f>IF(ISERROR(VLOOKUP(C2017,'[1]خريطة الحسابات'!_xlnm.Print_Area,5,FALSE))," ",(VLOOKUP(C2017,'[1]خريطة الحسابات'!_xlnm.Print_Area,5,FALSE)))</f>
        <v xml:space="preserve">تكاليف العمليات </v>
      </c>
      <c r="O2017" s="84" t="s">
        <v>2241</v>
      </c>
      <c r="P2017" s="84" t="s">
        <v>1290</v>
      </c>
    </row>
    <row r="2018" spans="1:16">
      <c r="A2018" s="151">
        <v>66</v>
      </c>
      <c r="B2018" s="131">
        <v>46142</v>
      </c>
      <c r="C2018" s="150" t="s">
        <v>77</v>
      </c>
      <c r="D2018" s="140" t="str">
        <f>IF(ISERROR(VLOOKUP(C2018,'[1]خريطة الحسابات'!_xlnm.Print_Area,3,FALSE))," ",(VLOOKUP(C2018,'[1]خريطة الحسابات'!_xlnm.Print_Area,3,FALSE)))</f>
        <v xml:space="preserve">اعمال التكسير والهدم والنظافة والتشوينات من مواد </v>
      </c>
      <c r="E2018" s="142"/>
      <c r="F2018" s="133">
        <v>1650</v>
      </c>
      <c r="G2018" s="133"/>
      <c r="H2018" s="134">
        <f t="shared" si="94"/>
        <v>1650</v>
      </c>
      <c r="I2018" s="134">
        <f t="shared" si="94"/>
        <v>0</v>
      </c>
      <c r="J2018" s="134">
        <f t="shared" si="93"/>
        <v>1650</v>
      </c>
      <c r="K2018" s="135"/>
      <c r="L2018" s="136" t="str">
        <f t="shared" si="95"/>
        <v>مدين</v>
      </c>
      <c r="M2018" s="137" t="str">
        <f>IF(ISERROR(VLOOKUP(C2018,'[1]خريطة الحسابات'!_xlnm.Print_Area,4,FALSE))," ",(VLOOKUP(C2018,'[1]خريطة الحسابات'!_xlnm.Print_Area,4,FALSE)))</f>
        <v>تكاليف مشروع سوديك  341</v>
      </c>
      <c r="N2018" s="138" t="str">
        <f>IF(ISERROR(VLOOKUP(C2018,'[1]خريطة الحسابات'!_xlnm.Print_Area,5,FALSE))," ",(VLOOKUP(C2018,'[1]خريطة الحسابات'!_xlnm.Print_Area,5,FALSE)))</f>
        <v xml:space="preserve">تكاليف العمليات </v>
      </c>
      <c r="O2018" s="84" t="s">
        <v>2242</v>
      </c>
      <c r="P2018" s="84" t="s">
        <v>1290</v>
      </c>
    </row>
    <row r="2019" spans="1:16">
      <c r="A2019" s="151">
        <v>66</v>
      </c>
      <c r="B2019" s="131">
        <v>46147</v>
      </c>
      <c r="C2019" s="150" t="s">
        <v>77</v>
      </c>
      <c r="D2019" s="140" t="str">
        <f>IF(ISERROR(VLOOKUP(C2019,'[1]خريطة الحسابات'!_xlnm.Print_Area,3,FALSE))," ",(VLOOKUP(C2019,'[1]خريطة الحسابات'!_xlnm.Print_Area,3,FALSE)))</f>
        <v xml:space="preserve">اعمال التكسير والهدم والنظافة والتشوينات من مواد </v>
      </c>
      <c r="E2019" s="142"/>
      <c r="F2019" s="133">
        <v>600</v>
      </c>
      <c r="G2019" s="133"/>
      <c r="H2019" s="134">
        <f t="shared" si="94"/>
        <v>600</v>
      </c>
      <c r="I2019" s="134">
        <f t="shared" si="94"/>
        <v>0</v>
      </c>
      <c r="J2019" s="134">
        <f t="shared" si="93"/>
        <v>600</v>
      </c>
      <c r="K2019" s="135"/>
      <c r="L2019" s="136" t="str">
        <f t="shared" si="95"/>
        <v>مدين</v>
      </c>
      <c r="M2019" s="137" t="str">
        <f>IF(ISERROR(VLOOKUP(C2019,'[1]خريطة الحسابات'!_xlnm.Print_Area,4,FALSE))," ",(VLOOKUP(C2019,'[1]خريطة الحسابات'!_xlnm.Print_Area,4,FALSE)))</f>
        <v>تكاليف مشروع سوديك  341</v>
      </c>
      <c r="N2019" s="138" t="str">
        <f>IF(ISERROR(VLOOKUP(C2019,'[1]خريطة الحسابات'!_xlnm.Print_Area,5,FALSE))," ",(VLOOKUP(C2019,'[1]خريطة الحسابات'!_xlnm.Print_Area,5,FALSE)))</f>
        <v xml:space="preserve">تكاليف العمليات </v>
      </c>
      <c r="O2019" s="84" t="s">
        <v>2243</v>
      </c>
      <c r="P2019" s="84" t="s">
        <v>1290</v>
      </c>
    </row>
    <row r="2020" spans="1:16">
      <c r="A2020" s="151">
        <v>66</v>
      </c>
      <c r="B2020" s="131">
        <v>46182</v>
      </c>
      <c r="C2020" s="150" t="s">
        <v>77</v>
      </c>
      <c r="D2020" s="140" t="str">
        <f>IF(ISERROR(VLOOKUP(C2020,'[1]خريطة الحسابات'!_xlnm.Print_Area,3,FALSE))," ",(VLOOKUP(C2020,'[1]خريطة الحسابات'!_xlnm.Print_Area,3,FALSE)))</f>
        <v xml:space="preserve">اعمال التكسير والهدم والنظافة والتشوينات من مواد </v>
      </c>
      <c r="E2020" s="142"/>
      <c r="F2020" s="133">
        <v>3955</v>
      </c>
      <c r="G2020" s="133"/>
      <c r="H2020" s="134">
        <f t="shared" si="94"/>
        <v>3955</v>
      </c>
      <c r="I2020" s="134">
        <f t="shared" si="94"/>
        <v>0</v>
      </c>
      <c r="J2020" s="134">
        <f t="shared" si="93"/>
        <v>3955</v>
      </c>
      <c r="K2020" s="135"/>
      <c r="L2020" s="136" t="str">
        <f t="shared" si="95"/>
        <v>مدين</v>
      </c>
      <c r="M2020" s="137" t="str">
        <f>IF(ISERROR(VLOOKUP(C2020,'[1]خريطة الحسابات'!_xlnm.Print_Area,4,FALSE))," ",(VLOOKUP(C2020,'[1]خريطة الحسابات'!_xlnm.Print_Area,4,FALSE)))</f>
        <v>تكاليف مشروع سوديك  341</v>
      </c>
      <c r="N2020" s="138" t="str">
        <f>IF(ISERROR(VLOOKUP(C2020,'[1]خريطة الحسابات'!_xlnm.Print_Area,5,FALSE))," ",(VLOOKUP(C2020,'[1]خريطة الحسابات'!_xlnm.Print_Area,5,FALSE)))</f>
        <v xml:space="preserve">تكاليف العمليات </v>
      </c>
      <c r="O2020" s="84" t="s">
        <v>2244</v>
      </c>
      <c r="P2020" s="84" t="s">
        <v>1290</v>
      </c>
    </row>
    <row r="2021" spans="1:16">
      <c r="A2021" s="151">
        <v>66</v>
      </c>
      <c r="B2021" s="131">
        <v>46121</v>
      </c>
      <c r="C2021" s="150" t="s">
        <v>912</v>
      </c>
      <c r="D2021" s="140" t="str">
        <f>IF(ISERROR(VLOOKUP(C2021,'[1]خريطة الحسابات'!_xlnm.Print_Area,3,FALSE))," ",(VLOOKUP(C2021,'[1]خريطة الحسابات'!_xlnm.Print_Area,3,FALSE)))</f>
        <v>اعمال التكسير والهدم والنظافة</v>
      </c>
      <c r="E2021" s="142"/>
      <c r="F2021" s="133">
        <v>7000</v>
      </c>
      <c r="G2021" s="133"/>
      <c r="H2021" s="134">
        <f t="shared" si="94"/>
        <v>7000</v>
      </c>
      <c r="I2021" s="134">
        <f t="shared" si="94"/>
        <v>0</v>
      </c>
      <c r="J2021" s="134">
        <f t="shared" si="93"/>
        <v>7000</v>
      </c>
      <c r="K2021" s="135"/>
      <c r="L2021" s="136" t="str">
        <f t="shared" si="95"/>
        <v>مدين</v>
      </c>
      <c r="M2021" s="137" t="str">
        <f>IF(ISERROR(VLOOKUP(C2021,'[1]خريطة الحسابات'!_xlnm.Print_Area,4,FALSE))," ",(VLOOKUP(C2021,'[1]خريطة الحسابات'!_xlnm.Print_Area,4,FALSE)))</f>
        <v>تكاليف مشروع وصال العشري 398</v>
      </c>
      <c r="N2021" s="138" t="str">
        <f>IF(ISERROR(VLOOKUP(C2021,'[1]خريطة الحسابات'!_xlnm.Print_Area,5,FALSE))," ",(VLOOKUP(C2021,'[1]خريطة الحسابات'!_xlnm.Print_Area,5,FALSE)))</f>
        <v xml:space="preserve">تكاليف العمليات </v>
      </c>
      <c r="O2021" s="84" t="s">
        <v>2245</v>
      </c>
      <c r="P2021" s="84" t="s">
        <v>1489</v>
      </c>
    </row>
    <row r="2022" spans="1:16">
      <c r="A2022" s="151">
        <v>66</v>
      </c>
      <c r="B2022" s="131">
        <v>46133</v>
      </c>
      <c r="C2022" s="150" t="s">
        <v>912</v>
      </c>
      <c r="D2022" s="140" t="str">
        <f>IF(ISERROR(VLOOKUP(C2022,'[1]خريطة الحسابات'!_xlnm.Print_Area,3,FALSE))," ",(VLOOKUP(C2022,'[1]خريطة الحسابات'!_xlnm.Print_Area,3,FALSE)))</f>
        <v>اعمال التكسير والهدم والنظافة</v>
      </c>
      <c r="E2022" s="142"/>
      <c r="F2022" s="133">
        <v>5000</v>
      </c>
      <c r="G2022" s="133"/>
      <c r="H2022" s="134">
        <f t="shared" si="94"/>
        <v>5000</v>
      </c>
      <c r="I2022" s="134">
        <f t="shared" si="94"/>
        <v>0</v>
      </c>
      <c r="J2022" s="134">
        <f t="shared" si="93"/>
        <v>5000</v>
      </c>
      <c r="K2022" s="135"/>
      <c r="L2022" s="136" t="str">
        <f t="shared" si="95"/>
        <v>مدين</v>
      </c>
      <c r="M2022" s="137" t="str">
        <f>IF(ISERROR(VLOOKUP(C2022,'[1]خريطة الحسابات'!_xlnm.Print_Area,4,FALSE))," ",(VLOOKUP(C2022,'[1]خريطة الحسابات'!_xlnm.Print_Area,4,FALSE)))</f>
        <v>تكاليف مشروع وصال العشري 398</v>
      </c>
      <c r="N2022" s="138" t="str">
        <f>IF(ISERROR(VLOOKUP(C2022,'[1]خريطة الحسابات'!_xlnm.Print_Area,5,FALSE))," ",(VLOOKUP(C2022,'[1]خريطة الحسابات'!_xlnm.Print_Area,5,FALSE)))</f>
        <v xml:space="preserve">تكاليف العمليات </v>
      </c>
      <c r="O2022" s="84" t="s">
        <v>2246</v>
      </c>
      <c r="P2022" s="84" t="s">
        <v>1489</v>
      </c>
    </row>
    <row r="2023" spans="1:16">
      <c r="A2023" s="151">
        <v>66</v>
      </c>
      <c r="B2023" s="131">
        <v>46135</v>
      </c>
      <c r="C2023" s="150" t="s">
        <v>912</v>
      </c>
      <c r="D2023" s="140" t="str">
        <f>IF(ISERROR(VLOOKUP(C2023,'[1]خريطة الحسابات'!_xlnm.Print_Area,3,FALSE))," ",(VLOOKUP(C2023,'[1]خريطة الحسابات'!_xlnm.Print_Area,3,FALSE)))</f>
        <v>اعمال التكسير والهدم والنظافة</v>
      </c>
      <c r="E2023" s="142"/>
      <c r="F2023" s="133">
        <v>5000</v>
      </c>
      <c r="G2023" s="133"/>
      <c r="H2023" s="134">
        <f t="shared" si="94"/>
        <v>5000</v>
      </c>
      <c r="I2023" s="134">
        <f t="shared" si="94"/>
        <v>0</v>
      </c>
      <c r="J2023" s="134">
        <f t="shared" si="93"/>
        <v>5000</v>
      </c>
      <c r="K2023" s="135"/>
      <c r="L2023" s="136" t="str">
        <f t="shared" si="95"/>
        <v>مدين</v>
      </c>
      <c r="M2023" s="137" t="str">
        <f>IF(ISERROR(VLOOKUP(C2023,'[1]خريطة الحسابات'!_xlnm.Print_Area,4,FALSE))," ",(VLOOKUP(C2023,'[1]خريطة الحسابات'!_xlnm.Print_Area,4,FALSE)))</f>
        <v>تكاليف مشروع وصال العشري 398</v>
      </c>
      <c r="N2023" s="138" t="str">
        <f>IF(ISERROR(VLOOKUP(C2023,'[1]خريطة الحسابات'!_xlnm.Print_Area,5,FALSE))," ",(VLOOKUP(C2023,'[1]خريطة الحسابات'!_xlnm.Print_Area,5,FALSE)))</f>
        <v xml:space="preserve">تكاليف العمليات </v>
      </c>
      <c r="O2023" s="84" t="s">
        <v>2247</v>
      </c>
      <c r="P2023" s="84" t="s">
        <v>1489</v>
      </c>
    </row>
    <row r="2024" spans="1:16">
      <c r="A2024" s="151">
        <v>66</v>
      </c>
      <c r="B2024" s="131">
        <v>46135</v>
      </c>
      <c r="C2024" s="150" t="s">
        <v>912</v>
      </c>
      <c r="D2024" s="140" t="str">
        <f>IF(ISERROR(VLOOKUP(C2024,'[1]خريطة الحسابات'!_xlnm.Print_Area,3,FALSE))," ",(VLOOKUP(C2024,'[1]خريطة الحسابات'!_xlnm.Print_Area,3,FALSE)))</f>
        <v>اعمال التكسير والهدم والنظافة</v>
      </c>
      <c r="E2024" s="142"/>
      <c r="F2024" s="133">
        <v>2000</v>
      </c>
      <c r="G2024" s="133"/>
      <c r="H2024" s="134">
        <f t="shared" si="94"/>
        <v>2000</v>
      </c>
      <c r="I2024" s="134">
        <f t="shared" si="94"/>
        <v>0</v>
      </c>
      <c r="J2024" s="134">
        <f t="shared" si="93"/>
        <v>2000</v>
      </c>
      <c r="K2024" s="135"/>
      <c r="L2024" s="136" t="str">
        <f t="shared" si="95"/>
        <v>مدين</v>
      </c>
      <c r="M2024" s="137" t="str">
        <f>IF(ISERROR(VLOOKUP(C2024,'[1]خريطة الحسابات'!_xlnm.Print_Area,4,FALSE))," ",(VLOOKUP(C2024,'[1]خريطة الحسابات'!_xlnm.Print_Area,4,FALSE)))</f>
        <v>تكاليف مشروع وصال العشري 398</v>
      </c>
      <c r="N2024" s="138" t="str">
        <f>IF(ISERROR(VLOOKUP(C2024,'[1]خريطة الحسابات'!_xlnm.Print_Area,5,FALSE))," ",(VLOOKUP(C2024,'[1]خريطة الحسابات'!_xlnm.Print_Area,5,FALSE)))</f>
        <v xml:space="preserve">تكاليف العمليات </v>
      </c>
      <c r="O2024" s="84" t="s">
        <v>2248</v>
      </c>
      <c r="P2024" s="84" t="s">
        <v>1489</v>
      </c>
    </row>
    <row r="2025" spans="1:16">
      <c r="A2025" s="151">
        <v>66</v>
      </c>
      <c r="B2025" s="131">
        <v>46142</v>
      </c>
      <c r="C2025" s="150" t="s">
        <v>912</v>
      </c>
      <c r="D2025" s="140" t="str">
        <f>IF(ISERROR(VLOOKUP(C2025,'[1]خريطة الحسابات'!_xlnm.Print_Area,3,FALSE))," ",(VLOOKUP(C2025,'[1]خريطة الحسابات'!_xlnm.Print_Area,3,FALSE)))</f>
        <v>اعمال التكسير والهدم والنظافة</v>
      </c>
      <c r="E2025" s="142"/>
      <c r="F2025" s="133">
        <v>2000</v>
      </c>
      <c r="G2025" s="133"/>
      <c r="H2025" s="134">
        <f t="shared" si="94"/>
        <v>2000</v>
      </c>
      <c r="I2025" s="134">
        <f t="shared" si="94"/>
        <v>0</v>
      </c>
      <c r="J2025" s="134">
        <f t="shared" si="93"/>
        <v>2000</v>
      </c>
      <c r="K2025" s="135"/>
      <c r="L2025" s="136" t="str">
        <f t="shared" si="95"/>
        <v>مدين</v>
      </c>
      <c r="M2025" s="137" t="str">
        <f>IF(ISERROR(VLOOKUP(C2025,'[1]خريطة الحسابات'!_xlnm.Print_Area,4,FALSE))," ",(VLOOKUP(C2025,'[1]خريطة الحسابات'!_xlnm.Print_Area,4,FALSE)))</f>
        <v>تكاليف مشروع وصال العشري 398</v>
      </c>
      <c r="N2025" s="138" t="str">
        <f>IF(ISERROR(VLOOKUP(C2025,'[1]خريطة الحسابات'!_xlnm.Print_Area,5,FALSE))," ",(VLOOKUP(C2025,'[1]خريطة الحسابات'!_xlnm.Print_Area,5,FALSE)))</f>
        <v xml:space="preserve">تكاليف العمليات </v>
      </c>
      <c r="O2025" s="84" t="s">
        <v>2249</v>
      </c>
      <c r="P2025" s="84" t="s">
        <v>1489</v>
      </c>
    </row>
    <row r="2026" spans="1:16">
      <c r="A2026" s="151">
        <v>66</v>
      </c>
      <c r="B2026" s="131">
        <v>46030</v>
      </c>
      <c r="C2026" s="150" t="s">
        <v>386</v>
      </c>
      <c r="D2026" s="140" t="str">
        <f>IF(ISERROR(VLOOKUP(C2026,'[1]خريطة الحسابات'!_xlnm.Print_Area,3,FALSE))," ",(VLOOKUP(C2026,'[1]خريطة الحسابات'!_xlnm.Print_Area,3,FALSE)))</f>
        <v>اعمال التكسير والهدم والنظافة</v>
      </c>
      <c r="E2026" s="142"/>
      <c r="F2026" s="133">
        <v>500</v>
      </c>
      <c r="G2026" s="133"/>
      <c r="H2026" s="134">
        <f t="shared" si="94"/>
        <v>500</v>
      </c>
      <c r="I2026" s="134">
        <f t="shared" si="94"/>
        <v>0</v>
      </c>
      <c r="J2026" s="134">
        <f t="shared" si="93"/>
        <v>500</v>
      </c>
      <c r="K2026" s="135"/>
      <c r="L2026" s="136" t="str">
        <f t="shared" si="95"/>
        <v>مدين</v>
      </c>
      <c r="M2026" s="137" t="str">
        <f>IF(ISERROR(VLOOKUP(C2026,'[1]خريطة الحسابات'!_xlnm.Print_Area,4,FALSE))," ",(VLOOKUP(C2026,'[1]خريطة الحسابات'!_xlnm.Print_Area,4,FALSE)))</f>
        <v>تكاليف مشروع عمرو العبور 336</v>
      </c>
      <c r="N2026" s="138" t="str">
        <f>IF(ISERROR(VLOOKUP(C2026,'[1]خريطة الحسابات'!_xlnm.Print_Area,5,FALSE))," ",(VLOOKUP(C2026,'[1]خريطة الحسابات'!_xlnm.Print_Area,5,FALSE)))</f>
        <v xml:space="preserve">تكاليف العمليات </v>
      </c>
      <c r="O2026" s="84" t="s">
        <v>2197</v>
      </c>
      <c r="P2026" s="84" t="s">
        <v>1297</v>
      </c>
    </row>
    <row r="2027" spans="1:16">
      <c r="A2027" s="151">
        <v>66</v>
      </c>
      <c r="B2027" s="131">
        <v>46043</v>
      </c>
      <c r="C2027" s="150" t="s">
        <v>386</v>
      </c>
      <c r="D2027" s="140" t="str">
        <f>IF(ISERROR(VLOOKUP(C2027,'[1]خريطة الحسابات'!_xlnm.Print_Area,3,FALSE))," ",(VLOOKUP(C2027,'[1]خريطة الحسابات'!_xlnm.Print_Area,3,FALSE)))</f>
        <v>اعمال التكسير والهدم والنظافة</v>
      </c>
      <c r="E2027" s="142"/>
      <c r="F2027" s="133">
        <v>1005</v>
      </c>
      <c r="G2027" s="133"/>
      <c r="H2027" s="134">
        <f t="shared" si="94"/>
        <v>1005</v>
      </c>
      <c r="I2027" s="134">
        <f t="shared" si="94"/>
        <v>0</v>
      </c>
      <c r="J2027" s="134">
        <f t="shared" si="93"/>
        <v>1005</v>
      </c>
      <c r="K2027" s="135"/>
      <c r="L2027" s="136" t="str">
        <f t="shared" si="95"/>
        <v>مدين</v>
      </c>
      <c r="M2027" s="137" t="str">
        <f>IF(ISERROR(VLOOKUP(C2027,'[1]خريطة الحسابات'!_xlnm.Print_Area,4,FALSE))," ",(VLOOKUP(C2027,'[1]خريطة الحسابات'!_xlnm.Print_Area,4,FALSE)))</f>
        <v>تكاليف مشروع عمرو العبور 336</v>
      </c>
      <c r="N2027" s="138" t="str">
        <f>IF(ISERROR(VLOOKUP(C2027,'[1]خريطة الحسابات'!_xlnm.Print_Area,5,FALSE))," ",(VLOOKUP(C2027,'[1]خريطة الحسابات'!_xlnm.Print_Area,5,FALSE)))</f>
        <v xml:space="preserve">تكاليف العمليات </v>
      </c>
      <c r="O2027" s="84" t="s">
        <v>2250</v>
      </c>
      <c r="P2027" s="84" t="s">
        <v>1297</v>
      </c>
    </row>
    <row r="2028" spans="1:16">
      <c r="A2028" s="151">
        <v>66</v>
      </c>
      <c r="B2028" s="131">
        <v>46044</v>
      </c>
      <c r="C2028" s="150" t="s">
        <v>386</v>
      </c>
      <c r="D2028" s="140" t="str">
        <f>IF(ISERROR(VLOOKUP(C2028,'[1]خريطة الحسابات'!_xlnm.Print_Area,3,FALSE))," ",(VLOOKUP(C2028,'[1]خريطة الحسابات'!_xlnm.Print_Area,3,FALSE)))</f>
        <v>اعمال التكسير والهدم والنظافة</v>
      </c>
      <c r="E2028" s="142"/>
      <c r="F2028" s="133">
        <v>500</v>
      </c>
      <c r="G2028" s="133"/>
      <c r="H2028" s="134">
        <f t="shared" si="94"/>
        <v>500</v>
      </c>
      <c r="I2028" s="134">
        <f t="shared" si="94"/>
        <v>0</v>
      </c>
      <c r="J2028" s="134">
        <f t="shared" si="93"/>
        <v>500</v>
      </c>
      <c r="K2028" s="135"/>
      <c r="L2028" s="136" t="str">
        <f t="shared" si="95"/>
        <v>مدين</v>
      </c>
      <c r="M2028" s="137" t="str">
        <f>IF(ISERROR(VLOOKUP(C2028,'[1]خريطة الحسابات'!_xlnm.Print_Area,4,FALSE))," ",(VLOOKUP(C2028,'[1]خريطة الحسابات'!_xlnm.Print_Area,4,FALSE)))</f>
        <v>تكاليف مشروع عمرو العبور 336</v>
      </c>
      <c r="N2028" s="138" t="str">
        <f>IF(ISERROR(VLOOKUP(C2028,'[1]خريطة الحسابات'!_xlnm.Print_Area,5,FALSE))," ",(VLOOKUP(C2028,'[1]خريطة الحسابات'!_xlnm.Print_Area,5,FALSE)))</f>
        <v xml:space="preserve">تكاليف العمليات </v>
      </c>
      <c r="O2028" s="84" t="s">
        <v>2250</v>
      </c>
      <c r="P2028" s="84" t="s">
        <v>1297</v>
      </c>
    </row>
    <row r="2029" spans="1:16">
      <c r="A2029" s="151">
        <v>66</v>
      </c>
      <c r="B2029" s="131">
        <v>46131</v>
      </c>
      <c r="C2029" s="150" t="s">
        <v>386</v>
      </c>
      <c r="D2029" s="140" t="str">
        <f>IF(ISERROR(VLOOKUP(C2029,'[1]خريطة الحسابات'!_xlnm.Print_Area,3,FALSE))," ",(VLOOKUP(C2029,'[1]خريطة الحسابات'!_xlnm.Print_Area,3,FALSE)))</f>
        <v>اعمال التكسير والهدم والنظافة</v>
      </c>
      <c r="E2029" s="142"/>
      <c r="F2029" s="133">
        <v>500</v>
      </c>
      <c r="G2029" s="133"/>
      <c r="H2029" s="134">
        <f t="shared" si="94"/>
        <v>500</v>
      </c>
      <c r="I2029" s="134">
        <f t="shared" si="94"/>
        <v>0</v>
      </c>
      <c r="J2029" s="134">
        <f t="shared" si="93"/>
        <v>500</v>
      </c>
      <c r="K2029" s="135"/>
      <c r="L2029" s="136" t="str">
        <f t="shared" si="95"/>
        <v>مدين</v>
      </c>
      <c r="M2029" s="137" t="str">
        <f>IF(ISERROR(VLOOKUP(C2029,'[1]خريطة الحسابات'!_xlnm.Print_Area,4,FALSE))," ",(VLOOKUP(C2029,'[1]خريطة الحسابات'!_xlnm.Print_Area,4,FALSE)))</f>
        <v>تكاليف مشروع عمرو العبور 336</v>
      </c>
      <c r="N2029" s="138" t="str">
        <f>IF(ISERROR(VLOOKUP(C2029,'[1]خريطة الحسابات'!_xlnm.Print_Area,5,FALSE))," ",(VLOOKUP(C2029,'[1]خريطة الحسابات'!_xlnm.Print_Area,5,FALSE)))</f>
        <v xml:space="preserve">تكاليف العمليات </v>
      </c>
      <c r="O2029" s="84" t="s">
        <v>2251</v>
      </c>
      <c r="P2029" s="84" t="s">
        <v>1297</v>
      </c>
    </row>
    <row r="2030" spans="1:16">
      <c r="A2030" s="151">
        <v>66</v>
      </c>
      <c r="B2030" s="131">
        <v>46043</v>
      </c>
      <c r="C2030" s="150" t="s">
        <v>456</v>
      </c>
      <c r="D2030" s="140" t="str">
        <f>IF(ISERROR(VLOOKUP(C2030,'[1]خريطة الحسابات'!_xlnm.Print_Area,3,FALSE))," ",(VLOOKUP(C2030,'[1]خريطة الحسابات'!_xlnm.Print_Area,3,FALSE)))</f>
        <v>اعمال التكسير والهدم والنظافة</v>
      </c>
      <c r="E2030" s="142"/>
      <c r="F2030" s="133">
        <v>600</v>
      </c>
      <c r="G2030" s="133"/>
      <c r="H2030" s="134">
        <f t="shared" si="94"/>
        <v>600</v>
      </c>
      <c r="I2030" s="134">
        <f t="shared" si="94"/>
        <v>0</v>
      </c>
      <c r="J2030" s="134">
        <f t="shared" si="93"/>
        <v>600</v>
      </c>
      <c r="K2030" s="135"/>
      <c r="L2030" s="136" t="str">
        <f t="shared" si="95"/>
        <v>مدين</v>
      </c>
      <c r="M2030" s="137" t="str">
        <f>IF(ISERROR(VLOOKUP(C2030,'[1]خريطة الحسابات'!_xlnm.Print_Area,4,FALSE))," ",(VLOOKUP(C2030,'[1]خريطة الحسابات'!_xlnm.Print_Area,4,FALSE)))</f>
        <v>350 تكاليف مشروع شفيق</v>
      </c>
      <c r="N2030" s="138" t="str">
        <f>IF(ISERROR(VLOOKUP(C2030,'[1]خريطة الحسابات'!_xlnm.Print_Area,5,FALSE))," ",(VLOOKUP(C2030,'[1]خريطة الحسابات'!_xlnm.Print_Area,5,FALSE)))</f>
        <v xml:space="preserve">تكاليف العمليات </v>
      </c>
      <c r="O2030" s="84" t="s">
        <v>2252</v>
      </c>
      <c r="P2030" s="84" t="s">
        <v>1325</v>
      </c>
    </row>
    <row r="2031" spans="1:16">
      <c r="A2031" s="151">
        <v>66</v>
      </c>
      <c r="B2031" s="131">
        <v>46063</v>
      </c>
      <c r="C2031" s="150" t="s">
        <v>456</v>
      </c>
      <c r="D2031" s="140" t="str">
        <f>IF(ISERROR(VLOOKUP(C2031,'[1]خريطة الحسابات'!_xlnm.Print_Area,3,FALSE))," ",(VLOOKUP(C2031,'[1]خريطة الحسابات'!_xlnm.Print_Area,3,FALSE)))</f>
        <v>اعمال التكسير والهدم والنظافة</v>
      </c>
      <c r="E2031" s="142"/>
      <c r="F2031" s="133">
        <v>1205</v>
      </c>
      <c r="G2031" s="133"/>
      <c r="H2031" s="134">
        <f t="shared" si="94"/>
        <v>1205</v>
      </c>
      <c r="I2031" s="134">
        <f t="shared" si="94"/>
        <v>0</v>
      </c>
      <c r="J2031" s="134">
        <f t="shared" si="93"/>
        <v>1205</v>
      </c>
      <c r="K2031" s="135"/>
      <c r="L2031" s="136" t="str">
        <f t="shared" si="95"/>
        <v>مدين</v>
      </c>
      <c r="M2031" s="137" t="str">
        <f>IF(ISERROR(VLOOKUP(C2031,'[1]خريطة الحسابات'!_xlnm.Print_Area,4,FALSE))," ",(VLOOKUP(C2031,'[1]خريطة الحسابات'!_xlnm.Print_Area,4,FALSE)))</f>
        <v>350 تكاليف مشروع شفيق</v>
      </c>
      <c r="N2031" s="138" t="str">
        <f>IF(ISERROR(VLOOKUP(C2031,'[1]خريطة الحسابات'!_xlnm.Print_Area,5,FALSE))," ",(VLOOKUP(C2031,'[1]خريطة الحسابات'!_xlnm.Print_Area,5,FALSE)))</f>
        <v xml:space="preserve">تكاليف العمليات </v>
      </c>
      <c r="O2031" s="84" t="s">
        <v>2253</v>
      </c>
      <c r="P2031" s="84" t="s">
        <v>1325</v>
      </c>
    </row>
    <row r="2032" spans="1:16">
      <c r="A2032" s="151">
        <v>66</v>
      </c>
      <c r="B2032" s="131">
        <v>46065</v>
      </c>
      <c r="C2032" s="150" t="s">
        <v>456</v>
      </c>
      <c r="D2032" s="140" t="str">
        <f>IF(ISERROR(VLOOKUP(C2032,'[1]خريطة الحسابات'!_xlnm.Print_Area,3,FALSE))," ",(VLOOKUP(C2032,'[1]خريطة الحسابات'!_xlnm.Print_Area,3,FALSE)))</f>
        <v>اعمال التكسير والهدم والنظافة</v>
      </c>
      <c r="E2032" s="142"/>
      <c r="F2032" s="133">
        <v>600</v>
      </c>
      <c r="G2032" s="133"/>
      <c r="H2032" s="134">
        <f t="shared" si="94"/>
        <v>600</v>
      </c>
      <c r="I2032" s="134">
        <f t="shared" si="94"/>
        <v>0</v>
      </c>
      <c r="J2032" s="134">
        <f t="shared" si="93"/>
        <v>600</v>
      </c>
      <c r="K2032" s="135"/>
      <c r="L2032" s="136" t="str">
        <f t="shared" si="95"/>
        <v>مدين</v>
      </c>
      <c r="M2032" s="137" t="str">
        <f>IF(ISERROR(VLOOKUP(C2032,'[1]خريطة الحسابات'!_xlnm.Print_Area,4,FALSE))," ",(VLOOKUP(C2032,'[1]خريطة الحسابات'!_xlnm.Print_Area,4,FALSE)))</f>
        <v>350 تكاليف مشروع شفيق</v>
      </c>
      <c r="N2032" s="138" t="str">
        <f>IF(ISERROR(VLOOKUP(C2032,'[1]خريطة الحسابات'!_xlnm.Print_Area,5,FALSE))," ",(VLOOKUP(C2032,'[1]خريطة الحسابات'!_xlnm.Print_Area,5,FALSE)))</f>
        <v xml:space="preserve">تكاليف العمليات </v>
      </c>
      <c r="O2032" s="84" t="s">
        <v>2254</v>
      </c>
      <c r="P2032" s="84" t="s">
        <v>1325</v>
      </c>
    </row>
    <row r="2033" spans="1:16">
      <c r="A2033" s="151">
        <v>66</v>
      </c>
      <c r="B2033" s="131">
        <v>46077</v>
      </c>
      <c r="C2033" s="150" t="s">
        <v>456</v>
      </c>
      <c r="D2033" s="140" t="str">
        <f>IF(ISERROR(VLOOKUP(C2033,'[1]خريطة الحسابات'!_xlnm.Print_Area,3,FALSE))," ",(VLOOKUP(C2033,'[1]خريطة الحسابات'!_xlnm.Print_Area,3,FALSE)))</f>
        <v>اعمال التكسير والهدم والنظافة</v>
      </c>
      <c r="E2033" s="142"/>
      <c r="F2033" s="133">
        <v>600</v>
      </c>
      <c r="G2033" s="133"/>
      <c r="H2033" s="134">
        <f t="shared" si="94"/>
        <v>600</v>
      </c>
      <c r="I2033" s="134">
        <f t="shared" si="94"/>
        <v>0</v>
      </c>
      <c r="J2033" s="134">
        <f t="shared" si="93"/>
        <v>600</v>
      </c>
      <c r="K2033" s="135"/>
      <c r="L2033" s="136" t="str">
        <f t="shared" si="95"/>
        <v>مدين</v>
      </c>
      <c r="M2033" s="137" t="str">
        <f>IF(ISERROR(VLOOKUP(C2033,'[1]خريطة الحسابات'!_xlnm.Print_Area,4,FALSE))," ",(VLOOKUP(C2033,'[1]خريطة الحسابات'!_xlnm.Print_Area,4,FALSE)))</f>
        <v>350 تكاليف مشروع شفيق</v>
      </c>
      <c r="N2033" s="138" t="str">
        <f>IF(ISERROR(VLOOKUP(C2033,'[1]خريطة الحسابات'!_xlnm.Print_Area,5,FALSE))," ",(VLOOKUP(C2033,'[1]خريطة الحسابات'!_xlnm.Print_Area,5,FALSE)))</f>
        <v xml:space="preserve">تكاليف العمليات </v>
      </c>
      <c r="O2033" s="84" t="s">
        <v>2206</v>
      </c>
      <c r="P2033" s="84" t="s">
        <v>1325</v>
      </c>
    </row>
    <row r="2034" spans="1:16">
      <c r="A2034" s="151">
        <v>66</v>
      </c>
      <c r="B2034" s="131">
        <v>46028</v>
      </c>
      <c r="C2034" s="150" t="s">
        <v>281</v>
      </c>
      <c r="D2034" s="140" t="str">
        <f>IF(ISERROR(VLOOKUP(C2034,'[1]خريطة الحسابات'!_xlnm.Print_Area,3,FALSE))," ",(VLOOKUP(C2034,'[1]خريطة الحسابات'!_xlnm.Print_Area,3,FALSE)))</f>
        <v>اعمال التكسير والهدم والنظافة</v>
      </c>
      <c r="E2034" s="142"/>
      <c r="F2034" s="133">
        <v>500</v>
      </c>
      <c r="G2034" s="133"/>
      <c r="H2034" s="134">
        <f t="shared" si="94"/>
        <v>500</v>
      </c>
      <c r="I2034" s="134">
        <f t="shared" si="94"/>
        <v>0</v>
      </c>
      <c r="J2034" s="134">
        <f t="shared" si="93"/>
        <v>500</v>
      </c>
      <c r="K2034" s="135"/>
      <c r="L2034" s="136" t="str">
        <f t="shared" si="95"/>
        <v>مدين</v>
      </c>
      <c r="M2034" s="137" t="str">
        <f>IF(ISERROR(VLOOKUP(C2034,'[1]خريطة الحسابات'!_xlnm.Print_Area,4,FALSE))," ",(VLOOKUP(C2034,'[1]خريطة الحسابات'!_xlnm.Print_Area,4,FALSE)))</f>
        <v>287 تكاليف مشروع المعادي فيو</v>
      </c>
      <c r="N2034" s="138" t="str">
        <f>IF(ISERROR(VLOOKUP(C2034,'[1]خريطة الحسابات'!_xlnm.Print_Area,5,FALSE))," ",(VLOOKUP(C2034,'[1]خريطة الحسابات'!_xlnm.Print_Area,5,FALSE)))</f>
        <v xml:space="preserve">تكاليف العمليات </v>
      </c>
      <c r="O2034" s="84" t="s">
        <v>2255</v>
      </c>
      <c r="P2034" s="84" t="s">
        <v>1415</v>
      </c>
    </row>
    <row r="2035" spans="1:16">
      <c r="A2035" s="151">
        <v>66</v>
      </c>
      <c r="B2035" s="131">
        <v>46133</v>
      </c>
      <c r="C2035" s="150" t="s">
        <v>281</v>
      </c>
      <c r="D2035" s="140" t="str">
        <f>IF(ISERROR(VLOOKUP(C2035,'[1]خريطة الحسابات'!_xlnm.Print_Area,3,FALSE))," ",(VLOOKUP(C2035,'[1]خريطة الحسابات'!_xlnm.Print_Area,3,FALSE)))</f>
        <v>اعمال التكسير والهدم والنظافة</v>
      </c>
      <c r="E2035" s="142"/>
      <c r="F2035" s="133">
        <v>550</v>
      </c>
      <c r="G2035" s="133"/>
      <c r="H2035" s="134">
        <f t="shared" si="94"/>
        <v>550</v>
      </c>
      <c r="I2035" s="134">
        <f t="shared" si="94"/>
        <v>0</v>
      </c>
      <c r="J2035" s="134">
        <f t="shared" si="93"/>
        <v>550</v>
      </c>
      <c r="K2035" s="135"/>
      <c r="L2035" s="136" t="str">
        <f t="shared" si="95"/>
        <v>مدين</v>
      </c>
      <c r="M2035" s="137" t="str">
        <f>IF(ISERROR(VLOOKUP(C2035,'[1]خريطة الحسابات'!_xlnm.Print_Area,4,FALSE))," ",(VLOOKUP(C2035,'[1]خريطة الحسابات'!_xlnm.Print_Area,4,FALSE)))</f>
        <v>287 تكاليف مشروع المعادي فيو</v>
      </c>
      <c r="N2035" s="138" t="str">
        <f>IF(ISERROR(VLOOKUP(C2035,'[1]خريطة الحسابات'!_xlnm.Print_Area,5,FALSE))," ",(VLOOKUP(C2035,'[1]خريطة الحسابات'!_xlnm.Print_Area,5,FALSE)))</f>
        <v xml:space="preserve">تكاليف العمليات </v>
      </c>
      <c r="O2035" s="84" t="s">
        <v>2240</v>
      </c>
      <c r="P2035" s="84" t="s">
        <v>1415</v>
      </c>
    </row>
    <row r="2036" spans="1:16">
      <c r="A2036" s="151">
        <v>66</v>
      </c>
      <c r="B2036" s="131">
        <v>46142</v>
      </c>
      <c r="C2036" s="150" t="s">
        <v>281</v>
      </c>
      <c r="D2036" s="140" t="str">
        <f>IF(ISERROR(VLOOKUP(C2036,'[1]خريطة الحسابات'!_xlnm.Print_Area,3,FALSE))," ",(VLOOKUP(C2036,'[1]خريطة الحسابات'!_xlnm.Print_Area,3,FALSE)))</f>
        <v>اعمال التكسير والهدم والنظافة</v>
      </c>
      <c r="E2036" s="142"/>
      <c r="F2036" s="133">
        <v>550</v>
      </c>
      <c r="G2036" s="133"/>
      <c r="H2036" s="134">
        <f t="shared" si="94"/>
        <v>550</v>
      </c>
      <c r="I2036" s="134">
        <f t="shared" si="94"/>
        <v>0</v>
      </c>
      <c r="J2036" s="134">
        <f t="shared" si="93"/>
        <v>550</v>
      </c>
      <c r="K2036" s="135"/>
      <c r="L2036" s="136" t="str">
        <f t="shared" si="95"/>
        <v>مدين</v>
      </c>
      <c r="M2036" s="137" t="str">
        <f>IF(ISERROR(VLOOKUP(C2036,'[1]خريطة الحسابات'!_xlnm.Print_Area,4,FALSE))," ",(VLOOKUP(C2036,'[1]خريطة الحسابات'!_xlnm.Print_Area,4,FALSE)))</f>
        <v>287 تكاليف مشروع المعادي فيو</v>
      </c>
      <c r="N2036" s="138" t="str">
        <f>IF(ISERROR(VLOOKUP(C2036,'[1]خريطة الحسابات'!_xlnm.Print_Area,5,FALSE))," ",(VLOOKUP(C2036,'[1]خريطة الحسابات'!_xlnm.Print_Area,5,FALSE)))</f>
        <v xml:space="preserve">تكاليف العمليات </v>
      </c>
      <c r="O2036" s="84" t="s">
        <v>2240</v>
      </c>
      <c r="P2036" s="84" t="s">
        <v>1415</v>
      </c>
    </row>
    <row r="2037" spans="1:16">
      <c r="A2037" s="151">
        <v>66</v>
      </c>
      <c r="B2037" s="131">
        <v>46142</v>
      </c>
      <c r="C2037" s="150" t="s">
        <v>666</v>
      </c>
      <c r="D2037" s="140" t="str">
        <f>IF(ISERROR(VLOOKUP(C2037,'[1]خريطة الحسابات'!_xlnm.Print_Area,3,FALSE))," ",(VLOOKUP(C2037,'[1]خريطة الحسابات'!_xlnm.Print_Area,3,FALSE)))</f>
        <v>اعمال التكسير والهدم والنظافة</v>
      </c>
      <c r="E2037" s="142"/>
      <c r="F2037" s="133">
        <v>4000</v>
      </c>
      <c r="G2037" s="133"/>
      <c r="H2037" s="134">
        <f t="shared" si="94"/>
        <v>4000</v>
      </c>
      <c r="I2037" s="134">
        <f t="shared" si="94"/>
        <v>0</v>
      </c>
      <c r="J2037" s="134">
        <f t="shared" si="93"/>
        <v>4000</v>
      </c>
      <c r="K2037" s="135"/>
      <c r="L2037" s="136" t="str">
        <f t="shared" si="95"/>
        <v>مدين</v>
      </c>
      <c r="M2037" s="137" t="str">
        <f>IF(ISERROR(VLOOKUP(C2037,'[1]خريطة الحسابات'!_xlnm.Print_Area,4,FALSE))," ",(VLOOKUP(C2037,'[1]خريطة الحسابات'!_xlnm.Print_Area,4,FALSE)))</f>
        <v>تكاليف مشروع هاني العبور 365</v>
      </c>
      <c r="N2037" s="138" t="str">
        <f>IF(ISERROR(VLOOKUP(C2037,'[1]خريطة الحسابات'!_xlnm.Print_Area,5,FALSE))," ",(VLOOKUP(C2037,'[1]خريطة الحسابات'!_xlnm.Print_Area,5,FALSE)))</f>
        <v xml:space="preserve">تكاليف العمليات </v>
      </c>
      <c r="O2037" s="84" t="s">
        <v>2256</v>
      </c>
      <c r="P2037" s="84" t="s">
        <v>1317</v>
      </c>
    </row>
    <row r="2038" spans="1:16">
      <c r="A2038" s="151">
        <v>66</v>
      </c>
      <c r="B2038" s="131">
        <v>46142</v>
      </c>
      <c r="C2038" s="150" t="s">
        <v>666</v>
      </c>
      <c r="D2038" s="140" t="str">
        <f>IF(ISERROR(VLOOKUP(C2038,'[1]خريطة الحسابات'!_xlnm.Print_Area,3,FALSE))," ",(VLOOKUP(C2038,'[1]خريطة الحسابات'!_xlnm.Print_Area,3,FALSE)))</f>
        <v>اعمال التكسير والهدم والنظافة</v>
      </c>
      <c r="E2038" s="142"/>
      <c r="F2038" s="133">
        <v>1100</v>
      </c>
      <c r="G2038" s="133"/>
      <c r="H2038" s="134">
        <f t="shared" si="94"/>
        <v>1100</v>
      </c>
      <c r="I2038" s="134">
        <f t="shared" si="94"/>
        <v>0</v>
      </c>
      <c r="J2038" s="134">
        <f t="shared" si="93"/>
        <v>1100</v>
      </c>
      <c r="K2038" s="135"/>
      <c r="L2038" s="136" t="str">
        <f t="shared" si="95"/>
        <v>مدين</v>
      </c>
      <c r="M2038" s="137" t="str">
        <f>IF(ISERROR(VLOOKUP(C2038,'[1]خريطة الحسابات'!_xlnm.Print_Area,4,FALSE))," ",(VLOOKUP(C2038,'[1]خريطة الحسابات'!_xlnm.Print_Area,4,FALSE)))</f>
        <v>تكاليف مشروع هاني العبور 365</v>
      </c>
      <c r="N2038" s="138" t="str">
        <f>IF(ISERROR(VLOOKUP(C2038,'[1]خريطة الحسابات'!_xlnm.Print_Area,5,FALSE))," ",(VLOOKUP(C2038,'[1]خريطة الحسابات'!_xlnm.Print_Area,5,FALSE)))</f>
        <v xml:space="preserve">تكاليف العمليات </v>
      </c>
      <c r="O2038" s="84" t="s">
        <v>2257</v>
      </c>
      <c r="P2038" s="84" t="s">
        <v>1317</v>
      </c>
    </row>
    <row r="2039" spans="1:16">
      <c r="A2039" s="151">
        <v>66</v>
      </c>
      <c r="B2039" s="131">
        <v>46151</v>
      </c>
      <c r="C2039" s="150" t="s">
        <v>666</v>
      </c>
      <c r="D2039" s="140" t="str">
        <f>IF(ISERROR(VLOOKUP(C2039,'[1]خريطة الحسابات'!_xlnm.Print_Area,3,FALSE))," ",(VLOOKUP(C2039,'[1]خريطة الحسابات'!_xlnm.Print_Area,3,FALSE)))</f>
        <v>اعمال التكسير والهدم والنظافة</v>
      </c>
      <c r="E2039" s="142"/>
      <c r="F2039" s="133">
        <v>650</v>
      </c>
      <c r="G2039" s="133"/>
      <c r="H2039" s="134">
        <f t="shared" si="94"/>
        <v>650</v>
      </c>
      <c r="I2039" s="134">
        <f t="shared" si="94"/>
        <v>0</v>
      </c>
      <c r="J2039" s="134">
        <f t="shared" si="93"/>
        <v>650</v>
      </c>
      <c r="K2039" s="135"/>
      <c r="L2039" s="136" t="str">
        <f t="shared" si="95"/>
        <v>مدين</v>
      </c>
      <c r="M2039" s="137" t="str">
        <f>IF(ISERROR(VLOOKUP(C2039,'[1]خريطة الحسابات'!_xlnm.Print_Area,4,FALSE))," ",(VLOOKUP(C2039,'[1]خريطة الحسابات'!_xlnm.Print_Area,4,FALSE)))</f>
        <v>تكاليف مشروع هاني العبور 365</v>
      </c>
      <c r="N2039" s="138" t="str">
        <f>IF(ISERROR(VLOOKUP(C2039,'[1]خريطة الحسابات'!_xlnm.Print_Area,5,FALSE))," ",(VLOOKUP(C2039,'[1]خريطة الحسابات'!_xlnm.Print_Area,5,FALSE)))</f>
        <v xml:space="preserve">تكاليف العمليات </v>
      </c>
      <c r="O2039" s="84" t="s">
        <v>2258</v>
      </c>
      <c r="P2039" s="84" t="s">
        <v>1317</v>
      </c>
    </row>
    <row r="2040" spans="1:16">
      <c r="A2040" s="151">
        <v>66</v>
      </c>
      <c r="B2040" s="131">
        <v>46086</v>
      </c>
      <c r="C2040" s="150">
        <v>20</v>
      </c>
      <c r="D2040" s="140" t="str">
        <f>IF(ISERROR(VLOOKUP(C2040,'[1]خريطة الحسابات'!_xlnm.Print_Area,3,FALSE))," ",(VLOOKUP(C2040,'[1]خريطة الحسابات'!_xlnm.Print_Area,3,FALSE)))</f>
        <v xml:space="preserve">الخزينة </v>
      </c>
      <c r="E2040" s="142"/>
      <c r="F2040" s="133"/>
      <c r="G2040" s="133">
        <v>500</v>
      </c>
      <c r="H2040" s="134">
        <f t="shared" si="94"/>
        <v>0</v>
      </c>
      <c r="I2040" s="134">
        <f t="shared" si="94"/>
        <v>500</v>
      </c>
      <c r="J2040" s="134">
        <f t="shared" si="93"/>
        <v>-500</v>
      </c>
      <c r="K2040" s="135"/>
      <c r="L2040" s="136" t="str">
        <f t="shared" si="95"/>
        <v>دائن</v>
      </c>
      <c r="M2040" s="137" t="str">
        <f>IF(ISERROR(VLOOKUP(C2040,'[1]خريطة الحسابات'!_xlnm.Print_Area,4,FALSE))," ",(VLOOKUP(C2040,'[1]خريطة الحسابات'!_xlnm.Print_Area,4,FALSE)))</f>
        <v xml:space="preserve">أصول متداوله -النقدية ومافي حكمها </v>
      </c>
      <c r="N2040" s="138" t="str">
        <f>IF(ISERROR(VLOOKUP(C2040,'[1]خريطة الحسابات'!_xlnm.Print_Area,5,FALSE))," ",(VLOOKUP(C2040,'[1]خريطة الحسابات'!_xlnm.Print_Area,5,FALSE)))</f>
        <v>الاصول</v>
      </c>
      <c r="O2040" s="84" t="s">
        <v>2189</v>
      </c>
      <c r="P2040" s="84" t="s">
        <v>1340</v>
      </c>
    </row>
    <row r="2041" spans="1:16">
      <c r="A2041" s="151">
        <v>66</v>
      </c>
      <c r="B2041" s="131">
        <v>46096</v>
      </c>
      <c r="C2041" s="150">
        <v>20</v>
      </c>
      <c r="D2041" s="140" t="str">
        <f>IF(ISERROR(VLOOKUP(C2041,'[1]خريطة الحسابات'!_xlnm.Print_Area,3,FALSE))," ",(VLOOKUP(C2041,'[1]خريطة الحسابات'!_xlnm.Print_Area,3,FALSE)))</f>
        <v xml:space="preserve">الخزينة </v>
      </c>
      <c r="E2041" s="142"/>
      <c r="F2041" s="133"/>
      <c r="G2041" s="133">
        <v>550</v>
      </c>
      <c r="H2041" s="134">
        <f t="shared" si="94"/>
        <v>0</v>
      </c>
      <c r="I2041" s="134">
        <f t="shared" si="94"/>
        <v>550</v>
      </c>
      <c r="J2041" s="134">
        <f t="shared" si="93"/>
        <v>-550</v>
      </c>
      <c r="K2041" s="135"/>
      <c r="L2041" s="136" t="str">
        <f t="shared" si="95"/>
        <v>دائن</v>
      </c>
      <c r="M2041" s="137" t="str">
        <f>IF(ISERROR(VLOOKUP(C2041,'[1]خريطة الحسابات'!_xlnm.Print_Area,4,FALSE))," ",(VLOOKUP(C2041,'[1]خريطة الحسابات'!_xlnm.Print_Area,4,FALSE)))</f>
        <v xml:space="preserve">أصول متداوله -النقدية ومافي حكمها </v>
      </c>
      <c r="N2041" s="138" t="str">
        <f>IF(ISERROR(VLOOKUP(C2041,'[1]خريطة الحسابات'!_xlnm.Print_Area,5,FALSE))," ",(VLOOKUP(C2041,'[1]خريطة الحسابات'!_xlnm.Print_Area,5,FALSE)))</f>
        <v>الاصول</v>
      </c>
      <c r="O2041" s="84" t="s">
        <v>2190</v>
      </c>
      <c r="P2041" s="84" t="s">
        <v>1340</v>
      </c>
    </row>
    <row r="2042" spans="1:16">
      <c r="A2042" s="151">
        <v>66</v>
      </c>
      <c r="B2042" s="131">
        <v>46071</v>
      </c>
      <c r="C2042" s="150">
        <v>20</v>
      </c>
      <c r="D2042" s="140" t="str">
        <f>IF(ISERROR(VLOOKUP(C2042,'[1]خريطة الحسابات'!_xlnm.Print_Area,3,FALSE))," ",(VLOOKUP(C2042,'[1]خريطة الحسابات'!_xlnm.Print_Area,3,FALSE)))</f>
        <v xml:space="preserve">الخزينة </v>
      </c>
      <c r="E2042" s="142"/>
      <c r="F2042" s="133"/>
      <c r="G2042" s="133">
        <v>700</v>
      </c>
      <c r="H2042" s="134">
        <f t="shared" si="94"/>
        <v>0</v>
      </c>
      <c r="I2042" s="134">
        <f t="shared" si="94"/>
        <v>700</v>
      </c>
      <c r="J2042" s="134">
        <f t="shared" si="93"/>
        <v>-700</v>
      </c>
      <c r="K2042" s="135"/>
      <c r="L2042" s="136" t="str">
        <f t="shared" si="95"/>
        <v>دائن</v>
      </c>
      <c r="M2042" s="137" t="str">
        <f>IF(ISERROR(VLOOKUP(C2042,'[1]خريطة الحسابات'!_xlnm.Print_Area,4,FALSE))," ",(VLOOKUP(C2042,'[1]خريطة الحسابات'!_xlnm.Print_Area,4,FALSE)))</f>
        <v xml:space="preserve">أصول متداوله -النقدية ومافي حكمها </v>
      </c>
      <c r="N2042" s="138" t="str">
        <f>IF(ISERROR(VLOOKUP(C2042,'[1]خريطة الحسابات'!_xlnm.Print_Area,5,FALSE))," ",(VLOOKUP(C2042,'[1]خريطة الحسابات'!_xlnm.Print_Area,5,FALSE)))</f>
        <v>الاصول</v>
      </c>
      <c r="O2042" s="84" t="s">
        <v>2191</v>
      </c>
      <c r="P2042" s="84" t="s">
        <v>1310</v>
      </c>
    </row>
    <row r="2043" spans="1:16">
      <c r="A2043" s="151">
        <v>66</v>
      </c>
      <c r="B2043" s="131">
        <v>46077</v>
      </c>
      <c r="C2043" s="150">
        <v>20</v>
      </c>
      <c r="D2043" s="140" t="str">
        <f>IF(ISERROR(VLOOKUP(C2043,'[1]خريطة الحسابات'!_xlnm.Print_Area,3,FALSE))," ",(VLOOKUP(C2043,'[1]خريطة الحسابات'!_xlnm.Print_Area,3,FALSE)))</f>
        <v xml:space="preserve">الخزينة </v>
      </c>
      <c r="E2043" s="142"/>
      <c r="F2043" s="133"/>
      <c r="G2043" s="133">
        <v>600</v>
      </c>
      <c r="H2043" s="134">
        <f t="shared" si="94"/>
        <v>0</v>
      </c>
      <c r="I2043" s="134">
        <f t="shared" si="94"/>
        <v>600</v>
      </c>
      <c r="J2043" s="134">
        <f t="shared" si="93"/>
        <v>-600</v>
      </c>
      <c r="K2043" s="135"/>
      <c r="L2043" s="136" t="str">
        <f t="shared" si="95"/>
        <v>دائن</v>
      </c>
      <c r="M2043" s="137" t="str">
        <f>IF(ISERROR(VLOOKUP(C2043,'[1]خريطة الحسابات'!_xlnm.Print_Area,4,FALSE))," ",(VLOOKUP(C2043,'[1]خريطة الحسابات'!_xlnm.Print_Area,4,FALSE)))</f>
        <v xml:space="preserve">أصول متداوله -النقدية ومافي حكمها </v>
      </c>
      <c r="N2043" s="138" t="str">
        <f>IF(ISERROR(VLOOKUP(C2043,'[1]خريطة الحسابات'!_xlnm.Print_Area,5,FALSE))," ",(VLOOKUP(C2043,'[1]خريطة الحسابات'!_xlnm.Print_Area,5,FALSE)))</f>
        <v>الاصول</v>
      </c>
      <c r="O2043" s="84" t="s">
        <v>2192</v>
      </c>
      <c r="P2043" s="84" t="s">
        <v>1310</v>
      </c>
    </row>
    <row r="2044" spans="1:16">
      <c r="A2044" s="151">
        <v>66</v>
      </c>
      <c r="B2044" s="131">
        <v>46044</v>
      </c>
      <c r="C2044" s="150">
        <v>20</v>
      </c>
      <c r="D2044" s="140" t="str">
        <f>IF(ISERROR(VLOOKUP(C2044,'[1]خريطة الحسابات'!_xlnm.Print_Area,3,FALSE))," ",(VLOOKUP(C2044,'[1]خريطة الحسابات'!_xlnm.Print_Area,3,FALSE)))</f>
        <v xml:space="preserve">الخزينة </v>
      </c>
      <c r="E2044" s="142"/>
      <c r="F2044" s="133"/>
      <c r="G2044" s="133">
        <v>1150</v>
      </c>
      <c r="H2044" s="134">
        <f t="shared" si="94"/>
        <v>0</v>
      </c>
      <c r="I2044" s="134">
        <f t="shared" si="94"/>
        <v>1150</v>
      </c>
      <c r="J2044" s="134">
        <f t="shared" si="93"/>
        <v>-1150</v>
      </c>
      <c r="K2044" s="135"/>
      <c r="L2044" s="136" t="str">
        <f t="shared" si="95"/>
        <v>دائن</v>
      </c>
      <c r="M2044" s="137" t="str">
        <f>IF(ISERROR(VLOOKUP(C2044,'[1]خريطة الحسابات'!_xlnm.Print_Area,4,FALSE))," ",(VLOOKUP(C2044,'[1]خريطة الحسابات'!_xlnm.Print_Area,4,FALSE)))</f>
        <v xml:space="preserve">أصول متداوله -النقدية ومافي حكمها </v>
      </c>
      <c r="N2044" s="138" t="str">
        <f>IF(ISERROR(VLOOKUP(C2044,'[1]خريطة الحسابات'!_xlnm.Print_Area,5,FALSE))," ",(VLOOKUP(C2044,'[1]خريطة الحسابات'!_xlnm.Print_Area,5,FALSE)))</f>
        <v>الاصول</v>
      </c>
      <c r="O2044" s="84" t="s">
        <v>2193</v>
      </c>
      <c r="P2044" s="84" t="s">
        <v>1299</v>
      </c>
    </row>
    <row r="2045" spans="1:16">
      <c r="A2045" s="151">
        <v>66</v>
      </c>
      <c r="B2045" s="131">
        <v>46050</v>
      </c>
      <c r="C2045" s="150">
        <v>20</v>
      </c>
      <c r="D2045" s="140" t="str">
        <f>IF(ISERROR(VLOOKUP(C2045,'[1]خريطة الحسابات'!_xlnm.Print_Area,3,FALSE))," ",(VLOOKUP(C2045,'[1]خريطة الحسابات'!_xlnm.Print_Area,3,FALSE)))</f>
        <v xml:space="preserve">الخزينة </v>
      </c>
      <c r="E2045" s="142"/>
      <c r="F2045" s="133"/>
      <c r="G2045" s="133">
        <v>600</v>
      </c>
      <c r="H2045" s="134">
        <f t="shared" si="94"/>
        <v>0</v>
      </c>
      <c r="I2045" s="134">
        <f t="shared" si="94"/>
        <v>600</v>
      </c>
      <c r="J2045" s="134">
        <f t="shared" si="93"/>
        <v>-600</v>
      </c>
      <c r="K2045" s="135"/>
      <c r="L2045" s="136" t="str">
        <f t="shared" si="95"/>
        <v>دائن</v>
      </c>
      <c r="M2045" s="137" t="str">
        <f>IF(ISERROR(VLOOKUP(C2045,'[1]خريطة الحسابات'!_xlnm.Print_Area,4,FALSE))," ",(VLOOKUP(C2045,'[1]خريطة الحسابات'!_xlnm.Print_Area,4,FALSE)))</f>
        <v xml:space="preserve">أصول متداوله -النقدية ومافي حكمها </v>
      </c>
      <c r="N2045" s="138" t="str">
        <f>IF(ISERROR(VLOOKUP(C2045,'[1]خريطة الحسابات'!_xlnm.Print_Area,5,FALSE))," ",(VLOOKUP(C2045,'[1]خريطة الحسابات'!_xlnm.Print_Area,5,FALSE)))</f>
        <v>الاصول</v>
      </c>
      <c r="O2045" s="84" t="s">
        <v>2194</v>
      </c>
      <c r="P2045" s="84" t="s">
        <v>1299</v>
      </c>
    </row>
    <row r="2046" spans="1:16">
      <c r="A2046" s="151">
        <v>66</v>
      </c>
      <c r="B2046" s="131">
        <v>46050</v>
      </c>
      <c r="C2046" s="150">
        <v>20</v>
      </c>
      <c r="D2046" s="140" t="str">
        <f>IF(ISERROR(VLOOKUP(C2046,'[1]خريطة الحسابات'!_xlnm.Print_Area,3,FALSE))," ",(VLOOKUP(C2046,'[1]خريطة الحسابات'!_xlnm.Print_Area,3,FALSE)))</f>
        <v xml:space="preserve">الخزينة </v>
      </c>
      <c r="E2046" s="142"/>
      <c r="F2046" s="133"/>
      <c r="G2046" s="133">
        <v>500</v>
      </c>
      <c r="H2046" s="134">
        <f t="shared" si="94"/>
        <v>0</v>
      </c>
      <c r="I2046" s="134">
        <f t="shared" si="94"/>
        <v>500</v>
      </c>
      <c r="J2046" s="134">
        <f t="shared" si="93"/>
        <v>-500</v>
      </c>
      <c r="K2046" s="135"/>
      <c r="L2046" s="136" t="str">
        <f t="shared" si="95"/>
        <v>دائن</v>
      </c>
      <c r="M2046" s="137" t="str">
        <f>IF(ISERROR(VLOOKUP(C2046,'[1]خريطة الحسابات'!_xlnm.Print_Area,4,FALSE))," ",(VLOOKUP(C2046,'[1]خريطة الحسابات'!_xlnm.Print_Area,4,FALSE)))</f>
        <v xml:space="preserve">أصول متداوله -النقدية ومافي حكمها </v>
      </c>
      <c r="N2046" s="138" t="str">
        <f>IF(ISERROR(VLOOKUP(C2046,'[1]خريطة الحسابات'!_xlnm.Print_Area,5,FALSE))," ",(VLOOKUP(C2046,'[1]خريطة الحسابات'!_xlnm.Print_Area,5,FALSE)))</f>
        <v>الاصول</v>
      </c>
      <c r="O2046" s="84" t="s">
        <v>2195</v>
      </c>
      <c r="P2046" s="84" t="s">
        <v>1299</v>
      </c>
    </row>
    <row r="2047" spans="1:16">
      <c r="A2047" s="151">
        <v>66</v>
      </c>
      <c r="B2047" s="131">
        <v>46036</v>
      </c>
      <c r="C2047" s="150">
        <v>20</v>
      </c>
      <c r="D2047" s="140" t="str">
        <f>IF(ISERROR(VLOOKUP(C2047,'[1]خريطة الحسابات'!_xlnm.Print_Area,3,FALSE))," ",(VLOOKUP(C2047,'[1]خريطة الحسابات'!_xlnm.Print_Area,3,FALSE)))</f>
        <v xml:space="preserve">الخزينة </v>
      </c>
      <c r="E2047" s="142"/>
      <c r="F2047" s="133"/>
      <c r="G2047" s="133">
        <v>500</v>
      </c>
      <c r="H2047" s="134">
        <f t="shared" si="94"/>
        <v>0</v>
      </c>
      <c r="I2047" s="134">
        <f t="shared" si="94"/>
        <v>500</v>
      </c>
      <c r="J2047" s="134">
        <f t="shared" si="93"/>
        <v>-500</v>
      </c>
      <c r="K2047" s="135"/>
      <c r="L2047" s="136" t="str">
        <f t="shared" si="95"/>
        <v>دائن</v>
      </c>
      <c r="M2047" s="137" t="str">
        <f>IF(ISERROR(VLOOKUP(C2047,'[1]خريطة الحسابات'!_xlnm.Print_Area,4,FALSE))," ",(VLOOKUP(C2047,'[1]خريطة الحسابات'!_xlnm.Print_Area,4,FALSE)))</f>
        <v xml:space="preserve">أصول متداوله -النقدية ومافي حكمها </v>
      </c>
      <c r="N2047" s="138" t="str">
        <f>IF(ISERROR(VLOOKUP(C2047,'[1]خريطة الحسابات'!_xlnm.Print_Area,5,FALSE))," ",(VLOOKUP(C2047,'[1]خريطة الحسابات'!_xlnm.Print_Area,5,FALSE)))</f>
        <v>الاصول</v>
      </c>
      <c r="O2047" s="84" t="s">
        <v>2196</v>
      </c>
      <c r="P2047" s="84" t="s">
        <v>1369</v>
      </c>
    </row>
    <row r="2048" spans="1:16">
      <c r="A2048" s="151">
        <v>66</v>
      </c>
      <c r="B2048" s="131">
        <v>46030</v>
      </c>
      <c r="C2048" s="150">
        <v>20</v>
      </c>
      <c r="D2048" s="140" t="str">
        <f>IF(ISERROR(VLOOKUP(C2048,'[1]خريطة الحسابات'!_xlnm.Print_Area,3,FALSE))," ",(VLOOKUP(C2048,'[1]خريطة الحسابات'!_xlnm.Print_Area,3,FALSE)))</f>
        <v xml:space="preserve">الخزينة </v>
      </c>
      <c r="E2048" s="142"/>
      <c r="F2048" s="133"/>
      <c r="G2048" s="133">
        <v>500</v>
      </c>
      <c r="H2048" s="134">
        <f t="shared" si="94"/>
        <v>0</v>
      </c>
      <c r="I2048" s="134">
        <f t="shared" si="94"/>
        <v>500</v>
      </c>
      <c r="J2048" s="134">
        <f t="shared" si="93"/>
        <v>-500</v>
      </c>
      <c r="K2048" s="135"/>
      <c r="L2048" s="136" t="str">
        <f t="shared" si="95"/>
        <v>دائن</v>
      </c>
      <c r="M2048" s="137" t="str">
        <f>IF(ISERROR(VLOOKUP(C2048,'[1]خريطة الحسابات'!_xlnm.Print_Area,4,FALSE))," ",(VLOOKUP(C2048,'[1]خريطة الحسابات'!_xlnm.Print_Area,4,FALSE)))</f>
        <v xml:space="preserve">أصول متداوله -النقدية ومافي حكمها </v>
      </c>
      <c r="N2048" s="138" t="str">
        <f>IF(ISERROR(VLOOKUP(C2048,'[1]خريطة الحسابات'!_xlnm.Print_Area,5,FALSE))," ",(VLOOKUP(C2048,'[1]خريطة الحسابات'!_xlnm.Print_Area,5,FALSE)))</f>
        <v>الاصول</v>
      </c>
      <c r="O2048" s="84" t="s">
        <v>2197</v>
      </c>
      <c r="P2048" s="84" t="s">
        <v>1304</v>
      </c>
    </row>
    <row r="2049" spans="1:16">
      <c r="A2049" s="151">
        <v>66</v>
      </c>
      <c r="B2049" s="131">
        <v>46039</v>
      </c>
      <c r="C2049" s="150">
        <v>20</v>
      </c>
      <c r="D2049" s="140" t="str">
        <f>IF(ISERROR(VLOOKUP(C2049,'[1]خريطة الحسابات'!_xlnm.Print_Area,3,FALSE))," ",(VLOOKUP(C2049,'[1]خريطة الحسابات'!_xlnm.Print_Area,3,FALSE)))</f>
        <v xml:space="preserve">الخزينة </v>
      </c>
      <c r="E2049" s="142"/>
      <c r="F2049" s="133"/>
      <c r="G2049" s="133">
        <v>1050</v>
      </c>
      <c r="H2049" s="134">
        <f t="shared" si="94"/>
        <v>0</v>
      </c>
      <c r="I2049" s="134">
        <f t="shared" si="94"/>
        <v>1050</v>
      </c>
      <c r="J2049" s="134">
        <f t="shared" si="93"/>
        <v>-1050</v>
      </c>
      <c r="K2049" s="135"/>
      <c r="L2049" s="136" t="str">
        <f t="shared" si="95"/>
        <v>دائن</v>
      </c>
      <c r="M2049" s="137" t="str">
        <f>IF(ISERROR(VLOOKUP(C2049,'[1]خريطة الحسابات'!_xlnm.Print_Area,4,FALSE))," ",(VLOOKUP(C2049,'[1]خريطة الحسابات'!_xlnm.Print_Area,4,FALSE)))</f>
        <v xml:space="preserve">أصول متداوله -النقدية ومافي حكمها </v>
      </c>
      <c r="N2049" s="138" t="str">
        <f>IF(ISERROR(VLOOKUP(C2049,'[1]خريطة الحسابات'!_xlnm.Print_Area,5,FALSE))," ",(VLOOKUP(C2049,'[1]خريطة الحسابات'!_xlnm.Print_Area,5,FALSE)))</f>
        <v>الاصول</v>
      </c>
      <c r="O2049" s="84" t="s">
        <v>2198</v>
      </c>
      <c r="P2049" s="84" t="s">
        <v>1304</v>
      </c>
    </row>
    <row r="2050" spans="1:16">
      <c r="A2050" s="151">
        <v>66</v>
      </c>
      <c r="B2050" s="131">
        <v>46056</v>
      </c>
      <c r="C2050" s="150">
        <v>20</v>
      </c>
      <c r="D2050" s="140" t="str">
        <f>IF(ISERROR(VLOOKUP(C2050,'[1]خريطة الحسابات'!_xlnm.Print_Area,3,FALSE))," ",(VLOOKUP(C2050,'[1]خريطة الحسابات'!_xlnm.Print_Area,3,FALSE)))</f>
        <v xml:space="preserve">الخزينة </v>
      </c>
      <c r="E2050" s="142"/>
      <c r="F2050" s="133"/>
      <c r="G2050" s="133">
        <v>500</v>
      </c>
      <c r="H2050" s="134">
        <f t="shared" si="94"/>
        <v>0</v>
      </c>
      <c r="I2050" s="134">
        <f t="shared" si="94"/>
        <v>500</v>
      </c>
      <c r="J2050" s="134">
        <f t="shared" si="93"/>
        <v>-500</v>
      </c>
      <c r="K2050" s="135"/>
      <c r="L2050" s="136" t="str">
        <f t="shared" si="95"/>
        <v>دائن</v>
      </c>
      <c r="M2050" s="137" t="str">
        <f>IF(ISERROR(VLOOKUP(C2050,'[1]خريطة الحسابات'!_xlnm.Print_Area,4,FALSE))," ",(VLOOKUP(C2050,'[1]خريطة الحسابات'!_xlnm.Print_Area,4,FALSE)))</f>
        <v xml:space="preserve">أصول متداوله -النقدية ومافي حكمها </v>
      </c>
      <c r="N2050" s="138" t="str">
        <f>IF(ISERROR(VLOOKUP(C2050,'[1]خريطة الحسابات'!_xlnm.Print_Area,5,FALSE))," ",(VLOOKUP(C2050,'[1]خريطة الحسابات'!_xlnm.Print_Area,5,FALSE)))</f>
        <v>الاصول</v>
      </c>
      <c r="O2050" s="84" t="s">
        <v>2199</v>
      </c>
      <c r="P2050" s="84" t="s">
        <v>1304</v>
      </c>
    </row>
    <row r="2051" spans="1:16">
      <c r="A2051" s="151">
        <v>66</v>
      </c>
      <c r="B2051" s="131">
        <v>46058</v>
      </c>
      <c r="C2051" s="150">
        <v>20</v>
      </c>
      <c r="D2051" s="140" t="str">
        <f>IF(ISERROR(VLOOKUP(C2051,'[1]خريطة الحسابات'!_xlnm.Print_Area,3,FALSE))," ",(VLOOKUP(C2051,'[1]خريطة الحسابات'!_xlnm.Print_Area,3,FALSE)))</f>
        <v xml:space="preserve">الخزينة </v>
      </c>
      <c r="E2051" s="142"/>
      <c r="F2051" s="133"/>
      <c r="G2051" s="133">
        <v>1050</v>
      </c>
      <c r="H2051" s="134">
        <f t="shared" si="94"/>
        <v>0</v>
      </c>
      <c r="I2051" s="134">
        <f t="shared" si="94"/>
        <v>1050</v>
      </c>
      <c r="J2051" s="134">
        <f t="shared" si="93"/>
        <v>-1050</v>
      </c>
      <c r="K2051" s="135"/>
      <c r="L2051" s="136" t="str">
        <f t="shared" si="95"/>
        <v>دائن</v>
      </c>
      <c r="M2051" s="137" t="str">
        <f>IF(ISERROR(VLOOKUP(C2051,'[1]خريطة الحسابات'!_xlnm.Print_Area,4,FALSE))," ",(VLOOKUP(C2051,'[1]خريطة الحسابات'!_xlnm.Print_Area,4,FALSE)))</f>
        <v xml:space="preserve">أصول متداوله -النقدية ومافي حكمها </v>
      </c>
      <c r="N2051" s="138" t="str">
        <f>IF(ISERROR(VLOOKUP(C2051,'[1]خريطة الحسابات'!_xlnm.Print_Area,5,FALSE))," ",(VLOOKUP(C2051,'[1]خريطة الحسابات'!_xlnm.Print_Area,5,FALSE)))</f>
        <v>الاصول</v>
      </c>
      <c r="O2051" s="84" t="s">
        <v>2200</v>
      </c>
      <c r="P2051" s="84" t="s">
        <v>1304</v>
      </c>
    </row>
    <row r="2052" spans="1:16">
      <c r="A2052" s="151">
        <v>66</v>
      </c>
      <c r="B2052" s="131">
        <v>46071</v>
      </c>
      <c r="C2052" s="150">
        <v>20</v>
      </c>
      <c r="D2052" s="140" t="str">
        <f>IF(ISERROR(VLOOKUP(C2052,'[1]خريطة الحسابات'!_xlnm.Print_Area,3,FALSE))," ",(VLOOKUP(C2052,'[1]خريطة الحسابات'!_xlnm.Print_Area,3,FALSE)))</f>
        <v xml:space="preserve">الخزينة </v>
      </c>
      <c r="E2052" s="142"/>
      <c r="F2052" s="133"/>
      <c r="G2052" s="133">
        <v>650</v>
      </c>
      <c r="H2052" s="134">
        <f t="shared" si="94"/>
        <v>0</v>
      </c>
      <c r="I2052" s="134">
        <f t="shared" si="94"/>
        <v>650</v>
      </c>
      <c r="J2052" s="134">
        <f t="shared" si="93"/>
        <v>-650</v>
      </c>
      <c r="K2052" s="135"/>
      <c r="L2052" s="136" t="str">
        <f t="shared" si="95"/>
        <v>دائن</v>
      </c>
      <c r="M2052" s="137" t="str">
        <f>IF(ISERROR(VLOOKUP(C2052,'[1]خريطة الحسابات'!_xlnm.Print_Area,4,FALSE))," ",(VLOOKUP(C2052,'[1]خريطة الحسابات'!_xlnm.Print_Area,4,FALSE)))</f>
        <v xml:space="preserve">أصول متداوله -النقدية ومافي حكمها </v>
      </c>
      <c r="N2052" s="138" t="str">
        <f>IF(ISERROR(VLOOKUP(C2052,'[1]خريطة الحسابات'!_xlnm.Print_Area,5,FALSE))," ",(VLOOKUP(C2052,'[1]خريطة الحسابات'!_xlnm.Print_Area,5,FALSE)))</f>
        <v>الاصول</v>
      </c>
      <c r="O2052" s="84" t="s">
        <v>2201</v>
      </c>
      <c r="P2052" s="84" t="s">
        <v>1304</v>
      </c>
    </row>
    <row r="2053" spans="1:16">
      <c r="A2053" s="151">
        <v>66</v>
      </c>
      <c r="B2053" s="131">
        <v>46079</v>
      </c>
      <c r="C2053" s="150">
        <v>20</v>
      </c>
      <c r="D2053" s="140" t="str">
        <f>IF(ISERROR(VLOOKUP(C2053,'[1]خريطة الحسابات'!_xlnm.Print_Area,3,FALSE))," ",(VLOOKUP(C2053,'[1]خريطة الحسابات'!_xlnm.Print_Area,3,FALSE)))</f>
        <v xml:space="preserve">الخزينة </v>
      </c>
      <c r="E2053" s="142"/>
      <c r="F2053" s="133"/>
      <c r="G2053" s="133">
        <v>1900</v>
      </c>
      <c r="H2053" s="134">
        <f t="shared" si="94"/>
        <v>0</v>
      </c>
      <c r="I2053" s="134">
        <f t="shared" si="94"/>
        <v>1900</v>
      </c>
      <c r="J2053" s="134">
        <f t="shared" si="93"/>
        <v>-1900</v>
      </c>
      <c r="K2053" s="135"/>
      <c r="L2053" s="136" t="str">
        <f t="shared" si="95"/>
        <v>دائن</v>
      </c>
      <c r="M2053" s="137" t="str">
        <f>IF(ISERROR(VLOOKUP(C2053,'[1]خريطة الحسابات'!_xlnm.Print_Area,4,FALSE))," ",(VLOOKUP(C2053,'[1]خريطة الحسابات'!_xlnm.Print_Area,4,FALSE)))</f>
        <v xml:space="preserve">أصول متداوله -النقدية ومافي حكمها </v>
      </c>
      <c r="N2053" s="138" t="str">
        <f>IF(ISERROR(VLOOKUP(C2053,'[1]خريطة الحسابات'!_xlnm.Print_Area,5,FALSE))," ",(VLOOKUP(C2053,'[1]خريطة الحسابات'!_xlnm.Print_Area,5,FALSE)))</f>
        <v>الاصول</v>
      </c>
      <c r="O2053" s="84" t="s">
        <v>2202</v>
      </c>
      <c r="P2053" s="84" t="s">
        <v>1295</v>
      </c>
    </row>
    <row r="2054" spans="1:16">
      <c r="A2054" s="151">
        <v>66</v>
      </c>
      <c r="B2054" s="131">
        <v>46109</v>
      </c>
      <c r="C2054" s="150">
        <v>20</v>
      </c>
      <c r="D2054" s="140" t="str">
        <f>IF(ISERROR(VLOOKUP(C2054,'[1]خريطة الحسابات'!_xlnm.Print_Area,3,FALSE))," ",(VLOOKUP(C2054,'[1]خريطة الحسابات'!_xlnm.Print_Area,3,FALSE)))</f>
        <v xml:space="preserve">الخزينة </v>
      </c>
      <c r="E2054" s="142"/>
      <c r="F2054" s="133"/>
      <c r="G2054" s="133">
        <v>550</v>
      </c>
      <c r="H2054" s="134">
        <f t="shared" si="94"/>
        <v>0</v>
      </c>
      <c r="I2054" s="134">
        <f t="shared" si="94"/>
        <v>550</v>
      </c>
      <c r="J2054" s="134">
        <f t="shared" si="93"/>
        <v>-550</v>
      </c>
      <c r="K2054" s="135"/>
      <c r="L2054" s="136" t="str">
        <f t="shared" si="95"/>
        <v>دائن</v>
      </c>
      <c r="M2054" s="137" t="str">
        <f>IF(ISERROR(VLOOKUP(C2054,'[1]خريطة الحسابات'!_xlnm.Print_Area,4,FALSE))," ",(VLOOKUP(C2054,'[1]خريطة الحسابات'!_xlnm.Print_Area,4,FALSE)))</f>
        <v xml:space="preserve">أصول متداوله -النقدية ومافي حكمها </v>
      </c>
      <c r="N2054" s="138" t="str">
        <f>IF(ISERROR(VLOOKUP(C2054,'[1]خريطة الحسابات'!_xlnm.Print_Area,5,FALSE))," ",(VLOOKUP(C2054,'[1]خريطة الحسابات'!_xlnm.Print_Area,5,FALSE)))</f>
        <v>الاصول</v>
      </c>
      <c r="O2054" s="84" t="s">
        <v>2203</v>
      </c>
      <c r="P2054" s="84" t="s">
        <v>1295</v>
      </c>
    </row>
    <row r="2055" spans="1:16">
      <c r="A2055" s="151">
        <v>66</v>
      </c>
      <c r="B2055" s="131">
        <v>46086</v>
      </c>
      <c r="C2055" s="150">
        <v>20</v>
      </c>
      <c r="D2055" s="140" t="str">
        <f>IF(ISERROR(VLOOKUP(C2055,'[1]خريطة الحسابات'!_xlnm.Print_Area,3,FALSE))," ",(VLOOKUP(C2055,'[1]خريطة الحسابات'!_xlnm.Print_Area,3,FALSE)))</f>
        <v xml:space="preserve">الخزينة </v>
      </c>
      <c r="E2055" s="142"/>
      <c r="F2055" s="133"/>
      <c r="G2055" s="133">
        <v>1600</v>
      </c>
      <c r="H2055" s="134">
        <f t="shared" si="94"/>
        <v>0</v>
      </c>
      <c r="I2055" s="134">
        <f t="shared" si="94"/>
        <v>1600</v>
      </c>
      <c r="J2055" s="134">
        <f t="shared" si="93"/>
        <v>-1600</v>
      </c>
      <c r="K2055" s="135"/>
      <c r="L2055" s="136" t="str">
        <f t="shared" si="95"/>
        <v>دائن</v>
      </c>
      <c r="M2055" s="137" t="str">
        <f>IF(ISERROR(VLOOKUP(C2055,'[1]خريطة الحسابات'!_xlnm.Print_Area,4,FALSE))," ",(VLOOKUP(C2055,'[1]خريطة الحسابات'!_xlnm.Print_Area,4,FALSE)))</f>
        <v xml:space="preserve">أصول متداوله -النقدية ومافي حكمها </v>
      </c>
      <c r="N2055" s="138" t="str">
        <f>IF(ISERROR(VLOOKUP(C2055,'[1]خريطة الحسابات'!_xlnm.Print_Area,5,FALSE))," ",(VLOOKUP(C2055,'[1]خريطة الحسابات'!_xlnm.Print_Area,5,FALSE)))</f>
        <v>الاصول</v>
      </c>
      <c r="O2055" s="84" t="s">
        <v>2204</v>
      </c>
      <c r="P2055" s="84" t="s">
        <v>1327</v>
      </c>
    </row>
    <row r="2056" spans="1:16">
      <c r="A2056" s="151">
        <v>66</v>
      </c>
      <c r="B2056" s="131">
        <v>46096</v>
      </c>
      <c r="C2056" s="150">
        <v>20</v>
      </c>
      <c r="D2056" s="140" t="str">
        <f>IF(ISERROR(VLOOKUP(C2056,'[1]خريطة الحسابات'!_xlnm.Print_Area,3,FALSE))," ",(VLOOKUP(C2056,'[1]خريطة الحسابات'!_xlnm.Print_Area,3,FALSE)))</f>
        <v xml:space="preserve">الخزينة </v>
      </c>
      <c r="E2056" s="142"/>
      <c r="F2056" s="133"/>
      <c r="G2056" s="133">
        <v>550</v>
      </c>
      <c r="H2056" s="134">
        <f t="shared" si="94"/>
        <v>0</v>
      </c>
      <c r="I2056" s="134">
        <f t="shared" si="94"/>
        <v>550</v>
      </c>
      <c r="J2056" s="134">
        <f t="shared" si="93"/>
        <v>-550</v>
      </c>
      <c r="K2056" s="135"/>
      <c r="L2056" s="136" t="str">
        <f t="shared" si="95"/>
        <v>دائن</v>
      </c>
      <c r="M2056" s="137" t="str">
        <f>IF(ISERROR(VLOOKUP(C2056,'[1]خريطة الحسابات'!_xlnm.Print_Area,4,FALSE))," ",(VLOOKUP(C2056,'[1]خريطة الحسابات'!_xlnm.Print_Area,4,FALSE)))</f>
        <v xml:space="preserve">أصول متداوله -النقدية ومافي حكمها </v>
      </c>
      <c r="N2056" s="138" t="str">
        <f>IF(ISERROR(VLOOKUP(C2056,'[1]خريطة الحسابات'!_xlnm.Print_Area,5,FALSE))," ",(VLOOKUP(C2056,'[1]خريطة الحسابات'!_xlnm.Print_Area,5,FALSE)))</f>
        <v>الاصول</v>
      </c>
      <c r="O2056" s="84" t="s">
        <v>2205</v>
      </c>
      <c r="P2056" s="84" t="s">
        <v>1327</v>
      </c>
    </row>
    <row r="2057" spans="1:16">
      <c r="A2057" s="151">
        <v>66</v>
      </c>
      <c r="B2057" s="131">
        <v>46096</v>
      </c>
      <c r="C2057" s="150">
        <v>20</v>
      </c>
      <c r="D2057" s="140" t="str">
        <f>IF(ISERROR(VLOOKUP(C2057,'[1]خريطة الحسابات'!_xlnm.Print_Area,3,FALSE))," ",(VLOOKUP(C2057,'[1]خريطة الحسابات'!_xlnm.Print_Area,3,FALSE)))</f>
        <v xml:space="preserve">الخزينة </v>
      </c>
      <c r="E2057" s="142"/>
      <c r="F2057" s="133"/>
      <c r="G2057" s="133">
        <v>550</v>
      </c>
      <c r="H2057" s="134">
        <f t="shared" si="94"/>
        <v>0</v>
      </c>
      <c r="I2057" s="134">
        <f t="shared" si="94"/>
        <v>550</v>
      </c>
      <c r="J2057" s="134">
        <f t="shared" si="93"/>
        <v>-550</v>
      </c>
      <c r="K2057" s="135"/>
      <c r="L2057" s="136" t="str">
        <f t="shared" si="95"/>
        <v>دائن</v>
      </c>
      <c r="M2057" s="137" t="str">
        <f>IF(ISERROR(VLOOKUP(C2057,'[1]خريطة الحسابات'!_xlnm.Print_Area,4,FALSE))," ",(VLOOKUP(C2057,'[1]خريطة الحسابات'!_xlnm.Print_Area,4,FALSE)))</f>
        <v xml:space="preserve">أصول متداوله -النقدية ومافي حكمها </v>
      </c>
      <c r="N2057" s="138" t="str">
        <f>IF(ISERROR(VLOOKUP(C2057,'[1]خريطة الحسابات'!_xlnm.Print_Area,5,FALSE))," ",(VLOOKUP(C2057,'[1]خريطة الحسابات'!_xlnm.Print_Area,5,FALSE)))</f>
        <v>الاصول</v>
      </c>
      <c r="O2057" s="84" t="s">
        <v>2206</v>
      </c>
      <c r="P2057" s="84" t="s">
        <v>1327</v>
      </c>
    </row>
    <row r="2058" spans="1:16">
      <c r="A2058" s="151">
        <v>66</v>
      </c>
      <c r="B2058" s="131">
        <v>46121</v>
      </c>
      <c r="C2058" s="150">
        <v>20</v>
      </c>
      <c r="D2058" s="140" t="str">
        <f>IF(ISERROR(VLOOKUP(C2058,'[1]خريطة الحسابات'!_xlnm.Print_Area,3,FALSE))," ",(VLOOKUP(C2058,'[1]خريطة الحسابات'!_xlnm.Print_Area,3,FALSE)))</f>
        <v xml:space="preserve">الخزينة </v>
      </c>
      <c r="E2058" s="142"/>
      <c r="F2058" s="133"/>
      <c r="G2058" s="133">
        <v>550</v>
      </c>
      <c r="H2058" s="134">
        <f t="shared" si="94"/>
        <v>0</v>
      </c>
      <c r="I2058" s="134">
        <f t="shared" si="94"/>
        <v>550</v>
      </c>
      <c r="J2058" s="134">
        <f t="shared" si="93"/>
        <v>-550</v>
      </c>
      <c r="K2058" s="135"/>
      <c r="L2058" s="136" t="str">
        <f t="shared" si="95"/>
        <v>دائن</v>
      </c>
      <c r="M2058" s="137" t="str">
        <f>IF(ISERROR(VLOOKUP(C2058,'[1]خريطة الحسابات'!_xlnm.Print_Area,4,FALSE))," ",(VLOOKUP(C2058,'[1]خريطة الحسابات'!_xlnm.Print_Area,4,FALSE)))</f>
        <v xml:space="preserve">أصول متداوله -النقدية ومافي حكمها </v>
      </c>
      <c r="N2058" s="138" t="str">
        <f>IF(ISERROR(VLOOKUP(C2058,'[1]خريطة الحسابات'!_xlnm.Print_Area,5,FALSE))," ",(VLOOKUP(C2058,'[1]خريطة الحسابات'!_xlnm.Print_Area,5,FALSE)))</f>
        <v>الاصول</v>
      </c>
      <c r="O2058" s="84" t="s">
        <v>2207</v>
      </c>
      <c r="P2058" s="84" t="s">
        <v>1327</v>
      </c>
    </row>
    <row r="2059" spans="1:16">
      <c r="A2059" s="151">
        <v>66</v>
      </c>
      <c r="B2059" s="131">
        <v>46142</v>
      </c>
      <c r="C2059" s="150">
        <v>20</v>
      </c>
      <c r="D2059" s="140" t="str">
        <f>IF(ISERROR(VLOOKUP(C2059,'[1]خريطة الحسابات'!_xlnm.Print_Area,3,FALSE))," ",(VLOOKUP(C2059,'[1]خريطة الحسابات'!_xlnm.Print_Area,3,FALSE)))</f>
        <v xml:space="preserve">الخزينة </v>
      </c>
      <c r="E2059" s="142"/>
      <c r="F2059" s="133"/>
      <c r="G2059" s="133">
        <v>2750</v>
      </c>
      <c r="H2059" s="134">
        <f t="shared" si="94"/>
        <v>0</v>
      </c>
      <c r="I2059" s="134">
        <f t="shared" si="94"/>
        <v>2750</v>
      </c>
      <c r="J2059" s="134">
        <f t="shared" si="93"/>
        <v>-2750</v>
      </c>
      <c r="K2059" s="135"/>
      <c r="L2059" s="136" t="str">
        <f t="shared" si="95"/>
        <v>دائن</v>
      </c>
      <c r="M2059" s="137" t="str">
        <f>IF(ISERROR(VLOOKUP(C2059,'[1]خريطة الحسابات'!_xlnm.Print_Area,4,FALSE))," ",(VLOOKUP(C2059,'[1]خريطة الحسابات'!_xlnm.Print_Area,4,FALSE)))</f>
        <v xml:space="preserve">أصول متداوله -النقدية ومافي حكمها </v>
      </c>
      <c r="N2059" s="138" t="str">
        <f>IF(ISERROR(VLOOKUP(C2059,'[1]خريطة الحسابات'!_xlnm.Print_Area,5,FALSE))," ",(VLOOKUP(C2059,'[1]خريطة الحسابات'!_xlnm.Print_Area,5,FALSE)))</f>
        <v>الاصول</v>
      </c>
      <c r="O2059" s="84" t="s">
        <v>2208</v>
      </c>
      <c r="P2059" s="84" t="s">
        <v>1327</v>
      </c>
    </row>
    <row r="2060" spans="1:16">
      <c r="A2060" s="151">
        <v>66</v>
      </c>
      <c r="B2060" s="131">
        <v>46028</v>
      </c>
      <c r="C2060" s="150">
        <v>20</v>
      </c>
      <c r="D2060" s="140" t="str">
        <f>IF(ISERROR(VLOOKUP(C2060,'[1]خريطة الحسابات'!_xlnm.Print_Area,3,FALSE))," ",(VLOOKUP(C2060,'[1]خريطة الحسابات'!_xlnm.Print_Area,3,FALSE)))</f>
        <v xml:space="preserve">الخزينة </v>
      </c>
      <c r="E2060" s="142"/>
      <c r="F2060" s="133"/>
      <c r="G2060" s="133">
        <v>550</v>
      </c>
      <c r="H2060" s="134">
        <f t="shared" si="94"/>
        <v>0</v>
      </c>
      <c r="I2060" s="134">
        <f t="shared" si="94"/>
        <v>550</v>
      </c>
      <c r="J2060" s="134">
        <f t="shared" si="93"/>
        <v>-550</v>
      </c>
      <c r="K2060" s="135"/>
      <c r="L2060" s="136" t="str">
        <f t="shared" si="95"/>
        <v>دائن</v>
      </c>
      <c r="M2060" s="137" t="str">
        <f>IF(ISERROR(VLOOKUP(C2060,'[1]خريطة الحسابات'!_xlnm.Print_Area,4,FALSE))," ",(VLOOKUP(C2060,'[1]خريطة الحسابات'!_xlnm.Print_Area,4,FALSE)))</f>
        <v xml:space="preserve">أصول متداوله -النقدية ومافي حكمها </v>
      </c>
      <c r="N2060" s="138" t="str">
        <f>IF(ISERROR(VLOOKUP(C2060,'[1]خريطة الحسابات'!_xlnm.Print_Area,5,FALSE))," ",(VLOOKUP(C2060,'[1]خريطة الحسابات'!_xlnm.Print_Area,5,FALSE)))</f>
        <v>الاصول</v>
      </c>
      <c r="O2060" s="84" t="s">
        <v>2209</v>
      </c>
      <c r="P2060" s="84" t="s">
        <v>1290</v>
      </c>
    </row>
    <row r="2061" spans="1:16">
      <c r="A2061" s="151">
        <v>66</v>
      </c>
      <c r="B2061" s="131">
        <v>46028</v>
      </c>
      <c r="C2061" s="150">
        <v>20</v>
      </c>
      <c r="D2061" s="140" t="str">
        <f>IF(ISERROR(VLOOKUP(C2061,'[1]خريطة الحسابات'!_xlnm.Print_Area,3,FALSE))," ",(VLOOKUP(C2061,'[1]خريطة الحسابات'!_xlnm.Print_Area,3,FALSE)))</f>
        <v xml:space="preserve">الخزينة </v>
      </c>
      <c r="E2061" s="142"/>
      <c r="F2061" s="133"/>
      <c r="G2061" s="133">
        <v>550</v>
      </c>
      <c r="H2061" s="134">
        <f t="shared" si="94"/>
        <v>0</v>
      </c>
      <c r="I2061" s="134">
        <f t="shared" si="94"/>
        <v>550</v>
      </c>
      <c r="J2061" s="134">
        <f t="shared" si="93"/>
        <v>-550</v>
      </c>
      <c r="K2061" s="135"/>
      <c r="L2061" s="136" t="str">
        <f t="shared" si="95"/>
        <v>دائن</v>
      </c>
      <c r="M2061" s="137" t="str">
        <f>IF(ISERROR(VLOOKUP(C2061,'[1]خريطة الحسابات'!_xlnm.Print_Area,4,FALSE))," ",(VLOOKUP(C2061,'[1]خريطة الحسابات'!_xlnm.Print_Area,4,FALSE)))</f>
        <v xml:space="preserve">أصول متداوله -النقدية ومافي حكمها </v>
      </c>
      <c r="N2061" s="138" t="str">
        <f>IF(ISERROR(VLOOKUP(C2061,'[1]خريطة الحسابات'!_xlnm.Print_Area,5,FALSE))," ",(VLOOKUP(C2061,'[1]خريطة الحسابات'!_xlnm.Print_Area,5,FALSE)))</f>
        <v>الاصول</v>
      </c>
      <c r="O2061" s="84" t="s">
        <v>2210</v>
      </c>
      <c r="P2061" s="84" t="s">
        <v>1290</v>
      </c>
    </row>
    <row r="2062" spans="1:16">
      <c r="A2062" s="151">
        <v>66</v>
      </c>
      <c r="B2062" s="131">
        <v>46030</v>
      </c>
      <c r="C2062" s="150">
        <v>20</v>
      </c>
      <c r="D2062" s="140" t="str">
        <f>IF(ISERROR(VLOOKUP(C2062,'[1]خريطة الحسابات'!_xlnm.Print_Area,3,FALSE))," ",(VLOOKUP(C2062,'[1]خريطة الحسابات'!_xlnm.Print_Area,3,FALSE)))</f>
        <v xml:space="preserve">الخزينة </v>
      </c>
      <c r="E2062" s="142"/>
      <c r="F2062" s="133"/>
      <c r="G2062" s="133">
        <v>550</v>
      </c>
      <c r="H2062" s="134">
        <f t="shared" si="94"/>
        <v>0</v>
      </c>
      <c r="I2062" s="134">
        <f t="shared" si="94"/>
        <v>550</v>
      </c>
      <c r="J2062" s="134">
        <f t="shared" si="93"/>
        <v>-550</v>
      </c>
      <c r="K2062" s="135"/>
      <c r="L2062" s="136" t="str">
        <f t="shared" si="95"/>
        <v>دائن</v>
      </c>
      <c r="M2062" s="137" t="str">
        <f>IF(ISERROR(VLOOKUP(C2062,'[1]خريطة الحسابات'!_xlnm.Print_Area,4,FALSE))," ",(VLOOKUP(C2062,'[1]خريطة الحسابات'!_xlnm.Print_Area,4,FALSE)))</f>
        <v xml:space="preserve">أصول متداوله -النقدية ومافي حكمها </v>
      </c>
      <c r="N2062" s="138" t="str">
        <f>IF(ISERROR(VLOOKUP(C2062,'[1]خريطة الحسابات'!_xlnm.Print_Area,5,FALSE))," ",(VLOOKUP(C2062,'[1]خريطة الحسابات'!_xlnm.Print_Area,5,FALSE)))</f>
        <v>الاصول</v>
      </c>
      <c r="O2062" s="84" t="s">
        <v>2211</v>
      </c>
      <c r="P2062" s="84" t="s">
        <v>1290</v>
      </c>
    </row>
    <row r="2063" spans="1:16">
      <c r="A2063" s="151">
        <v>66</v>
      </c>
      <c r="B2063" s="131">
        <v>46030</v>
      </c>
      <c r="C2063" s="150">
        <v>20</v>
      </c>
      <c r="D2063" s="140" t="str">
        <f>IF(ISERROR(VLOOKUP(C2063,'[1]خريطة الحسابات'!_xlnm.Print_Area,3,FALSE))," ",(VLOOKUP(C2063,'[1]خريطة الحسابات'!_xlnm.Print_Area,3,FALSE)))</f>
        <v xml:space="preserve">الخزينة </v>
      </c>
      <c r="E2063" s="142"/>
      <c r="F2063" s="133"/>
      <c r="G2063" s="133">
        <v>550</v>
      </c>
      <c r="H2063" s="134">
        <f t="shared" si="94"/>
        <v>0</v>
      </c>
      <c r="I2063" s="134">
        <f t="shared" si="94"/>
        <v>550</v>
      </c>
      <c r="J2063" s="134">
        <f t="shared" si="93"/>
        <v>-550</v>
      </c>
      <c r="K2063" s="135"/>
      <c r="L2063" s="136" t="str">
        <f t="shared" si="95"/>
        <v>دائن</v>
      </c>
      <c r="M2063" s="137" t="str">
        <f>IF(ISERROR(VLOOKUP(C2063,'[1]خريطة الحسابات'!_xlnm.Print_Area,4,FALSE))," ",(VLOOKUP(C2063,'[1]خريطة الحسابات'!_xlnm.Print_Area,4,FALSE)))</f>
        <v xml:space="preserve">أصول متداوله -النقدية ومافي حكمها </v>
      </c>
      <c r="N2063" s="138" t="str">
        <f>IF(ISERROR(VLOOKUP(C2063,'[1]خريطة الحسابات'!_xlnm.Print_Area,5,FALSE))," ",(VLOOKUP(C2063,'[1]خريطة الحسابات'!_xlnm.Print_Area,5,FALSE)))</f>
        <v>الاصول</v>
      </c>
      <c r="O2063" s="84" t="s">
        <v>2212</v>
      </c>
      <c r="P2063" s="84" t="s">
        <v>1290</v>
      </c>
    </row>
    <row r="2064" spans="1:16">
      <c r="A2064" s="151">
        <v>66</v>
      </c>
      <c r="B2064" s="131">
        <v>46036</v>
      </c>
      <c r="C2064" s="150">
        <v>20</v>
      </c>
      <c r="D2064" s="140" t="str">
        <f>IF(ISERROR(VLOOKUP(C2064,'[1]خريطة الحسابات'!_xlnm.Print_Area,3,FALSE))," ",(VLOOKUP(C2064,'[1]خريطة الحسابات'!_xlnm.Print_Area,3,FALSE)))</f>
        <v xml:space="preserve">الخزينة </v>
      </c>
      <c r="E2064" s="142"/>
      <c r="F2064" s="133"/>
      <c r="G2064" s="133">
        <v>550</v>
      </c>
      <c r="H2064" s="134">
        <f t="shared" si="94"/>
        <v>0</v>
      </c>
      <c r="I2064" s="134">
        <f t="shared" si="94"/>
        <v>550</v>
      </c>
      <c r="J2064" s="134">
        <f t="shared" si="93"/>
        <v>-550</v>
      </c>
      <c r="K2064" s="135"/>
      <c r="L2064" s="136" t="str">
        <f t="shared" si="95"/>
        <v>دائن</v>
      </c>
      <c r="M2064" s="137" t="str">
        <f>IF(ISERROR(VLOOKUP(C2064,'[1]خريطة الحسابات'!_xlnm.Print_Area,4,FALSE))," ",(VLOOKUP(C2064,'[1]خريطة الحسابات'!_xlnm.Print_Area,4,FALSE)))</f>
        <v xml:space="preserve">أصول متداوله -النقدية ومافي حكمها </v>
      </c>
      <c r="N2064" s="138" t="str">
        <f>IF(ISERROR(VLOOKUP(C2064,'[1]خريطة الحسابات'!_xlnm.Print_Area,5,FALSE))," ",(VLOOKUP(C2064,'[1]خريطة الحسابات'!_xlnm.Print_Area,5,FALSE)))</f>
        <v>الاصول</v>
      </c>
      <c r="O2064" s="84" t="s">
        <v>2213</v>
      </c>
      <c r="P2064" s="84" t="s">
        <v>1290</v>
      </c>
    </row>
    <row r="2065" spans="1:16">
      <c r="A2065" s="151">
        <v>66</v>
      </c>
      <c r="B2065" s="131">
        <v>46036</v>
      </c>
      <c r="C2065" s="150">
        <v>20</v>
      </c>
      <c r="D2065" s="140" t="str">
        <f>IF(ISERROR(VLOOKUP(C2065,'[1]خريطة الحسابات'!_xlnm.Print_Area,3,FALSE))," ",(VLOOKUP(C2065,'[1]خريطة الحسابات'!_xlnm.Print_Area,3,FALSE)))</f>
        <v xml:space="preserve">الخزينة </v>
      </c>
      <c r="E2065" s="142"/>
      <c r="F2065" s="133"/>
      <c r="G2065" s="133">
        <v>550</v>
      </c>
      <c r="H2065" s="134">
        <f t="shared" si="94"/>
        <v>0</v>
      </c>
      <c r="I2065" s="134">
        <f t="shared" si="94"/>
        <v>550</v>
      </c>
      <c r="J2065" s="134">
        <f t="shared" si="93"/>
        <v>-550</v>
      </c>
      <c r="K2065" s="135"/>
      <c r="L2065" s="136" t="str">
        <f t="shared" si="95"/>
        <v>دائن</v>
      </c>
      <c r="M2065" s="137" t="str">
        <f>IF(ISERROR(VLOOKUP(C2065,'[1]خريطة الحسابات'!_xlnm.Print_Area,4,FALSE))," ",(VLOOKUP(C2065,'[1]خريطة الحسابات'!_xlnm.Print_Area,4,FALSE)))</f>
        <v xml:space="preserve">أصول متداوله -النقدية ومافي حكمها </v>
      </c>
      <c r="N2065" s="138" t="str">
        <f>IF(ISERROR(VLOOKUP(C2065,'[1]خريطة الحسابات'!_xlnm.Print_Area,5,FALSE))," ",(VLOOKUP(C2065,'[1]خريطة الحسابات'!_xlnm.Print_Area,5,FALSE)))</f>
        <v>الاصول</v>
      </c>
      <c r="O2065" s="84" t="s">
        <v>2214</v>
      </c>
      <c r="P2065" s="84" t="s">
        <v>1290</v>
      </c>
    </row>
    <row r="2066" spans="1:16">
      <c r="A2066" s="151">
        <v>66</v>
      </c>
      <c r="B2066" s="131">
        <v>46036</v>
      </c>
      <c r="C2066" s="150">
        <v>20</v>
      </c>
      <c r="D2066" s="140" t="str">
        <f>IF(ISERROR(VLOOKUP(C2066,'[1]خريطة الحسابات'!_xlnm.Print_Area,3,FALSE))," ",(VLOOKUP(C2066,'[1]خريطة الحسابات'!_xlnm.Print_Area,3,FALSE)))</f>
        <v xml:space="preserve">الخزينة </v>
      </c>
      <c r="E2066" s="142"/>
      <c r="F2066" s="133"/>
      <c r="G2066" s="133">
        <v>550</v>
      </c>
      <c r="H2066" s="134">
        <f t="shared" si="94"/>
        <v>0</v>
      </c>
      <c r="I2066" s="134">
        <f t="shared" si="94"/>
        <v>550</v>
      </c>
      <c r="J2066" s="134">
        <f t="shared" si="93"/>
        <v>-550</v>
      </c>
      <c r="K2066" s="135"/>
      <c r="L2066" s="136" t="str">
        <f t="shared" si="95"/>
        <v>دائن</v>
      </c>
      <c r="M2066" s="137" t="str">
        <f>IF(ISERROR(VLOOKUP(C2066,'[1]خريطة الحسابات'!_xlnm.Print_Area,4,FALSE))," ",(VLOOKUP(C2066,'[1]خريطة الحسابات'!_xlnm.Print_Area,4,FALSE)))</f>
        <v xml:space="preserve">أصول متداوله -النقدية ومافي حكمها </v>
      </c>
      <c r="N2066" s="138" t="str">
        <f>IF(ISERROR(VLOOKUP(C2066,'[1]خريطة الحسابات'!_xlnm.Print_Area,5,FALSE))," ",(VLOOKUP(C2066,'[1]خريطة الحسابات'!_xlnm.Print_Area,5,FALSE)))</f>
        <v>الاصول</v>
      </c>
      <c r="O2066" s="84" t="s">
        <v>2215</v>
      </c>
      <c r="P2066" s="84" t="s">
        <v>1290</v>
      </c>
    </row>
    <row r="2067" spans="1:16">
      <c r="A2067" s="151">
        <v>66</v>
      </c>
      <c r="B2067" s="131">
        <v>46039</v>
      </c>
      <c r="C2067" s="150">
        <v>20</v>
      </c>
      <c r="D2067" s="140" t="str">
        <f>IF(ISERROR(VLOOKUP(C2067,'[1]خريطة الحسابات'!_xlnm.Print_Area,3,FALSE))," ",(VLOOKUP(C2067,'[1]خريطة الحسابات'!_xlnm.Print_Area,3,FALSE)))</f>
        <v xml:space="preserve">الخزينة </v>
      </c>
      <c r="E2067" s="142"/>
      <c r="F2067" s="133"/>
      <c r="G2067" s="133">
        <v>1100</v>
      </c>
      <c r="H2067" s="134">
        <f t="shared" si="94"/>
        <v>0</v>
      </c>
      <c r="I2067" s="134">
        <f t="shared" si="94"/>
        <v>1100</v>
      </c>
      <c r="J2067" s="134">
        <f t="shared" si="93"/>
        <v>-1100</v>
      </c>
      <c r="K2067" s="135"/>
      <c r="L2067" s="136" t="str">
        <f t="shared" si="95"/>
        <v>دائن</v>
      </c>
      <c r="M2067" s="137" t="str">
        <f>IF(ISERROR(VLOOKUP(C2067,'[1]خريطة الحسابات'!_xlnm.Print_Area,4,FALSE))," ",(VLOOKUP(C2067,'[1]خريطة الحسابات'!_xlnm.Print_Area,4,FALSE)))</f>
        <v xml:space="preserve">أصول متداوله -النقدية ومافي حكمها </v>
      </c>
      <c r="N2067" s="138" t="str">
        <f>IF(ISERROR(VLOOKUP(C2067,'[1]خريطة الحسابات'!_xlnm.Print_Area,5,FALSE))," ",(VLOOKUP(C2067,'[1]خريطة الحسابات'!_xlnm.Print_Area,5,FALSE)))</f>
        <v>الاصول</v>
      </c>
      <c r="O2067" s="84" t="s">
        <v>2216</v>
      </c>
      <c r="P2067" s="84" t="s">
        <v>1290</v>
      </c>
    </row>
    <row r="2068" spans="1:16">
      <c r="A2068" s="151">
        <v>66</v>
      </c>
      <c r="B2068" s="131">
        <v>46039</v>
      </c>
      <c r="C2068" s="150">
        <v>20</v>
      </c>
      <c r="D2068" s="140" t="str">
        <f>IF(ISERROR(VLOOKUP(C2068,'[1]خريطة الحسابات'!_xlnm.Print_Area,3,FALSE))," ",(VLOOKUP(C2068,'[1]خريطة الحسابات'!_xlnm.Print_Area,3,FALSE)))</f>
        <v xml:space="preserve">الخزينة </v>
      </c>
      <c r="E2068" s="142"/>
      <c r="F2068" s="133"/>
      <c r="G2068" s="133">
        <v>550</v>
      </c>
      <c r="H2068" s="134">
        <f t="shared" si="94"/>
        <v>0</v>
      </c>
      <c r="I2068" s="134">
        <f t="shared" si="94"/>
        <v>550</v>
      </c>
      <c r="J2068" s="134">
        <f t="shared" si="93"/>
        <v>-550</v>
      </c>
      <c r="K2068" s="135"/>
      <c r="L2068" s="136" t="str">
        <f t="shared" si="95"/>
        <v>دائن</v>
      </c>
      <c r="M2068" s="137" t="str">
        <f>IF(ISERROR(VLOOKUP(C2068,'[1]خريطة الحسابات'!_xlnm.Print_Area,4,FALSE))," ",(VLOOKUP(C2068,'[1]خريطة الحسابات'!_xlnm.Print_Area,4,FALSE)))</f>
        <v xml:space="preserve">أصول متداوله -النقدية ومافي حكمها </v>
      </c>
      <c r="N2068" s="138" t="str">
        <f>IF(ISERROR(VLOOKUP(C2068,'[1]خريطة الحسابات'!_xlnm.Print_Area,5,FALSE))," ",(VLOOKUP(C2068,'[1]خريطة الحسابات'!_xlnm.Print_Area,5,FALSE)))</f>
        <v>الاصول</v>
      </c>
      <c r="O2068" s="84" t="s">
        <v>2217</v>
      </c>
      <c r="P2068" s="84" t="s">
        <v>1290</v>
      </c>
    </row>
    <row r="2069" spans="1:16">
      <c r="A2069" s="151">
        <v>66</v>
      </c>
      <c r="B2069" s="131">
        <v>46039</v>
      </c>
      <c r="C2069" s="150">
        <v>20</v>
      </c>
      <c r="D2069" s="140" t="str">
        <f>IF(ISERROR(VLOOKUP(C2069,'[1]خريطة الحسابات'!_xlnm.Print_Area,3,FALSE))," ",(VLOOKUP(C2069,'[1]خريطة الحسابات'!_xlnm.Print_Area,3,FALSE)))</f>
        <v xml:space="preserve">الخزينة </v>
      </c>
      <c r="E2069" s="142"/>
      <c r="F2069" s="133"/>
      <c r="G2069" s="133">
        <v>3900</v>
      </c>
      <c r="H2069" s="134">
        <f t="shared" si="94"/>
        <v>0</v>
      </c>
      <c r="I2069" s="134">
        <f t="shared" si="94"/>
        <v>3900</v>
      </c>
      <c r="J2069" s="134">
        <f t="shared" si="93"/>
        <v>-3900</v>
      </c>
      <c r="K2069" s="135"/>
      <c r="L2069" s="136" t="str">
        <f t="shared" si="95"/>
        <v>دائن</v>
      </c>
      <c r="M2069" s="137" t="str">
        <f>IF(ISERROR(VLOOKUP(C2069,'[1]خريطة الحسابات'!_xlnm.Print_Area,4,FALSE))," ",(VLOOKUP(C2069,'[1]خريطة الحسابات'!_xlnm.Print_Area,4,FALSE)))</f>
        <v xml:space="preserve">أصول متداوله -النقدية ومافي حكمها </v>
      </c>
      <c r="N2069" s="138" t="str">
        <f>IF(ISERROR(VLOOKUP(C2069,'[1]خريطة الحسابات'!_xlnm.Print_Area,5,FALSE))," ",(VLOOKUP(C2069,'[1]خريطة الحسابات'!_xlnm.Print_Area,5,FALSE)))</f>
        <v>الاصول</v>
      </c>
      <c r="O2069" s="84" t="s">
        <v>2218</v>
      </c>
      <c r="P2069" s="84" t="s">
        <v>1290</v>
      </c>
    </row>
    <row r="2070" spans="1:16">
      <c r="A2070" s="151">
        <v>66</v>
      </c>
      <c r="B2070" s="131">
        <v>46043</v>
      </c>
      <c r="C2070" s="150">
        <v>20</v>
      </c>
      <c r="D2070" s="140" t="str">
        <f>IF(ISERROR(VLOOKUP(C2070,'[1]خريطة الحسابات'!_xlnm.Print_Area,3,FALSE))," ",(VLOOKUP(C2070,'[1]خريطة الحسابات'!_xlnm.Print_Area,3,FALSE)))</f>
        <v xml:space="preserve">الخزينة </v>
      </c>
      <c r="E2070" s="142"/>
      <c r="F2070" s="133"/>
      <c r="G2070" s="133">
        <v>550</v>
      </c>
      <c r="H2070" s="134">
        <f t="shared" si="94"/>
        <v>0</v>
      </c>
      <c r="I2070" s="134">
        <f t="shared" si="94"/>
        <v>550</v>
      </c>
      <c r="J2070" s="134">
        <f t="shared" si="93"/>
        <v>-550</v>
      </c>
      <c r="K2070" s="135"/>
      <c r="L2070" s="136" t="str">
        <f t="shared" si="95"/>
        <v>دائن</v>
      </c>
      <c r="M2070" s="137" t="str">
        <f>IF(ISERROR(VLOOKUP(C2070,'[1]خريطة الحسابات'!_xlnm.Print_Area,4,FALSE))," ",(VLOOKUP(C2070,'[1]خريطة الحسابات'!_xlnm.Print_Area,4,FALSE)))</f>
        <v xml:space="preserve">أصول متداوله -النقدية ومافي حكمها </v>
      </c>
      <c r="N2070" s="138" t="str">
        <f>IF(ISERROR(VLOOKUP(C2070,'[1]خريطة الحسابات'!_xlnm.Print_Area,5,FALSE))," ",(VLOOKUP(C2070,'[1]خريطة الحسابات'!_xlnm.Print_Area,5,FALSE)))</f>
        <v>الاصول</v>
      </c>
      <c r="O2070" s="84" t="s">
        <v>2219</v>
      </c>
      <c r="P2070" s="84" t="s">
        <v>1290</v>
      </c>
    </row>
    <row r="2071" spans="1:16">
      <c r="A2071" s="151">
        <v>66</v>
      </c>
      <c r="B2071" s="131">
        <v>46043</v>
      </c>
      <c r="C2071" s="150">
        <v>20</v>
      </c>
      <c r="D2071" s="140" t="str">
        <f>IF(ISERROR(VLOOKUP(C2071,'[1]خريطة الحسابات'!_xlnm.Print_Area,3,FALSE))," ",(VLOOKUP(C2071,'[1]خريطة الحسابات'!_xlnm.Print_Area,3,FALSE)))</f>
        <v xml:space="preserve">الخزينة </v>
      </c>
      <c r="E2071" s="142"/>
      <c r="F2071" s="133"/>
      <c r="G2071" s="133">
        <v>550</v>
      </c>
      <c r="H2071" s="134">
        <f t="shared" si="94"/>
        <v>0</v>
      </c>
      <c r="I2071" s="134">
        <f t="shared" si="94"/>
        <v>550</v>
      </c>
      <c r="J2071" s="134">
        <f t="shared" si="93"/>
        <v>-550</v>
      </c>
      <c r="K2071" s="135"/>
      <c r="L2071" s="136" t="str">
        <f t="shared" si="95"/>
        <v>دائن</v>
      </c>
      <c r="M2071" s="137" t="str">
        <f>IF(ISERROR(VLOOKUP(C2071,'[1]خريطة الحسابات'!_xlnm.Print_Area,4,FALSE))," ",(VLOOKUP(C2071,'[1]خريطة الحسابات'!_xlnm.Print_Area,4,FALSE)))</f>
        <v xml:space="preserve">أصول متداوله -النقدية ومافي حكمها </v>
      </c>
      <c r="N2071" s="138" t="str">
        <f>IF(ISERROR(VLOOKUP(C2071,'[1]خريطة الحسابات'!_xlnm.Print_Area,5,FALSE))," ",(VLOOKUP(C2071,'[1]خريطة الحسابات'!_xlnm.Print_Area,5,FALSE)))</f>
        <v>الاصول</v>
      </c>
      <c r="O2071" s="84" t="s">
        <v>2220</v>
      </c>
      <c r="P2071" s="84" t="s">
        <v>1290</v>
      </c>
    </row>
    <row r="2072" spans="1:16">
      <c r="A2072" s="151">
        <v>66</v>
      </c>
      <c r="B2072" s="131">
        <v>46044</v>
      </c>
      <c r="C2072" s="150">
        <v>20</v>
      </c>
      <c r="D2072" s="140" t="str">
        <f>IF(ISERROR(VLOOKUP(C2072,'[1]خريطة الحسابات'!_xlnm.Print_Area,3,FALSE))," ",(VLOOKUP(C2072,'[1]خريطة الحسابات'!_xlnm.Print_Area,3,FALSE)))</f>
        <v xml:space="preserve">الخزينة </v>
      </c>
      <c r="E2072" s="142"/>
      <c r="F2072" s="133"/>
      <c r="G2072" s="133">
        <v>550</v>
      </c>
      <c r="H2072" s="134">
        <f t="shared" si="94"/>
        <v>0</v>
      </c>
      <c r="I2072" s="134">
        <f t="shared" si="94"/>
        <v>550</v>
      </c>
      <c r="J2072" s="134">
        <f t="shared" ref="J2072:J2135" si="96">H2072-I2072</f>
        <v>-550</v>
      </c>
      <c r="K2072" s="135"/>
      <c r="L2072" s="136" t="str">
        <f t="shared" si="95"/>
        <v>دائن</v>
      </c>
      <c r="M2072" s="137" t="str">
        <f>IF(ISERROR(VLOOKUP(C2072,'[1]خريطة الحسابات'!_xlnm.Print_Area,4,FALSE))," ",(VLOOKUP(C2072,'[1]خريطة الحسابات'!_xlnm.Print_Area,4,FALSE)))</f>
        <v xml:space="preserve">أصول متداوله -النقدية ومافي حكمها </v>
      </c>
      <c r="N2072" s="138" t="str">
        <f>IF(ISERROR(VLOOKUP(C2072,'[1]خريطة الحسابات'!_xlnm.Print_Area,5,FALSE))," ",(VLOOKUP(C2072,'[1]خريطة الحسابات'!_xlnm.Print_Area,5,FALSE)))</f>
        <v>الاصول</v>
      </c>
      <c r="O2072" s="84" t="s">
        <v>2221</v>
      </c>
      <c r="P2072" s="84" t="s">
        <v>1290</v>
      </c>
    </row>
    <row r="2073" spans="1:16">
      <c r="A2073" s="151">
        <v>66</v>
      </c>
      <c r="B2073" s="131">
        <v>46044</v>
      </c>
      <c r="C2073" s="150">
        <v>20</v>
      </c>
      <c r="D2073" s="140" t="str">
        <f>IF(ISERROR(VLOOKUP(C2073,'[1]خريطة الحسابات'!_xlnm.Print_Area,3,FALSE))," ",(VLOOKUP(C2073,'[1]خريطة الحسابات'!_xlnm.Print_Area,3,FALSE)))</f>
        <v xml:space="preserve">الخزينة </v>
      </c>
      <c r="E2073" s="142"/>
      <c r="F2073" s="133"/>
      <c r="G2073" s="133">
        <v>550</v>
      </c>
      <c r="H2073" s="134">
        <f t="shared" ref="H2073:I2136" si="97">IF($E2073=2,F2073*3.465,F2073)</f>
        <v>0</v>
      </c>
      <c r="I2073" s="134">
        <f t="shared" si="97"/>
        <v>550</v>
      </c>
      <c r="J2073" s="134">
        <f t="shared" si="96"/>
        <v>-550</v>
      </c>
      <c r="K2073" s="135"/>
      <c r="L2073" s="136" t="str">
        <f t="shared" si="95"/>
        <v>دائن</v>
      </c>
      <c r="M2073" s="137" t="str">
        <f>IF(ISERROR(VLOOKUP(C2073,'[1]خريطة الحسابات'!_xlnm.Print_Area,4,FALSE))," ",(VLOOKUP(C2073,'[1]خريطة الحسابات'!_xlnm.Print_Area,4,FALSE)))</f>
        <v xml:space="preserve">أصول متداوله -النقدية ومافي حكمها </v>
      </c>
      <c r="N2073" s="138" t="str">
        <f>IF(ISERROR(VLOOKUP(C2073,'[1]خريطة الحسابات'!_xlnm.Print_Area,5,FALSE))," ",(VLOOKUP(C2073,'[1]خريطة الحسابات'!_xlnm.Print_Area,5,FALSE)))</f>
        <v>الاصول</v>
      </c>
      <c r="O2073" s="84" t="s">
        <v>2222</v>
      </c>
      <c r="P2073" s="84" t="s">
        <v>1290</v>
      </c>
    </row>
    <row r="2074" spans="1:16">
      <c r="A2074" s="151">
        <v>66</v>
      </c>
      <c r="B2074" s="131">
        <v>46050</v>
      </c>
      <c r="C2074" s="150">
        <v>20</v>
      </c>
      <c r="D2074" s="140" t="str">
        <f>IF(ISERROR(VLOOKUP(C2074,'[1]خريطة الحسابات'!_xlnm.Print_Area,3,FALSE))," ",(VLOOKUP(C2074,'[1]خريطة الحسابات'!_xlnm.Print_Area,3,FALSE)))</f>
        <v xml:space="preserve">الخزينة </v>
      </c>
      <c r="E2074" s="142"/>
      <c r="F2074" s="133"/>
      <c r="G2074" s="133">
        <v>550</v>
      </c>
      <c r="H2074" s="134">
        <f t="shared" si="97"/>
        <v>0</v>
      </c>
      <c r="I2074" s="134">
        <f t="shared" si="97"/>
        <v>550</v>
      </c>
      <c r="J2074" s="134">
        <f t="shared" si="96"/>
        <v>-550</v>
      </c>
      <c r="K2074" s="135"/>
      <c r="L2074" s="136" t="str">
        <f t="shared" si="95"/>
        <v>دائن</v>
      </c>
      <c r="M2074" s="137" t="str">
        <f>IF(ISERROR(VLOOKUP(C2074,'[1]خريطة الحسابات'!_xlnm.Print_Area,4,FALSE))," ",(VLOOKUP(C2074,'[1]خريطة الحسابات'!_xlnm.Print_Area,4,FALSE)))</f>
        <v xml:space="preserve">أصول متداوله -النقدية ومافي حكمها </v>
      </c>
      <c r="N2074" s="138" t="str">
        <f>IF(ISERROR(VLOOKUP(C2074,'[1]خريطة الحسابات'!_xlnm.Print_Area,5,FALSE))," ",(VLOOKUP(C2074,'[1]خريطة الحسابات'!_xlnm.Print_Area,5,FALSE)))</f>
        <v>الاصول</v>
      </c>
      <c r="O2074" s="84" t="s">
        <v>2223</v>
      </c>
      <c r="P2074" s="84" t="s">
        <v>1290</v>
      </c>
    </row>
    <row r="2075" spans="1:16">
      <c r="A2075" s="151">
        <v>66</v>
      </c>
      <c r="B2075" s="131">
        <v>46050</v>
      </c>
      <c r="C2075" s="150">
        <v>20</v>
      </c>
      <c r="D2075" s="140" t="str">
        <f>IF(ISERROR(VLOOKUP(C2075,'[1]خريطة الحسابات'!_xlnm.Print_Area,3,FALSE))," ",(VLOOKUP(C2075,'[1]خريطة الحسابات'!_xlnm.Print_Area,3,FALSE)))</f>
        <v xml:space="preserve">الخزينة </v>
      </c>
      <c r="E2075" s="142"/>
      <c r="F2075" s="133"/>
      <c r="G2075" s="133">
        <v>550</v>
      </c>
      <c r="H2075" s="134">
        <f t="shared" si="97"/>
        <v>0</v>
      </c>
      <c r="I2075" s="134">
        <f t="shared" si="97"/>
        <v>550</v>
      </c>
      <c r="J2075" s="134">
        <f t="shared" si="96"/>
        <v>-550</v>
      </c>
      <c r="K2075" s="135"/>
      <c r="L2075" s="136" t="str">
        <f t="shared" ref="L2075:L2138" si="98">IF(J2075&lt;0,"دائن",IF(J2075&gt;0,"مدين",""))</f>
        <v>دائن</v>
      </c>
      <c r="M2075" s="137" t="str">
        <f>IF(ISERROR(VLOOKUP(C2075,'[1]خريطة الحسابات'!_xlnm.Print_Area,4,FALSE))," ",(VLOOKUP(C2075,'[1]خريطة الحسابات'!_xlnm.Print_Area,4,FALSE)))</f>
        <v xml:space="preserve">أصول متداوله -النقدية ومافي حكمها </v>
      </c>
      <c r="N2075" s="138" t="str">
        <f>IF(ISERROR(VLOOKUP(C2075,'[1]خريطة الحسابات'!_xlnm.Print_Area,5,FALSE))," ",(VLOOKUP(C2075,'[1]خريطة الحسابات'!_xlnm.Print_Area,5,FALSE)))</f>
        <v>الاصول</v>
      </c>
      <c r="O2075" s="84" t="s">
        <v>2224</v>
      </c>
      <c r="P2075" s="84" t="s">
        <v>1290</v>
      </c>
    </row>
    <row r="2076" spans="1:16">
      <c r="A2076" s="151">
        <v>66</v>
      </c>
      <c r="B2076" s="131">
        <v>46056</v>
      </c>
      <c r="C2076" s="150">
        <v>20</v>
      </c>
      <c r="D2076" s="140" t="str">
        <f>IF(ISERROR(VLOOKUP(C2076,'[1]خريطة الحسابات'!_xlnm.Print_Area,3,FALSE))," ",(VLOOKUP(C2076,'[1]خريطة الحسابات'!_xlnm.Print_Area,3,FALSE)))</f>
        <v xml:space="preserve">الخزينة </v>
      </c>
      <c r="E2076" s="142"/>
      <c r="F2076" s="133"/>
      <c r="G2076" s="133">
        <v>1652</v>
      </c>
      <c r="H2076" s="134">
        <f t="shared" si="97"/>
        <v>0</v>
      </c>
      <c r="I2076" s="134">
        <f t="shared" si="97"/>
        <v>1652</v>
      </c>
      <c r="J2076" s="134">
        <f t="shared" si="96"/>
        <v>-1652</v>
      </c>
      <c r="K2076" s="135"/>
      <c r="L2076" s="136" t="str">
        <f t="shared" si="98"/>
        <v>دائن</v>
      </c>
      <c r="M2076" s="137" t="str">
        <f>IF(ISERROR(VLOOKUP(C2076,'[1]خريطة الحسابات'!_xlnm.Print_Area,4,FALSE))," ",(VLOOKUP(C2076,'[1]خريطة الحسابات'!_xlnm.Print_Area,4,FALSE)))</f>
        <v xml:space="preserve">أصول متداوله -النقدية ومافي حكمها </v>
      </c>
      <c r="N2076" s="138" t="str">
        <f>IF(ISERROR(VLOOKUP(C2076,'[1]خريطة الحسابات'!_xlnm.Print_Area,5,FALSE))," ",(VLOOKUP(C2076,'[1]خريطة الحسابات'!_xlnm.Print_Area,5,FALSE)))</f>
        <v>الاصول</v>
      </c>
      <c r="O2076" s="84" t="s">
        <v>2225</v>
      </c>
      <c r="P2076" s="84" t="s">
        <v>1290</v>
      </c>
    </row>
    <row r="2077" spans="1:16">
      <c r="A2077" s="151">
        <v>66</v>
      </c>
      <c r="B2077" s="131">
        <v>46056</v>
      </c>
      <c r="C2077" s="150">
        <v>20</v>
      </c>
      <c r="D2077" s="140" t="str">
        <f>IF(ISERROR(VLOOKUP(C2077,'[1]خريطة الحسابات'!_xlnm.Print_Area,3,FALSE))," ",(VLOOKUP(C2077,'[1]خريطة الحسابات'!_xlnm.Print_Area,3,FALSE)))</f>
        <v xml:space="preserve">الخزينة </v>
      </c>
      <c r="E2077" s="142"/>
      <c r="F2077" s="133"/>
      <c r="G2077" s="133">
        <v>1102</v>
      </c>
      <c r="H2077" s="134">
        <f t="shared" si="97"/>
        <v>0</v>
      </c>
      <c r="I2077" s="134">
        <f t="shared" si="97"/>
        <v>1102</v>
      </c>
      <c r="J2077" s="134">
        <f t="shared" si="96"/>
        <v>-1102</v>
      </c>
      <c r="K2077" s="135"/>
      <c r="L2077" s="136" t="str">
        <f t="shared" si="98"/>
        <v>دائن</v>
      </c>
      <c r="M2077" s="137" t="str">
        <f>IF(ISERROR(VLOOKUP(C2077,'[1]خريطة الحسابات'!_xlnm.Print_Area,4,FALSE))," ",(VLOOKUP(C2077,'[1]خريطة الحسابات'!_xlnm.Print_Area,4,FALSE)))</f>
        <v xml:space="preserve">أصول متداوله -النقدية ومافي حكمها </v>
      </c>
      <c r="N2077" s="138" t="str">
        <f>IF(ISERROR(VLOOKUP(C2077,'[1]خريطة الحسابات'!_xlnm.Print_Area,5,FALSE))," ",(VLOOKUP(C2077,'[1]خريطة الحسابات'!_xlnm.Print_Area,5,FALSE)))</f>
        <v>الاصول</v>
      </c>
      <c r="O2077" s="84" t="s">
        <v>2226</v>
      </c>
      <c r="P2077" s="84" t="s">
        <v>1290</v>
      </c>
    </row>
    <row r="2078" spans="1:16">
      <c r="A2078" s="151">
        <v>66</v>
      </c>
      <c r="B2078" s="131">
        <v>46058</v>
      </c>
      <c r="C2078" s="150">
        <v>20</v>
      </c>
      <c r="D2078" s="140" t="str">
        <f>IF(ISERROR(VLOOKUP(C2078,'[1]خريطة الحسابات'!_xlnm.Print_Area,3,FALSE))," ",(VLOOKUP(C2078,'[1]خريطة الحسابات'!_xlnm.Print_Area,3,FALSE)))</f>
        <v xml:space="preserve">الخزينة </v>
      </c>
      <c r="E2078" s="142"/>
      <c r="F2078" s="133"/>
      <c r="G2078" s="133">
        <v>550</v>
      </c>
      <c r="H2078" s="134">
        <f t="shared" si="97"/>
        <v>0</v>
      </c>
      <c r="I2078" s="134">
        <f t="shared" si="97"/>
        <v>550</v>
      </c>
      <c r="J2078" s="134">
        <f t="shared" si="96"/>
        <v>-550</v>
      </c>
      <c r="K2078" s="135"/>
      <c r="L2078" s="136" t="str">
        <f t="shared" si="98"/>
        <v>دائن</v>
      </c>
      <c r="M2078" s="137" t="str">
        <f>IF(ISERROR(VLOOKUP(C2078,'[1]خريطة الحسابات'!_xlnm.Print_Area,4,FALSE))," ",(VLOOKUP(C2078,'[1]خريطة الحسابات'!_xlnm.Print_Area,4,FALSE)))</f>
        <v xml:space="preserve">أصول متداوله -النقدية ومافي حكمها </v>
      </c>
      <c r="N2078" s="138" t="str">
        <f>IF(ISERROR(VLOOKUP(C2078,'[1]خريطة الحسابات'!_xlnm.Print_Area,5,FALSE))," ",(VLOOKUP(C2078,'[1]خريطة الحسابات'!_xlnm.Print_Area,5,FALSE)))</f>
        <v>الاصول</v>
      </c>
      <c r="O2078" s="84" t="s">
        <v>2227</v>
      </c>
      <c r="P2078" s="84" t="s">
        <v>1290</v>
      </c>
    </row>
    <row r="2079" spans="1:16">
      <c r="A2079" s="151">
        <v>66</v>
      </c>
      <c r="B2079" s="131">
        <v>46063</v>
      </c>
      <c r="C2079" s="150">
        <v>20</v>
      </c>
      <c r="D2079" s="140" t="str">
        <f>IF(ISERROR(VLOOKUP(C2079,'[1]خريطة الحسابات'!_xlnm.Print_Area,3,FALSE))," ",(VLOOKUP(C2079,'[1]خريطة الحسابات'!_xlnm.Print_Area,3,FALSE)))</f>
        <v xml:space="preserve">الخزينة </v>
      </c>
      <c r="E2079" s="142"/>
      <c r="F2079" s="133"/>
      <c r="G2079" s="133">
        <v>550</v>
      </c>
      <c r="H2079" s="134">
        <f t="shared" si="97"/>
        <v>0</v>
      </c>
      <c r="I2079" s="134">
        <f t="shared" si="97"/>
        <v>550</v>
      </c>
      <c r="J2079" s="134">
        <f t="shared" si="96"/>
        <v>-550</v>
      </c>
      <c r="K2079" s="135"/>
      <c r="L2079" s="136" t="str">
        <f t="shared" si="98"/>
        <v>دائن</v>
      </c>
      <c r="M2079" s="137" t="str">
        <f>IF(ISERROR(VLOOKUP(C2079,'[1]خريطة الحسابات'!_xlnm.Print_Area,4,FALSE))," ",(VLOOKUP(C2079,'[1]خريطة الحسابات'!_xlnm.Print_Area,4,FALSE)))</f>
        <v xml:space="preserve">أصول متداوله -النقدية ومافي حكمها </v>
      </c>
      <c r="N2079" s="138" t="str">
        <f>IF(ISERROR(VLOOKUP(C2079,'[1]خريطة الحسابات'!_xlnm.Print_Area,5,FALSE))," ",(VLOOKUP(C2079,'[1]خريطة الحسابات'!_xlnm.Print_Area,5,FALSE)))</f>
        <v>الاصول</v>
      </c>
      <c r="O2079" s="84" t="s">
        <v>2228</v>
      </c>
      <c r="P2079" s="84" t="s">
        <v>1290</v>
      </c>
    </row>
    <row r="2080" spans="1:16">
      <c r="A2080" s="151">
        <v>66</v>
      </c>
      <c r="B2080" s="131">
        <v>46063</v>
      </c>
      <c r="C2080" s="150">
        <v>20</v>
      </c>
      <c r="D2080" s="140" t="str">
        <f>IF(ISERROR(VLOOKUP(C2080,'[1]خريطة الحسابات'!_xlnm.Print_Area,3,FALSE))," ",(VLOOKUP(C2080,'[1]خريطة الحسابات'!_xlnm.Print_Area,3,FALSE)))</f>
        <v xml:space="preserve">الخزينة </v>
      </c>
      <c r="E2080" s="142"/>
      <c r="F2080" s="133"/>
      <c r="G2080" s="133">
        <v>1100</v>
      </c>
      <c r="H2080" s="134">
        <f t="shared" si="97"/>
        <v>0</v>
      </c>
      <c r="I2080" s="134">
        <f t="shared" si="97"/>
        <v>1100</v>
      </c>
      <c r="J2080" s="134">
        <f t="shared" si="96"/>
        <v>-1100</v>
      </c>
      <c r="K2080" s="135"/>
      <c r="L2080" s="136" t="str">
        <f t="shared" si="98"/>
        <v>دائن</v>
      </c>
      <c r="M2080" s="137" t="str">
        <f>IF(ISERROR(VLOOKUP(C2080,'[1]خريطة الحسابات'!_xlnm.Print_Area,4,FALSE))," ",(VLOOKUP(C2080,'[1]خريطة الحسابات'!_xlnm.Print_Area,4,FALSE)))</f>
        <v xml:space="preserve">أصول متداوله -النقدية ومافي حكمها </v>
      </c>
      <c r="N2080" s="138" t="str">
        <f>IF(ISERROR(VLOOKUP(C2080,'[1]خريطة الحسابات'!_xlnm.Print_Area,5,FALSE))," ",(VLOOKUP(C2080,'[1]خريطة الحسابات'!_xlnm.Print_Area,5,FALSE)))</f>
        <v>الاصول</v>
      </c>
      <c r="O2080" s="84" t="s">
        <v>2229</v>
      </c>
      <c r="P2080" s="84" t="s">
        <v>1290</v>
      </c>
    </row>
    <row r="2081" spans="1:16">
      <c r="A2081" s="151">
        <v>66</v>
      </c>
      <c r="B2081" s="131">
        <v>46065</v>
      </c>
      <c r="C2081" s="150">
        <v>20</v>
      </c>
      <c r="D2081" s="140" t="str">
        <f>IF(ISERROR(VLOOKUP(C2081,'[1]خريطة الحسابات'!_xlnm.Print_Area,3,FALSE))," ",(VLOOKUP(C2081,'[1]خريطة الحسابات'!_xlnm.Print_Area,3,FALSE)))</f>
        <v xml:space="preserve">الخزينة </v>
      </c>
      <c r="E2081" s="142"/>
      <c r="F2081" s="133"/>
      <c r="G2081" s="133">
        <v>2753</v>
      </c>
      <c r="H2081" s="134">
        <f t="shared" si="97"/>
        <v>0</v>
      </c>
      <c r="I2081" s="134">
        <f t="shared" si="97"/>
        <v>2753</v>
      </c>
      <c r="J2081" s="134">
        <f t="shared" si="96"/>
        <v>-2753</v>
      </c>
      <c r="K2081" s="135"/>
      <c r="L2081" s="136" t="str">
        <f t="shared" si="98"/>
        <v>دائن</v>
      </c>
      <c r="M2081" s="137" t="str">
        <f>IF(ISERROR(VLOOKUP(C2081,'[1]خريطة الحسابات'!_xlnm.Print_Area,4,FALSE))," ",(VLOOKUP(C2081,'[1]خريطة الحسابات'!_xlnm.Print_Area,4,FALSE)))</f>
        <v xml:space="preserve">أصول متداوله -النقدية ومافي حكمها </v>
      </c>
      <c r="N2081" s="138" t="str">
        <f>IF(ISERROR(VLOOKUP(C2081,'[1]خريطة الحسابات'!_xlnm.Print_Area,5,FALSE))," ",(VLOOKUP(C2081,'[1]خريطة الحسابات'!_xlnm.Print_Area,5,FALSE)))</f>
        <v>الاصول</v>
      </c>
      <c r="O2081" s="84" t="s">
        <v>2230</v>
      </c>
      <c r="P2081" s="84" t="s">
        <v>1290</v>
      </c>
    </row>
    <row r="2082" spans="1:16">
      <c r="A2082" s="151">
        <v>66</v>
      </c>
      <c r="B2082" s="131">
        <v>46071</v>
      </c>
      <c r="C2082" s="150">
        <v>20</v>
      </c>
      <c r="D2082" s="140" t="str">
        <f>IF(ISERROR(VLOOKUP(C2082,'[1]خريطة الحسابات'!_xlnm.Print_Area,3,FALSE))," ",(VLOOKUP(C2082,'[1]خريطة الحسابات'!_xlnm.Print_Area,3,FALSE)))</f>
        <v xml:space="preserve">الخزينة </v>
      </c>
      <c r="E2082" s="142"/>
      <c r="F2082" s="133"/>
      <c r="G2082" s="133">
        <v>1100</v>
      </c>
      <c r="H2082" s="134">
        <f t="shared" si="97"/>
        <v>0</v>
      </c>
      <c r="I2082" s="134">
        <f t="shared" si="97"/>
        <v>1100</v>
      </c>
      <c r="J2082" s="134">
        <f t="shared" si="96"/>
        <v>-1100</v>
      </c>
      <c r="K2082" s="135"/>
      <c r="L2082" s="136" t="str">
        <f t="shared" si="98"/>
        <v>دائن</v>
      </c>
      <c r="M2082" s="137" t="str">
        <f>IF(ISERROR(VLOOKUP(C2082,'[1]خريطة الحسابات'!_xlnm.Print_Area,4,FALSE))," ",(VLOOKUP(C2082,'[1]خريطة الحسابات'!_xlnm.Print_Area,4,FALSE)))</f>
        <v xml:space="preserve">أصول متداوله -النقدية ومافي حكمها </v>
      </c>
      <c r="N2082" s="138" t="str">
        <f>IF(ISERROR(VLOOKUP(C2082,'[1]خريطة الحسابات'!_xlnm.Print_Area,5,FALSE))," ",(VLOOKUP(C2082,'[1]خريطة الحسابات'!_xlnm.Print_Area,5,FALSE)))</f>
        <v>الاصول</v>
      </c>
      <c r="O2082" s="84" t="s">
        <v>2231</v>
      </c>
      <c r="P2082" s="84" t="s">
        <v>1290</v>
      </c>
    </row>
    <row r="2083" spans="1:16">
      <c r="A2083" s="151">
        <v>66</v>
      </c>
      <c r="B2083" s="131">
        <v>46077</v>
      </c>
      <c r="C2083" s="150">
        <v>20</v>
      </c>
      <c r="D2083" s="140" t="str">
        <f>IF(ISERROR(VLOOKUP(C2083,'[1]خريطة الحسابات'!_xlnm.Print_Area,3,FALSE))," ",(VLOOKUP(C2083,'[1]خريطة الحسابات'!_xlnm.Print_Area,3,FALSE)))</f>
        <v xml:space="preserve">الخزينة </v>
      </c>
      <c r="E2083" s="142"/>
      <c r="F2083" s="133"/>
      <c r="G2083" s="133">
        <v>1100</v>
      </c>
      <c r="H2083" s="134">
        <f t="shared" si="97"/>
        <v>0</v>
      </c>
      <c r="I2083" s="134">
        <f t="shared" si="97"/>
        <v>1100</v>
      </c>
      <c r="J2083" s="134">
        <f t="shared" si="96"/>
        <v>-1100</v>
      </c>
      <c r="K2083" s="135"/>
      <c r="L2083" s="136" t="str">
        <f t="shared" si="98"/>
        <v>دائن</v>
      </c>
      <c r="M2083" s="137" t="str">
        <f>IF(ISERROR(VLOOKUP(C2083,'[1]خريطة الحسابات'!_xlnm.Print_Area,4,FALSE))," ",(VLOOKUP(C2083,'[1]خريطة الحسابات'!_xlnm.Print_Area,4,FALSE)))</f>
        <v xml:space="preserve">أصول متداوله -النقدية ومافي حكمها </v>
      </c>
      <c r="N2083" s="138" t="str">
        <f>IF(ISERROR(VLOOKUP(C2083,'[1]خريطة الحسابات'!_xlnm.Print_Area,5,FALSE))," ",(VLOOKUP(C2083,'[1]خريطة الحسابات'!_xlnm.Print_Area,5,FALSE)))</f>
        <v>الاصول</v>
      </c>
      <c r="O2083" s="84" t="s">
        <v>2232</v>
      </c>
      <c r="P2083" s="84" t="s">
        <v>1290</v>
      </c>
    </row>
    <row r="2084" spans="1:16">
      <c r="A2084" s="151">
        <v>66</v>
      </c>
      <c r="B2084" s="131">
        <v>46079</v>
      </c>
      <c r="C2084" s="150">
        <v>20</v>
      </c>
      <c r="D2084" s="140" t="str">
        <f>IF(ISERROR(VLOOKUP(C2084,'[1]خريطة الحسابات'!_xlnm.Print_Area,3,FALSE))," ",(VLOOKUP(C2084,'[1]خريطة الحسابات'!_xlnm.Print_Area,3,FALSE)))</f>
        <v xml:space="preserve">الخزينة </v>
      </c>
      <c r="E2084" s="142"/>
      <c r="F2084" s="133"/>
      <c r="G2084" s="133">
        <v>850</v>
      </c>
      <c r="H2084" s="134">
        <f t="shared" si="97"/>
        <v>0</v>
      </c>
      <c r="I2084" s="134">
        <f t="shared" si="97"/>
        <v>850</v>
      </c>
      <c r="J2084" s="134">
        <f t="shared" si="96"/>
        <v>-850</v>
      </c>
      <c r="K2084" s="135"/>
      <c r="L2084" s="136" t="str">
        <f t="shared" si="98"/>
        <v>دائن</v>
      </c>
      <c r="M2084" s="137" t="str">
        <f>IF(ISERROR(VLOOKUP(C2084,'[1]خريطة الحسابات'!_xlnm.Print_Area,4,FALSE))," ",(VLOOKUP(C2084,'[1]خريطة الحسابات'!_xlnm.Print_Area,4,FALSE)))</f>
        <v xml:space="preserve">أصول متداوله -النقدية ومافي حكمها </v>
      </c>
      <c r="N2084" s="138" t="str">
        <f>IF(ISERROR(VLOOKUP(C2084,'[1]خريطة الحسابات'!_xlnm.Print_Area,5,FALSE))," ",(VLOOKUP(C2084,'[1]خريطة الحسابات'!_xlnm.Print_Area,5,FALSE)))</f>
        <v>الاصول</v>
      </c>
      <c r="O2084" s="84" t="s">
        <v>2233</v>
      </c>
      <c r="P2084" s="84" t="s">
        <v>1290</v>
      </c>
    </row>
    <row r="2085" spans="1:16">
      <c r="A2085" s="151">
        <v>66</v>
      </c>
      <c r="B2085" s="131">
        <v>46079</v>
      </c>
      <c r="C2085" s="150">
        <v>20</v>
      </c>
      <c r="D2085" s="140" t="str">
        <f>IF(ISERROR(VLOOKUP(C2085,'[1]خريطة الحسابات'!_xlnm.Print_Area,3,FALSE))," ",(VLOOKUP(C2085,'[1]خريطة الحسابات'!_xlnm.Print_Area,3,FALSE)))</f>
        <v xml:space="preserve">الخزينة </v>
      </c>
      <c r="E2085" s="142"/>
      <c r="F2085" s="133"/>
      <c r="G2085" s="133">
        <v>1100</v>
      </c>
      <c r="H2085" s="134">
        <f t="shared" si="97"/>
        <v>0</v>
      </c>
      <c r="I2085" s="134">
        <f t="shared" si="97"/>
        <v>1100</v>
      </c>
      <c r="J2085" s="134">
        <f t="shared" si="96"/>
        <v>-1100</v>
      </c>
      <c r="K2085" s="135"/>
      <c r="L2085" s="136" t="str">
        <f t="shared" si="98"/>
        <v>دائن</v>
      </c>
      <c r="M2085" s="137" t="str">
        <f>IF(ISERROR(VLOOKUP(C2085,'[1]خريطة الحسابات'!_xlnm.Print_Area,4,FALSE))," ",(VLOOKUP(C2085,'[1]خريطة الحسابات'!_xlnm.Print_Area,4,FALSE)))</f>
        <v xml:space="preserve">أصول متداوله -النقدية ومافي حكمها </v>
      </c>
      <c r="N2085" s="138" t="str">
        <f>IF(ISERROR(VLOOKUP(C2085,'[1]خريطة الحسابات'!_xlnm.Print_Area,5,FALSE))," ",(VLOOKUP(C2085,'[1]خريطة الحسابات'!_xlnm.Print_Area,5,FALSE)))</f>
        <v>الاصول</v>
      </c>
      <c r="O2085" s="84" t="s">
        <v>2234</v>
      </c>
      <c r="P2085" s="84" t="s">
        <v>1290</v>
      </c>
    </row>
    <row r="2086" spans="1:16">
      <c r="A2086" s="151">
        <v>66</v>
      </c>
      <c r="B2086" s="131">
        <v>46079</v>
      </c>
      <c r="C2086" s="150">
        <v>20</v>
      </c>
      <c r="D2086" s="140" t="str">
        <f>IF(ISERROR(VLOOKUP(C2086,'[1]خريطة الحسابات'!_xlnm.Print_Area,3,FALSE))," ",(VLOOKUP(C2086,'[1]خريطة الحسابات'!_xlnm.Print_Area,3,FALSE)))</f>
        <v xml:space="preserve">الخزينة </v>
      </c>
      <c r="E2086" s="142"/>
      <c r="F2086" s="133"/>
      <c r="G2086" s="133">
        <v>550</v>
      </c>
      <c r="H2086" s="134">
        <f t="shared" si="97"/>
        <v>0</v>
      </c>
      <c r="I2086" s="134">
        <f t="shared" si="97"/>
        <v>550</v>
      </c>
      <c r="J2086" s="134">
        <f t="shared" si="96"/>
        <v>-550</v>
      </c>
      <c r="K2086" s="135"/>
      <c r="L2086" s="136" t="str">
        <f t="shared" si="98"/>
        <v>دائن</v>
      </c>
      <c r="M2086" s="137" t="str">
        <f>IF(ISERROR(VLOOKUP(C2086,'[1]خريطة الحسابات'!_xlnm.Print_Area,4,FALSE))," ",(VLOOKUP(C2086,'[1]خريطة الحسابات'!_xlnm.Print_Area,4,FALSE)))</f>
        <v xml:space="preserve">أصول متداوله -النقدية ومافي حكمها </v>
      </c>
      <c r="N2086" s="138" t="str">
        <f>IF(ISERROR(VLOOKUP(C2086,'[1]خريطة الحسابات'!_xlnm.Print_Area,5,FALSE))," ",(VLOOKUP(C2086,'[1]خريطة الحسابات'!_xlnm.Print_Area,5,FALSE)))</f>
        <v>الاصول</v>
      </c>
      <c r="O2086" s="84" t="s">
        <v>2196</v>
      </c>
      <c r="P2086" s="84" t="s">
        <v>1290</v>
      </c>
    </row>
    <row r="2087" spans="1:16">
      <c r="A2087" s="151">
        <v>66</v>
      </c>
      <c r="B2087" s="131">
        <v>46096</v>
      </c>
      <c r="C2087" s="150">
        <v>20</v>
      </c>
      <c r="D2087" s="140" t="str">
        <f>IF(ISERROR(VLOOKUP(C2087,'[1]خريطة الحسابات'!_xlnm.Print_Area,3,FALSE))," ",(VLOOKUP(C2087,'[1]خريطة الحسابات'!_xlnm.Print_Area,3,FALSE)))</f>
        <v xml:space="preserve">الخزينة </v>
      </c>
      <c r="E2087" s="142"/>
      <c r="F2087" s="133"/>
      <c r="G2087" s="133">
        <v>600</v>
      </c>
      <c r="H2087" s="134">
        <f t="shared" si="97"/>
        <v>0</v>
      </c>
      <c r="I2087" s="134">
        <f t="shared" si="97"/>
        <v>600</v>
      </c>
      <c r="J2087" s="134">
        <f t="shared" si="96"/>
        <v>-600</v>
      </c>
      <c r="K2087" s="135"/>
      <c r="L2087" s="136" t="str">
        <f t="shared" si="98"/>
        <v>دائن</v>
      </c>
      <c r="M2087" s="137" t="str">
        <f>IF(ISERROR(VLOOKUP(C2087,'[1]خريطة الحسابات'!_xlnm.Print_Area,4,FALSE))," ",(VLOOKUP(C2087,'[1]خريطة الحسابات'!_xlnm.Print_Area,4,FALSE)))</f>
        <v xml:space="preserve">أصول متداوله -النقدية ومافي حكمها </v>
      </c>
      <c r="N2087" s="138" t="str">
        <f>IF(ISERROR(VLOOKUP(C2087,'[1]خريطة الحسابات'!_xlnm.Print_Area,5,FALSE))," ",(VLOOKUP(C2087,'[1]خريطة الحسابات'!_xlnm.Print_Area,5,FALSE)))</f>
        <v>الاصول</v>
      </c>
      <c r="O2087" s="84" t="s">
        <v>2235</v>
      </c>
      <c r="P2087" s="84" t="s">
        <v>1290</v>
      </c>
    </row>
    <row r="2088" spans="1:16">
      <c r="A2088" s="151">
        <v>66</v>
      </c>
      <c r="B2088" s="131">
        <v>46109</v>
      </c>
      <c r="C2088" s="150">
        <v>20</v>
      </c>
      <c r="D2088" s="140" t="str">
        <f>IF(ISERROR(VLOOKUP(C2088,'[1]خريطة الحسابات'!_xlnm.Print_Area,3,FALSE))," ",(VLOOKUP(C2088,'[1]خريطة الحسابات'!_xlnm.Print_Area,3,FALSE)))</f>
        <v xml:space="preserve">الخزينة </v>
      </c>
      <c r="E2088" s="142"/>
      <c r="F2088" s="133"/>
      <c r="G2088" s="133">
        <v>550</v>
      </c>
      <c r="H2088" s="134">
        <f t="shared" si="97"/>
        <v>0</v>
      </c>
      <c r="I2088" s="134">
        <f t="shared" si="97"/>
        <v>550</v>
      </c>
      <c r="J2088" s="134">
        <f t="shared" si="96"/>
        <v>-550</v>
      </c>
      <c r="K2088" s="135"/>
      <c r="L2088" s="136" t="str">
        <f t="shared" si="98"/>
        <v>دائن</v>
      </c>
      <c r="M2088" s="137" t="str">
        <f>IF(ISERROR(VLOOKUP(C2088,'[1]خريطة الحسابات'!_xlnm.Print_Area,4,FALSE))," ",(VLOOKUP(C2088,'[1]خريطة الحسابات'!_xlnm.Print_Area,4,FALSE)))</f>
        <v xml:space="preserve">أصول متداوله -النقدية ومافي حكمها </v>
      </c>
      <c r="N2088" s="138" t="str">
        <f>IF(ISERROR(VLOOKUP(C2088,'[1]خريطة الحسابات'!_xlnm.Print_Area,5,FALSE))," ",(VLOOKUP(C2088,'[1]خريطة الحسابات'!_xlnm.Print_Area,5,FALSE)))</f>
        <v>الاصول</v>
      </c>
      <c r="O2088" s="84" t="s">
        <v>2203</v>
      </c>
      <c r="P2088" s="84" t="s">
        <v>1290</v>
      </c>
    </row>
    <row r="2089" spans="1:16">
      <c r="A2089" s="151">
        <v>66</v>
      </c>
      <c r="B2089" s="131">
        <v>46116</v>
      </c>
      <c r="C2089" s="150">
        <v>20</v>
      </c>
      <c r="D2089" s="140" t="str">
        <f>IF(ISERROR(VLOOKUP(C2089,'[1]خريطة الحسابات'!_xlnm.Print_Area,3,FALSE))," ",(VLOOKUP(C2089,'[1]خريطة الحسابات'!_xlnm.Print_Area,3,FALSE)))</f>
        <v xml:space="preserve">الخزينة </v>
      </c>
      <c r="E2089" s="142"/>
      <c r="F2089" s="133"/>
      <c r="G2089" s="133">
        <v>1650</v>
      </c>
      <c r="H2089" s="134">
        <f t="shared" si="97"/>
        <v>0</v>
      </c>
      <c r="I2089" s="134">
        <f t="shared" si="97"/>
        <v>1650</v>
      </c>
      <c r="J2089" s="134">
        <f t="shared" si="96"/>
        <v>-1650</v>
      </c>
      <c r="K2089" s="135"/>
      <c r="L2089" s="136" t="str">
        <f t="shared" si="98"/>
        <v>دائن</v>
      </c>
      <c r="M2089" s="137" t="str">
        <f>IF(ISERROR(VLOOKUP(C2089,'[1]خريطة الحسابات'!_xlnm.Print_Area,4,FALSE))," ",(VLOOKUP(C2089,'[1]خريطة الحسابات'!_xlnm.Print_Area,4,FALSE)))</f>
        <v xml:space="preserve">أصول متداوله -النقدية ومافي حكمها </v>
      </c>
      <c r="N2089" s="138" t="str">
        <f>IF(ISERROR(VLOOKUP(C2089,'[1]خريطة الحسابات'!_xlnm.Print_Area,5,FALSE))," ",(VLOOKUP(C2089,'[1]خريطة الحسابات'!_xlnm.Print_Area,5,FALSE)))</f>
        <v>الاصول</v>
      </c>
      <c r="O2089" s="84" t="s">
        <v>2236</v>
      </c>
      <c r="P2089" s="84" t="s">
        <v>1290</v>
      </c>
    </row>
    <row r="2090" spans="1:16">
      <c r="A2090" s="151">
        <v>66</v>
      </c>
      <c r="B2090" s="131">
        <v>46121</v>
      </c>
      <c r="C2090" s="150">
        <v>20</v>
      </c>
      <c r="D2090" s="140" t="str">
        <f>IF(ISERROR(VLOOKUP(C2090,'[1]خريطة الحسابات'!_xlnm.Print_Area,3,FALSE))," ",(VLOOKUP(C2090,'[1]خريطة الحسابات'!_xlnm.Print_Area,3,FALSE)))</f>
        <v xml:space="preserve">الخزينة </v>
      </c>
      <c r="E2090" s="142"/>
      <c r="F2090" s="133"/>
      <c r="G2090" s="133">
        <v>1150</v>
      </c>
      <c r="H2090" s="134">
        <f t="shared" si="97"/>
        <v>0</v>
      </c>
      <c r="I2090" s="134">
        <f t="shared" si="97"/>
        <v>1150</v>
      </c>
      <c r="J2090" s="134">
        <f t="shared" si="96"/>
        <v>-1150</v>
      </c>
      <c r="K2090" s="135"/>
      <c r="L2090" s="136" t="str">
        <f t="shared" si="98"/>
        <v>دائن</v>
      </c>
      <c r="M2090" s="137" t="str">
        <f>IF(ISERROR(VLOOKUP(C2090,'[1]خريطة الحسابات'!_xlnm.Print_Area,4,FALSE))," ",(VLOOKUP(C2090,'[1]خريطة الحسابات'!_xlnm.Print_Area,4,FALSE)))</f>
        <v xml:space="preserve">أصول متداوله -النقدية ومافي حكمها </v>
      </c>
      <c r="N2090" s="138" t="str">
        <f>IF(ISERROR(VLOOKUP(C2090,'[1]خريطة الحسابات'!_xlnm.Print_Area,5,FALSE))," ",(VLOOKUP(C2090,'[1]خريطة الحسابات'!_xlnm.Print_Area,5,FALSE)))</f>
        <v>الاصول</v>
      </c>
      <c r="O2090" s="84" t="s">
        <v>2237</v>
      </c>
      <c r="P2090" s="84" t="s">
        <v>1290</v>
      </c>
    </row>
    <row r="2091" spans="1:16">
      <c r="A2091" s="151">
        <v>66</v>
      </c>
      <c r="B2091" s="131">
        <v>46121</v>
      </c>
      <c r="C2091" s="150">
        <v>20</v>
      </c>
      <c r="D2091" s="140" t="str">
        <f>IF(ISERROR(VLOOKUP(C2091,'[1]خريطة الحسابات'!_xlnm.Print_Area,3,FALSE))," ",(VLOOKUP(C2091,'[1]خريطة الحسابات'!_xlnm.Print_Area,3,FALSE)))</f>
        <v xml:space="preserve">الخزينة </v>
      </c>
      <c r="E2091" s="142"/>
      <c r="F2091" s="133"/>
      <c r="G2091" s="133">
        <v>1850</v>
      </c>
      <c r="H2091" s="134">
        <f t="shared" si="97"/>
        <v>0</v>
      </c>
      <c r="I2091" s="134">
        <f t="shared" si="97"/>
        <v>1850</v>
      </c>
      <c r="J2091" s="134">
        <f t="shared" si="96"/>
        <v>-1850</v>
      </c>
      <c r="K2091" s="135"/>
      <c r="L2091" s="136" t="str">
        <f t="shared" si="98"/>
        <v>دائن</v>
      </c>
      <c r="M2091" s="137" t="str">
        <f>IF(ISERROR(VLOOKUP(C2091,'[1]خريطة الحسابات'!_xlnm.Print_Area,4,FALSE))," ",(VLOOKUP(C2091,'[1]خريطة الحسابات'!_xlnm.Print_Area,4,FALSE)))</f>
        <v xml:space="preserve">أصول متداوله -النقدية ومافي حكمها </v>
      </c>
      <c r="N2091" s="138" t="str">
        <f>IF(ISERROR(VLOOKUP(C2091,'[1]خريطة الحسابات'!_xlnm.Print_Area,5,FALSE))," ",(VLOOKUP(C2091,'[1]خريطة الحسابات'!_xlnm.Print_Area,5,FALSE)))</f>
        <v>الاصول</v>
      </c>
      <c r="O2091" s="84" t="s">
        <v>2238</v>
      </c>
      <c r="P2091" s="84" t="s">
        <v>1290</v>
      </c>
    </row>
    <row r="2092" spans="1:16">
      <c r="A2092" s="151">
        <v>66</v>
      </c>
      <c r="B2092" s="131">
        <v>46131</v>
      </c>
      <c r="C2092" s="150">
        <v>20</v>
      </c>
      <c r="D2092" s="140" t="str">
        <f>IF(ISERROR(VLOOKUP(C2092,'[1]خريطة الحسابات'!_xlnm.Print_Area,3,FALSE))," ",(VLOOKUP(C2092,'[1]خريطة الحسابات'!_xlnm.Print_Area,3,FALSE)))</f>
        <v xml:space="preserve">الخزينة </v>
      </c>
      <c r="E2092" s="142"/>
      <c r="F2092" s="133"/>
      <c r="G2092" s="133">
        <v>1650</v>
      </c>
      <c r="H2092" s="134">
        <f t="shared" si="97"/>
        <v>0</v>
      </c>
      <c r="I2092" s="134">
        <f t="shared" si="97"/>
        <v>1650</v>
      </c>
      <c r="J2092" s="134">
        <f t="shared" si="96"/>
        <v>-1650</v>
      </c>
      <c r="K2092" s="135"/>
      <c r="L2092" s="136" t="str">
        <f t="shared" si="98"/>
        <v>دائن</v>
      </c>
      <c r="M2092" s="137" t="str">
        <f>IF(ISERROR(VLOOKUP(C2092,'[1]خريطة الحسابات'!_xlnm.Print_Area,4,FALSE))," ",(VLOOKUP(C2092,'[1]خريطة الحسابات'!_xlnm.Print_Area,4,FALSE)))</f>
        <v xml:space="preserve">أصول متداوله -النقدية ومافي حكمها </v>
      </c>
      <c r="N2092" s="138" t="str">
        <f>IF(ISERROR(VLOOKUP(C2092,'[1]خريطة الحسابات'!_xlnm.Print_Area,5,FALSE))," ",(VLOOKUP(C2092,'[1]خريطة الحسابات'!_xlnm.Print_Area,5,FALSE)))</f>
        <v>الاصول</v>
      </c>
      <c r="O2092" s="84" t="s">
        <v>2239</v>
      </c>
      <c r="P2092" s="84" t="s">
        <v>1290</v>
      </c>
    </row>
    <row r="2093" spans="1:16">
      <c r="A2093" s="151">
        <v>66</v>
      </c>
      <c r="B2093" s="131">
        <v>46133</v>
      </c>
      <c r="C2093" s="150">
        <v>20</v>
      </c>
      <c r="D2093" s="140" t="str">
        <f>IF(ISERROR(VLOOKUP(C2093,'[1]خريطة الحسابات'!_xlnm.Print_Area,3,FALSE))," ",(VLOOKUP(C2093,'[1]خريطة الحسابات'!_xlnm.Print_Area,3,FALSE)))</f>
        <v xml:space="preserve">الخزينة </v>
      </c>
      <c r="E2093" s="142"/>
      <c r="F2093" s="133"/>
      <c r="G2093" s="133">
        <v>550</v>
      </c>
      <c r="H2093" s="134">
        <f t="shared" si="97"/>
        <v>0</v>
      </c>
      <c r="I2093" s="134">
        <f t="shared" si="97"/>
        <v>550</v>
      </c>
      <c r="J2093" s="134">
        <f t="shared" si="96"/>
        <v>-550</v>
      </c>
      <c r="K2093" s="135"/>
      <c r="L2093" s="136" t="str">
        <f t="shared" si="98"/>
        <v>دائن</v>
      </c>
      <c r="M2093" s="137" t="str">
        <f>IF(ISERROR(VLOOKUP(C2093,'[1]خريطة الحسابات'!_xlnm.Print_Area,4,FALSE))," ",(VLOOKUP(C2093,'[1]خريطة الحسابات'!_xlnm.Print_Area,4,FALSE)))</f>
        <v xml:space="preserve">أصول متداوله -النقدية ومافي حكمها </v>
      </c>
      <c r="N2093" s="138" t="str">
        <f>IF(ISERROR(VLOOKUP(C2093,'[1]خريطة الحسابات'!_xlnm.Print_Area,5,FALSE))," ",(VLOOKUP(C2093,'[1]خريطة الحسابات'!_xlnm.Print_Area,5,FALSE)))</f>
        <v>الاصول</v>
      </c>
      <c r="O2093" s="84" t="s">
        <v>2240</v>
      </c>
      <c r="P2093" s="84" t="s">
        <v>1290</v>
      </c>
    </row>
    <row r="2094" spans="1:16">
      <c r="A2094" s="151">
        <v>66</v>
      </c>
      <c r="B2094" s="131">
        <v>46135</v>
      </c>
      <c r="C2094" s="150">
        <v>20</v>
      </c>
      <c r="D2094" s="140" t="str">
        <f>IF(ISERROR(VLOOKUP(C2094,'[1]خريطة الحسابات'!_xlnm.Print_Area,3,FALSE))," ",(VLOOKUP(C2094,'[1]خريطة الحسابات'!_xlnm.Print_Area,3,FALSE)))</f>
        <v xml:space="preserve">الخزينة </v>
      </c>
      <c r="E2094" s="142"/>
      <c r="F2094" s="133"/>
      <c r="G2094" s="133">
        <v>550</v>
      </c>
      <c r="H2094" s="134">
        <f t="shared" si="97"/>
        <v>0</v>
      </c>
      <c r="I2094" s="134">
        <f t="shared" si="97"/>
        <v>550</v>
      </c>
      <c r="J2094" s="134">
        <f t="shared" si="96"/>
        <v>-550</v>
      </c>
      <c r="K2094" s="135"/>
      <c r="L2094" s="136" t="str">
        <f t="shared" si="98"/>
        <v>دائن</v>
      </c>
      <c r="M2094" s="137" t="str">
        <f>IF(ISERROR(VLOOKUP(C2094,'[1]خريطة الحسابات'!_xlnm.Print_Area,4,FALSE))," ",(VLOOKUP(C2094,'[1]خريطة الحسابات'!_xlnm.Print_Area,4,FALSE)))</f>
        <v xml:space="preserve">أصول متداوله -النقدية ومافي حكمها </v>
      </c>
      <c r="N2094" s="138" t="str">
        <f>IF(ISERROR(VLOOKUP(C2094,'[1]خريطة الحسابات'!_xlnm.Print_Area,5,FALSE))," ",(VLOOKUP(C2094,'[1]خريطة الحسابات'!_xlnm.Print_Area,5,FALSE)))</f>
        <v>الاصول</v>
      </c>
      <c r="O2094" s="84" t="s">
        <v>2241</v>
      </c>
      <c r="P2094" s="84" t="s">
        <v>1290</v>
      </c>
    </row>
    <row r="2095" spans="1:16">
      <c r="A2095" s="151">
        <v>66</v>
      </c>
      <c r="B2095" s="131">
        <v>46142</v>
      </c>
      <c r="C2095" s="150">
        <v>20</v>
      </c>
      <c r="D2095" s="140" t="str">
        <f>IF(ISERROR(VLOOKUP(C2095,'[1]خريطة الحسابات'!_xlnm.Print_Area,3,FALSE))," ",(VLOOKUP(C2095,'[1]خريطة الحسابات'!_xlnm.Print_Area,3,FALSE)))</f>
        <v xml:space="preserve">الخزينة </v>
      </c>
      <c r="E2095" s="142"/>
      <c r="F2095" s="133"/>
      <c r="G2095" s="133">
        <v>1650</v>
      </c>
      <c r="H2095" s="134">
        <f t="shared" si="97"/>
        <v>0</v>
      </c>
      <c r="I2095" s="134">
        <f t="shared" si="97"/>
        <v>1650</v>
      </c>
      <c r="J2095" s="134">
        <f t="shared" si="96"/>
        <v>-1650</v>
      </c>
      <c r="K2095" s="135"/>
      <c r="L2095" s="136" t="str">
        <f t="shared" si="98"/>
        <v>دائن</v>
      </c>
      <c r="M2095" s="137" t="str">
        <f>IF(ISERROR(VLOOKUP(C2095,'[1]خريطة الحسابات'!_xlnm.Print_Area,4,FALSE))," ",(VLOOKUP(C2095,'[1]خريطة الحسابات'!_xlnm.Print_Area,4,FALSE)))</f>
        <v xml:space="preserve">أصول متداوله -النقدية ومافي حكمها </v>
      </c>
      <c r="N2095" s="138" t="str">
        <f>IF(ISERROR(VLOOKUP(C2095,'[1]خريطة الحسابات'!_xlnm.Print_Area,5,FALSE))," ",(VLOOKUP(C2095,'[1]خريطة الحسابات'!_xlnm.Print_Area,5,FALSE)))</f>
        <v>الاصول</v>
      </c>
      <c r="O2095" s="84" t="s">
        <v>2242</v>
      </c>
      <c r="P2095" s="84" t="s">
        <v>1290</v>
      </c>
    </row>
    <row r="2096" spans="1:16">
      <c r="A2096" s="151">
        <v>66</v>
      </c>
      <c r="B2096" s="131">
        <v>46147</v>
      </c>
      <c r="C2096" s="150">
        <v>20</v>
      </c>
      <c r="D2096" s="140" t="str">
        <f>IF(ISERROR(VLOOKUP(C2096,'[1]خريطة الحسابات'!_xlnm.Print_Area,3,FALSE))," ",(VLOOKUP(C2096,'[1]خريطة الحسابات'!_xlnm.Print_Area,3,FALSE)))</f>
        <v xml:space="preserve">الخزينة </v>
      </c>
      <c r="E2096" s="142"/>
      <c r="F2096" s="133"/>
      <c r="G2096" s="133">
        <v>600</v>
      </c>
      <c r="H2096" s="134">
        <f t="shared" si="97"/>
        <v>0</v>
      </c>
      <c r="I2096" s="134">
        <f t="shared" si="97"/>
        <v>600</v>
      </c>
      <c r="J2096" s="134">
        <f t="shared" si="96"/>
        <v>-600</v>
      </c>
      <c r="K2096" s="135"/>
      <c r="L2096" s="136" t="str">
        <f t="shared" si="98"/>
        <v>دائن</v>
      </c>
      <c r="M2096" s="137" t="str">
        <f>IF(ISERROR(VLOOKUP(C2096,'[1]خريطة الحسابات'!_xlnm.Print_Area,4,FALSE))," ",(VLOOKUP(C2096,'[1]خريطة الحسابات'!_xlnm.Print_Area,4,FALSE)))</f>
        <v xml:space="preserve">أصول متداوله -النقدية ومافي حكمها </v>
      </c>
      <c r="N2096" s="138" t="str">
        <f>IF(ISERROR(VLOOKUP(C2096,'[1]خريطة الحسابات'!_xlnm.Print_Area,5,FALSE))," ",(VLOOKUP(C2096,'[1]خريطة الحسابات'!_xlnm.Print_Area,5,FALSE)))</f>
        <v>الاصول</v>
      </c>
      <c r="O2096" s="84" t="s">
        <v>2243</v>
      </c>
      <c r="P2096" s="84" t="s">
        <v>1290</v>
      </c>
    </row>
    <row r="2097" spans="1:16">
      <c r="A2097" s="151">
        <v>66</v>
      </c>
      <c r="B2097" s="131">
        <v>46182</v>
      </c>
      <c r="C2097" s="150">
        <v>20</v>
      </c>
      <c r="D2097" s="140" t="str">
        <f>IF(ISERROR(VLOOKUP(C2097,'[1]خريطة الحسابات'!_xlnm.Print_Area,3,FALSE))," ",(VLOOKUP(C2097,'[1]خريطة الحسابات'!_xlnm.Print_Area,3,FALSE)))</f>
        <v xml:space="preserve">الخزينة </v>
      </c>
      <c r="E2097" s="142"/>
      <c r="F2097" s="133"/>
      <c r="G2097" s="133">
        <v>3955</v>
      </c>
      <c r="H2097" s="134">
        <f t="shared" si="97"/>
        <v>0</v>
      </c>
      <c r="I2097" s="134">
        <f t="shared" si="97"/>
        <v>3955</v>
      </c>
      <c r="J2097" s="134">
        <f t="shared" si="96"/>
        <v>-3955</v>
      </c>
      <c r="K2097" s="135"/>
      <c r="L2097" s="136" t="str">
        <f t="shared" si="98"/>
        <v>دائن</v>
      </c>
      <c r="M2097" s="137" t="str">
        <f>IF(ISERROR(VLOOKUP(C2097,'[1]خريطة الحسابات'!_xlnm.Print_Area,4,FALSE))," ",(VLOOKUP(C2097,'[1]خريطة الحسابات'!_xlnm.Print_Area,4,FALSE)))</f>
        <v xml:space="preserve">أصول متداوله -النقدية ومافي حكمها </v>
      </c>
      <c r="N2097" s="138" t="str">
        <f>IF(ISERROR(VLOOKUP(C2097,'[1]خريطة الحسابات'!_xlnm.Print_Area,5,FALSE))," ",(VLOOKUP(C2097,'[1]خريطة الحسابات'!_xlnm.Print_Area,5,FALSE)))</f>
        <v>الاصول</v>
      </c>
      <c r="O2097" s="84" t="s">
        <v>2244</v>
      </c>
      <c r="P2097" s="84" t="s">
        <v>1290</v>
      </c>
    </row>
    <row r="2098" spans="1:16">
      <c r="A2098" s="151">
        <v>66</v>
      </c>
      <c r="B2098" s="131">
        <v>46121</v>
      </c>
      <c r="C2098" s="150">
        <v>20</v>
      </c>
      <c r="D2098" s="140" t="str">
        <f>IF(ISERROR(VLOOKUP(C2098,'[1]خريطة الحسابات'!_xlnm.Print_Area,3,FALSE))," ",(VLOOKUP(C2098,'[1]خريطة الحسابات'!_xlnm.Print_Area,3,FALSE)))</f>
        <v xml:space="preserve">الخزينة </v>
      </c>
      <c r="E2098" s="142"/>
      <c r="F2098" s="133"/>
      <c r="G2098" s="133">
        <v>7000</v>
      </c>
      <c r="H2098" s="134">
        <f t="shared" si="97"/>
        <v>0</v>
      </c>
      <c r="I2098" s="134">
        <f t="shared" si="97"/>
        <v>7000</v>
      </c>
      <c r="J2098" s="134">
        <f t="shared" si="96"/>
        <v>-7000</v>
      </c>
      <c r="K2098" s="135"/>
      <c r="L2098" s="136" t="str">
        <f t="shared" si="98"/>
        <v>دائن</v>
      </c>
      <c r="M2098" s="137" t="str">
        <f>IF(ISERROR(VLOOKUP(C2098,'[1]خريطة الحسابات'!_xlnm.Print_Area,4,FALSE))," ",(VLOOKUP(C2098,'[1]خريطة الحسابات'!_xlnm.Print_Area,4,FALSE)))</f>
        <v xml:space="preserve">أصول متداوله -النقدية ومافي حكمها </v>
      </c>
      <c r="N2098" s="138" t="str">
        <f>IF(ISERROR(VLOOKUP(C2098,'[1]خريطة الحسابات'!_xlnm.Print_Area,5,FALSE))," ",(VLOOKUP(C2098,'[1]خريطة الحسابات'!_xlnm.Print_Area,5,FALSE)))</f>
        <v>الاصول</v>
      </c>
      <c r="O2098" s="84" t="s">
        <v>2245</v>
      </c>
      <c r="P2098" s="84" t="s">
        <v>1489</v>
      </c>
    </row>
    <row r="2099" spans="1:16">
      <c r="A2099" s="151">
        <v>66</v>
      </c>
      <c r="B2099" s="131">
        <v>46133</v>
      </c>
      <c r="C2099" s="150">
        <v>20</v>
      </c>
      <c r="D2099" s="140" t="str">
        <f>IF(ISERROR(VLOOKUP(C2099,'[1]خريطة الحسابات'!_xlnm.Print_Area,3,FALSE))," ",(VLOOKUP(C2099,'[1]خريطة الحسابات'!_xlnm.Print_Area,3,FALSE)))</f>
        <v xml:space="preserve">الخزينة </v>
      </c>
      <c r="E2099" s="142"/>
      <c r="F2099" s="133"/>
      <c r="G2099" s="133">
        <v>5000</v>
      </c>
      <c r="H2099" s="134">
        <f t="shared" si="97"/>
        <v>0</v>
      </c>
      <c r="I2099" s="134">
        <f t="shared" si="97"/>
        <v>5000</v>
      </c>
      <c r="J2099" s="134">
        <f t="shared" si="96"/>
        <v>-5000</v>
      </c>
      <c r="K2099" s="135"/>
      <c r="L2099" s="136" t="str">
        <f t="shared" si="98"/>
        <v>دائن</v>
      </c>
      <c r="M2099" s="137" t="str">
        <f>IF(ISERROR(VLOOKUP(C2099,'[1]خريطة الحسابات'!_xlnm.Print_Area,4,FALSE))," ",(VLOOKUP(C2099,'[1]خريطة الحسابات'!_xlnm.Print_Area,4,FALSE)))</f>
        <v xml:space="preserve">أصول متداوله -النقدية ومافي حكمها </v>
      </c>
      <c r="N2099" s="138" t="str">
        <f>IF(ISERROR(VLOOKUP(C2099,'[1]خريطة الحسابات'!_xlnm.Print_Area,5,FALSE))," ",(VLOOKUP(C2099,'[1]خريطة الحسابات'!_xlnm.Print_Area,5,FALSE)))</f>
        <v>الاصول</v>
      </c>
      <c r="O2099" s="84" t="s">
        <v>2246</v>
      </c>
      <c r="P2099" s="84" t="s">
        <v>1489</v>
      </c>
    </row>
    <row r="2100" spans="1:16">
      <c r="A2100" s="151">
        <v>66</v>
      </c>
      <c r="B2100" s="131">
        <v>46135</v>
      </c>
      <c r="C2100" s="150">
        <v>20</v>
      </c>
      <c r="D2100" s="140" t="str">
        <f>IF(ISERROR(VLOOKUP(C2100,'[1]خريطة الحسابات'!_xlnm.Print_Area,3,FALSE))," ",(VLOOKUP(C2100,'[1]خريطة الحسابات'!_xlnm.Print_Area,3,FALSE)))</f>
        <v xml:space="preserve">الخزينة </v>
      </c>
      <c r="E2100" s="142"/>
      <c r="F2100" s="133"/>
      <c r="G2100" s="133">
        <v>5000</v>
      </c>
      <c r="H2100" s="134">
        <f t="shared" si="97"/>
        <v>0</v>
      </c>
      <c r="I2100" s="134">
        <f t="shared" si="97"/>
        <v>5000</v>
      </c>
      <c r="J2100" s="134">
        <f t="shared" si="96"/>
        <v>-5000</v>
      </c>
      <c r="K2100" s="135"/>
      <c r="L2100" s="136" t="str">
        <f t="shared" si="98"/>
        <v>دائن</v>
      </c>
      <c r="M2100" s="137" t="str">
        <f>IF(ISERROR(VLOOKUP(C2100,'[1]خريطة الحسابات'!_xlnm.Print_Area,4,FALSE))," ",(VLOOKUP(C2100,'[1]خريطة الحسابات'!_xlnm.Print_Area,4,FALSE)))</f>
        <v xml:space="preserve">أصول متداوله -النقدية ومافي حكمها </v>
      </c>
      <c r="N2100" s="138" t="str">
        <f>IF(ISERROR(VLOOKUP(C2100,'[1]خريطة الحسابات'!_xlnm.Print_Area,5,FALSE))," ",(VLOOKUP(C2100,'[1]خريطة الحسابات'!_xlnm.Print_Area,5,FALSE)))</f>
        <v>الاصول</v>
      </c>
      <c r="O2100" s="84" t="s">
        <v>2247</v>
      </c>
      <c r="P2100" s="84" t="s">
        <v>1489</v>
      </c>
    </row>
    <row r="2101" spans="1:16">
      <c r="A2101" s="151">
        <v>66</v>
      </c>
      <c r="B2101" s="131">
        <v>46135</v>
      </c>
      <c r="C2101" s="150">
        <v>20</v>
      </c>
      <c r="D2101" s="140" t="str">
        <f>IF(ISERROR(VLOOKUP(C2101,'[1]خريطة الحسابات'!_xlnm.Print_Area,3,FALSE))," ",(VLOOKUP(C2101,'[1]خريطة الحسابات'!_xlnm.Print_Area,3,FALSE)))</f>
        <v xml:space="preserve">الخزينة </v>
      </c>
      <c r="E2101" s="142"/>
      <c r="F2101" s="133"/>
      <c r="G2101" s="133">
        <v>2000</v>
      </c>
      <c r="H2101" s="134">
        <f t="shared" si="97"/>
        <v>0</v>
      </c>
      <c r="I2101" s="134">
        <f t="shared" si="97"/>
        <v>2000</v>
      </c>
      <c r="J2101" s="134">
        <f t="shared" si="96"/>
        <v>-2000</v>
      </c>
      <c r="K2101" s="135"/>
      <c r="L2101" s="136" t="str">
        <f t="shared" si="98"/>
        <v>دائن</v>
      </c>
      <c r="M2101" s="137" t="str">
        <f>IF(ISERROR(VLOOKUP(C2101,'[1]خريطة الحسابات'!_xlnm.Print_Area,4,FALSE))," ",(VLOOKUP(C2101,'[1]خريطة الحسابات'!_xlnm.Print_Area,4,FALSE)))</f>
        <v xml:space="preserve">أصول متداوله -النقدية ومافي حكمها </v>
      </c>
      <c r="N2101" s="138" t="str">
        <f>IF(ISERROR(VLOOKUP(C2101,'[1]خريطة الحسابات'!_xlnm.Print_Area,5,FALSE))," ",(VLOOKUP(C2101,'[1]خريطة الحسابات'!_xlnm.Print_Area,5,FALSE)))</f>
        <v>الاصول</v>
      </c>
      <c r="O2101" s="84" t="s">
        <v>2248</v>
      </c>
      <c r="P2101" s="84" t="s">
        <v>1489</v>
      </c>
    </row>
    <row r="2102" spans="1:16">
      <c r="A2102" s="151">
        <v>66</v>
      </c>
      <c r="B2102" s="131">
        <v>46142</v>
      </c>
      <c r="C2102" s="150">
        <v>20</v>
      </c>
      <c r="D2102" s="140" t="str">
        <f>IF(ISERROR(VLOOKUP(C2102,'[1]خريطة الحسابات'!_xlnm.Print_Area,3,FALSE))," ",(VLOOKUP(C2102,'[1]خريطة الحسابات'!_xlnm.Print_Area,3,FALSE)))</f>
        <v xml:space="preserve">الخزينة </v>
      </c>
      <c r="E2102" s="142"/>
      <c r="F2102" s="133"/>
      <c r="G2102" s="133">
        <v>2000</v>
      </c>
      <c r="H2102" s="134">
        <f t="shared" si="97"/>
        <v>0</v>
      </c>
      <c r="I2102" s="134">
        <f t="shared" si="97"/>
        <v>2000</v>
      </c>
      <c r="J2102" s="134">
        <f t="shared" si="96"/>
        <v>-2000</v>
      </c>
      <c r="K2102" s="135"/>
      <c r="L2102" s="136" t="str">
        <f t="shared" si="98"/>
        <v>دائن</v>
      </c>
      <c r="M2102" s="137" t="str">
        <f>IF(ISERROR(VLOOKUP(C2102,'[1]خريطة الحسابات'!_xlnm.Print_Area,4,FALSE))," ",(VLOOKUP(C2102,'[1]خريطة الحسابات'!_xlnm.Print_Area,4,FALSE)))</f>
        <v xml:space="preserve">أصول متداوله -النقدية ومافي حكمها </v>
      </c>
      <c r="N2102" s="138" t="str">
        <f>IF(ISERROR(VLOOKUP(C2102,'[1]خريطة الحسابات'!_xlnm.Print_Area,5,FALSE))," ",(VLOOKUP(C2102,'[1]خريطة الحسابات'!_xlnm.Print_Area,5,FALSE)))</f>
        <v>الاصول</v>
      </c>
      <c r="O2102" s="84" t="s">
        <v>2249</v>
      </c>
      <c r="P2102" s="84" t="s">
        <v>1489</v>
      </c>
    </row>
    <row r="2103" spans="1:16">
      <c r="A2103" s="151">
        <v>66</v>
      </c>
      <c r="B2103" s="131">
        <v>46030</v>
      </c>
      <c r="C2103" s="150">
        <v>20</v>
      </c>
      <c r="D2103" s="140" t="str">
        <f>IF(ISERROR(VLOOKUP(C2103,'[1]خريطة الحسابات'!_xlnm.Print_Area,3,FALSE))," ",(VLOOKUP(C2103,'[1]خريطة الحسابات'!_xlnm.Print_Area,3,FALSE)))</f>
        <v xml:space="preserve">الخزينة </v>
      </c>
      <c r="E2103" s="142"/>
      <c r="F2103" s="133"/>
      <c r="G2103" s="133">
        <v>500</v>
      </c>
      <c r="H2103" s="134">
        <f t="shared" si="97"/>
        <v>0</v>
      </c>
      <c r="I2103" s="134">
        <f t="shared" si="97"/>
        <v>500</v>
      </c>
      <c r="J2103" s="134">
        <f t="shared" si="96"/>
        <v>-500</v>
      </c>
      <c r="K2103" s="135"/>
      <c r="L2103" s="136" t="str">
        <f t="shared" si="98"/>
        <v>دائن</v>
      </c>
      <c r="M2103" s="137" t="str">
        <f>IF(ISERROR(VLOOKUP(C2103,'[1]خريطة الحسابات'!_xlnm.Print_Area,4,FALSE))," ",(VLOOKUP(C2103,'[1]خريطة الحسابات'!_xlnm.Print_Area,4,FALSE)))</f>
        <v xml:space="preserve">أصول متداوله -النقدية ومافي حكمها </v>
      </c>
      <c r="N2103" s="138" t="str">
        <f>IF(ISERROR(VLOOKUP(C2103,'[1]خريطة الحسابات'!_xlnm.Print_Area,5,FALSE))," ",(VLOOKUP(C2103,'[1]خريطة الحسابات'!_xlnm.Print_Area,5,FALSE)))</f>
        <v>الاصول</v>
      </c>
      <c r="O2103" s="84" t="s">
        <v>2197</v>
      </c>
      <c r="P2103" s="84" t="s">
        <v>1297</v>
      </c>
    </row>
    <row r="2104" spans="1:16">
      <c r="A2104" s="151">
        <v>66</v>
      </c>
      <c r="B2104" s="131">
        <v>46043</v>
      </c>
      <c r="C2104" s="150">
        <v>20</v>
      </c>
      <c r="D2104" s="140" t="str">
        <f>IF(ISERROR(VLOOKUP(C2104,'[1]خريطة الحسابات'!_xlnm.Print_Area,3,FALSE))," ",(VLOOKUP(C2104,'[1]خريطة الحسابات'!_xlnm.Print_Area,3,FALSE)))</f>
        <v xml:space="preserve">الخزينة </v>
      </c>
      <c r="E2104" s="142"/>
      <c r="F2104" s="133"/>
      <c r="G2104" s="133">
        <v>1005</v>
      </c>
      <c r="H2104" s="134">
        <f t="shared" si="97"/>
        <v>0</v>
      </c>
      <c r="I2104" s="134">
        <f t="shared" si="97"/>
        <v>1005</v>
      </c>
      <c r="J2104" s="134">
        <f t="shared" si="96"/>
        <v>-1005</v>
      </c>
      <c r="K2104" s="135"/>
      <c r="L2104" s="136" t="str">
        <f t="shared" si="98"/>
        <v>دائن</v>
      </c>
      <c r="M2104" s="137" t="str">
        <f>IF(ISERROR(VLOOKUP(C2104,'[1]خريطة الحسابات'!_xlnm.Print_Area,4,FALSE))," ",(VLOOKUP(C2104,'[1]خريطة الحسابات'!_xlnm.Print_Area,4,FALSE)))</f>
        <v xml:space="preserve">أصول متداوله -النقدية ومافي حكمها </v>
      </c>
      <c r="N2104" s="138" t="str">
        <f>IF(ISERROR(VLOOKUP(C2104,'[1]خريطة الحسابات'!_xlnm.Print_Area,5,FALSE))," ",(VLOOKUP(C2104,'[1]خريطة الحسابات'!_xlnm.Print_Area,5,FALSE)))</f>
        <v>الاصول</v>
      </c>
      <c r="O2104" s="84" t="s">
        <v>2250</v>
      </c>
      <c r="P2104" s="84" t="s">
        <v>1297</v>
      </c>
    </row>
    <row r="2105" spans="1:16">
      <c r="A2105" s="151">
        <v>66</v>
      </c>
      <c r="B2105" s="131">
        <v>46044</v>
      </c>
      <c r="C2105" s="150">
        <v>20</v>
      </c>
      <c r="D2105" s="140" t="str">
        <f>IF(ISERROR(VLOOKUP(C2105,'[1]خريطة الحسابات'!_xlnm.Print_Area,3,FALSE))," ",(VLOOKUP(C2105,'[1]خريطة الحسابات'!_xlnm.Print_Area,3,FALSE)))</f>
        <v xml:space="preserve">الخزينة </v>
      </c>
      <c r="E2105" s="142"/>
      <c r="F2105" s="133"/>
      <c r="G2105" s="133">
        <v>500</v>
      </c>
      <c r="H2105" s="134">
        <f t="shared" si="97"/>
        <v>0</v>
      </c>
      <c r="I2105" s="134">
        <f t="shared" si="97"/>
        <v>500</v>
      </c>
      <c r="J2105" s="134">
        <f t="shared" si="96"/>
        <v>-500</v>
      </c>
      <c r="K2105" s="135"/>
      <c r="L2105" s="136" t="str">
        <f t="shared" si="98"/>
        <v>دائن</v>
      </c>
      <c r="M2105" s="137" t="str">
        <f>IF(ISERROR(VLOOKUP(C2105,'[1]خريطة الحسابات'!_xlnm.Print_Area,4,FALSE))," ",(VLOOKUP(C2105,'[1]خريطة الحسابات'!_xlnm.Print_Area,4,FALSE)))</f>
        <v xml:space="preserve">أصول متداوله -النقدية ومافي حكمها </v>
      </c>
      <c r="N2105" s="138" t="str">
        <f>IF(ISERROR(VLOOKUP(C2105,'[1]خريطة الحسابات'!_xlnm.Print_Area,5,FALSE))," ",(VLOOKUP(C2105,'[1]خريطة الحسابات'!_xlnm.Print_Area,5,FALSE)))</f>
        <v>الاصول</v>
      </c>
      <c r="O2105" s="84" t="s">
        <v>2250</v>
      </c>
      <c r="P2105" s="84" t="s">
        <v>1297</v>
      </c>
    </row>
    <row r="2106" spans="1:16">
      <c r="A2106" s="151">
        <v>66</v>
      </c>
      <c r="B2106" s="131">
        <v>46131</v>
      </c>
      <c r="C2106" s="150">
        <v>20</v>
      </c>
      <c r="D2106" s="140" t="str">
        <f>IF(ISERROR(VLOOKUP(C2106,'[1]خريطة الحسابات'!_xlnm.Print_Area,3,FALSE))," ",(VLOOKUP(C2106,'[1]خريطة الحسابات'!_xlnm.Print_Area,3,FALSE)))</f>
        <v xml:space="preserve">الخزينة </v>
      </c>
      <c r="E2106" s="142"/>
      <c r="F2106" s="133"/>
      <c r="G2106" s="133">
        <v>500</v>
      </c>
      <c r="H2106" s="134">
        <f t="shared" si="97"/>
        <v>0</v>
      </c>
      <c r="I2106" s="134">
        <f t="shared" si="97"/>
        <v>500</v>
      </c>
      <c r="J2106" s="134">
        <f t="shared" si="96"/>
        <v>-500</v>
      </c>
      <c r="K2106" s="135"/>
      <c r="L2106" s="136" t="str">
        <f t="shared" si="98"/>
        <v>دائن</v>
      </c>
      <c r="M2106" s="137" t="str">
        <f>IF(ISERROR(VLOOKUP(C2106,'[1]خريطة الحسابات'!_xlnm.Print_Area,4,FALSE))," ",(VLOOKUP(C2106,'[1]خريطة الحسابات'!_xlnm.Print_Area,4,FALSE)))</f>
        <v xml:space="preserve">أصول متداوله -النقدية ومافي حكمها </v>
      </c>
      <c r="N2106" s="138" t="str">
        <f>IF(ISERROR(VLOOKUP(C2106,'[1]خريطة الحسابات'!_xlnm.Print_Area,5,FALSE))," ",(VLOOKUP(C2106,'[1]خريطة الحسابات'!_xlnm.Print_Area,5,FALSE)))</f>
        <v>الاصول</v>
      </c>
      <c r="O2106" s="84" t="s">
        <v>2251</v>
      </c>
      <c r="P2106" s="84" t="s">
        <v>1297</v>
      </c>
    </row>
    <row r="2107" spans="1:16">
      <c r="A2107" s="151">
        <v>66</v>
      </c>
      <c r="B2107" s="131">
        <v>46043</v>
      </c>
      <c r="C2107" s="150">
        <v>20</v>
      </c>
      <c r="D2107" s="140" t="str">
        <f>IF(ISERROR(VLOOKUP(C2107,'[1]خريطة الحسابات'!_xlnm.Print_Area,3,FALSE))," ",(VLOOKUP(C2107,'[1]خريطة الحسابات'!_xlnm.Print_Area,3,FALSE)))</f>
        <v xml:space="preserve">الخزينة </v>
      </c>
      <c r="E2107" s="142"/>
      <c r="F2107" s="133"/>
      <c r="G2107" s="133">
        <v>600</v>
      </c>
      <c r="H2107" s="134">
        <f t="shared" si="97"/>
        <v>0</v>
      </c>
      <c r="I2107" s="134">
        <f t="shared" si="97"/>
        <v>600</v>
      </c>
      <c r="J2107" s="134">
        <f t="shared" si="96"/>
        <v>-600</v>
      </c>
      <c r="K2107" s="135"/>
      <c r="L2107" s="136" t="str">
        <f t="shared" si="98"/>
        <v>دائن</v>
      </c>
      <c r="M2107" s="137" t="str">
        <f>IF(ISERROR(VLOOKUP(C2107,'[1]خريطة الحسابات'!_xlnm.Print_Area,4,FALSE))," ",(VLOOKUP(C2107,'[1]خريطة الحسابات'!_xlnm.Print_Area,4,FALSE)))</f>
        <v xml:space="preserve">أصول متداوله -النقدية ومافي حكمها </v>
      </c>
      <c r="N2107" s="138" t="str">
        <f>IF(ISERROR(VLOOKUP(C2107,'[1]خريطة الحسابات'!_xlnm.Print_Area,5,FALSE))," ",(VLOOKUP(C2107,'[1]خريطة الحسابات'!_xlnm.Print_Area,5,FALSE)))</f>
        <v>الاصول</v>
      </c>
      <c r="O2107" s="84" t="s">
        <v>2252</v>
      </c>
      <c r="P2107" s="84" t="s">
        <v>1325</v>
      </c>
    </row>
    <row r="2108" spans="1:16">
      <c r="A2108" s="151">
        <v>66</v>
      </c>
      <c r="B2108" s="131">
        <v>46063</v>
      </c>
      <c r="C2108" s="150">
        <v>20</v>
      </c>
      <c r="D2108" s="140" t="str">
        <f>IF(ISERROR(VLOOKUP(C2108,'[1]خريطة الحسابات'!_xlnm.Print_Area,3,FALSE))," ",(VLOOKUP(C2108,'[1]خريطة الحسابات'!_xlnm.Print_Area,3,FALSE)))</f>
        <v xml:space="preserve">الخزينة </v>
      </c>
      <c r="E2108" s="142"/>
      <c r="F2108" s="133"/>
      <c r="G2108" s="133">
        <v>1205</v>
      </c>
      <c r="H2108" s="134">
        <f t="shared" si="97"/>
        <v>0</v>
      </c>
      <c r="I2108" s="134">
        <f t="shared" si="97"/>
        <v>1205</v>
      </c>
      <c r="J2108" s="134">
        <f t="shared" si="96"/>
        <v>-1205</v>
      </c>
      <c r="K2108" s="135"/>
      <c r="L2108" s="136" t="str">
        <f t="shared" si="98"/>
        <v>دائن</v>
      </c>
      <c r="M2108" s="137" t="str">
        <f>IF(ISERROR(VLOOKUP(C2108,'[1]خريطة الحسابات'!_xlnm.Print_Area,4,FALSE))," ",(VLOOKUP(C2108,'[1]خريطة الحسابات'!_xlnm.Print_Area,4,FALSE)))</f>
        <v xml:space="preserve">أصول متداوله -النقدية ومافي حكمها </v>
      </c>
      <c r="N2108" s="138" t="str">
        <f>IF(ISERROR(VLOOKUP(C2108,'[1]خريطة الحسابات'!_xlnm.Print_Area,5,FALSE))," ",(VLOOKUP(C2108,'[1]خريطة الحسابات'!_xlnm.Print_Area,5,FALSE)))</f>
        <v>الاصول</v>
      </c>
      <c r="O2108" s="84" t="s">
        <v>2253</v>
      </c>
      <c r="P2108" s="84" t="s">
        <v>1325</v>
      </c>
    </row>
    <row r="2109" spans="1:16">
      <c r="A2109" s="151">
        <v>66</v>
      </c>
      <c r="B2109" s="131">
        <v>46065</v>
      </c>
      <c r="C2109" s="150">
        <v>20</v>
      </c>
      <c r="D2109" s="140" t="str">
        <f>IF(ISERROR(VLOOKUP(C2109,'[1]خريطة الحسابات'!_xlnm.Print_Area,3,FALSE))," ",(VLOOKUP(C2109,'[1]خريطة الحسابات'!_xlnm.Print_Area,3,FALSE)))</f>
        <v xml:space="preserve">الخزينة </v>
      </c>
      <c r="E2109" s="142"/>
      <c r="F2109" s="133"/>
      <c r="G2109" s="133">
        <v>600</v>
      </c>
      <c r="H2109" s="134">
        <f t="shared" si="97"/>
        <v>0</v>
      </c>
      <c r="I2109" s="134">
        <f t="shared" si="97"/>
        <v>600</v>
      </c>
      <c r="J2109" s="134">
        <f t="shared" si="96"/>
        <v>-600</v>
      </c>
      <c r="K2109" s="135"/>
      <c r="L2109" s="136" t="str">
        <f t="shared" si="98"/>
        <v>دائن</v>
      </c>
      <c r="M2109" s="137" t="str">
        <f>IF(ISERROR(VLOOKUP(C2109,'[1]خريطة الحسابات'!_xlnm.Print_Area,4,FALSE))," ",(VLOOKUP(C2109,'[1]خريطة الحسابات'!_xlnm.Print_Area,4,FALSE)))</f>
        <v xml:space="preserve">أصول متداوله -النقدية ومافي حكمها </v>
      </c>
      <c r="N2109" s="138" t="str">
        <f>IF(ISERROR(VLOOKUP(C2109,'[1]خريطة الحسابات'!_xlnm.Print_Area,5,FALSE))," ",(VLOOKUP(C2109,'[1]خريطة الحسابات'!_xlnm.Print_Area,5,FALSE)))</f>
        <v>الاصول</v>
      </c>
      <c r="O2109" s="84" t="s">
        <v>2254</v>
      </c>
      <c r="P2109" s="84" t="s">
        <v>1325</v>
      </c>
    </row>
    <row r="2110" spans="1:16">
      <c r="A2110" s="151">
        <v>66</v>
      </c>
      <c r="B2110" s="131">
        <v>46077</v>
      </c>
      <c r="C2110" s="150">
        <v>20</v>
      </c>
      <c r="D2110" s="140" t="str">
        <f>IF(ISERROR(VLOOKUP(C2110,'[1]خريطة الحسابات'!_xlnm.Print_Area,3,FALSE))," ",(VLOOKUP(C2110,'[1]خريطة الحسابات'!_xlnm.Print_Area,3,FALSE)))</f>
        <v xml:space="preserve">الخزينة </v>
      </c>
      <c r="E2110" s="142"/>
      <c r="F2110" s="133"/>
      <c r="G2110" s="133">
        <v>600</v>
      </c>
      <c r="H2110" s="134">
        <f t="shared" si="97"/>
        <v>0</v>
      </c>
      <c r="I2110" s="134">
        <f t="shared" si="97"/>
        <v>600</v>
      </c>
      <c r="J2110" s="134">
        <f t="shared" si="96"/>
        <v>-600</v>
      </c>
      <c r="K2110" s="135"/>
      <c r="L2110" s="136" t="str">
        <f t="shared" si="98"/>
        <v>دائن</v>
      </c>
      <c r="M2110" s="137" t="str">
        <f>IF(ISERROR(VLOOKUP(C2110,'[1]خريطة الحسابات'!_xlnm.Print_Area,4,FALSE))," ",(VLOOKUP(C2110,'[1]خريطة الحسابات'!_xlnm.Print_Area,4,FALSE)))</f>
        <v xml:space="preserve">أصول متداوله -النقدية ومافي حكمها </v>
      </c>
      <c r="N2110" s="138" t="str">
        <f>IF(ISERROR(VLOOKUP(C2110,'[1]خريطة الحسابات'!_xlnm.Print_Area,5,FALSE))," ",(VLOOKUP(C2110,'[1]خريطة الحسابات'!_xlnm.Print_Area,5,FALSE)))</f>
        <v>الاصول</v>
      </c>
      <c r="O2110" s="84" t="s">
        <v>2206</v>
      </c>
      <c r="P2110" s="84" t="s">
        <v>1325</v>
      </c>
    </row>
    <row r="2111" spans="1:16">
      <c r="A2111" s="151">
        <v>66</v>
      </c>
      <c r="B2111" s="131">
        <v>46028</v>
      </c>
      <c r="C2111" s="150">
        <v>20</v>
      </c>
      <c r="D2111" s="140" t="str">
        <f>IF(ISERROR(VLOOKUP(C2111,'[1]خريطة الحسابات'!_xlnm.Print_Area,3,FALSE))," ",(VLOOKUP(C2111,'[1]خريطة الحسابات'!_xlnm.Print_Area,3,FALSE)))</f>
        <v xml:space="preserve">الخزينة </v>
      </c>
      <c r="E2111" s="142"/>
      <c r="F2111" s="133"/>
      <c r="G2111" s="133">
        <v>500</v>
      </c>
      <c r="H2111" s="134">
        <f t="shared" si="97"/>
        <v>0</v>
      </c>
      <c r="I2111" s="134">
        <f t="shared" si="97"/>
        <v>500</v>
      </c>
      <c r="J2111" s="134">
        <f t="shared" si="96"/>
        <v>-500</v>
      </c>
      <c r="K2111" s="135"/>
      <c r="L2111" s="136" t="str">
        <f t="shared" si="98"/>
        <v>دائن</v>
      </c>
      <c r="M2111" s="137" t="str">
        <f>IF(ISERROR(VLOOKUP(C2111,'[1]خريطة الحسابات'!_xlnm.Print_Area,4,FALSE))," ",(VLOOKUP(C2111,'[1]خريطة الحسابات'!_xlnm.Print_Area,4,FALSE)))</f>
        <v xml:space="preserve">أصول متداوله -النقدية ومافي حكمها </v>
      </c>
      <c r="N2111" s="138" t="str">
        <f>IF(ISERROR(VLOOKUP(C2111,'[1]خريطة الحسابات'!_xlnm.Print_Area,5,FALSE))," ",(VLOOKUP(C2111,'[1]خريطة الحسابات'!_xlnm.Print_Area,5,FALSE)))</f>
        <v>الاصول</v>
      </c>
      <c r="O2111" s="84" t="s">
        <v>2255</v>
      </c>
      <c r="P2111" s="84" t="s">
        <v>1415</v>
      </c>
    </row>
    <row r="2112" spans="1:16">
      <c r="A2112" s="151">
        <v>66</v>
      </c>
      <c r="B2112" s="131">
        <v>46133</v>
      </c>
      <c r="C2112" s="150">
        <v>20</v>
      </c>
      <c r="D2112" s="140" t="str">
        <f>IF(ISERROR(VLOOKUP(C2112,'[1]خريطة الحسابات'!_xlnm.Print_Area,3,FALSE))," ",(VLOOKUP(C2112,'[1]خريطة الحسابات'!_xlnm.Print_Area,3,FALSE)))</f>
        <v xml:space="preserve">الخزينة </v>
      </c>
      <c r="E2112" s="142"/>
      <c r="F2112" s="133"/>
      <c r="G2112" s="133">
        <v>550</v>
      </c>
      <c r="H2112" s="134">
        <f t="shared" si="97"/>
        <v>0</v>
      </c>
      <c r="I2112" s="134">
        <f t="shared" si="97"/>
        <v>550</v>
      </c>
      <c r="J2112" s="134">
        <f t="shared" si="96"/>
        <v>-550</v>
      </c>
      <c r="K2112" s="135"/>
      <c r="L2112" s="136" t="str">
        <f t="shared" si="98"/>
        <v>دائن</v>
      </c>
      <c r="M2112" s="137" t="str">
        <f>IF(ISERROR(VLOOKUP(C2112,'[1]خريطة الحسابات'!_xlnm.Print_Area,4,FALSE))," ",(VLOOKUP(C2112,'[1]خريطة الحسابات'!_xlnm.Print_Area,4,FALSE)))</f>
        <v xml:space="preserve">أصول متداوله -النقدية ومافي حكمها </v>
      </c>
      <c r="N2112" s="138" t="str">
        <f>IF(ISERROR(VLOOKUP(C2112,'[1]خريطة الحسابات'!_xlnm.Print_Area,5,FALSE))," ",(VLOOKUP(C2112,'[1]خريطة الحسابات'!_xlnm.Print_Area,5,FALSE)))</f>
        <v>الاصول</v>
      </c>
      <c r="O2112" s="84" t="s">
        <v>2240</v>
      </c>
      <c r="P2112" s="84" t="s">
        <v>1415</v>
      </c>
    </row>
    <row r="2113" spans="1:16">
      <c r="A2113" s="151">
        <v>66</v>
      </c>
      <c r="B2113" s="131">
        <v>46142</v>
      </c>
      <c r="C2113" s="150">
        <v>20</v>
      </c>
      <c r="D2113" s="140" t="str">
        <f>IF(ISERROR(VLOOKUP(C2113,'[1]خريطة الحسابات'!_xlnm.Print_Area,3,FALSE))," ",(VLOOKUP(C2113,'[1]خريطة الحسابات'!_xlnm.Print_Area,3,FALSE)))</f>
        <v xml:space="preserve">الخزينة </v>
      </c>
      <c r="E2113" s="142"/>
      <c r="F2113" s="133"/>
      <c r="G2113" s="133">
        <v>550</v>
      </c>
      <c r="H2113" s="134">
        <f t="shared" si="97"/>
        <v>0</v>
      </c>
      <c r="I2113" s="134">
        <f t="shared" si="97"/>
        <v>550</v>
      </c>
      <c r="J2113" s="134">
        <f t="shared" si="96"/>
        <v>-550</v>
      </c>
      <c r="K2113" s="135"/>
      <c r="L2113" s="136" t="str">
        <f t="shared" si="98"/>
        <v>دائن</v>
      </c>
      <c r="M2113" s="137" t="str">
        <f>IF(ISERROR(VLOOKUP(C2113,'[1]خريطة الحسابات'!_xlnm.Print_Area,4,FALSE))," ",(VLOOKUP(C2113,'[1]خريطة الحسابات'!_xlnm.Print_Area,4,FALSE)))</f>
        <v xml:space="preserve">أصول متداوله -النقدية ومافي حكمها </v>
      </c>
      <c r="N2113" s="138" t="str">
        <f>IF(ISERROR(VLOOKUP(C2113,'[1]خريطة الحسابات'!_xlnm.Print_Area,5,FALSE))," ",(VLOOKUP(C2113,'[1]خريطة الحسابات'!_xlnm.Print_Area,5,FALSE)))</f>
        <v>الاصول</v>
      </c>
      <c r="O2113" s="84" t="s">
        <v>2240</v>
      </c>
      <c r="P2113" s="84" t="s">
        <v>1415</v>
      </c>
    </row>
    <row r="2114" spans="1:16">
      <c r="A2114" s="151">
        <v>66</v>
      </c>
      <c r="B2114" s="131">
        <v>46142</v>
      </c>
      <c r="C2114" s="150">
        <v>20</v>
      </c>
      <c r="D2114" s="140" t="str">
        <f>IF(ISERROR(VLOOKUP(C2114,'[1]خريطة الحسابات'!_xlnm.Print_Area,3,FALSE))," ",(VLOOKUP(C2114,'[1]خريطة الحسابات'!_xlnm.Print_Area,3,FALSE)))</f>
        <v xml:space="preserve">الخزينة </v>
      </c>
      <c r="E2114" s="142"/>
      <c r="F2114" s="133"/>
      <c r="G2114" s="133">
        <v>4000</v>
      </c>
      <c r="H2114" s="134">
        <f t="shared" si="97"/>
        <v>0</v>
      </c>
      <c r="I2114" s="134">
        <f t="shared" si="97"/>
        <v>4000</v>
      </c>
      <c r="J2114" s="134">
        <f t="shared" si="96"/>
        <v>-4000</v>
      </c>
      <c r="K2114" s="135"/>
      <c r="L2114" s="136" t="str">
        <f t="shared" si="98"/>
        <v>دائن</v>
      </c>
      <c r="M2114" s="137" t="str">
        <f>IF(ISERROR(VLOOKUP(C2114,'[1]خريطة الحسابات'!_xlnm.Print_Area,4,FALSE))," ",(VLOOKUP(C2114,'[1]خريطة الحسابات'!_xlnm.Print_Area,4,FALSE)))</f>
        <v xml:space="preserve">أصول متداوله -النقدية ومافي حكمها </v>
      </c>
      <c r="N2114" s="138" t="str">
        <f>IF(ISERROR(VLOOKUP(C2114,'[1]خريطة الحسابات'!_xlnm.Print_Area,5,FALSE))," ",(VLOOKUP(C2114,'[1]خريطة الحسابات'!_xlnm.Print_Area,5,FALSE)))</f>
        <v>الاصول</v>
      </c>
      <c r="O2114" s="84" t="s">
        <v>2256</v>
      </c>
      <c r="P2114" s="84" t="s">
        <v>1317</v>
      </c>
    </row>
    <row r="2115" spans="1:16">
      <c r="A2115" s="151">
        <v>66</v>
      </c>
      <c r="B2115" s="131">
        <v>46142</v>
      </c>
      <c r="C2115" s="150">
        <v>20</v>
      </c>
      <c r="D2115" s="140" t="str">
        <f>IF(ISERROR(VLOOKUP(C2115,'[1]خريطة الحسابات'!_xlnm.Print_Area,3,FALSE))," ",(VLOOKUP(C2115,'[1]خريطة الحسابات'!_xlnm.Print_Area,3,FALSE)))</f>
        <v xml:space="preserve">الخزينة </v>
      </c>
      <c r="E2115" s="142"/>
      <c r="F2115" s="133"/>
      <c r="G2115" s="133">
        <v>1100</v>
      </c>
      <c r="H2115" s="134">
        <f t="shared" si="97"/>
        <v>0</v>
      </c>
      <c r="I2115" s="134">
        <f t="shared" si="97"/>
        <v>1100</v>
      </c>
      <c r="J2115" s="134">
        <f t="shared" si="96"/>
        <v>-1100</v>
      </c>
      <c r="K2115" s="135"/>
      <c r="L2115" s="136" t="str">
        <f t="shared" si="98"/>
        <v>دائن</v>
      </c>
      <c r="M2115" s="137" t="str">
        <f>IF(ISERROR(VLOOKUP(C2115,'[1]خريطة الحسابات'!_xlnm.Print_Area,4,FALSE))," ",(VLOOKUP(C2115,'[1]خريطة الحسابات'!_xlnm.Print_Area,4,FALSE)))</f>
        <v xml:space="preserve">أصول متداوله -النقدية ومافي حكمها </v>
      </c>
      <c r="N2115" s="138" t="str">
        <f>IF(ISERROR(VLOOKUP(C2115,'[1]خريطة الحسابات'!_xlnm.Print_Area,5,FALSE))," ",(VLOOKUP(C2115,'[1]خريطة الحسابات'!_xlnm.Print_Area,5,FALSE)))</f>
        <v>الاصول</v>
      </c>
      <c r="O2115" s="84" t="s">
        <v>2257</v>
      </c>
      <c r="P2115" s="84" t="s">
        <v>1317</v>
      </c>
    </row>
    <row r="2116" spans="1:16">
      <c r="A2116" s="151">
        <v>66</v>
      </c>
      <c r="B2116" s="131">
        <v>46151</v>
      </c>
      <c r="C2116" s="150">
        <v>20</v>
      </c>
      <c r="D2116" s="140" t="str">
        <f>IF(ISERROR(VLOOKUP(C2116,'[1]خريطة الحسابات'!_xlnm.Print_Area,3,FALSE))," ",(VLOOKUP(C2116,'[1]خريطة الحسابات'!_xlnm.Print_Area,3,FALSE)))</f>
        <v xml:space="preserve">الخزينة </v>
      </c>
      <c r="E2116" s="142"/>
      <c r="F2116" s="133"/>
      <c r="G2116" s="133">
        <v>650</v>
      </c>
      <c r="H2116" s="134">
        <f t="shared" si="97"/>
        <v>0</v>
      </c>
      <c r="I2116" s="134">
        <f t="shared" si="97"/>
        <v>650</v>
      </c>
      <c r="J2116" s="134">
        <f t="shared" si="96"/>
        <v>-650</v>
      </c>
      <c r="K2116" s="135"/>
      <c r="L2116" s="136" t="str">
        <f t="shared" si="98"/>
        <v>دائن</v>
      </c>
      <c r="M2116" s="137" t="str">
        <f>IF(ISERROR(VLOOKUP(C2116,'[1]خريطة الحسابات'!_xlnm.Print_Area,4,FALSE))," ",(VLOOKUP(C2116,'[1]خريطة الحسابات'!_xlnm.Print_Area,4,FALSE)))</f>
        <v xml:space="preserve">أصول متداوله -النقدية ومافي حكمها </v>
      </c>
      <c r="N2116" s="138" t="str">
        <f>IF(ISERROR(VLOOKUP(C2116,'[1]خريطة الحسابات'!_xlnm.Print_Area,5,FALSE))," ",(VLOOKUP(C2116,'[1]خريطة الحسابات'!_xlnm.Print_Area,5,FALSE)))</f>
        <v>الاصول</v>
      </c>
      <c r="O2116" s="84" t="s">
        <v>2258</v>
      </c>
      <c r="P2116" s="84" t="s">
        <v>1317</v>
      </c>
    </row>
    <row r="2117" spans="1:16">
      <c r="A2117" s="151">
        <v>67</v>
      </c>
      <c r="B2117" s="131">
        <v>46152</v>
      </c>
      <c r="C2117" s="150" t="s">
        <v>806</v>
      </c>
      <c r="D2117" s="140" t="str">
        <f>IF(ISERROR(VLOOKUP(C2117,'[1]خريطة الحسابات'!_xlnm.Print_Area,3,FALSE))," ",(VLOOKUP(C2117,'[1]خريطة الحسابات'!_xlnm.Print_Area,3,FALSE)))</f>
        <v>اعمال التكسير والهدم والنظافة</v>
      </c>
      <c r="E2117" s="142"/>
      <c r="F2117" s="133">
        <v>5600</v>
      </c>
      <c r="G2117" s="133"/>
      <c r="H2117" s="134">
        <f t="shared" si="97"/>
        <v>5600</v>
      </c>
      <c r="I2117" s="134">
        <f t="shared" si="97"/>
        <v>0</v>
      </c>
      <c r="J2117" s="134">
        <f t="shared" si="96"/>
        <v>5600</v>
      </c>
      <c r="K2117" s="135"/>
      <c r="L2117" s="136" t="str">
        <f t="shared" si="98"/>
        <v>مدين</v>
      </c>
      <c r="M2117" s="137" t="str">
        <f>IF(ISERROR(VLOOKUP(C2117,'[1]خريطة الحسابات'!_xlnm.Print_Area,4,FALSE))," ",(VLOOKUP(C2117,'[1]خريطة الحسابات'!_xlnm.Print_Area,4,FALSE)))</f>
        <v>تكاليف مشروع احمد زايد 401</v>
      </c>
      <c r="N2117" s="138" t="str">
        <f>IF(ISERROR(VLOOKUP(C2117,'[1]خريطة الحسابات'!_xlnm.Print_Area,5,FALSE))," ",(VLOOKUP(C2117,'[1]خريطة الحسابات'!_xlnm.Print_Area,5,FALSE)))</f>
        <v xml:space="preserve">تكاليف العمليات </v>
      </c>
      <c r="O2117" s="84" t="s">
        <v>2259</v>
      </c>
      <c r="P2117" s="84" t="s">
        <v>1345</v>
      </c>
    </row>
    <row r="2118" spans="1:16">
      <c r="A2118" s="151">
        <v>67</v>
      </c>
      <c r="B2118" s="131">
        <v>46153</v>
      </c>
      <c r="C2118" s="150" t="s">
        <v>806</v>
      </c>
      <c r="D2118" s="140" t="str">
        <f>IF(ISERROR(VLOOKUP(C2118,'[1]خريطة الحسابات'!_xlnm.Print_Area,3,FALSE))," ",(VLOOKUP(C2118,'[1]خريطة الحسابات'!_xlnm.Print_Area,3,FALSE)))</f>
        <v>اعمال التكسير والهدم والنظافة</v>
      </c>
      <c r="E2118" s="142"/>
      <c r="F2118" s="133">
        <v>36770</v>
      </c>
      <c r="G2118" s="133"/>
      <c r="H2118" s="134">
        <f t="shared" si="97"/>
        <v>36770</v>
      </c>
      <c r="I2118" s="134">
        <f t="shared" si="97"/>
        <v>0</v>
      </c>
      <c r="J2118" s="134">
        <f t="shared" si="96"/>
        <v>36770</v>
      </c>
      <c r="K2118" s="135"/>
      <c r="L2118" s="136" t="str">
        <f t="shared" si="98"/>
        <v>مدين</v>
      </c>
      <c r="M2118" s="137" t="str">
        <f>IF(ISERROR(VLOOKUP(C2118,'[1]خريطة الحسابات'!_xlnm.Print_Area,4,FALSE))," ",(VLOOKUP(C2118,'[1]خريطة الحسابات'!_xlnm.Print_Area,4,FALSE)))</f>
        <v>تكاليف مشروع احمد زايد 401</v>
      </c>
      <c r="N2118" s="138" t="str">
        <f>IF(ISERROR(VLOOKUP(C2118,'[1]خريطة الحسابات'!_xlnm.Print_Area,5,FALSE))," ",(VLOOKUP(C2118,'[1]خريطة الحسابات'!_xlnm.Print_Area,5,FALSE)))</f>
        <v xml:space="preserve">تكاليف العمليات </v>
      </c>
      <c r="O2118" s="84" t="s">
        <v>2260</v>
      </c>
      <c r="P2118" s="84" t="s">
        <v>1345</v>
      </c>
    </row>
    <row r="2119" spans="1:16">
      <c r="A2119" s="151">
        <v>67</v>
      </c>
      <c r="B2119" s="131">
        <v>46154</v>
      </c>
      <c r="C2119" s="150" t="s">
        <v>806</v>
      </c>
      <c r="D2119" s="140" t="str">
        <f>IF(ISERROR(VLOOKUP(C2119,'[1]خريطة الحسابات'!_xlnm.Print_Area,3,FALSE))," ",(VLOOKUP(C2119,'[1]خريطة الحسابات'!_xlnm.Print_Area,3,FALSE)))</f>
        <v>اعمال التكسير والهدم والنظافة</v>
      </c>
      <c r="E2119" s="142"/>
      <c r="F2119" s="133">
        <v>3050</v>
      </c>
      <c r="G2119" s="133"/>
      <c r="H2119" s="134">
        <f t="shared" si="97"/>
        <v>3050</v>
      </c>
      <c r="I2119" s="134">
        <f t="shared" si="97"/>
        <v>0</v>
      </c>
      <c r="J2119" s="134">
        <f t="shared" si="96"/>
        <v>3050</v>
      </c>
      <c r="K2119" s="135"/>
      <c r="L2119" s="136" t="str">
        <f t="shared" si="98"/>
        <v>مدين</v>
      </c>
      <c r="M2119" s="137" t="str">
        <f>IF(ISERROR(VLOOKUP(C2119,'[1]خريطة الحسابات'!_xlnm.Print_Area,4,FALSE))," ",(VLOOKUP(C2119,'[1]خريطة الحسابات'!_xlnm.Print_Area,4,FALSE)))</f>
        <v>تكاليف مشروع احمد زايد 401</v>
      </c>
      <c r="N2119" s="138" t="str">
        <f>IF(ISERROR(VLOOKUP(C2119,'[1]خريطة الحسابات'!_xlnm.Print_Area,5,FALSE))," ",(VLOOKUP(C2119,'[1]خريطة الحسابات'!_xlnm.Print_Area,5,FALSE)))</f>
        <v xml:space="preserve">تكاليف العمليات </v>
      </c>
      <c r="O2119" s="84" t="s">
        <v>2261</v>
      </c>
      <c r="P2119" s="84" t="s">
        <v>1345</v>
      </c>
    </row>
    <row r="2120" spans="1:16">
      <c r="A2120" s="151">
        <v>67</v>
      </c>
      <c r="B2120" s="131">
        <v>46156</v>
      </c>
      <c r="C2120" s="150" t="s">
        <v>806</v>
      </c>
      <c r="D2120" s="140" t="str">
        <f>IF(ISERROR(VLOOKUP(C2120,'[1]خريطة الحسابات'!_xlnm.Print_Area,3,FALSE))," ",(VLOOKUP(C2120,'[1]خريطة الحسابات'!_xlnm.Print_Area,3,FALSE)))</f>
        <v>اعمال التكسير والهدم والنظافة</v>
      </c>
      <c r="E2120" s="142"/>
      <c r="F2120" s="133">
        <v>2300</v>
      </c>
      <c r="G2120" s="133"/>
      <c r="H2120" s="134">
        <f t="shared" si="97"/>
        <v>2300</v>
      </c>
      <c r="I2120" s="134">
        <f t="shared" si="97"/>
        <v>0</v>
      </c>
      <c r="J2120" s="134">
        <f t="shared" si="96"/>
        <v>2300</v>
      </c>
      <c r="K2120" s="135"/>
      <c r="L2120" s="136" t="str">
        <f t="shared" si="98"/>
        <v>مدين</v>
      </c>
      <c r="M2120" s="137" t="str">
        <f>IF(ISERROR(VLOOKUP(C2120,'[1]خريطة الحسابات'!_xlnm.Print_Area,4,FALSE))," ",(VLOOKUP(C2120,'[1]خريطة الحسابات'!_xlnm.Print_Area,4,FALSE)))</f>
        <v>تكاليف مشروع احمد زايد 401</v>
      </c>
      <c r="N2120" s="138" t="str">
        <f>IF(ISERROR(VLOOKUP(C2120,'[1]خريطة الحسابات'!_xlnm.Print_Area,5,FALSE))," ",(VLOOKUP(C2120,'[1]خريطة الحسابات'!_xlnm.Print_Area,5,FALSE)))</f>
        <v xml:space="preserve">تكاليف العمليات </v>
      </c>
      <c r="O2120" s="84" t="s">
        <v>2262</v>
      </c>
      <c r="P2120" s="84" t="s">
        <v>1345</v>
      </c>
    </row>
    <row r="2121" spans="1:16">
      <c r="A2121" s="151">
        <v>67</v>
      </c>
      <c r="B2121" s="131">
        <v>46046</v>
      </c>
      <c r="C2121" s="150" t="s">
        <v>246</v>
      </c>
      <c r="D2121" s="140" t="str">
        <f>IF(ISERROR(VLOOKUP(C2121,'[1]خريطة الحسابات'!_xlnm.Print_Area,3,FALSE))," ",(VLOOKUP(C2121,'[1]خريطة الحسابات'!_xlnm.Print_Area,3,FALSE)))</f>
        <v>اعمال التكسير والهدم والنظافة</v>
      </c>
      <c r="E2121" s="142"/>
      <c r="F2121" s="133">
        <v>30</v>
      </c>
      <c r="G2121" s="133"/>
      <c r="H2121" s="134">
        <f t="shared" si="97"/>
        <v>30</v>
      </c>
      <c r="I2121" s="134">
        <f t="shared" si="97"/>
        <v>0</v>
      </c>
      <c r="J2121" s="134">
        <f t="shared" si="96"/>
        <v>30</v>
      </c>
      <c r="K2121" s="135"/>
      <c r="L2121" s="136" t="str">
        <f t="shared" si="98"/>
        <v>مدين</v>
      </c>
      <c r="M2121" s="137" t="str">
        <f>IF(ISERROR(VLOOKUP(C2121,'[1]خريطة الحسابات'!_xlnm.Print_Area,4,FALSE))," ",(VLOOKUP(C2121,'[1]خريطة الحسابات'!_xlnm.Print_Area,4,FALSE)))</f>
        <v>تكاليف مشروع الاندلس 280</v>
      </c>
      <c r="N2121" s="138" t="str">
        <f>IF(ISERROR(VLOOKUP(C2121,'[1]خريطة الحسابات'!_xlnm.Print_Area,5,FALSE))," ",(VLOOKUP(C2121,'[1]خريطة الحسابات'!_xlnm.Print_Area,5,FALSE)))</f>
        <v xml:space="preserve">تكاليف العمليات </v>
      </c>
      <c r="O2121" s="84" t="s">
        <v>2263</v>
      </c>
      <c r="P2121" s="84" t="s">
        <v>1310</v>
      </c>
    </row>
    <row r="2122" spans="1:16">
      <c r="A2122" s="151">
        <v>67</v>
      </c>
      <c r="B2122" s="131">
        <v>46058</v>
      </c>
      <c r="C2122" s="150" t="s">
        <v>631</v>
      </c>
      <c r="D2122" s="140" t="str">
        <f>IF(ISERROR(VLOOKUP(C2122,'[1]خريطة الحسابات'!_xlnm.Print_Area,3,FALSE))," ",(VLOOKUP(C2122,'[1]خريطة الحسابات'!_xlnm.Print_Area,3,FALSE)))</f>
        <v>اعمال التكسير والهدم والنظافة</v>
      </c>
      <c r="E2122" s="142"/>
      <c r="F2122" s="133">
        <v>3200</v>
      </c>
      <c r="G2122" s="133"/>
      <c r="H2122" s="134">
        <f t="shared" si="97"/>
        <v>3200</v>
      </c>
      <c r="I2122" s="134">
        <f t="shared" si="97"/>
        <v>0</v>
      </c>
      <c r="J2122" s="134">
        <f t="shared" si="96"/>
        <v>3200</v>
      </c>
      <c r="K2122" s="135"/>
      <c r="L2122" s="136" t="str">
        <f t="shared" si="98"/>
        <v>مدين</v>
      </c>
      <c r="M2122" s="137" t="str">
        <f>IF(ISERROR(VLOOKUP(C2122,'[1]خريطة الحسابات'!_xlnm.Print_Area,4,FALSE))," ",(VLOOKUP(C2122,'[1]خريطة الحسابات'!_xlnm.Print_Area,4,FALSE)))</f>
        <v>تكاليف مشروع الاندلس 364</v>
      </c>
      <c r="N2122" s="138" t="str">
        <f>IF(ISERROR(VLOOKUP(C2122,'[1]خريطة الحسابات'!_xlnm.Print_Area,5,FALSE))," ",(VLOOKUP(C2122,'[1]خريطة الحسابات'!_xlnm.Print_Area,5,FALSE)))</f>
        <v xml:space="preserve">تكاليف العمليات </v>
      </c>
      <c r="O2122" s="84" t="s">
        <v>2264</v>
      </c>
      <c r="P2122" s="84" t="s">
        <v>1299</v>
      </c>
    </row>
    <row r="2123" spans="1:16">
      <c r="A2123" s="151">
        <v>67</v>
      </c>
      <c r="B2123" s="131">
        <v>46039</v>
      </c>
      <c r="C2123" s="150" t="s">
        <v>176</v>
      </c>
      <c r="D2123" s="140" t="str">
        <f>IF(ISERROR(VLOOKUP(C2123,'[1]خريطة الحسابات'!_xlnm.Print_Area,3,FALSE))," ",(VLOOKUP(C2123,'[1]خريطة الحسابات'!_xlnm.Print_Area,3,FALSE)))</f>
        <v>اعمال التكسير والهدم والنظافة</v>
      </c>
      <c r="E2123" s="142"/>
      <c r="F2123" s="133">
        <v>750</v>
      </c>
      <c r="G2123" s="133"/>
      <c r="H2123" s="134">
        <f t="shared" si="97"/>
        <v>750</v>
      </c>
      <c r="I2123" s="134">
        <f t="shared" si="97"/>
        <v>0</v>
      </c>
      <c r="J2123" s="134">
        <f t="shared" si="96"/>
        <v>750</v>
      </c>
      <c r="K2123" s="135"/>
      <c r="L2123" s="136" t="str">
        <f t="shared" si="98"/>
        <v>مدين</v>
      </c>
      <c r="M2123" s="137" t="str">
        <f>IF(ISERROR(VLOOKUP(C2123,'[1]خريطة الحسابات'!_xlnm.Print_Area,4,FALSE))," ",(VLOOKUP(C2123,'[1]خريطة الحسابات'!_xlnm.Print_Area,4,FALSE)))</f>
        <v>تكاليف مشروع الباتيو 235</v>
      </c>
      <c r="N2123" s="138" t="str">
        <f>IF(ISERROR(VLOOKUP(C2123,'[1]خريطة الحسابات'!_xlnm.Print_Area,5,FALSE))," ",(VLOOKUP(C2123,'[1]خريطة الحسابات'!_xlnm.Print_Area,5,FALSE)))</f>
        <v xml:space="preserve">تكاليف العمليات </v>
      </c>
      <c r="O2123" s="84" t="s">
        <v>2265</v>
      </c>
      <c r="P2123" s="84" t="s">
        <v>1304</v>
      </c>
    </row>
    <row r="2124" spans="1:16">
      <c r="A2124" s="151">
        <v>67</v>
      </c>
      <c r="B2124" s="131">
        <v>46046</v>
      </c>
      <c r="C2124" s="150" t="s">
        <v>316</v>
      </c>
      <c r="D2124" s="140" t="str">
        <f>IF(ISERROR(VLOOKUP(C2124,'[1]خريطة الحسابات'!_xlnm.Print_Area,3,FALSE))," ",(VLOOKUP(C2124,'[1]خريطة الحسابات'!_xlnm.Print_Area,3,FALSE)))</f>
        <v>اعمال التكسير والهدم والنظافة</v>
      </c>
      <c r="E2124" s="142"/>
      <c r="F2124" s="133">
        <v>150</v>
      </c>
      <c r="G2124" s="133"/>
      <c r="H2124" s="134">
        <f t="shared" si="97"/>
        <v>150</v>
      </c>
      <c r="I2124" s="134">
        <f t="shared" si="97"/>
        <v>0</v>
      </c>
      <c r="J2124" s="134">
        <f t="shared" si="96"/>
        <v>150</v>
      </c>
      <c r="K2124" s="135"/>
      <c r="L2124" s="136" t="str">
        <f t="shared" si="98"/>
        <v>مدين</v>
      </c>
      <c r="M2124" s="137" t="str">
        <f>IF(ISERROR(VLOOKUP(C2124,'[1]خريطة الحسابات'!_xlnm.Print_Area,4,FALSE))," ",(VLOOKUP(C2124,'[1]خريطة الحسابات'!_xlnm.Print_Area,4,FALSE)))</f>
        <v>تكاليف مشروع العبور 306</v>
      </c>
      <c r="N2124" s="138" t="str">
        <f>IF(ISERROR(VLOOKUP(C2124,'[1]خريطة الحسابات'!_xlnm.Print_Area,5,FALSE))," ",(VLOOKUP(C2124,'[1]خريطة الحسابات'!_xlnm.Print_Area,5,FALSE)))</f>
        <v xml:space="preserve">تكاليف العمليات </v>
      </c>
      <c r="O2124" s="84" t="s">
        <v>2266</v>
      </c>
      <c r="P2124" s="84" t="s">
        <v>1292</v>
      </c>
    </row>
    <row r="2125" spans="1:16">
      <c r="A2125" s="151">
        <v>67</v>
      </c>
      <c r="B2125" s="131">
        <v>46051</v>
      </c>
      <c r="C2125" s="150" t="s">
        <v>316</v>
      </c>
      <c r="D2125" s="140" t="str">
        <f>IF(ISERROR(VLOOKUP(C2125,'[1]خريطة الحسابات'!_xlnm.Print_Area,3,FALSE))," ",(VLOOKUP(C2125,'[1]خريطة الحسابات'!_xlnm.Print_Area,3,FALSE)))</f>
        <v>اعمال التكسير والهدم والنظافة</v>
      </c>
      <c r="E2125" s="142"/>
      <c r="F2125" s="133">
        <v>811</v>
      </c>
      <c r="G2125" s="133"/>
      <c r="H2125" s="134">
        <f t="shared" si="97"/>
        <v>811</v>
      </c>
      <c r="I2125" s="134">
        <f t="shared" si="97"/>
        <v>0</v>
      </c>
      <c r="J2125" s="134">
        <f t="shared" si="96"/>
        <v>811</v>
      </c>
      <c r="K2125" s="135"/>
      <c r="L2125" s="136" t="str">
        <f t="shared" si="98"/>
        <v>مدين</v>
      </c>
      <c r="M2125" s="137" t="str">
        <f>IF(ISERROR(VLOOKUP(C2125,'[1]خريطة الحسابات'!_xlnm.Print_Area,4,FALSE))," ",(VLOOKUP(C2125,'[1]خريطة الحسابات'!_xlnm.Print_Area,4,FALSE)))</f>
        <v>تكاليف مشروع العبور 306</v>
      </c>
      <c r="N2125" s="138" t="str">
        <f>IF(ISERROR(VLOOKUP(C2125,'[1]خريطة الحسابات'!_xlnm.Print_Area,5,FALSE))," ",(VLOOKUP(C2125,'[1]خريطة الحسابات'!_xlnm.Print_Area,5,FALSE)))</f>
        <v xml:space="preserve">تكاليف العمليات </v>
      </c>
      <c r="O2125" s="84" t="s">
        <v>2267</v>
      </c>
      <c r="P2125" s="84" t="s">
        <v>1292</v>
      </c>
    </row>
    <row r="2126" spans="1:16">
      <c r="A2126" s="151">
        <v>67</v>
      </c>
      <c r="B2126" s="131">
        <v>46062</v>
      </c>
      <c r="C2126" s="150" t="s">
        <v>316</v>
      </c>
      <c r="D2126" s="140" t="str">
        <f>IF(ISERROR(VLOOKUP(C2126,'[1]خريطة الحسابات'!_xlnm.Print_Area,3,FALSE))," ",(VLOOKUP(C2126,'[1]خريطة الحسابات'!_xlnm.Print_Area,3,FALSE)))</f>
        <v>اعمال التكسير والهدم والنظافة</v>
      </c>
      <c r="E2126" s="142"/>
      <c r="F2126" s="133">
        <v>200</v>
      </c>
      <c r="G2126" s="133"/>
      <c r="H2126" s="134">
        <f t="shared" si="97"/>
        <v>200</v>
      </c>
      <c r="I2126" s="134">
        <f t="shared" si="97"/>
        <v>0</v>
      </c>
      <c r="J2126" s="134">
        <f t="shared" si="96"/>
        <v>200</v>
      </c>
      <c r="K2126" s="135"/>
      <c r="L2126" s="136" t="str">
        <f t="shared" si="98"/>
        <v>مدين</v>
      </c>
      <c r="M2126" s="137" t="str">
        <f>IF(ISERROR(VLOOKUP(C2126,'[1]خريطة الحسابات'!_xlnm.Print_Area,4,FALSE))," ",(VLOOKUP(C2126,'[1]خريطة الحسابات'!_xlnm.Print_Area,4,FALSE)))</f>
        <v>تكاليف مشروع العبور 306</v>
      </c>
      <c r="N2126" s="138" t="str">
        <f>IF(ISERROR(VLOOKUP(C2126,'[1]خريطة الحسابات'!_xlnm.Print_Area,5,FALSE))," ",(VLOOKUP(C2126,'[1]خريطة الحسابات'!_xlnm.Print_Area,5,FALSE)))</f>
        <v xml:space="preserve">تكاليف العمليات </v>
      </c>
      <c r="O2126" s="84" t="s">
        <v>2268</v>
      </c>
      <c r="P2126" s="84" t="s">
        <v>1292</v>
      </c>
    </row>
    <row r="2127" spans="1:16">
      <c r="A2127" s="151">
        <v>67</v>
      </c>
      <c r="B2127" s="131">
        <v>46093</v>
      </c>
      <c r="C2127" s="150" t="s">
        <v>736</v>
      </c>
      <c r="D2127" s="140" t="str">
        <f>IF(ISERROR(VLOOKUP(C2127,'[1]خريطة الحسابات'!_xlnm.Print_Area,3,FALSE))," ",(VLOOKUP(C2127,'[1]خريطة الحسابات'!_xlnm.Print_Area,3,FALSE)))</f>
        <v>اعمال التكسير والهدم والنظافة</v>
      </c>
      <c r="E2127" s="142"/>
      <c r="F2127" s="133">
        <v>750</v>
      </c>
      <c r="G2127" s="133"/>
      <c r="H2127" s="134">
        <f t="shared" si="97"/>
        <v>750</v>
      </c>
      <c r="I2127" s="134">
        <f t="shared" si="97"/>
        <v>0</v>
      </c>
      <c r="J2127" s="134">
        <f t="shared" si="96"/>
        <v>750</v>
      </c>
      <c r="K2127" s="135"/>
      <c r="L2127" s="136" t="str">
        <f t="shared" si="98"/>
        <v>مدين</v>
      </c>
      <c r="M2127" s="137" t="str">
        <f>IF(ISERROR(VLOOKUP(C2127,'[1]خريطة الحسابات'!_xlnm.Print_Area,4,FALSE))," ",(VLOOKUP(C2127,'[1]خريطة الحسابات'!_xlnm.Print_Area,4,FALSE)))</f>
        <v>تكاليف مشروع القصر 380</v>
      </c>
      <c r="N2127" s="138" t="str">
        <f>IF(ISERROR(VLOOKUP(C2127,'[1]خريطة الحسابات'!_xlnm.Print_Area,5,FALSE))," ",(VLOOKUP(C2127,'[1]خريطة الحسابات'!_xlnm.Print_Area,5,FALSE)))</f>
        <v xml:space="preserve">تكاليف العمليات </v>
      </c>
      <c r="O2127" s="84" t="s">
        <v>2269</v>
      </c>
      <c r="P2127" s="84" t="s">
        <v>1480</v>
      </c>
    </row>
    <row r="2128" spans="1:16">
      <c r="A2128" s="151">
        <v>67</v>
      </c>
      <c r="B2128" s="131">
        <v>46058</v>
      </c>
      <c r="C2128" s="150" t="s">
        <v>596</v>
      </c>
      <c r="D2128" s="140" t="str">
        <f>IF(ISERROR(VLOOKUP(C2128,'[1]خريطة الحسابات'!_xlnm.Print_Area,3,FALSE))," ",(VLOOKUP(C2128,'[1]خريطة الحسابات'!_xlnm.Print_Area,3,FALSE)))</f>
        <v>اعمال التكسير والهدم والنظافة</v>
      </c>
      <c r="E2128" s="142"/>
      <c r="F2128" s="133">
        <v>380</v>
      </c>
      <c r="G2128" s="133"/>
      <c r="H2128" s="134">
        <f t="shared" si="97"/>
        <v>380</v>
      </c>
      <c r="I2128" s="134">
        <f t="shared" si="97"/>
        <v>0</v>
      </c>
      <c r="J2128" s="134">
        <f t="shared" si="96"/>
        <v>380</v>
      </c>
      <c r="K2128" s="135"/>
      <c r="L2128" s="136" t="str">
        <f t="shared" si="98"/>
        <v>مدين</v>
      </c>
      <c r="M2128" s="137" t="str">
        <f>IF(ISERROR(VLOOKUP(C2128,'[1]خريطة الحسابات'!_xlnm.Print_Area,4,FALSE))," ",(VLOOKUP(C2128,'[1]خريطة الحسابات'!_xlnm.Print_Area,4,FALSE)))</f>
        <v>تكاليف مشروع اللوتس 361</v>
      </c>
      <c r="N2128" s="138" t="str">
        <f>IF(ISERROR(VLOOKUP(C2128,'[1]خريطة الحسابات'!_xlnm.Print_Area,5,FALSE))," ",(VLOOKUP(C2128,'[1]خريطة الحسابات'!_xlnm.Print_Area,5,FALSE)))</f>
        <v xml:space="preserve">تكاليف العمليات </v>
      </c>
      <c r="O2128" s="84" t="s">
        <v>2270</v>
      </c>
      <c r="P2128" s="84" t="s">
        <v>1295</v>
      </c>
    </row>
    <row r="2129" spans="1:16">
      <c r="A2129" s="151">
        <v>67</v>
      </c>
      <c r="B2129" s="131">
        <v>46058</v>
      </c>
      <c r="C2129" s="150" t="s">
        <v>421</v>
      </c>
      <c r="D2129" s="140" t="str">
        <f>IF(ISERROR(VLOOKUP(C2129,'[1]خريطة الحسابات'!_xlnm.Print_Area,3,FALSE))," ",(VLOOKUP(C2129,'[1]خريطة الحسابات'!_xlnm.Print_Area,3,FALSE)))</f>
        <v>اعمال التكسير والهدم والنظافة</v>
      </c>
      <c r="E2129" s="142"/>
      <c r="F2129" s="133">
        <v>600</v>
      </c>
      <c r="G2129" s="133"/>
      <c r="H2129" s="134">
        <f t="shared" si="97"/>
        <v>600</v>
      </c>
      <c r="I2129" s="134">
        <f t="shared" si="97"/>
        <v>0</v>
      </c>
      <c r="J2129" s="134">
        <f t="shared" si="96"/>
        <v>600</v>
      </c>
      <c r="K2129" s="135"/>
      <c r="L2129" s="136" t="str">
        <f t="shared" si="98"/>
        <v>مدين</v>
      </c>
      <c r="M2129" s="137" t="str">
        <f>IF(ISERROR(VLOOKUP(C2129,'[1]خريطة الحسابات'!_xlnm.Print_Area,4,FALSE))," ",(VLOOKUP(C2129,'[1]خريطة الحسابات'!_xlnm.Print_Area,4,FALSE)))</f>
        <v>345 تكاليف مشروع بالم هيلز</v>
      </c>
      <c r="N2129" s="138" t="str">
        <f>IF(ISERROR(VLOOKUP(C2129,'[1]خريطة الحسابات'!_xlnm.Print_Area,5,FALSE))," ",(VLOOKUP(C2129,'[1]خريطة الحسابات'!_xlnm.Print_Area,5,FALSE)))</f>
        <v xml:space="preserve">تكاليف العمليات </v>
      </c>
      <c r="O2129" s="84" t="s">
        <v>2271</v>
      </c>
      <c r="P2129" s="84" t="s">
        <v>1327</v>
      </c>
    </row>
    <row r="2130" spans="1:16">
      <c r="A2130" s="151">
        <v>67</v>
      </c>
      <c r="B2130" s="131">
        <v>46034</v>
      </c>
      <c r="C2130" s="150" t="s">
        <v>77</v>
      </c>
      <c r="D2130" s="140" t="str">
        <f>IF(ISERROR(VLOOKUP(C2130,'[1]خريطة الحسابات'!_xlnm.Print_Area,3,FALSE))," ",(VLOOKUP(C2130,'[1]خريطة الحسابات'!_xlnm.Print_Area,3,FALSE)))</f>
        <v xml:space="preserve">اعمال التكسير والهدم والنظافة والتشوينات من مواد </v>
      </c>
      <c r="E2130" s="142"/>
      <c r="F2130" s="133">
        <v>500</v>
      </c>
      <c r="G2130" s="133"/>
      <c r="H2130" s="134">
        <f t="shared" si="97"/>
        <v>500</v>
      </c>
      <c r="I2130" s="134">
        <f t="shared" si="97"/>
        <v>0</v>
      </c>
      <c r="J2130" s="134">
        <f t="shared" si="96"/>
        <v>500</v>
      </c>
      <c r="K2130" s="135"/>
      <c r="L2130" s="136" t="str">
        <f t="shared" si="98"/>
        <v>مدين</v>
      </c>
      <c r="M2130" s="137" t="str">
        <f>IF(ISERROR(VLOOKUP(C2130,'[1]خريطة الحسابات'!_xlnm.Print_Area,4,FALSE))," ",(VLOOKUP(C2130,'[1]خريطة الحسابات'!_xlnm.Print_Area,4,FALSE)))</f>
        <v>تكاليف مشروع سوديك  341</v>
      </c>
      <c r="N2130" s="138" t="str">
        <f>IF(ISERROR(VLOOKUP(C2130,'[1]خريطة الحسابات'!_xlnm.Print_Area,5,FALSE))," ",(VLOOKUP(C2130,'[1]خريطة الحسابات'!_xlnm.Print_Area,5,FALSE)))</f>
        <v xml:space="preserve">تكاليف العمليات </v>
      </c>
      <c r="O2130" s="84" t="s">
        <v>2272</v>
      </c>
      <c r="P2130" s="84" t="s">
        <v>1290</v>
      </c>
    </row>
    <row r="2131" spans="1:16">
      <c r="A2131" s="151">
        <v>67</v>
      </c>
      <c r="B2131" s="131">
        <v>46035</v>
      </c>
      <c r="C2131" s="150" t="s">
        <v>77</v>
      </c>
      <c r="D2131" s="140" t="str">
        <f>IF(ISERROR(VLOOKUP(C2131,'[1]خريطة الحسابات'!_xlnm.Print_Area,3,FALSE))," ",(VLOOKUP(C2131,'[1]خريطة الحسابات'!_xlnm.Print_Area,3,FALSE)))</f>
        <v xml:space="preserve">اعمال التكسير والهدم والنظافة والتشوينات من مواد </v>
      </c>
      <c r="E2131" s="142"/>
      <c r="F2131" s="133">
        <v>400</v>
      </c>
      <c r="G2131" s="133"/>
      <c r="H2131" s="134">
        <f t="shared" si="97"/>
        <v>400</v>
      </c>
      <c r="I2131" s="134">
        <f t="shared" si="97"/>
        <v>0</v>
      </c>
      <c r="J2131" s="134">
        <f t="shared" si="96"/>
        <v>400</v>
      </c>
      <c r="K2131" s="135"/>
      <c r="L2131" s="136" t="str">
        <f t="shared" si="98"/>
        <v>مدين</v>
      </c>
      <c r="M2131" s="137" t="str">
        <f>IF(ISERROR(VLOOKUP(C2131,'[1]خريطة الحسابات'!_xlnm.Print_Area,4,FALSE))," ",(VLOOKUP(C2131,'[1]خريطة الحسابات'!_xlnm.Print_Area,4,FALSE)))</f>
        <v>تكاليف مشروع سوديك  341</v>
      </c>
      <c r="N2131" s="138" t="str">
        <f>IF(ISERROR(VLOOKUP(C2131,'[1]خريطة الحسابات'!_xlnm.Print_Area,5,FALSE))," ",(VLOOKUP(C2131,'[1]خريطة الحسابات'!_xlnm.Print_Area,5,FALSE)))</f>
        <v xml:space="preserve">تكاليف العمليات </v>
      </c>
      <c r="O2131" s="84" t="s">
        <v>2273</v>
      </c>
      <c r="P2131" s="84" t="s">
        <v>1290</v>
      </c>
    </row>
    <row r="2132" spans="1:16">
      <c r="A2132" s="151">
        <v>67</v>
      </c>
      <c r="B2132" s="131">
        <v>46042</v>
      </c>
      <c r="C2132" s="150" t="s">
        <v>77</v>
      </c>
      <c r="D2132" s="140" t="str">
        <f>IF(ISERROR(VLOOKUP(C2132,'[1]خريطة الحسابات'!_xlnm.Print_Area,3,FALSE))," ",(VLOOKUP(C2132,'[1]خريطة الحسابات'!_xlnm.Print_Area,3,FALSE)))</f>
        <v xml:space="preserve">اعمال التكسير والهدم والنظافة والتشوينات من مواد </v>
      </c>
      <c r="E2132" s="142"/>
      <c r="F2132" s="133">
        <v>2000</v>
      </c>
      <c r="G2132" s="133"/>
      <c r="H2132" s="134">
        <f t="shared" si="97"/>
        <v>2000</v>
      </c>
      <c r="I2132" s="134">
        <f t="shared" si="97"/>
        <v>0</v>
      </c>
      <c r="J2132" s="134">
        <f t="shared" si="96"/>
        <v>2000</v>
      </c>
      <c r="K2132" s="135"/>
      <c r="L2132" s="136" t="str">
        <f t="shared" si="98"/>
        <v>مدين</v>
      </c>
      <c r="M2132" s="137" t="str">
        <f>IF(ISERROR(VLOOKUP(C2132,'[1]خريطة الحسابات'!_xlnm.Print_Area,4,FALSE))," ",(VLOOKUP(C2132,'[1]خريطة الحسابات'!_xlnm.Print_Area,4,FALSE)))</f>
        <v>تكاليف مشروع سوديك  341</v>
      </c>
      <c r="N2132" s="138" t="str">
        <f>IF(ISERROR(VLOOKUP(C2132,'[1]خريطة الحسابات'!_xlnm.Print_Area,5,FALSE))," ",(VLOOKUP(C2132,'[1]خريطة الحسابات'!_xlnm.Print_Area,5,FALSE)))</f>
        <v xml:space="preserve">تكاليف العمليات </v>
      </c>
      <c r="O2132" s="84" t="s">
        <v>2274</v>
      </c>
      <c r="P2132" s="84" t="s">
        <v>1290</v>
      </c>
    </row>
    <row r="2133" spans="1:16">
      <c r="A2133" s="151">
        <v>67</v>
      </c>
      <c r="B2133" s="131">
        <v>46063</v>
      </c>
      <c r="C2133" s="150" t="s">
        <v>77</v>
      </c>
      <c r="D2133" s="140" t="str">
        <f>IF(ISERROR(VLOOKUP(C2133,'[1]خريطة الحسابات'!_xlnm.Print_Area,3,FALSE))," ",(VLOOKUP(C2133,'[1]خريطة الحسابات'!_xlnm.Print_Area,3,FALSE)))</f>
        <v xml:space="preserve">اعمال التكسير والهدم والنظافة والتشوينات من مواد </v>
      </c>
      <c r="E2133" s="142"/>
      <c r="F2133" s="133">
        <v>630</v>
      </c>
      <c r="G2133" s="133"/>
      <c r="H2133" s="134">
        <f t="shared" si="97"/>
        <v>630</v>
      </c>
      <c r="I2133" s="134">
        <f t="shared" si="97"/>
        <v>0</v>
      </c>
      <c r="J2133" s="134">
        <f t="shared" si="96"/>
        <v>630</v>
      </c>
      <c r="K2133" s="135"/>
      <c r="L2133" s="136" t="str">
        <f t="shared" si="98"/>
        <v>مدين</v>
      </c>
      <c r="M2133" s="137" t="str">
        <f>IF(ISERROR(VLOOKUP(C2133,'[1]خريطة الحسابات'!_xlnm.Print_Area,4,FALSE))," ",(VLOOKUP(C2133,'[1]خريطة الحسابات'!_xlnm.Print_Area,4,FALSE)))</f>
        <v>تكاليف مشروع سوديك  341</v>
      </c>
      <c r="N2133" s="138" t="str">
        <f>IF(ISERROR(VLOOKUP(C2133,'[1]خريطة الحسابات'!_xlnm.Print_Area,5,FALSE))," ",(VLOOKUP(C2133,'[1]خريطة الحسابات'!_xlnm.Print_Area,5,FALSE)))</f>
        <v xml:space="preserve">تكاليف العمليات </v>
      </c>
      <c r="O2133" s="84" t="s">
        <v>2275</v>
      </c>
      <c r="P2133" s="84" t="s">
        <v>1290</v>
      </c>
    </row>
    <row r="2134" spans="1:16">
      <c r="A2134" s="151">
        <v>67</v>
      </c>
      <c r="B2134" s="131">
        <v>46071</v>
      </c>
      <c r="C2134" s="150" t="s">
        <v>77</v>
      </c>
      <c r="D2134" s="140" t="str">
        <f>IF(ISERROR(VLOOKUP(C2134,'[1]خريطة الحسابات'!_xlnm.Print_Area,3,FALSE))," ",(VLOOKUP(C2134,'[1]خريطة الحسابات'!_xlnm.Print_Area,3,FALSE)))</f>
        <v xml:space="preserve">اعمال التكسير والهدم والنظافة والتشوينات من مواد </v>
      </c>
      <c r="E2134" s="142"/>
      <c r="F2134" s="133">
        <v>500</v>
      </c>
      <c r="G2134" s="133"/>
      <c r="H2134" s="134">
        <f t="shared" si="97"/>
        <v>500</v>
      </c>
      <c r="I2134" s="134">
        <f t="shared" si="97"/>
        <v>0</v>
      </c>
      <c r="J2134" s="134">
        <f t="shared" si="96"/>
        <v>500</v>
      </c>
      <c r="K2134" s="135"/>
      <c r="L2134" s="136" t="str">
        <f t="shared" si="98"/>
        <v>مدين</v>
      </c>
      <c r="M2134" s="137" t="str">
        <f>IF(ISERROR(VLOOKUP(C2134,'[1]خريطة الحسابات'!_xlnm.Print_Area,4,FALSE))," ",(VLOOKUP(C2134,'[1]خريطة الحسابات'!_xlnm.Print_Area,4,FALSE)))</f>
        <v>تكاليف مشروع سوديك  341</v>
      </c>
      <c r="N2134" s="138" t="str">
        <f>IF(ISERROR(VLOOKUP(C2134,'[1]خريطة الحسابات'!_xlnm.Print_Area,5,FALSE))," ",(VLOOKUP(C2134,'[1]خريطة الحسابات'!_xlnm.Print_Area,5,FALSE)))</f>
        <v xml:space="preserve">تكاليف العمليات </v>
      </c>
      <c r="O2134" s="84" t="s">
        <v>2276</v>
      </c>
      <c r="P2134" s="84" t="s">
        <v>1290</v>
      </c>
    </row>
    <row r="2135" spans="1:16">
      <c r="A2135" s="151">
        <v>67</v>
      </c>
      <c r="B2135" s="131">
        <v>46116</v>
      </c>
      <c r="C2135" s="150" t="s">
        <v>77</v>
      </c>
      <c r="D2135" s="140" t="str">
        <f>IF(ISERROR(VLOOKUP(C2135,'[1]خريطة الحسابات'!_xlnm.Print_Area,3,FALSE))," ",(VLOOKUP(C2135,'[1]خريطة الحسابات'!_xlnm.Print_Area,3,FALSE)))</f>
        <v xml:space="preserve">اعمال التكسير والهدم والنظافة والتشوينات من مواد </v>
      </c>
      <c r="E2135" s="142"/>
      <c r="F2135" s="133">
        <v>3904</v>
      </c>
      <c r="G2135" s="133"/>
      <c r="H2135" s="134">
        <f t="shared" si="97"/>
        <v>3904</v>
      </c>
      <c r="I2135" s="134">
        <f t="shared" si="97"/>
        <v>0</v>
      </c>
      <c r="J2135" s="134">
        <f t="shared" si="96"/>
        <v>3904</v>
      </c>
      <c r="K2135" s="135"/>
      <c r="L2135" s="136" t="str">
        <f t="shared" si="98"/>
        <v>مدين</v>
      </c>
      <c r="M2135" s="137" t="str">
        <f>IF(ISERROR(VLOOKUP(C2135,'[1]خريطة الحسابات'!_xlnm.Print_Area,4,FALSE))," ",(VLOOKUP(C2135,'[1]خريطة الحسابات'!_xlnm.Print_Area,4,FALSE)))</f>
        <v>تكاليف مشروع سوديك  341</v>
      </c>
      <c r="N2135" s="138" t="str">
        <f>IF(ISERROR(VLOOKUP(C2135,'[1]خريطة الحسابات'!_xlnm.Print_Area,5,FALSE))," ",(VLOOKUP(C2135,'[1]خريطة الحسابات'!_xlnm.Print_Area,5,FALSE)))</f>
        <v xml:space="preserve">تكاليف العمليات </v>
      </c>
      <c r="O2135" s="84" t="s">
        <v>2277</v>
      </c>
      <c r="P2135" s="84" t="s">
        <v>1290</v>
      </c>
    </row>
    <row r="2136" spans="1:16">
      <c r="A2136" s="151">
        <v>67</v>
      </c>
      <c r="B2136" s="131">
        <v>46139</v>
      </c>
      <c r="C2136" s="150" t="s">
        <v>77</v>
      </c>
      <c r="D2136" s="140" t="str">
        <f>IF(ISERROR(VLOOKUP(C2136,'[1]خريطة الحسابات'!_xlnm.Print_Area,3,FALSE))," ",(VLOOKUP(C2136,'[1]خريطة الحسابات'!_xlnm.Print_Area,3,FALSE)))</f>
        <v xml:space="preserve">اعمال التكسير والهدم والنظافة والتشوينات من مواد </v>
      </c>
      <c r="E2136" s="142"/>
      <c r="F2136" s="133">
        <v>25</v>
      </c>
      <c r="G2136" s="133"/>
      <c r="H2136" s="134">
        <f t="shared" si="97"/>
        <v>25</v>
      </c>
      <c r="I2136" s="134">
        <f t="shared" si="97"/>
        <v>0</v>
      </c>
      <c r="J2136" s="134">
        <f t="shared" ref="J2136:J2199" si="99">H2136-I2136</f>
        <v>25</v>
      </c>
      <c r="K2136" s="135"/>
      <c r="L2136" s="136" t="str">
        <f t="shared" si="98"/>
        <v>مدين</v>
      </c>
      <c r="M2136" s="137" t="str">
        <f>IF(ISERROR(VLOOKUP(C2136,'[1]خريطة الحسابات'!_xlnm.Print_Area,4,FALSE))," ",(VLOOKUP(C2136,'[1]خريطة الحسابات'!_xlnm.Print_Area,4,FALSE)))</f>
        <v>تكاليف مشروع سوديك  341</v>
      </c>
      <c r="N2136" s="138" t="str">
        <f>IF(ISERROR(VLOOKUP(C2136,'[1]خريطة الحسابات'!_xlnm.Print_Area,5,FALSE))," ",(VLOOKUP(C2136,'[1]خريطة الحسابات'!_xlnm.Print_Area,5,FALSE)))</f>
        <v xml:space="preserve">تكاليف العمليات </v>
      </c>
      <c r="O2136" s="84" t="s">
        <v>2278</v>
      </c>
      <c r="P2136" s="84" t="s">
        <v>1290</v>
      </c>
    </row>
    <row r="2137" spans="1:16">
      <c r="A2137" s="151">
        <v>67</v>
      </c>
      <c r="B2137" s="131">
        <v>46144</v>
      </c>
      <c r="C2137" s="150" t="s">
        <v>77</v>
      </c>
      <c r="D2137" s="140" t="str">
        <f>IF(ISERROR(VLOOKUP(C2137,'[1]خريطة الحسابات'!_xlnm.Print_Area,3,FALSE))," ",(VLOOKUP(C2137,'[1]خريطة الحسابات'!_xlnm.Print_Area,3,FALSE)))</f>
        <v xml:space="preserve">اعمال التكسير والهدم والنظافة والتشوينات من مواد </v>
      </c>
      <c r="E2137" s="142"/>
      <c r="F2137" s="133">
        <v>100</v>
      </c>
      <c r="G2137" s="133"/>
      <c r="H2137" s="134">
        <f t="shared" ref="H2137:I2200" si="100">IF($E2137=2,F2137*3.465,F2137)</f>
        <v>100</v>
      </c>
      <c r="I2137" s="134">
        <f t="shared" si="100"/>
        <v>0</v>
      </c>
      <c r="J2137" s="134">
        <f t="shared" si="99"/>
        <v>100</v>
      </c>
      <c r="K2137" s="135"/>
      <c r="L2137" s="136" t="str">
        <f t="shared" si="98"/>
        <v>مدين</v>
      </c>
      <c r="M2137" s="137" t="str">
        <f>IF(ISERROR(VLOOKUP(C2137,'[1]خريطة الحسابات'!_xlnm.Print_Area,4,FALSE))," ",(VLOOKUP(C2137,'[1]خريطة الحسابات'!_xlnm.Print_Area,4,FALSE)))</f>
        <v>تكاليف مشروع سوديك  341</v>
      </c>
      <c r="N2137" s="138" t="str">
        <f>IF(ISERROR(VLOOKUP(C2137,'[1]خريطة الحسابات'!_xlnm.Print_Area,5,FALSE))," ",(VLOOKUP(C2137,'[1]خريطة الحسابات'!_xlnm.Print_Area,5,FALSE)))</f>
        <v xml:space="preserve">تكاليف العمليات </v>
      </c>
      <c r="O2137" s="84" t="s">
        <v>2279</v>
      </c>
      <c r="P2137" s="84" t="s">
        <v>1290</v>
      </c>
    </row>
    <row r="2138" spans="1:16">
      <c r="A2138" s="151">
        <v>67</v>
      </c>
      <c r="B2138" s="131">
        <v>46146</v>
      </c>
      <c r="C2138" s="150" t="s">
        <v>77</v>
      </c>
      <c r="D2138" s="140" t="str">
        <f>IF(ISERROR(VLOOKUP(C2138,'[1]خريطة الحسابات'!_xlnm.Print_Area,3,FALSE))," ",(VLOOKUP(C2138,'[1]خريطة الحسابات'!_xlnm.Print_Area,3,FALSE)))</f>
        <v xml:space="preserve">اعمال التكسير والهدم والنظافة والتشوينات من مواد </v>
      </c>
      <c r="E2138" s="142"/>
      <c r="F2138" s="133">
        <v>500</v>
      </c>
      <c r="G2138" s="133"/>
      <c r="H2138" s="134">
        <f t="shared" si="100"/>
        <v>500</v>
      </c>
      <c r="I2138" s="134">
        <f t="shared" si="100"/>
        <v>0</v>
      </c>
      <c r="J2138" s="134">
        <f t="shared" si="99"/>
        <v>500</v>
      </c>
      <c r="K2138" s="135"/>
      <c r="L2138" s="136" t="str">
        <f t="shared" si="98"/>
        <v>مدين</v>
      </c>
      <c r="M2138" s="137" t="str">
        <f>IF(ISERROR(VLOOKUP(C2138,'[1]خريطة الحسابات'!_xlnm.Print_Area,4,FALSE))," ",(VLOOKUP(C2138,'[1]خريطة الحسابات'!_xlnm.Print_Area,4,FALSE)))</f>
        <v>تكاليف مشروع سوديك  341</v>
      </c>
      <c r="N2138" s="138" t="str">
        <f>IF(ISERROR(VLOOKUP(C2138,'[1]خريطة الحسابات'!_xlnm.Print_Area,5,FALSE))," ",(VLOOKUP(C2138,'[1]خريطة الحسابات'!_xlnm.Print_Area,5,FALSE)))</f>
        <v xml:space="preserve">تكاليف العمليات </v>
      </c>
      <c r="O2138" s="84" t="s">
        <v>2280</v>
      </c>
      <c r="P2138" s="84" t="s">
        <v>1290</v>
      </c>
    </row>
    <row r="2139" spans="1:16">
      <c r="A2139" s="151">
        <v>67</v>
      </c>
      <c r="B2139" s="131">
        <v>46147</v>
      </c>
      <c r="C2139" s="150" t="s">
        <v>77</v>
      </c>
      <c r="D2139" s="140" t="str">
        <f>IF(ISERROR(VLOOKUP(C2139,'[1]خريطة الحسابات'!_xlnm.Print_Area,3,FALSE))," ",(VLOOKUP(C2139,'[1]خريطة الحسابات'!_xlnm.Print_Area,3,FALSE)))</f>
        <v xml:space="preserve">اعمال التكسير والهدم والنظافة والتشوينات من مواد </v>
      </c>
      <c r="E2139" s="142"/>
      <c r="F2139" s="133">
        <v>516</v>
      </c>
      <c r="G2139" s="133"/>
      <c r="H2139" s="134">
        <f t="shared" si="100"/>
        <v>516</v>
      </c>
      <c r="I2139" s="134">
        <f t="shared" si="100"/>
        <v>0</v>
      </c>
      <c r="J2139" s="134">
        <f t="shared" si="99"/>
        <v>516</v>
      </c>
      <c r="K2139" s="135"/>
      <c r="L2139" s="136" t="str">
        <f t="shared" ref="L2139:L2202" si="101">IF(J2139&lt;0,"دائن",IF(J2139&gt;0,"مدين",""))</f>
        <v>مدين</v>
      </c>
      <c r="M2139" s="137" t="str">
        <f>IF(ISERROR(VLOOKUP(C2139,'[1]خريطة الحسابات'!_xlnm.Print_Area,4,FALSE))," ",(VLOOKUP(C2139,'[1]خريطة الحسابات'!_xlnm.Print_Area,4,FALSE)))</f>
        <v>تكاليف مشروع سوديك  341</v>
      </c>
      <c r="N2139" s="138" t="str">
        <f>IF(ISERROR(VLOOKUP(C2139,'[1]خريطة الحسابات'!_xlnm.Print_Area,5,FALSE))," ",(VLOOKUP(C2139,'[1]خريطة الحسابات'!_xlnm.Print_Area,5,FALSE)))</f>
        <v xml:space="preserve">تكاليف العمليات </v>
      </c>
      <c r="O2139" s="84" t="s">
        <v>2281</v>
      </c>
      <c r="P2139" s="84" t="s">
        <v>1290</v>
      </c>
    </row>
    <row r="2140" spans="1:16">
      <c r="A2140" s="151">
        <v>67</v>
      </c>
      <c r="B2140" s="131">
        <v>46151</v>
      </c>
      <c r="C2140" s="150" t="s">
        <v>77</v>
      </c>
      <c r="D2140" s="140" t="str">
        <f>IF(ISERROR(VLOOKUP(C2140,'[1]خريطة الحسابات'!_xlnm.Print_Area,3,FALSE))," ",(VLOOKUP(C2140,'[1]خريطة الحسابات'!_xlnm.Print_Area,3,FALSE)))</f>
        <v xml:space="preserve">اعمال التكسير والهدم والنظافة والتشوينات من مواد </v>
      </c>
      <c r="E2140" s="142"/>
      <c r="F2140" s="133">
        <v>145</v>
      </c>
      <c r="G2140" s="133"/>
      <c r="H2140" s="134">
        <f t="shared" si="100"/>
        <v>145</v>
      </c>
      <c r="I2140" s="134">
        <f t="shared" si="100"/>
        <v>0</v>
      </c>
      <c r="J2140" s="134">
        <f t="shared" si="99"/>
        <v>145</v>
      </c>
      <c r="K2140" s="135"/>
      <c r="L2140" s="136" t="str">
        <f t="shared" si="101"/>
        <v>مدين</v>
      </c>
      <c r="M2140" s="137" t="str">
        <f>IF(ISERROR(VLOOKUP(C2140,'[1]خريطة الحسابات'!_xlnm.Print_Area,4,FALSE))," ",(VLOOKUP(C2140,'[1]خريطة الحسابات'!_xlnm.Print_Area,4,FALSE)))</f>
        <v>تكاليف مشروع سوديك  341</v>
      </c>
      <c r="N2140" s="138" t="str">
        <f>IF(ISERROR(VLOOKUP(C2140,'[1]خريطة الحسابات'!_xlnm.Print_Area,5,FALSE))," ",(VLOOKUP(C2140,'[1]خريطة الحسابات'!_xlnm.Print_Area,5,FALSE)))</f>
        <v xml:space="preserve">تكاليف العمليات </v>
      </c>
      <c r="O2140" s="84" t="s">
        <v>2282</v>
      </c>
      <c r="P2140" s="84" t="s">
        <v>1290</v>
      </c>
    </row>
    <row r="2141" spans="1:16">
      <c r="A2141" s="151">
        <v>67</v>
      </c>
      <c r="B2141" s="131">
        <v>46154</v>
      </c>
      <c r="C2141" s="150" t="s">
        <v>77</v>
      </c>
      <c r="D2141" s="140" t="str">
        <f>IF(ISERROR(VLOOKUP(C2141,'[1]خريطة الحسابات'!_xlnm.Print_Area,3,FALSE))," ",(VLOOKUP(C2141,'[1]خريطة الحسابات'!_xlnm.Print_Area,3,FALSE)))</f>
        <v xml:space="preserve">اعمال التكسير والهدم والنظافة والتشوينات من مواد </v>
      </c>
      <c r="E2141" s="142"/>
      <c r="F2141" s="133">
        <v>1600</v>
      </c>
      <c r="G2141" s="133"/>
      <c r="H2141" s="134">
        <f t="shared" si="100"/>
        <v>1600</v>
      </c>
      <c r="I2141" s="134">
        <f t="shared" si="100"/>
        <v>0</v>
      </c>
      <c r="J2141" s="134">
        <f t="shared" si="99"/>
        <v>1600</v>
      </c>
      <c r="K2141" s="135"/>
      <c r="L2141" s="136" t="str">
        <f t="shared" si="101"/>
        <v>مدين</v>
      </c>
      <c r="M2141" s="137" t="str">
        <f>IF(ISERROR(VLOOKUP(C2141,'[1]خريطة الحسابات'!_xlnm.Print_Area,4,FALSE))," ",(VLOOKUP(C2141,'[1]خريطة الحسابات'!_xlnm.Print_Area,4,FALSE)))</f>
        <v>تكاليف مشروع سوديك  341</v>
      </c>
      <c r="N2141" s="138" t="str">
        <f>IF(ISERROR(VLOOKUP(C2141,'[1]خريطة الحسابات'!_xlnm.Print_Area,5,FALSE))," ",(VLOOKUP(C2141,'[1]خريطة الحسابات'!_xlnm.Print_Area,5,FALSE)))</f>
        <v xml:space="preserve">تكاليف العمليات </v>
      </c>
      <c r="O2141" s="84" t="s">
        <v>2283</v>
      </c>
      <c r="P2141" s="84" t="s">
        <v>1290</v>
      </c>
    </row>
    <row r="2142" spans="1:16">
      <c r="A2142" s="151">
        <v>67</v>
      </c>
      <c r="B2142" s="131">
        <v>46158</v>
      </c>
      <c r="C2142" s="150" t="s">
        <v>77</v>
      </c>
      <c r="D2142" s="140" t="str">
        <f>IF(ISERROR(VLOOKUP(C2142,'[1]خريطة الحسابات'!_xlnm.Print_Area,3,FALSE))," ",(VLOOKUP(C2142,'[1]خريطة الحسابات'!_xlnm.Print_Area,3,FALSE)))</f>
        <v xml:space="preserve">اعمال التكسير والهدم والنظافة والتشوينات من مواد </v>
      </c>
      <c r="E2142" s="142"/>
      <c r="F2142" s="133">
        <v>700</v>
      </c>
      <c r="G2142" s="133"/>
      <c r="H2142" s="134">
        <f t="shared" si="100"/>
        <v>700</v>
      </c>
      <c r="I2142" s="134">
        <f t="shared" si="100"/>
        <v>0</v>
      </c>
      <c r="J2142" s="134">
        <f t="shared" si="99"/>
        <v>700</v>
      </c>
      <c r="K2142" s="135"/>
      <c r="L2142" s="136" t="str">
        <f t="shared" si="101"/>
        <v>مدين</v>
      </c>
      <c r="M2142" s="137" t="str">
        <f>IF(ISERROR(VLOOKUP(C2142,'[1]خريطة الحسابات'!_xlnm.Print_Area,4,FALSE))," ",(VLOOKUP(C2142,'[1]خريطة الحسابات'!_xlnm.Print_Area,4,FALSE)))</f>
        <v>تكاليف مشروع سوديك  341</v>
      </c>
      <c r="N2142" s="138" t="str">
        <f>IF(ISERROR(VLOOKUP(C2142,'[1]خريطة الحسابات'!_xlnm.Print_Area,5,FALSE))," ",(VLOOKUP(C2142,'[1]خريطة الحسابات'!_xlnm.Print_Area,5,FALSE)))</f>
        <v xml:space="preserve">تكاليف العمليات </v>
      </c>
      <c r="O2142" s="84" t="s">
        <v>2284</v>
      </c>
      <c r="P2142" s="84" t="s">
        <v>1290</v>
      </c>
    </row>
    <row r="2143" spans="1:16">
      <c r="A2143" s="151">
        <v>67</v>
      </c>
      <c r="B2143" s="131">
        <v>46176</v>
      </c>
      <c r="C2143" s="150" t="s">
        <v>77</v>
      </c>
      <c r="D2143" s="140" t="str">
        <f>IF(ISERROR(VLOOKUP(C2143,'[1]خريطة الحسابات'!_xlnm.Print_Area,3,FALSE))," ",(VLOOKUP(C2143,'[1]خريطة الحسابات'!_xlnm.Print_Area,3,FALSE)))</f>
        <v xml:space="preserve">اعمال التكسير والهدم والنظافة والتشوينات من مواد </v>
      </c>
      <c r="E2143" s="142"/>
      <c r="F2143" s="133">
        <v>4305</v>
      </c>
      <c r="G2143" s="133"/>
      <c r="H2143" s="134">
        <f t="shared" si="100"/>
        <v>4305</v>
      </c>
      <c r="I2143" s="134">
        <f t="shared" si="100"/>
        <v>0</v>
      </c>
      <c r="J2143" s="134">
        <f t="shared" si="99"/>
        <v>4305</v>
      </c>
      <c r="K2143" s="135"/>
      <c r="L2143" s="136" t="str">
        <f t="shared" si="101"/>
        <v>مدين</v>
      </c>
      <c r="M2143" s="137" t="str">
        <f>IF(ISERROR(VLOOKUP(C2143,'[1]خريطة الحسابات'!_xlnm.Print_Area,4,FALSE))," ",(VLOOKUP(C2143,'[1]خريطة الحسابات'!_xlnm.Print_Area,4,FALSE)))</f>
        <v>تكاليف مشروع سوديك  341</v>
      </c>
      <c r="N2143" s="138" t="str">
        <f>IF(ISERROR(VLOOKUP(C2143,'[1]خريطة الحسابات'!_xlnm.Print_Area,5,FALSE))," ",(VLOOKUP(C2143,'[1]خريطة الحسابات'!_xlnm.Print_Area,5,FALSE)))</f>
        <v xml:space="preserve">تكاليف العمليات </v>
      </c>
      <c r="O2143" s="84" t="s">
        <v>2285</v>
      </c>
      <c r="P2143" s="84" t="s">
        <v>1290</v>
      </c>
    </row>
    <row r="2144" spans="1:16">
      <c r="A2144" s="151">
        <v>67</v>
      </c>
      <c r="B2144" s="131">
        <v>46177</v>
      </c>
      <c r="C2144" s="150" t="s">
        <v>77</v>
      </c>
      <c r="D2144" s="140" t="str">
        <f>IF(ISERROR(VLOOKUP(C2144,'[1]خريطة الحسابات'!_xlnm.Print_Area,3,FALSE))," ",(VLOOKUP(C2144,'[1]خريطة الحسابات'!_xlnm.Print_Area,3,FALSE)))</f>
        <v xml:space="preserve">اعمال التكسير والهدم والنظافة والتشوينات من مواد </v>
      </c>
      <c r="E2144" s="142"/>
      <c r="F2144" s="133">
        <v>3303</v>
      </c>
      <c r="G2144" s="133"/>
      <c r="H2144" s="134">
        <f t="shared" si="100"/>
        <v>3303</v>
      </c>
      <c r="I2144" s="134">
        <f t="shared" si="100"/>
        <v>0</v>
      </c>
      <c r="J2144" s="134">
        <f t="shared" si="99"/>
        <v>3303</v>
      </c>
      <c r="K2144" s="135"/>
      <c r="L2144" s="136" t="str">
        <f t="shared" si="101"/>
        <v>مدين</v>
      </c>
      <c r="M2144" s="137" t="str">
        <f>IF(ISERROR(VLOOKUP(C2144,'[1]خريطة الحسابات'!_xlnm.Print_Area,4,FALSE))," ",(VLOOKUP(C2144,'[1]خريطة الحسابات'!_xlnm.Print_Area,4,FALSE)))</f>
        <v>تكاليف مشروع سوديك  341</v>
      </c>
      <c r="N2144" s="138" t="str">
        <f>IF(ISERROR(VLOOKUP(C2144,'[1]خريطة الحسابات'!_xlnm.Print_Area,5,FALSE))," ",(VLOOKUP(C2144,'[1]خريطة الحسابات'!_xlnm.Print_Area,5,FALSE)))</f>
        <v xml:space="preserve">تكاليف العمليات </v>
      </c>
      <c r="O2144" s="84" t="s">
        <v>2286</v>
      </c>
      <c r="P2144" s="84" t="s">
        <v>1290</v>
      </c>
    </row>
    <row r="2145" spans="1:16">
      <c r="A2145" s="151">
        <v>67</v>
      </c>
      <c r="B2145" s="131">
        <v>46177</v>
      </c>
      <c r="C2145" s="150" t="s">
        <v>77</v>
      </c>
      <c r="D2145" s="140" t="str">
        <f>IF(ISERROR(VLOOKUP(C2145,'[1]خريطة الحسابات'!_xlnm.Print_Area,3,FALSE))," ",(VLOOKUP(C2145,'[1]خريطة الحسابات'!_xlnm.Print_Area,3,FALSE)))</f>
        <v xml:space="preserve">اعمال التكسير والهدم والنظافة والتشوينات من مواد </v>
      </c>
      <c r="E2145" s="142"/>
      <c r="F2145" s="133">
        <v>272</v>
      </c>
      <c r="G2145" s="133"/>
      <c r="H2145" s="134">
        <f t="shared" si="100"/>
        <v>272</v>
      </c>
      <c r="I2145" s="134">
        <f t="shared" si="100"/>
        <v>0</v>
      </c>
      <c r="J2145" s="134">
        <f t="shared" si="99"/>
        <v>272</v>
      </c>
      <c r="K2145" s="135"/>
      <c r="L2145" s="136" t="str">
        <f t="shared" si="101"/>
        <v>مدين</v>
      </c>
      <c r="M2145" s="137" t="str">
        <f>IF(ISERROR(VLOOKUP(C2145,'[1]خريطة الحسابات'!_xlnm.Print_Area,4,FALSE))," ",(VLOOKUP(C2145,'[1]خريطة الحسابات'!_xlnm.Print_Area,4,FALSE)))</f>
        <v>تكاليف مشروع سوديك  341</v>
      </c>
      <c r="N2145" s="138" t="str">
        <f>IF(ISERROR(VLOOKUP(C2145,'[1]خريطة الحسابات'!_xlnm.Print_Area,5,FALSE))," ",(VLOOKUP(C2145,'[1]خريطة الحسابات'!_xlnm.Print_Area,5,FALSE)))</f>
        <v xml:space="preserve">تكاليف العمليات </v>
      </c>
      <c r="O2145" s="84" t="s">
        <v>2287</v>
      </c>
      <c r="P2145" s="84" t="s">
        <v>1290</v>
      </c>
    </row>
    <row r="2146" spans="1:16">
      <c r="A2146" s="151">
        <v>67</v>
      </c>
      <c r="B2146" s="131">
        <v>46182</v>
      </c>
      <c r="C2146" s="150" t="s">
        <v>77</v>
      </c>
      <c r="D2146" s="140" t="str">
        <f>IF(ISERROR(VLOOKUP(C2146,'[1]خريطة الحسابات'!_xlnm.Print_Area,3,FALSE))," ",(VLOOKUP(C2146,'[1]خريطة الحسابات'!_xlnm.Print_Area,3,FALSE)))</f>
        <v xml:space="preserve">اعمال التكسير والهدم والنظافة والتشوينات من مواد </v>
      </c>
      <c r="E2146" s="142"/>
      <c r="F2146" s="133">
        <v>1202</v>
      </c>
      <c r="G2146" s="133"/>
      <c r="H2146" s="134">
        <f t="shared" si="100"/>
        <v>1202</v>
      </c>
      <c r="I2146" s="134">
        <f t="shared" si="100"/>
        <v>0</v>
      </c>
      <c r="J2146" s="134">
        <f t="shared" si="99"/>
        <v>1202</v>
      </c>
      <c r="K2146" s="135"/>
      <c r="L2146" s="136" t="str">
        <f t="shared" si="101"/>
        <v>مدين</v>
      </c>
      <c r="M2146" s="137" t="str">
        <f>IF(ISERROR(VLOOKUP(C2146,'[1]خريطة الحسابات'!_xlnm.Print_Area,4,FALSE))," ",(VLOOKUP(C2146,'[1]خريطة الحسابات'!_xlnm.Print_Area,4,FALSE)))</f>
        <v>تكاليف مشروع سوديك  341</v>
      </c>
      <c r="N2146" s="138" t="str">
        <f>IF(ISERROR(VLOOKUP(C2146,'[1]خريطة الحسابات'!_xlnm.Print_Area,5,FALSE))," ",(VLOOKUP(C2146,'[1]خريطة الحسابات'!_xlnm.Print_Area,5,FALSE)))</f>
        <v xml:space="preserve">تكاليف العمليات </v>
      </c>
      <c r="O2146" s="84" t="s">
        <v>2288</v>
      </c>
      <c r="P2146" s="84" t="s">
        <v>1290</v>
      </c>
    </row>
    <row r="2147" spans="1:16">
      <c r="A2147" s="151">
        <v>67</v>
      </c>
      <c r="B2147" s="131">
        <v>46182</v>
      </c>
      <c r="C2147" s="150" t="s">
        <v>77</v>
      </c>
      <c r="D2147" s="140" t="str">
        <f>IF(ISERROR(VLOOKUP(C2147,'[1]خريطة الحسابات'!_xlnm.Print_Area,3,FALSE))," ",(VLOOKUP(C2147,'[1]خريطة الحسابات'!_xlnm.Print_Area,3,FALSE)))</f>
        <v xml:space="preserve">اعمال التكسير والهدم والنظافة والتشوينات من مواد </v>
      </c>
      <c r="E2147" s="142"/>
      <c r="F2147" s="133">
        <v>4205</v>
      </c>
      <c r="G2147" s="133"/>
      <c r="H2147" s="134">
        <f t="shared" si="100"/>
        <v>4205</v>
      </c>
      <c r="I2147" s="134">
        <f t="shared" si="100"/>
        <v>0</v>
      </c>
      <c r="J2147" s="134">
        <f t="shared" si="99"/>
        <v>4205</v>
      </c>
      <c r="K2147" s="135"/>
      <c r="L2147" s="136" t="str">
        <f t="shared" si="101"/>
        <v>مدين</v>
      </c>
      <c r="M2147" s="137" t="str">
        <f>IF(ISERROR(VLOOKUP(C2147,'[1]خريطة الحسابات'!_xlnm.Print_Area,4,FALSE))," ",(VLOOKUP(C2147,'[1]خريطة الحسابات'!_xlnm.Print_Area,4,FALSE)))</f>
        <v>تكاليف مشروع سوديك  341</v>
      </c>
      <c r="N2147" s="138" t="str">
        <f>IF(ISERROR(VLOOKUP(C2147,'[1]خريطة الحسابات'!_xlnm.Print_Area,5,FALSE))," ",(VLOOKUP(C2147,'[1]خريطة الحسابات'!_xlnm.Print_Area,5,FALSE)))</f>
        <v xml:space="preserve">تكاليف العمليات </v>
      </c>
      <c r="O2147" s="84" t="s">
        <v>2289</v>
      </c>
      <c r="P2147" s="84" t="s">
        <v>1290</v>
      </c>
    </row>
    <row r="2148" spans="1:16">
      <c r="A2148" s="151">
        <v>67</v>
      </c>
      <c r="B2148" s="131">
        <v>46027</v>
      </c>
      <c r="C2148" s="150" t="s">
        <v>771</v>
      </c>
      <c r="D2148" s="140" t="str">
        <f>IF(ISERROR(VLOOKUP(C2148,'[1]خريطة الحسابات'!_xlnm.Print_Area,3,FALSE))," ",(VLOOKUP(C2148,'[1]خريطة الحسابات'!_xlnm.Print_Area,3,FALSE)))</f>
        <v>اعمال التكسير والهدم والنظافة</v>
      </c>
      <c r="E2148" s="142"/>
      <c r="F2148" s="133">
        <v>600</v>
      </c>
      <c r="G2148" s="133"/>
      <c r="H2148" s="134">
        <f t="shared" si="100"/>
        <v>600</v>
      </c>
      <c r="I2148" s="134">
        <f t="shared" si="100"/>
        <v>0</v>
      </c>
      <c r="J2148" s="134">
        <f t="shared" si="99"/>
        <v>600</v>
      </c>
      <c r="K2148" s="135"/>
      <c r="L2148" s="136" t="str">
        <f t="shared" si="101"/>
        <v>مدين</v>
      </c>
      <c r="M2148" s="137" t="str">
        <f>IF(ISERROR(VLOOKUP(C2148,'[1]خريطة الحسابات'!_xlnm.Print_Area,4,FALSE))," ",(VLOOKUP(C2148,'[1]خريطة الحسابات'!_xlnm.Print_Area,4,FALSE)))</f>
        <v>388 تكاليف مشروع الدقي</v>
      </c>
      <c r="N2148" s="138" t="str">
        <f>IF(ISERROR(VLOOKUP(C2148,'[1]خريطة الحسابات'!_xlnm.Print_Area,5,FALSE))," ",(VLOOKUP(C2148,'[1]خريطة الحسابات'!_xlnm.Print_Area,5,FALSE)))</f>
        <v xml:space="preserve">تكاليف العمليات </v>
      </c>
      <c r="O2148" s="84" t="s">
        <v>2290</v>
      </c>
      <c r="P2148" s="84" t="s">
        <v>1315</v>
      </c>
    </row>
    <row r="2149" spans="1:16">
      <c r="A2149" s="151">
        <v>67</v>
      </c>
      <c r="B2149" s="131">
        <v>46033</v>
      </c>
      <c r="C2149" s="150" t="s">
        <v>771</v>
      </c>
      <c r="D2149" s="140" t="str">
        <f>IF(ISERROR(VLOOKUP(C2149,'[1]خريطة الحسابات'!_xlnm.Print_Area,3,FALSE))," ",(VLOOKUP(C2149,'[1]خريطة الحسابات'!_xlnm.Print_Area,3,FALSE)))</f>
        <v>اعمال التكسير والهدم والنظافة</v>
      </c>
      <c r="E2149" s="142"/>
      <c r="F2149" s="133">
        <v>2555</v>
      </c>
      <c r="G2149" s="133"/>
      <c r="H2149" s="134">
        <f t="shared" si="100"/>
        <v>2555</v>
      </c>
      <c r="I2149" s="134">
        <f t="shared" si="100"/>
        <v>0</v>
      </c>
      <c r="J2149" s="134">
        <f t="shared" si="99"/>
        <v>2555</v>
      </c>
      <c r="K2149" s="135"/>
      <c r="L2149" s="136" t="str">
        <f t="shared" si="101"/>
        <v>مدين</v>
      </c>
      <c r="M2149" s="137" t="str">
        <f>IF(ISERROR(VLOOKUP(C2149,'[1]خريطة الحسابات'!_xlnm.Print_Area,4,FALSE))," ",(VLOOKUP(C2149,'[1]خريطة الحسابات'!_xlnm.Print_Area,4,FALSE)))</f>
        <v>388 تكاليف مشروع الدقي</v>
      </c>
      <c r="N2149" s="138" t="str">
        <f>IF(ISERROR(VLOOKUP(C2149,'[1]خريطة الحسابات'!_xlnm.Print_Area,5,FALSE))," ",(VLOOKUP(C2149,'[1]خريطة الحسابات'!_xlnm.Print_Area,5,FALSE)))</f>
        <v xml:space="preserve">تكاليف العمليات </v>
      </c>
      <c r="O2149" s="84" t="s">
        <v>2291</v>
      </c>
      <c r="P2149" s="84" t="s">
        <v>1315</v>
      </c>
    </row>
    <row r="2150" spans="1:16">
      <c r="A2150" s="151">
        <v>67</v>
      </c>
      <c r="B2150" s="131">
        <v>46036</v>
      </c>
      <c r="C2150" s="150" t="s">
        <v>771</v>
      </c>
      <c r="D2150" s="140" t="str">
        <f>IF(ISERROR(VLOOKUP(C2150,'[1]خريطة الحسابات'!_xlnm.Print_Area,3,FALSE))," ",(VLOOKUP(C2150,'[1]خريطة الحسابات'!_xlnm.Print_Area,3,FALSE)))</f>
        <v>اعمال التكسير والهدم والنظافة</v>
      </c>
      <c r="E2150" s="142"/>
      <c r="F2150" s="133">
        <v>3850</v>
      </c>
      <c r="G2150" s="133"/>
      <c r="H2150" s="134">
        <f t="shared" si="100"/>
        <v>3850</v>
      </c>
      <c r="I2150" s="134">
        <f t="shared" si="100"/>
        <v>0</v>
      </c>
      <c r="J2150" s="134">
        <f t="shared" si="99"/>
        <v>3850</v>
      </c>
      <c r="K2150" s="135"/>
      <c r="L2150" s="136" t="str">
        <f t="shared" si="101"/>
        <v>مدين</v>
      </c>
      <c r="M2150" s="137" t="str">
        <f>IF(ISERROR(VLOOKUP(C2150,'[1]خريطة الحسابات'!_xlnm.Print_Area,4,FALSE))," ",(VLOOKUP(C2150,'[1]خريطة الحسابات'!_xlnm.Print_Area,4,FALSE)))</f>
        <v>388 تكاليف مشروع الدقي</v>
      </c>
      <c r="N2150" s="138" t="str">
        <f>IF(ISERROR(VLOOKUP(C2150,'[1]خريطة الحسابات'!_xlnm.Print_Area,5,FALSE))," ",(VLOOKUP(C2150,'[1]خريطة الحسابات'!_xlnm.Print_Area,5,FALSE)))</f>
        <v xml:space="preserve">تكاليف العمليات </v>
      </c>
      <c r="O2150" s="84" t="s">
        <v>2292</v>
      </c>
      <c r="P2150" s="84" t="s">
        <v>1315</v>
      </c>
    </row>
    <row r="2151" spans="1:16">
      <c r="A2151" s="151">
        <v>67</v>
      </c>
      <c r="B2151" s="131">
        <v>46042</v>
      </c>
      <c r="C2151" s="150" t="s">
        <v>771</v>
      </c>
      <c r="D2151" s="140" t="str">
        <f>IF(ISERROR(VLOOKUP(C2151,'[1]خريطة الحسابات'!_xlnm.Print_Area,3,FALSE))," ",(VLOOKUP(C2151,'[1]خريطة الحسابات'!_xlnm.Print_Area,3,FALSE)))</f>
        <v>اعمال التكسير والهدم والنظافة</v>
      </c>
      <c r="E2151" s="142"/>
      <c r="F2151" s="133">
        <v>50</v>
      </c>
      <c r="G2151" s="133"/>
      <c r="H2151" s="134">
        <f t="shared" si="100"/>
        <v>50</v>
      </c>
      <c r="I2151" s="134">
        <f t="shared" si="100"/>
        <v>0</v>
      </c>
      <c r="J2151" s="134">
        <f t="shared" si="99"/>
        <v>50</v>
      </c>
      <c r="K2151" s="135"/>
      <c r="L2151" s="136" t="str">
        <f t="shared" si="101"/>
        <v>مدين</v>
      </c>
      <c r="M2151" s="137" t="str">
        <f>IF(ISERROR(VLOOKUP(C2151,'[1]خريطة الحسابات'!_xlnm.Print_Area,4,FALSE))," ",(VLOOKUP(C2151,'[1]خريطة الحسابات'!_xlnm.Print_Area,4,FALSE)))</f>
        <v>388 تكاليف مشروع الدقي</v>
      </c>
      <c r="N2151" s="138" t="str">
        <f>IF(ISERROR(VLOOKUP(C2151,'[1]خريطة الحسابات'!_xlnm.Print_Area,5,FALSE))," ",(VLOOKUP(C2151,'[1]خريطة الحسابات'!_xlnm.Print_Area,5,FALSE)))</f>
        <v xml:space="preserve">تكاليف العمليات </v>
      </c>
      <c r="O2151" s="84" t="s">
        <v>2293</v>
      </c>
      <c r="P2151" s="84" t="s">
        <v>1315</v>
      </c>
    </row>
    <row r="2152" spans="1:16">
      <c r="A2152" s="151">
        <v>67</v>
      </c>
      <c r="B2152" s="131">
        <v>46046</v>
      </c>
      <c r="C2152" s="150" t="s">
        <v>771</v>
      </c>
      <c r="D2152" s="140" t="str">
        <f>IF(ISERROR(VLOOKUP(C2152,'[1]خريطة الحسابات'!_xlnm.Print_Area,3,FALSE))," ",(VLOOKUP(C2152,'[1]خريطة الحسابات'!_xlnm.Print_Area,3,FALSE)))</f>
        <v>اعمال التكسير والهدم والنظافة</v>
      </c>
      <c r="E2152" s="142"/>
      <c r="F2152" s="133">
        <v>900</v>
      </c>
      <c r="G2152" s="133"/>
      <c r="H2152" s="134">
        <f t="shared" si="100"/>
        <v>900</v>
      </c>
      <c r="I2152" s="134">
        <f t="shared" si="100"/>
        <v>0</v>
      </c>
      <c r="J2152" s="134">
        <f t="shared" si="99"/>
        <v>900</v>
      </c>
      <c r="K2152" s="135"/>
      <c r="L2152" s="136" t="str">
        <f t="shared" si="101"/>
        <v>مدين</v>
      </c>
      <c r="M2152" s="137" t="str">
        <f>IF(ISERROR(VLOOKUP(C2152,'[1]خريطة الحسابات'!_xlnm.Print_Area,4,FALSE))," ",(VLOOKUP(C2152,'[1]خريطة الحسابات'!_xlnm.Print_Area,4,FALSE)))</f>
        <v>388 تكاليف مشروع الدقي</v>
      </c>
      <c r="N2152" s="138" t="str">
        <f>IF(ISERROR(VLOOKUP(C2152,'[1]خريطة الحسابات'!_xlnm.Print_Area,5,FALSE))," ",(VLOOKUP(C2152,'[1]خريطة الحسابات'!_xlnm.Print_Area,5,FALSE)))</f>
        <v xml:space="preserve">تكاليف العمليات </v>
      </c>
      <c r="O2152" s="84" t="s">
        <v>2294</v>
      </c>
      <c r="P2152" s="84" t="s">
        <v>1315</v>
      </c>
    </row>
    <row r="2153" spans="1:16">
      <c r="A2153" s="151">
        <v>67</v>
      </c>
      <c r="B2153" s="131">
        <v>46054</v>
      </c>
      <c r="C2153" s="150" t="s">
        <v>771</v>
      </c>
      <c r="D2153" s="140" t="str">
        <f>IF(ISERROR(VLOOKUP(C2153,'[1]خريطة الحسابات'!_xlnm.Print_Area,3,FALSE))," ",(VLOOKUP(C2153,'[1]خريطة الحسابات'!_xlnm.Print_Area,3,FALSE)))</f>
        <v>اعمال التكسير والهدم والنظافة</v>
      </c>
      <c r="E2153" s="142"/>
      <c r="F2153" s="133">
        <v>2002</v>
      </c>
      <c r="G2153" s="133"/>
      <c r="H2153" s="134">
        <f t="shared" si="100"/>
        <v>2002</v>
      </c>
      <c r="I2153" s="134">
        <f t="shared" si="100"/>
        <v>0</v>
      </c>
      <c r="J2153" s="134">
        <f t="shared" si="99"/>
        <v>2002</v>
      </c>
      <c r="K2153" s="135"/>
      <c r="L2153" s="136" t="str">
        <f t="shared" si="101"/>
        <v>مدين</v>
      </c>
      <c r="M2153" s="137" t="str">
        <f>IF(ISERROR(VLOOKUP(C2153,'[1]خريطة الحسابات'!_xlnm.Print_Area,4,FALSE))," ",(VLOOKUP(C2153,'[1]خريطة الحسابات'!_xlnm.Print_Area,4,FALSE)))</f>
        <v>388 تكاليف مشروع الدقي</v>
      </c>
      <c r="N2153" s="138" t="str">
        <f>IF(ISERROR(VLOOKUP(C2153,'[1]خريطة الحسابات'!_xlnm.Print_Area,5,FALSE))," ",(VLOOKUP(C2153,'[1]خريطة الحسابات'!_xlnm.Print_Area,5,FALSE)))</f>
        <v xml:space="preserve">تكاليف العمليات </v>
      </c>
      <c r="O2153" s="84" t="s">
        <v>2295</v>
      </c>
      <c r="P2153" s="84" t="s">
        <v>1315</v>
      </c>
    </row>
    <row r="2154" spans="1:16">
      <c r="A2154" s="151">
        <v>67</v>
      </c>
      <c r="B2154" s="131">
        <v>46065</v>
      </c>
      <c r="C2154" s="150" t="s">
        <v>771</v>
      </c>
      <c r="D2154" s="140" t="str">
        <f>IF(ISERROR(VLOOKUP(C2154,'[1]خريطة الحسابات'!_xlnm.Print_Area,3,FALSE))," ",(VLOOKUP(C2154,'[1]خريطة الحسابات'!_xlnm.Print_Area,3,FALSE)))</f>
        <v>اعمال التكسير والهدم والنظافة</v>
      </c>
      <c r="E2154" s="142"/>
      <c r="F2154" s="133">
        <v>1500</v>
      </c>
      <c r="G2154" s="133"/>
      <c r="H2154" s="134">
        <f t="shared" si="100"/>
        <v>1500</v>
      </c>
      <c r="I2154" s="134">
        <f t="shared" si="100"/>
        <v>0</v>
      </c>
      <c r="J2154" s="134">
        <f t="shared" si="99"/>
        <v>1500</v>
      </c>
      <c r="K2154" s="135"/>
      <c r="L2154" s="136" t="str">
        <f t="shared" si="101"/>
        <v>مدين</v>
      </c>
      <c r="M2154" s="137" t="str">
        <f>IF(ISERROR(VLOOKUP(C2154,'[1]خريطة الحسابات'!_xlnm.Print_Area,4,FALSE))," ",(VLOOKUP(C2154,'[1]خريطة الحسابات'!_xlnm.Print_Area,4,FALSE)))</f>
        <v>388 تكاليف مشروع الدقي</v>
      </c>
      <c r="N2154" s="138" t="str">
        <f>IF(ISERROR(VLOOKUP(C2154,'[1]خريطة الحسابات'!_xlnm.Print_Area,5,FALSE))," ",(VLOOKUP(C2154,'[1]خريطة الحسابات'!_xlnm.Print_Area,5,FALSE)))</f>
        <v xml:space="preserve">تكاليف العمليات </v>
      </c>
      <c r="O2154" s="84" t="s">
        <v>2296</v>
      </c>
      <c r="P2154" s="84" t="s">
        <v>1315</v>
      </c>
    </row>
    <row r="2155" spans="1:16">
      <c r="A2155" s="151">
        <v>67</v>
      </c>
      <c r="B2155" s="131">
        <v>46116</v>
      </c>
      <c r="C2155" s="150" t="s">
        <v>771</v>
      </c>
      <c r="D2155" s="140" t="str">
        <f>IF(ISERROR(VLOOKUP(C2155,'[1]خريطة الحسابات'!_xlnm.Print_Area,3,FALSE))," ",(VLOOKUP(C2155,'[1]خريطة الحسابات'!_xlnm.Print_Area,3,FALSE)))</f>
        <v>اعمال التكسير والهدم والنظافة</v>
      </c>
      <c r="E2155" s="142"/>
      <c r="F2155" s="133">
        <v>1902</v>
      </c>
      <c r="G2155" s="133"/>
      <c r="H2155" s="134">
        <f t="shared" si="100"/>
        <v>1902</v>
      </c>
      <c r="I2155" s="134">
        <f t="shared" si="100"/>
        <v>0</v>
      </c>
      <c r="J2155" s="134">
        <f t="shared" si="99"/>
        <v>1902</v>
      </c>
      <c r="K2155" s="135"/>
      <c r="L2155" s="136" t="str">
        <f t="shared" si="101"/>
        <v>مدين</v>
      </c>
      <c r="M2155" s="137" t="str">
        <f>IF(ISERROR(VLOOKUP(C2155,'[1]خريطة الحسابات'!_xlnm.Print_Area,4,FALSE))," ",(VLOOKUP(C2155,'[1]خريطة الحسابات'!_xlnm.Print_Area,4,FALSE)))</f>
        <v>388 تكاليف مشروع الدقي</v>
      </c>
      <c r="N2155" s="138" t="str">
        <f>IF(ISERROR(VLOOKUP(C2155,'[1]خريطة الحسابات'!_xlnm.Print_Area,5,FALSE))," ",(VLOOKUP(C2155,'[1]خريطة الحسابات'!_xlnm.Print_Area,5,FALSE)))</f>
        <v xml:space="preserve">تكاليف العمليات </v>
      </c>
      <c r="O2155" s="84" t="s">
        <v>2297</v>
      </c>
      <c r="P2155" s="84" t="s">
        <v>1315</v>
      </c>
    </row>
    <row r="2156" spans="1:16">
      <c r="A2156" s="151">
        <v>67</v>
      </c>
      <c r="B2156" s="131">
        <v>46075</v>
      </c>
      <c r="C2156" s="150" t="s">
        <v>912</v>
      </c>
      <c r="D2156" s="140" t="str">
        <f>IF(ISERROR(VLOOKUP(C2156,'[1]خريطة الحسابات'!_xlnm.Print_Area,3,FALSE))," ",(VLOOKUP(C2156,'[1]خريطة الحسابات'!_xlnm.Print_Area,3,FALSE)))</f>
        <v>اعمال التكسير والهدم والنظافة</v>
      </c>
      <c r="E2156" s="142"/>
      <c r="F2156" s="133">
        <v>560</v>
      </c>
      <c r="G2156" s="133"/>
      <c r="H2156" s="134">
        <f t="shared" si="100"/>
        <v>560</v>
      </c>
      <c r="I2156" s="134">
        <f t="shared" si="100"/>
        <v>0</v>
      </c>
      <c r="J2156" s="134">
        <f t="shared" si="99"/>
        <v>560</v>
      </c>
      <c r="K2156" s="135"/>
      <c r="L2156" s="136" t="str">
        <f t="shared" si="101"/>
        <v>مدين</v>
      </c>
      <c r="M2156" s="137" t="str">
        <f>IF(ISERROR(VLOOKUP(C2156,'[1]خريطة الحسابات'!_xlnm.Print_Area,4,FALSE))," ",(VLOOKUP(C2156,'[1]خريطة الحسابات'!_xlnm.Print_Area,4,FALSE)))</f>
        <v>تكاليف مشروع وصال العشري 398</v>
      </c>
      <c r="N2156" s="138" t="str">
        <f>IF(ISERROR(VLOOKUP(C2156,'[1]خريطة الحسابات'!_xlnm.Print_Area,5,FALSE))," ",(VLOOKUP(C2156,'[1]خريطة الحسابات'!_xlnm.Print_Area,5,FALSE)))</f>
        <v xml:space="preserve">تكاليف العمليات </v>
      </c>
      <c r="O2156" s="84" t="s">
        <v>2298</v>
      </c>
      <c r="P2156" s="84" t="s">
        <v>1489</v>
      </c>
    </row>
    <row r="2157" spans="1:16">
      <c r="A2157" s="151">
        <v>67</v>
      </c>
      <c r="B2157" s="131">
        <v>46113</v>
      </c>
      <c r="C2157" s="150" t="s">
        <v>912</v>
      </c>
      <c r="D2157" s="140" t="str">
        <f>IF(ISERROR(VLOOKUP(C2157,'[1]خريطة الحسابات'!_xlnm.Print_Area,3,FALSE))," ",(VLOOKUP(C2157,'[1]خريطة الحسابات'!_xlnm.Print_Area,3,FALSE)))</f>
        <v>اعمال التكسير والهدم والنظافة</v>
      </c>
      <c r="E2157" s="142"/>
      <c r="F2157" s="133">
        <v>400</v>
      </c>
      <c r="G2157" s="133"/>
      <c r="H2157" s="134">
        <f t="shared" si="100"/>
        <v>400</v>
      </c>
      <c r="I2157" s="134">
        <f t="shared" si="100"/>
        <v>0</v>
      </c>
      <c r="J2157" s="134">
        <f t="shared" si="99"/>
        <v>400</v>
      </c>
      <c r="K2157" s="135"/>
      <c r="L2157" s="136" t="str">
        <f t="shared" si="101"/>
        <v>مدين</v>
      </c>
      <c r="M2157" s="137" t="str">
        <f>IF(ISERROR(VLOOKUP(C2157,'[1]خريطة الحسابات'!_xlnm.Print_Area,4,FALSE))," ",(VLOOKUP(C2157,'[1]خريطة الحسابات'!_xlnm.Print_Area,4,FALSE)))</f>
        <v>تكاليف مشروع وصال العشري 398</v>
      </c>
      <c r="N2157" s="138" t="str">
        <f>IF(ISERROR(VLOOKUP(C2157,'[1]خريطة الحسابات'!_xlnm.Print_Area,5,FALSE))," ",(VLOOKUP(C2157,'[1]خريطة الحسابات'!_xlnm.Print_Area,5,FALSE)))</f>
        <v xml:space="preserve">تكاليف العمليات </v>
      </c>
      <c r="O2157" s="84" t="s">
        <v>2299</v>
      </c>
      <c r="P2157" s="84" t="s">
        <v>1489</v>
      </c>
    </row>
    <row r="2158" spans="1:16">
      <c r="A2158" s="151">
        <v>67</v>
      </c>
      <c r="B2158" s="131">
        <v>46146</v>
      </c>
      <c r="C2158" s="150" t="s">
        <v>912</v>
      </c>
      <c r="D2158" s="140" t="str">
        <f>IF(ISERROR(VLOOKUP(C2158,'[1]خريطة الحسابات'!_xlnm.Print_Area,3,FALSE))," ",(VLOOKUP(C2158,'[1]خريطة الحسابات'!_xlnm.Print_Area,3,FALSE)))</f>
        <v>اعمال التكسير والهدم والنظافة</v>
      </c>
      <c r="E2158" s="142"/>
      <c r="F2158" s="133">
        <v>200</v>
      </c>
      <c r="G2158" s="133"/>
      <c r="H2158" s="134">
        <f t="shared" si="100"/>
        <v>200</v>
      </c>
      <c r="I2158" s="134">
        <f t="shared" si="100"/>
        <v>0</v>
      </c>
      <c r="J2158" s="134">
        <f t="shared" si="99"/>
        <v>200</v>
      </c>
      <c r="K2158" s="135"/>
      <c r="L2158" s="136" t="str">
        <f t="shared" si="101"/>
        <v>مدين</v>
      </c>
      <c r="M2158" s="137" t="str">
        <f>IF(ISERROR(VLOOKUP(C2158,'[1]خريطة الحسابات'!_xlnm.Print_Area,4,FALSE))," ",(VLOOKUP(C2158,'[1]خريطة الحسابات'!_xlnm.Print_Area,4,FALSE)))</f>
        <v>تكاليف مشروع وصال العشري 398</v>
      </c>
      <c r="N2158" s="138" t="str">
        <f>IF(ISERROR(VLOOKUP(C2158,'[1]خريطة الحسابات'!_xlnm.Print_Area,5,FALSE))," ",(VLOOKUP(C2158,'[1]خريطة الحسابات'!_xlnm.Print_Area,5,FALSE)))</f>
        <v xml:space="preserve">تكاليف العمليات </v>
      </c>
      <c r="O2158" s="84" t="s">
        <v>2300</v>
      </c>
      <c r="P2158" s="84" t="s">
        <v>1489</v>
      </c>
    </row>
    <row r="2159" spans="1:16">
      <c r="A2159" s="151">
        <v>67</v>
      </c>
      <c r="B2159" s="131">
        <v>46181</v>
      </c>
      <c r="C2159" s="150" t="s">
        <v>211</v>
      </c>
      <c r="D2159" s="140" t="str">
        <f>IF(ISERROR(VLOOKUP(C2159,'[1]خريطة الحسابات'!_xlnm.Print_Area,3,FALSE))," ",(VLOOKUP(C2159,'[1]خريطة الحسابات'!_xlnm.Print_Area,3,FALSE)))</f>
        <v>اعمال التكسير والهدم والنظافة</v>
      </c>
      <c r="E2159" s="142"/>
      <c r="F2159" s="133">
        <v>1000</v>
      </c>
      <c r="G2159" s="133"/>
      <c r="H2159" s="134">
        <f t="shared" si="100"/>
        <v>1000</v>
      </c>
      <c r="I2159" s="134">
        <f t="shared" si="100"/>
        <v>0</v>
      </c>
      <c r="J2159" s="134">
        <f t="shared" si="99"/>
        <v>1000</v>
      </c>
      <c r="K2159" s="135"/>
      <c r="L2159" s="136" t="str">
        <f t="shared" si="101"/>
        <v>مدين</v>
      </c>
      <c r="M2159" s="137" t="str">
        <f>IF(ISERROR(VLOOKUP(C2159,'[1]خريطة الحسابات'!_xlnm.Print_Area,4,FALSE))," ",(VLOOKUP(C2159,'[1]خريطة الحسابات'!_xlnm.Print_Area,4,FALSE)))</f>
        <v>تكاليف مشروع كناريا  273</v>
      </c>
      <c r="N2159" s="138" t="str">
        <f>IF(ISERROR(VLOOKUP(C2159,'[1]خريطة الحسابات'!_xlnm.Print_Area,5,FALSE))," ",(VLOOKUP(C2159,'[1]خريطة الحسابات'!_xlnm.Print_Area,5,FALSE)))</f>
        <v xml:space="preserve">تكاليف العمليات </v>
      </c>
      <c r="O2159" s="84" t="s">
        <v>2301</v>
      </c>
      <c r="P2159" s="84" t="s">
        <v>1405</v>
      </c>
    </row>
    <row r="2160" spans="1:16">
      <c r="A2160" s="151">
        <v>67</v>
      </c>
      <c r="B2160" s="131">
        <v>46093</v>
      </c>
      <c r="C2160" s="150" t="s">
        <v>351</v>
      </c>
      <c r="D2160" s="140" t="str">
        <f>IF(ISERROR(VLOOKUP(C2160,'[1]خريطة الحسابات'!_xlnm.Print_Area,3,FALSE))," ",(VLOOKUP(C2160,'[1]خريطة الحسابات'!_xlnm.Print_Area,3,FALSE)))</f>
        <v>اعمال التكسير والهدم والنظافة</v>
      </c>
      <c r="E2160" s="142"/>
      <c r="F2160" s="133">
        <v>1702</v>
      </c>
      <c r="G2160" s="133"/>
      <c r="H2160" s="134">
        <f t="shared" si="100"/>
        <v>1702</v>
      </c>
      <c r="I2160" s="134">
        <f t="shared" si="100"/>
        <v>0</v>
      </c>
      <c r="J2160" s="134">
        <f t="shared" si="99"/>
        <v>1702</v>
      </c>
      <c r="K2160" s="135"/>
      <c r="L2160" s="136" t="str">
        <f t="shared" si="101"/>
        <v>مدين</v>
      </c>
      <c r="M2160" s="137" t="str">
        <f>IF(ISERROR(VLOOKUP(C2160,'[1]خريطة الحسابات'!_xlnm.Print_Area,4,FALSE))," ",(VLOOKUP(C2160,'[1]خريطة الحسابات'!_xlnm.Print_Area,4,FALSE)))</f>
        <v>318 تكاليف مشروع  المعادي ديونز</v>
      </c>
      <c r="N2160" s="138" t="str">
        <f>IF(ISERROR(VLOOKUP(C2160,'[1]خريطة الحسابات'!_xlnm.Print_Area,5,FALSE))," ",(VLOOKUP(C2160,'[1]خريطة الحسابات'!_xlnm.Print_Area,5,FALSE)))</f>
        <v xml:space="preserve">تكاليف العمليات </v>
      </c>
      <c r="O2160" s="84" t="s">
        <v>2302</v>
      </c>
      <c r="P2160" s="84" t="s">
        <v>1383</v>
      </c>
    </row>
    <row r="2161" spans="1:16">
      <c r="A2161" s="151">
        <v>67</v>
      </c>
      <c r="B2161" s="131">
        <v>46116</v>
      </c>
      <c r="C2161" s="150" t="s">
        <v>351</v>
      </c>
      <c r="D2161" s="140" t="str">
        <f>IF(ISERROR(VLOOKUP(C2161,'[1]خريطة الحسابات'!_xlnm.Print_Area,3,FALSE))," ",(VLOOKUP(C2161,'[1]خريطة الحسابات'!_xlnm.Print_Area,3,FALSE)))</f>
        <v>اعمال التكسير والهدم والنظافة</v>
      </c>
      <c r="E2161" s="142"/>
      <c r="F2161" s="133">
        <v>35970</v>
      </c>
      <c r="G2161" s="133"/>
      <c r="H2161" s="134">
        <f t="shared" si="100"/>
        <v>35970</v>
      </c>
      <c r="I2161" s="134">
        <f t="shared" si="100"/>
        <v>0</v>
      </c>
      <c r="J2161" s="134">
        <f t="shared" si="99"/>
        <v>35970</v>
      </c>
      <c r="K2161" s="135"/>
      <c r="L2161" s="136" t="str">
        <f t="shared" si="101"/>
        <v>مدين</v>
      </c>
      <c r="M2161" s="137" t="str">
        <f>IF(ISERROR(VLOOKUP(C2161,'[1]خريطة الحسابات'!_xlnm.Print_Area,4,FALSE))," ",(VLOOKUP(C2161,'[1]خريطة الحسابات'!_xlnm.Print_Area,4,FALSE)))</f>
        <v>318 تكاليف مشروع  المعادي ديونز</v>
      </c>
      <c r="N2161" s="138" t="str">
        <f>IF(ISERROR(VLOOKUP(C2161,'[1]خريطة الحسابات'!_xlnm.Print_Area,5,FALSE))," ",(VLOOKUP(C2161,'[1]خريطة الحسابات'!_xlnm.Print_Area,5,FALSE)))</f>
        <v xml:space="preserve">تكاليف العمليات </v>
      </c>
      <c r="O2161" s="84" t="s">
        <v>2303</v>
      </c>
      <c r="P2161" s="84" t="s">
        <v>1383</v>
      </c>
    </row>
    <row r="2162" spans="1:16">
      <c r="A2162" s="151">
        <v>67</v>
      </c>
      <c r="B2162" s="131">
        <v>46120</v>
      </c>
      <c r="C2162" s="150" t="s">
        <v>351</v>
      </c>
      <c r="D2162" s="140" t="str">
        <f>IF(ISERROR(VLOOKUP(C2162,'[1]خريطة الحسابات'!_xlnm.Print_Area,3,FALSE))," ",(VLOOKUP(C2162,'[1]خريطة الحسابات'!_xlnm.Print_Area,3,FALSE)))</f>
        <v>اعمال التكسير والهدم والنظافة</v>
      </c>
      <c r="E2162" s="142"/>
      <c r="F2162" s="133">
        <v>5050</v>
      </c>
      <c r="G2162" s="133"/>
      <c r="H2162" s="134">
        <f t="shared" si="100"/>
        <v>5050</v>
      </c>
      <c r="I2162" s="134">
        <f t="shared" si="100"/>
        <v>0</v>
      </c>
      <c r="J2162" s="134">
        <f t="shared" si="99"/>
        <v>5050</v>
      </c>
      <c r="K2162" s="135"/>
      <c r="L2162" s="136" t="str">
        <f t="shared" si="101"/>
        <v>مدين</v>
      </c>
      <c r="M2162" s="137" t="str">
        <f>IF(ISERROR(VLOOKUP(C2162,'[1]خريطة الحسابات'!_xlnm.Print_Area,4,FALSE))," ",(VLOOKUP(C2162,'[1]خريطة الحسابات'!_xlnm.Print_Area,4,FALSE)))</f>
        <v>318 تكاليف مشروع  المعادي ديونز</v>
      </c>
      <c r="N2162" s="138" t="str">
        <f>IF(ISERROR(VLOOKUP(C2162,'[1]خريطة الحسابات'!_xlnm.Print_Area,5,FALSE))," ",(VLOOKUP(C2162,'[1]خريطة الحسابات'!_xlnm.Print_Area,5,FALSE)))</f>
        <v xml:space="preserve">تكاليف العمليات </v>
      </c>
      <c r="O2162" s="84" t="s">
        <v>2304</v>
      </c>
      <c r="P2162" s="84" t="s">
        <v>1383</v>
      </c>
    </row>
    <row r="2163" spans="1:16">
      <c r="A2163" s="151">
        <v>67</v>
      </c>
      <c r="B2163" s="131">
        <v>46120</v>
      </c>
      <c r="C2163" s="150" t="s">
        <v>351</v>
      </c>
      <c r="D2163" s="140" t="str">
        <f>IF(ISERROR(VLOOKUP(C2163,'[1]خريطة الحسابات'!_xlnm.Print_Area,3,FALSE))," ",(VLOOKUP(C2163,'[1]خريطة الحسابات'!_xlnm.Print_Area,3,FALSE)))</f>
        <v>اعمال التكسير والهدم والنظافة</v>
      </c>
      <c r="E2163" s="142"/>
      <c r="F2163" s="133">
        <v>1580</v>
      </c>
      <c r="G2163" s="133"/>
      <c r="H2163" s="134">
        <f t="shared" si="100"/>
        <v>1580</v>
      </c>
      <c r="I2163" s="134">
        <f t="shared" si="100"/>
        <v>0</v>
      </c>
      <c r="J2163" s="134">
        <f t="shared" si="99"/>
        <v>1580</v>
      </c>
      <c r="K2163" s="135"/>
      <c r="L2163" s="136" t="str">
        <f t="shared" si="101"/>
        <v>مدين</v>
      </c>
      <c r="M2163" s="137" t="str">
        <f>IF(ISERROR(VLOOKUP(C2163,'[1]خريطة الحسابات'!_xlnm.Print_Area,4,FALSE))," ",(VLOOKUP(C2163,'[1]خريطة الحسابات'!_xlnm.Print_Area,4,FALSE)))</f>
        <v>318 تكاليف مشروع  المعادي ديونز</v>
      </c>
      <c r="N2163" s="138" t="str">
        <f>IF(ISERROR(VLOOKUP(C2163,'[1]خريطة الحسابات'!_xlnm.Print_Area,5,FALSE))," ",(VLOOKUP(C2163,'[1]خريطة الحسابات'!_xlnm.Print_Area,5,FALSE)))</f>
        <v xml:space="preserve">تكاليف العمليات </v>
      </c>
      <c r="O2163" s="84" t="s">
        <v>2305</v>
      </c>
      <c r="P2163" s="84" t="s">
        <v>1383</v>
      </c>
    </row>
    <row r="2164" spans="1:16">
      <c r="A2164" s="151">
        <v>67</v>
      </c>
      <c r="B2164" s="131">
        <v>46131</v>
      </c>
      <c r="C2164" s="150" t="s">
        <v>351</v>
      </c>
      <c r="D2164" s="140" t="str">
        <f>IF(ISERROR(VLOOKUP(C2164,'[1]خريطة الحسابات'!_xlnm.Print_Area,3,FALSE))," ",(VLOOKUP(C2164,'[1]خريطة الحسابات'!_xlnm.Print_Area,3,FALSE)))</f>
        <v>اعمال التكسير والهدم والنظافة</v>
      </c>
      <c r="E2164" s="142"/>
      <c r="F2164" s="133">
        <v>1000</v>
      </c>
      <c r="G2164" s="133"/>
      <c r="H2164" s="134">
        <f t="shared" si="100"/>
        <v>1000</v>
      </c>
      <c r="I2164" s="134">
        <f t="shared" si="100"/>
        <v>0</v>
      </c>
      <c r="J2164" s="134">
        <f t="shared" si="99"/>
        <v>1000</v>
      </c>
      <c r="K2164" s="135"/>
      <c r="L2164" s="136" t="str">
        <f t="shared" si="101"/>
        <v>مدين</v>
      </c>
      <c r="M2164" s="137" t="str">
        <f>IF(ISERROR(VLOOKUP(C2164,'[1]خريطة الحسابات'!_xlnm.Print_Area,4,FALSE))," ",(VLOOKUP(C2164,'[1]خريطة الحسابات'!_xlnm.Print_Area,4,FALSE)))</f>
        <v>318 تكاليف مشروع  المعادي ديونز</v>
      </c>
      <c r="N2164" s="138" t="str">
        <f>IF(ISERROR(VLOOKUP(C2164,'[1]خريطة الحسابات'!_xlnm.Print_Area,5,FALSE))," ",(VLOOKUP(C2164,'[1]خريطة الحسابات'!_xlnm.Print_Area,5,FALSE)))</f>
        <v xml:space="preserve">تكاليف العمليات </v>
      </c>
      <c r="O2164" s="84" t="s">
        <v>2306</v>
      </c>
      <c r="P2164" s="84" t="s">
        <v>1383</v>
      </c>
    </row>
    <row r="2165" spans="1:16">
      <c r="A2165" s="151">
        <v>67</v>
      </c>
      <c r="B2165" s="131">
        <v>46133</v>
      </c>
      <c r="C2165" s="150" t="s">
        <v>351</v>
      </c>
      <c r="D2165" s="140" t="str">
        <f>IF(ISERROR(VLOOKUP(C2165,'[1]خريطة الحسابات'!_xlnm.Print_Area,3,FALSE))," ",(VLOOKUP(C2165,'[1]خريطة الحسابات'!_xlnm.Print_Area,3,FALSE)))</f>
        <v>اعمال التكسير والهدم والنظافة</v>
      </c>
      <c r="E2165" s="142"/>
      <c r="F2165" s="133">
        <v>15050</v>
      </c>
      <c r="G2165" s="133"/>
      <c r="H2165" s="134">
        <f t="shared" si="100"/>
        <v>15050</v>
      </c>
      <c r="I2165" s="134">
        <f t="shared" si="100"/>
        <v>0</v>
      </c>
      <c r="J2165" s="134">
        <f t="shared" si="99"/>
        <v>15050</v>
      </c>
      <c r="K2165" s="135"/>
      <c r="L2165" s="136" t="str">
        <f t="shared" si="101"/>
        <v>مدين</v>
      </c>
      <c r="M2165" s="137" t="str">
        <f>IF(ISERROR(VLOOKUP(C2165,'[1]خريطة الحسابات'!_xlnm.Print_Area,4,FALSE))," ",(VLOOKUP(C2165,'[1]خريطة الحسابات'!_xlnm.Print_Area,4,FALSE)))</f>
        <v>318 تكاليف مشروع  المعادي ديونز</v>
      </c>
      <c r="N2165" s="138" t="str">
        <f>IF(ISERROR(VLOOKUP(C2165,'[1]خريطة الحسابات'!_xlnm.Print_Area,5,FALSE))," ",(VLOOKUP(C2165,'[1]خريطة الحسابات'!_xlnm.Print_Area,5,FALSE)))</f>
        <v xml:space="preserve">تكاليف العمليات </v>
      </c>
      <c r="O2165" s="84" t="s">
        <v>2307</v>
      </c>
      <c r="P2165" s="84" t="s">
        <v>1383</v>
      </c>
    </row>
    <row r="2166" spans="1:16">
      <c r="A2166" s="151">
        <v>67</v>
      </c>
      <c r="B2166" s="131">
        <v>46139</v>
      </c>
      <c r="C2166" s="150" t="s">
        <v>351</v>
      </c>
      <c r="D2166" s="140" t="str">
        <f>IF(ISERROR(VLOOKUP(C2166,'[1]خريطة الحسابات'!_xlnm.Print_Area,3,FALSE))," ",(VLOOKUP(C2166,'[1]خريطة الحسابات'!_xlnm.Print_Area,3,FALSE)))</f>
        <v>اعمال التكسير والهدم والنظافة</v>
      </c>
      <c r="E2166" s="142"/>
      <c r="F2166" s="133">
        <v>3400</v>
      </c>
      <c r="G2166" s="133"/>
      <c r="H2166" s="134">
        <f t="shared" si="100"/>
        <v>3400</v>
      </c>
      <c r="I2166" s="134">
        <f t="shared" si="100"/>
        <v>0</v>
      </c>
      <c r="J2166" s="134">
        <f t="shared" si="99"/>
        <v>3400</v>
      </c>
      <c r="K2166" s="135"/>
      <c r="L2166" s="136" t="str">
        <f t="shared" si="101"/>
        <v>مدين</v>
      </c>
      <c r="M2166" s="137" t="str">
        <f>IF(ISERROR(VLOOKUP(C2166,'[1]خريطة الحسابات'!_xlnm.Print_Area,4,FALSE))," ",(VLOOKUP(C2166,'[1]خريطة الحسابات'!_xlnm.Print_Area,4,FALSE)))</f>
        <v>318 تكاليف مشروع  المعادي ديونز</v>
      </c>
      <c r="N2166" s="138" t="str">
        <f>IF(ISERROR(VLOOKUP(C2166,'[1]خريطة الحسابات'!_xlnm.Print_Area,5,FALSE))," ",(VLOOKUP(C2166,'[1]خريطة الحسابات'!_xlnm.Print_Area,5,FALSE)))</f>
        <v xml:space="preserve">تكاليف العمليات </v>
      </c>
      <c r="O2166" s="84" t="s">
        <v>2308</v>
      </c>
      <c r="P2166" s="84" t="s">
        <v>1383</v>
      </c>
    </row>
    <row r="2167" spans="1:16">
      <c r="A2167" s="151">
        <v>67</v>
      </c>
      <c r="B2167" s="131">
        <v>46139</v>
      </c>
      <c r="C2167" s="150" t="s">
        <v>351</v>
      </c>
      <c r="D2167" s="140" t="str">
        <f>IF(ISERROR(VLOOKUP(C2167,'[1]خريطة الحسابات'!_xlnm.Print_Area,3,FALSE))," ",(VLOOKUP(C2167,'[1]خريطة الحسابات'!_xlnm.Print_Area,3,FALSE)))</f>
        <v>اعمال التكسير والهدم والنظافة</v>
      </c>
      <c r="E2167" s="142"/>
      <c r="F2167" s="133">
        <v>800</v>
      </c>
      <c r="G2167" s="133"/>
      <c r="H2167" s="134">
        <f t="shared" si="100"/>
        <v>800</v>
      </c>
      <c r="I2167" s="134">
        <f t="shared" si="100"/>
        <v>0</v>
      </c>
      <c r="J2167" s="134">
        <f t="shared" si="99"/>
        <v>800</v>
      </c>
      <c r="K2167" s="135"/>
      <c r="L2167" s="136" t="str">
        <f t="shared" si="101"/>
        <v>مدين</v>
      </c>
      <c r="M2167" s="137" t="str">
        <f>IF(ISERROR(VLOOKUP(C2167,'[1]خريطة الحسابات'!_xlnm.Print_Area,4,FALSE))," ",(VLOOKUP(C2167,'[1]خريطة الحسابات'!_xlnm.Print_Area,4,FALSE)))</f>
        <v>318 تكاليف مشروع  المعادي ديونز</v>
      </c>
      <c r="N2167" s="138" t="str">
        <f>IF(ISERROR(VLOOKUP(C2167,'[1]خريطة الحسابات'!_xlnm.Print_Area,5,FALSE))," ",(VLOOKUP(C2167,'[1]خريطة الحسابات'!_xlnm.Print_Area,5,FALSE)))</f>
        <v xml:space="preserve">تكاليف العمليات </v>
      </c>
      <c r="O2167" s="84" t="s">
        <v>2309</v>
      </c>
      <c r="P2167" s="84" t="s">
        <v>1383</v>
      </c>
    </row>
    <row r="2168" spans="1:16">
      <c r="A2168" s="151">
        <v>67</v>
      </c>
      <c r="B2168" s="131">
        <v>46145</v>
      </c>
      <c r="C2168" s="150" t="s">
        <v>351</v>
      </c>
      <c r="D2168" s="140" t="str">
        <f>IF(ISERROR(VLOOKUP(C2168,'[1]خريطة الحسابات'!_xlnm.Print_Area,3,FALSE))," ",(VLOOKUP(C2168,'[1]خريطة الحسابات'!_xlnm.Print_Area,3,FALSE)))</f>
        <v>اعمال التكسير والهدم والنظافة</v>
      </c>
      <c r="E2168" s="142"/>
      <c r="F2168" s="133">
        <v>5000</v>
      </c>
      <c r="G2168" s="133"/>
      <c r="H2168" s="134">
        <f t="shared" si="100"/>
        <v>5000</v>
      </c>
      <c r="I2168" s="134">
        <f t="shared" si="100"/>
        <v>0</v>
      </c>
      <c r="J2168" s="134">
        <f t="shared" si="99"/>
        <v>5000</v>
      </c>
      <c r="K2168" s="135"/>
      <c r="L2168" s="136" t="str">
        <f t="shared" si="101"/>
        <v>مدين</v>
      </c>
      <c r="M2168" s="137" t="str">
        <f>IF(ISERROR(VLOOKUP(C2168,'[1]خريطة الحسابات'!_xlnm.Print_Area,4,FALSE))," ",(VLOOKUP(C2168,'[1]خريطة الحسابات'!_xlnm.Print_Area,4,FALSE)))</f>
        <v>318 تكاليف مشروع  المعادي ديونز</v>
      </c>
      <c r="N2168" s="138" t="str">
        <f>IF(ISERROR(VLOOKUP(C2168,'[1]خريطة الحسابات'!_xlnm.Print_Area,5,FALSE))," ",(VLOOKUP(C2168,'[1]خريطة الحسابات'!_xlnm.Print_Area,5,FALSE)))</f>
        <v xml:space="preserve">تكاليف العمليات </v>
      </c>
      <c r="O2168" s="84" t="s">
        <v>2310</v>
      </c>
      <c r="P2168" s="84" t="s">
        <v>1383</v>
      </c>
    </row>
    <row r="2169" spans="1:16">
      <c r="A2169" s="151">
        <v>67</v>
      </c>
      <c r="B2169" s="131">
        <v>46166</v>
      </c>
      <c r="C2169" s="150" t="s">
        <v>351</v>
      </c>
      <c r="D2169" s="140" t="str">
        <f>IF(ISERROR(VLOOKUP(C2169,'[1]خريطة الحسابات'!_xlnm.Print_Area,3,FALSE))," ",(VLOOKUP(C2169,'[1]خريطة الحسابات'!_xlnm.Print_Area,3,FALSE)))</f>
        <v>اعمال التكسير والهدم والنظافة</v>
      </c>
      <c r="E2169" s="142"/>
      <c r="F2169" s="133">
        <v>2000</v>
      </c>
      <c r="G2169" s="133"/>
      <c r="H2169" s="134">
        <f t="shared" si="100"/>
        <v>2000</v>
      </c>
      <c r="I2169" s="134">
        <f t="shared" si="100"/>
        <v>0</v>
      </c>
      <c r="J2169" s="134">
        <f t="shared" si="99"/>
        <v>2000</v>
      </c>
      <c r="K2169" s="135"/>
      <c r="L2169" s="136" t="str">
        <f t="shared" si="101"/>
        <v>مدين</v>
      </c>
      <c r="M2169" s="137" t="str">
        <f>IF(ISERROR(VLOOKUP(C2169,'[1]خريطة الحسابات'!_xlnm.Print_Area,4,FALSE))," ",(VLOOKUP(C2169,'[1]خريطة الحسابات'!_xlnm.Print_Area,4,FALSE)))</f>
        <v>318 تكاليف مشروع  المعادي ديونز</v>
      </c>
      <c r="N2169" s="138" t="str">
        <f>IF(ISERROR(VLOOKUP(C2169,'[1]خريطة الحسابات'!_xlnm.Print_Area,5,FALSE))," ",(VLOOKUP(C2169,'[1]خريطة الحسابات'!_xlnm.Print_Area,5,FALSE)))</f>
        <v xml:space="preserve">تكاليف العمليات </v>
      </c>
      <c r="O2169" s="84" t="s">
        <v>2311</v>
      </c>
      <c r="P2169" s="84" t="s">
        <v>1383</v>
      </c>
    </row>
    <row r="2170" spans="1:16">
      <c r="A2170" s="151">
        <v>67</v>
      </c>
      <c r="B2170" s="131">
        <v>46144</v>
      </c>
      <c r="C2170" s="150">
        <v>104</v>
      </c>
      <c r="D2170" s="140" t="str">
        <f>IF(ISERROR(VLOOKUP(C2170,'[1]خريطة الحسابات'!_xlnm.Print_Area,3,FALSE))," ",(VLOOKUP(C2170,'[1]خريطة الحسابات'!_xlnm.Print_Area,3,FALSE)))</f>
        <v>معدات موقع</v>
      </c>
      <c r="E2170" s="142"/>
      <c r="F2170" s="133">
        <v>2800</v>
      </c>
      <c r="G2170" s="133"/>
      <c r="H2170" s="134">
        <f t="shared" si="100"/>
        <v>2800</v>
      </c>
      <c r="I2170" s="134">
        <f t="shared" si="100"/>
        <v>0</v>
      </c>
      <c r="J2170" s="134">
        <f t="shared" si="99"/>
        <v>2800</v>
      </c>
      <c r="K2170" s="135"/>
      <c r="L2170" s="136" t="str">
        <f t="shared" si="101"/>
        <v>مدين</v>
      </c>
      <c r="M2170" s="137" t="str">
        <f>IF(ISERROR(VLOOKUP(C2170,'[1]خريطة الحسابات'!_xlnm.Print_Area,4,FALSE))," ",(VLOOKUP(C2170,'[1]خريطة الحسابات'!_xlnm.Print_Area,4,FALSE)))</f>
        <v>الأصول ثابتة</v>
      </c>
      <c r="N2170" s="138" t="str">
        <f>IF(ISERROR(VLOOKUP(C2170,'[1]خريطة الحسابات'!_xlnm.Print_Area,5,FALSE))," ",(VLOOKUP(C2170,'[1]خريطة الحسابات'!_xlnm.Print_Area,5,FALSE)))</f>
        <v>الاصول</v>
      </c>
      <c r="O2170" s="84" t="s">
        <v>2312</v>
      </c>
      <c r="P2170" s="84" t="s">
        <v>1342</v>
      </c>
    </row>
    <row r="2171" spans="1:16">
      <c r="A2171" s="151">
        <v>67</v>
      </c>
      <c r="B2171" s="131">
        <v>46113</v>
      </c>
      <c r="C2171" s="150" t="s">
        <v>666</v>
      </c>
      <c r="D2171" s="140" t="str">
        <f>IF(ISERROR(VLOOKUP(C2171,'[1]خريطة الحسابات'!_xlnm.Print_Area,3,FALSE))," ",(VLOOKUP(C2171,'[1]خريطة الحسابات'!_xlnm.Print_Area,3,FALSE)))</f>
        <v>اعمال التكسير والهدم والنظافة</v>
      </c>
      <c r="E2171" s="142"/>
      <c r="F2171" s="133">
        <v>100</v>
      </c>
      <c r="G2171" s="133"/>
      <c r="H2171" s="134">
        <f t="shared" si="100"/>
        <v>100</v>
      </c>
      <c r="I2171" s="134">
        <f t="shared" si="100"/>
        <v>0</v>
      </c>
      <c r="J2171" s="134">
        <f t="shared" si="99"/>
        <v>100</v>
      </c>
      <c r="K2171" s="135"/>
      <c r="L2171" s="136" t="str">
        <f t="shared" si="101"/>
        <v>مدين</v>
      </c>
      <c r="M2171" s="137" t="str">
        <f>IF(ISERROR(VLOOKUP(C2171,'[1]خريطة الحسابات'!_xlnm.Print_Area,4,FALSE))," ",(VLOOKUP(C2171,'[1]خريطة الحسابات'!_xlnm.Print_Area,4,FALSE)))</f>
        <v>تكاليف مشروع هاني العبور 365</v>
      </c>
      <c r="N2171" s="138" t="str">
        <f>IF(ISERROR(VLOOKUP(C2171,'[1]خريطة الحسابات'!_xlnm.Print_Area,5,FALSE))," ",(VLOOKUP(C2171,'[1]خريطة الحسابات'!_xlnm.Print_Area,5,FALSE)))</f>
        <v xml:space="preserve">تكاليف العمليات </v>
      </c>
      <c r="O2171" s="84" t="s">
        <v>2313</v>
      </c>
      <c r="P2171" s="84" t="s">
        <v>1317</v>
      </c>
    </row>
    <row r="2172" spans="1:16">
      <c r="A2172" s="151">
        <v>67</v>
      </c>
      <c r="B2172" s="131">
        <v>46144</v>
      </c>
      <c r="C2172" s="150" t="s">
        <v>666</v>
      </c>
      <c r="D2172" s="140" t="str">
        <f>IF(ISERROR(VLOOKUP(C2172,'[1]خريطة الحسابات'!_xlnm.Print_Area,3,FALSE))," ",(VLOOKUP(C2172,'[1]خريطة الحسابات'!_xlnm.Print_Area,3,FALSE)))</f>
        <v>اعمال التكسير والهدم والنظافة</v>
      </c>
      <c r="E2172" s="142"/>
      <c r="F2172" s="133">
        <v>800</v>
      </c>
      <c r="G2172" s="133"/>
      <c r="H2172" s="134">
        <f t="shared" si="100"/>
        <v>800</v>
      </c>
      <c r="I2172" s="134">
        <f t="shared" si="100"/>
        <v>0</v>
      </c>
      <c r="J2172" s="134">
        <f t="shared" si="99"/>
        <v>800</v>
      </c>
      <c r="K2172" s="135"/>
      <c r="L2172" s="136" t="str">
        <f t="shared" si="101"/>
        <v>مدين</v>
      </c>
      <c r="M2172" s="137" t="str">
        <f>IF(ISERROR(VLOOKUP(C2172,'[1]خريطة الحسابات'!_xlnm.Print_Area,4,FALSE))," ",(VLOOKUP(C2172,'[1]خريطة الحسابات'!_xlnm.Print_Area,4,FALSE)))</f>
        <v>تكاليف مشروع هاني العبور 365</v>
      </c>
      <c r="N2172" s="138" t="str">
        <f>IF(ISERROR(VLOOKUP(C2172,'[1]خريطة الحسابات'!_xlnm.Print_Area,5,FALSE))," ",(VLOOKUP(C2172,'[1]خريطة الحسابات'!_xlnm.Print_Area,5,FALSE)))</f>
        <v xml:space="preserve">تكاليف العمليات </v>
      </c>
      <c r="O2172" s="84" t="s">
        <v>2314</v>
      </c>
      <c r="P2172" s="84" t="s">
        <v>1317</v>
      </c>
    </row>
    <row r="2173" spans="1:16">
      <c r="A2173" s="151">
        <v>67</v>
      </c>
      <c r="B2173" s="131">
        <v>46151</v>
      </c>
      <c r="C2173" s="150" t="s">
        <v>666</v>
      </c>
      <c r="D2173" s="140" t="str">
        <f>IF(ISERROR(VLOOKUP(C2173,'[1]خريطة الحسابات'!_xlnm.Print_Area,3,FALSE))," ",(VLOOKUP(C2173,'[1]خريطة الحسابات'!_xlnm.Print_Area,3,FALSE)))</f>
        <v>اعمال التكسير والهدم والنظافة</v>
      </c>
      <c r="E2173" s="142"/>
      <c r="F2173" s="133">
        <v>24875</v>
      </c>
      <c r="G2173" s="133"/>
      <c r="H2173" s="134">
        <f t="shared" si="100"/>
        <v>24875</v>
      </c>
      <c r="I2173" s="134">
        <f t="shared" si="100"/>
        <v>0</v>
      </c>
      <c r="J2173" s="134">
        <f t="shared" si="99"/>
        <v>24875</v>
      </c>
      <c r="K2173" s="135"/>
      <c r="L2173" s="136" t="str">
        <f t="shared" si="101"/>
        <v>مدين</v>
      </c>
      <c r="M2173" s="137" t="str">
        <f>IF(ISERROR(VLOOKUP(C2173,'[1]خريطة الحسابات'!_xlnm.Print_Area,4,FALSE))," ",(VLOOKUP(C2173,'[1]خريطة الحسابات'!_xlnm.Print_Area,4,FALSE)))</f>
        <v>تكاليف مشروع هاني العبور 365</v>
      </c>
      <c r="N2173" s="138" t="str">
        <f>IF(ISERROR(VLOOKUP(C2173,'[1]خريطة الحسابات'!_xlnm.Print_Area,5,FALSE))," ",(VLOOKUP(C2173,'[1]خريطة الحسابات'!_xlnm.Print_Area,5,FALSE)))</f>
        <v xml:space="preserve">تكاليف العمليات </v>
      </c>
      <c r="O2173" s="84" t="s">
        <v>2315</v>
      </c>
      <c r="P2173" s="84" t="s">
        <v>1317</v>
      </c>
    </row>
    <row r="2174" spans="1:16">
      <c r="A2174" s="151">
        <v>67</v>
      </c>
      <c r="B2174" s="131">
        <v>46151</v>
      </c>
      <c r="C2174" s="150" t="s">
        <v>666</v>
      </c>
      <c r="D2174" s="140" t="str">
        <f>IF(ISERROR(VLOOKUP(C2174,'[1]خريطة الحسابات'!_xlnm.Print_Area,3,FALSE))," ",(VLOOKUP(C2174,'[1]خريطة الحسابات'!_xlnm.Print_Area,3,FALSE)))</f>
        <v>اعمال التكسير والهدم والنظافة</v>
      </c>
      <c r="E2174" s="142"/>
      <c r="F2174" s="133">
        <v>27225</v>
      </c>
      <c r="G2174" s="133"/>
      <c r="H2174" s="134">
        <f t="shared" si="100"/>
        <v>27225</v>
      </c>
      <c r="I2174" s="134">
        <f t="shared" si="100"/>
        <v>0</v>
      </c>
      <c r="J2174" s="134">
        <f t="shared" si="99"/>
        <v>27225</v>
      </c>
      <c r="K2174" s="135"/>
      <c r="L2174" s="136" t="str">
        <f t="shared" si="101"/>
        <v>مدين</v>
      </c>
      <c r="M2174" s="137" t="str">
        <f>IF(ISERROR(VLOOKUP(C2174,'[1]خريطة الحسابات'!_xlnm.Print_Area,4,FALSE))," ",(VLOOKUP(C2174,'[1]خريطة الحسابات'!_xlnm.Print_Area,4,FALSE)))</f>
        <v>تكاليف مشروع هاني العبور 365</v>
      </c>
      <c r="N2174" s="138" t="str">
        <f>IF(ISERROR(VLOOKUP(C2174,'[1]خريطة الحسابات'!_xlnm.Print_Area,5,FALSE))," ",(VLOOKUP(C2174,'[1]خريطة الحسابات'!_xlnm.Print_Area,5,FALSE)))</f>
        <v xml:space="preserve">تكاليف العمليات </v>
      </c>
      <c r="O2174" s="84" t="s">
        <v>2316</v>
      </c>
      <c r="P2174" s="84" t="s">
        <v>1317</v>
      </c>
    </row>
    <row r="2175" spans="1:16">
      <c r="A2175" s="151">
        <v>67</v>
      </c>
      <c r="B2175" s="131">
        <v>46153</v>
      </c>
      <c r="C2175" s="150" t="s">
        <v>666</v>
      </c>
      <c r="D2175" s="140" t="str">
        <f>IF(ISERROR(VLOOKUP(C2175,'[1]خريطة الحسابات'!_xlnm.Print_Area,3,FALSE))," ",(VLOOKUP(C2175,'[1]خريطة الحسابات'!_xlnm.Print_Area,3,FALSE)))</f>
        <v>اعمال التكسير والهدم والنظافة</v>
      </c>
      <c r="E2175" s="142"/>
      <c r="F2175" s="133">
        <v>14065</v>
      </c>
      <c r="G2175" s="133"/>
      <c r="H2175" s="134">
        <f t="shared" si="100"/>
        <v>14065</v>
      </c>
      <c r="I2175" s="134">
        <f t="shared" si="100"/>
        <v>0</v>
      </c>
      <c r="J2175" s="134">
        <f t="shared" si="99"/>
        <v>14065</v>
      </c>
      <c r="K2175" s="135"/>
      <c r="L2175" s="136" t="str">
        <f t="shared" si="101"/>
        <v>مدين</v>
      </c>
      <c r="M2175" s="137" t="str">
        <f>IF(ISERROR(VLOOKUP(C2175,'[1]خريطة الحسابات'!_xlnm.Print_Area,4,FALSE))," ",(VLOOKUP(C2175,'[1]خريطة الحسابات'!_xlnm.Print_Area,4,FALSE)))</f>
        <v>تكاليف مشروع هاني العبور 365</v>
      </c>
      <c r="N2175" s="138" t="str">
        <f>IF(ISERROR(VLOOKUP(C2175,'[1]خريطة الحسابات'!_xlnm.Print_Area,5,FALSE))," ",(VLOOKUP(C2175,'[1]خريطة الحسابات'!_xlnm.Print_Area,5,FALSE)))</f>
        <v xml:space="preserve">تكاليف العمليات </v>
      </c>
      <c r="O2175" s="84" t="s">
        <v>2317</v>
      </c>
      <c r="P2175" s="84" t="s">
        <v>1317</v>
      </c>
    </row>
    <row r="2176" spans="1:16">
      <c r="A2176" s="151">
        <v>67</v>
      </c>
      <c r="B2176" s="131">
        <v>46154</v>
      </c>
      <c r="C2176" s="150" t="s">
        <v>666</v>
      </c>
      <c r="D2176" s="140" t="str">
        <f>IF(ISERROR(VLOOKUP(C2176,'[1]خريطة الحسابات'!_xlnm.Print_Area,3,FALSE))," ",(VLOOKUP(C2176,'[1]خريطة الحسابات'!_xlnm.Print_Area,3,FALSE)))</f>
        <v>اعمال التكسير والهدم والنظافة</v>
      </c>
      <c r="E2176" s="142"/>
      <c r="F2176" s="133">
        <v>1202</v>
      </c>
      <c r="G2176" s="133"/>
      <c r="H2176" s="134">
        <f t="shared" si="100"/>
        <v>1202</v>
      </c>
      <c r="I2176" s="134">
        <f t="shared" si="100"/>
        <v>0</v>
      </c>
      <c r="J2176" s="134">
        <f t="shared" si="99"/>
        <v>1202</v>
      </c>
      <c r="K2176" s="135"/>
      <c r="L2176" s="136" t="str">
        <f t="shared" si="101"/>
        <v>مدين</v>
      </c>
      <c r="M2176" s="137" t="str">
        <f>IF(ISERROR(VLOOKUP(C2176,'[1]خريطة الحسابات'!_xlnm.Print_Area,4,FALSE))," ",(VLOOKUP(C2176,'[1]خريطة الحسابات'!_xlnm.Print_Area,4,FALSE)))</f>
        <v>تكاليف مشروع هاني العبور 365</v>
      </c>
      <c r="N2176" s="138" t="str">
        <f>IF(ISERROR(VLOOKUP(C2176,'[1]خريطة الحسابات'!_xlnm.Print_Area,5,FALSE))," ",(VLOOKUP(C2176,'[1]خريطة الحسابات'!_xlnm.Print_Area,5,FALSE)))</f>
        <v xml:space="preserve">تكاليف العمليات </v>
      </c>
      <c r="O2176" s="84" t="s">
        <v>2318</v>
      </c>
      <c r="P2176" s="84" t="s">
        <v>1317</v>
      </c>
    </row>
    <row r="2177" spans="1:16">
      <c r="A2177" s="151">
        <v>67</v>
      </c>
      <c r="B2177" s="131">
        <v>46093</v>
      </c>
      <c r="C2177" s="150" t="s">
        <v>526</v>
      </c>
      <c r="D2177" s="140" t="str">
        <f>IF(ISERROR(VLOOKUP(C2177,'[1]خريطة الحسابات'!_xlnm.Print_Area,3,FALSE))," ",(VLOOKUP(C2177,'[1]خريطة الحسابات'!_xlnm.Print_Area,3,FALSE)))</f>
        <v>اعمال التكسير والهدم والنظافة</v>
      </c>
      <c r="E2177" s="142"/>
      <c r="F2177" s="133">
        <v>475</v>
      </c>
      <c r="G2177" s="133"/>
      <c r="H2177" s="134">
        <f t="shared" si="100"/>
        <v>475</v>
      </c>
      <c r="I2177" s="134">
        <f t="shared" si="100"/>
        <v>0</v>
      </c>
      <c r="J2177" s="134">
        <f t="shared" si="99"/>
        <v>475</v>
      </c>
      <c r="K2177" s="135"/>
      <c r="L2177" s="136" t="str">
        <f t="shared" si="101"/>
        <v>مدين</v>
      </c>
      <c r="M2177" s="137" t="str">
        <f>IF(ISERROR(VLOOKUP(C2177,'[1]خريطة الحسابات'!_xlnm.Print_Area,4,FALSE))," ",(VLOOKUP(C2177,'[1]خريطة الحسابات'!_xlnm.Print_Area,4,FALSE)))</f>
        <v>تكاليف مشروع هاني القرنفل 355</v>
      </c>
      <c r="N2177" s="138" t="str">
        <f>IF(ISERROR(VLOOKUP(C2177,'[1]خريطة الحسابات'!_xlnm.Print_Area,5,FALSE))," ",(VLOOKUP(C2177,'[1]خريطة الحسابات'!_xlnm.Print_Area,5,FALSE)))</f>
        <v xml:space="preserve">تكاليف العمليات </v>
      </c>
      <c r="O2177" s="84" t="s">
        <v>2319</v>
      </c>
      <c r="P2177" s="84" t="s">
        <v>1395</v>
      </c>
    </row>
    <row r="2178" spans="1:16">
      <c r="A2178" s="151">
        <v>67</v>
      </c>
      <c r="B2178" s="131">
        <v>46096</v>
      </c>
      <c r="C2178" s="150" t="s">
        <v>526</v>
      </c>
      <c r="D2178" s="140" t="str">
        <f>IF(ISERROR(VLOOKUP(C2178,'[1]خريطة الحسابات'!_xlnm.Print_Area,3,FALSE))," ",(VLOOKUP(C2178,'[1]خريطة الحسابات'!_xlnm.Print_Area,3,FALSE)))</f>
        <v>اعمال التكسير والهدم والنظافة</v>
      </c>
      <c r="E2178" s="142"/>
      <c r="F2178" s="133">
        <v>15185</v>
      </c>
      <c r="G2178" s="133"/>
      <c r="H2178" s="134">
        <f t="shared" si="100"/>
        <v>15185</v>
      </c>
      <c r="I2178" s="134">
        <f t="shared" si="100"/>
        <v>0</v>
      </c>
      <c r="J2178" s="134">
        <f t="shared" si="99"/>
        <v>15185</v>
      </c>
      <c r="K2178" s="135"/>
      <c r="L2178" s="136" t="str">
        <f t="shared" si="101"/>
        <v>مدين</v>
      </c>
      <c r="M2178" s="137" t="str">
        <f>IF(ISERROR(VLOOKUP(C2178,'[1]خريطة الحسابات'!_xlnm.Print_Area,4,FALSE))," ",(VLOOKUP(C2178,'[1]خريطة الحسابات'!_xlnm.Print_Area,4,FALSE)))</f>
        <v>تكاليف مشروع هاني القرنفل 355</v>
      </c>
      <c r="N2178" s="138" t="str">
        <f>IF(ISERROR(VLOOKUP(C2178,'[1]خريطة الحسابات'!_xlnm.Print_Area,5,FALSE))," ",(VLOOKUP(C2178,'[1]خريطة الحسابات'!_xlnm.Print_Area,5,FALSE)))</f>
        <v xml:space="preserve">تكاليف العمليات </v>
      </c>
      <c r="O2178" s="84" t="s">
        <v>2320</v>
      </c>
      <c r="P2178" s="84" t="s">
        <v>1395</v>
      </c>
    </row>
    <row r="2179" spans="1:16">
      <c r="A2179" s="151">
        <v>67</v>
      </c>
      <c r="B2179" s="131">
        <v>46096</v>
      </c>
      <c r="C2179" s="150" t="s">
        <v>526</v>
      </c>
      <c r="D2179" s="140" t="str">
        <f>IF(ISERROR(VLOOKUP(C2179,'[1]خريطة الحسابات'!_xlnm.Print_Area,3,FALSE))," ",(VLOOKUP(C2179,'[1]خريطة الحسابات'!_xlnm.Print_Area,3,FALSE)))</f>
        <v>اعمال التكسير والهدم والنظافة</v>
      </c>
      <c r="E2179" s="142"/>
      <c r="F2179" s="133">
        <v>500</v>
      </c>
      <c r="G2179" s="133"/>
      <c r="H2179" s="134">
        <f t="shared" si="100"/>
        <v>500</v>
      </c>
      <c r="I2179" s="134">
        <f t="shared" si="100"/>
        <v>0</v>
      </c>
      <c r="J2179" s="134">
        <f t="shared" si="99"/>
        <v>500</v>
      </c>
      <c r="K2179" s="135"/>
      <c r="L2179" s="136" t="str">
        <f t="shared" si="101"/>
        <v>مدين</v>
      </c>
      <c r="M2179" s="137" t="str">
        <f>IF(ISERROR(VLOOKUP(C2179,'[1]خريطة الحسابات'!_xlnm.Print_Area,4,FALSE))," ",(VLOOKUP(C2179,'[1]خريطة الحسابات'!_xlnm.Print_Area,4,FALSE)))</f>
        <v>تكاليف مشروع هاني القرنفل 355</v>
      </c>
      <c r="N2179" s="138" t="str">
        <f>IF(ISERROR(VLOOKUP(C2179,'[1]خريطة الحسابات'!_xlnm.Print_Area,5,FALSE))," ",(VLOOKUP(C2179,'[1]خريطة الحسابات'!_xlnm.Print_Area,5,FALSE)))</f>
        <v xml:space="preserve">تكاليف العمليات </v>
      </c>
      <c r="O2179" s="84" t="s">
        <v>2313</v>
      </c>
      <c r="P2179" s="84" t="s">
        <v>1395</v>
      </c>
    </row>
    <row r="2180" spans="1:16">
      <c r="A2180" s="151">
        <v>67</v>
      </c>
      <c r="B2180" s="131">
        <v>46109</v>
      </c>
      <c r="C2180" s="150" t="s">
        <v>526</v>
      </c>
      <c r="D2180" s="140" t="str">
        <f>IF(ISERROR(VLOOKUP(C2180,'[1]خريطة الحسابات'!_xlnm.Print_Area,3,FALSE))," ",(VLOOKUP(C2180,'[1]خريطة الحسابات'!_xlnm.Print_Area,3,FALSE)))</f>
        <v>اعمال التكسير والهدم والنظافة</v>
      </c>
      <c r="E2180" s="142"/>
      <c r="F2180" s="133">
        <v>915</v>
      </c>
      <c r="G2180" s="133"/>
      <c r="H2180" s="134">
        <f t="shared" si="100"/>
        <v>915</v>
      </c>
      <c r="I2180" s="134">
        <f t="shared" si="100"/>
        <v>0</v>
      </c>
      <c r="J2180" s="134">
        <f t="shared" si="99"/>
        <v>915</v>
      </c>
      <c r="K2180" s="135"/>
      <c r="L2180" s="136" t="str">
        <f t="shared" si="101"/>
        <v>مدين</v>
      </c>
      <c r="M2180" s="137" t="str">
        <f>IF(ISERROR(VLOOKUP(C2180,'[1]خريطة الحسابات'!_xlnm.Print_Area,4,FALSE))," ",(VLOOKUP(C2180,'[1]خريطة الحسابات'!_xlnm.Print_Area,4,FALSE)))</f>
        <v>تكاليف مشروع هاني القرنفل 355</v>
      </c>
      <c r="N2180" s="138" t="str">
        <f>IF(ISERROR(VLOOKUP(C2180,'[1]خريطة الحسابات'!_xlnm.Print_Area,5,FALSE))," ",(VLOOKUP(C2180,'[1]خريطة الحسابات'!_xlnm.Print_Area,5,FALSE)))</f>
        <v xml:space="preserve">تكاليف العمليات </v>
      </c>
      <c r="O2180" s="84" t="s">
        <v>2321</v>
      </c>
      <c r="P2180" s="84" t="s">
        <v>1395</v>
      </c>
    </row>
    <row r="2181" spans="1:16">
      <c r="A2181" s="151">
        <v>67</v>
      </c>
      <c r="B2181" s="131">
        <v>46121</v>
      </c>
      <c r="C2181" s="150" t="s">
        <v>526</v>
      </c>
      <c r="D2181" s="140" t="str">
        <f>IF(ISERROR(VLOOKUP(C2181,'[1]خريطة الحسابات'!_xlnm.Print_Area,3,FALSE))," ",(VLOOKUP(C2181,'[1]خريطة الحسابات'!_xlnm.Print_Area,3,FALSE)))</f>
        <v>اعمال التكسير والهدم والنظافة</v>
      </c>
      <c r="E2181" s="142"/>
      <c r="F2181" s="133">
        <v>313</v>
      </c>
      <c r="G2181" s="133"/>
      <c r="H2181" s="134">
        <f t="shared" si="100"/>
        <v>313</v>
      </c>
      <c r="I2181" s="134">
        <f t="shared" si="100"/>
        <v>0</v>
      </c>
      <c r="J2181" s="134">
        <f t="shared" si="99"/>
        <v>313</v>
      </c>
      <c r="K2181" s="135"/>
      <c r="L2181" s="136" t="str">
        <f t="shared" si="101"/>
        <v>مدين</v>
      </c>
      <c r="M2181" s="137" t="str">
        <f>IF(ISERROR(VLOOKUP(C2181,'[1]خريطة الحسابات'!_xlnm.Print_Area,4,FALSE))," ",(VLOOKUP(C2181,'[1]خريطة الحسابات'!_xlnm.Print_Area,4,FALSE)))</f>
        <v>تكاليف مشروع هاني القرنفل 355</v>
      </c>
      <c r="N2181" s="138" t="str">
        <f>IF(ISERROR(VLOOKUP(C2181,'[1]خريطة الحسابات'!_xlnm.Print_Area,5,FALSE))," ",(VLOOKUP(C2181,'[1]خريطة الحسابات'!_xlnm.Print_Area,5,FALSE)))</f>
        <v xml:space="preserve">تكاليف العمليات </v>
      </c>
      <c r="O2181" s="84" t="s">
        <v>2322</v>
      </c>
      <c r="P2181" s="84" t="s">
        <v>1395</v>
      </c>
    </row>
    <row r="2182" spans="1:16">
      <c r="A2182" s="151">
        <v>67</v>
      </c>
      <c r="B2182" s="131">
        <v>46093</v>
      </c>
      <c r="C2182" s="150" t="s">
        <v>491</v>
      </c>
      <c r="D2182" s="140" t="str">
        <f>IF(ISERROR(VLOOKUP(C2182,'[1]خريطة الحسابات'!_xlnm.Print_Area,3,FALSE))," ",(VLOOKUP(C2182,'[1]خريطة الحسابات'!_xlnm.Print_Area,3,FALSE)))</f>
        <v>اعمال التكسير والهدم والنظافة</v>
      </c>
      <c r="E2182" s="142"/>
      <c r="F2182" s="133">
        <v>475</v>
      </c>
      <c r="G2182" s="133"/>
      <c r="H2182" s="134">
        <f t="shared" si="100"/>
        <v>475</v>
      </c>
      <c r="I2182" s="134">
        <f t="shared" si="100"/>
        <v>0</v>
      </c>
      <c r="J2182" s="134">
        <f t="shared" si="99"/>
        <v>475</v>
      </c>
      <c r="K2182" s="135"/>
      <c r="L2182" s="136" t="str">
        <f t="shared" si="101"/>
        <v>مدين</v>
      </c>
      <c r="M2182" s="137" t="str">
        <f>IF(ISERROR(VLOOKUP(C2182,'[1]خريطة الحسابات'!_xlnm.Print_Area,4,FALSE))," ",(VLOOKUP(C2182,'[1]خريطة الحسابات'!_xlnm.Print_Area,4,FALSE)))</f>
        <v>تكاليف مشروع ياسر القرنفل 354</v>
      </c>
      <c r="N2182" s="138" t="str">
        <f>IF(ISERROR(VLOOKUP(C2182,'[1]خريطة الحسابات'!_xlnm.Print_Area,5,FALSE))," ",(VLOOKUP(C2182,'[1]خريطة الحسابات'!_xlnm.Print_Area,5,FALSE)))</f>
        <v xml:space="preserve">تكاليف العمليات </v>
      </c>
      <c r="O2182" s="84" t="s">
        <v>2319</v>
      </c>
      <c r="P2182" s="84" t="s">
        <v>1393</v>
      </c>
    </row>
    <row r="2183" spans="1:16">
      <c r="A2183" s="151">
        <v>67</v>
      </c>
      <c r="B2183" s="131">
        <v>46096</v>
      </c>
      <c r="C2183" s="150" t="s">
        <v>491</v>
      </c>
      <c r="D2183" s="140" t="str">
        <f>IF(ISERROR(VLOOKUP(C2183,'[1]خريطة الحسابات'!_xlnm.Print_Area,3,FALSE))," ",(VLOOKUP(C2183,'[1]خريطة الحسابات'!_xlnm.Print_Area,3,FALSE)))</f>
        <v>اعمال التكسير والهدم والنظافة</v>
      </c>
      <c r="E2183" s="142"/>
      <c r="F2183" s="133">
        <v>15185</v>
      </c>
      <c r="G2183" s="133"/>
      <c r="H2183" s="134">
        <f t="shared" si="100"/>
        <v>15185</v>
      </c>
      <c r="I2183" s="134">
        <f t="shared" si="100"/>
        <v>0</v>
      </c>
      <c r="J2183" s="134">
        <f t="shared" si="99"/>
        <v>15185</v>
      </c>
      <c r="K2183" s="135"/>
      <c r="L2183" s="136" t="str">
        <f t="shared" si="101"/>
        <v>مدين</v>
      </c>
      <c r="M2183" s="137" t="str">
        <f>IF(ISERROR(VLOOKUP(C2183,'[1]خريطة الحسابات'!_xlnm.Print_Area,4,FALSE))," ",(VLOOKUP(C2183,'[1]خريطة الحسابات'!_xlnm.Print_Area,4,FALSE)))</f>
        <v>تكاليف مشروع ياسر القرنفل 354</v>
      </c>
      <c r="N2183" s="138" t="str">
        <f>IF(ISERROR(VLOOKUP(C2183,'[1]خريطة الحسابات'!_xlnm.Print_Area,5,FALSE))," ",(VLOOKUP(C2183,'[1]خريطة الحسابات'!_xlnm.Print_Area,5,FALSE)))</f>
        <v xml:space="preserve">تكاليف العمليات </v>
      </c>
      <c r="O2183" s="84" t="s">
        <v>2320</v>
      </c>
      <c r="P2183" s="84" t="s">
        <v>1393</v>
      </c>
    </row>
    <row r="2184" spans="1:16">
      <c r="A2184" s="151">
        <v>67</v>
      </c>
      <c r="B2184" s="131">
        <v>46096</v>
      </c>
      <c r="C2184" s="150" t="s">
        <v>491</v>
      </c>
      <c r="D2184" s="140" t="str">
        <f>IF(ISERROR(VLOOKUP(C2184,'[1]خريطة الحسابات'!_xlnm.Print_Area,3,FALSE))," ",(VLOOKUP(C2184,'[1]خريطة الحسابات'!_xlnm.Print_Area,3,FALSE)))</f>
        <v>اعمال التكسير والهدم والنظافة</v>
      </c>
      <c r="E2184" s="142"/>
      <c r="F2184" s="133">
        <v>500</v>
      </c>
      <c r="G2184" s="133"/>
      <c r="H2184" s="134">
        <f t="shared" si="100"/>
        <v>500</v>
      </c>
      <c r="I2184" s="134">
        <f t="shared" si="100"/>
        <v>0</v>
      </c>
      <c r="J2184" s="134">
        <f t="shared" si="99"/>
        <v>500</v>
      </c>
      <c r="K2184" s="135"/>
      <c r="L2184" s="136" t="str">
        <f t="shared" si="101"/>
        <v>مدين</v>
      </c>
      <c r="M2184" s="137" t="str">
        <f>IF(ISERROR(VLOOKUP(C2184,'[1]خريطة الحسابات'!_xlnm.Print_Area,4,FALSE))," ",(VLOOKUP(C2184,'[1]خريطة الحسابات'!_xlnm.Print_Area,4,FALSE)))</f>
        <v>تكاليف مشروع ياسر القرنفل 354</v>
      </c>
      <c r="N2184" s="138" t="str">
        <f>IF(ISERROR(VLOOKUP(C2184,'[1]خريطة الحسابات'!_xlnm.Print_Area,5,FALSE))," ",(VLOOKUP(C2184,'[1]خريطة الحسابات'!_xlnm.Print_Area,5,FALSE)))</f>
        <v xml:space="preserve">تكاليف العمليات </v>
      </c>
      <c r="O2184" s="84" t="s">
        <v>2313</v>
      </c>
      <c r="P2184" s="84" t="s">
        <v>1393</v>
      </c>
    </row>
    <row r="2185" spans="1:16">
      <c r="A2185" s="151">
        <v>67</v>
      </c>
      <c r="B2185" s="131">
        <v>46109</v>
      </c>
      <c r="C2185" s="150" t="s">
        <v>491</v>
      </c>
      <c r="D2185" s="140" t="str">
        <f>IF(ISERROR(VLOOKUP(C2185,'[1]خريطة الحسابات'!_xlnm.Print_Area,3,FALSE))," ",(VLOOKUP(C2185,'[1]خريطة الحسابات'!_xlnm.Print_Area,3,FALSE)))</f>
        <v>اعمال التكسير والهدم والنظافة</v>
      </c>
      <c r="E2185" s="142"/>
      <c r="F2185" s="133">
        <v>915</v>
      </c>
      <c r="G2185" s="133"/>
      <c r="H2185" s="134">
        <f t="shared" si="100"/>
        <v>915</v>
      </c>
      <c r="I2185" s="134">
        <f t="shared" si="100"/>
        <v>0</v>
      </c>
      <c r="J2185" s="134">
        <f t="shared" si="99"/>
        <v>915</v>
      </c>
      <c r="K2185" s="135"/>
      <c r="L2185" s="136" t="str">
        <f t="shared" si="101"/>
        <v>مدين</v>
      </c>
      <c r="M2185" s="137" t="str">
        <f>IF(ISERROR(VLOOKUP(C2185,'[1]خريطة الحسابات'!_xlnm.Print_Area,4,FALSE))," ",(VLOOKUP(C2185,'[1]خريطة الحسابات'!_xlnm.Print_Area,4,FALSE)))</f>
        <v>تكاليف مشروع ياسر القرنفل 354</v>
      </c>
      <c r="N2185" s="138" t="str">
        <f>IF(ISERROR(VLOOKUP(C2185,'[1]خريطة الحسابات'!_xlnm.Print_Area,5,FALSE))," ",(VLOOKUP(C2185,'[1]خريطة الحسابات'!_xlnm.Print_Area,5,FALSE)))</f>
        <v xml:space="preserve">تكاليف العمليات </v>
      </c>
      <c r="O2185" s="84" t="s">
        <v>2321</v>
      </c>
      <c r="P2185" s="84" t="s">
        <v>1393</v>
      </c>
    </row>
    <row r="2186" spans="1:16">
      <c r="A2186" s="151">
        <v>67</v>
      </c>
      <c r="B2186" s="131">
        <v>46121</v>
      </c>
      <c r="C2186" s="150" t="s">
        <v>491</v>
      </c>
      <c r="D2186" s="140" t="str">
        <f>IF(ISERROR(VLOOKUP(C2186,'[1]خريطة الحسابات'!_xlnm.Print_Area,3,FALSE))," ",(VLOOKUP(C2186,'[1]خريطة الحسابات'!_xlnm.Print_Area,3,FALSE)))</f>
        <v>اعمال التكسير والهدم والنظافة</v>
      </c>
      <c r="E2186" s="142"/>
      <c r="F2186" s="133">
        <v>313</v>
      </c>
      <c r="G2186" s="133"/>
      <c r="H2186" s="134">
        <f t="shared" si="100"/>
        <v>313</v>
      </c>
      <c r="I2186" s="134">
        <f t="shared" si="100"/>
        <v>0</v>
      </c>
      <c r="J2186" s="134">
        <f t="shared" si="99"/>
        <v>313</v>
      </c>
      <c r="K2186" s="135"/>
      <c r="L2186" s="136" t="str">
        <f t="shared" si="101"/>
        <v>مدين</v>
      </c>
      <c r="M2186" s="137" t="str">
        <f>IF(ISERROR(VLOOKUP(C2186,'[1]خريطة الحسابات'!_xlnm.Print_Area,4,FALSE))," ",(VLOOKUP(C2186,'[1]خريطة الحسابات'!_xlnm.Print_Area,4,FALSE)))</f>
        <v>تكاليف مشروع ياسر القرنفل 354</v>
      </c>
      <c r="N2186" s="138" t="str">
        <f>IF(ISERROR(VLOOKUP(C2186,'[1]خريطة الحسابات'!_xlnm.Print_Area,5,FALSE))," ",(VLOOKUP(C2186,'[1]خريطة الحسابات'!_xlnm.Print_Area,5,FALSE)))</f>
        <v xml:space="preserve">تكاليف العمليات </v>
      </c>
      <c r="O2186" s="84" t="s">
        <v>2322</v>
      </c>
      <c r="P2186" s="84" t="s">
        <v>1393</v>
      </c>
    </row>
    <row r="2187" spans="1:16">
      <c r="A2187" s="151">
        <v>67</v>
      </c>
      <c r="B2187" s="131">
        <v>46163</v>
      </c>
      <c r="C2187" s="150" t="s">
        <v>491</v>
      </c>
      <c r="D2187" s="140" t="str">
        <f>IF(ISERROR(VLOOKUP(C2187,'[1]خريطة الحسابات'!_xlnm.Print_Area,3,FALSE))," ",(VLOOKUP(C2187,'[1]خريطة الحسابات'!_xlnm.Print_Area,3,FALSE)))</f>
        <v>اعمال التكسير والهدم والنظافة</v>
      </c>
      <c r="E2187" s="142"/>
      <c r="F2187" s="133">
        <v>4500</v>
      </c>
      <c r="G2187" s="133"/>
      <c r="H2187" s="134">
        <f t="shared" si="100"/>
        <v>4500</v>
      </c>
      <c r="I2187" s="134">
        <f t="shared" si="100"/>
        <v>0</v>
      </c>
      <c r="J2187" s="134">
        <f t="shared" si="99"/>
        <v>4500</v>
      </c>
      <c r="K2187" s="135"/>
      <c r="L2187" s="136" t="str">
        <f t="shared" si="101"/>
        <v>مدين</v>
      </c>
      <c r="M2187" s="137" t="str">
        <f>IF(ISERROR(VLOOKUP(C2187,'[1]خريطة الحسابات'!_xlnm.Print_Area,4,FALSE))," ",(VLOOKUP(C2187,'[1]خريطة الحسابات'!_xlnm.Print_Area,4,FALSE)))</f>
        <v>تكاليف مشروع ياسر القرنفل 354</v>
      </c>
      <c r="N2187" s="138" t="str">
        <f>IF(ISERROR(VLOOKUP(C2187,'[1]خريطة الحسابات'!_xlnm.Print_Area,5,FALSE))," ",(VLOOKUP(C2187,'[1]خريطة الحسابات'!_xlnm.Print_Area,5,FALSE)))</f>
        <v xml:space="preserve">تكاليف العمليات </v>
      </c>
      <c r="O2187" s="84" t="s">
        <v>2323</v>
      </c>
      <c r="P2187" s="84" t="s">
        <v>1393</v>
      </c>
    </row>
    <row r="2188" spans="1:16">
      <c r="A2188" s="151">
        <v>67</v>
      </c>
      <c r="B2188" s="131">
        <v>46184</v>
      </c>
      <c r="C2188" s="150" t="s">
        <v>491</v>
      </c>
      <c r="D2188" s="140" t="str">
        <f>IF(ISERROR(VLOOKUP(C2188,'[1]خريطة الحسابات'!_xlnm.Print_Area,3,FALSE))," ",(VLOOKUP(C2188,'[1]خريطة الحسابات'!_xlnm.Print_Area,3,FALSE)))</f>
        <v>اعمال التكسير والهدم والنظافة</v>
      </c>
      <c r="E2188" s="142"/>
      <c r="F2188" s="133">
        <v>1950</v>
      </c>
      <c r="G2188" s="133"/>
      <c r="H2188" s="134">
        <f t="shared" si="100"/>
        <v>1950</v>
      </c>
      <c r="I2188" s="134">
        <f t="shared" si="100"/>
        <v>0</v>
      </c>
      <c r="J2188" s="134">
        <f t="shared" si="99"/>
        <v>1950</v>
      </c>
      <c r="K2188" s="135"/>
      <c r="L2188" s="136" t="str">
        <f t="shared" si="101"/>
        <v>مدين</v>
      </c>
      <c r="M2188" s="137" t="str">
        <f>IF(ISERROR(VLOOKUP(C2188,'[1]خريطة الحسابات'!_xlnm.Print_Area,4,FALSE))," ",(VLOOKUP(C2188,'[1]خريطة الحسابات'!_xlnm.Print_Area,4,FALSE)))</f>
        <v>تكاليف مشروع ياسر القرنفل 354</v>
      </c>
      <c r="N2188" s="138" t="str">
        <f>IF(ISERROR(VLOOKUP(C2188,'[1]خريطة الحسابات'!_xlnm.Print_Area,5,FALSE))," ",(VLOOKUP(C2188,'[1]خريطة الحسابات'!_xlnm.Print_Area,5,FALSE)))</f>
        <v xml:space="preserve">تكاليف العمليات </v>
      </c>
      <c r="O2188" s="84" t="s">
        <v>2324</v>
      </c>
      <c r="P2188" s="84" t="s">
        <v>1393</v>
      </c>
    </row>
    <row r="2189" spans="1:16">
      <c r="A2189" s="151">
        <v>67</v>
      </c>
      <c r="B2189" s="131">
        <v>46152</v>
      </c>
      <c r="C2189" s="150">
        <v>20</v>
      </c>
      <c r="D2189" s="140" t="str">
        <f>IF(ISERROR(VLOOKUP(C2189,'[1]خريطة الحسابات'!_xlnm.Print_Area,3,FALSE))," ",(VLOOKUP(C2189,'[1]خريطة الحسابات'!_xlnm.Print_Area,3,FALSE)))</f>
        <v xml:space="preserve">الخزينة </v>
      </c>
      <c r="E2189" s="142"/>
      <c r="F2189" s="133"/>
      <c r="G2189" s="133">
        <v>5600</v>
      </c>
      <c r="H2189" s="134">
        <f t="shared" si="100"/>
        <v>0</v>
      </c>
      <c r="I2189" s="134">
        <f t="shared" si="100"/>
        <v>5600</v>
      </c>
      <c r="J2189" s="134">
        <f t="shared" si="99"/>
        <v>-5600</v>
      </c>
      <c r="K2189" s="135"/>
      <c r="L2189" s="136" t="str">
        <f t="shared" si="101"/>
        <v>دائن</v>
      </c>
      <c r="M2189" s="137" t="str">
        <f>IF(ISERROR(VLOOKUP(C2189,'[1]خريطة الحسابات'!_xlnm.Print_Area,4,FALSE))," ",(VLOOKUP(C2189,'[1]خريطة الحسابات'!_xlnm.Print_Area,4,FALSE)))</f>
        <v xml:space="preserve">أصول متداوله -النقدية ومافي حكمها </v>
      </c>
      <c r="N2189" s="138" t="str">
        <f>IF(ISERROR(VLOOKUP(C2189,'[1]خريطة الحسابات'!_xlnm.Print_Area,5,FALSE))," ",(VLOOKUP(C2189,'[1]خريطة الحسابات'!_xlnm.Print_Area,5,FALSE)))</f>
        <v>الاصول</v>
      </c>
      <c r="O2189" s="84" t="s">
        <v>2259</v>
      </c>
      <c r="P2189" s="84" t="s">
        <v>1345</v>
      </c>
    </row>
    <row r="2190" spans="1:16">
      <c r="A2190" s="151">
        <v>67</v>
      </c>
      <c r="B2190" s="131">
        <v>46153</v>
      </c>
      <c r="C2190" s="150">
        <v>20</v>
      </c>
      <c r="D2190" s="140" t="str">
        <f>IF(ISERROR(VLOOKUP(C2190,'[1]خريطة الحسابات'!_xlnm.Print_Area,3,FALSE))," ",(VLOOKUP(C2190,'[1]خريطة الحسابات'!_xlnm.Print_Area,3,FALSE)))</f>
        <v xml:space="preserve">الخزينة </v>
      </c>
      <c r="E2190" s="142"/>
      <c r="F2190" s="133"/>
      <c r="G2190" s="133">
        <v>36770</v>
      </c>
      <c r="H2190" s="134">
        <f t="shared" si="100"/>
        <v>0</v>
      </c>
      <c r="I2190" s="134">
        <f t="shared" si="100"/>
        <v>36770</v>
      </c>
      <c r="J2190" s="134">
        <f t="shared" si="99"/>
        <v>-36770</v>
      </c>
      <c r="K2190" s="135"/>
      <c r="L2190" s="136" t="str">
        <f t="shared" si="101"/>
        <v>دائن</v>
      </c>
      <c r="M2190" s="137" t="str">
        <f>IF(ISERROR(VLOOKUP(C2190,'[1]خريطة الحسابات'!_xlnm.Print_Area,4,FALSE))," ",(VLOOKUP(C2190,'[1]خريطة الحسابات'!_xlnm.Print_Area,4,FALSE)))</f>
        <v xml:space="preserve">أصول متداوله -النقدية ومافي حكمها </v>
      </c>
      <c r="N2190" s="138" t="str">
        <f>IF(ISERROR(VLOOKUP(C2190,'[1]خريطة الحسابات'!_xlnm.Print_Area,5,FALSE))," ",(VLOOKUP(C2190,'[1]خريطة الحسابات'!_xlnm.Print_Area,5,FALSE)))</f>
        <v>الاصول</v>
      </c>
      <c r="O2190" s="84" t="s">
        <v>2260</v>
      </c>
      <c r="P2190" s="84" t="s">
        <v>1345</v>
      </c>
    </row>
    <row r="2191" spans="1:16">
      <c r="A2191" s="151">
        <v>67</v>
      </c>
      <c r="B2191" s="131">
        <v>46154</v>
      </c>
      <c r="C2191" s="150">
        <v>20</v>
      </c>
      <c r="D2191" s="140" t="str">
        <f>IF(ISERROR(VLOOKUP(C2191,'[1]خريطة الحسابات'!_xlnm.Print_Area,3,FALSE))," ",(VLOOKUP(C2191,'[1]خريطة الحسابات'!_xlnm.Print_Area,3,FALSE)))</f>
        <v xml:space="preserve">الخزينة </v>
      </c>
      <c r="E2191" s="142"/>
      <c r="F2191" s="133"/>
      <c r="G2191" s="133">
        <v>3050</v>
      </c>
      <c r="H2191" s="134">
        <f t="shared" si="100"/>
        <v>0</v>
      </c>
      <c r="I2191" s="134">
        <f t="shared" si="100"/>
        <v>3050</v>
      </c>
      <c r="J2191" s="134">
        <f t="shared" si="99"/>
        <v>-3050</v>
      </c>
      <c r="K2191" s="135"/>
      <c r="L2191" s="136" t="str">
        <f t="shared" si="101"/>
        <v>دائن</v>
      </c>
      <c r="M2191" s="137" t="str">
        <f>IF(ISERROR(VLOOKUP(C2191,'[1]خريطة الحسابات'!_xlnm.Print_Area,4,FALSE))," ",(VLOOKUP(C2191,'[1]خريطة الحسابات'!_xlnm.Print_Area,4,FALSE)))</f>
        <v xml:space="preserve">أصول متداوله -النقدية ومافي حكمها </v>
      </c>
      <c r="N2191" s="138" t="str">
        <f>IF(ISERROR(VLOOKUP(C2191,'[1]خريطة الحسابات'!_xlnm.Print_Area,5,FALSE))," ",(VLOOKUP(C2191,'[1]خريطة الحسابات'!_xlnm.Print_Area,5,FALSE)))</f>
        <v>الاصول</v>
      </c>
      <c r="O2191" s="84" t="s">
        <v>2261</v>
      </c>
      <c r="P2191" s="84" t="s">
        <v>1345</v>
      </c>
    </row>
    <row r="2192" spans="1:16">
      <c r="A2192" s="151">
        <v>67</v>
      </c>
      <c r="B2192" s="131">
        <v>46156</v>
      </c>
      <c r="C2192" s="150">
        <v>20</v>
      </c>
      <c r="D2192" s="140" t="str">
        <f>IF(ISERROR(VLOOKUP(C2192,'[1]خريطة الحسابات'!_xlnm.Print_Area,3,FALSE))," ",(VLOOKUP(C2192,'[1]خريطة الحسابات'!_xlnm.Print_Area,3,FALSE)))</f>
        <v xml:space="preserve">الخزينة </v>
      </c>
      <c r="E2192" s="142"/>
      <c r="F2192" s="133"/>
      <c r="G2192" s="133">
        <v>2300</v>
      </c>
      <c r="H2192" s="134">
        <f t="shared" si="100"/>
        <v>0</v>
      </c>
      <c r="I2192" s="134">
        <f t="shared" si="100"/>
        <v>2300</v>
      </c>
      <c r="J2192" s="134">
        <f t="shared" si="99"/>
        <v>-2300</v>
      </c>
      <c r="K2192" s="135"/>
      <c r="L2192" s="136" t="str">
        <f t="shared" si="101"/>
        <v>دائن</v>
      </c>
      <c r="M2192" s="137" t="str">
        <f>IF(ISERROR(VLOOKUP(C2192,'[1]خريطة الحسابات'!_xlnm.Print_Area,4,FALSE))," ",(VLOOKUP(C2192,'[1]خريطة الحسابات'!_xlnm.Print_Area,4,FALSE)))</f>
        <v xml:space="preserve">أصول متداوله -النقدية ومافي حكمها </v>
      </c>
      <c r="N2192" s="138" t="str">
        <f>IF(ISERROR(VLOOKUP(C2192,'[1]خريطة الحسابات'!_xlnm.Print_Area,5,FALSE))," ",(VLOOKUP(C2192,'[1]خريطة الحسابات'!_xlnm.Print_Area,5,FALSE)))</f>
        <v>الاصول</v>
      </c>
      <c r="O2192" s="84" t="s">
        <v>2262</v>
      </c>
      <c r="P2192" s="84" t="s">
        <v>1345</v>
      </c>
    </row>
    <row r="2193" spans="1:16">
      <c r="A2193" s="151">
        <v>67</v>
      </c>
      <c r="B2193" s="131">
        <v>46046</v>
      </c>
      <c r="C2193" s="150">
        <v>20</v>
      </c>
      <c r="D2193" s="140" t="str">
        <f>IF(ISERROR(VLOOKUP(C2193,'[1]خريطة الحسابات'!_xlnm.Print_Area,3,FALSE))," ",(VLOOKUP(C2193,'[1]خريطة الحسابات'!_xlnm.Print_Area,3,FALSE)))</f>
        <v xml:space="preserve">الخزينة </v>
      </c>
      <c r="E2193" s="142"/>
      <c r="F2193" s="133"/>
      <c r="G2193" s="133">
        <v>30</v>
      </c>
      <c r="H2193" s="134">
        <f t="shared" si="100"/>
        <v>0</v>
      </c>
      <c r="I2193" s="134">
        <f t="shared" si="100"/>
        <v>30</v>
      </c>
      <c r="J2193" s="134">
        <f t="shared" si="99"/>
        <v>-30</v>
      </c>
      <c r="K2193" s="135"/>
      <c r="L2193" s="136" t="str">
        <f t="shared" si="101"/>
        <v>دائن</v>
      </c>
      <c r="M2193" s="137" t="str">
        <f>IF(ISERROR(VLOOKUP(C2193,'[1]خريطة الحسابات'!_xlnm.Print_Area,4,FALSE))," ",(VLOOKUP(C2193,'[1]خريطة الحسابات'!_xlnm.Print_Area,4,FALSE)))</f>
        <v xml:space="preserve">أصول متداوله -النقدية ومافي حكمها </v>
      </c>
      <c r="N2193" s="138" t="str">
        <f>IF(ISERROR(VLOOKUP(C2193,'[1]خريطة الحسابات'!_xlnm.Print_Area,5,FALSE))," ",(VLOOKUP(C2193,'[1]خريطة الحسابات'!_xlnm.Print_Area,5,FALSE)))</f>
        <v>الاصول</v>
      </c>
      <c r="O2193" s="84" t="s">
        <v>2263</v>
      </c>
      <c r="P2193" s="84" t="s">
        <v>1310</v>
      </c>
    </row>
    <row r="2194" spans="1:16">
      <c r="A2194" s="151">
        <v>67</v>
      </c>
      <c r="B2194" s="131">
        <v>46058</v>
      </c>
      <c r="C2194" s="150">
        <v>20</v>
      </c>
      <c r="D2194" s="140" t="str">
        <f>IF(ISERROR(VLOOKUP(C2194,'[1]خريطة الحسابات'!_xlnm.Print_Area,3,FALSE))," ",(VLOOKUP(C2194,'[1]خريطة الحسابات'!_xlnm.Print_Area,3,FALSE)))</f>
        <v xml:space="preserve">الخزينة </v>
      </c>
      <c r="E2194" s="142"/>
      <c r="F2194" s="133"/>
      <c r="G2194" s="133">
        <v>3200</v>
      </c>
      <c r="H2194" s="134">
        <f t="shared" si="100"/>
        <v>0</v>
      </c>
      <c r="I2194" s="134">
        <f t="shared" si="100"/>
        <v>3200</v>
      </c>
      <c r="J2194" s="134">
        <f t="shared" si="99"/>
        <v>-3200</v>
      </c>
      <c r="K2194" s="135"/>
      <c r="L2194" s="136" t="str">
        <f t="shared" si="101"/>
        <v>دائن</v>
      </c>
      <c r="M2194" s="137" t="str">
        <f>IF(ISERROR(VLOOKUP(C2194,'[1]خريطة الحسابات'!_xlnm.Print_Area,4,FALSE))," ",(VLOOKUP(C2194,'[1]خريطة الحسابات'!_xlnm.Print_Area,4,FALSE)))</f>
        <v xml:space="preserve">أصول متداوله -النقدية ومافي حكمها </v>
      </c>
      <c r="N2194" s="138" t="str">
        <f>IF(ISERROR(VLOOKUP(C2194,'[1]خريطة الحسابات'!_xlnm.Print_Area,5,FALSE))," ",(VLOOKUP(C2194,'[1]خريطة الحسابات'!_xlnm.Print_Area,5,FALSE)))</f>
        <v>الاصول</v>
      </c>
      <c r="O2194" s="84" t="s">
        <v>2264</v>
      </c>
      <c r="P2194" s="84" t="s">
        <v>1299</v>
      </c>
    </row>
    <row r="2195" spans="1:16">
      <c r="A2195" s="151">
        <v>67</v>
      </c>
      <c r="B2195" s="131">
        <v>46039</v>
      </c>
      <c r="C2195" s="150">
        <v>20</v>
      </c>
      <c r="D2195" s="140" t="str">
        <f>IF(ISERROR(VLOOKUP(C2195,'[1]خريطة الحسابات'!_xlnm.Print_Area,3,FALSE))," ",(VLOOKUP(C2195,'[1]خريطة الحسابات'!_xlnm.Print_Area,3,FALSE)))</f>
        <v xml:space="preserve">الخزينة </v>
      </c>
      <c r="E2195" s="142"/>
      <c r="F2195" s="133"/>
      <c r="G2195" s="133">
        <v>750</v>
      </c>
      <c r="H2195" s="134">
        <f t="shared" si="100"/>
        <v>0</v>
      </c>
      <c r="I2195" s="134">
        <f t="shared" si="100"/>
        <v>750</v>
      </c>
      <c r="J2195" s="134">
        <f t="shared" si="99"/>
        <v>-750</v>
      </c>
      <c r="K2195" s="135"/>
      <c r="L2195" s="136" t="str">
        <f t="shared" si="101"/>
        <v>دائن</v>
      </c>
      <c r="M2195" s="137" t="str">
        <f>IF(ISERROR(VLOOKUP(C2195,'[1]خريطة الحسابات'!_xlnm.Print_Area,4,FALSE))," ",(VLOOKUP(C2195,'[1]خريطة الحسابات'!_xlnm.Print_Area,4,FALSE)))</f>
        <v xml:space="preserve">أصول متداوله -النقدية ومافي حكمها </v>
      </c>
      <c r="N2195" s="138" t="str">
        <f>IF(ISERROR(VLOOKUP(C2195,'[1]خريطة الحسابات'!_xlnm.Print_Area,5,FALSE))," ",(VLOOKUP(C2195,'[1]خريطة الحسابات'!_xlnm.Print_Area,5,FALSE)))</f>
        <v>الاصول</v>
      </c>
      <c r="O2195" s="84" t="s">
        <v>2265</v>
      </c>
      <c r="P2195" s="84" t="s">
        <v>1304</v>
      </c>
    </row>
    <row r="2196" spans="1:16">
      <c r="A2196" s="151">
        <v>67</v>
      </c>
      <c r="B2196" s="131">
        <v>46046</v>
      </c>
      <c r="C2196" s="150">
        <v>20</v>
      </c>
      <c r="D2196" s="140" t="str">
        <f>IF(ISERROR(VLOOKUP(C2196,'[1]خريطة الحسابات'!_xlnm.Print_Area,3,FALSE))," ",(VLOOKUP(C2196,'[1]خريطة الحسابات'!_xlnm.Print_Area,3,FALSE)))</f>
        <v xml:space="preserve">الخزينة </v>
      </c>
      <c r="E2196" s="142"/>
      <c r="F2196" s="133"/>
      <c r="G2196" s="133">
        <v>150</v>
      </c>
      <c r="H2196" s="134">
        <f t="shared" si="100"/>
        <v>0</v>
      </c>
      <c r="I2196" s="134">
        <f t="shared" si="100"/>
        <v>150</v>
      </c>
      <c r="J2196" s="134">
        <f t="shared" si="99"/>
        <v>-150</v>
      </c>
      <c r="K2196" s="135"/>
      <c r="L2196" s="136" t="str">
        <f t="shared" si="101"/>
        <v>دائن</v>
      </c>
      <c r="M2196" s="137" t="str">
        <f>IF(ISERROR(VLOOKUP(C2196,'[1]خريطة الحسابات'!_xlnm.Print_Area,4,FALSE))," ",(VLOOKUP(C2196,'[1]خريطة الحسابات'!_xlnm.Print_Area,4,FALSE)))</f>
        <v xml:space="preserve">أصول متداوله -النقدية ومافي حكمها </v>
      </c>
      <c r="N2196" s="138" t="str">
        <f>IF(ISERROR(VLOOKUP(C2196,'[1]خريطة الحسابات'!_xlnm.Print_Area,5,FALSE))," ",(VLOOKUP(C2196,'[1]خريطة الحسابات'!_xlnm.Print_Area,5,FALSE)))</f>
        <v>الاصول</v>
      </c>
      <c r="O2196" s="84" t="s">
        <v>2266</v>
      </c>
      <c r="P2196" s="84" t="s">
        <v>1292</v>
      </c>
    </row>
    <row r="2197" spans="1:16">
      <c r="A2197" s="151">
        <v>67</v>
      </c>
      <c r="B2197" s="131">
        <v>46051</v>
      </c>
      <c r="C2197" s="150">
        <v>20</v>
      </c>
      <c r="D2197" s="140" t="str">
        <f>IF(ISERROR(VLOOKUP(C2197,'[1]خريطة الحسابات'!_xlnm.Print_Area,3,FALSE))," ",(VLOOKUP(C2197,'[1]خريطة الحسابات'!_xlnm.Print_Area,3,FALSE)))</f>
        <v xml:space="preserve">الخزينة </v>
      </c>
      <c r="E2197" s="142"/>
      <c r="F2197" s="133"/>
      <c r="G2197" s="133">
        <v>811</v>
      </c>
      <c r="H2197" s="134">
        <f t="shared" si="100"/>
        <v>0</v>
      </c>
      <c r="I2197" s="134">
        <f t="shared" si="100"/>
        <v>811</v>
      </c>
      <c r="J2197" s="134">
        <f t="shared" si="99"/>
        <v>-811</v>
      </c>
      <c r="K2197" s="135"/>
      <c r="L2197" s="136" t="str">
        <f t="shared" si="101"/>
        <v>دائن</v>
      </c>
      <c r="M2197" s="137" t="str">
        <f>IF(ISERROR(VLOOKUP(C2197,'[1]خريطة الحسابات'!_xlnm.Print_Area,4,FALSE))," ",(VLOOKUP(C2197,'[1]خريطة الحسابات'!_xlnm.Print_Area,4,FALSE)))</f>
        <v xml:space="preserve">أصول متداوله -النقدية ومافي حكمها </v>
      </c>
      <c r="N2197" s="138" t="str">
        <f>IF(ISERROR(VLOOKUP(C2197,'[1]خريطة الحسابات'!_xlnm.Print_Area,5,FALSE))," ",(VLOOKUP(C2197,'[1]خريطة الحسابات'!_xlnm.Print_Area,5,FALSE)))</f>
        <v>الاصول</v>
      </c>
      <c r="O2197" s="84" t="s">
        <v>2267</v>
      </c>
      <c r="P2197" s="84" t="s">
        <v>1292</v>
      </c>
    </row>
    <row r="2198" spans="1:16">
      <c r="A2198" s="151">
        <v>67</v>
      </c>
      <c r="B2198" s="131">
        <v>46062</v>
      </c>
      <c r="C2198" s="150">
        <v>20</v>
      </c>
      <c r="D2198" s="140" t="str">
        <f>IF(ISERROR(VLOOKUP(C2198,'[1]خريطة الحسابات'!_xlnm.Print_Area,3,FALSE))," ",(VLOOKUP(C2198,'[1]خريطة الحسابات'!_xlnm.Print_Area,3,FALSE)))</f>
        <v xml:space="preserve">الخزينة </v>
      </c>
      <c r="E2198" s="142"/>
      <c r="F2198" s="133"/>
      <c r="G2198" s="133">
        <v>200</v>
      </c>
      <c r="H2198" s="134">
        <f t="shared" si="100"/>
        <v>0</v>
      </c>
      <c r="I2198" s="134">
        <f t="shared" si="100"/>
        <v>200</v>
      </c>
      <c r="J2198" s="134">
        <f t="shared" si="99"/>
        <v>-200</v>
      </c>
      <c r="K2198" s="135"/>
      <c r="L2198" s="136" t="str">
        <f t="shared" si="101"/>
        <v>دائن</v>
      </c>
      <c r="M2198" s="137" t="str">
        <f>IF(ISERROR(VLOOKUP(C2198,'[1]خريطة الحسابات'!_xlnm.Print_Area,4,FALSE))," ",(VLOOKUP(C2198,'[1]خريطة الحسابات'!_xlnm.Print_Area,4,FALSE)))</f>
        <v xml:space="preserve">أصول متداوله -النقدية ومافي حكمها </v>
      </c>
      <c r="N2198" s="138" t="str">
        <f>IF(ISERROR(VLOOKUP(C2198,'[1]خريطة الحسابات'!_xlnm.Print_Area,5,FALSE))," ",(VLOOKUP(C2198,'[1]خريطة الحسابات'!_xlnm.Print_Area,5,FALSE)))</f>
        <v>الاصول</v>
      </c>
      <c r="O2198" s="84" t="s">
        <v>2268</v>
      </c>
      <c r="P2198" s="84" t="s">
        <v>1292</v>
      </c>
    </row>
    <row r="2199" spans="1:16">
      <c r="A2199" s="151">
        <v>67</v>
      </c>
      <c r="B2199" s="131">
        <v>46093</v>
      </c>
      <c r="C2199" s="150">
        <v>20</v>
      </c>
      <c r="D2199" s="140" t="str">
        <f>IF(ISERROR(VLOOKUP(C2199,'[1]خريطة الحسابات'!_xlnm.Print_Area,3,FALSE))," ",(VLOOKUP(C2199,'[1]خريطة الحسابات'!_xlnm.Print_Area,3,FALSE)))</f>
        <v xml:space="preserve">الخزينة </v>
      </c>
      <c r="E2199" s="142"/>
      <c r="F2199" s="133"/>
      <c r="G2199" s="133">
        <v>750</v>
      </c>
      <c r="H2199" s="134">
        <f t="shared" si="100"/>
        <v>0</v>
      </c>
      <c r="I2199" s="134">
        <f t="shared" si="100"/>
        <v>750</v>
      </c>
      <c r="J2199" s="134">
        <f t="shared" si="99"/>
        <v>-750</v>
      </c>
      <c r="K2199" s="135"/>
      <c r="L2199" s="136" t="str">
        <f t="shared" si="101"/>
        <v>دائن</v>
      </c>
      <c r="M2199" s="137" t="str">
        <f>IF(ISERROR(VLOOKUP(C2199,'[1]خريطة الحسابات'!_xlnm.Print_Area,4,FALSE))," ",(VLOOKUP(C2199,'[1]خريطة الحسابات'!_xlnm.Print_Area,4,FALSE)))</f>
        <v xml:space="preserve">أصول متداوله -النقدية ومافي حكمها </v>
      </c>
      <c r="N2199" s="138" t="str">
        <f>IF(ISERROR(VLOOKUP(C2199,'[1]خريطة الحسابات'!_xlnm.Print_Area,5,FALSE))," ",(VLOOKUP(C2199,'[1]خريطة الحسابات'!_xlnm.Print_Area,5,FALSE)))</f>
        <v>الاصول</v>
      </c>
      <c r="O2199" s="84" t="s">
        <v>2269</v>
      </c>
      <c r="P2199" s="84" t="s">
        <v>1480</v>
      </c>
    </row>
    <row r="2200" spans="1:16">
      <c r="A2200" s="151">
        <v>67</v>
      </c>
      <c r="B2200" s="131">
        <v>46058</v>
      </c>
      <c r="C2200" s="150">
        <v>20</v>
      </c>
      <c r="D2200" s="140" t="str">
        <f>IF(ISERROR(VLOOKUP(C2200,'[1]خريطة الحسابات'!_xlnm.Print_Area,3,FALSE))," ",(VLOOKUP(C2200,'[1]خريطة الحسابات'!_xlnm.Print_Area,3,FALSE)))</f>
        <v xml:space="preserve">الخزينة </v>
      </c>
      <c r="E2200" s="142"/>
      <c r="F2200" s="133"/>
      <c r="G2200" s="133">
        <v>380</v>
      </c>
      <c r="H2200" s="134">
        <f t="shared" si="100"/>
        <v>0</v>
      </c>
      <c r="I2200" s="134">
        <f t="shared" si="100"/>
        <v>380</v>
      </c>
      <c r="J2200" s="134">
        <f t="shared" ref="J2200:J2263" si="102">H2200-I2200</f>
        <v>-380</v>
      </c>
      <c r="K2200" s="135"/>
      <c r="L2200" s="136" t="str">
        <f t="shared" si="101"/>
        <v>دائن</v>
      </c>
      <c r="M2200" s="137" t="str">
        <f>IF(ISERROR(VLOOKUP(C2200,'[1]خريطة الحسابات'!_xlnm.Print_Area,4,FALSE))," ",(VLOOKUP(C2200,'[1]خريطة الحسابات'!_xlnm.Print_Area,4,FALSE)))</f>
        <v xml:space="preserve">أصول متداوله -النقدية ومافي حكمها </v>
      </c>
      <c r="N2200" s="138" t="str">
        <f>IF(ISERROR(VLOOKUP(C2200,'[1]خريطة الحسابات'!_xlnm.Print_Area,5,FALSE))," ",(VLOOKUP(C2200,'[1]خريطة الحسابات'!_xlnm.Print_Area,5,FALSE)))</f>
        <v>الاصول</v>
      </c>
      <c r="O2200" s="84" t="s">
        <v>2270</v>
      </c>
      <c r="P2200" s="84" t="s">
        <v>1295</v>
      </c>
    </row>
    <row r="2201" spans="1:16">
      <c r="A2201" s="151">
        <v>67</v>
      </c>
      <c r="B2201" s="131">
        <v>46058</v>
      </c>
      <c r="C2201" s="150">
        <v>20</v>
      </c>
      <c r="D2201" s="140" t="str">
        <f>IF(ISERROR(VLOOKUP(C2201,'[1]خريطة الحسابات'!_xlnm.Print_Area,3,FALSE))," ",(VLOOKUP(C2201,'[1]خريطة الحسابات'!_xlnm.Print_Area,3,FALSE)))</f>
        <v xml:space="preserve">الخزينة </v>
      </c>
      <c r="E2201" s="142"/>
      <c r="F2201" s="133"/>
      <c r="G2201" s="133">
        <v>600</v>
      </c>
      <c r="H2201" s="134">
        <f t="shared" ref="H2201:I2264" si="103">IF($E2201=2,F2201*3.465,F2201)</f>
        <v>0</v>
      </c>
      <c r="I2201" s="134">
        <f t="shared" si="103"/>
        <v>600</v>
      </c>
      <c r="J2201" s="134">
        <f t="shared" si="102"/>
        <v>-600</v>
      </c>
      <c r="K2201" s="135"/>
      <c r="L2201" s="136" t="str">
        <f t="shared" si="101"/>
        <v>دائن</v>
      </c>
      <c r="M2201" s="137" t="str">
        <f>IF(ISERROR(VLOOKUP(C2201,'[1]خريطة الحسابات'!_xlnm.Print_Area,4,FALSE))," ",(VLOOKUP(C2201,'[1]خريطة الحسابات'!_xlnm.Print_Area,4,FALSE)))</f>
        <v xml:space="preserve">أصول متداوله -النقدية ومافي حكمها </v>
      </c>
      <c r="N2201" s="138" t="str">
        <f>IF(ISERROR(VLOOKUP(C2201,'[1]خريطة الحسابات'!_xlnm.Print_Area,5,FALSE))," ",(VLOOKUP(C2201,'[1]خريطة الحسابات'!_xlnm.Print_Area,5,FALSE)))</f>
        <v>الاصول</v>
      </c>
      <c r="O2201" s="84" t="s">
        <v>2271</v>
      </c>
      <c r="P2201" s="84" t="s">
        <v>1327</v>
      </c>
    </row>
    <row r="2202" spans="1:16">
      <c r="A2202" s="151">
        <v>67</v>
      </c>
      <c r="B2202" s="131">
        <v>46034</v>
      </c>
      <c r="C2202" s="150">
        <v>20</v>
      </c>
      <c r="D2202" s="140" t="str">
        <f>IF(ISERROR(VLOOKUP(C2202,'[1]خريطة الحسابات'!_xlnm.Print_Area,3,FALSE))," ",(VLOOKUP(C2202,'[1]خريطة الحسابات'!_xlnm.Print_Area,3,FALSE)))</f>
        <v xml:space="preserve">الخزينة </v>
      </c>
      <c r="E2202" s="142"/>
      <c r="F2202" s="133"/>
      <c r="G2202" s="133">
        <v>500</v>
      </c>
      <c r="H2202" s="134">
        <f t="shared" si="103"/>
        <v>0</v>
      </c>
      <c r="I2202" s="134">
        <f t="shared" si="103"/>
        <v>500</v>
      </c>
      <c r="J2202" s="134">
        <f t="shared" si="102"/>
        <v>-500</v>
      </c>
      <c r="K2202" s="135"/>
      <c r="L2202" s="136" t="str">
        <f t="shared" si="101"/>
        <v>دائن</v>
      </c>
      <c r="M2202" s="137" t="str">
        <f>IF(ISERROR(VLOOKUP(C2202,'[1]خريطة الحسابات'!_xlnm.Print_Area,4,FALSE))," ",(VLOOKUP(C2202,'[1]خريطة الحسابات'!_xlnm.Print_Area,4,FALSE)))</f>
        <v xml:space="preserve">أصول متداوله -النقدية ومافي حكمها </v>
      </c>
      <c r="N2202" s="138" t="str">
        <f>IF(ISERROR(VLOOKUP(C2202,'[1]خريطة الحسابات'!_xlnm.Print_Area,5,FALSE))," ",(VLOOKUP(C2202,'[1]خريطة الحسابات'!_xlnm.Print_Area,5,FALSE)))</f>
        <v>الاصول</v>
      </c>
      <c r="O2202" s="84" t="s">
        <v>2272</v>
      </c>
      <c r="P2202" s="84" t="s">
        <v>1290</v>
      </c>
    </row>
    <row r="2203" spans="1:16">
      <c r="A2203" s="151">
        <v>67</v>
      </c>
      <c r="B2203" s="131">
        <v>46035</v>
      </c>
      <c r="C2203" s="150">
        <v>20</v>
      </c>
      <c r="D2203" s="140" t="str">
        <f>IF(ISERROR(VLOOKUP(C2203,'[1]خريطة الحسابات'!_xlnm.Print_Area,3,FALSE))," ",(VLOOKUP(C2203,'[1]خريطة الحسابات'!_xlnm.Print_Area,3,FALSE)))</f>
        <v xml:space="preserve">الخزينة </v>
      </c>
      <c r="E2203" s="142"/>
      <c r="F2203" s="133"/>
      <c r="G2203" s="133">
        <v>400</v>
      </c>
      <c r="H2203" s="134">
        <f t="shared" si="103"/>
        <v>0</v>
      </c>
      <c r="I2203" s="134">
        <f t="shared" si="103"/>
        <v>400</v>
      </c>
      <c r="J2203" s="134">
        <f t="shared" si="102"/>
        <v>-400</v>
      </c>
      <c r="K2203" s="135"/>
      <c r="L2203" s="136" t="str">
        <f t="shared" ref="L2203:L2266" si="104">IF(J2203&lt;0,"دائن",IF(J2203&gt;0,"مدين",""))</f>
        <v>دائن</v>
      </c>
      <c r="M2203" s="137" t="str">
        <f>IF(ISERROR(VLOOKUP(C2203,'[1]خريطة الحسابات'!_xlnm.Print_Area,4,FALSE))," ",(VLOOKUP(C2203,'[1]خريطة الحسابات'!_xlnm.Print_Area,4,FALSE)))</f>
        <v xml:space="preserve">أصول متداوله -النقدية ومافي حكمها </v>
      </c>
      <c r="N2203" s="138" t="str">
        <f>IF(ISERROR(VLOOKUP(C2203,'[1]خريطة الحسابات'!_xlnm.Print_Area,5,FALSE))," ",(VLOOKUP(C2203,'[1]خريطة الحسابات'!_xlnm.Print_Area,5,FALSE)))</f>
        <v>الاصول</v>
      </c>
      <c r="O2203" s="84" t="s">
        <v>2273</v>
      </c>
      <c r="P2203" s="84" t="s">
        <v>1290</v>
      </c>
    </row>
    <row r="2204" spans="1:16">
      <c r="A2204" s="151">
        <v>67</v>
      </c>
      <c r="B2204" s="131">
        <v>46042</v>
      </c>
      <c r="C2204" s="150">
        <v>20</v>
      </c>
      <c r="D2204" s="140" t="str">
        <f>IF(ISERROR(VLOOKUP(C2204,'[1]خريطة الحسابات'!_xlnm.Print_Area,3,FALSE))," ",(VLOOKUP(C2204,'[1]خريطة الحسابات'!_xlnm.Print_Area,3,FALSE)))</f>
        <v xml:space="preserve">الخزينة </v>
      </c>
      <c r="E2204" s="142"/>
      <c r="F2204" s="133"/>
      <c r="G2204" s="133">
        <v>2000</v>
      </c>
      <c r="H2204" s="134">
        <f t="shared" si="103"/>
        <v>0</v>
      </c>
      <c r="I2204" s="134">
        <f t="shared" si="103"/>
        <v>2000</v>
      </c>
      <c r="J2204" s="134">
        <f t="shared" si="102"/>
        <v>-2000</v>
      </c>
      <c r="K2204" s="135"/>
      <c r="L2204" s="136" t="str">
        <f t="shared" si="104"/>
        <v>دائن</v>
      </c>
      <c r="M2204" s="137" t="str">
        <f>IF(ISERROR(VLOOKUP(C2204,'[1]خريطة الحسابات'!_xlnm.Print_Area,4,FALSE))," ",(VLOOKUP(C2204,'[1]خريطة الحسابات'!_xlnm.Print_Area,4,FALSE)))</f>
        <v xml:space="preserve">أصول متداوله -النقدية ومافي حكمها </v>
      </c>
      <c r="N2204" s="138" t="str">
        <f>IF(ISERROR(VLOOKUP(C2204,'[1]خريطة الحسابات'!_xlnm.Print_Area,5,FALSE))," ",(VLOOKUP(C2204,'[1]خريطة الحسابات'!_xlnm.Print_Area,5,FALSE)))</f>
        <v>الاصول</v>
      </c>
      <c r="O2204" s="84" t="s">
        <v>2274</v>
      </c>
      <c r="P2204" s="84" t="s">
        <v>1290</v>
      </c>
    </row>
    <row r="2205" spans="1:16">
      <c r="A2205" s="151">
        <v>67</v>
      </c>
      <c r="B2205" s="131">
        <v>46063</v>
      </c>
      <c r="C2205" s="150">
        <v>20</v>
      </c>
      <c r="D2205" s="140" t="str">
        <f>IF(ISERROR(VLOOKUP(C2205,'[1]خريطة الحسابات'!_xlnm.Print_Area,3,FALSE))," ",(VLOOKUP(C2205,'[1]خريطة الحسابات'!_xlnm.Print_Area,3,FALSE)))</f>
        <v xml:space="preserve">الخزينة </v>
      </c>
      <c r="E2205" s="142"/>
      <c r="F2205" s="133"/>
      <c r="G2205" s="133">
        <v>630</v>
      </c>
      <c r="H2205" s="134">
        <f t="shared" si="103"/>
        <v>0</v>
      </c>
      <c r="I2205" s="134">
        <f t="shared" si="103"/>
        <v>630</v>
      </c>
      <c r="J2205" s="134">
        <f t="shared" si="102"/>
        <v>-630</v>
      </c>
      <c r="K2205" s="135"/>
      <c r="L2205" s="136" t="str">
        <f t="shared" si="104"/>
        <v>دائن</v>
      </c>
      <c r="M2205" s="137" t="str">
        <f>IF(ISERROR(VLOOKUP(C2205,'[1]خريطة الحسابات'!_xlnm.Print_Area,4,FALSE))," ",(VLOOKUP(C2205,'[1]خريطة الحسابات'!_xlnm.Print_Area,4,FALSE)))</f>
        <v xml:space="preserve">أصول متداوله -النقدية ومافي حكمها </v>
      </c>
      <c r="N2205" s="138" t="str">
        <f>IF(ISERROR(VLOOKUP(C2205,'[1]خريطة الحسابات'!_xlnm.Print_Area,5,FALSE))," ",(VLOOKUP(C2205,'[1]خريطة الحسابات'!_xlnm.Print_Area,5,FALSE)))</f>
        <v>الاصول</v>
      </c>
      <c r="O2205" s="84" t="s">
        <v>2275</v>
      </c>
      <c r="P2205" s="84" t="s">
        <v>1290</v>
      </c>
    </row>
    <row r="2206" spans="1:16">
      <c r="A2206" s="151">
        <v>67</v>
      </c>
      <c r="B2206" s="131">
        <v>46071</v>
      </c>
      <c r="C2206" s="150">
        <v>20</v>
      </c>
      <c r="D2206" s="140" t="str">
        <f>IF(ISERROR(VLOOKUP(C2206,'[1]خريطة الحسابات'!_xlnm.Print_Area,3,FALSE))," ",(VLOOKUP(C2206,'[1]خريطة الحسابات'!_xlnm.Print_Area,3,FALSE)))</f>
        <v xml:space="preserve">الخزينة </v>
      </c>
      <c r="E2206" s="142"/>
      <c r="F2206" s="133"/>
      <c r="G2206" s="133">
        <v>500</v>
      </c>
      <c r="H2206" s="134">
        <f t="shared" si="103"/>
        <v>0</v>
      </c>
      <c r="I2206" s="134">
        <f t="shared" si="103"/>
        <v>500</v>
      </c>
      <c r="J2206" s="134">
        <f t="shared" si="102"/>
        <v>-500</v>
      </c>
      <c r="K2206" s="135"/>
      <c r="L2206" s="136" t="str">
        <f t="shared" si="104"/>
        <v>دائن</v>
      </c>
      <c r="M2206" s="137" t="str">
        <f>IF(ISERROR(VLOOKUP(C2206,'[1]خريطة الحسابات'!_xlnm.Print_Area,4,FALSE))," ",(VLOOKUP(C2206,'[1]خريطة الحسابات'!_xlnm.Print_Area,4,FALSE)))</f>
        <v xml:space="preserve">أصول متداوله -النقدية ومافي حكمها </v>
      </c>
      <c r="N2206" s="138" t="str">
        <f>IF(ISERROR(VLOOKUP(C2206,'[1]خريطة الحسابات'!_xlnm.Print_Area,5,FALSE))," ",(VLOOKUP(C2206,'[1]خريطة الحسابات'!_xlnm.Print_Area,5,FALSE)))</f>
        <v>الاصول</v>
      </c>
      <c r="O2206" s="84" t="s">
        <v>2276</v>
      </c>
      <c r="P2206" s="84" t="s">
        <v>1290</v>
      </c>
    </row>
    <row r="2207" spans="1:16">
      <c r="A2207" s="151">
        <v>67</v>
      </c>
      <c r="B2207" s="131">
        <v>46116</v>
      </c>
      <c r="C2207" s="150">
        <v>20</v>
      </c>
      <c r="D2207" s="140" t="str">
        <f>IF(ISERROR(VLOOKUP(C2207,'[1]خريطة الحسابات'!_xlnm.Print_Area,3,FALSE))," ",(VLOOKUP(C2207,'[1]خريطة الحسابات'!_xlnm.Print_Area,3,FALSE)))</f>
        <v xml:space="preserve">الخزينة </v>
      </c>
      <c r="E2207" s="142"/>
      <c r="F2207" s="133"/>
      <c r="G2207" s="133">
        <v>3904</v>
      </c>
      <c r="H2207" s="134">
        <f t="shared" si="103"/>
        <v>0</v>
      </c>
      <c r="I2207" s="134">
        <f t="shared" si="103"/>
        <v>3904</v>
      </c>
      <c r="J2207" s="134">
        <f t="shared" si="102"/>
        <v>-3904</v>
      </c>
      <c r="K2207" s="135"/>
      <c r="L2207" s="136" t="str">
        <f t="shared" si="104"/>
        <v>دائن</v>
      </c>
      <c r="M2207" s="137" t="str">
        <f>IF(ISERROR(VLOOKUP(C2207,'[1]خريطة الحسابات'!_xlnm.Print_Area,4,FALSE))," ",(VLOOKUP(C2207,'[1]خريطة الحسابات'!_xlnm.Print_Area,4,FALSE)))</f>
        <v xml:space="preserve">أصول متداوله -النقدية ومافي حكمها </v>
      </c>
      <c r="N2207" s="138" t="str">
        <f>IF(ISERROR(VLOOKUP(C2207,'[1]خريطة الحسابات'!_xlnm.Print_Area,5,FALSE))," ",(VLOOKUP(C2207,'[1]خريطة الحسابات'!_xlnm.Print_Area,5,FALSE)))</f>
        <v>الاصول</v>
      </c>
      <c r="O2207" s="84" t="s">
        <v>2277</v>
      </c>
      <c r="P2207" s="84" t="s">
        <v>1290</v>
      </c>
    </row>
    <row r="2208" spans="1:16">
      <c r="A2208" s="151">
        <v>67</v>
      </c>
      <c r="B2208" s="131">
        <v>46139</v>
      </c>
      <c r="C2208" s="150">
        <v>20</v>
      </c>
      <c r="D2208" s="140" t="str">
        <f>IF(ISERROR(VLOOKUP(C2208,'[1]خريطة الحسابات'!_xlnm.Print_Area,3,FALSE))," ",(VLOOKUP(C2208,'[1]خريطة الحسابات'!_xlnm.Print_Area,3,FALSE)))</f>
        <v xml:space="preserve">الخزينة </v>
      </c>
      <c r="E2208" s="142"/>
      <c r="F2208" s="133"/>
      <c r="G2208" s="133">
        <v>25</v>
      </c>
      <c r="H2208" s="134">
        <f t="shared" si="103"/>
        <v>0</v>
      </c>
      <c r="I2208" s="134">
        <f t="shared" si="103"/>
        <v>25</v>
      </c>
      <c r="J2208" s="134">
        <f t="shared" si="102"/>
        <v>-25</v>
      </c>
      <c r="K2208" s="135"/>
      <c r="L2208" s="136" t="str">
        <f t="shared" si="104"/>
        <v>دائن</v>
      </c>
      <c r="M2208" s="137" t="str">
        <f>IF(ISERROR(VLOOKUP(C2208,'[1]خريطة الحسابات'!_xlnm.Print_Area,4,FALSE))," ",(VLOOKUP(C2208,'[1]خريطة الحسابات'!_xlnm.Print_Area,4,FALSE)))</f>
        <v xml:space="preserve">أصول متداوله -النقدية ومافي حكمها </v>
      </c>
      <c r="N2208" s="138" t="str">
        <f>IF(ISERROR(VLOOKUP(C2208,'[1]خريطة الحسابات'!_xlnm.Print_Area,5,FALSE))," ",(VLOOKUP(C2208,'[1]خريطة الحسابات'!_xlnm.Print_Area,5,FALSE)))</f>
        <v>الاصول</v>
      </c>
      <c r="O2208" s="84" t="s">
        <v>2278</v>
      </c>
      <c r="P2208" s="84" t="s">
        <v>1290</v>
      </c>
    </row>
    <row r="2209" spans="1:16">
      <c r="A2209" s="151">
        <v>67</v>
      </c>
      <c r="B2209" s="131">
        <v>46144</v>
      </c>
      <c r="C2209" s="150">
        <v>20</v>
      </c>
      <c r="D2209" s="140" t="str">
        <f>IF(ISERROR(VLOOKUP(C2209,'[1]خريطة الحسابات'!_xlnm.Print_Area,3,FALSE))," ",(VLOOKUP(C2209,'[1]خريطة الحسابات'!_xlnm.Print_Area,3,FALSE)))</f>
        <v xml:space="preserve">الخزينة </v>
      </c>
      <c r="E2209" s="142"/>
      <c r="F2209" s="133"/>
      <c r="G2209" s="133">
        <v>100</v>
      </c>
      <c r="H2209" s="134">
        <f t="shared" si="103"/>
        <v>0</v>
      </c>
      <c r="I2209" s="134">
        <f t="shared" si="103"/>
        <v>100</v>
      </c>
      <c r="J2209" s="134">
        <f t="shared" si="102"/>
        <v>-100</v>
      </c>
      <c r="K2209" s="135"/>
      <c r="L2209" s="136" t="str">
        <f t="shared" si="104"/>
        <v>دائن</v>
      </c>
      <c r="M2209" s="137" t="str">
        <f>IF(ISERROR(VLOOKUP(C2209,'[1]خريطة الحسابات'!_xlnm.Print_Area,4,FALSE))," ",(VLOOKUP(C2209,'[1]خريطة الحسابات'!_xlnm.Print_Area,4,FALSE)))</f>
        <v xml:space="preserve">أصول متداوله -النقدية ومافي حكمها </v>
      </c>
      <c r="N2209" s="138" t="str">
        <f>IF(ISERROR(VLOOKUP(C2209,'[1]خريطة الحسابات'!_xlnm.Print_Area,5,FALSE))," ",(VLOOKUP(C2209,'[1]خريطة الحسابات'!_xlnm.Print_Area,5,FALSE)))</f>
        <v>الاصول</v>
      </c>
      <c r="O2209" s="84" t="s">
        <v>2279</v>
      </c>
      <c r="P2209" s="84" t="s">
        <v>1290</v>
      </c>
    </row>
    <row r="2210" spans="1:16">
      <c r="A2210" s="151">
        <v>67</v>
      </c>
      <c r="B2210" s="131">
        <v>46146</v>
      </c>
      <c r="C2210" s="150">
        <v>20</v>
      </c>
      <c r="D2210" s="140" t="str">
        <f>IF(ISERROR(VLOOKUP(C2210,'[1]خريطة الحسابات'!_xlnm.Print_Area,3,FALSE))," ",(VLOOKUP(C2210,'[1]خريطة الحسابات'!_xlnm.Print_Area,3,FALSE)))</f>
        <v xml:space="preserve">الخزينة </v>
      </c>
      <c r="E2210" s="142"/>
      <c r="F2210" s="133"/>
      <c r="G2210" s="133">
        <v>500</v>
      </c>
      <c r="H2210" s="134">
        <f t="shared" si="103"/>
        <v>0</v>
      </c>
      <c r="I2210" s="134">
        <f t="shared" si="103"/>
        <v>500</v>
      </c>
      <c r="J2210" s="134">
        <f t="shared" si="102"/>
        <v>-500</v>
      </c>
      <c r="K2210" s="135"/>
      <c r="L2210" s="136" t="str">
        <f t="shared" si="104"/>
        <v>دائن</v>
      </c>
      <c r="M2210" s="137" t="str">
        <f>IF(ISERROR(VLOOKUP(C2210,'[1]خريطة الحسابات'!_xlnm.Print_Area,4,FALSE))," ",(VLOOKUP(C2210,'[1]خريطة الحسابات'!_xlnm.Print_Area,4,FALSE)))</f>
        <v xml:space="preserve">أصول متداوله -النقدية ومافي حكمها </v>
      </c>
      <c r="N2210" s="138" t="str">
        <f>IF(ISERROR(VLOOKUP(C2210,'[1]خريطة الحسابات'!_xlnm.Print_Area,5,FALSE))," ",(VLOOKUP(C2210,'[1]خريطة الحسابات'!_xlnm.Print_Area,5,FALSE)))</f>
        <v>الاصول</v>
      </c>
      <c r="O2210" s="84" t="s">
        <v>2280</v>
      </c>
      <c r="P2210" s="84" t="s">
        <v>1290</v>
      </c>
    </row>
    <row r="2211" spans="1:16">
      <c r="A2211" s="151">
        <v>67</v>
      </c>
      <c r="B2211" s="131">
        <v>46147</v>
      </c>
      <c r="C2211" s="150">
        <v>20</v>
      </c>
      <c r="D2211" s="140" t="str">
        <f>IF(ISERROR(VLOOKUP(C2211,'[1]خريطة الحسابات'!_xlnm.Print_Area,3,FALSE))," ",(VLOOKUP(C2211,'[1]خريطة الحسابات'!_xlnm.Print_Area,3,FALSE)))</f>
        <v xml:space="preserve">الخزينة </v>
      </c>
      <c r="E2211" s="142"/>
      <c r="F2211" s="133"/>
      <c r="G2211" s="133">
        <v>516</v>
      </c>
      <c r="H2211" s="134">
        <f t="shared" si="103"/>
        <v>0</v>
      </c>
      <c r="I2211" s="134">
        <f t="shared" si="103"/>
        <v>516</v>
      </c>
      <c r="J2211" s="134">
        <f t="shared" si="102"/>
        <v>-516</v>
      </c>
      <c r="K2211" s="135"/>
      <c r="L2211" s="136" t="str">
        <f t="shared" si="104"/>
        <v>دائن</v>
      </c>
      <c r="M2211" s="137" t="str">
        <f>IF(ISERROR(VLOOKUP(C2211,'[1]خريطة الحسابات'!_xlnm.Print_Area,4,FALSE))," ",(VLOOKUP(C2211,'[1]خريطة الحسابات'!_xlnm.Print_Area,4,FALSE)))</f>
        <v xml:space="preserve">أصول متداوله -النقدية ومافي حكمها </v>
      </c>
      <c r="N2211" s="138" t="str">
        <f>IF(ISERROR(VLOOKUP(C2211,'[1]خريطة الحسابات'!_xlnm.Print_Area,5,FALSE))," ",(VLOOKUP(C2211,'[1]خريطة الحسابات'!_xlnm.Print_Area,5,FALSE)))</f>
        <v>الاصول</v>
      </c>
      <c r="O2211" s="84" t="s">
        <v>2281</v>
      </c>
      <c r="P2211" s="84" t="s">
        <v>1290</v>
      </c>
    </row>
    <row r="2212" spans="1:16">
      <c r="A2212" s="151">
        <v>67</v>
      </c>
      <c r="B2212" s="131">
        <v>46151</v>
      </c>
      <c r="C2212" s="150">
        <v>20</v>
      </c>
      <c r="D2212" s="140" t="str">
        <f>IF(ISERROR(VLOOKUP(C2212,'[1]خريطة الحسابات'!_xlnm.Print_Area,3,FALSE))," ",(VLOOKUP(C2212,'[1]خريطة الحسابات'!_xlnm.Print_Area,3,FALSE)))</f>
        <v xml:space="preserve">الخزينة </v>
      </c>
      <c r="E2212" s="142"/>
      <c r="F2212" s="133"/>
      <c r="G2212" s="133">
        <v>145</v>
      </c>
      <c r="H2212" s="134">
        <f t="shared" si="103"/>
        <v>0</v>
      </c>
      <c r="I2212" s="134">
        <f t="shared" si="103"/>
        <v>145</v>
      </c>
      <c r="J2212" s="134">
        <f t="shared" si="102"/>
        <v>-145</v>
      </c>
      <c r="K2212" s="135"/>
      <c r="L2212" s="136" t="str">
        <f t="shared" si="104"/>
        <v>دائن</v>
      </c>
      <c r="M2212" s="137" t="str">
        <f>IF(ISERROR(VLOOKUP(C2212,'[1]خريطة الحسابات'!_xlnm.Print_Area,4,FALSE))," ",(VLOOKUP(C2212,'[1]خريطة الحسابات'!_xlnm.Print_Area,4,FALSE)))</f>
        <v xml:space="preserve">أصول متداوله -النقدية ومافي حكمها </v>
      </c>
      <c r="N2212" s="138" t="str">
        <f>IF(ISERROR(VLOOKUP(C2212,'[1]خريطة الحسابات'!_xlnm.Print_Area,5,FALSE))," ",(VLOOKUP(C2212,'[1]خريطة الحسابات'!_xlnm.Print_Area,5,FALSE)))</f>
        <v>الاصول</v>
      </c>
      <c r="O2212" s="84" t="s">
        <v>2282</v>
      </c>
      <c r="P2212" s="84" t="s">
        <v>1290</v>
      </c>
    </row>
    <row r="2213" spans="1:16">
      <c r="A2213" s="151">
        <v>67</v>
      </c>
      <c r="B2213" s="131">
        <v>46154</v>
      </c>
      <c r="C2213" s="150">
        <v>20</v>
      </c>
      <c r="D2213" s="140" t="str">
        <f>IF(ISERROR(VLOOKUP(C2213,'[1]خريطة الحسابات'!_xlnm.Print_Area,3,FALSE))," ",(VLOOKUP(C2213,'[1]خريطة الحسابات'!_xlnm.Print_Area,3,FALSE)))</f>
        <v xml:space="preserve">الخزينة </v>
      </c>
      <c r="E2213" s="142"/>
      <c r="F2213" s="133"/>
      <c r="G2213" s="133">
        <v>1600</v>
      </c>
      <c r="H2213" s="134">
        <f t="shared" si="103"/>
        <v>0</v>
      </c>
      <c r="I2213" s="134">
        <f t="shared" si="103"/>
        <v>1600</v>
      </c>
      <c r="J2213" s="134">
        <f t="shared" si="102"/>
        <v>-1600</v>
      </c>
      <c r="K2213" s="135"/>
      <c r="L2213" s="136" t="str">
        <f t="shared" si="104"/>
        <v>دائن</v>
      </c>
      <c r="M2213" s="137" t="str">
        <f>IF(ISERROR(VLOOKUP(C2213,'[1]خريطة الحسابات'!_xlnm.Print_Area,4,FALSE))," ",(VLOOKUP(C2213,'[1]خريطة الحسابات'!_xlnm.Print_Area,4,FALSE)))</f>
        <v xml:space="preserve">أصول متداوله -النقدية ومافي حكمها </v>
      </c>
      <c r="N2213" s="138" t="str">
        <f>IF(ISERROR(VLOOKUP(C2213,'[1]خريطة الحسابات'!_xlnm.Print_Area,5,FALSE))," ",(VLOOKUP(C2213,'[1]خريطة الحسابات'!_xlnm.Print_Area,5,FALSE)))</f>
        <v>الاصول</v>
      </c>
      <c r="O2213" s="84" t="s">
        <v>2283</v>
      </c>
      <c r="P2213" s="84" t="s">
        <v>1290</v>
      </c>
    </row>
    <row r="2214" spans="1:16">
      <c r="A2214" s="151">
        <v>67</v>
      </c>
      <c r="B2214" s="131">
        <v>46158</v>
      </c>
      <c r="C2214" s="150">
        <v>20</v>
      </c>
      <c r="D2214" s="140" t="str">
        <f>IF(ISERROR(VLOOKUP(C2214,'[1]خريطة الحسابات'!_xlnm.Print_Area,3,FALSE))," ",(VLOOKUP(C2214,'[1]خريطة الحسابات'!_xlnm.Print_Area,3,FALSE)))</f>
        <v xml:space="preserve">الخزينة </v>
      </c>
      <c r="E2214" s="142"/>
      <c r="F2214" s="133"/>
      <c r="G2214" s="133">
        <v>700</v>
      </c>
      <c r="H2214" s="134">
        <f t="shared" si="103"/>
        <v>0</v>
      </c>
      <c r="I2214" s="134">
        <f t="shared" si="103"/>
        <v>700</v>
      </c>
      <c r="J2214" s="134">
        <f t="shared" si="102"/>
        <v>-700</v>
      </c>
      <c r="K2214" s="135"/>
      <c r="L2214" s="136" t="str">
        <f t="shared" si="104"/>
        <v>دائن</v>
      </c>
      <c r="M2214" s="137" t="str">
        <f>IF(ISERROR(VLOOKUP(C2214,'[1]خريطة الحسابات'!_xlnm.Print_Area,4,FALSE))," ",(VLOOKUP(C2214,'[1]خريطة الحسابات'!_xlnm.Print_Area,4,FALSE)))</f>
        <v xml:space="preserve">أصول متداوله -النقدية ومافي حكمها </v>
      </c>
      <c r="N2214" s="138" t="str">
        <f>IF(ISERROR(VLOOKUP(C2214,'[1]خريطة الحسابات'!_xlnm.Print_Area,5,FALSE))," ",(VLOOKUP(C2214,'[1]خريطة الحسابات'!_xlnm.Print_Area,5,FALSE)))</f>
        <v>الاصول</v>
      </c>
      <c r="O2214" s="84" t="s">
        <v>2284</v>
      </c>
      <c r="P2214" s="84" t="s">
        <v>1290</v>
      </c>
    </row>
    <row r="2215" spans="1:16">
      <c r="A2215" s="151">
        <v>67</v>
      </c>
      <c r="B2215" s="131">
        <v>46176</v>
      </c>
      <c r="C2215" s="150">
        <v>20</v>
      </c>
      <c r="D2215" s="140" t="str">
        <f>IF(ISERROR(VLOOKUP(C2215,'[1]خريطة الحسابات'!_xlnm.Print_Area,3,FALSE))," ",(VLOOKUP(C2215,'[1]خريطة الحسابات'!_xlnm.Print_Area,3,FALSE)))</f>
        <v xml:space="preserve">الخزينة </v>
      </c>
      <c r="E2215" s="142"/>
      <c r="F2215" s="133"/>
      <c r="G2215" s="133">
        <v>4305</v>
      </c>
      <c r="H2215" s="134">
        <f t="shared" si="103"/>
        <v>0</v>
      </c>
      <c r="I2215" s="134">
        <f t="shared" si="103"/>
        <v>4305</v>
      </c>
      <c r="J2215" s="134">
        <f t="shared" si="102"/>
        <v>-4305</v>
      </c>
      <c r="K2215" s="135"/>
      <c r="L2215" s="136" t="str">
        <f t="shared" si="104"/>
        <v>دائن</v>
      </c>
      <c r="M2215" s="137" t="str">
        <f>IF(ISERROR(VLOOKUP(C2215,'[1]خريطة الحسابات'!_xlnm.Print_Area,4,FALSE))," ",(VLOOKUP(C2215,'[1]خريطة الحسابات'!_xlnm.Print_Area,4,FALSE)))</f>
        <v xml:space="preserve">أصول متداوله -النقدية ومافي حكمها </v>
      </c>
      <c r="N2215" s="138" t="str">
        <f>IF(ISERROR(VLOOKUP(C2215,'[1]خريطة الحسابات'!_xlnm.Print_Area,5,FALSE))," ",(VLOOKUP(C2215,'[1]خريطة الحسابات'!_xlnm.Print_Area,5,FALSE)))</f>
        <v>الاصول</v>
      </c>
      <c r="O2215" s="84" t="s">
        <v>2285</v>
      </c>
      <c r="P2215" s="84" t="s">
        <v>1290</v>
      </c>
    </row>
    <row r="2216" spans="1:16">
      <c r="A2216" s="151">
        <v>67</v>
      </c>
      <c r="B2216" s="131">
        <v>46177</v>
      </c>
      <c r="C2216" s="150">
        <v>20</v>
      </c>
      <c r="D2216" s="140" t="str">
        <f>IF(ISERROR(VLOOKUP(C2216,'[1]خريطة الحسابات'!_xlnm.Print_Area,3,FALSE))," ",(VLOOKUP(C2216,'[1]خريطة الحسابات'!_xlnm.Print_Area,3,FALSE)))</f>
        <v xml:space="preserve">الخزينة </v>
      </c>
      <c r="E2216" s="142"/>
      <c r="F2216" s="133"/>
      <c r="G2216" s="133">
        <v>3303</v>
      </c>
      <c r="H2216" s="134">
        <f t="shared" si="103"/>
        <v>0</v>
      </c>
      <c r="I2216" s="134">
        <f t="shared" si="103"/>
        <v>3303</v>
      </c>
      <c r="J2216" s="134">
        <f t="shared" si="102"/>
        <v>-3303</v>
      </c>
      <c r="K2216" s="135"/>
      <c r="L2216" s="136" t="str">
        <f t="shared" si="104"/>
        <v>دائن</v>
      </c>
      <c r="M2216" s="137" t="str">
        <f>IF(ISERROR(VLOOKUP(C2216,'[1]خريطة الحسابات'!_xlnm.Print_Area,4,FALSE))," ",(VLOOKUP(C2216,'[1]خريطة الحسابات'!_xlnm.Print_Area,4,FALSE)))</f>
        <v xml:space="preserve">أصول متداوله -النقدية ومافي حكمها </v>
      </c>
      <c r="N2216" s="138" t="str">
        <f>IF(ISERROR(VLOOKUP(C2216,'[1]خريطة الحسابات'!_xlnm.Print_Area,5,FALSE))," ",(VLOOKUP(C2216,'[1]خريطة الحسابات'!_xlnm.Print_Area,5,FALSE)))</f>
        <v>الاصول</v>
      </c>
      <c r="O2216" s="84" t="s">
        <v>2286</v>
      </c>
      <c r="P2216" s="84" t="s">
        <v>1290</v>
      </c>
    </row>
    <row r="2217" spans="1:16">
      <c r="A2217" s="151">
        <v>67</v>
      </c>
      <c r="B2217" s="131">
        <v>46177</v>
      </c>
      <c r="C2217" s="150">
        <v>20</v>
      </c>
      <c r="D2217" s="140" t="str">
        <f>IF(ISERROR(VLOOKUP(C2217,'[1]خريطة الحسابات'!_xlnm.Print_Area,3,FALSE))," ",(VLOOKUP(C2217,'[1]خريطة الحسابات'!_xlnm.Print_Area,3,FALSE)))</f>
        <v xml:space="preserve">الخزينة </v>
      </c>
      <c r="E2217" s="142"/>
      <c r="F2217" s="133"/>
      <c r="G2217" s="133">
        <v>272</v>
      </c>
      <c r="H2217" s="134">
        <f t="shared" si="103"/>
        <v>0</v>
      </c>
      <c r="I2217" s="134">
        <f t="shared" si="103"/>
        <v>272</v>
      </c>
      <c r="J2217" s="134">
        <f t="shared" si="102"/>
        <v>-272</v>
      </c>
      <c r="K2217" s="135"/>
      <c r="L2217" s="136" t="str">
        <f t="shared" si="104"/>
        <v>دائن</v>
      </c>
      <c r="M2217" s="137" t="str">
        <f>IF(ISERROR(VLOOKUP(C2217,'[1]خريطة الحسابات'!_xlnm.Print_Area,4,FALSE))," ",(VLOOKUP(C2217,'[1]خريطة الحسابات'!_xlnm.Print_Area,4,FALSE)))</f>
        <v xml:space="preserve">أصول متداوله -النقدية ومافي حكمها </v>
      </c>
      <c r="N2217" s="138" t="str">
        <f>IF(ISERROR(VLOOKUP(C2217,'[1]خريطة الحسابات'!_xlnm.Print_Area,5,FALSE))," ",(VLOOKUP(C2217,'[1]خريطة الحسابات'!_xlnm.Print_Area,5,FALSE)))</f>
        <v>الاصول</v>
      </c>
      <c r="O2217" s="84" t="s">
        <v>2287</v>
      </c>
      <c r="P2217" s="84" t="s">
        <v>1290</v>
      </c>
    </row>
    <row r="2218" spans="1:16">
      <c r="A2218" s="151">
        <v>67</v>
      </c>
      <c r="B2218" s="131">
        <v>46182</v>
      </c>
      <c r="C2218" s="150">
        <v>20</v>
      </c>
      <c r="D2218" s="140" t="str">
        <f>IF(ISERROR(VLOOKUP(C2218,'[1]خريطة الحسابات'!_xlnm.Print_Area,3,FALSE))," ",(VLOOKUP(C2218,'[1]خريطة الحسابات'!_xlnm.Print_Area,3,FALSE)))</f>
        <v xml:space="preserve">الخزينة </v>
      </c>
      <c r="E2218" s="142"/>
      <c r="F2218" s="133"/>
      <c r="G2218" s="133">
        <v>1202</v>
      </c>
      <c r="H2218" s="134">
        <f t="shared" si="103"/>
        <v>0</v>
      </c>
      <c r="I2218" s="134">
        <f t="shared" si="103"/>
        <v>1202</v>
      </c>
      <c r="J2218" s="134">
        <f t="shared" si="102"/>
        <v>-1202</v>
      </c>
      <c r="K2218" s="135"/>
      <c r="L2218" s="136" t="str">
        <f t="shared" si="104"/>
        <v>دائن</v>
      </c>
      <c r="M2218" s="137" t="str">
        <f>IF(ISERROR(VLOOKUP(C2218,'[1]خريطة الحسابات'!_xlnm.Print_Area,4,FALSE))," ",(VLOOKUP(C2218,'[1]خريطة الحسابات'!_xlnm.Print_Area,4,FALSE)))</f>
        <v xml:space="preserve">أصول متداوله -النقدية ومافي حكمها </v>
      </c>
      <c r="N2218" s="138" t="str">
        <f>IF(ISERROR(VLOOKUP(C2218,'[1]خريطة الحسابات'!_xlnm.Print_Area,5,FALSE))," ",(VLOOKUP(C2218,'[1]خريطة الحسابات'!_xlnm.Print_Area,5,FALSE)))</f>
        <v>الاصول</v>
      </c>
      <c r="O2218" s="84" t="s">
        <v>2288</v>
      </c>
      <c r="P2218" s="84" t="s">
        <v>1290</v>
      </c>
    </row>
    <row r="2219" spans="1:16">
      <c r="A2219" s="151">
        <v>67</v>
      </c>
      <c r="B2219" s="131">
        <v>46182</v>
      </c>
      <c r="C2219" s="150">
        <v>20</v>
      </c>
      <c r="D2219" s="140" t="str">
        <f>IF(ISERROR(VLOOKUP(C2219,'[1]خريطة الحسابات'!_xlnm.Print_Area,3,FALSE))," ",(VLOOKUP(C2219,'[1]خريطة الحسابات'!_xlnm.Print_Area,3,FALSE)))</f>
        <v xml:space="preserve">الخزينة </v>
      </c>
      <c r="E2219" s="142"/>
      <c r="F2219" s="133"/>
      <c r="G2219" s="133">
        <v>4205</v>
      </c>
      <c r="H2219" s="134">
        <f t="shared" si="103"/>
        <v>0</v>
      </c>
      <c r="I2219" s="134">
        <f t="shared" si="103"/>
        <v>4205</v>
      </c>
      <c r="J2219" s="134">
        <f t="shared" si="102"/>
        <v>-4205</v>
      </c>
      <c r="K2219" s="135"/>
      <c r="L2219" s="136" t="str">
        <f t="shared" si="104"/>
        <v>دائن</v>
      </c>
      <c r="M2219" s="137" t="str">
        <f>IF(ISERROR(VLOOKUP(C2219,'[1]خريطة الحسابات'!_xlnm.Print_Area,4,FALSE))," ",(VLOOKUP(C2219,'[1]خريطة الحسابات'!_xlnm.Print_Area,4,FALSE)))</f>
        <v xml:space="preserve">أصول متداوله -النقدية ومافي حكمها </v>
      </c>
      <c r="N2219" s="138" t="str">
        <f>IF(ISERROR(VLOOKUP(C2219,'[1]خريطة الحسابات'!_xlnm.Print_Area,5,FALSE))," ",(VLOOKUP(C2219,'[1]خريطة الحسابات'!_xlnm.Print_Area,5,FALSE)))</f>
        <v>الاصول</v>
      </c>
      <c r="O2219" s="84" t="s">
        <v>2289</v>
      </c>
      <c r="P2219" s="84" t="s">
        <v>1290</v>
      </c>
    </row>
    <row r="2220" spans="1:16">
      <c r="A2220" s="151">
        <v>67</v>
      </c>
      <c r="B2220" s="131">
        <v>46027</v>
      </c>
      <c r="C2220" s="150">
        <v>20</v>
      </c>
      <c r="D2220" s="140" t="str">
        <f>IF(ISERROR(VLOOKUP(C2220,'[1]خريطة الحسابات'!_xlnm.Print_Area,3,FALSE))," ",(VLOOKUP(C2220,'[1]خريطة الحسابات'!_xlnm.Print_Area,3,FALSE)))</f>
        <v xml:space="preserve">الخزينة </v>
      </c>
      <c r="E2220" s="142"/>
      <c r="F2220" s="133"/>
      <c r="G2220" s="133">
        <v>600</v>
      </c>
      <c r="H2220" s="134">
        <f t="shared" si="103"/>
        <v>0</v>
      </c>
      <c r="I2220" s="134">
        <f t="shared" si="103"/>
        <v>600</v>
      </c>
      <c r="J2220" s="134">
        <f t="shared" si="102"/>
        <v>-600</v>
      </c>
      <c r="K2220" s="135"/>
      <c r="L2220" s="136" t="str">
        <f t="shared" si="104"/>
        <v>دائن</v>
      </c>
      <c r="M2220" s="137" t="str">
        <f>IF(ISERROR(VLOOKUP(C2220,'[1]خريطة الحسابات'!_xlnm.Print_Area,4,FALSE))," ",(VLOOKUP(C2220,'[1]خريطة الحسابات'!_xlnm.Print_Area,4,FALSE)))</f>
        <v xml:space="preserve">أصول متداوله -النقدية ومافي حكمها </v>
      </c>
      <c r="N2220" s="138" t="str">
        <f>IF(ISERROR(VLOOKUP(C2220,'[1]خريطة الحسابات'!_xlnm.Print_Area,5,FALSE))," ",(VLOOKUP(C2220,'[1]خريطة الحسابات'!_xlnm.Print_Area,5,FALSE)))</f>
        <v>الاصول</v>
      </c>
      <c r="O2220" s="84" t="s">
        <v>2290</v>
      </c>
      <c r="P2220" s="84" t="s">
        <v>1315</v>
      </c>
    </row>
    <row r="2221" spans="1:16">
      <c r="A2221" s="151">
        <v>67</v>
      </c>
      <c r="B2221" s="131">
        <v>46033</v>
      </c>
      <c r="C2221" s="150">
        <v>20</v>
      </c>
      <c r="D2221" s="140" t="str">
        <f>IF(ISERROR(VLOOKUP(C2221,'[1]خريطة الحسابات'!_xlnm.Print_Area,3,FALSE))," ",(VLOOKUP(C2221,'[1]خريطة الحسابات'!_xlnm.Print_Area,3,FALSE)))</f>
        <v xml:space="preserve">الخزينة </v>
      </c>
      <c r="E2221" s="142"/>
      <c r="F2221" s="133"/>
      <c r="G2221" s="133">
        <v>2555</v>
      </c>
      <c r="H2221" s="134">
        <f t="shared" si="103"/>
        <v>0</v>
      </c>
      <c r="I2221" s="134">
        <f t="shared" si="103"/>
        <v>2555</v>
      </c>
      <c r="J2221" s="134">
        <f t="shared" si="102"/>
        <v>-2555</v>
      </c>
      <c r="K2221" s="135"/>
      <c r="L2221" s="136" t="str">
        <f t="shared" si="104"/>
        <v>دائن</v>
      </c>
      <c r="M2221" s="137" t="str">
        <f>IF(ISERROR(VLOOKUP(C2221,'[1]خريطة الحسابات'!_xlnm.Print_Area,4,FALSE))," ",(VLOOKUP(C2221,'[1]خريطة الحسابات'!_xlnm.Print_Area,4,FALSE)))</f>
        <v xml:space="preserve">أصول متداوله -النقدية ومافي حكمها </v>
      </c>
      <c r="N2221" s="138" t="str">
        <f>IF(ISERROR(VLOOKUP(C2221,'[1]خريطة الحسابات'!_xlnm.Print_Area,5,FALSE))," ",(VLOOKUP(C2221,'[1]خريطة الحسابات'!_xlnm.Print_Area,5,FALSE)))</f>
        <v>الاصول</v>
      </c>
      <c r="O2221" s="84" t="s">
        <v>2291</v>
      </c>
      <c r="P2221" s="84" t="s">
        <v>1315</v>
      </c>
    </row>
    <row r="2222" spans="1:16">
      <c r="A2222" s="151">
        <v>67</v>
      </c>
      <c r="B2222" s="131">
        <v>46036</v>
      </c>
      <c r="C2222" s="150">
        <v>20</v>
      </c>
      <c r="D2222" s="140" t="str">
        <f>IF(ISERROR(VLOOKUP(C2222,'[1]خريطة الحسابات'!_xlnm.Print_Area,3,FALSE))," ",(VLOOKUP(C2222,'[1]خريطة الحسابات'!_xlnm.Print_Area,3,FALSE)))</f>
        <v xml:space="preserve">الخزينة </v>
      </c>
      <c r="E2222" s="142"/>
      <c r="F2222" s="133"/>
      <c r="G2222" s="133">
        <v>3850</v>
      </c>
      <c r="H2222" s="134">
        <f t="shared" si="103"/>
        <v>0</v>
      </c>
      <c r="I2222" s="134">
        <f t="shared" si="103"/>
        <v>3850</v>
      </c>
      <c r="J2222" s="134">
        <f t="shared" si="102"/>
        <v>-3850</v>
      </c>
      <c r="K2222" s="135"/>
      <c r="L2222" s="136" t="str">
        <f t="shared" si="104"/>
        <v>دائن</v>
      </c>
      <c r="M2222" s="137" t="str">
        <f>IF(ISERROR(VLOOKUP(C2222,'[1]خريطة الحسابات'!_xlnm.Print_Area,4,FALSE))," ",(VLOOKUP(C2222,'[1]خريطة الحسابات'!_xlnm.Print_Area,4,FALSE)))</f>
        <v xml:space="preserve">أصول متداوله -النقدية ومافي حكمها </v>
      </c>
      <c r="N2222" s="138" t="str">
        <f>IF(ISERROR(VLOOKUP(C2222,'[1]خريطة الحسابات'!_xlnm.Print_Area,5,FALSE))," ",(VLOOKUP(C2222,'[1]خريطة الحسابات'!_xlnm.Print_Area,5,FALSE)))</f>
        <v>الاصول</v>
      </c>
      <c r="O2222" s="84" t="s">
        <v>2292</v>
      </c>
      <c r="P2222" s="84" t="s">
        <v>1315</v>
      </c>
    </row>
    <row r="2223" spans="1:16">
      <c r="A2223" s="151">
        <v>67</v>
      </c>
      <c r="B2223" s="131">
        <v>46042</v>
      </c>
      <c r="C2223" s="150">
        <v>20</v>
      </c>
      <c r="D2223" s="140" t="str">
        <f>IF(ISERROR(VLOOKUP(C2223,'[1]خريطة الحسابات'!_xlnm.Print_Area,3,FALSE))," ",(VLOOKUP(C2223,'[1]خريطة الحسابات'!_xlnm.Print_Area,3,FALSE)))</f>
        <v xml:space="preserve">الخزينة </v>
      </c>
      <c r="E2223" s="142"/>
      <c r="F2223" s="133"/>
      <c r="G2223" s="133">
        <v>50</v>
      </c>
      <c r="H2223" s="134">
        <f t="shared" si="103"/>
        <v>0</v>
      </c>
      <c r="I2223" s="134">
        <f t="shared" si="103"/>
        <v>50</v>
      </c>
      <c r="J2223" s="134">
        <f t="shared" si="102"/>
        <v>-50</v>
      </c>
      <c r="K2223" s="135"/>
      <c r="L2223" s="136" t="str">
        <f t="shared" si="104"/>
        <v>دائن</v>
      </c>
      <c r="M2223" s="137" t="str">
        <f>IF(ISERROR(VLOOKUP(C2223,'[1]خريطة الحسابات'!_xlnm.Print_Area,4,FALSE))," ",(VLOOKUP(C2223,'[1]خريطة الحسابات'!_xlnm.Print_Area,4,FALSE)))</f>
        <v xml:space="preserve">أصول متداوله -النقدية ومافي حكمها </v>
      </c>
      <c r="N2223" s="138" t="str">
        <f>IF(ISERROR(VLOOKUP(C2223,'[1]خريطة الحسابات'!_xlnm.Print_Area,5,FALSE))," ",(VLOOKUP(C2223,'[1]خريطة الحسابات'!_xlnm.Print_Area,5,FALSE)))</f>
        <v>الاصول</v>
      </c>
      <c r="O2223" s="84" t="s">
        <v>2293</v>
      </c>
      <c r="P2223" s="84" t="s">
        <v>1315</v>
      </c>
    </row>
    <row r="2224" spans="1:16">
      <c r="A2224" s="151">
        <v>67</v>
      </c>
      <c r="B2224" s="131">
        <v>46046</v>
      </c>
      <c r="C2224" s="150">
        <v>20</v>
      </c>
      <c r="D2224" s="140" t="str">
        <f>IF(ISERROR(VLOOKUP(C2224,'[1]خريطة الحسابات'!_xlnm.Print_Area,3,FALSE))," ",(VLOOKUP(C2224,'[1]خريطة الحسابات'!_xlnm.Print_Area,3,FALSE)))</f>
        <v xml:space="preserve">الخزينة </v>
      </c>
      <c r="E2224" s="142"/>
      <c r="F2224" s="133"/>
      <c r="G2224" s="133">
        <v>900</v>
      </c>
      <c r="H2224" s="134">
        <f t="shared" si="103"/>
        <v>0</v>
      </c>
      <c r="I2224" s="134">
        <f t="shared" si="103"/>
        <v>900</v>
      </c>
      <c r="J2224" s="134">
        <f t="shared" si="102"/>
        <v>-900</v>
      </c>
      <c r="K2224" s="135"/>
      <c r="L2224" s="136" t="str">
        <f t="shared" si="104"/>
        <v>دائن</v>
      </c>
      <c r="M2224" s="137" t="str">
        <f>IF(ISERROR(VLOOKUP(C2224,'[1]خريطة الحسابات'!_xlnm.Print_Area,4,FALSE))," ",(VLOOKUP(C2224,'[1]خريطة الحسابات'!_xlnm.Print_Area,4,FALSE)))</f>
        <v xml:space="preserve">أصول متداوله -النقدية ومافي حكمها </v>
      </c>
      <c r="N2224" s="138" t="str">
        <f>IF(ISERROR(VLOOKUP(C2224,'[1]خريطة الحسابات'!_xlnm.Print_Area,5,FALSE))," ",(VLOOKUP(C2224,'[1]خريطة الحسابات'!_xlnm.Print_Area,5,FALSE)))</f>
        <v>الاصول</v>
      </c>
      <c r="O2224" s="84" t="s">
        <v>2294</v>
      </c>
      <c r="P2224" s="84" t="s">
        <v>1315</v>
      </c>
    </row>
    <row r="2225" spans="1:16">
      <c r="A2225" s="151">
        <v>67</v>
      </c>
      <c r="B2225" s="131">
        <v>46054</v>
      </c>
      <c r="C2225" s="150">
        <v>20</v>
      </c>
      <c r="D2225" s="140" t="str">
        <f>IF(ISERROR(VLOOKUP(C2225,'[1]خريطة الحسابات'!_xlnm.Print_Area,3,FALSE))," ",(VLOOKUP(C2225,'[1]خريطة الحسابات'!_xlnm.Print_Area,3,FALSE)))</f>
        <v xml:space="preserve">الخزينة </v>
      </c>
      <c r="E2225" s="142"/>
      <c r="F2225" s="133"/>
      <c r="G2225" s="133">
        <v>2002</v>
      </c>
      <c r="H2225" s="134">
        <f t="shared" si="103"/>
        <v>0</v>
      </c>
      <c r="I2225" s="134">
        <f t="shared" si="103"/>
        <v>2002</v>
      </c>
      <c r="J2225" s="134">
        <f t="shared" si="102"/>
        <v>-2002</v>
      </c>
      <c r="K2225" s="135"/>
      <c r="L2225" s="136" t="str">
        <f t="shared" si="104"/>
        <v>دائن</v>
      </c>
      <c r="M2225" s="137" t="str">
        <f>IF(ISERROR(VLOOKUP(C2225,'[1]خريطة الحسابات'!_xlnm.Print_Area,4,FALSE))," ",(VLOOKUP(C2225,'[1]خريطة الحسابات'!_xlnm.Print_Area,4,FALSE)))</f>
        <v xml:space="preserve">أصول متداوله -النقدية ومافي حكمها </v>
      </c>
      <c r="N2225" s="138" t="str">
        <f>IF(ISERROR(VLOOKUP(C2225,'[1]خريطة الحسابات'!_xlnm.Print_Area,5,FALSE))," ",(VLOOKUP(C2225,'[1]خريطة الحسابات'!_xlnm.Print_Area,5,FALSE)))</f>
        <v>الاصول</v>
      </c>
      <c r="O2225" s="84" t="s">
        <v>2295</v>
      </c>
      <c r="P2225" s="84" t="s">
        <v>1315</v>
      </c>
    </row>
    <row r="2226" spans="1:16">
      <c r="A2226" s="151">
        <v>67</v>
      </c>
      <c r="B2226" s="131">
        <v>46065</v>
      </c>
      <c r="C2226" s="150">
        <v>20</v>
      </c>
      <c r="D2226" s="140" t="str">
        <f>IF(ISERROR(VLOOKUP(C2226,'[1]خريطة الحسابات'!_xlnm.Print_Area,3,FALSE))," ",(VLOOKUP(C2226,'[1]خريطة الحسابات'!_xlnm.Print_Area,3,FALSE)))</f>
        <v xml:space="preserve">الخزينة </v>
      </c>
      <c r="E2226" s="142"/>
      <c r="F2226" s="133"/>
      <c r="G2226" s="133">
        <v>1500</v>
      </c>
      <c r="H2226" s="134">
        <f t="shared" si="103"/>
        <v>0</v>
      </c>
      <c r="I2226" s="134">
        <f t="shared" si="103"/>
        <v>1500</v>
      </c>
      <c r="J2226" s="134">
        <f t="shared" si="102"/>
        <v>-1500</v>
      </c>
      <c r="K2226" s="135"/>
      <c r="L2226" s="136" t="str">
        <f t="shared" si="104"/>
        <v>دائن</v>
      </c>
      <c r="M2226" s="137" t="str">
        <f>IF(ISERROR(VLOOKUP(C2226,'[1]خريطة الحسابات'!_xlnm.Print_Area,4,FALSE))," ",(VLOOKUP(C2226,'[1]خريطة الحسابات'!_xlnm.Print_Area,4,FALSE)))</f>
        <v xml:space="preserve">أصول متداوله -النقدية ومافي حكمها </v>
      </c>
      <c r="N2226" s="138" t="str">
        <f>IF(ISERROR(VLOOKUP(C2226,'[1]خريطة الحسابات'!_xlnm.Print_Area,5,FALSE))," ",(VLOOKUP(C2226,'[1]خريطة الحسابات'!_xlnm.Print_Area,5,FALSE)))</f>
        <v>الاصول</v>
      </c>
      <c r="O2226" s="84" t="s">
        <v>2296</v>
      </c>
      <c r="P2226" s="84" t="s">
        <v>1315</v>
      </c>
    </row>
    <row r="2227" spans="1:16">
      <c r="A2227" s="151">
        <v>67</v>
      </c>
      <c r="B2227" s="131">
        <v>46116</v>
      </c>
      <c r="C2227" s="150">
        <v>20</v>
      </c>
      <c r="D2227" s="140" t="str">
        <f>IF(ISERROR(VLOOKUP(C2227,'[1]خريطة الحسابات'!_xlnm.Print_Area,3,FALSE))," ",(VLOOKUP(C2227,'[1]خريطة الحسابات'!_xlnm.Print_Area,3,FALSE)))</f>
        <v xml:space="preserve">الخزينة </v>
      </c>
      <c r="E2227" s="142"/>
      <c r="F2227" s="133"/>
      <c r="G2227" s="133">
        <v>1902</v>
      </c>
      <c r="H2227" s="134">
        <f t="shared" si="103"/>
        <v>0</v>
      </c>
      <c r="I2227" s="134">
        <f t="shared" si="103"/>
        <v>1902</v>
      </c>
      <c r="J2227" s="134">
        <f t="shared" si="102"/>
        <v>-1902</v>
      </c>
      <c r="K2227" s="135"/>
      <c r="L2227" s="136" t="str">
        <f t="shared" si="104"/>
        <v>دائن</v>
      </c>
      <c r="M2227" s="137" t="str">
        <f>IF(ISERROR(VLOOKUP(C2227,'[1]خريطة الحسابات'!_xlnm.Print_Area,4,FALSE))," ",(VLOOKUP(C2227,'[1]خريطة الحسابات'!_xlnm.Print_Area,4,FALSE)))</f>
        <v xml:space="preserve">أصول متداوله -النقدية ومافي حكمها </v>
      </c>
      <c r="N2227" s="138" t="str">
        <f>IF(ISERROR(VLOOKUP(C2227,'[1]خريطة الحسابات'!_xlnm.Print_Area,5,FALSE))," ",(VLOOKUP(C2227,'[1]خريطة الحسابات'!_xlnm.Print_Area,5,FALSE)))</f>
        <v>الاصول</v>
      </c>
      <c r="O2227" s="84" t="s">
        <v>2297</v>
      </c>
      <c r="P2227" s="84" t="s">
        <v>1315</v>
      </c>
    </row>
    <row r="2228" spans="1:16">
      <c r="A2228" s="151">
        <v>67</v>
      </c>
      <c r="B2228" s="131">
        <v>46075</v>
      </c>
      <c r="C2228" s="150">
        <v>20</v>
      </c>
      <c r="D2228" s="140" t="str">
        <f>IF(ISERROR(VLOOKUP(C2228,'[1]خريطة الحسابات'!_xlnm.Print_Area,3,FALSE))," ",(VLOOKUP(C2228,'[1]خريطة الحسابات'!_xlnm.Print_Area,3,FALSE)))</f>
        <v xml:space="preserve">الخزينة </v>
      </c>
      <c r="E2228" s="142"/>
      <c r="F2228" s="133"/>
      <c r="G2228" s="133">
        <v>560</v>
      </c>
      <c r="H2228" s="134">
        <f t="shared" si="103"/>
        <v>0</v>
      </c>
      <c r="I2228" s="134">
        <f t="shared" si="103"/>
        <v>560</v>
      </c>
      <c r="J2228" s="134">
        <f t="shared" si="102"/>
        <v>-560</v>
      </c>
      <c r="K2228" s="135"/>
      <c r="L2228" s="136" t="str">
        <f t="shared" si="104"/>
        <v>دائن</v>
      </c>
      <c r="M2228" s="137" t="str">
        <f>IF(ISERROR(VLOOKUP(C2228,'[1]خريطة الحسابات'!_xlnm.Print_Area,4,FALSE))," ",(VLOOKUP(C2228,'[1]خريطة الحسابات'!_xlnm.Print_Area,4,FALSE)))</f>
        <v xml:space="preserve">أصول متداوله -النقدية ومافي حكمها </v>
      </c>
      <c r="N2228" s="138" t="str">
        <f>IF(ISERROR(VLOOKUP(C2228,'[1]خريطة الحسابات'!_xlnm.Print_Area,5,FALSE))," ",(VLOOKUP(C2228,'[1]خريطة الحسابات'!_xlnm.Print_Area,5,FALSE)))</f>
        <v>الاصول</v>
      </c>
      <c r="O2228" s="84" t="s">
        <v>2298</v>
      </c>
      <c r="P2228" s="84" t="s">
        <v>1489</v>
      </c>
    </row>
    <row r="2229" spans="1:16">
      <c r="A2229" s="151">
        <v>67</v>
      </c>
      <c r="B2229" s="131">
        <v>46113</v>
      </c>
      <c r="C2229" s="150">
        <v>20</v>
      </c>
      <c r="D2229" s="140" t="str">
        <f>IF(ISERROR(VLOOKUP(C2229,'[1]خريطة الحسابات'!_xlnm.Print_Area,3,FALSE))," ",(VLOOKUP(C2229,'[1]خريطة الحسابات'!_xlnm.Print_Area,3,FALSE)))</f>
        <v xml:space="preserve">الخزينة </v>
      </c>
      <c r="E2229" s="142"/>
      <c r="F2229" s="133"/>
      <c r="G2229" s="133">
        <v>400</v>
      </c>
      <c r="H2229" s="134">
        <f t="shared" si="103"/>
        <v>0</v>
      </c>
      <c r="I2229" s="134">
        <f t="shared" si="103"/>
        <v>400</v>
      </c>
      <c r="J2229" s="134">
        <f t="shared" si="102"/>
        <v>-400</v>
      </c>
      <c r="K2229" s="135"/>
      <c r="L2229" s="136" t="str">
        <f t="shared" si="104"/>
        <v>دائن</v>
      </c>
      <c r="M2229" s="137" t="str">
        <f>IF(ISERROR(VLOOKUP(C2229,'[1]خريطة الحسابات'!_xlnm.Print_Area,4,FALSE))," ",(VLOOKUP(C2229,'[1]خريطة الحسابات'!_xlnm.Print_Area,4,FALSE)))</f>
        <v xml:space="preserve">أصول متداوله -النقدية ومافي حكمها </v>
      </c>
      <c r="N2229" s="138" t="str">
        <f>IF(ISERROR(VLOOKUP(C2229,'[1]خريطة الحسابات'!_xlnm.Print_Area,5,FALSE))," ",(VLOOKUP(C2229,'[1]خريطة الحسابات'!_xlnm.Print_Area,5,FALSE)))</f>
        <v>الاصول</v>
      </c>
      <c r="O2229" s="84" t="s">
        <v>2299</v>
      </c>
      <c r="P2229" s="84" t="s">
        <v>1489</v>
      </c>
    </row>
    <row r="2230" spans="1:16">
      <c r="A2230" s="151">
        <v>67</v>
      </c>
      <c r="B2230" s="131">
        <v>46146</v>
      </c>
      <c r="C2230" s="150">
        <v>20</v>
      </c>
      <c r="D2230" s="140" t="str">
        <f>IF(ISERROR(VLOOKUP(C2230,'[1]خريطة الحسابات'!_xlnm.Print_Area,3,FALSE))," ",(VLOOKUP(C2230,'[1]خريطة الحسابات'!_xlnm.Print_Area,3,FALSE)))</f>
        <v xml:space="preserve">الخزينة </v>
      </c>
      <c r="E2230" s="142"/>
      <c r="F2230" s="133"/>
      <c r="G2230" s="133">
        <v>200</v>
      </c>
      <c r="H2230" s="134">
        <f t="shared" si="103"/>
        <v>0</v>
      </c>
      <c r="I2230" s="134">
        <f t="shared" si="103"/>
        <v>200</v>
      </c>
      <c r="J2230" s="134">
        <f t="shared" si="102"/>
        <v>-200</v>
      </c>
      <c r="K2230" s="135"/>
      <c r="L2230" s="136" t="str">
        <f t="shared" si="104"/>
        <v>دائن</v>
      </c>
      <c r="M2230" s="137" t="str">
        <f>IF(ISERROR(VLOOKUP(C2230,'[1]خريطة الحسابات'!_xlnm.Print_Area,4,FALSE))," ",(VLOOKUP(C2230,'[1]خريطة الحسابات'!_xlnm.Print_Area,4,FALSE)))</f>
        <v xml:space="preserve">أصول متداوله -النقدية ومافي حكمها </v>
      </c>
      <c r="N2230" s="138" t="str">
        <f>IF(ISERROR(VLOOKUP(C2230,'[1]خريطة الحسابات'!_xlnm.Print_Area,5,FALSE))," ",(VLOOKUP(C2230,'[1]خريطة الحسابات'!_xlnm.Print_Area,5,FALSE)))</f>
        <v>الاصول</v>
      </c>
      <c r="O2230" s="84" t="s">
        <v>2300</v>
      </c>
      <c r="P2230" s="84" t="s">
        <v>1489</v>
      </c>
    </row>
    <row r="2231" spans="1:16">
      <c r="A2231" s="151">
        <v>67</v>
      </c>
      <c r="B2231" s="131">
        <v>46181</v>
      </c>
      <c r="C2231" s="150">
        <v>20</v>
      </c>
      <c r="D2231" s="140" t="str">
        <f>IF(ISERROR(VLOOKUP(C2231,'[1]خريطة الحسابات'!_xlnm.Print_Area,3,FALSE))," ",(VLOOKUP(C2231,'[1]خريطة الحسابات'!_xlnm.Print_Area,3,FALSE)))</f>
        <v xml:space="preserve">الخزينة </v>
      </c>
      <c r="E2231" s="142"/>
      <c r="F2231" s="133"/>
      <c r="G2231" s="133">
        <v>1000</v>
      </c>
      <c r="H2231" s="134">
        <f t="shared" si="103"/>
        <v>0</v>
      </c>
      <c r="I2231" s="134">
        <f t="shared" si="103"/>
        <v>1000</v>
      </c>
      <c r="J2231" s="134">
        <f t="shared" si="102"/>
        <v>-1000</v>
      </c>
      <c r="K2231" s="135"/>
      <c r="L2231" s="136" t="str">
        <f t="shared" si="104"/>
        <v>دائن</v>
      </c>
      <c r="M2231" s="137" t="str">
        <f>IF(ISERROR(VLOOKUP(C2231,'[1]خريطة الحسابات'!_xlnm.Print_Area,4,FALSE))," ",(VLOOKUP(C2231,'[1]خريطة الحسابات'!_xlnm.Print_Area,4,FALSE)))</f>
        <v xml:space="preserve">أصول متداوله -النقدية ومافي حكمها </v>
      </c>
      <c r="N2231" s="138" t="str">
        <f>IF(ISERROR(VLOOKUP(C2231,'[1]خريطة الحسابات'!_xlnm.Print_Area,5,FALSE))," ",(VLOOKUP(C2231,'[1]خريطة الحسابات'!_xlnm.Print_Area,5,FALSE)))</f>
        <v>الاصول</v>
      </c>
      <c r="O2231" s="84" t="s">
        <v>2301</v>
      </c>
      <c r="P2231" s="84" t="s">
        <v>1405</v>
      </c>
    </row>
    <row r="2232" spans="1:16">
      <c r="A2232" s="151">
        <v>67</v>
      </c>
      <c r="B2232" s="131">
        <v>46093</v>
      </c>
      <c r="C2232" s="150">
        <v>20</v>
      </c>
      <c r="D2232" s="140" t="str">
        <f>IF(ISERROR(VLOOKUP(C2232,'[1]خريطة الحسابات'!_xlnm.Print_Area,3,FALSE))," ",(VLOOKUP(C2232,'[1]خريطة الحسابات'!_xlnm.Print_Area,3,FALSE)))</f>
        <v xml:space="preserve">الخزينة </v>
      </c>
      <c r="E2232" s="142"/>
      <c r="F2232" s="133"/>
      <c r="G2232" s="133">
        <v>1702</v>
      </c>
      <c r="H2232" s="134">
        <f t="shared" si="103"/>
        <v>0</v>
      </c>
      <c r="I2232" s="134">
        <f t="shared" si="103"/>
        <v>1702</v>
      </c>
      <c r="J2232" s="134">
        <f t="shared" si="102"/>
        <v>-1702</v>
      </c>
      <c r="K2232" s="135"/>
      <c r="L2232" s="136" t="str">
        <f t="shared" si="104"/>
        <v>دائن</v>
      </c>
      <c r="M2232" s="137" t="str">
        <f>IF(ISERROR(VLOOKUP(C2232,'[1]خريطة الحسابات'!_xlnm.Print_Area,4,FALSE))," ",(VLOOKUP(C2232,'[1]خريطة الحسابات'!_xlnm.Print_Area,4,FALSE)))</f>
        <v xml:space="preserve">أصول متداوله -النقدية ومافي حكمها </v>
      </c>
      <c r="N2232" s="138" t="str">
        <f>IF(ISERROR(VLOOKUP(C2232,'[1]خريطة الحسابات'!_xlnm.Print_Area,5,FALSE))," ",(VLOOKUP(C2232,'[1]خريطة الحسابات'!_xlnm.Print_Area,5,FALSE)))</f>
        <v>الاصول</v>
      </c>
      <c r="O2232" s="84" t="s">
        <v>2302</v>
      </c>
      <c r="P2232" s="84" t="s">
        <v>1383</v>
      </c>
    </row>
    <row r="2233" spans="1:16">
      <c r="A2233" s="151">
        <v>67</v>
      </c>
      <c r="B2233" s="131">
        <v>46116</v>
      </c>
      <c r="C2233" s="150">
        <v>20</v>
      </c>
      <c r="D2233" s="140" t="str">
        <f>IF(ISERROR(VLOOKUP(C2233,'[1]خريطة الحسابات'!_xlnm.Print_Area,3,FALSE))," ",(VLOOKUP(C2233,'[1]خريطة الحسابات'!_xlnm.Print_Area,3,FALSE)))</f>
        <v xml:space="preserve">الخزينة </v>
      </c>
      <c r="E2233" s="142"/>
      <c r="F2233" s="133"/>
      <c r="G2233" s="133">
        <v>35970</v>
      </c>
      <c r="H2233" s="134">
        <f t="shared" si="103"/>
        <v>0</v>
      </c>
      <c r="I2233" s="134">
        <f t="shared" si="103"/>
        <v>35970</v>
      </c>
      <c r="J2233" s="134">
        <f t="shared" si="102"/>
        <v>-35970</v>
      </c>
      <c r="K2233" s="135"/>
      <c r="L2233" s="136" t="str">
        <f t="shared" si="104"/>
        <v>دائن</v>
      </c>
      <c r="M2233" s="137" t="str">
        <f>IF(ISERROR(VLOOKUP(C2233,'[1]خريطة الحسابات'!_xlnm.Print_Area,4,FALSE))," ",(VLOOKUP(C2233,'[1]خريطة الحسابات'!_xlnm.Print_Area,4,FALSE)))</f>
        <v xml:space="preserve">أصول متداوله -النقدية ومافي حكمها </v>
      </c>
      <c r="N2233" s="138" t="str">
        <f>IF(ISERROR(VLOOKUP(C2233,'[1]خريطة الحسابات'!_xlnm.Print_Area,5,FALSE))," ",(VLOOKUP(C2233,'[1]خريطة الحسابات'!_xlnm.Print_Area,5,FALSE)))</f>
        <v>الاصول</v>
      </c>
      <c r="O2233" s="84" t="s">
        <v>2303</v>
      </c>
      <c r="P2233" s="84" t="s">
        <v>1383</v>
      </c>
    </row>
    <row r="2234" spans="1:16">
      <c r="A2234" s="151">
        <v>67</v>
      </c>
      <c r="B2234" s="131">
        <v>46120</v>
      </c>
      <c r="C2234" s="150">
        <v>20</v>
      </c>
      <c r="D2234" s="140" t="str">
        <f>IF(ISERROR(VLOOKUP(C2234,'[1]خريطة الحسابات'!_xlnm.Print_Area,3,FALSE))," ",(VLOOKUP(C2234,'[1]خريطة الحسابات'!_xlnm.Print_Area,3,FALSE)))</f>
        <v xml:space="preserve">الخزينة </v>
      </c>
      <c r="E2234" s="142"/>
      <c r="F2234" s="133"/>
      <c r="G2234" s="133">
        <v>5050</v>
      </c>
      <c r="H2234" s="134">
        <f t="shared" si="103"/>
        <v>0</v>
      </c>
      <c r="I2234" s="134">
        <f t="shared" si="103"/>
        <v>5050</v>
      </c>
      <c r="J2234" s="134">
        <f t="shared" si="102"/>
        <v>-5050</v>
      </c>
      <c r="K2234" s="135"/>
      <c r="L2234" s="136" t="str">
        <f t="shared" si="104"/>
        <v>دائن</v>
      </c>
      <c r="M2234" s="137" t="str">
        <f>IF(ISERROR(VLOOKUP(C2234,'[1]خريطة الحسابات'!_xlnm.Print_Area,4,FALSE))," ",(VLOOKUP(C2234,'[1]خريطة الحسابات'!_xlnm.Print_Area,4,FALSE)))</f>
        <v xml:space="preserve">أصول متداوله -النقدية ومافي حكمها </v>
      </c>
      <c r="N2234" s="138" t="str">
        <f>IF(ISERROR(VLOOKUP(C2234,'[1]خريطة الحسابات'!_xlnm.Print_Area,5,FALSE))," ",(VLOOKUP(C2234,'[1]خريطة الحسابات'!_xlnm.Print_Area,5,FALSE)))</f>
        <v>الاصول</v>
      </c>
      <c r="O2234" s="84" t="s">
        <v>2304</v>
      </c>
      <c r="P2234" s="84" t="s">
        <v>1383</v>
      </c>
    </row>
    <row r="2235" spans="1:16">
      <c r="A2235" s="151">
        <v>67</v>
      </c>
      <c r="B2235" s="131">
        <v>46120</v>
      </c>
      <c r="C2235" s="150">
        <v>20</v>
      </c>
      <c r="D2235" s="140" t="str">
        <f>IF(ISERROR(VLOOKUP(C2235,'[1]خريطة الحسابات'!_xlnm.Print_Area,3,FALSE))," ",(VLOOKUP(C2235,'[1]خريطة الحسابات'!_xlnm.Print_Area,3,FALSE)))</f>
        <v xml:space="preserve">الخزينة </v>
      </c>
      <c r="E2235" s="142"/>
      <c r="F2235" s="133"/>
      <c r="G2235" s="133">
        <v>1580</v>
      </c>
      <c r="H2235" s="134">
        <f t="shared" si="103"/>
        <v>0</v>
      </c>
      <c r="I2235" s="134">
        <f t="shared" si="103"/>
        <v>1580</v>
      </c>
      <c r="J2235" s="134">
        <f t="shared" si="102"/>
        <v>-1580</v>
      </c>
      <c r="K2235" s="135"/>
      <c r="L2235" s="136" t="str">
        <f t="shared" si="104"/>
        <v>دائن</v>
      </c>
      <c r="M2235" s="137" t="str">
        <f>IF(ISERROR(VLOOKUP(C2235,'[1]خريطة الحسابات'!_xlnm.Print_Area,4,FALSE))," ",(VLOOKUP(C2235,'[1]خريطة الحسابات'!_xlnm.Print_Area,4,FALSE)))</f>
        <v xml:space="preserve">أصول متداوله -النقدية ومافي حكمها </v>
      </c>
      <c r="N2235" s="138" t="str">
        <f>IF(ISERROR(VLOOKUP(C2235,'[1]خريطة الحسابات'!_xlnm.Print_Area,5,FALSE))," ",(VLOOKUP(C2235,'[1]خريطة الحسابات'!_xlnm.Print_Area,5,FALSE)))</f>
        <v>الاصول</v>
      </c>
      <c r="O2235" s="84" t="s">
        <v>2305</v>
      </c>
      <c r="P2235" s="84" t="s">
        <v>1383</v>
      </c>
    </row>
    <row r="2236" spans="1:16">
      <c r="A2236" s="151">
        <v>67</v>
      </c>
      <c r="B2236" s="131">
        <v>46131</v>
      </c>
      <c r="C2236" s="150">
        <v>20</v>
      </c>
      <c r="D2236" s="140" t="str">
        <f>IF(ISERROR(VLOOKUP(C2236,'[1]خريطة الحسابات'!_xlnm.Print_Area,3,FALSE))," ",(VLOOKUP(C2236,'[1]خريطة الحسابات'!_xlnm.Print_Area,3,FALSE)))</f>
        <v xml:space="preserve">الخزينة </v>
      </c>
      <c r="E2236" s="142"/>
      <c r="F2236" s="133"/>
      <c r="G2236" s="133">
        <v>1000</v>
      </c>
      <c r="H2236" s="134">
        <f t="shared" si="103"/>
        <v>0</v>
      </c>
      <c r="I2236" s="134">
        <f t="shared" si="103"/>
        <v>1000</v>
      </c>
      <c r="J2236" s="134">
        <f t="shared" si="102"/>
        <v>-1000</v>
      </c>
      <c r="K2236" s="135"/>
      <c r="L2236" s="136" t="str">
        <f t="shared" si="104"/>
        <v>دائن</v>
      </c>
      <c r="M2236" s="137" t="str">
        <f>IF(ISERROR(VLOOKUP(C2236,'[1]خريطة الحسابات'!_xlnm.Print_Area,4,FALSE))," ",(VLOOKUP(C2236,'[1]خريطة الحسابات'!_xlnm.Print_Area,4,FALSE)))</f>
        <v xml:space="preserve">أصول متداوله -النقدية ومافي حكمها </v>
      </c>
      <c r="N2236" s="138" t="str">
        <f>IF(ISERROR(VLOOKUP(C2236,'[1]خريطة الحسابات'!_xlnm.Print_Area,5,FALSE))," ",(VLOOKUP(C2236,'[1]خريطة الحسابات'!_xlnm.Print_Area,5,FALSE)))</f>
        <v>الاصول</v>
      </c>
      <c r="O2236" s="84" t="s">
        <v>2306</v>
      </c>
      <c r="P2236" s="84" t="s">
        <v>1383</v>
      </c>
    </row>
    <row r="2237" spans="1:16">
      <c r="A2237" s="151">
        <v>67</v>
      </c>
      <c r="B2237" s="131">
        <v>46133</v>
      </c>
      <c r="C2237" s="150">
        <v>20</v>
      </c>
      <c r="D2237" s="140" t="str">
        <f>IF(ISERROR(VLOOKUP(C2237,'[1]خريطة الحسابات'!_xlnm.Print_Area,3,FALSE))," ",(VLOOKUP(C2237,'[1]خريطة الحسابات'!_xlnm.Print_Area,3,FALSE)))</f>
        <v xml:space="preserve">الخزينة </v>
      </c>
      <c r="E2237" s="142"/>
      <c r="F2237" s="133"/>
      <c r="G2237" s="133">
        <v>15050</v>
      </c>
      <c r="H2237" s="134">
        <f t="shared" si="103"/>
        <v>0</v>
      </c>
      <c r="I2237" s="134">
        <f t="shared" si="103"/>
        <v>15050</v>
      </c>
      <c r="J2237" s="134">
        <f t="shared" si="102"/>
        <v>-15050</v>
      </c>
      <c r="K2237" s="135"/>
      <c r="L2237" s="136" t="str">
        <f t="shared" si="104"/>
        <v>دائن</v>
      </c>
      <c r="M2237" s="137" t="str">
        <f>IF(ISERROR(VLOOKUP(C2237,'[1]خريطة الحسابات'!_xlnm.Print_Area,4,FALSE))," ",(VLOOKUP(C2237,'[1]خريطة الحسابات'!_xlnm.Print_Area,4,FALSE)))</f>
        <v xml:space="preserve">أصول متداوله -النقدية ومافي حكمها </v>
      </c>
      <c r="N2237" s="138" t="str">
        <f>IF(ISERROR(VLOOKUP(C2237,'[1]خريطة الحسابات'!_xlnm.Print_Area,5,FALSE))," ",(VLOOKUP(C2237,'[1]خريطة الحسابات'!_xlnm.Print_Area,5,FALSE)))</f>
        <v>الاصول</v>
      </c>
      <c r="O2237" s="84" t="s">
        <v>2307</v>
      </c>
      <c r="P2237" s="84" t="s">
        <v>1383</v>
      </c>
    </row>
    <row r="2238" spans="1:16">
      <c r="A2238" s="151">
        <v>67</v>
      </c>
      <c r="B2238" s="131">
        <v>46139</v>
      </c>
      <c r="C2238" s="150">
        <v>20</v>
      </c>
      <c r="D2238" s="140" t="str">
        <f>IF(ISERROR(VLOOKUP(C2238,'[1]خريطة الحسابات'!_xlnm.Print_Area,3,FALSE))," ",(VLOOKUP(C2238,'[1]خريطة الحسابات'!_xlnm.Print_Area,3,FALSE)))</f>
        <v xml:space="preserve">الخزينة </v>
      </c>
      <c r="E2238" s="142"/>
      <c r="F2238" s="133"/>
      <c r="G2238" s="133">
        <v>3400</v>
      </c>
      <c r="H2238" s="134">
        <f t="shared" si="103"/>
        <v>0</v>
      </c>
      <c r="I2238" s="134">
        <f t="shared" si="103"/>
        <v>3400</v>
      </c>
      <c r="J2238" s="134">
        <f t="shared" si="102"/>
        <v>-3400</v>
      </c>
      <c r="K2238" s="135"/>
      <c r="L2238" s="136" t="str">
        <f t="shared" si="104"/>
        <v>دائن</v>
      </c>
      <c r="M2238" s="137" t="str">
        <f>IF(ISERROR(VLOOKUP(C2238,'[1]خريطة الحسابات'!_xlnm.Print_Area,4,FALSE))," ",(VLOOKUP(C2238,'[1]خريطة الحسابات'!_xlnm.Print_Area,4,FALSE)))</f>
        <v xml:space="preserve">أصول متداوله -النقدية ومافي حكمها </v>
      </c>
      <c r="N2238" s="138" t="str">
        <f>IF(ISERROR(VLOOKUP(C2238,'[1]خريطة الحسابات'!_xlnm.Print_Area,5,FALSE))," ",(VLOOKUP(C2238,'[1]خريطة الحسابات'!_xlnm.Print_Area,5,FALSE)))</f>
        <v>الاصول</v>
      </c>
      <c r="O2238" s="84" t="s">
        <v>2308</v>
      </c>
      <c r="P2238" s="84" t="s">
        <v>1383</v>
      </c>
    </row>
    <row r="2239" spans="1:16">
      <c r="A2239" s="151">
        <v>67</v>
      </c>
      <c r="B2239" s="131">
        <v>46139</v>
      </c>
      <c r="C2239" s="150">
        <v>20</v>
      </c>
      <c r="D2239" s="140" t="str">
        <f>IF(ISERROR(VLOOKUP(C2239,'[1]خريطة الحسابات'!_xlnm.Print_Area,3,FALSE))," ",(VLOOKUP(C2239,'[1]خريطة الحسابات'!_xlnm.Print_Area,3,FALSE)))</f>
        <v xml:space="preserve">الخزينة </v>
      </c>
      <c r="E2239" s="142"/>
      <c r="F2239" s="133"/>
      <c r="G2239" s="133">
        <v>800</v>
      </c>
      <c r="H2239" s="134">
        <f t="shared" si="103"/>
        <v>0</v>
      </c>
      <c r="I2239" s="134">
        <f t="shared" si="103"/>
        <v>800</v>
      </c>
      <c r="J2239" s="134">
        <f t="shared" si="102"/>
        <v>-800</v>
      </c>
      <c r="K2239" s="135"/>
      <c r="L2239" s="136" t="str">
        <f t="shared" si="104"/>
        <v>دائن</v>
      </c>
      <c r="M2239" s="137" t="str">
        <f>IF(ISERROR(VLOOKUP(C2239,'[1]خريطة الحسابات'!_xlnm.Print_Area,4,FALSE))," ",(VLOOKUP(C2239,'[1]خريطة الحسابات'!_xlnm.Print_Area,4,FALSE)))</f>
        <v xml:space="preserve">أصول متداوله -النقدية ومافي حكمها </v>
      </c>
      <c r="N2239" s="138" t="str">
        <f>IF(ISERROR(VLOOKUP(C2239,'[1]خريطة الحسابات'!_xlnm.Print_Area,5,FALSE))," ",(VLOOKUP(C2239,'[1]خريطة الحسابات'!_xlnm.Print_Area,5,FALSE)))</f>
        <v>الاصول</v>
      </c>
      <c r="O2239" s="84" t="s">
        <v>2309</v>
      </c>
      <c r="P2239" s="84" t="s">
        <v>1383</v>
      </c>
    </row>
    <row r="2240" spans="1:16">
      <c r="A2240" s="151">
        <v>67</v>
      </c>
      <c r="B2240" s="131">
        <v>46145</v>
      </c>
      <c r="C2240" s="150">
        <v>20</v>
      </c>
      <c r="D2240" s="140" t="str">
        <f>IF(ISERROR(VLOOKUP(C2240,'[1]خريطة الحسابات'!_xlnm.Print_Area,3,FALSE))," ",(VLOOKUP(C2240,'[1]خريطة الحسابات'!_xlnm.Print_Area,3,FALSE)))</f>
        <v xml:space="preserve">الخزينة </v>
      </c>
      <c r="E2240" s="142"/>
      <c r="F2240" s="133"/>
      <c r="G2240" s="133">
        <v>5000</v>
      </c>
      <c r="H2240" s="134">
        <f t="shared" si="103"/>
        <v>0</v>
      </c>
      <c r="I2240" s="134">
        <f t="shared" si="103"/>
        <v>5000</v>
      </c>
      <c r="J2240" s="134">
        <f t="shared" si="102"/>
        <v>-5000</v>
      </c>
      <c r="K2240" s="135"/>
      <c r="L2240" s="136" t="str">
        <f t="shared" si="104"/>
        <v>دائن</v>
      </c>
      <c r="M2240" s="137" t="str">
        <f>IF(ISERROR(VLOOKUP(C2240,'[1]خريطة الحسابات'!_xlnm.Print_Area,4,FALSE))," ",(VLOOKUP(C2240,'[1]خريطة الحسابات'!_xlnm.Print_Area,4,FALSE)))</f>
        <v xml:space="preserve">أصول متداوله -النقدية ومافي حكمها </v>
      </c>
      <c r="N2240" s="138" t="str">
        <f>IF(ISERROR(VLOOKUP(C2240,'[1]خريطة الحسابات'!_xlnm.Print_Area,5,FALSE))," ",(VLOOKUP(C2240,'[1]خريطة الحسابات'!_xlnm.Print_Area,5,FALSE)))</f>
        <v>الاصول</v>
      </c>
      <c r="O2240" s="84" t="s">
        <v>2310</v>
      </c>
      <c r="P2240" s="84" t="s">
        <v>1383</v>
      </c>
    </row>
    <row r="2241" spans="1:16">
      <c r="A2241" s="151">
        <v>67</v>
      </c>
      <c r="B2241" s="131">
        <v>46166</v>
      </c>
      <c r="C2241" s="150">
        <v>20</v>
      </c>
      <c r="D2241" s="140" t="str">
        <f>IF(ISERROR(VLOOKUP(C2241,'[1]خريطة الحسابات'!_xlnm.Print_Area,3,FALSE))," ",(VLOOKUP(C2241,'[1]خريطة الحسابات'!_xlnm.Print_Area,3,FALSE)))</f>
        <v xml:space="preserve">الخزينة </v>
      </c>
      <c r="E2241" s="142"/>
      <c r="F2241" s="133"/>
      <c r="G2241" s="133">
        <v>2000</v>
      </c>
      <c r="H2241" s="134">
        <f t="shared" si="103"/>
        <v>0</v>
      </c>
      <c r="I2241" s="134">
        <f t="shared" si="103"/>
        <v>2000</v>
      </c>
      <c r="J2241" s="134">
        <f t="shared" si="102"/>
        <v>-2000</v>
      </c>
      <c r="K2241" s="135"/>
      <c r="L2241" s="136" t="str">
        <f t="shared" si="104"/>
        <v>دائن</v>
      </c>
      <c r="M2241" s="137" t="str">
        <f>IF(ISERROR(VLOOKUP(C2241,'[1]خريطة الحسابات'!_xlnm.Print_Area,4,FALSE))," ",(VLOOKUP(C2241,'[1]خريطة الحسابات'!_xlnm.Print_Area,4,FALSE)))</f>
        <v xml:space="preserve">أصول متداوله -النقدية ومافي حكمها </v>
      </c>
      <c r="N2241" s="138" t="str">
        <f>IF(ISERROR(VLOOKUP(C2241,'[1]خريطة الحسابات'!_xlnm.Print_Area,5,FALSE))," ",(VLOOKUP(C2241,'[1]خريطة الحسابات'!_xlnm.Print_Area,5,FALSE)))</f>
        <v>الاصول</v>
      </c>
      <c r="O2241" s="84" t="s">
        <v>2311</v>
      </c>
      <c r="P2241" s="84" t="s">
        <v>1383</v>
      </c>
    </row>
    <row r="2242" spans="1:16">
      <c r="A2242" s="151">
        <v>67</v>
      </c>
      <c r="B2242" s="131">
        <v>46144</v>
      </c>
      <c r="C2242" s="150">
        <v>20</v>
      </c>
      <c r="D2242" s="140" t="str">
        <f>IF(ISERROR(VLOOKUP(C2242,'[1]خريطة الحسابات'!_xlnm.Print_Area,3,FALSE))," ",(VLOOKUP(C2242,'[1]خريطة الحسابات'!_xlnm.Print_Area,3,FALSE)))</f>
        <v xml:space="preserve">الخزينة </v>
      </c>
      <c r="E2242" s="142"/>
      <c r="F2242" s="133"/>
      <c r="G2242" s="133">
        <v>2800</v>
      </c>
      <c r="H2242" s="134">
        <f t="shared" si="103"/>
        <v>0</v>
      </c>
      <c r="I2242" s="134">
        <f t="shared" si="103"/>
        <v>2800</v>
      </c>
      <c r="J2242" s="134">
        <f t="shared" si="102"/>
        <v>-2800</v>
      </c>
      <c r="K2242" s="135"/>
      <c r="L2242" s="136" t="str">
        <f t="shared" si="104"/>
        <v>دائن</v>
      </c>
      <c r="M2242" s="137" t="str">
        <f>IF(ISERROR(VLOOKUP(C2242,'[1]خريطة الحسابات'!_xlnm.Print_Area,4,FALSE))," ",(VLOOKUP(C2242,'[1]خريطة الحسابات'!_xlnm.Print_Area,4,FALSE)))</f>
        <v xml:space="preserve">أصول متداوله -النقدية ومافي حكمها </v>
      </c>
      <c r="N2242" s="138" t="str">
        <f>IF(ISERROR(VLOOKUP(C2242,'[1]خريطة الحسابات'!_xlnm.Print_Area,5,FALSE))," ",(VLOOKUP(C2242,'[1]خريطة الحسابات'!_xlnm.Print_Area,5,FALSE)))</f>
        <v>الاصول</v>
      </c>
      <c r="O2242" s="84" t="s">
        <v>2312</v>
      </c>
      <c r="P2242" s="84" t="s">
        <v>1342</v>
      </c>
    </row>
    <row r="2243" spans="1:16">
      <c r="A2243" s="151">
        <v>67</v>
      </c>
      <c r="B2243" s="131">
        <v>46113</v>
      </c>
      <c r="C2243" s="150">
        <v>20</v>
      </c>
      <c r="D2243" s="140" t="str">
        <f>IF(ISERROR(VLOOKUP(C2243,'[1]خريطة الحسابات'!_xlnm.Print_Area,3,FALSE))," ",(VLOOKUP(C2243,'[1]خريطة الحسابات'!_xlnm.Print_Area,3,FALSE)))</f>
        <v xml:space="preserve">الخزينة </v>
      </c>
      <c r="E2243" s="142"/>
      <c r="F2243" s="133"/>
      <c r="G2243" s="133">
        <v>100</v>
      </c>
      <c r="H2243" s="134">
        <f t="shared" si="103"/>
        <v>0</v>
      </c>
      <c r="I2243" s="134">
        <f t="shared" si="103"/>
        <v>100</v>
      </c>
      <c r="J2243" s="134">
        <f t="shared" si="102"/>
        <v>-100</v>
      </c>
      <c r="K2243" s="135"/>
      <c r="L2243" s="136" t="str">
        <f t="shared" si="104"/>
        <v>دائن</v>
      </c>
      <c r="M2243" s="137" t="str">
        <f>IF(ISERROR(VLOOKUP(C2243,'[1]خريطة الحسابات'!_xlnm.Print_Area,4,FALSE))," ",(VLOOKUP(C2243,'[1]خريطة الحسابات'!_xlnm.Print_Area,4,FALSE)))</f>
        <v xml:space="preserve">أصول متداوله -النقدية ومافي حكمها </v>
      </c>
      <c r="N2243" s="138" t="str">
        <f>IF(ISERROR(VLOOKUP(C2243,'[1]خريطة الحسابات'!_xlnm.Print_Area,5,FALSE))," ",(VLOOKUP(C2243,'[1]خريطة الحسابات'!_xlnm.Print_Area,5,FALSE)))</f>
        <v>الاصول</v>
      </c>
      <c r="O2243" s="84" t="s">
        <v>2313</v>
      </c>
      <c r="P2243" s="84" t="s">
        <v>1317</v>
      </c>
    </row>
    <row r="2244" spans="1:16">
      <c r="A2244" s="151">
        <v>67</v>
      </c>
      <c r="B2244" s="131">
        <v>46144</v>
      </c>
      <c r="C2244" s="150">
        <v>20</v>
      </c>
      <c r="D2244" s="140" t="str">
        <f>IF(ISERROR(VLOOKUP(C2244,'[1]خريطة الحسابات'!_xlnm.Print_Area,3,FALSE))," ",(VLOOKUP(C2244,'[1]خريطة الحسابات'!_xlnm.Print_Area,3,FALSE)))</f>
        <v xml:space="preserve">الخزينة </v>
      </c>
      <c r="E2244" s="142"/>
      <c r="F2244" s="133"/>
      <c r="G2244" s="133">
        <v>800</v>
      </c>
      <c r="H2244" s="134">
        <f t="shared" si="103"/>
        <v>0</v>
      </c>
      <c r="I2244" s="134">
        <f t="shared" si="103"/>
        <v>800</v>
      </c>
      <c r="J2244" s="134">
        <f t="shared" si="102"/>
        <v>-800</v>
      </c>
      <c r="K2244" s="135"/>
      <c r="L2244" s="136" t="str">
        <f t="shared" si="104"/>
        <v>دائن</v>
      </c>
      <c r="M2244" s="137" t="str">
        <f>IF(ISERROR(VLOOKUP(C2244,'[1]خريطة الحسابات'!_xlnm.Print_Area,4,FALSE))," ",(VLOOKUP(C2244,'[1]خريطة الحسابات'!_xlnm.Print_Area,4,FALSE)))</f>
        <v xml:space="preserve">أصول متداوله -النقدية ومافي حكمها </v>
      </c>
      <c r="N2244" s="138" t="str">
        <f>IF(ISERROR(VLOOKUP(C2244,'[1]خريطة الحسابات'!_xlnm.Print_Area,5,FALSE))," ",(VLOOKUP(C2244,'[1]خريطة الحسابات'!_xlnm.Print_Area,5,FALSE)))</f>
        <v>الاصول</v>
      </c>
      <c r="O2244" s="84" t="s">
        <v>2314</v>
      </c>
      <c r="P2244" s="84" t="s">
        <v>1317</v>
      </c>
    </row>
    <row r="2245" spans="1:16">
      <c r="A2245" s="151">
        <v>67</v>
      </c>
      <c r="B2245" s="131">
        <v>46151</v>
      </c>
      <c r="C2245" s="150">
        <v>20</v>
      </c>
      <c r="D2245" s="140" t="str">
        <f>IF(ISERROR(VLOOKUP(C2245,'[1]خريطة الحسابات'!_xlnm.Print_Area,3,FALSE))," ",(VLOOKUP(C2245,'[1]خريطة الحسابات'!_xlnm.Print_Area,3,FALSE)))</f>
        <v xml:space="preserve">الخزينة </v>
      </c>
      <c r="E2245" s="142"/>
      <c r="F2245" s="133"/>
      <c r="G2245" s="133">
        <v>24875</v>
      </c>
      <c r="H2245" s="134">
        <f t="shared" si="103"/>
        <v>0</v>
      </c>
      <c r="I2245" s="134">
        <f t="shared" si="103"/>
        <v>24875</v>
      </c>
      <c r="J2245" s="134">
        <f t="shared" si="102"/>
        <v>-24875</v>
      </c>
      <c r="K2245" s="135"/>
      <c r="L2245" s="136" t="str">
        <f t="shared" si="104"/>
        <v>دائن</v>
      </c>
      <c r="M2245" s="137" t="str">
        <f>IF(ISERROR(VLOOKUP(C2245,'[1]خريطة الحسابات'!_xlnm.Print_Area,4,FALSE))," ",(VLOOKUP(C2245,'[1]خريطة الحسابات'!_xlnm.Print_Area,4,FALSE)))</f>
        <v xml:space="preserve">أصول متداوله -النقدية ومافي حكمها </v>
      </c>
      <c r="N2245" s="138" t="str">
        <f>IF(ISERROR(VLOOKUP(C2245,'[1]خريطة الحسابات'!_xlnm.Print_Area,5,FALSE))," ",(VLOOKUP(C2245,'[1]خريطة الحسابات'!_xlnm.Print_Area,5,FALSE)))</f>
        <v>الاصول</v>
      </c>
      <c r="O2245" s="84" t="s">
        <v>2315</v>
      </c>
      <c r="P2245" s="84" t="s">
        <v>1317</v>
      </c>
    </row>
    <row r="2246" spans="1:16">
      <c r="A2246" s="151">
        <v>67</v>
      </c>
      <c r="B2246" s="131">
        <v>46151</v>
      </c>
      <c r="C2246" s="150">
        <v>20</v>
      </c>
      <c r="D2246" s="140" t="str">
        <f>IF(ISERROR(VLOOKUP(C2246,'[1]خريطة الحسابات'!_xlnm.Print_Area,3,FALSE))," ",(VLOOKUP(C2246,'[1]خريطة الحسابات'!_xlnm.Print_Area,3,FALSE)))</f>
        <v xml:space="preserve">الخزينة </v>
      </c>
      <c r="E2246" s="142"/>
      <c r="F2246" s="133"/>
      <c r="G2246" s="133">
        <v>27225</v>
      </c>
      <c r="H2246" s="134">
        <f t="shared" si="103"/>
        <v>0</v>
      </c>
      <c r="I2246" s="134">
        <f t="shared" si="103"/>
        <v>27225</v>
      </c>
      <c r="J2246" s="134">
        <f t="shared" si="102"/>
        <v>-27225</v>
      </c>
      <c r="K2246" s="135"/>
      <c r="L2246" s="136" t="str">
        <f t="shared" si="104"/>
        <v>دائن</v>
      </c>
      <c r="M2246" s="137" t="str">
        <f>IF(ISERROR(VLOOKUP(C2246,'[1]خريطة الحسابات'!_xlnm.Print_Area,4,FALSE))," ",(VLOOKUP(C2246,'[1]خريطة الحسابات'!_xlnm.Print_Area,4,FALSE)))</f>
        <v xml:space="preserve">أصول متداوله -النقدية ومافي حكمها </v>
      </c>
      <c r="N2246" s="138" t="str">
        <f>IF(ISERROR(VLOOKUP(C2246,'[1]خريطة الحسابات'!_xlnm.Print_Area,5,FALSE))," ",(VLOOKUP(C2246,'[1]خريطة الحسابات'!_xlnm.Print_Area,5,FALSE)))</f>
        <v>الاصول</v>
      </c>
      <c r="O2246" s="84" t="s">
        <v>2316</v>
      </c>
      <c r="P2246" s="84" t="s">
        <v>1317</v>
      </c>
    </row>
    <row r="2247" spans="1:16">
      <c r="A2247" s="151">
        <v>67</v>
      </c>
      <c r="B2247" s="131">
        <v>46153</v>
      </c>
      <c r="C2247" s="150">
        <v>20</v>
      </c>
      <c r="D2247" s="140" t="str">
        <f>IF(ISERROR(VLOOKUP(C2247,'[1]خريطة الحسابات'!_xlnm.Print_Area,3,FALSE))," ",(VLOOKUP(C2247,'[1]خريطة الحسابات'!_xlnm.Print_Area,3,FALSE)))</f>
        <v xml:space="preserve">الخزينة </v>
      </c>
      <c r="E2247" s="142"/>
      <c r="F2247" s="133"/>
      <c r="G2247" s="133">
        <v>14065</v>
      </c>
      <c r="H2247" s="134">
        <f t="shared" si="103"/>
        <v>0</v>
      </c>
      <c r="I2247" s="134">
        <f t="shared" si="103"/>
        <v>14065</v>
      </c>
      <c r="J2247" s="134">
        <f t="shared" si="102"/>
        <v>-14065</v>
      </c>
      <c r="K2247" s="135"/>
      <c r="L2247" s="136" t="str">
        <f t="shared" si="104"/>
        <v>دائن</v>
      </c>
      <c r="M2247" s="137" t="str">
        <f>IF(ISERROR(VLOOKUP(C2247,'[1]خريطة الحسابات'!_xlnm.Print_Area,4,FALSE))," ",(VLOOKUP(C2247,'[1]خريطة الحسابات'!_xlnm.Print_Area,4,FALSE)))</f>
        <v xml:space="preserve">أصول متداوله -النقدية ومافي حكمها </v>
      </c>
      <c r="N2247" s="138" t="str">
        <f>IF(ISERROR(VLOOKUP(C2247,'[1]خريطة الحسابات'!_xlnm.Print_Area,5,FALSE))," ",(VLOOKUP(C2247,'[1]خريطة الحسابات'!_xlnm.Print_Area,5,FALSE)))</f>
        <v>الاصول</v>
      </c>
      <c r="O2247" s="84" t="s">
        <v>2317</v>
      </c>
      <c r="P2247" s="84" t="s">
        <v>1317</v>
      </c>
    </row>
    <row r="2248" spans="1:16">
      <c r="A2248" s="151">
        <v>67</v>
      </c>
      <c r="B2248" s="131">
        <v>46154</v>
      </c>
      <c r="C2248" s="150">
        <v>20</v>
      </c>
      <c r="D2248" s="140" t="str">
        <f>IF(ISERROR(VLOOKUP(C2248,'[1]خريطة الحسابات'!_xlnm.Print_Area,3,FALSE))," ",(VLOOKUP(C2248,'[1]خريطة الحسابات'!_xlnm.Print_Area,3,FALSE)))</f>
        <v xml:space="preserve">الخزينة </v>
      </c>
      <c r="E2248" s="142"/>
      <c r="F2248" s="133"/>
      <c r="G2248" s="133">
        <v>1202</v>
      </c>
      <c r="H2248" s="134">
        <f t="shared" si="103"/>
        <v>0</v>
      </c>
      <c r="I2248" s="134">
        <f t="shared" si="103"/>
        <v>1202</v>
      </c>
      <c r="J2248" s="134">
        <f t="shared" si="102"/>
        <v>-1202</v>
      </c>
      <c r="K2248" s="135"/>
      <c r="L2248" s="136" t="str">
        <f t="shared" si="104"/>
        <v>دائن</v>
      </c>
      <c r="M2248" s="137" t="str">
        <f>IF(ISERROR(VLOOKUP(C2248,'[1]خريطة الحسابات'!_xlnm.Print_Area,4,FALSE))," ",(VLOOKUP(C2248,'[1]خريطة الحسابات'!_xlnm.Print_Area,4,FALSE)))</f>
        <v xml:space="preserve">أصول متداوله -النقدية ومافي حكمها </v>
      </c>
      <c r="N2248" s="138" t="str">
        <f>IF(ISERROR(VLOOKUP(C2248,'[1]خريطة الحسابات'!_xlnm.Print_Area,5,FALSE))," ",(VLOOKUP(C2248,'[1]خريطة الحسابات'!_xlnm.Print_Area,5,FALSE)))</f>
        <v>الاصول</v>
      </c>
      <c r="O2248" s="84" t="s">
        <v>2318</v>
      </c>
      <c r="P2248" s="84" t="s">
        <v>1317</v>
      </c>
    </row>
    <row r="2249" spans="1:16">
      <c r="A2249" s="151">
        <v>67</v>
      </c>
      <c r="B2249" s="131">
        <v>46093</v>
      </c>
      <c r="C2249" s="150">
        <v>20</v>
      </c>
      <c r="D2249" s="140" t="str">
        <f>IF(ISERROR(VLOOKUP(C2249,'[1]خريطة الحسابات'!_xlnm.Print_Area,3,FALSE))," ",(VLOOKUP(C2249,'[1]خريطة الحسابات'!_xlnm.Print_Area,3,FALSE)))</f>
        <v xml:space="preserve">الخزينة </v>
      </c>
      <c r="E2249" s="142"/>
      <c r="F2249" s="133"/>
      <c r="G2249" s="133">
        <v>475</v>
      </c>
      <c r="H2249" s="134">
        <f t="shared" si="103"/>
        <v>0</v>
      </c>
      <c r="I2249" s="134">
        <f t="shared" si="103"/>
        <v>475</v>
      </c>
      <c r="J2249" s="134">
        <f t="shared" si="102"/>
        <v>-475</v>
      </c>
      <c r="K2249" s="135"/>
      <c r="L2249" s="136" t="str">
        <f t="shared" si="104"/>
        <v>دائن</v>
      </c>
      <c r="M2249" s="137" t="str">
        <f>IF(ISERROR(VLOOKUP(C2249,'[1]خريطة الحسابات'!_xlnm.Print_Area,4,FALSE))," ",(VLOOKUP(C2249,'[1]خريطة الحسابات'!_xlnm.Print_Area,4,FALSE)))</f>
        <v xml:space="preserve">أصول متداوله -النقدية ومافي حكمها </v>
      </c>
      <c r="N2249" s="138" t="str">
        <f>IF(ISERROR(VLOOKUP(C2249,'[1]خريطة الحسابات'!_xlnm.Print_Area,5,FALSE))," ",(VLOOKUP(C2249,'[1]خريطة الحسابات'!_xlnm.Print_Area,5,FALSE)))</f>
        <v>الاصول</v>
      </c>
      <c r="O2249" s="84" t="s">
        <v>2319</v>
      </c>
      <c r="P2249" s="84" t="s">
        <v>1395</v>
      </c>
    </row>
    <row r="2250" spans="1:16">
      <c r="A2250" s="151">
        <v>67</v>
      </c>
      <c r="B2250" s="131">
        <v>46096</v>
      </c>
      <c r="C2250" s="150">
        <v>20</v>
      </c>
      <c r="D2250" s="140" t="str">
        <f>IF(ISERROR(VLOOKUP(C2250,'[1]خريطة الحسابات'!_xlnm.Print_Area,3,FALSE))," ",(VLOOKUP(C2250,'[1]خريطة الحسابات'!_xlnm.Print_Area,3,FALSE)))</f>
        <v xml:space="preserve">الخزينة </v>
      </c>
      <c r="E2250" s="142"/>
      <c r="F2250" s="133"/>
      <c r="G2250" s="133">
        <v>15185</v>
      </c>
      <c r="H2250" s="134">
        <f t="shared" si="103"/>
        <v>0</v>
      </c>
      <c r="I2250" s="134">
        <f t="shared" si="103"/>
        <v>15185</v>
      </c>
      <c r="J2250" s="134">
        <f t="shared" si="102"/>
        <v>-15185</v>
      </c>
      <c r="K2250" s="135"/>
      <c r="L2250" s="136" t="str">
        <f t="shared" si="104"/>
        <v>دائن</v>
      </c>
      <c r="M2250" s="137" t="str">
        <f>IF(ISERROR(VLOOKUP(C2250,'[1]خريطة الحسابات'!_xlnm.Print_Area,4,FALSE))," ",(VLOOKUP(C2250,'[1]خريطة الحسابات'!_xlnm.Print_Area,4,FALSE)))</f>
        <v xml:space="preserve">أصول متداوله -النقدية ومافي حكمها </v>
      </c>
      <c r="N2250" s="138" t="str">
        <f>IF(ISERROR(VLOOKUP(C2250,'[1]خريطة الحسابات'!_xlnm.Print_Area,5,FALSE))," ",(VLOOKUP(C2250,'[1]خريطة الحسابات'!_xlnm.Print_Area,5,FALSE)))</f>
        <v>الاصول</v>
      </c>
      <c r="O2250" s="84" t="s">
        <v>2320</v>
      </c>
      <c r="P2250" s="84" t="s">
        <v>1395</v>
      </c>
    </row>
    <row r="2251" spans="1:16">
      <c r="A2251" s="151">
        <v>67</v>
      </c>
      <c r="B2251" s="131">
        <v>46096</v>
      </c>
      <c r="C2251" s="150">
        <v>20</v>
      </c>
      <c r="D2251" s="140" t="str">
        <f>IF(ISERROR(VLOOKUP(C2251,'[1]خريطة الحسابات'!_xlnm.Print_Area,3,FALSE))," ",(VLOOKUP(C2251,'[1]خريطة الحسابات'!_xlnm.Print_Area,3,FALSE)))</f>
        <v xml:space="preserve">الخزينة </v>
      </c>
      <c r="E2251" s="142"/>
      <c r="F2251" s="133"/>
      <c r="G2251" s="133">
        <v>500</v>
      </c>
      <c r="H2251" s="134">
        <f t="shared" si="103"/>
        <v>0</v>
      </c>
      <c r="I2251" s="134">
        <f t="shared" si="103"/>
        <v>500</v>
      </c>
      <c r="J2251" s="134">
        <f t="shared" si="102"/>
        <v>-500</v>
      </c>
      <c r="K2251" s="135"/>
      <c r="L2251" s="136" t="str">
        <f t="shared" si="104"/>
        <v>دائن</v>
      </c>
      <c r="M2251" s="137" t="str">
        <f>IF(ISERROR(VLOOKUP(C2251,'[1]خريطة الحسابات'!_xlnm.Print_Area,4,FALSE))," ",(VLOOKUP(C2251,'[1]خريطة الحسابات'!_xlnm.Print_Area,4,FALSE)))</f>
        <v xml:space="preserve">أصول متداوله -النقدية ومافي حكمها </v>
      </c>
      <c r="N2251" s="138" t="str">
        <f>IF(ISERROR(VLOOKUP(C2251,'[1]خريطة الحسابات'!_xlnm.Print_Area,5,FALSE))," ",(VLOOKUP(C2251,'[1]خريطة الحسابات'!_xlnm.Print_Area,5,FALSE)))</f>
        <v>الاصول</v>
      </c>
      <c r="O2251" s="84" t="s">
        <v>2313</v>
      </c>
      <c r="P2251" s="84" t="s">
        <v>1395</v>
      </c>
    </row>
    <row r="2252" spans="1:16">
      <c r="A2252" s="151">
        <v>67</v>
      </c>
      <c r="B2252" s="131">
        <v>46109</v>
      </c>
      <c r="C2252" s="150">
        <v>20</v>
      </c>
      <c r="D2252" s="140" t="str">
        <f>IF(ISERROR(VLOOKUP(C2252,'[1]خريطة الحسابات'!_xlnm.Print_Area,3,FALSE))," ",(VLOOKUP(C2252,'[1]خريطة الحسابات'!_xlnm.Print_Area,3,FALSE)))</f>
        <v xml:space="preserve">الخزينة </v>
      </c>
      <c r="E2252" s="142"/>
      <c r="F2252" s="133"/>
      <c r="G2252" s="133">
        <v>915</v>
      </c>
      <c r="H2252" s="134">
        <f t="shared" si="103"/>
        <v>0</v>
      </c>
      <c r="I2252" s="134">
        <f t="shared" si="103"/>
        <v>915</v>
      </c>
      <c r="J2252" s="134">
        <f t="shared" si="102"/>
        <v>-915</v>
      </c>
      <c r="K2252" s="135"/>
      <c r="L2252" s="136" t="str">
        <f t="shared" si="104"/>
        <v>دائن</v>
      </c>
      <c r="M2252" s="137" t="str">
        <f>IF(ISERROR(VLOOKUP(C2252,'[1]خريطة الحسابات'!_xlnm.Print_Area,4,FALSE))," ",(VLOOKUP(C2252,'[1]خريطة الحسابات'!_xlnm.Print_Area,4,FALSE)))</f>
        <v xml:space="preserve">أصول متداوله -النقدية ومافي حكمها </v>
      </c>
      <c r="N2252" s="138" t="str">
        <f>IF(ISERROR(VLOOKUP(C2252,'[1]خريطة الحسابات'!_xlnm.Print_Area,5,FALSE))," ",(VLOOKUP(C2252,'[1]خريطة الحسابات'!_xlnm.Print_Area,5,FALSE)))</f>
        <v>الاصول</v>
      </c>
      <c r="O2252" s="84" t="s">
        <v>2321</v>
      </c>
      <c r="P2252" s="84" t="s">
        <v>1395</v>
      </c>
    </row>
    <row r="2253" spans="1:16">
      <c r="A2253" s="151">
        <v>67</v>
      </c>
      <c r="B2253" s="131">
        <v>46121</v>
      </c>
      <c r="C2253" s="150">
        <v>20</v>
      </c>
      <c r="D2253" s="140" t="str">
        <f>IF(ISERROR(VLOOKUP(C2253,'[1]خريطة الحسابات'!_xlnm.Print_Area,3,FALSE))," ",(VLOOKUP(C2253,'[1]خريطة الحسابات'!_xlnm.Print_Area,3,FALSE)))</f>
        <v xml:space="preserve">الخزينة </v>
      </c>
      <c r="E2253" s="142"/>
      <c r="F2253" s="133"/>
      <c r="G2253" s="133">
        <v>313</v>
      </c>
      <c r="H2253" s="134">
        <f t="shared" si="103"/>
        <v>0</v>
      </c>
      <c r="I2253" s="134">
        <f t="shared" si="103"/>
        <v>313</v>
      </c>
      <c r="J2253" s="134">
        <f t="shared" si="102"/>
        <v>-313</v>
      </c>
      <c r="K2253" s="135"/>
      <c r="L2253" s="136" t="str">
        <f t="shared" si="104"/>
        <v>دائن</v>
      </c>
      <c r="M2253" s="137" t="str">
        <f>IF(ISERROR(VLOOKUP(C2253,'[1]خريطة الحسابات'!_xlnm.Print_Area,4,FALSE))," ",(VLOOKUP(C2253,'[1]خريطة الحسابات'!_xlnm.Print_Area,4,FALSE)))</f>
        <v xml:space="preserve">أصول متداوله -النقدية ومافي حكمها </v>
      </c>
      <c r="N2253" s="138" t="str">
        <f>IF(ISERROR(VLOOKUP(C2253,'[1]خريطة الحسابات'!_xlnm.Print_Area,5,FALSE))," ",(VLOOKUP(C2253,'[1]خريطة الحسابات'!_xlnm.Print_Area,5,FALSE)))</f>
        <v>الاصول</v>
      </c>
      <c r="O2253" s="84" t="s">
        <v>2322</v>
      </c>
      <c r="P2253" s="84" t="s">
        <v>1395</v>
      </c>
    </row>
    <row r="2254" spans="1:16">
      <c r="A2254" s="151">
        <v>67</v>
      </c>
      <c r="B2254" s="131">
        <v>46093</v>
      </c>
      <c r="C2254" s="150">
        <v>20</v>
      </c>
      <c r="D2254" s="140" t="str">
        <f>IF(ISERROR(VLOOKUP(C2254,'[1]خريطة الحسابات'!_xlnm.Print_Area,3,FALSE))," ",(VLOOKUP(C2254,'[1]خريطة الحسابات'!_xlnm.Print_Area,3,FALSE)))</f>
        <v xml:space="preserve">الخزينة </v>
      </c>
      <c r="E2254" s="142"/>
      <c r="F2254" s="133"/>
      <c r="G2254" s="133">
        <v>475</v>
      </c>
      <c r="H2254" s="134">
        <f t="shared" si="103"/>
        <v>0</v>
      </c>
      <c r="I2254" s="134">
        <f t="shared" si="103"/>
        <v>475</v>
      </c>
      <c r="J2254" s="134">
        <f t="shared" si="102"/>
        <v>-475</v>
      </c>
      <c r="K2254" s="135"/>
      <c r="L2254" s="136" t="str">
        <f t="shared" si="104"/>
        <v>دائن</v>
      </c>
      <c r="M2254" s="137" t="str">
        <f>IF(ISERROR(VLOOKUP(C2254,'[1]خريطة الحسابات'!_xlnm.Print_Area,4,FALSE))," ",(VLOOKUP(C2254,'[1]خريطة الحسابات'!_xlnm.Print_Area,4,FALSE)))</f>
        <v xml:space="preserve">أصول متداوله -النقدية ومافي حكمها </v>
      </c>
      <c r="N2254" s="138" t="str">
        <f>IF(ISERROR(VLOOKUP(C2254,'[1]خريطة الحسابات'!_xlnm.Print_Area,5,FALSE))," ",(VLOOKUP(C2254,'[1]خريطة الحسابات'!_xlnm.Print_Area,5,FALSE)))</f>
        <v>الاصول</v>
      </c>
      <c r="O2254" s="84" t="s">
        <v>2319</v>
      </c>
      <c r="P2254" s="84" t="s">
        <v>1393</v>
      </c>
    </row>
    <row r="2255" spans="1:16">
      <c r="A2255" s="151">
        <v>67</v>
      </c>
      <c r="B2255" s="131">
        <v>46096</v>
      </c>
      <c r="C2255" s="150">
        <v>20</v>
      </c>
      <c r="D2255" s="140" t="str">
        <f>IF(ISERROR(VLOOKUP(C2255,'[1]خريطة الحسابات'!_xlnm.Print_Area,3,FALSE))," ",(VLOOKUP(C2255,'[1]خريطة الحسابات'!_xlnm.Print_Area,3,FALSE)))</f>
        <v xml:space="preserve">الخزينة </v>
      </c>
      <c r="E2255" s="142"/>
      <c r="F2255" s="133"/>
      <c r="G2255" s="133">
        <v>15185</v>
      </c>
      <c r="H2255" s="134">
        <f t="shared" si="103"/>
        <v>0</v>
      </c>
      <c r="I2255" s="134">
        <f t="shared" si="103"/>
        <v>15185</v>
      </c>
      <c r="J2255" s="134">
        <f t="shared" si="102"/>
        <v>-15185</v>
      </c>
      <c r="K2255" s="135"/>
      <c r="L2255" s="136" t="str">
        <f t="shared" si="104"/>
        <v>دائن</v>
      </c>
      <c r="M2255" s="137" t="str">
        <f>IF(ISERROR(VLOOKUP(C2255,'[1]خريطة الحسابات'!_xlnm.Print_Area,4,FALSE))," ",(VLOOKUP(C2255,'[1]خريطة الحسابات'!_xlnm.Print_Area,4,FALSE)))</f>
        <v xml:space="preserve">أصول متداوله -النقدية ومافي حكمها </v>
      </c>
      <c r="N2255" s="138" t="str">
        <f>IF(ISERROR(VLOOKUP(C2255,'[1]خريطة الحسابات'!_xlnm.Print_Area,5,FALSE))," ",(VLOOKUP(C2255,'[1]خريطة الحسابات'!_xlnm.Print_Area,5,FALSE)))</f>
        <v>الاصول</v>
      </c>
      <c r="O2255" s="84" t="s">
        <v>2320</v>
      </c>
      <c r="P2255" s="84" t="s">
        <v>1393</v>
      </c>
    </row>
    <row r="2256" spans="1:16">
      <c r="A2256" s="151">
        <v>67</v>
      </c>
      <c r="B2256" s="131">
        <v>46096</v>
      </c>
      <c r="C2256" s="150">
        <v>20</v>
      </c>
      <c r="D2256" s="140" t="str">
        <f>IF(ISERROR(VLOOKUP(C2256,'[1]خريطة الحسابات'!_xlnm.Print_Area,3,FALSE))," ",(VLOOKUP(C2256,'[1]خريطة الحسابات'!_xlnm.Print_Area,3,FALSE)))</f>
        <v xml:space="preserve">الخزينة </v>
      </c>
      <c r="E2256" s="142"/>
      <c r="F2256" s="133"/>
      <c r="G2256" s="133">
        <v>500</v>
      </c>
      <c r="H2256" s="134">
        <f t="shared" si="103"/>
        <v>0</v>
      </c>
      <c r="I2256" s="134">
        <f t="shared" si="103"/>
        <v>500</v>
      </c>
      <c r="J2256" s="134">
        <f t="shared" si="102"/>
        <v>-500</v>
      </c>
      <c r="K2256" s="135"/>
      <c r="L2256" s="136" t="str">
        <f t="shared" si="104"/>
        <v>دائن</v>
      </c>
      <c r="M2256" s="137" t="str">
        <f>IF(ISERROR(VLOOKUP(C2256,'[1]خريطة الحسابات'!_xlnm.Print_Area,4,FALSE))," ",(VLOOKUP(C2256,'[1]خريطة الحسابات'!_xlnm.Print_Area,4,FALSE)))</f>
        <v xml:space="preserve">أصول متداوله -النقدية ومافي حكمها </v>
      </c>
      <c r="N2256" s="138" t="str">
        <f>IF(ISERROR(VLOOKUP(C2256,'[1]خريطة الحسابات'!_xlnm.Print_Area,5,FALSE))," ",(VLOOKUP(C2256,'[1]خريطة الحسابات'!_xlnm.Print_Area,5,FALSE)))</f>
        <v>الاصول</v>
      </c>
      <c r="O2256" s="84" t="s">
        <v>2313</v>
      </c>
      <c r="P2256" s="84" t="s">
        <v>1393</v>
      </c>
    </row>
    <row r="2257" spans="1:16">
      <c r="A2257" s="151">
        <v>67</v>
      </c>
      <c r="B2257" s="131">
        <v>46109</v>
      </c>
      <c r="C2257" s="150">
        <v>20</v>
      </c>
      <c r="D2257" s="149" t="str">
        <f>IF(ISERROR(VLOOKUP(C2257,'[1]خريطة الحسابات'!_xlnm.Print_Area,3,FALSE))," ",(VLOOKUP(C2257,'[1]خريطة الحسابات'!_xlnm.Print_Area,3,FALSE)))</f>
        <v xml:space="preserve">الخزينة </v>
      </c>
      <c r="E2257" s="143"/>
      <c r="F2257" s="133"/>
      <c r="G2257" s="133">
        <v>915</v>
      </c>
      <c r="H2257" s="134">
        <f t="shared" si="103"/>
        <v>0</v>
      </c>
      <c r="I2257" s="134">
        <f t="shared" si="103"/>
        <v>915</v>
      </c>
      <c r="J2257" s="134">
        <f t="shared" si="102"/>
        <v>-915</v>
      </c>
      <c r="K2257" s="135"/>
      <c r="L2257" s="136" t="str">
        <f t="shared" si="104"/>
        <v>دائن</v>
      </c>
      <c r="M2257" s="137" t="str">
        <f>IF(ISERROR(VLOOKUP(C2257,'[1]خريطة الحسابات'!_xlnm.Print_Area,4,FALSE))," ",(VLOOKUP(C2257,'[1]خريطة الحسابات'!_xlnm.Print_Area,4,FALSE)))</f>
        <v xml:space="preserve">أصول متداوله -النقدية ومافي حكمها </v>
      </c>
      <c r="N2257" s="138" t="str">
        <f>IF(ISERROR(VLOOKUP(C2257,'[1]خريطة الحسابات'!_xlnm.Print_Area,5,FALSE))," ",(VLOOKUP(C2257,'[1]خريطة الحسابات'!_xlnm.Print_Area,5,FALSE)))</f>
        <v>الاصول</v>
      </c>
      <c r="O2257" s="84" t="s">
        <v>2321</v>
      </c>
      <c r="P2257" s="84" t="s">
        <v>1393</v>
      </c>
    </row>
    <row r="2258" spans="1:16">
      <c r="A2258" s="151">
        <v>67</v>
      </c>
      <c r="B2258" s="131">
        <v>46121</v>
      </c>
      <c r="C2258" s="150">
        <v>20</v>
      </c>
      <c r="D2258" s="140" t="str">
        <f>IF(ISERROR(VLOOKUP(C2258,'[1]خريطة الحسابات'!_xlnm.Print_Area,3,FALSE))," ",(VLOOKUP(C2258,'[1]خريطة الحسابات'!_xlnm.Print_Area,3,FALSE)))</f>
        <v xml:space="preserve">الخزينة </v>
      </c>
      <c r="E2258" s="142"/>
      <c r="F2258" s="133"/>
      <c r="G2258" s="133">
        <v>313</v>
      </c>
      <c r="H2258" s="134">
        <f t="shared" si="103"/>
        <v>0</v>
      </c>
      <c r="I2258" s="134">
        <f t="shared" si="103"/>
        <v>313</v>
      </c>
      <c r="J2258" s="134">
        <f t="shared" si="102"/>
        <v>-313</v>
      </c>
      <c r="K2258" s="135"/>
      <c r="L2258" s="136" t="str">
        <f t="shared" si="104"/>
        <v>دائن</v>
      </c>
      <c r="M2258" s="137" t="str">
        <f>IF(ISERROR(VLOOKUP(C2258,'[1]خريطة الحسابات'!_xlnm.Print_Area,4,FALSE))," ",(VLOOKUP(C2258,'[1]خريطة الحسابات'!_xlnm.Print_Area,4,FALSE)))</f>
        <v xml:space="preserve">أصول متداوله -النقدية ومافي حكمها </v>
      </c>
      <c r="N2258" s="138" t="str">
        <f>IF(ISERROR(VLOOKUP(C2258,'[1]خريطة الحسابات'!_xlnm.Print_Area,5,FALSE))," ",(VLOOKUP(C2258,'[1]خريطة الحسابات'!_xlnm.Print_Area,5,FALSE)))</f>
        <v>الاصول</v>
      </c>
      <c r="O2258" s="84" t="s">
        <v>2322</v>
      </c>
      <c r="P2258" s="84" t="s">
        <v>1393</v>
      </c>
    </row>
    <row r="2259" spans="1:16">
      <c r="A2259" s="151">
        <v>67</v>
      </c>
      <c r="B2259" s="131">
        <v>46163</v>
      </c>
      <c r="C2259" s="150">
        <v>20</v>
      </c>
      <c r="D2259" s="140" t="str">
        <f>IF(ISERROR(VLOOKUP(C2259,'[1]خريطة الحسابات'!_xlnm.Print_Area,3,FALSE))," ",(VLOOKUP(C2259,'[1]خريطة الحسابات'!_xlnm.Print_Area,3,FALSE)))</f>
        <v xml:space="preserve">الخزينة </v>
      </c>
      <c r="E2259" s="142"/>
      <c r="F2259" s="133"/>
      <c r="G2259" s="133">
        <v>4500</v>
      </c>
      <c r="H2259" s="134">
        <f t="shared" si="103"/>
        <v>0</v>
      </c>
      <c r="I2259" s="134">
        <f t="shared" si="103"/>
        <v>4500</v>
      </c>
      <c r="J2259" s="134">
        <f t="shared" si="102"/>
        <v>-4500</v>
      </c>
      <c r="K2259" s="135"/>
      <c r="L2259" s="136" t="str">
        <f t="shared" si="104"/>
        <v>دائن</v>
      </c>
      <c r="M2259" s="137" t="str">
        <f>IF(ISERROR(VLOOKUP(C2259,'[1]خريطة الحسابات'!_xlnm.Print_Area,4,FALSE))," ",(VLOOKUP(C2259,'[1]خريطة الحسابات'!_xlnm.Print_Area,4,FALSE)))</f>
        <v xml:space="preserve">أصول متداوله -النقدية ومافي حكمها </v>
      </c>
      <c r="N2259" s="138" t="str">
        <f>IF(ISERROR(VLOOKUP(C2259,'[1]خريطة الحسابات'!_xlnm.Print_Area,5,FALSE))," ",(VLOOKUP(C2259,'[1]خريطة الحسابات'!_xlnm.Print_Area,5,FALSE)))</f>
        <v>الاصول</v>
      </c>
      <c r="O2259" s="84" t="s">
        <v>2323</v>
      </c>
      <c r="P2259" s="84" t="s">
        <v>1393</v>
      </c>
    </row>
    <row r="2260" spans="1:16">
      <c r="A2260" s="151">
        <v>67</v>
      </c>
      <c r="B2260" s="131">
        <v>46184</v>
      </c>
      <c r="C2260" s="150">
        <v>20</v>
      </c>
      <c r="D2260" s="140" t="str">
        <f>IF(ISERROR(VLOOKUP(C2260,'[1]خريطة الحسابات'!_xlnm.Print_Area,3,FALSE))," ",(VLOOKUP(C2260,'[1]خريطة الحسابات'!_xlnm.Print_Area,3,FALSE)))</f>
        <v xml:space="preserve">الخزينة </v>
      </c>
      <c r="E2260" s="142"/>
      <c r="F2260" s="133"/>
      <c r="G2260" s="133">
        <v>1950</v>
      </c>
      <c r="H2260" s="134">
        <f t="shared" si="103"/>
        <v>0</v>
      </c>
      <c r="I2260" s="134">
        <f t="shared" si="103"/>
        <v>1950</v>
      </c>
      <c r="J2260" s="134">
        <f t="shared" si="102"/>
        <v>-1950</v>
      </c>
      <c r="K2260" s="135"/>
      <c r="L2260" s="136" t="str">
        <f t="shared" si="104"/>
        <v>دائن</v>
      </c>
      <c r="M2260" s="137" t="str">
        <f>IF(ISERROR(VLOOKUP(C2260,'[1]خريطة الحسابات'!_xlnm.Print_Area,4,FALSE))," ",(VLOOKUP(C2260,'[1]خريطة الحسابات'!_xlnm.Print_Area,4,FALSE)))</f>
        <v xml:space="preserve">أصول متداوله -النقدية ومافي حكمها </v>
      </c>
      <c r="N2260" s="138" t="str">
        <f>IF(ISERROR(VLOOKUP(C2260,'[1]خريطة الحسابات'!_xlnm.Print_Area,5,FALSE))," ",(VLOOKUP(C2260,'[1]خريطة الحسابات'!_xlnm.Print_Area,5,FALSE)))</f>
        <v>الاصول</v>
      </c>
      <c r="O2260" s="84" t="s">
        <v>2324</v>
      </c>
      <c r="P2260" s="84" t="s">
        <v>1393</v>
      </c>
    </row>
    <row r="2261" spans="1:16">
      <c r="A2261" s="151">
        <v>68</v>
      </c>
      <c r="B2261" s="131">
        <v>46068</v>
      </c>
      <c r="C2261" s="150" t="s">
        <v>201</v>
      </c>
      <c r="D2261" s="140" t="str">
        <f>IF(ISERROR(VLOOKUP(C2261,'[1]خريطة الحسابات'!_xlnm.Print_Area,3,FALSE))," ",(VLOOKUP(C2261,'[1]خريطة الحسابات'!_xlnm.Print_Area,3,FALSE)))</f>
        <v>رسوم وتصاريح المشروع واكراميات</v>
      </c>
      <c r="E2261" s="142"/>
      <c r="F2261" s="133">
        <v>1200</v>
      </c>
      <c r="G2261" s="133"/>
      <c r="H2261" s="134">
        <f t="shared" si="103"/>
        <v>1200</v>
      </c>
      <c r="I2261" s="134">
        <f t="shared" si="103"/>
        <v>0</v>
      </c>
      <c r="J2261" s="134">
        <f t="shared" si="102"/>
        <v>1200</v>
      </c>
      <c r="K2261" s="135"/>
      <c r="L2261" s="136" t="str">
        <f t="shared" si="104"/>
        <v>مدين</v>
      </c>
      <c r="M2261" s="137" t="str">
        <f>IF(ISERROR(VLOOKUP(C2261,'[1]خريطة الحسابات'!_xlnm.Print_Area,4,FALSE))," ",(VLOOKUP(C2261,'[1]خريطة الحسابات'!_xlnm.Print_Area,4,FALSE)))</f>
        <v>تكاليف مشروع الباتيو 235</v>
      </c>
      <c r="N2261" s="138" t="str">
        <f>IF(ISERROR(VLOOKUP(C2261,'[1]خريطة الحسابات'!_xlnm.Print_Area,5,FALSE))," ",(VLOOKUP(C2261,'[1]خريطة الحسابات'!_xlnm.Print_Area,5,FALSE)))</f>
        <v xml:space="preserve">تكاليف العمليات </v>
      </c>
      <c r="O2261" s="84" t="s">
        <v>2325</v>
      </c>
      <c r="P2261" s="84" t="s">
        <v>1304</v>
      </c>
    </row>
    <row r="2262" spans="1:16">
      <c r="A2262" s="151">
        <v>68</v>
      </c>
      <c r="B2262" s="131">
        <v>46044</v>
      </c>
      <c r="C2262" s="150" t="s">
        <v>341</v>
      </c>
      <c r="D2262" s="140" t="str">
        <f>IF(ISERROR(VLOOKUP(C2262,'[1]خريطة الحسابات'!_xlnm.Print_Area,3,FALSE))," ",(VLOOKUP(C2262,'[1]خريطة الحسابات'!_xlnm.Print_Area,3,FALSE)))</f>
        <v>رسوم وتصاريح المشروع واكراميات</v>
      </c>
      <c r="E2262" s="142"/>
      <c r="F2262" s="133">
        <v>400</v>
      </c>
      <c r="G2262" s="133"/>
      <c r="H2262" s="134">
        <f t="shared" si="103"/>
        <v>400</v>
      </c>
      <c r="I2262" s="134">
        <f t="shared" si="103"/>
        <v>0</v>
      </c>
      <c r="J2262" s="134">
        <f t="shared" si="102"/>
        <v>400</v>
      </c>
      <c r="K2262" s="135"/>
      <c r="L2262" s="136" t="str">
        <f t="shared" si="104"/>
        <v>مدين</v>
      </c>
      <c r="M2262" s="137" t="str">
        <f>IF(ISERROR(VLOOKUP(C2262,'[1]خريطة الحسابات'!_xlnm.Print_Area,4,FALSE))," ",(VLOOKUP(C2262,'[1]خريطة الحسابات'!_xlnm.Print_Area,4,FALSE)))</f>
        <v>تكاليف مشروع العبور 306</v>
      </c>
      <c r="N2262" s="138" t="str">
        <f>IF(ISERROR(VLOOKUP(C2262,'[1]خريطة الحسابات'!_xlnm.Print_Area,5,FALSE))," ",(VLOOKUP(C2262,'[1]خريطة الحسابات'!_xlnm.Print_Area,5,FALSE)))</f>
        <v xml:space="preserve">تكاليف العمليات </v>
      </c>
      <c r="O2262" s="84" t="s">
        <v>2326</v>
      </c>
      <c r="P2262" s="84" t="s">
        <v>1292</v>
      </c>
    </row>
    <row r="2263" spans="1:16">
      <c r="A2263" s="151">
        <v>68</v>
      </c>
      <c r="B2263" s="131">
        <v>46110</v>
      </c>
      <c r="C2263" s="150" t="s">
        <v>341</v>
      </c>
      <c r="D2263" s="140" t="str">
        <f>IF(ISERROR(VLOOKUP(C2263,'[1]خريطة الحسابات'!_xlnm.Print_Area,3,FALSE))," ",(VLOOKUP(C2263,'[1]خريطة الحسابات'!_xlnm.Print_Area,3,FALSE)))</f>
        <v>رسوم وتصاريح المشروع واكراميات</v>
      </c>
      <c r="E2263" s="142"/>
      <c r="F2263" s="133">
        <v>100</v>
      </c>
      <c r="G2263" s="133"/>
      <c r="H2263" s="134">
        <f t="shared" si="103"/>
        <v>100</v>
      </c>
      <c r="I2263" s="134">
        <f t="shared" si="103"/>
        <v>0</v>
      </c>
      <c r="J2263" s="134">
        <f t="shared" si="102"/>
        <v>100</v>
      </c>
      <c r="K2263" s="135"/>
      <c r="L2263" s="136" t="str">
        <f t="shared" si="104"/>
        <v>مدين</v>
      </c>
      <c r="M2263" s="137" t="str">
        <f>IF(ISERROR(VLOOKUP(C2263,'[1]خريطة الحسابات'!_xlnm.Print_Area,4,FALSE))," ",(VLOOKUP(C2263,'[1]خريطة الحسابات'!_xlnm.Print_Area,4,FALSE)))</f>
        <v>تكاليف مشروع العبور 306</v>
      </c>
      <c r="N2263" s="138" t="str">
        <f>IF(ISERROR(VLOOKUP(C2263,'[1]خريطة الحسابات'!_xlnm.Print_Area,5,FALSE))," ",(VLOOKUP(C2263,'[1]خريطة الحسابات'!_xlnm.Print_Area,5,FALSE)))</f>
        <v xml:space="preserve">تكاليف العمليات </v>
      </c>
      <c r="O2263" s="84" t="s">
        <v>2327</v>
      </c>
      <c r="P2263" s="84" t="s">
        <v>1292</v>
      </c>
    </row>
    <row r="2264" spans="1:16">
      <c r="A2264" s="151">
        <v>68</v>
      </c>
      <c r="B2264" s="131">
        <v>46135</v>
      </c>
      <c r="C2264" s="150" t="s">
        <v>341</v>
      </c>
      <c r="D2264" s="140" t="str">
        <f>IF(ISERROR(VLOOKUP(C2264,'[1]خريطة الحسابات'!_xlnm.Print_Area,3,FALSE))," ",(VLOOKUP(C2264,'[1]خريطة الحسابات'!_xlnm.Print_Area,3,FALSE)))</f>
        <v>رسوم وتصاريح المشروع واكراميات</v>
      </c>
      <c r="E2264" s="142"/>
      <c r="F2264" s="133">
        <v>100</v>
      </c>
      <c r="G2264" s="133"/>
      <c r="H2264" s="134">
        <f t="shared" si="103"/>
        <v>100</v>
      </c>
      <c r="I2264" s="134">
        <f t="shared" si="103"/>
        <v>0</v>
      </c>
      <c r="J2264" s="134">
        <f t="shared" ref="J2264:J2327" si="105">H2264-I2264</f>
        <v>100</v>
      </c>
      <c r="K2264" s="135"/>
      <c r="L2264" s="136" t="str">
        <f t="shared" si="104"/>
        <v>مدين</v>
      </c>
      <c r="M2264" s="137" t="str">
        <f>IF(ISERROR(VLOOKUP(C2264,'[1]خريطة الحسابات'!_xlnm.Print_Area,4,FALSE))," ",(VLOOKUP(C2264,'[1]خريطة الحسابات'!_xlnm.Print_Area,4,FALSE)))</f>
        <v>تكاليف مشروع العبور 306</v>
      </c>
      <c r="N2264" s="138" t="str">
        <f>IF(ISERROR(VLOOKUP(C2264,'[1]خريطة الحسابات'!_xlnm.Print_Area,5,FALSE))," ",(VLOOKUP(C2264,'[1]خريطة الحسابات'!_xlnm.Print_Area,5,FALSE)))</f>
        <v xml:space="preserve">تكاليف العمليات </v>
      </c>
      <c r="O2264" s="84" t="s">
        <v>2328</v>
      </c>
      <c r="P2264" s="84" t="s">
        <v>1292</v>
      </c>
    </row>
    <row r="2265" spans="1:16">
      <c r="A2265" s="151">
        <v>68</v>
      </c>
      <c r="B2265" s="131">
        <v>46153</v>
      </c>
      <c r="C2265" s="150" t="s">
        <v>127</v>
      </c>
      <c r="D2265" s="140" t="str">
        <f>IF(ISERROR(VLOOKUP(C2265,'[1]خريطة الحسابات'!_xlnm.Print_Area,3,FALSE))," ",(VLOOKUP(C2265,'[1]خريطة الحسابات'!_xlnm.Print_Area,3,FALSE)))</f>
        <v>رسوم وتصاريح المشروع واكراميات</v>
      </c>
      <c r="E2265" s="142"/>
      <c r="F2265" s="133">
        <v>100</v>
      </c>
      <c r="G2265" s="133"/>
      <c r="H2265" s="134">
        <f t="shared" ref="H2265:I2328" si="106">IF($E2265=2,F2265*3.465,F2265)</f>
        <v>100</v>
      </c>
      <c r="I2265" s="134">
        <f t="shared" si="106"/>
        <v>0</v>
      </c>
      <c r="J2265" s="134">
        <f t="shared" si="105"/>
        <v>100</v>
      </c>
      <c r="K2265" s="135"/>
      <c r="L2265" s="136" t="str">
        <f t="shared" si="104"/>
        <v>مدين</v>
      </c>
      <c r="M2265" s="137" t="str">
        <f>IF(ISERROR(VLOOKUP(C2265,'[1]خريطة الحسابات'!_xlnm.Print_Area,4,FALSE))," ",(VLOOKUP(C2265,'[1]خريطة الحسابات'!_xlnm.Print_Area,4,FALSE)))</f>
        <v>تكاليف مشروع سوديك  341</v>
      </c>
      <c r="N2265" s="138" t="str">
        <f>IF(ISERROR(VLOOKUP(C2265,'[1]خريطة الحسابات'!_xlnm.Print_Area,5,FALSE))," ",(VLOOKUP(C2265,'[1]خريطة الحسابات'!_xlnm.Print_Area,5,FALSE)))</f>
        <v xml:space="preserve">تكاليف العمليات </v>
      </c>
      <c r="O2265" s="84" t="s">
        <v>2329</v>
      </c>
      <c r="P2265" s="84" t="s">
        <v>1290</v>
      </c>
    </row>
    <row r="2266" spans="1:16">
      <c r="A2266" s="151">
        <v>68</v>
      </c>
      <c r="B2266" s="131">
        <v>46036</v>
      </c>
      <c r="C2266" s="150" t="s">
        <v>796</v>
      </c>
      <c r="D2266" s="140" t="str">
        <f>IF(ISERROR(VLOOKUP(C2266,'[1]خريطة الحسابات'!_xlnm.Print_Area,3,FALSE))," ",(VLOOKUP(C2266,'[1]خريطة الحسابات'!_xlnm.Print_Area,3,FALSE)))</f>
        <v>رسوم وتصاريح المشروع واكراميات</v>
      </c>
      <c r="E2266" s="142"/>
      <c r="F2266" s="133">
        <v>200</v>
      </c>
      <c r="G2266" s="133"/>
      <c r="H2266" s="134">
        <f t="shared" si="106"/>
        <v>200</v>
      </c>
      <c r="I2266" s="134">
        <f t="shared" si="106"/>
        <v>0</v>
      </c>
      <c r="J2266" s="134">
        <f t="shared" si="105"/>
        <v>200</v>
      </c>
      <c r="K2266" s="135"/>
      <c r="L2266" s="136" t="str">
        <f t="shared" si="104"/>
        <v>مدين</v>
      </c>
      <c r="M2266" s="137" t="str">
        <f>IF(ISERROR(VLOOKUP(C2266,'[1]خريطة الحسابات'!_xlnm.Print_Area,4,FALSE))," ",(VLOOKUP(C2266,'[1]خريطة الحسابات'!_xlnm.Print_Area,4,FALSE)))</f>
        <v>388 تكاليف مشروع الدقي</v>
      </c>
      <c r="N2266" s="138" t="str">
        <f>IF(ISERROR(VLOOKUP(C2266,'[1]خريطة الحسابات'!_xlnm.Print_Area,5,FALSE))," ",(VLOOKUP(C2266,'[1]خريطة الحسابات'!_xlnm.Print_Area,5,FALSE)))</f>
        <v xml:space="preserve">تكاليف العمليات </v>
      </c>
      <c r="O2266" s="84" t="s">
        <v>2330</v>
      </c>
      <c r="P2266" s="84" t="s">
        <v>1315</v>
      </c>
    </row>
    <row r="2267" spans="1:16">
      <c r="A2267" s="151">
        <v>68</v>
      </c>
      <c r="B2267" s="131">
        <v>46117</v>
      </c>
      <c r="C2267" s="150" t="s">
        <v>937</v>
      </c>
      <c r="D2267" s="140" t="str">
        <f>IF(ISERROR(VLOOKUP(C2267,'[1]خريطة الحسابات'!_xlnm.Print_Area,3,FALSE))," ",(VLOOKUP(C2267,'[1]خريطة الحسابات'!_xlnm.Print_Area,3,FALSE)))</f>
        <v>رسوم وتصاريح المشروع واكراميات</v>
      </c>
      <c r="E2267" s="142"/>
      <c r="F2267" s="133">
        <v>100</v>
      </c>
      <c r="G2267" s="133"/>
      <c r="H2267" s="134">
        <f t="shared" si="106"/>
        <v>100</v>
      </c>
      <c r="I2267" s="134">
        <f t="shared" si="106"/>
        <v>0</v>
      </c>
      <c r="J2267" s="134">
        <f t="shared" si="105"/>
        <v>100</v>
      </c>
      <c r="K2267" s="135"/>
      <c r="L2267" s="136" t="str">
        <f t="shared" ref="L2267:L2330" si="107">IF(J2267&lt;0,"دائن",IF(J2267&gt;0,"مدين",""))</f>
        <v>مدين</v>
      </c>
      <c r="M2267" s="137" t="str">
        <f>IF(ISERROR(VLOOKUP(C2267,'[1]خريطة الحسابات'!_xlnm.Print_Area,4,FALSE))," ",(VLOOKUP(C2267,'[1]خريطة الحسابات'!_xlnm.Print_Area,4,FALSE)))</f>
        <v>تكاليف مشروع وصال العشري 398</v>
      </c>
      <c r="N2267" s="138" t="str">
        <f>IF(ISERROR(VLOOKUP(C2267,'[1]خريطة الحسابات'!_xlnm.Print_Area,5,FALSE))," ",(VLOOKUP(C2267,'[1]خريطة الحسابات'!_xlnm.Print_Area,5,FALSE)))</f>
        <v xml:space="preserve">تكاليف العمليات </v>
      </c>
      <c r="O2267" s="84" t="s">
        <v>2331</v>
      </c>
      <c r="P2267" s="84" t="s">
        <v>1489</v>
      </c>
    </row>
    <row r="2268" spans="1:16">
      <c r="A2268" s="151">
        <v>68</v>
      </c>
      <c r="B2268" s="131">
        <v>46174</v>
      </c>
      <c r="C2268" s="150" t="s">
        <v>937</v>
      </c>
      <c r="D2268" s="140" t="str">
        <f>IF(ISERROR(VLOOKUP(C2268,'[1]خريطة الحسابات'!_xlnm.Print_Area,3,FALSE))," ",(VLOOKUP(C2268,'[1]خريطة الحسابات'!_xlnm.Print_Area,3,FALSE)))</f>
        <v>رسوم وتصاريح المشروع واكراميات</v>
      </c>
      <c r="E2268" s="142"/>
      <c r="F2268" s="133">
        <v>100</v>
      </c>
      <c r="G2268" s="133"/>
      <c r="H2268" s="134">
        <f t="shared" si="106"/>
        <v>100</v>
      </c>
      <c r="I2268" s="134">
        <f t="shared" si="106"/>
        <v>0</v>
      </c>
      <c r="J2268" s="134">
        <f t="shared" si="105"/>
        <v>100</v>
      </c>
      <c r="K2268" s="135"/>
      <c r="L2268" s="136" t="str">
        <f t="shared" si="107"/>
        <v>مدين</v>
      </c>
      <c r="M2268" s="137" t="str">
        <f>IF(ISERROR(VLOOKUP(C2268,'[1]خريطة الحسابات'!_xlnm.Print_Area,4,FALSE))," ",(VLOOKUP(C2268,'[1]خريطة الحسابات'!_xlnm.Print_Area,4,FALSE)))</f>
        <v>تكاليف مشروع وصال العشري 398</v>
      </c>
      <c r="N2268" s="138" t="str">
        <f>IF(ISERROR(VLOOKUP(C2268,'[1]خريطة الحسابات'!_xlnm.Print_Area,5,FALSE))," ",(VLOOKUP(C2268,'[1]خريطة الحسابات'!_xlnm.Print_Area,5,FALSE)))</f>
        <v xml:space="preserve">تكاليف العمليات </v>
      </c>
      <c r="O2268" s="84" t="s">
        <v>2332</v>
      </c>
      <c r="P2268" s="84" t="s">
        <v>1489</v>
      </c>
    </row>
    <row r="2269" spans="1:16">
      <c r="A2269" s="151">
        <v>68</v>
      </c>
      <c r="B2269" s="131">
        <v>46133</v>
      </c>
      <c r="C2269" s="150" t="s">
        <v>376</v>
      </c>
      <c r="D2269" s="140" t="str">
        <f>IF(ISERROR(VLOOKUP(C2269,'[1]خريطة الحسابات'!_xlnm.Print_Area,3,FALSE))," ",(VLOOKUP(C2269,'[1]خريطة الحسابات'!_xlnm.Print_Area,3,FALSE)))</f>
        <v>رسوم وتصاريح المشروع واكراميات</v>
      </c>
      <c r="E2269" s="142"/>
      <c r="F2269" s="133">
        <v>200</v>
      </c>
      <c r="G2269" s="133"/>
      <c r="H2269" s="134">
        <f t="shared" si="106"/>
        <v>200</v>
      </c>
      <c r="I2269" s="134">
        <f t="shared" si="106"/>
        <v>0</v>
      </c>
      <c r="J2269" s="134">
        <f t="shared" si="105"/>
        <v>200</v>
      </c>
      <c r="K2269" s="135"/>
      <c r="L2269" s="136" t="str">
        <f t="shared" si="107"/>
        <v>مدين</v>
      </c>
      <c r="M2269" s="137" t="str">
        <f>IF(ISERROR(VLOOKUP(C2269,'[1]خريطة الحسابات'!_xlnm.Print_Area,4,FALSE))," ",(VLOOKUP(C2269,'[1]خريطة الحسابات'!_xlnm.Print_Area,4,FALSE)))</f>
        <v>318 تكاليف مشروع  المعادي ديونز</v>
      </c>
      <c r="N2269" s="138" t="str">
        <f>IF(ISERROR(VLOOKUP(C2269,'[1]خريطة الحسابات'!_xlnm.Print_Area,5,FALSE))," ",(VLOOKUP(C2269,'[1]خريطة الحسابات'!_xlnm.Print_Area,5,FALSE)))</f>
        <v xml:space="preserve">تكاليف العمليات </v>
      </c>
      <c r="O2269" s="84" t="s">
        <v>2333</v>
      </c>
      <c r="P2269" s="84" t="s">
        <v>1383</v>
      </c>
    </row>
    <row r="2270" spans="1:16">
      <c r="A2270" s="151">
        <v>68</v>
      </c>
      <c r="B2270" s="131">
        <v>46135</v>
      </c>
      <c r="C2270" s="150" t="s">
        <v>306</v>
      </c>
      <c r="D2270" s="140" t="str">
        <f>IF(ISERROR(VLOOKUP(C2270,'[1]خريطة الحسابات'!_xlnm.Print_Area,3,FALSE))," ",(VLOOKUP(C2270,'[1]خريطة الحسابات'!_xlnm.Print_Area,3,FALSE)))</f>
        <v>رسوم وتصاريح المشروع واكراميات</v>
      </c>
      <c r="E2270" s="142"/>
      <c r="F2270" s="133">
        <v>100</v>
      </c>
      <c r="G2270" s="133"/>
      <c r="H2270" s="134">
        <f t="shared" si="106"/>
        <v>100</v>
      </c>
      <c r="I2270" s="134">
        <f t="shared" si="106"/>
        <v>0</v>
      </c>
      <c r="J2270" s="134">
        <f t="shared" si="105"/>
        <v>100</v>
      </c>
      <c r="K2270" s="135"/>
      <c r="L2270" s="136" t="str">
        <f t="shared" si="107"/>
        <v>مدين</v>
      </c>
      <c r="M2270" s="137" t="str">
        <f>IF(ISERROR(VLOOKUP(C2270,'[1]خريطة الحسابات'!_xlnm.Print_Area,4,FALSE))," ",(VLOOKUP(C2270,'[1]خريطة الحسابات'!_xlnm.Print_Area,4,FALSE)))</f>
        <v>287 تكاليف مشروع المعادي فيو</v>
      </c>
      <c r="N2270" s="138" t="str">
        <f>IF(ISERROR(VLOOKUP(C2270,'[1]خريطة الحسابات'!_xlnm.Print_Area,5,FALSE))," ",(VLOOKUP(C2270,'[1]خريطة الحسابات'!_xlnm.Print_Area,5,FALSE)))</f>
        <v xml:space="preserve">تكاليف العمليات </v>
      </c>
      <c r="O2270" s="84" t="s">
        <v>2334</v>
      </c>
      <c r="P2270" s="84" t="s">
        <v>1415</v>
      </c>
    </row>
    <row r="2271" spans="1:16">
      <c r="A2271" s="151">
        <v>68</v>
      </c>
      <c r="B2271" s="131">
        <v>46146</v>
      </c>
      <c r="C2271" s="150" t="s">
        <v>306</v>
      </c>
      <c r="D2271" s="140" t="str">
        <f>IF(ISERROR(VLOOKUP(C2271,'[1]خريطة الحسابات'!_xlnm.Print_Area,3,FALSE))," ",(VLOOKUP(C2271,'[1]خريطة الحسابات'!_xlnm.Print_Area,3,FALSE)))</f>
        <v>رسوم وتصاريح المشروع واكراميات</v>
      </c>
      <c r="E2271" s="142"/>
      <c r="F2271" s="133">
        <v>100</v>
      </c>
      <c r="G2271" s="133"/>
      <c r="H2271" s="134">
        <f t="shared" si="106"/>
        <v>100</v>
      </c>
      <c r="I2271" s="134">
        <f t="shared" si="106"/>
        <v>0</v>
      </c>
      <c r="J2271" s="134">
        <f t="shared" si="105"/>
        <v>100</v>
      </c>
      <c r="K2271" s="135"/>
      <c r="L2271" s="136" t="str">
        <f t="shared" si="107"/>
        <v>مدين</v>
      </c>
      <c r="M2271" s="137" t="str">
        <f>IF(ISERROR(VLOOKUP(C2271,'[1]خريطة الحسابات'!_xlnm.Print_Area,4,FALSE))," ",(VLOOKUP(C2271,'[1]خريطة الحسابات'!_xlnm.Print_Area,4,FALSE)))</f>
        <v>287 تكاليف مشروع المعادي فيو</v>
      </c>
      <c r="N2271" s="138" t="str">
        <f>IF(ISERROR(VLOOKUP(C2271,'[1]خريطة الحسابات'!_xlnm.Print_Area,5,FALSE))," ",(VLOOKUP(C2271,'[1]خريطة الحسابات'!_xlnm.Print_Area,5,FALSE)))</f>
        <v xml:space="preserve">تكاليف العمليات </v>
      </c>
      <c r="O2271" s="84" t="s">
        <v>2335</v>
      </c>
      <c r="P2271" s="84" t="s">
        <v>1415</v>
      </c>
    </row>
    <row r="2272" spans="1:16">
      <c r="A2272" s="151">
        <v>68</v>
      </c>
      <c r="B2272" s="131">
        <v>46070</v>
      </c>
      <c r="C2272" s="150">
        <v>99</v>
      </c>
      <c r="D2272" s="140" t="str">
        <f>IF(ISERROR(VLOOKUP(C2272,'[1]خريطة الحسابات'!_xlnm.Print_Area,3,FALSE))," ",(VLOOKUP(C2272,'[1]خريطة الحسابات'!_xlnm.Print_Area,3,FALSE)))</f>
        <v xml:space="preserve">تكاليف ادارية وعمومية </v>
      </c>
      <c r="E2272" s="142"/>
      <c r="F2272" s="133">
        <v>5000</v>
      </c>
      <c r="G2272" s="133"/>
      <c r="H2272" s="134">
        <f t="shared" si="106"/>
        <v>5000</v>
      </c>
      <c r="I2272" s="134">
        <f t="shared" si="106"/>
        <v>0</v>
      </c>
      <c r="J2272" s="134">
        <f t="shared" si="105"/>
        <v>5000</v>
      </c>
      <c r="K2272" s="135"/>
      <c r="L2272" s="136" t="str">
        <f t="shared" si="107"/>
        <v>مدين</v>
      </c>
      <c r="M2272" s="137" t="str">
        <f>IF(ISERROR(VLOOKUP(C2272,'[1]خريطة الحسابات'!_xlnm.Print_Area,4,FALSE))," ",(VLOOKUP(C2272,'[1]خريطة الحسابات'!_xlnm.Print_Area,4,FALSE)))</f>
        <v xml:space="preserve">تكاليف ادارية وعمومية </v>
      </c>
      <c r="N2272" s="138" t="str">
        <f>IF(ISERROR(VLOOKUP(C2272,'[1]خريطة الحسابات'!_xlnm.Print_Area,5,FALSE))," ",(VLOOKUP(C2272,'[1]خريطة الحسابات'!_xlnm.Print_Area,5,FALSE)))</f>
        <v xml:space="preserve">مصروفات </v>
      </c>
      <c r="O2272" s="84" t="s">
        <v>2336</v>
      </c>
      <c r="P2272" s="84" t="s">
        <v>2337</v>
      </c>
    </row>
    <row r="2273" spans="1:16">
      <c r="A2273" s="151">
        <v>68</v>
      </c>
      <c r="B2273" s="131">
        <v>46144</v>
      </c>
      <c r="C2273" s="150" t="s">
        <v>691</v>
      </c>
      <c r="D2273" s="140" t="str">
        <f>IF(ISERROR(VLOOKUP(C2273,'[1]خريطة الحسابات'!_xlnm.Print_Area,3,FALSE))," ",(VLOOKUP(C2273,'[1]خريطة الحسابات'!_xlnm.Print_Area,3,FALSE)))</f>
        <v>رسوم وتصاريح المشروع واكراميات</v>
      </c>
      <c r="E2273" s="142"/>
      <c r="F2273" s="133">
        <v>100</v>
      </c>
      <c r="G2273" s="133"/>
      <c r="H2273" s="134">
        <f t="shared" si="106"/>
        <v>100</v>
      </c>
      <c r="I2273" s="134">
        <f t="shared" si="106"/>
        <v>0</v>
      </c>
      <c r="J2273" s="134">
        <f t="shared" si="105"/>
        <v>100</v>
      </c>
      <c r="K2273" s="135"/>
      <c r="L2273" s="136" t="str">
        <f t="shared" si="107"/>
        <v>مدين</v>
      </c>
      <c r="M2273" s="137" t="str">
        <f>IF(ISERROR(VLOOKUP(C2273,'[1]خريطة الحسابات'!_xlnm.Print_Area,4,FALSE))," ",(VLOOKUP(C2273,'[1]خريطة الحسابات'!_xlnm.Print_Area,4,FALSE)))</f>
        <v>تكاليف مشروع هاني العبور 365</v>
      </c>
      <c r="N2273" s="138" t="str">
        <f>IF(ISERROR(VLOOKUP(C2273,'[1]خريطة الحسابات'!_xlnm.Print_Area,5,FALSE))," ",(VLOOKUP(C2273,'[1]خريطة الحسابات'!_xlnm.Print_Area,5,FALSE)))</f>
        <v xml:space="preserve">تكاليف العمليات </v>
      </c>
      <c r="O2273" s="84" t="s">
        <v>2338</v>
      </c>
      <c r="P2273" s="84" t="s">
        <v>1317</v>
      </c>
    </row>
    <row r="2274" spans="1:16">
      <c r="A2274" s="151">
        <v>68</v>
      </c>
      <c r="B2274" s="131">
        <v>46120</v>
      </c>
      <c r="C2274" s="150" t="s">
        <v>551</v>
      </c>
      <c r="D2274" s="140" t="str">
        <f>IF(ISERROR(VLOOKUP(C2274,'[1]خريطة الحسابات'!_xlnm.Print_Area,3,FALSE))," ",(VLOOKUP(C2274,'[1]خريطة الحسابات'!_xlnm.Print_Area,3,FALSE)))</f>
        <v>رسوم وتصاريح المشروع واكراميات</v>
      </c>
      <c r="E2274" s="142"/>
      <c r="F2274" s="133">
        <v>100</v>
      </c>
      <c r="G2274" s="133"/>
      <c r="H2274" s="134">
        <f t="shared" si="106"/>
        <v>100</v>
      </c>
      <c r="I2274" s="134">
        <f t="shared" si="106"/>
        <v>0</v>
      </c>
      <c r="J2274" s="134">
        <f t="shared" si="105"/>
        <v>100</v>
      </c>
      <c r="K2274" s="135"/>
      <c r="L2274" s="136" t="str">
        <f t="shared" si="107"/>
        <v>مدين</v>
      </c>
      <c r="M2274" s="137" t="str">
        <f>IF(ISERROR(VLOOKUP(C2274,'[1]خريطة الحسابات'!_xlnm.Print_Area,4,FALSE))," ",(VLOOKUP(C2274,'[1]خريطة الحسابات'!_xlnm.Print_Area,4,FALSE)))</f>
        <v>تكاليف مشروع هاني القرنفل 355</v>
      </c>
      <c r="N2274" s="138" t="str">
        <f>IF(ISERROR(VLOOKUP(C2274,'[1]خريطة الحسابات'!_xlnm.Print_Area,5,FALSE))," ",(VLOOKUP(C2274,'[1]خريطة الحسابات'!_xlnm.Print_Area,5,FALSE)))</f>
        <v xml:space="preserve">تكاليف العمليات </v>
      </c>
      <c r="O2274" s="84" t="s">
        <v>2339</v>
      </c>
      <c r="P2274" s="84" t="s">
        <v>1395</v>
      </c>
    </row>
    <row r="2275" spans="1:16">
      <c r="A2275" s="151">
        <v>68</v>
      </c>
      <c r="B2275" s="131">
        <v>46068</v>
      </c>
      <c r="C2275" s="150">
        <v>20</v>
      </c>
      <c r="D2275" s="140" t="str">
        <f>IF(ISERROR(VLOOKUP(C2275,'[1]خريطة الحسابات'!_xlnm.Print_Area,3,FALSE))," ",(VLOOKUP(C2275,'[1]خريطة الحسابات'!_xlnm.Print_Area,3,FALSE)))</f>
        <v xml:space="preserve">الخزينة </v>
      </c>
      <c r="E2275" s="142"/>
      <c r="F2275" s="133"/>
      <c r="G2275" s="133">
        <v>1200</v>
      </c>
      <c r="H2275" s="134">
        <f t="shared" si="106"/>
        <v>0</v>
      </c>
      <c r="I2275" s="134">
        <f t="shared" si="106"/>
        <v>1200</v>
      </c>
      <c r="J2275" s="134">
        <f t="shared" si="105"/>
        <v>-1200</v>
      </c>
      <c r="K2275" s="135"/>
      <c r="L2275" s="136" t="str">
        <f t="shared" si="107"/>
        <v>دائن</v>
      </c>
      <c r="M2275" s="137" t="str">
        <f>IF(ISERROR(VLOOKUP(C2275,'[1]خريطة الحسابات'!_xlnm.Print_Area,4,FALSE))," ",(VLOOKUP(C2275,'[1]خريطة الحسابات'!_xlnm.Print_Area,4,FALSE)))</f>
        <v xml:space="preserve">أصول متداوله -النقدية ومافي حكمها </v>
      </c>
      <c r="N2275" s="138" t="str">
        <f>IF(ISERROR(VLOOKUP(C2275,'[1]خريطة الحسابات'!_xlnm.Print_Area,5,FALSE))," ",(VLOOKUP(C2275,'[1]خريطة الحسابات'!_xlnm.Print_Area,5,FALSE)))</f>
        <v>الاصول</v>
      </c>
      <c r="O2275" s="84" t="s">
        <v>2325</v>
      </c>
      <c r="P2275" s="84" t="s">
        <v>1304</v>
      </c>
    </row>
    <row r="2276" spans="1:16">
      <c r="A2276" s="151">
        <v>68</v>
      </c>
      <c r="B2276" s="131">
        <v>46044</v>
      </c>
      <c r="C2276" s="150">
        <v>20</v>
      </c>
      <c r="D2276" s="140" t="str">
        <f>IF(ISERROR(VLOOKUP(C2276,'[1]خريطة الحسابات'!_xlnm.Print_Area,3,FALSE))," ",(VLOOKUP(C2276,'[1]خريطة الحسابات'!_xlnm.Print_Area,3,FALSE)))</f>
        <v xml:space="preserve">الخزينة </v>
      </c>
      <c r="E2276" s="142"/>
      <c r="F2276" s="133"/>
      <c r="G2276" s="133">
        <v>400</v>
      </c>
      <c r="H2276" s="134">
        <f t="shared" si="106"/>
        <v>0</v>
      </c>
      <c r="I2276" s="134">
        <f t="shared" si="106"/>
        <v>400</v>
      </c>
      <c r="J2276" s="134">
        <f t="shared" si="105"/>
        <v>-400</v>
      </c>
      <c r="K2276" s="135"/>
      <c r="L2276" s="136" t="str">
        <f t="shared" si="107"/>
        <v>دائن</v>
      </c>
      <c r="M2276" s="137" t="str">
        <f>IF(ISERROR(VLOOKUP(C2276,'[1]خريطة الحسابات'!_xlnm.Print_Area,4,FALSE))," ",(VLOOKUP(C2276,'[1]خريطة الحسابات'!_xlnm.Print_Area,4,FALSE)))</f>
        <v xml:space="preserve">أصول متداوله -النقدية ومافي حكمها </v>
      </c>
      <c r="N2276" s="138" t="str">
        <f>IF(ISERROR(VLOOKUP(C2276,'[1]خريطة الحسابات'!_xlnm.Print_Area,5,FALSE))," ",(VLOOKUP(C2276,'[1]خريطة الحسابات'!_xlnm.Print_Area,5,FALSE)))</f>
        <v>الاصول</v>
      </c>
      <c r="O2276" s="84" t="s">
        <v>2326</v>
      </c>
      <c r="P2276" s="84" t="s">
        <v>1292</v>
      </c>
    </row>
    <row r="2277" spans="1:16">
      <c r="A2277" s="151">
        <v>68</v>
      </c>
      <c r="B2277" s="131">
        <v>46110</v>
      </c>
      <c r="C2277" s="150">
        <v>20</v>
      </c>
      <c r="D2277" s="140" t="str">
        <f>IF(ISERROR(VLOOKUP(C2277,'[1]خريطة الحسابات'!_xlnm.Print_Area,3,FALSE))," ",(VLOOKUP(C2277,'[1]خريطة الحسابات'!_xlnm.Print_Area,3,FALSE)))</f>
        <v xml:space="preserve">الخزينة </v>
      </c>
      <c r="E2277" s="142"/>
      <c r="F2277" s="133"/>
      <c r="G2277" s="133">
        <v>100</v>
      </c>
      <c r="H2277" s="134">
        <f t="shared" si="106"/>
        <v>0</v>
      </c>
      <c r="I2277" s="134">
        <f t="shared" si="106"/>
        <v>100</v>
      </c>
      <c r="J2277" s="134">
        <f t="shared" si="105"/>
        <v>-100</v>
      </c>
      <c r="K2277" s="135"/>
      <c r="L2277" s="136" t="str">
        <f t="shared" si="107"/>
        <v>دائن</v>
      </c>
      <c r="M2277" s="137" t="str">
        <f>IF(ISERROR(VLOOKUP(C2277,'[1]خريطة الحسابات'!_xlnm.Print_Area,4,FALSE))," ",(VLOOKUP(C2277,'[1]خريطة الحسابات'!_xlnm.Print_Area,4,FALSE)))</f>
        <v xml:space="preserve">أصول متداوله -النقدية ومافي حكمها </v>
      </c>
      <c r="N2277" s="138" t="str">
        <f>IF(ISERROR(VLOOKUP(C2277,'[1]خريطة الحسابات'!_xlnm.Print_Area,5,FALSE))," ",(VLOOKUP(C2277,'[1]خريطة الحسابات'!_xlnm.Print_Area,5,FALSE)))</f>
        <v>الاصول</v>
      </c>
      <c r="O2277" s="84" t="s">
        <v>2327</v>
      </c>
      <c r="P2277" s="84" t="s">
        <v>1292</v>
      </c>
    </row>
    <row r="2278" spans="1:16">
      <c r="A2278" s="151">
        <v>68</v>
      </c>
      <c r="B2278" s="131">
        <v>46135</v>
      </c>
      <c r="C2278" s="150">
        <v>20</v>
      </c>
      <c r="D2278" s="140" t="str">
        <f>IF(ISERROR(VLOOKUP(C2278,'[1]خريطة الحسابات'!_xlnm.Print_Area,3,FALSE))," ",(VLOOKUP(C2278,'[1]خريطة الحسابات'!_xlnm.Print_Area,3,FALSE)))</f>
        <v xml:space="preserve">الخزينة </v>
      </c>
      <c r="E2278" s="142"/>
      <c r="F2278" s="133"/>
      <c r="G2278" s="133">
        <v>100</v>
      </c>
      <c r="H2278" s="134">
        <f t="shared" si="106"/>
        <v>0</v>
      </c>
      <c r="I2278" s="134">
        <f t="shared" si="106"/>
        <v>100</v>
      </c>
      <c r="J2278" s="134">
        <f t="shared" si="105"/>
        <v>-100</v>
      </c>
      <c r="K2278" s="135"/>
      <c r="L2278" s="136" t="str">
        <f t="shared" si="107"/>
        <v>دائن</v>
      </c>
      <c r="M2278" s="137" t="str">
        <f>IF(ISERROR(VLOOKUP(C2278,'[1]خريطة الحسابات'!_xlnm.Print_Area,4,FALSE))," ",(VLOOKUP(C2278,'[1]خريطة الحسابات'!_xlnm.Print_Area,4,FALSE)))</f>
        <v xml:space="preserve">أصول متداوله -النقدية ومافي حكمها </v>
      </c>
      <c r="N2278" s="138" t="str">
        <f>IF(ISERROR(VLOOKUP(C2278,'[1]خريطة الحسابات'!_xlnm.Print_Area,5,FALSE))," ",(VLOOKUP(C2278,'[1]خريطة الحسابات'!_xlnm.Print_Area,5,FALSE)))</f>
        <v>الاصول</v>
      </c>
      <c r="O2278" s="84" t="s">
        <v>2328</v>
      </c>
      <c r="P2278" s="84" t="s">
        <v>1292</v>
      </c>
    </row>
    <row r="2279" spans="1:16">
      <c r="A2279" s="151">
        <v>68</v>
      </c>
      <c r="B2279" s="131">
        <v>46153</v>
      </c>
      <c r="C2279" s="150">
        <v>20</v>
      </c>
      <c r="D2279" s="140" t="str">
        <f>IF(ISERROR(VLOOKUP(C2279,'[1]خريطة الحسابات'!_xlnm.Print_Area,3,FALSE))," ",(VLOOKUP(C2279,'[1]خريطة الحسابات'!_xlnm.Print_Area,3,FALSE)))</f>
        <v xml:space="preserve">الخزينة </v>
      </c>
      <c r="E2279" s="142"/>
      <c r="F2279" s="133"/>
      <c r="G2279" s="133">
        <v>100</v>
      </c>
      <c r="H2279" s="134">
        <f t="shared" si="106"/>
        <v>0</v>
      </c>
      <c r="I2279" s="134">
        <f t="shared" si="106"/>
        <v>100</v>
      </c>
      <c r="J2279" s="134">
        <f t="shared" si="105"/>
        <v>-100</v>
      </c>
      <c r="K2279" s="135"/>
      <c r="L2279" s="136" t="str">
        <f t="shared" si="107"/>
        <v>دائن</v>
      </c>
      <c r="M2279" s="137" t="str">
        <f>IF(ISERROR(VLOOKUP(C2279,'[1]خريطة الحسابات'!_xlnm.Print_Area,4,FALSE))," ",(VLOOKUP(C2279,'[1]خريطة الحسابات'!_xlnm.Print_Area,4,FALSE)))</f>
        <v xml:space="preserve">أصول متداوله -النقدية ومافي حكمها </v>
      </c>
      <c r="N2279" s="138" t="str">
        <f>IF(ISERROR(VLOOKUP(C2279,'[1]خريطة الحسابات'!_xlnm.Print_Area,5,FALSE))," ",(VLOOKUP(C2279,'[1]خريطة الحسابات'!_xlnm.Print_Area,5,FALSE)))</f>
        <v>الاصول</v>
      </c>
      <c r="O2279" s="84" t="s">
        <v>2329</v>
      </c>
      <c r="P2279" s="84" t="s">
        <v>1290</v>
      </c>
    </row>
    <row r="2280" spans="1:16">
      <c r="A2280" s="151">
        <v>68</v>
      </c>
      <c r="B2280" s="131">
        <v>46036</v>
      </c>
      <c r="C2280" s="150">
        <v>20</v>
      </c>
      <c r="D2280" s="140" t="str">
        <f>IF(ISERROR(VLOOKUP(C2280,'[1]خريطة الحسابات'!_xlnm.Print_Area,3,FALSE))," ",(VLOOKUP(C2280,'[1]خريطة الحسابات'!_xlnm.Print_Area,3,FALSE)))</f>
        <v xml:space="preserve">الخزينة </v>
      </c>
      <c r="E2280" s="142"/>
      <c r="F2280" s="133"/>
      <c r="G2280" s="133">
        <v>200</v>
      </c>
      <c r="H2280" s="134">
        <f t="shared" si="106"/>
        <v>0</v>
      </c>
      <c r="I2280" s="134">
        <f t="shared" si="106"/>
        <v>200</v>
      </c>
      <c r="J2280" s="134">
        <f t="shared" si="105"/>
        <v>-200</v>
      </c>
      <c r="K2280" s="135"/>
      <c r="L2280" s="136" t="str">
        <f t="shared" si="107"/>
        <v>دائن</v>
      </c>
      <c r="M2280" s="137" t="str">
        <f>IF(ISERROR(VLOOKUP(C2280,'[1]خريطة الحسابات'!_xlnm.Print_Area,4,FALSE))," ",(VLOOKUP(C2280,'[1]خريطة الحسابات'!_xlnm.Print_Area,4,FALSE)))</f>
        <v xml:space="preserve">أصول متداوله -النقدية ومافي حكمها </v>
      </c>
      <c r="N2280" s="138" t="str">
        <f>IF(ISERROR(VLOOKUP(C2280,'[1]خريطة الحسابات'!_xlnm.Print_Area,5,FALSE))," ",(VLOOKUP(C2280,'[1]خريطة الحسابات'!_xlnm.Print_Area,5,FALSE)))</f>
        <v>الاصول</v>
      </c>
      <c r="O2280" s="84" t="s">
        <v>2330</v>
      </c>
      <c r="P2280" s="84" t="s">
        <v>1315</v>
      </c>
    </row>
    <row r="2281" spans="1:16">
      <c r="A2281" s="151">
        <v>68</v>
      </c>
      <c r="B2281" s="131">
        <v>46117</v>
      </c>
      <c r="C2281" s="150">
        <v>20</v>
      </c>
      <c r="D2281" s="140" t="str">
        <f>IF(ISERROR(VLOOKUP(C2281,'[1]خريطة الحسابات'!_xlnm.Print_Area,3,FALSE))," ",(VLOOKUP(C2281,'[1]خريطة الحسابات'!_xlnm.Print_Area,3,FALSE)))</f>
        <v xml:space="preserve">الخزينة </v>
      </c>
      <c r="E2281" s="142"/>
      <c r="F2281" s="133"/>
      <c r="G2281" s="133">
        <v>100</v>
      </c>
      <c r="H2281" s="134">
        <f t="shared" si="106"/>
        <v>0</v>
      </c>
      <c r="I2281" s="134">
        <f t="shared" si="106"/>
        <v>100</v>
      </c>
      <c r="J2281" s="134">
        <f t="shared" si="105"/>
        <v>-100</v>
      </c>
      <c r="K2281" s="135"/>
      <c r="L2281" s="136" t="str">
        <f t="shared" si="107"/>
        <v>دائن</v>
      </c>
      <c r="M2281" s="137" t="str">
        <f>IF(ISERROR(VLOOKUP(C2281,'[1]خريطة الحسابات'!_xlnm.Print_Area,4,FALSE))," ",(VLOOKUP(C2281,'[1]خريطة الحسابات'!_xlnm.Print_Area,4,FALSE)))</f>
        <v xml:space="preserve">أصول متداوله -النقدية ومافي حكمها </v>
      </c>
      <c r="N2281" s="138" t="str">
        <f>IF(ISERROR(VLOOKUP(C2281,'[1]خريطة الحسابات'!_xlnm.Print_Area,5,FALSE))," ",(VLOOKUP(C2281,'[1]خريطة الحسابات'!_xlnm.Print_Area,5,FALSE)))</f>
        <v>الاصول</v>
      </c>
      <c r="O2281" s="84" t="s">
        <v>2331</v>
      </c>
      <c r="P2281" s="84" t="s">
        <v>1489</v>
      </c>
    </row>
    <row r="2282" spans="1:16">
      <c r="A2282" s="151">
        <v>68</v>
      </c>
      <c r="B2282" s="131">
        <v>46174</v>
      </c>
      <c r="C2282" s="150">
        <v>20</v>
      </c>
      <c r="D2282" s="140" t="str">
        <f>IF(ISERROR(VLOOKUP(C2282,'[1]خريطة الحسابات'!_xlnm.Print_Area,3,FALSE))," ",(VLOOKUP(C2282,'[1]خريطة الحسابات'!_xlnm.Print_Area,3,FALSE)))</f>
        <v xml:space="preserve">الخزينة </v>
      </c>
      <c r="E2282" s="142"/>
      <c r="F2282" s="133"/>
      <c r="G2282" s="133">
        <v>100</v>
      </c>
      <c r="H2282" s="134">
        <f t="shared" si="106"/>
        <v>0</v>
      </c>
      <c r="I2282" s="134">
        <f t="shared" si="106"/>
        <v>100</v>
      </c>
      <c r="J2282" s="134">
        <f t="shared" si="105"/>
        <v>-100</v>
      </c>
      <c r="K2282" s="135"/>
      <c r="L2282" s="136" t="str">
        <f t="shared" si="107"/>
        <v>دائن</v>
      </c>
      <c r="M2282" s="137" t="str">
        <f>IF(ISERROR(VLOOKUP(C2282,'[1]خريطة الحسابات'!_xlnm.Print_Area,4,FALSE))," ",(VLOOKUP(C2282,'[1]خريطة الحسابات'!_xlnm.Print_Area,4,FALSE)))</f>
        <v xml:space="preserve">أصول متداوله -النقدية ومافي حكمها </v>
      </c>
      <c r="N2282" s="138" t="str">
        <f>IF(ISERROR(VLOOKUP(C2282,'[1]خريطة الحسابات'!_xlnm.Print_Area,5,FALSE))," ",(VLOOKUP(C2282,'[1]خريطة الحسابات'!_xlnm.Print_Area,5,FALSE)))</f>
        <v>الاصول</v>
      </c>
      <c r="O2282" s="84" t="s">
        <v>2332</v>
      </c>
      <c r="P2282" s="84" t="s">
        <v>1489</v>
      </c>
    </row>
    <row r="2283" spans="1:16">
      <c r="A2283" s="151">
        <v>68</v>
      </c>
      <c r="B2283" s="131">
        <v>46133</v>
      </c>
      <c r="C2283" s="150">
        <v>20</v>
      </c>
      <c r="D2283" s="140" t="str">
        <f>IF(ISERROR(VLOOKUP(C2283,'[1]خريطة الحسابات'!_xlnm.Print_Area,3,FALSE))," ",(VLOOKUP(C2283,'[1]خريطة الحسابات'!_xlnm.Print_Area,3,FALSE)))</f>
        <v xml:space="preserve">الخزينة </v>
      </c>
      <c r="E2283" s="142"/>
      <c r="F2283" s="133"/>
      <c r="G2283" s="133">
        <v>200</v>
      </c>
      <c r="H2283" s="134">
        <f t="shared" si="106"/>
        <v>0</v>
      </c>
      <c r="I2283" s="134">
        <f t="shared" si="106"/>
        <v>200</v>
      </c>
      <c r="J2283" s="134">
        <f t="shared" si="105"/>
        <v>-200</v>
      </c>
      <c r="K2283" s="135"/>
      <c r="L2283" s="136" t="str">
        <f t="shared" si="107"/>
        <v>دائن</v>
      </c>
      <c r="M2283" s="137" t="str">
        <f>IF(ISERROR(VLOOKUP(C2283,'[1]خريطة الحسابات'!_xlnm.Print_Area,4,FALSE))," ",(VLOOKUP(C2283,'[1]خريطة الحسابات'!_xlnm.Print_Area,4,FALSE)))</f>
        <v xml:space="preserve">أصول متداوله -النقدية ومافي حكمها </v>
      </c>
      <c r="N2283" s="138" t="str">
        <f>IF(ISERROR(VLOOKUP(C2283,'[1]خريطة الحسابات'!_xlnm.Print_Area,5,FALSE))," ",(VLOOKUP(C2283,'[1]خريطة الحسابات'!_xlnm.Print_Area,5,FALSE)))</f>
        <v>الاصول</v>
      </c>
      <c r="O2283" s="84" t="s">
        <v>2333</v>
      </c>
      <c r="P2283" s="84" t="s">
        <v>1383</v>
      </c>
    </row>
    <row r="2284" spans="1:16">
      <c r="A2284" s="151">
        <v>68</v>
      </c>
      <c r="B2284" s="131">
        <v>46135</v>
      </c>
      <c r="C2284" s="150">
        <v>20</v>
      </c>
      <c r="D2284" s="140" t="str">
        <f>IF(ISERROR(VLOOKUP(C2284,'[1]خريطة الحسابات'!_xlnm.Print_Area,3,FALSE))," ",(VLOOKUP(C2284,'[1]خريطة الحسابات'!_xlnm.Print_Area,3,FALSE)))</f>
        <v xml:space="preserve">الخزينة </v>
      </c>
      <c r="E2284" s="142"/>
      <c r="F2284" s="133"/>
      <c r="G2284" s="133">
        <v>100</v>
      </c>
      <c r="H2284" s="134">
        <f t="shared" si="106"/>
        <v>0</v>
      </c>
      <c r="I2284" s="134">
        <f t="shared" si="106"/>
        <v>100</v>
      </c>
      <c r="J2284" s="134">
        <f t="shared" si="105"/>
        <v>-100</v>
      </c>
      <c r="K2284" s="135"/>
      <c r="L2284" s="136" t="str">
        <f t="shared" si="107"/>
        <v>دائن</v>
      </c>
      <c r="M2284" s="137" t="str">
        <f>IF(ISERROR(VLOOKUP(C2284,'[1]خريطة الحسابات'!_xlnm.Print_Area,4,FALSE))," ",(VLOOKUP(C2284,'[1]خريطة الحسابات'!_xlnm.Print_Area,4,FALSE)))</f>
        <v xml:space="preserve">أصول متداوله -النقدية ومافي حكمها </v>
      </c>
      <c r="N2284" s="138" t="str">
        <f>IF(ISERROR(VLOOKUP(C2284,'[1]خريطة الحسابات'!_xlnm.Print_Area,5,FALSE))," ",(VLOOKUP(C2284,'[1]خريطة الحسابات'!_xlnm.Print_Area,5,FALSE)))</f>
        <v>الاصول</v>
      </c>
      <c r="O2284" s="84" t="s">
        <v>2334</v>
      </c>
      <c r="P2284" s="84" t="s">
        <v>1415</v>
      </c>
    </row>
    <row r="2285" spans="1:16">
      <c r="A2285" s="151">
        <v>68</v>
      </c>
      <c r="B2285" s="131">
        <v>46146</v>
      </c>
      <c r="C2285" s="150">
        <v>20</v>
      </c>
      <c r="D2285" s="140" t="str">
        <f>IF(ISERROR(VLOOKUP(C2285,'[1]خريطة الحسابات'!_xlnm.Print_Area,3,FALSE))," ",(VLOOKUP(C2285,'[1]خريطة الحسابات'!_xlnm.Print_Area,3,FALSE)))</f>
        <v xml:space="preserve">الخزينة </v>
      </c>
      <c r="E2285" s="142"/>
      <c r="F2285" s="133"/>
      <c r="G2285" s="133">
        <v>100</v>
      </c>
      <c r="H2285" s="134">
        <f t="shared" si="106"/>
        <v>0</v>
      </c>
      <c r="I2285" s="134">
        <f t="shared" si="106"/>
        <v>100</v>
      </c>
      <c r="J2285" s="134">
        <f t="shared" si="105"/>
        <v>-100</v>
      </c>
      <c r="K2285" s="135"/>
      <c r="L2285" s="136" t="str">
        <f t="shared" si="107"/>
        <v>دائن</v>
      </c>
      <c r="M2285" s="137" t="str">
        <f>IF(ISERROR(VLOOKUP(C2285,'[1]خريطة الحسابات'!_xlnm.Print_Area,4,FALSE))," ",(VLOOKUP(C2285,'[1]خريطة الحسابات'!_xlnm.Print_Area,4,FALSE)))</f>
        <v xml:space="preserve">أصول متداوله -النقدية ومافي حكمها </v>
      </c>
      <c r="N2285" s="138" t="str">
        <f>IF(ISERROR(VLOOKUP(C2285,'[1]خريطة الحسابات'!_xlnm.Print_Area,5,FALSE))," ",(VLOOKUP(C2285,'[1]خريطة الحسابات'!_xlnm.Print_Area,5,FALSE)))</f>
        <v>الاصول</v>
      </c>
      <c r="O2285" s="84" t="s">
        <v>2335</v>
      </c>
      <c r="P2285" s="84" t="s">
        <v>1415</v>
      </c>
    </row>
    <row r="2286" spans="1:16">
      <c r="A2286" s="151">
        <v>68</v>
      </c>
      <c r="B2286" s="131">
        <v>46070</v>
      </c>
      <c r="C2286" s="150">
        <v>20</v>
      </c>
      <c r="D2286" s="140" t="str">
        <f>IF(ISERROR(VLOOKUP(C2286,'[1]خريطة الحسابات'!_xlnm.Print_Area,3,FALSE))," ",(VLOOKUP(C2286,'[1]خريطة الحسابات'!_xlnm.Print_Area,3,FALSE)))</f>
        <v xml:space="preserve">الخزينة </v>
      </c>
      <c r="E2286" s="142"/>
      <c r="F2286" s="133"/>
      <c r="G2286" s="133">
        <v>5000</v>
      </c>
      <c r="H2286" s="134">
        <f t="shared" si="106"/>
        <v>0</v>
      </c>
      <c r="I2286" s="134">
        <f t="shared" si="106"/>
        <v>5000</v>
      </c>
      <c r="J2286" s="134">
        <f t="shared" si="105"/>
        <v>-5000</v>
      </c>
      <c r="K2286" s="135"/>
      <c r="L2286" s="136" t="str">
        <f t="shared" si="107"/>
        <v>دائن</v>
      </c>
      <c r="M2286" s="137" t="str">
        <f>IF(ISERROR(VLOOKUP(C2286,'[1]خريطة الحسابات'!_xlnm.Print_Area,4,FALSE))," ",(VLOOKUP(C2286,'[1]خريطة الحسابات'!_xlnm.Print_Area,4,FALSE)))</f>
        <v xml:space="preserve">أصول متداوله -النقدية ومافي حكمها </v>
      </c>
      <c r="N2286" s="138" t="str">
        <f>IF(ISERROR(VLOOKUP(C2286,'[1]خريطة الحسابات'!_xlnm.Print_Area,5,FALSE))," ",(VLOOKUP(C2286,'[1]خريطة الحسابات'!_xlnm.Print_Area,5,FALSE)))</f>
        <v>الاصول</v>
      </c>
      <c r="O2286" s="84" t="s">
        <v>2336</v>
      </c>
      <c r="P2286" s="84" t="s">
        <v>2337</v>
      </c>
    </row>
    <row r="2287" spans="1:16">
      <c r="A2287" s="151">
        <v>68</v>
      </c>
      <c r="B2287" s="131">
        <v>46144</v>
      </c>
      <c r="C2287" s="150">
        <v>20</v>
      </c>
      <c r="D2287" s="140" t="str">
        <f>IF(ISERROR(VLOOKUP(C2287,'[1]خريطة الحسابات'!_xlnm.Print_Area,3,FALSE))," ",(VLOOKUP(C2287,'[1]خريطة الحسابات'!_xlnm.Print_Area,3,FALSE)))</f>
        <v xml:space="preserve">الخزينة </v>
      </c>
      <c r="E2287" s="142"/>
      <c r="F2287" s="133"/>
      <c r="G2287" s="133">
        <v>100</v>
      </c>
      <c r="H2287" s="134">
        <f t="shared" si="106"/>
        <v>0</v>
      </c>
      <c r="I2287" s="134">
        <f t="shared" si="106"/>
        <v>100</v>
      </c>
      <c r="J2287" s="134">
        <f t="shared" si="105"/>
        <v>-100</v>
      </c>
      <c r="K2287" s="135"/>
      <c r="L2287" s="136" t="str">
        <f t="shared" si="107"/>
        <v>دائن</v>
      </c>
      <c r="M2287" s="137" t="str">
        <f>IF(ISERROR(VLOOKUP(C2287,'[1]خريطة الحسابات'!_xlnm.Print_Area,4,FALSE))," ",(VLOOKUP(C2287,'[1]خريطة الحسابات'!_xlnm.Print_Area,4,FALSE)))</f>
        <v xml:space="preserve">أصول متداوله -النقدية ومافي حكمها </v>
      </c>
      <c r="N2287" s="138" t="str">
        <f>IF(ISERROR(VLOOKUP(C2287,'[1]خريطة الحسابات'!_xlnm.Print_Area,5,FALSE))," ",(VLOOKUP(C2287,'[1]خريطة الحسابات'!_xlnm.Print_Area,5,FALSE)))</f>
        <v>الاصول</v>
      </c>
      <c r="O2287" s="84" t="s">
        <v>2338</v>
      </c>
      <c r="P2287" s="84" t="s">
        <v>1317</v>
      </c>
    </row>
    <row r="2288" spans="1:16">
      <c r="A2288" s="151">
        <v>68</v>
      </c>
      <c r="B2288" s="131">
        <v>46120</v>
      </c>
      <c r="C2288" s="150">
        <v>20</v>
      </c>
      <c r="D2288" s="140" t="str">
        <f>IF(ISERROR(VLOOKUP(C2288,'[1]خريطة الحسابات'!_xlnm.Print_Area,3,FALSE))," ",(VLOOKUP(C2288,'[1]خريطة الحسابات'!_xlnm.Print_Area,3,FALSE)))</f>
        <v xml:space="preserve">الخزينة </v>
      </c>
      <c r="E2288" s="142"/>
      <c r="F2288" s="133"/>
      <c r="G2288" s="133">
        <v>100</v>
      </c>
      <c r="H2288" s="134">
        <f t="shared" si="106"/>
        <v>0</v>
      </c>
      <c r="I2288" s="134">
        <f t="shared" si="106"/>
        <v>100</v>
      </c>
      <c r="J2288" s="134">
        <f t="shared" si="105"/>
        <v>-100</v>
      </c>
      <c r="K2288" s="135"/>
      <c r="L2288" s="136" t="str">
        <f t="shared" si="107"/>
        <v>دائن</v>
      </c>
      <c r="M2288" s="137" t="str">
        <f>IF(ISERROR(VLOOKUP(C2288,'[1]خريطة الحسابات'!_xlnm.Print_Area,4,FALSE))," ",(VLOOKUP(C2288,'[1]خريطة الحسابات'!_xlnm.Print_Area,4,FALSE)))</f>
        <v xml:space="preserve">أصول متداوله -النقدية ومافي حكمها </v>
      </c>
      <c r="N2288" s="138" t="str">
        <f>IF(ISERROR(VLOOKUP(C2288,'[1]خريطة الحسابات'!_xlnm.Print_Area,5,FALSE))," ",(VLOOKUP(C2288,'[1]خريطة الحسابات'!_xlnm.Print_Area,5,FALSE)))</f>
        <v>الاصول</v>
      </c>
      <c r="O2288" s="84" t="s">
        <v>2339</v>
      </c>
      <c r="P2288" s="84" t="s">
        <v>1395</v>
      </c>
    </row>
    <row r="2289" spans="1:16">
      <c r="A2289" s="151">
        <v>69</v>
      </c>
      <c r="B2289" s="131">
        <v>46042</v>
      </c>
      <c r="C2289" s="150" t="s">
        <v>642</v>
      </c>
      <c r="D2289" s="140" t="str">
        <f>IF(ISERROR(VLOOKUP(C2289,'[1]خريطة الحسابات'!_xlnm.Print_Area,3,FALSE))," ",(VLOOKUP(C2289,'[1]خريطة الحسابات'!_xlnm.Print_Area,3,FALSE)))</f>
        <v>خامات ومصنعية أعمال النجارة والأبواب</v>
      </c>
      <c r="E2289" s="142"/>
      <c r="F2289" s="133">
        <v>300</v>
      </c>
      <c r="G2289" s="133"/>
      <c r="H2289" s="134">
        <f t="shared" si="106"/>
        <v>300</v>
      </c>
      <c r="I2289" s="134">
        <f t="shared" si="106"/>
        <v>0</v>
      </c>
      <c r="J2289" s="134">
        <f t="shared" si="105"/>
        <v>300</v>
      </c>
      <c r="K2289" s="135"/>
      <c r="L2289" s="136" t="str">
        <f t="shared" si="107"/>
        <v>مدين</v>
      </c>
      <c r="M2289" s="137" t="str">
        <f>IF(ISERROR(VLOOKUP(C2289,'[1]خريطة الحسابات'!_xlnm.Print_Area,4,FALSE))," ",(VLOOKUP(C2289,'[1]خريطة الحسابات'!_xlnm.Print_Area,4,FALSE)))</f>
        <v>تكاليف مشروع الاندلس 364</v>
      </c>
      <c r="N2289" s="138" t="str">
        <f>IF(ISERROR(VLOOKUP(C2289,'[1]خريطة الحسابات'!_xlnm.Print_Area,5,FALSE))," ",(VLOOKUP(C2289,'[1]خريطة الحسابات'!_xlnm.Print_Area,5,FALSE)))</f>
        <v xml:space="preserve">تكاليف العمليات </v>
      </c>
      <c r="O2289" s="84" t="s">
        <v>2340</v>
      </c>
      <c r="P2289" s="84" t="s">
        <v>1299</v>
      </c>
    </row>
    <row r="2290" spans="1:16">
      <c r="A2290" s="151">
        <v>69</v>
      </c>
      <c r="B2290" s="131">
        <v>46089</v>
      </c>
      <c r="C2290" s="150" t="s">
        <v>187</v>
      </c>
      <c r="D2290" s="140" t="str">
        <f>IF(ISERROR(VLOOKUP(C2290,'[1]خريطة الحسابات'!_xlnm.Print_Area,3,FALSE))," ",(VLOOKUP(C2290,'[1]خريطة الحسابات'!_xlnm.Print_Area,3,FALSE)))</f>
        <v>خامات ومصنعية أعمال النجارة والأبواب</v>
      </c>
      <c r="E2290" s="142"/>
      <c r="F2290" s="133">
        <v>1990</v>
      </c>
      <c r="G2290" s="133"/>
      <c r="H2290" s="134">
        <f t="shared" si="106"/>
        <v>1990</v>
      </c>
      <c r="I2290" s="134">
        <f t="shared" si="106"/>
        <v>0</v>
      </c>
      <c r="J2290" s="134">
        <f t="shared" si="105"/>
        <v>1990</v>
      </c>
      <c r="K2290" s="135"/>
      <c r="L2290" s="136" t="str">
        <f t="shared" si="107"/>
        <v>مدين</v>
      </c>
      <c r="M2290" s="137" t="str">
        <f>IF(ISERROR(VLOOKUP(C2290,'[1]خريطة الحسابات'!_xlnm.Print_Area,4,FALSE))," ",(VLOOKUP(C2290,'[1]خريطة الحسابات'!_xlnm.Print_Area,4,FALSE)))</f>
        <v>تكاليف مشروع الباتيو 235</v>
      </c>
      <c r="N2290" s="138" t="str">
        <f>IF(ISERROR(VLOOKUP(C2290,'[1]خريطة الحسابات'!_xlnm.Print_Area,5,FALSE))," ",(VLOOKUP(C2290,'[1]خريطة الحسابات'!_xlnm.Print_Area,5,FALSE)))</f>
        <v xml:space="preserve">تكاليف العمليات </v>
      </c>
      <c r="O2290" s="84" t="s">
        <v>2341</v>
      </c>
      <c r="P2290" s="84" t="s">
        <v>1304</v>
      </c>
    </row>
    <row r="2291" spans="1:16">
      <c r="A2291" s="151">
        <v>69</v>
      </c>
      <c r="B2291" s="131">
        <v>46161</v>
      </c>
      <c r="C2291" s="150" t="s">
        <v>327</v>
      </c>
      <c r="D2291" s="140" t="str">
        <f>IF(ISERROR(VLOOKUP(C2291,'[1]خريطة الحسابات'!_xlnm.Print_Area,3,FALSE))," ",(VLOOKUP(C2291,'[1]خريطة الحسابات'!_xlnm.Print_Area,3,FALSE)))</f>
        <v>خامات ومصنعية أعمال النجارة والأبواب</v>
      </c>
      <c r="E2291" s="142"/>
      <c r="F2291" s="133">
        <v>25000</v>
      </c>
      <c r="G2291" s="133"/>
      <c r="H2291" s="134">
        <f t="shared" si="106"/>
        <v>25000</v>
      </c>
      <c r="I2291" s="134">
        <f t="shared" si="106"/>
        <v>0</v>
      </c>
      <c r="J2291" s="134">
        <f t="shared" si="105"/>
        <v>25000</v>
      </c>
      <c r="K2291" s="135"/>
      <c r="L2291" s="136" t="str">
        <f t="shared" si="107"/>
        <v>مدين</v>
      </c>
      <c r="M2291" s="137" t="str">
        <f>IF(ISERROR(VLOOKUP(C2291,'[1]خريطة الحسابات'!_xlnm.Print_Area,4,FALSE))," ",(VLOOKUP(C2291,'[1]خريطة الحسابات'!_xlnm.Print_Area,4,FALSE)))</f>
        <v>تكاليف مشروع العبور 306</v>
      </c>
      <c r="N2291" s="138" t="str">
        <f>IF(ISERROR(VLOOKUP(C2291,'[1]خريطة الحسابات'!_xlnm.Print_Area,5,FALSE))," ",(VLOOKUP(C2291,'[1]خريطة الحسابات'!_xlnm.Print_Area,5,FALSE)))</f>
        <v xml:space="preserve">تكاليف العمليات </v>
      </c>
      <c r="O2291" s="84" t="s">
        <v>2342</v>
      </c>
      <c r="P2291" s="84" t="s">
        <v>1292</v>
      </c>
    </row>
    <row r="2292" spans="1:16">
      <c r="A2292" s="151">
        <v>69</v>
      </c>
      <c r="B2292" s="131">
        <v>46184</v>
      </c>
      <c r="C2292" s="150" t="s">
        <v>327</v>
      </c>
      <c r="D2292" s="140" t="str">
        <f>IF(ISERROR(VLOOKUP(C2292,'[1]خريطة الحسابات'!_xlnm.Print_Area,3,FALSE))," ",(VLOOKUP(C2292,'[1]خريطة الحسابات'!_xlnm.Print_Area,3,FALSE)))</f>
        <v>خامات ومصنعية أعمال النجارة والأبواب</v>
      </c>
      <c r="E2292" s="142"/>
      <c r="F2292" s="133">
        <v>11011</v>
      </c>
      <c r="G2292" s="133"/>
      <c r="H2292" s="134">
        <f t="shared" si="106"/>
        <v>11011</v>
      </c>
      <c r="I2292" s="134">
        <f t="shared" si="106"/>
        <v>0</v>
      </c>
      <c r="J2292" s="134">
        <f t="shared" si="105"/>
        <v>11011</v>
      </c>
      <c r="K2292" s="135"/>
      <c r="L2292" s="136" t="str">
        <f t="shared" si="107"/>
        <v>مدين</v>
      </c>
      <c r="M2292" s="137" t="str">
        <f>IF(ISERROR(VLOOKUP(C2292,'[1]خريطة الحسابات'!_xlnm.Print_Area,4,FALSE))," ",(VLOOKUP(C2292,'[1]خريطة الحسابات'!_xlnm.Print_Area,4,FALSE)))</f>
        <v>تكاليف مشروع العبور 306</v>
      </c>
      <c r="N2292" s="138" t="str">
        <f>IF(ISERROR(VLOOKUP(C2292,'[1]خريطة الحسابات'!_xlnm.Print_Area,5,FALSE))," ",(VLOOKUP(C2292,'[1]خريطة الحسابات'!_xlnm.Print_Area,5,FALSE)))</f>
        <v xml:space="preserve">تكاليف العمليات </v>
      </c>
      <c r="O2292" s="84" t="s">
        <v>2343</v>
      </c>
      <c r="P2292" s="84" t="s">
        <v>1292</v>
      </c>
    </row>
    <row r="2293" spans="1:16">
      <c r="A2293" s="151">
        <v>69</v>
      </c>
      <c r="B2293" s="131">
        <v>46186</v>
      </c>
      <c r="C2293" s="150" t="s">
        <v>327</v>
      </c>
      <c r="D2293" s="140" t="str">
        <f>IF(ISERROR(VLOOKUP(C2293,'[1]خريطة الحسابات'!_xlnm.Print_Area,3,FALSE))," ",(VLOOKUP(C2293,'[1]خريطة الحسابات'!_xlnm.Print_Area,3,FALSE)))</f>
        <v>خامات ومصنعية أعمال النجارة والأبواب</v>
      </c>
      <c r="E2293" s="142"/>
      <c r="F2293" s="133">
        <v>2002</v>
      </c>
      <c r="G2293" s="133"/>
      <c r="H2293" s="134">
        <f t="shared" si="106"/>
        <v>2002</v>
      </c>
      <c r="I2293" s="134">
        <f t="shared" si="106"/>
        <v>0</v>
      </c>
      <c r="J2293" s="134">
        <f t="shared" si="105"/>
        <v>2002</v>
      </c>
      <c r="K2293" s="135"/>
      <c r="L2293" s="136" t="str">
        <f t="shared" si="107"/>
        <v>مدين</v>
      </c>
      <c r="M2293" s="137" t="str">
        <f>IF(ISERROR(VLOOKUP(C2293,'[1]خريطة الحسابات'!_xlnm.Print_Area,4,FALSE))," ",(VLOOKUP(C2293,'[1]خريطة الحسابات'!_xlnm.Print_Area,4,FALSE)))</f>
        <v>تكاليف مشروع العبور 306</v>
      </c>
      <c r="N2293" s="138" t="str">
        <f>IF(ISERROR(VLOOKUP(C2293,'[1]خريطة الحسابات'!_xlnm.Print_Area,5,FALSE))," ",(VLOOKUP(C2293,'[1]خريطة الحسابات'!_xlnm.Print_Area,5,FALSE)))</f>
        <v xml:space="preserve">تكاليف العمليات </v>
      </c>
      <c r="O2293" s="84" t="s">
        <v>2344</v>
      </c>
      <c r="P2293" s="84" t="s">
        <v>1292</v>
      </c>
    </row>
    <row r="2294" spans="1:16">
      <c r="A2294" s="151">
        <v>69</v>
      </c>
      <c r="B2294" s="131">
        <v>46063</v>
      </c>
      <c r="C2294" s="150" t="s">
        <v>607</v>
      </c>
      <c r="D2294" s="140" t="str">
        <f>IF(ISERROR(VLOOKUP(C2294,'[1]خريطة الحسابات'!_xlnm.Print_Area,3,FALSE))," ",(VLOOKUP(C2294,'[1]خريطة الحسابات'!_xlnm.Print_Area,3,FALSE)))</f>
        <v>خامات ومصنعية أعمال النجارة والأبواب</v>
      </c>
      <c r="E2294" s="142"/>
      <c r="F2294" s="133">
        <v>550</v>
      </c>
      <c r="G2294" s="133"/>
      <c r="H2294" s="134">
        <f t="shared" si="106"/>
        <v>550</v>
      </c>
      <c r="I2294" s="134">
        <f t="shared" si="106"/>
        <v>0</v>
      </c>
      <c r="J2294" s="134">
        <f t="shared" si="105"/>
        <v>550</v>
      </c>
      <c r="K2294" s="135"/>
      <c r="L2294" s="136" t="str">
        <f t="shared" si="107"/>
        <v>مدين</v>
      </c>
      <c r="M2294" s="137" t="str">
        <f>IF(ISERROR(VLOOKUP(C2294,'[1]خريطة الحسابات'!_xlnm.Print_Area,4,FALSE))," ",(VLOOKUP(C2294,'[1]خريطة الحسابات'!_xlnm.Print_Area,4,FALSE)))</f>
        <v>تكاليف مشروع اللوتس 361</v>
      </c>
      <c r="N2294" s="138" t="str">
        <f>IF(ISERROR(VLOOKUP(C2294,'[1]خريطة الحسابات'!_xlnm.Print_Area,5,FALSE))," ",(VLOOKUP(C2294,'[1]خريطة الحسابات'!_xlnm.Print_Area,5,FALSE)))</f>
        <v xml:space="preserve">تكاليف العمليات </v>
      </c>
      <c r="O2294" s="84" t="s">
        <v>1361</v>
      </c>
      <c r="P2294" s="84" t="s">
        <v>1295</v>
      </c>
    </row>
    <row r="2295" spans="1:16">
      <c r="A2295" s="151">
        <v>69</v>
      </c>
      <c r="B2295" s="131">
        <v>46097</v>
      </c>
      <c r="C2295" s="150" t="s">
        <v>607</v>
      </c>
      <c r="D2295" s="140" t="str">
        <f>IF(ISERROR(VLOOKUP(C2295,'[1]خريطة الحسابات'!_xlnm.Print_Area,3,FALSE))," ",(VLOOKUP(C2295,'[1]خريطة الحسابات'!_xlnm.Print_Area,3,FALSE)))</f>
        <v>خامات ومصنعية أعمال النجارة والأبواب</v>
      </c>
      <c r="E2295" s="142"/>
      <c r="F2295" s="133">
        <v>2205</v>
      </c>
      <c r="G2295" s="133"/>
      <c r="H2295" s="134">
        <f t="shared" si="106"/>
        <v>2205</v>
      </c>
      <c r="I2295" s="134">
        <f t="shared" si="106"/>
        <v>0</v>
      </c>
      <c r="J2295" s="134">
        <f t="shared" si="105"/>
        <v>2205</v>
      </c>
      <c r="K2295" s="135"/>
      <c r="L2295" s="136" t="str">
        <f t="shared" si="107"/>
        <v>مدين</v>
      </c>
      <c r="M2295" s="137" t="str">
        <f>IF(ISERROR(VLOOKUP(C2295,'[1]خريطة الحسابات'!_xlnm.Print_Area,4,FALSE))," ",(VLOOKUP(C2295,'[1]خريطة الحسابات'!_xlnm.Print_Area,4,FALSE)))</f>
        <v>تكاليف مشروع اللوتس 361</v>
      </c>
      <c r="N2295" s="138" t="str">
        <f>IF(ISERROR(VLOOKUP(C2295,'[1]خريطة الحسابات'!_xlnm.Print_Area,5,FALSE))," ",(VLOOKUP(C2295,'[1]خريطة الحسابات'!_xlnm.Print_Area,5,FALSE)))</f>
        <v xml:space="preserve">تكاليف العمليات </v>
      </c>
      <c r="O2295" s="84" t="s">
        <v>2345</v>
      </c>
      <c r="P2295" s="84" t="s">
        <v>1295</v>
      </c>
    </row>
    <row r="2296" spans="1:16">
      <c r="A2296" s="151">
        <v>69</v>
      </c>
      <c r="B2296" s="131">
        <v>46082</v>
      </c>
      <c r="C2296" s="150" t="s">
        <v>432</v>
      </c>
      <c r="D2296" s="140" t="str">
        <f>IF(ISERROR(VLOOKUP(C2296,'[1]خريطة الحسابات'!_xlnm.Print_Area,3,FALSE))," ",(VLOOKUP(C2296,'[1]خريطة الحسابات'!_xlnm.Print_Area,3,FALSE)))</f>
        <v>خامات ومصنعية أعمال النجارة والأبواب</v>
      </c>
      <c r="E2296" s="142"/>
      <c r="F2296" s="133">
        <v>450</v>
      </c>
      <c r="G2296" s="133"/>
      <c r="H2296" s="134">
        <f t="shared" si="106"/>
        <v>450</v>
      </c>
      <c r="I2296" s="134">
        <f t="shared" si="106"/>
        <v>0</v>
      </c>
      <c r="J2296" s="134">
        <f t="shared" si="105"/>
        <v>450</v>
      </c>
      <c r="K2296" s="135"/>
      <c r="L2296" s="136" t="str">
        <f t="shared" si="107"/>
        <v>مدين</v>
      </c>
      <c r="M2296" s="137" t="str">
        <f>IF(ISERROR(VLOOKUP(C2296,'[1]خريطة الحسابات'!_xlnm.Print_Area,4,FALSE))," ",(VLOOKUP(C2296,'[1]خريطة الحسابات'!_xlnm.Print_Area,4,FALSE)))</f>
        <v>345 تكاليف مشروع بالم هيلز</v>
      </c>
      <c r="N2296" s="138" t="str">
        <f>IF(ISERROR(VLOOKUP(C2296,'[1]خريطة الحسابات'!_xlnm.Print_Area,5,FALSE))," ",(VLOOKUP(C2296,'[1]خريطة الحسابات'!_xlnm.Print_Area,5,FALSE)))</f>
        <v xml:space="preserve">تكاليف العمليات </v>
      </c>
      <c r="O2296" s="84" t="s">
        <v>2346</v>
      </c>
      <c r="P2296" s="84" t="s">
        <v>1327</v>
      </c>
    </row>
    <row r="2297" spans="1:16">
      <c r="A2297" s="151">
        <v>69</v>
      </c>
      <c r="B2297" s="131">
        <v>46096</v>
      </c>
      <c r="C2297" s="150" t="s">
        <v>432</v>
      </c>
      <c r="D2297" s="140" t="str">
        <f>IF(ISERROR(VLOOKUP(C2297,'[1]خريطة الحسابات'!_xlnm.Print_Area,3,FALSE))," ",(VLOOKUP(C2297,'[1]خريطة الحسابات'!_xlnm.Print_Area,3,FALSE)))</f>
        <v>خامات ومصنعية أعمال النجارة والأبواب</v>
      </c>
      <c r="E2297" s="142"/>
      <c r="F2297" s="133">
        <v>500</v>
      </c>
      <c r="G2297" s="133"/>
      <c r="H2297" s="134">
        <f t="shared" si="106"/>
        <v>500</v>
      </c>
      <c r="I2297" s="134">
        <f t="shared" si="106"/>
        <v>0</v>
      </c>
      <c r="J2297" s="134">
        <f t="shared" si="105"/>
        <v>500</v>
      </c>
      <c r="K2297" s="135"/>
      <c r="L2297" s="136" t="str">
        <f t="shared" si="107"/>
        <v>مدين</v>
      </c>
      <c r="M2297" s="137" t="str">
        <f>IF(ISERROR(VLOOKUP(C2297,'[1]خريطة الحسابات'!_xlnm.Print_Area,4,FALSE))," ",(VLOOKUP(C2297,'[1]خريطة الحسابات'!_xlnm.Print_Area,4,FALSE)))</f>
        <v>345 تكاليف مشروع بالم هيلز</v>
      </c>
      <c r="N2297" s="138" t="str">
        <f>IF(ISERROR(VLOOKUP(C2297,'[1]خريطة الحسابات'!_xlnm.Print_Area,5,FALSE))," ",(VLOOKUP(C2297,'[1]خريطة الحسابات'!_xlnm.Print_Area,5,FALSE)))</f>
        <v xml:space="preserve">تكاليف العمليات </v>
      </c>
      <c r="O2297" s="84" t="s">
        <v>2347</v>
      </c>
      <c r="P2297" s="84" t="s">
        <v>1327</v>
      </c>
    </row>
    <row r="2298" spans="1:16">
      <c r="A2298" s="151">
        <v>69</v>
      </c>
      <c r="B2298" s="131">
        <v>46097</v>
      </c>
      <c r="C2298" s="150" t="s">
        <v>432</v>
      </c>
      <c r="D2298" s="140" t="str">
        <f>IF(ISERROR(VLOOKUP(C2298,'[1]خريطة الحسابات'!_xlnm.Print_Area,3,FALSE))," ",(VLOOKUP(C2298,'[1]خريطة الحسابات'!_xlnm.Print_Area,3,FALSE)))</f>
        <v>خامات ومصنعية أعمال النجارة والأبواب</v>
      </c>
      <c r="E2298" s="142"/>
      <c r="F2298" s="133">
        <v>625</v>
      </c>
      <c r="G2298" s="133"/>
      <c r="H2298" s="134">
        <f t="shared" si="106"/>
        <v>625</v>
      </c>
      <c r="I2298" s="134">
        <f t="shared" si="106"/>
        <v>0</v>
      </c>
      <c r="J2298" s="134">
        <f t="shared" si="105"/>
        <v>625</v>
      </c>
      <c r="K2298" s="135"/>
      <c r="L2298" s="136" t="str">
        <f t="shared" si="107"/>
        <v>مدين</v>
      </c>
      <c r="M2298" s="137" t="str">
        <f>IF(ISERROR(VLOOKUP(C2298,'[1]خريطة الحسابات'!_xlnm.Print_Area,4,FALSE))," ",(VLOOKUP(C2298,'[1]خريطة الحسابات'!_xlnm.Print_Area,4,FALSE)))</f>
        <v>345 تكاليف مشروع بالم هيلز</v>
      </c>
      <c r="N2298" s="138" t="str">
        <f>IF(ISERROR(VLOOKUP(C2298,'[1]خريطة الحسابات'!_xlnm.Print_Area,5,FALSE))," ",(VLOOKUP(C2298,'[1]خريطة الحسابات'!_xlnm.Print_Area,5,FALSE)))</f>
        <v xml:space="preserve">تكاليف العمليات </v>
      </c>
      <c r="O2298" s="84" t="s">
        <v>2348</v>
      </c>
      <c r="P2298" s="84" t="s">
        <v>1327</v>
      </c>
    </row>
    <row r="2299" spans="1:16">
      <c r="A2299" s="151">
        <v>69</v>
      </c>
      <c r="B2299" s="131">
        <v>46152</v>
      </c>
      <c r="C2299" s="150" t="s">
        <v>99</v>
      </c>
      <c r="D2299" s="140" t="str">
        <f>IF(ISERROR(VLOOKUP(C2299,'[1]خريطة الحسابات'!_xlnm.Print_Area,3,FALSE))," ",(VLOOKUP(C2299,'[1]خريطة الحسابات'!_xlnm.Print_Area,3,FALSE)))</f>
        <v>خامات ومصنعية أعمال النجارة والأبواب</v>
      </c>
      <c r="E2299" s="142"/>
      <c r="F2299" s="133">
        <v>15015</v>
      </c>
      <c r="G2299" s="133"/>
      <c r="H2299" s="134">
        <f t="shared" si="106"/>
        <v>15015</v>
      </c>
      <c r="I2299" s="134">
        <f t="shared" si="106"/>
        <v>0</v>
      </c>
      <c r="J2299" s="134">
        <f t="shared" si="105"/>
        <v>15015</v>
      </c>
      <c r="K2299" s="135"/>
      <c r="L2299" s="136" t="str">
        <f t="shared" si="107"/>
        <v>مدين</v>
      </c>
      <c r="M2299" s="137" t="str">
        <f>IF(ISERROR(VLOOKUP(C2299,'[1]خريطة الحسابات'!_xlnm.Print_Area,4,FALSE))," ",(VLOOKUP(C2299,'[1]خريطة الحسابات'!_xlnm.Print_Area,4,FALSE)))</f>
        <v>تكاليف مشروع سوديك  341</v>
      </c>
      <c r="N2299" s="138" t="str">
        <f>IF(ISERROR(VLOOKUP(C2299,'[1]خريطة الحسابات'!_xlnm.Print_Area,5,FALSE))," ",(VLOOKUP(C2299,'[1]خريطة الحسابات'!_xlnm.Print_Area,5,FALSE)))</f>
        <v xml:space="preserve">تكاليف العمليات </v>
      </c>
      <c r="O2299" s="84" t="s">
        <v>2349</v>
      </c>
      <c r="P2299" s="84" t="s">
        <v>1290</v>
      </c>
    </row>
    <row r="2300" spans="1:16">
      <c r="A2300" s="151">
        <v>69</v>
      </c>
      <c r="B2300" s="131">
        <v>46158</v>
      </c>
      <c r="C2300" s="150" t="s">
        <v>99</v>
      </c>
      <c r="D2300" s="140" t="str">
        <f>IF(ISERROR(VLOOKUP(C2300,'[1]خريطة الحسابات'!_xlnm.Print_Area,3,FALSE))," ",(VLOOKUP(C2300,'[1]خريطة الحسابات'!_xlnm.Print_Area,3,FALSE)))</f>
        <v>خامات ومصنعية أعمال النجارة والأبواب</v>
      </c>
      <c r="E2300" s="142"/>
      <c r="F2300" s="133">
        <v>5355</v>
      </c>
      <c r="G2300" s="133"/>
      <c r="H2300" s="134">
        <f t="shared" si="106"/>
        <v>5355</v>
      </c>
      <c r="I2300" s="134">
        <f t="shared" si="106"/>
        <v>0</v>
      </c>
      <c r="J2300" s="134">
        <f t="shared" si="105"/>
        <v>5355</v>
      </c>
      <c r="K2300" s="135"/>
      <c r="L2300" s="136" t="str">
        <f t="shared" si="107"/>
        <v>مدين</v>
      </c>
      <c r="M2300" s="137" t="str">
        <f>IF(ISERROR(VLOOKUP(C2300,'[1]خريطة الحسابات'!_xlnm.Print_Area,4,FALSE))," ",(VLOOKUP(C2300,'[1]خريطة الحسابات'!_xlnm.Print_Area,4,FALSE)))</f>
        <v>تكاليف مشروع سوديك  341</v>
      </c>
      <c r="N2300" s="138" t="str">
        <f>IF(ISERROR(VLOOKUP(C2300,'[1]خريطة الحسابات'!_xlnm.Print_Area,5,FALSE))," ",(VLOOKUP(C2300,'[1]خريطة الحسابات'!_xlnm.Print_Area,5,FALSE)))</f>
        <v xml:space="preserve">تكاليف العمليات </v>
      </c>
      <c r="O2300" s="84" t="s">
        <v>2350</v>
      </c>
      <c r="P2300" s="84" t="s">
        <v>1290</v>
      </c>
    </row>
    <row r="2301" spans="1:16">
      <c r="A2301" s="151">
        <v>69</v>
      </c>
      <c r="B2301" s="131">
        <v>46184</v>
      </c>
      <c r="C2301" s="150" t="s">
        <v>99</v>
      </c>
      <c r="D2301" s="140" t="str">
        <f>IF(ISERROR(VLOOKUP(C2301,'[1]خريطة الحسابات'!_xlnm.Print_Area,3,FALSE))," ",(VLOOKUP(C2301,'[1]خريطة الحسابات'!_xlnm.Print_Area,3,FALSE)))</f>
        <v>خامات ومصنعية أعمال النجارة والأبواب</v>
      </c>
      <c r="E2301" s="142"/>
      <c r="F2301" s="133">
        <v>300</v>
      </c>
      <c r="G2301" s="133"/>
      <c r="H2301" s="134">
        <f t="shared" si="106"/>
        <v>300</v>
      </c>
      <c r="I2301" s="134">
        <f t="shared" si="106"/>
        <v>0</v>
      </c>
      <c r="J2301" s="134">
        <f t="shared" si="105"/>
        <v>300</v>
      </c>
      <c r="K2301" s="135"/>
      <c r="L2301" s="136" t="str">
        <f t="shared" si="107"/>
        <v>مدين</v>
      </c>
      <c r="M2301" s="137" t="str">
        <f>IF(ISERROR(VLOOKUP(C2301,'[1]خريطة الحسابات'!_xlnm.Print_Area,4,FALSE))," ",(VLOOKUP(C2301,'[1]خريطة الحسابات'!_xlnm.Print_Area,4,FALSE)))</f>
        <v>تكاليف مشروع سوديك  341</v>
      </c>
      <c r="N2301" s="138" t="str">
        <f>IF(ISERROR(VLOOKUP(C2301,'[1]خريطة الحسابات'!_xlnm.Print_Area,5,FALSE))," ",(VLOOKUP(C2301,'[1]خريطة الحسابات'!_xlnm.Print_Area,5,FALSE)))</f>
        <v xml:space="preserve">تكاليف العمليات </v>
      </c>
      <c r="O2301" s="84" t="s">
        <v>2351</v>
      </c>
      <c r="P2301" s="84" t="s">
        <v>1290</v>
      </c>
    </row>
    <row r="2302" spans="1:16">
      <c r="A2302" s="151">
        <v>69</v>
      </c>
      <c r="B2302" s="131">
        <v>46186</v>
      </c>
      <c r="C2302" s="150" t="s">
        <v>782</v>
      </c>
      <c r="D2302" s="140" t="str">
        <f>IF(ISERROR(VLOOKUP(C2302,'[1]خريطة الحسابات'!_xlnm.Print_Area,3,FALSE))," ",(VLOOKUP(C2302,'[1]خريطة الحسابات'!_xlnm.Print_Area,3,FALSE)))</f>
        <v>خامات ومصنعية أعمال النجارة والأبواب</v>
      </c>
      <c r="E2302" s="142"/>
      <c r="F2302" s="133">
        <v>13700</v>
      </c>
      <c r="G2302" s="133"/>
      <c r="H2302" s="134">
        <f t="shared" si="106"/>
        <v>13700</v>
      </c>
      <c r="I2302" s="134">
        <f t="shared" si="106"/>
        <v>0</v>
      </c>
      <c r="J2302" s="134">
        <f t="shared" si="105"/>
        <v>13700</v>
      </c>
      <c r="K2302" s="135"/>
      <c r="L2302" s="136" t="str">
        <f t="shared" si="107"/>
        <v>مدين</v>
      </c>
      <c r="M2302" s="137" t="str">
        <f>IF(ISERROR(VLOOKUP(C2302,'[1]خريطة الحسابات'!_xlnm.Print_Area,4,FALSE))," ",(VLOOKUP(C2302,'[1]خريطة الحسابات'!_xlnm.Print_Area,4,FALSE)))</f>
        <v>388 تكاليف مشروع الدقي</v>
      </c>
      <c r="N2302" s="138" t="str">
        <f>IF(ISERROR(VLOOKUP(C2302,'[1]خريطة الحسابات'!_xlnm.Print_Area,5,FALSE))," ",(VLOOKUP(C2302,'[1]خريطة الحسابات'!_xlnm.Print_Area,5,FALSE)))</f>
        <v xml:space="preserve">تكاليف العمليات </v>
      </c>
      <c r="O2302" s="84" t="s">
        <v>2352</v>
      </c>
      <c r="P2302" s="84" t="s">
        <v>1315</v>
      </c>
    </row>
    <row r="2303" spans="1:16">
      <c r="A2303" s="151">
        <v>69</v>
      </c>
      <c r="B2303" s="131">
        <v>46063</v>
      </c>
      <c r="C2303" s="150" t="s">
        <v>467</v>
      </c>
      <c r="D2303" s="140" t="str">
        <f>IF(ISERROR(VLOOKUP(C2303,'[1]خريطة الحسابات'!_xlnm.Print_Area,3,FALSE))," ",(VLOOKUP(C2303,'[1]خريطة الحسابات'!_xlnm.Print_Area,3,FALSE)))</f>
        <v>خامات ومصنعية أعمال النجارة والأبواب</v>
      </c>
      <c r="E2303" s="142"/>
      <c r="F2303" s="133">
        <v>6000</v>
      </c>
      <c r="G2303" s="133"/>
      <c r="H2303" s="134">
        <f t="shared" si="106"/>
        <v>6000</v>
      </c>
      <c r="I2303" s="134">
        <f t="shared" si="106"/>
        <v>0</v>
      </c>
      <c r="J2303" s="134">
        <f t="shared" si="105"/>
        <v>6000</v>
      </c>
      <c r="K2303" s="135"/>
      <c r="L2303" s="136" t="str">
        <f t="shared" si="107"/>
        <v>مدين</v>
      </c>
      <c r="M2303" s="137" t="str">
        <f>IF(ISERROR(VLOOKUP(C2303,'[1]خريطة الحسابات'!_xlnm.Print_Area,4,FALSE))," ",(VLOOKUP(C2303,'[1]خريطة الحسابات'!_xlnm.Print_Area,4,FALSE)))</f>
        <v>350 تكاليف مشروع شفيق</v>
      </c>
      <c r="N2303" s="138" t="str">
        <f>IF(ISERROR(VLOOKUP(C2303,'[1]خريطة الحسابات'!_xlnm.Print_Area,5,FALSE))," ",(VLOOKUP(C2303,'[1]خريطة الحسابات'!_xlnm.Print_Area,5,FALSE)))</f>
        <v xml:space="preserve">تكاليف العمليات </v>
      </c>
      <c r="O2303" s="84" t="s">
        <v>1361</v>
      </c>
      <c r="P2303" s="84" t="s">
        <v>1325</v>
      </c>
    </row>
    <row r="2304" spans="1:16">
      <c r="A2304" s="151">
        <v>69</v>
      </c>
      <c r="B2304" s="131">
        <v>46034</v>
      </c>
      <c r="C2304" s="150" t="s">
        <v>292</v>
      </c>
      <c r="D2304" s="140" t="str">
        <f>IF(ISERROR(VLOOKUP(C2304,'[1]خريطة الحسابات'!_xlnm.Print_Area,3,FALSE))," ",(VLOOKUP(C2304,'[1]خريطة الحسابات'!_xlnm.Print_Area,3,FALSE)))</f>
        <v>خامات ومصنعية أعمال النجارة والأبواب</v>
      </c>
      <c r="E2304" s="142"/>
      <c r="F2304" s="133">
        <v>250</v>
      </c>
      <c r="G2304" s="133"/>
      <c r="H2304" s="134">
        <f t="shared" si="106"/>
        <v>250</v>
      </c>
      <c r="I2304" s="134">
        <f t="shared" si="106"/>
        <v>0</v>
      </c>
      <c r="J2304" s="134">
        <f t="shared" si="105"/>
        <v>250</v>
      </c>
      <c r="K2304" s="135"/>
      <c r="L2304" s="136" t="str">
        <f t="shared" si="107"/>
        <v>مدين</v>
      </c>
      <c r="M2304" s="137" t="str">
        <f>IF(ISERROR(VLOOKUP(C2304,'[1]خريطة الحسابات'!_xlnm.Print_Area,4,FALSE))," ",(VLOOKUP(C2304,'[1]خريطة الحسابات'!_xlnm.Print_Area,4,FALSE)))</f>
        <v>287 تكاليف مشروع المعادي فيو</v>
      </c>
      <c r="N2304" s="138" t="str">
        <f>IF(ISERROR(VLOOKUP(C2304,'[1]خريطة الحسابات'!_xlnm.Print_Area,5,FALSE))," ",(VLOOKUP(C2304,'[1]خريطة الحسابات'!_xlnm.Print_Area,5,FALSE)))</f>
        <v xml:space="preserve">تكاليف العمليات </v>
      </c>
      <c r="O2304" s="84" t="s">
        <v>2353</v>
      </c>
      <c r="P2304" s="84" t="s">
        <v>1415</v>
      </c>
    </row>
    <row r="2305" spans="1:16">
      <c r="A2305" s="151">
        <v>69</v>
      </c>
      <c r="B2305" s="131">
        <v>46042</v>
      </c>
      <c r="C2305" s="150" t="s">
        <v>292</v>
      </c>
      <c r="D2305" s="140" t="str">
        <f>IF(ISERROR(VLOOKUP(C2305,'[1]خريطة الحسابات'!_xlnm.Print_Area,3,FALSE))," ",(VLOOKUP(C2305,'[1]خريطة الحسابات'!_xlnm.Print_Area,3,FALSE)))</f>
        <v>خامات ومصنعية أعمال النجارة والأبواب</v>
      </c>
      <c r="E2305" s="142"/>
      <c r="F2305" s="133">
        <v>125</v>
      </c>
      <c r="G2305" s="133"/>
      <c r="H2305" s="134">
        <f t="shared" si="106"/>
        <v>125</v>
      </c>
      <c r="I2305" s="134">
        <f t="shared" si="106"/>
        <v>0</v>
      </c>
      <c r="J2305" s="134">
        <f t="shared" si="105"/>
        <v>125</v>
      </c>
      <c r="K2305" s="135"/>
      <c r="L2305" s="136" t="str">
        <f t="shared" si="107"/>
        <v>مدين</v>
      </c>
      <c r="M2305" s="137" t="str">
        <f>IF(ISERROR(VLOOKUP(C2305,'[1]خريطة الحسابات'!_xlnm.Print_Area,4,FALSE))," ",(VLOOKUP(C2305,'[1]خريطة الحسابات'!_xlnm.Print_Area,4,FALSE)))</f>
        <v>287 تكاليف مشروع المعادي فيو</v>
      </c>
      <c r="N2305" s="138" t="str">
        <f>IF(ISERROR(VLOOKUP(C2305,'[1]خريطة الحسابات'!_xlnm.Print_Area,5,FALSE))," ",(VLOOKUP(C2305,'[1]خريطة الحسابات'!_xlnm.Print_Area,5,FALSE)))</f>
        <v xml:space="preserve">تكاليف العمليات </v>
      </c>
      <c r="O2305" s="84" t="s">
        <v>2354</v>
      </c>
      <c r="P2305" s="84" t="s">
        <v>1415</v>
      </c>
    </row>
    <row r="2306" spans="1:16">
      <c r="A2306" s="151">
        <v>69</v>
      </c>
      <c r="B2306" s="131">
        <v>46089</v>
      </c>
      <c r="C2306" s="150" t="s">
        <v>292</v>
      </c>
      <c r="D2306" s="140" t="str">
        <f>IF(ISERROR(VLOOKUP(C2306,'[1]خريطة الحسابات'!_xlnm.Print_Area,3,FALSE))," ",(VLOOKUP(C2306,'[1]خريطة الحسابات'!_xlnm.Print_Area,3,FALSE)))</f>
        <v>خامات ومصنعية أعمال النجارة والأبواب</v>
      </c>
      <c r="E2306" s="142"/>
      <c r="F2306" s="133">
        <v>425</v>
      </c>
      <c r="G2306" s="133"/>
      <c r="H2306" s="134">
        <f t="shared" si="106"/>
        <v>425</v>
      </c>
      <c r="I2306" s="134">
        <f t="shared" si="106"/>
        <v>0</v>
      </c>
      <c r="J2306" s="134">
        <f t="shared" si="105"/>
        <v>425</v>
      </c>
      <c r="K2306" s="135"/>
      <c r="L2306" s="136" t="str">
        <f t="shared" si="107"/>
        <v>مدين</v>
      </c>
      <c r="M2306" s="137" t="str">
        <f>IF(ISERROR(VLOOKUP(C2306,'[1]خريطة الحسابات'!_xlnm.Print_Area,4,FALSE))," ",(VLOOKUP(C2306,'[1]خريطة الحسابات'!_xlnm.Print_Area,4,FALSE)))</f>
        <v>287 تكاليف مشروع المعادي فيو</v>
      </c>
      <c r="N2306" s="138" t="str">
        <f>IF(ISERROR(VLOOKUP(C2306,'[1]خريطة الحسابات'!_xlnm.Print_Area,5,FALSE))," ",(VLOOKUP(C2306,'[1]خريطة الحسابات'!_xlnm.Print_Area,5,FALSE)))</f>
        <v xml:space="preserve">تكاليف العمليات </v>
      </c>
      <c r="O2306" s="84" t="s">
        <v>2355</v>
      </c>
      <c r="P2306" s="84" t="s">
        <v>1415</v>
      </c>
    </row>
    <row r="2307" spans="1:16">
      <c r="A2307" s="151">
        <v>69</v>
      </c>
      <c r="B2307" s="131">
        <v>46042</v>
      </c>
      <c r="C2307" s="150">
        <v>20</v>
      </c>
      <c r="D2307" s="140" t="str">
        <f>IF(ISERROR(VLOOKUP(C2307,'[1]خريطة الحسابات'!_xlnm.Print_Area,3,FALSE))," ",(VLOOKUP(C2307,'[1]خريطة الحسابات'!_xlnm.Print_Area,3,FALSE)))</f>
        <v xml:space="preserve">الخزينة </v>
      </c>
      <c r="E2307" s="142"/>
      <c r="F2307" s="133"/>
      <c r="G2307" s="133">
        <v>300</v>
      </c>
      <c r="H2307" s="134">
        <f t="shared" si="106"/>
        <v>0</v>
      </c>
      <c r="I2307" s="134">
        <f t="shared" si="106"/>
        <v>300</v>
      </c>
      <c r="J2307" s="134">
        <f t="shared" si="105"/>
        <v>-300</v>
      </c>
      <c r="K2307" s="135"/>
      <c r="L2307" s="136" t="str">
        <f t="shared" si="107"/>
        <v>دائن</v>
      </c>
      <c r="M2307" s="137" t="str">
        <f>IF(ISERROR(VLOOKUP(C2307,'[1]خريطة الحسابات'!_xlnm.Print_Area,4,FALSE))," ",(VLOOKUP(C2307,'[1]خريطة الحسابات'!_xlnm.Print_Area,4,FALSE)))</f>
        <v xml:space="preserve">أصول متداوله -النقدية ومافي حكمها </v>
      </c>
      <c r="N2307" s="138" t="str">
        <f>IF(ISERROR(VLOOKUP(C2307,'[1]خريطة الحسابات'!_xlnm.Print_Area,5,FALSE))," ",(VLOOKUP(C2307,'[1]خريطة الحسابات'!_xlnm.Print_Area,5,FALSE)))</f>
        <v>الاصول</v>
      </c>
      <c r="O2307" s="84" t="s">
        <v>2340</v>
      </c>
      <c r="P2307" s="84" t="s">
        <v>1299</v>
      </c>
    </row>
    <row r="2308" spans="1:16">
      <c r="A2308" s="151">
        <v>69</v>
      </c>
      <c r="B2308" s="131">
        <v>46089</v>
      </c>
      <c r="C2308" s="150">
        <v>20</v>
      </c>
      <c r="D2308" s="140" t="str">
        <f>IF(ISERROR(VLOOKUP(C2308,'[1]خريطة الحسابات'!_xlnm.Print_Area,3,FALSE))," ",(VLOOKUP(C2308,'[1]خريطة الحسابات'!_xlnm.Print_Area,3,FALSE)))</f>
        <v xml:space="preserve">الخزينة </v>
      </c>
      <c r="E2308" s="142"/>
      <c r="F2308" s="133"/>
      <c r="G2308" s="133">
        <v>1990</v>
      </c>
      <c r="H2308" s="134">
        <f t="shared" si="106"/>
        <v>0</v>
      </c>
      <c r="I2308" s="134">
        <f t="shared" si="106"/>
        <v>1990</v>
      </c>
      <c r="J2308" s="134">
        <f t="shared" si="105"/>
        <v>-1990</v>
      </c>
      <c r="K2308" s="135"/>
      <c r="L2308" s="136" t="str">
        <f t="shared" si="107"/>
        <v>دائن</v>
      </c>
      <c r="M2308" s="137" t="str">
        <f>IF(ISERROR(VLOOKUP(C2308,'[1]خريطة الحسابات'!_xlnm.Print_Area,4,FALSE))," ",(VLOOKUP(C2308,'[1]خريطة الحسابات'!_xlnm.Print_Area,4,FALSE)))</f>
        <v xml:space="preserve">أصول متداوله -النقدية ومافي حكمها </v>
      </c>
      <c r="N2308" s="138" t="str">
        <f>IF(ISERROR(VLOOKUP(C2308,'[1]خريطة الحسابات'!_xlnm.Print_Area,5,FALSE))," ",(VLOOKUP(C2308,'[1]خريطة الحسابات'!_xlnm.Print_Area,5,FALSE)))</f>
        <v>الاصول</v>
      </c>
      <c r="O2308" s="84" t="s">
        <v>2341</v>
      </c>
      <c r="P2308" s="84" t="s">
        <v>1304</v>
      </c>
    </row>
    <row r="2309" spans="1:16">
      <c r="A2309" s="151">
        <v>69</v>
      </c>
      <c r="B2309" s="131">
        <v>46161</v>
      </c>
      <c r="C2309" s="150">
        <v>20</v>
      </c>
      <c r="D2309" s="140" t="str">
        <f>IF(ISERROR(VLOOKUP(C2309,'[1]خريطة الحسابات'!_xlnm.Print_Area,3,FALSE))," ",(VLOOKUP(C2309,'[1]خريطة الحسابات'!_xlnm.Print_Area,3,FALSE)))</f>
        <v xml:space="preserve">الخزينة </v>
      </c>
      <c r="E2309" s="142"/>
      <c r="F2309" s="133"/>
      <c r="G2309" s="133">
        <v>25000</v>
      </c>
      <c r="H2309" s="134">
        <f t="shared" si="106"/>
        <v>0</v>
      </c>
      <c r="I2309" s="134">
        <f t="shared" si="106"/>
        <v>25000</v>
      </c>
      <c r="J2309" s="134">
        <f t="shared" si="105"/>
        <v>-25000</v>
      </c>
      <c r="K2309" s="135"/>
      <c r="L2309" s="136" t="str">
        <f t="shared" si="107"/>
        <v>دائن</v>
      </c>
      <c r="M2309" s="137" t="str">
        <f>IF(ISERROR(VLOOKUP(C2309,'[1]خريطة الحسابات'!_xlnm.Print_Area,4,FALSE))," ",(VLOOKUP(C2309,'[1]خريطة الحسابات'!_xlnm.Print_Area,4,FALSE)))</f>
        <v xml:space="preserve">أصول متداوله -النقدية ومافي حكمها </v>
      </c>
      <c r="N2309" s="138" t="str">
        <f>IF(ISERROR(VLOOKUP(C2309,'[1]خريطة الحسابات'!_xlnm.Print_Area,5,FALSE))," ",(VLOOKUP(C2309,'[1]خريطة الحسابات'!_xlnm.Print_Area,5,FALSE)))</f>
        <v>الاصول</v>
      </c>
      <c r="O2309" s="84" t="s">
        <v>2342</v>
      </c>
      <c r="P2309" s="84" t="s">
        <v>1292</v>
      </c>
    </row>
    <row r="2310" spans="1:16">
      <c r="A2310" s="151">
        <v>69</v>
      </c>
      <c r="B2310" s="131">
        <v>46184</v>
      </c>
      <c r="C2310" s="150">
        <v>20</v>
      </c>
      <c r="D2310" s="140" t="str">
        <f>IF(ISERROR(VLOOKUP(C2310,'[1]خريطة الحسابات'!_xlnm.Print_Area,3,FALSE))," ",(VLOOKUP(C2310,'[1]خريطة الحسابات'!_xlnm.Print_Area,3,FALSE)))</f>
        <v xml:space="preserve">الخزينة </v>
      </c>
      <c r="E2310" s="142"/>
      <c r="F2310" s="133"/>
      <c r="G2310" s="133">
        <v>11011</v>
      </c>
      <c r="H2310" s="134">
        <f t="shared" si="106"/>
        <v>0</v>
      </c>
      <c r="I2310" s="134">
        <f t="shared" si="106"/>
        <v>11011</v>
      </c>
      <c r="J2310" s="134">
        <f t="shared" si="105"/>
        <v>-11011</v>
      </c>
      <c r="K2310" s="135"/>
      <c r="L2310" s="136" t="str">
        <f t="shared" si="107"/>
        <v>دائن</v>
      </c>
      <c r="M2310" s="137" t="str">
        <f>IF(ISERROR(VLOOKUP(C2310,'[1]خريطة الحسابات'!_xlnm.Print_Area,4,FALSE))," ",(VLOOKUP(C2310,'[1]خريطة الحسابات'!_xlnm.Print_Area,4,FALSE)))</f>
        <v xml:space="preserve">أصول متداوله -النقدية ومافي حكمها </v>
      </c>
      <c r="N2310" s="138" t="str">
        <f>IF(ISERROR(VLOOKUP(C2310,'[1]خريطة الحسابات'!_xlnm.Print_Area,5,FALSE))," ",(VLOOKUP(C2310,'[1]خريطة الحسابات'!_xlnm.Print_Area,5,FALSE)))</f>
        <v>الاصول</v>
      </c>
      <c r="O2310" s="84" t="s">
        <v>2343</v>
      </c>
      <c r="P2310" s="84" t="s">
        <v>1292</v>
      </c>
    </row>
    <row r="2311" spans="1:16">
      <c r="A2311" s="151">
        <v>69</v>
      </c>
      <c r="B2311" s="131">
        <v>46186</v>
      </c>
      <c r="C2311" s="150">
        <v>20</v>
      </c>
      <c r="D2311" s="140" t="str">
        <f>IF(ISERROR(VLOOKUP(C2311,'[1]خريطة الحسابات'!_xlnm.Print_Area,3,FALSE))," ",(VLOOKUP(C2311,'[1]خريطة الحسابات'!_xlnm.Print_Area,3,FALSE)))</f>
        <v xml:space="preserve">الخزينة </v>
      </c>
      <c r="E2311" s="142"/>
      <c r="F2311" s="133"/>
      <c r="G2311" s="133">
        <v>2002</v>
      </c>
      <c r="H2311" s="134">
        <f t="shared" si="106"/>
        <v>0</v>
      </c>
      <c r="I2311" s="134">
        <f t="shared" si="106"/>
        <v>2002</v>
      </c>
      <c r="J2311" s="134">
        <f t="shared" si="105"/>
        <v>-2002</v>
      </c>
      <c r="K2311" s="135"/>
      <c r="L2311" s="136" t="str">
        <f t="shared" si="107"/>
        <v>دائن</v>
      </c>
      <c r="M2311" s="137" t="str">
        <f>IF(ISERROR(VLOOKUP(C2311,'[1]خريطة الحسابات'!_xlnm.Print_Area,4,FALSE))," ",(VLOOKUP(C2311,'[1]خريطة الحسابات'!_xlnm.Print_Area,4,FALSE)))</f>
        <v xml:space="preserve">أصول متداوله -النقدية ومافي حكمها </v>
      </c>
      <c r="N2311" s="138" t="str">
        <f>IF(ISERROR(VLOOKUP(C2311,'[1]خريطة الحسابات'!_xlnm.Print_Area,5,FALSE))," ",(VLOOKUP(C2311,'[1]خريطة الحسابات'!_xlnm.Print_Area,5,FALSE)))</f>
        <v>الاصول</v>
      </c>
      <c r="O2311" s="84" t="s">
        <v>2344</v>
      </c>
      <c r="P2311" s="84" t="s">
        <v>1292</v>
      </c>
    </row>
    <row r="2312" spans="1:16">
      <c r="A2312" s="151">
        <v>69</v>
      </c>
      <c r="B2312" s="131">
        <v>46063</v>
      </c>
      <c r="C2312" s="150">
        <v>20</v>
      </c>
      <c r="D2312" s="140" t="str">
        <f>IF(ISERROR(VLOOKUP(C2312,'[1]خريطة الحسابات'!_xlnm.Print_Area,3,FALSE))," ",(VLOOKUP(C2312,'[1]خريطة الحسابات'!_xlnm.Print_Area,3,FALSE)))</f>
        <v xml:space="preserve">الخزينة </v>
      </c>
      <c r="E2312" s="142"/>
      <c r="F2312" s="133"/>
      <c r="G2312" s="133">
        <v>550</v>
      </c>
      <c r="H2312" s="134">
        <f t="shared" si="106"/>
        <v>0</v>
      </c>
      <c r="I2312" s="134">
        <f t="shared" si="106"/>
        <v>550</v>
      </c>
      <c r="J2312" s="134">
        <f t="shared" si="105"/>
        <v>-550</v>
      </c>
      <c r="K2312" s="135"/>
      <c r="L2312" s="136" t="str">
        <f t="shared" si="107"/>
        <v>دائن</v>
      </c>
      <c r="M2312" s="137" t="str">
        <f>IF(ISERROR(VLOOKUP(C2312,'[1]خريطة الحسابات'!_xlnm.Print_Area,4,FALSE))," ",(VLOOKUP(C2312,'[1]خريطة الحسابات'!_xlnm.Print_Area,4,FALSE)))</f>
        <v xml:space="preserve">أصول متداوله -النقدية ومافي حكمها </v>
      </c>
      <c r="N2312" s="138" t="str">
        <f>IF(ISERROR(VLOOKUP(C2312,'[1]خريطة الحسابات'!_xlnm.Print_Area,5,FALSE))," ",(VLOOKUP(C2312,'[1]خريطة الحسابات'!_xlnm.Print_Area,5,FALSE)))</f>
        <v>الاصول</v>
      </c>
      <c r="O2312" s="84" t="s">
        <v>1361</v>
      </c>
      <c r="P2312" s="84" t="s">
        <v>1295</v>
      </c>
    </row>
    <row r="2313" spans="1:16">
      <c r="A2313" s="151">
        <v>69</v>
      </c>
      <c r="B2313" s="131">
        <v>46097</v>
      </c>
      <c r="C2313" s="150">
        <v>20</v>
      </c>
      <c r="D2313" s="140" t="str">
        <f>IF(ISERROR(VLOOKUP(C2313,'[1]خريطة الحسابات'!_xlnm.Print_Area,3,FALSE))," ",(VLOOKUP(C2313,'[1]خريطة الحسابات'!_xlnm.Print_Area,3,FALSE)))</f>
        <v xml:space="preserve">الخزينة </v>
      </c>
      <c r="E2313" s="142"/>
      <c r="F2313" s="133"/>
      <c r="G2313" s="133">
        <v>2205</v>
      </c>
      <c r="H2313" s="134">
        <f t="shared" si="106"/>
        <v>0</v>
      </c>
      <c r="I2313" s="134">
        <f t="shared" si="106"/>
        <v>2205</v>
      </c>
      <c r="J2313" s="134">
        <f t="shared" si="105"/>
        <v>-2205</v>
      </c>
      <c r="K2313" s="135"/>
      <c r="L2313" s="136" t="str">
        <f t="shared" si="107"/>
        <v>دائن</v>
      </c>
      <c r="M2313" s="137" t="str">
        <f>IF(ISERROR(VLOOKUP(C2313,'[1]خريطة الحسابات'!_xlnm.Print_Area,4,FALSE))," ",(VLOOKUP(C2313,'[1]خريطة الحسابات'!_xlnm.Print_Area,4,FALSE)))</f>
        <v xml:space="preserve">أصول متداوله -النقدية ومافي حكمها </v>
      </c>
      <c r="N2313" s="138" t="str">
        <f>IF(ISERROR(VLOOKUP(C2313,'[1]خريطة الحسابات'!_xlnm.Print_Area,5,FALSE))," ",(VLOOKUP(C2313,'[1]خريطة الحسابات'!_xlnm.Print_Area,5,FALSE)))</f>
        <v>الاصول</v>
      </c>
      <c r="O2313" s="84" t="s">
        <v>2345</v>
      </c>
      <c r="P2313" s="84" t="s">
        <v>1295</v>
      </c>
    </row>
    <row r="2314" spans="1:16">
      <c r="A2314" s="151">
        <v>69</v>
      </c>
      <c r="B2314" s="131">
        <v>46082</v>
      </c>
      <c r="C2314" s="150">
        <v>20</v>
      </c>
      <c r="D2314" s="140" t="str">
        <f>IF(ISERROR(VLOOKUP(C2314,'[1]خريطة الحسابات'!_xlnm.Print_Area,3,FALSE))," ",(VLOOKUP(C2314,'[1]خريطة الحسابات'!_xlnm.Print_Area,3,FALSE)))</f>
        <v xml:space="preserve">الخزينة </v>
      </c>
      <c r="E2314" s="142"/>
      <c r="F2314" s="133"/>
      <c r="G2314" s="133">
        <v>450</v>
      </c>
      <c r="H2314" s="134">
        <f t="shared" si="106"/>
        <v>0</v>
      </c>
      <c r="I2314" s="134">
        <f t="shared" si="106"/>
        <v>450</v>
      </c>
      <c r="J2314" s="134">
        <f t="shared" si="105"/>
        <v>-450</v>
      </c>
      <c r="K2314" s="135"/>
      <c r="L2314" s="136" t="str">
        <f t="shared" si="107"/>
        <v>دائن</v>
      </c>
      <c r="M2314" s="137" t="str">
        <f>IF(ISERROR(VLOOKUP(C2314,'[1]خريطة الحسابات'!_xlnm.Print_Area,4,FALSE))," ",(VLOOKUP(C2314,'[1]خريطة الحسابات'!_xlnm.Print_Area,4,FALSE)))</f>
        <v xml:space="preserve">أصول متداوله -النقدية ومافي حكمها </v>
      </c>
      <c r="N2314" s="138" t="str">
        <f>IF(ISERROR(VLOOKUP(C2314,'[1]خريطة الحسابات'!_xlnm.Print_Area,5,FALSE))," ",(VLOOKUP(C2314,'[1]خريطة الحسابات'!_xlnm.Print_Area,5,FALSE)))</f>
        <v>الاصول</v>
      </c>
      <c r="O2314" s="84" t="s">
        <v>2346</v>
      </c>
      <c r="P2314" s="84" t="s">
        <v>1327</v>
      </c>
    </row>
    <row r="2315" spans="1:16">
      <c r="A2315" s="151">
        <v>69</v>
      </c>
      <c r="B2315" s="131">
        <v>46096</v>
      </c>
      <c r="C2315" s="150">
        <v>20</v>
      </c>
      <c r="D2315" s="140" t="str">
        <f>IF(ISERROR(VLOOKUP(C2315,'[1]خريطة الحسابات'!_xlnm.Print_Area,3,FALSE))," ",(VLOOKUP(C2315,'[1]خريطة الحسابات'!_xlnm.Print_Area,3,FALSE)))</f>
        <v xml:space="preserve">الخزينة </v>
      </c>
      <c r="E2315" s="142"/>
      <c r="F2315" s="133"/>
      <c r="G2315" s="133">
        <v>500</v>
      </c>
      <c r="H2315" s="134">
        <f t="shared" si="106"/>
        <v>0</v>
      </c>
      <c r="I2315" s="134">
        <f t="shared" si="106"/>
        <v>500</v>
      </c>
      <c r="J2315" s="134">
        <f t="shared" si="105"/>
        <v>-500</v>
      </c>
      <c r="K2315" s="135"/>
      <c r="L2315" s="136" t="str">
        <f t="shared" si="107"/>
        <v>دائن</v>
      </c>
      <c r="M2315" s="137" t="str">
        <f>IF(ISERROR(VLOOKUP(C2315,'[1]خريطة الحسابات'!_xlnm.Print_Area,4,FALSE))," ",(VLOOKUP(C2315,'[1]خريطة الحسابات'!_xlnm.Print_Area,4,FALSE)))</f>
        <v xml:space="preserve">أصول متداوله -النقدية ومافي حكمها </v>
      </c>
      <c r="N2315" s="138" t="str">
        <f>IF(ISERROR(VLOOKUP(C2315,'[1]خريطة الحسابات'!_xlnm.Print_Area,5,FALSE))," ",(VLOOKUP(C2315,'[1]خريطة الحسابات'!_xlnm.Print_Area,5,FALSE)))</f>
        <v>الاصول</v>
      </c>
      <c r="O2315" s="84" t="s">
        <v>2347</v>
      </c>
      <c r="P2315" s="84" t="s">
        <v>1327</v>
      </c>
    </row>
    <row r="2316" spans="1:16">
      <c r="A2316" s="151">
        <v>69</v>
      </c>
      <c r="B2316" s="131">
        <v>46097</v>
      </c>
      <c r="C2316" s="150">
        <v>20</v>
      </c>
      <c r="D2316" s="140" t="str">
        <f>IF(ISERROR(VLOOKUP(C2316,'[1]خريطة الحسابات'!_xlnm.Print_Area,3,FALSE))," ",(VLOOKUP(C2316,'[1]خريطة الحسابات'!_xlnm.Print_Area,3,FALSE)))</f>
        <v xml:space="preserve">الخزينة </v>
      </c>
      <c r="E2316" s="142"/>
      <c r="F2316" s="133"/>
      <c r="G2316" s="133">
        <v>625</v>
      </c>
      <c r="H2316" s="134">
        <f t="shared" si="106"/>
        <v>0</v>
      </c>
      <c r="I2316" s="134">
        <f t="shared" si="106"/>
        <v>625</v>
      </c>
      <c r="J2316" s="134">
        <f t="shared" si="105"/>
        <v>-625</v>
      </c>
      <c r="K2316" s="135"/>
      <c r="L2316" s="136" t="str">
        <f t="shared" si="107"/>
        <v>دائن</v>
      </c>
      <c r="M2316" s="137" t="str">
        <f>IF(ISERROR(VLOOKUP(C2316,'[1]خريطة الحسابات'!_xlnm.Print_Area,4,FALSE))," ",(VLOOKUP(C2316,'[1]خريطة الحسابات'!_xlnm.Print_Area,4,FALSE)))</f>
        <v xml:space="preserve">أصول متداوله -النقدية ومافي حكمها </v>
      </c>
      <c r="N2316" s="138" t="str">
        <f>IF(ISERROR(VLOOKUP(C2316,'[1]خريطة الحسابات'!_xlnm.Print_Area,5,FALSE))," ",(VLOOKUP(C2316,'[1]خريطة الحسابات'!_xlnm.Print_Area,5,FALSE)))</f>
        <v>الاصول</v>
      </c>
      <c r="O2316" s="84" t="s">
        <v>2348</v>
      </c>
      <c r="P2316" s="84" t="s">
        <v>1327</v>
      </c>
    </row>
    <row r="2317" spans="1:16">
      <c r="A2317" s="151">
        <v>69</v>
      </c>
      <c r="B2317" s="131">
        <v>46152</v>
      </c>
      <c r="C2317" s="150">
        <v>20</v>
      </c>
      <c r="D2317" s="140" t="str">
        <f>IF(ISERROR(VLOOKUP(C2317,'[1]خريطة الحسابات'!_xlnm.Print_Area,3,FALSE))," ",(VLOOKUP(C2317,'[1]خريطة الحسابات'!_xlnm.Print_Area,3,FALSE)))</f>
        <v xml:space="preserve">الخزينة </v>
      </c>
      <c r="E2317" s="142"/>
      <c r="F2317" s="133"/>
      <c r="G2317" s="133">
        <v>15015</v>
      </c>
      <c r="H2317" s="134">
        <f t="shared" si="106"/>
        <v>0</v>
      </c>
      <c r="I2317" s="134">
        <f t="shared" si="106"/>
        <v>15015</v>
      </c>
      <c r="J2317" s="134">
        <f t="shared" si="105"/>
        <v>-15015</v>
      </c>
      <c r="K2317" s="135"/>
      <c r="L2317" s="136" t="str">
        <f t="shared" si="107"/>
        <v>دائن</v>
      </c>
      <c r="M2317" s="137" t="str">
        <f>IF(ISERROR(VLOOKUP(C2317,'[1]خريطة الحسابات'!_xlnm.Print_Area,4,FALSE))," ",(VLOOKUP(C2317,'[1]خريطة الحسابات'!_xlnm.Print_Area,4,FALSE)))</f>
        <v xml:space="preserve">أصول متداوله -النقدية ومافي حكمها </v>
      </c>
      <c r="N2317" s="138" t="str">
        <f>IF(ISERROR(VLOOKUP(C2317,'[1]خريطة الحسابات'!_xlnm.Print_Area,5,FALSE))," ",(VLOOKUP(C2317,'[1]خريطة الحسابات'!_xlnm.Print_Area,5,FALSE)))</f>
        <v>الاصول</v>
      </c>
      <c r="O2317" s="84" t="s">
        <v>2349</v>
      </c>
      <c r="P2317" s="84" t="s">
        <v>1290</v>
      </c>
    </row>
    <row r="2318" spans="1:16">
      <c r="A2318" s="151">
        <v>69</v>
      </c>
      <c r="B2318" s="131">
        <v>46158</v>
      </c>
      <c r="C2318" s="150">
        <v>20</v>
      </c>
      <c r="D2318" s="140" t="str">
        <f>IF(ISERROR(VLOOKUP(C2318,'[1]خريطة الحسابات'!_xlnm.Print_Area,3,FALSE))," ",(VLOOKUP(C2318,'[1]خريطة الحسابات'!_xlnm.Print_Area,3,FALSE)))</f>
        <v xml:space="preserve">الخزينة </v>
      </c>
      <c r="E2318" s="142"/>
      <c r="F2318" s="133"/>
      <c r="G2318" s="133">
        <v>5355</v>
      </c>
      <c r="H2318" s="134">
        <f t="shared" si="106"/>
        <v>0</v>
      </c>
      <c r="I2318" s="134">
        <f t="shared" si="106"/>
        <v>5355</v>
      </c>
      <c r="J2318" s="134">
        <f t="shared" si="105"/>
        <v>-5355</v>
      </c>
      <c r="K2318" s="135"/>
      <c r="L2318" s="136" t="str">
        <f t="shared" si="107"/>
        <v>دائن</v>
      </c>
      <c r="M2318" s="137" t="str">
        <f>IF(ISERROR(VLOOKUP(C2318,'[1]خريطة الحسابات'!_xlnm.Print_Area,4,FALSE))," ",(VLOOKUP(C2318,'[1]خريطة الحسابات'!_xlnm.Print_Area,4,FALSE)))</f>
        <v xml:space="preserve">أصول متداوله -النقدية ومافي حكمها </v>
      </c>
      <c r="N2318" s="138" t="str">
        <f>IF(ISERROR(VLOOKUP(C2318,'[1]خريطة الحسابات'!_xlnm.Print_Area,5,FALSE))," ",(VLOOKUP(C2318,'[1]خريطة الحسابات'!_xlnm.Print_Area,5,FALSE)))</f>
        <v>الاصول</v>
      </c>
      <c r="O2318" s="84" t="s">
        <v>2350</v>
      </c>
      <c r="P2318" s="84" t="s">
        <v>1290</v>
      </c>
    </row>
    <row r="2319" spans="1:16">
      <c r="A2319" s="151">
        <v>69</v>
      </c>
      <c r="B2319" s="131">
        <v>46184</v>
      </c>
      <c r="C2319" s="150">
        <v>20</v>
      </c>
      <c r="D2319" s="140" t="str">
        <f>IF(ISERROR(VLOOKUP(C2319,'[1]خريطة الحسابات'!_xlnm.Print_Area,3,FALSE))," ",(VLOOKUP(C2319,'[1]خريطة الحسابات'!_xlnm.Print_Area,3,FALSE)))</f>
        <v xml:space="preserve">الخزينة </v>
      </c>
      <c r="E2319" s="142"/>
      <c r="F2319" s="133"/>
      <c r="G2319" s="133">
        <v>300</v>
      </c>
      <c r="H2319" s="134">
        <f t="shared" si="106"/>
        <v>0</v>
      </c>
      <c r="I2319" s="134">
        <f t="shared" si="106"/>
        <v>300</v>
      </c>
      <c r="J2319" s="134">
        <f t="shared" si="105"/>
        <v>-300</v>
      </c>
      <c r="K2319" s="135"/>
      <c r="L2319" s="136" t="str">
        <f t="shared" si="107"/>
        <v>دائن</v>
      </c>
      <c r="M2319" s="137" t="str">
        <f>IF(ISERROR(VLOOKUP(C2319,'[1]خريطة الحسابات'!_xlnm.Print_Area,4,FALSE))," ",(VLOOKUP(C2319,'[1]خريطة الحسابات'!_xlnm.Print_Area,4,FALSE)))</f>
        <v xml:space="preserve">أصول متداوله -النقدية ومافي حكمها </v>
      </c>
      <c r="N2319" s="138" t="str">
        <f>IF(ISERROR(VLOOKUP(C2319,'[1]خريطة الحسابات'!_xlnm.Print_Area,5,FALSE))," ",(VLOOKUP(C2319,'[1]خريطة الحسابات'!_xlnm.Print_Area,5,FALSE)))</f>
        <v>الاصول</v>
      </c>
      <c r="O2319" s="84" t="s">
        <v>2351</v>
      </c>
      <c r="P2319" s="84" t="s">
        <v>1290</v>
      </c>
    </row>
    <row r="2320" spans="1:16">
      <c r="A2320" s="151">
        <v>69</v>
      </c>
      <c r="B2320" s="131">
        <v>46186</v>
      </c>
      <c r="C2320" s="150">
        <v>20</v>
      </c>
      <c r="D2320" s="140" t="str">
        <f>IF(ISERROR(VLOOKUP(C2320,'[1]خريطة الحسابات'!_xlnm.Print_Area,3,FALSE))," ",(VLOOKUP(C2320,'[1]خريطة الحسابات'!_xlnm.Print_Area,3,FALSE)))</f>
        <v xml:space="preserve">الخزينة </v>
      </c>
      <c r="E2320" s="142"/>
      <c r="F2320" s="133"/>
      <c r="G2320" s="133">
        <v>13700</v>
      </c>
      <c r="H2320" s="134">
        <f t="shared" si="106"/>
        <v>0</v>
      </c>
      <c r="I2320" s="134">
        <f t="shared" si="106"/>
        <v>13700</v>
      </c>
      <c r="J2320" s="134">
        <f t="shared" si="105"/>
        <v>-13700</v>
      </c>
      <c r="K2320" s="135"/>
      <c r="L2320" s="136" t="str">
        <f t="shared" si="107"/>
        <v>دائن</v>
      </c>
      <c r="M2320" s="137" t="str">
        <f>IF(ISERROR(VLOOKUP(C2320,'[1]خريطة الحسابات'!_xlnm.Print_Area,4,FALSE))," ",(VLOOKUP(C2320,'[1]خريطة الحسابات'!_xlnm.Print_Area,4,FALSE)))</f>
        <v xml:space="preserve">أصول متداوله -النقدية ومافي حكمها </v>
      </c>
      <c r="N2320" s="138" t="str">
        <f>IF(ISERROR(VLOOKUP(C2320,'[1]خريطة الحسابات'!_xlnm.Print_Area,5,FALSE))," ",(VLOOKUP(C2320,'[1]خريطة الحسابات'!_xlnm.Print_Area,5,FALSE)))</f>
        <v>الاصول</v>
      </c>
      <c r="O2320" s="84" t="s">
        <v>2352</v>
      </c>
      <c r="P2320" s="84" t="s">
        <v>1315</v>
      </c>
    </row>
    <row r="2321" spans="1:16">
      <c r="A2321" s="151">
        <v>69</v>
      </c>
      <c r="B2321" s="131">
        <v>46063</v>
      </c>
      <c r="C2321" s="150">
        <v>20</v>
      </c>
      <c r="D2321" s="140" t="str">
        <f>IF(ISERROR(VLOOKUP(C2321,'[1]خريطة الحسابات'!_xlnm.Print_Area,3,FALSE))," ",(VLOOKUP(C2321,'[1]خريطة الحسابات'!_xlnm.Print_Area,3,FALSE)))</f>
        <v xml:space="preserve">الخزينة </v>
      </c>
      <c r="E2321" s="142"/>
      <c r="F2321" s="133"/>
      <c r="G2321" s="133">
        <v>6000</v>
      </c>
      <c r="H2321" s="134">
        <f t="shared" si="106"/>
        <v>0</v>
      </c>
      <c r="I2321" s="134">
        <f t="shared" si="106"/>
        <v>6000</v>
      </c>
      <c r="J2321" s="134">
        <f t="shared" si="105"/>
        <v>-6000</v>
      </c>
      <c r="K2321" s="135"/>
      <c r="L2321" s="136" t="str">
        <f t="shared" si="107"/>
        <v>دائن</v>
      </c>
      <c r="M2321" s="137" t="str">
        <f>IF(ISERROR(VLOOKUP(C2321,'[1]خريطة الحسابات'!_xlnm.Print_Area,4,FALSE))," ",(VLOOKUP(C2321,'[1]خريطة الحسابات'!_xlnm.Print_Area,4,FALSE)))</f>
        <v xml:space="preserve">أصول متداوله -النقدية ومافي حكمها </v>
      </c>
      <c r="N2321" s="138" t="str">
        <f>IF(ISERROR(VLOOKUP(C2321,'[1]خريطة الحسابات'!_xlnm.Print_Area,5,FALSE))," ",(VLOOKUP(C2321,'[1]خريطة الحسابات'!_xlnm.Print_Area,5,FALSE)))</f>
        <v>الاصول</v>
      </c>
      <c r="O2321" s="84" t="s">
        <v>1361</v>
      </c>
      <c r="P2321" s="84" t="s">
        <v>1325</v>
      </c>
    </row>
    <row r="2322" spans="1:16">
      <c r="A2322" s="151">
        <v>69</v>
      </c>
      <c r="B2322" s="131">
        <v>46034</v>
      </c>
      <c r="C2322" s="150">
        <v>20</v>
      </c>
      <c r="D2322" s="140" t="str">
        <f>IF(ISERROR(VLOOKUP(C2322,'[1]خريطة الحسابات'!_xlnm.Print_Area,3,FALSE))," ",(VLOOKUP(C2322,'[1]خريطة الحسابات'!_xlnm.Print_Area,3,FALSE)))</f>
        <v xml:space="preserve">الخزينة </v>
      </c>
      <c r="E2322" s="142"/>
      <c r="F2322" s="133"/>
      <c r="G2322" s="133">
        <v>250</v>
      </c>
      <c r="H2322" s="134">
        <f t="shared" si="106"/>
        <v>0</v>
      </c>
      <c r="I2322" s="134">
        <f t="shared" si="106"/>
        <v>250</v>
      </c>
      <c r="J2322" s="134">
        <f t="shared" si="105"/>
        <v>-250</v>
      </c>
      <c r="K2322" s="135"/>
      <c r="L2322" s="136" t="str">
        <f t="shared" si="107"/>
        <v>دائن</v>
      </c>
      <c r="M2322" s="137" t="str">
        <f>IF(ISERROR(VLOOKUP(C2322,'[1]خريطة الحسابات'!_xlnm.Print_Area,4,FALSE))," ",(VLOOKUP(C2322,'[1]خريطة الحسابات'!_xlnm.Print_Area,4,FALSE)))</f>
        <v xml:space="preserve">أصول متداوله -النقدية ومافي حكمها </v>
      </c>
      <c r="N2322" s="138" t="str">
        <f>IF(ISERROR(VLOOKUP(C2322,'[1]خريطة الحسابات'!_xlnm.Print_Area,5,FALSE))," ",(VLOOKUP(C2322,'[1]خريطة الحسابات'!_xlnm.Print_Area,5,FALSE)))</f>
        <v>الاصول</v>
      </c>
      <c r="O2322" s="84" t="s">
        <v>2353</v>
      </c>
      <c r="P2322" s="84" t="s">
        <v>1415</v>
      </c>
    </row>
    <row r="2323" spans="1:16">
      <c r="A2323" s="151">
        <v>69</v>
      </c>
      <c r="B2323" s="131">
        <v>46042</v>
      </c>
      <c r="C2323" s="150">
        <v>20</v>
      </c>
      <c r="D2323" s="140" t="str">
        <f>IF(ISERROR(VLOOKUP(C2323,'[1]خريطة الحسابات'!_xlnm.Print_Area,3,FALSE))," ",(VLOOKUP(C2323,'[1]خريطة الحسابات'!_xlnm.Print_Area,3,FALSE)))</f>
        <v xml:space="preserve">الخزينة </v>
      </c>
      <c r="E2323" s="142"/>
      <c r="F2323" s="133"/>
      <c r="G2323" s="133">
        <v>125</v>
      </c>
      <c r="H2323" s="134">
        <f t="shared" si="106"/>
        <v>0</v>
      </c>
      <c r="I2323" s="134">
        <f t="shared" si="106"/>
        <v>125</v>
      </c>
      <c r="J2323" s="134">
        <f t="shared" si="105"/>
        <v>-125</v>
      </c>
      <c r="K2323" s="135"/>
      <c r="L2323" s="136" t="str">
        <f t="shared" si="107"/>
        <v>دائن</v>
      </c>
      <c r="M2323" s="137" t="str">
        <f>IF(ISERROR(VLOOKUP(C2323,'[1]خريطة الحسابات'!_xlnm.Print_Area,4,FALSE))," ",(VLOOKUP(C2323,'[1]خريطة الحسابات'!_xlnm.Print_Area,4,FALSE)))</f>
        <v xml:space="preserve">أصول متداوله -النقدية ومافي حكمها </v>
      </c>
      <c r="N2323" s="138" t="str">
        <f>IF(ISERROR(VLOOKUP(C2323,'[1]خريطة الحسابات'!_xlnm.Print_Area,5,FALSE))," ",(VLOOKUP(C2323,'[1]خريطة الحسابات'!_xlnm.Print_Area,5,FALSE)))</f>
        <v>الاصول</v>
      </c>
      <c r="O2323" s="84" t="s">
        <v>2354</v>
      </c>
      <c r="P2323" s="84" t="s">
        <v>1415</v>
      </c>
    </row>
    <row r="2324" spans="1:16">
      <c r="A2324" s="151">
        <v>69</v>
      </c>
      <c r="B2324" s="131">
        <v>46089</v>
      </c>
      <c r="C2324" s="150">
        <v>20</v>
      </c>
      <c r="D2324" s="140" t="str">
        <f>IF(ISERROR(VLOOKUP(C2324,'[1]خريطة الحسابات'!_xlnm.Print_Area,3,FALSE))," ",(VLOOKUP(C2324,'[1]خريطة الحسابات'!_xlnm.Print_Area,3,FALSE)))</f>
        <v xml:space="preserve">الخزينة </v>
      </c>
      <c r="E2324" s="142"/>
      <c r="F2324" s="133"/>
      <c r="G2324" s="133">
        <v>425</v>
      </c>
      <c r="H2324" s="134">
        <f t="shared" si="106"/>
        <v>0</v>
      </c>
      <c r="I2324" s="134">
        <f t="shared" si="106"/>
        <v>425</v>
      </c>
      <c r="J2324" s="134">
        <f t="shared" si="105"/>
        <v>-425</v>
      </c>
      <c r="K2324" s="135"/>
      <c r="L2324" s="136" t="str">
        <f t="shared" si="107"/>
        <v>دائن</v>
      </c>
      <c r="M2324" s="137" t="str">
        <f>IF(ISERROR(VLOOKUP(C2324,'[1]خريطة الحسابات'!_xlnm.Print_Area,4,FALSE))," ",(VLOOKUP(C2324,'[1]خريطة الحسابات'!_xlnm.Print_Area,4,FALSE)))</f>
        <v xml:space="preserve">أصول متداوله -النقدية ومافي حكمها </v>
      </c>
      <c r="N2324" s="138" t="str">
        <f>IF(ISERROR(VLOOKUP(C2324,'[1]خريطة الحسابات'!_xlnm.Print_Area,5,FALSE))," ",(VLOOKUP(C2324,'[1]خريطة الحسابات'!_xlnm.Print_Area,5,FALSE)))</f>
        <v>الاصول</v>
      </c>
      <c r="O2324" s="84" t="s">
        <v>2355</v>
      </c>
      <c r="P2324" s="84" t="s">
        <v>1415</v>
      </c>
    </row>
    <row r="2325" spans="1:16">
      <c r="A2325" s="151">
        <v>70</v>
      </c>
      <c r="B2325" s="131">
        <v>46027</v>
      </c>
      <c r="C2325" s="150" t="s">
        <v>707</v>
      </c>
      <c r="D2325" s="140" t="str">
        <f>IF(ISERROR(VLOOKUP(C2325,'[1]خريطة الحسابات'!_xlnm.Print_Area,3,FALSE))," ",(VLOOKUP(C2325,'[1]خريطة الحسابات'!_xlnm.Print_Area,3,FALSE)))</f>
        <v>خامات ومصنعية أعمال السيراميك</v>
      </c>
      <c r="E2325" s="142"/>
      <c r="F2325" s="133">
        <v>300</v>
      </c>
      <c r="G2325" s="133"/>
      <c r="H2325" s="134">
        <f t="shared" si="106"/>
        <v>300</v>
      </c>
      <c r="I2325" s="134">
        <f t="shared" si="106"/>
        <v>0</v>
      </c>
      <c r="J2325" s="134">
        <f t="shared" si="105"/>
        <v>300</v>
      </c>
      <c r="K2325" s="135"/>
      <c r="L2325" s="136" t="str">
        <f t="shared" si="107"/>
        <v>مدين</v>
      </c>
      <c r="M2325" s="137" t="str">
        <f>IF(ISERROR(VLOOKUP(C2325,'[1]خريطة الحسابات'!_xlnm.Print_Area,4,FALSE))," ",(VLOOKUP(C2325,'[1]خريطة الحسابات'!_xlnm.Print_Area,4,FALSE)))</f>
        <v>تكاليف مشروع اشرف الشروق 372</v>
      </c>
      <c r="N2325" s="138" t="str">
        <f>IF(ISERROR(VLOOKUP(C2325,'[1]خريطة الحسابات'!_xlnm.Print_Area,5,FALSE))," ",(VLOOKUP(C2325,'[1]خريطة الحسابات'!_xlnm.Print_Area,5,FALSE)))</f>
        <v xml:space="preserve">تكاليف العمليات </v>
      </c>
      <c r="O2325" s="84" t="s">
        <v>2356</v>
      </c>
      <c r="P2325" s="84" t="s">
        <v>1340</v>
      </c>
    </row>
    <row r="2326" spans="1:16">
      <c r="A2326" s="151">
        <v>70</v>
      </c>
      <c r="B2326" s="131">
        <v>46056</v>
      </c>
      <c r="C2326" s="150" t="s">
        <v>707</v>
      </c>
      <c r="D2326" s="140" t="str">
        <f>IF(ISERROR(VLOOKUP(C2326,'[1]خريطة الحسابات'!_xlnm.Print_Area,3,FALSE))," ",(VLOOKUP(C2326,'[1]خريطة الحسابات'!_xlnm.Print_Area,3,FALSE)))</f>
        <v>خامات ومصنعية أعمال السيراميك</v>
      </c>
      <c r="E2326" s="142"/>
      <c r="F2326" s="133">
        <v>6806</v>
      </c>
      <c r="G2326" s="133"/>
      <c r="H2326" s="134">
        <f t="shared" si="106"/>
        <v>6806</v>
      </c>
      <c r="I2326" s="134">
        <f t="shared" si="106"/>
        <v>0</v>
      </c>
      <c r="J2326" s="134">
        <f t="shared" si="105"/>
        <v>6806</v>
      </c>
      <c r="K2326" s="135"/>
      <c r="L2326" s="136" t="str">
        <f t="shared" si="107"/>
        <v>مدين</v>
      </c>
      <c r="M2326" s="137" t="str">
        <f>IF(ISERROR(VLOOKUP(C2326,'[1]خريطة الحسابات'!_xlnm.Print_Area,4,FALSE))," ",(VLOOKUP(C2326,'[1]خريطة الحسابات'!_xlnm.Print_Area,4,FALSE)))</f>
        <v>تكاليف مشروع اشرف الشروق 372</v>
      </c>
      <c r="N2326" s="138" t="str">
        <f>IF(ISERROR(VLOOKUP(C2326,'[1]خريطة الحسابات'!_xlnm.Print_Area,5,FALSE))," ",(VLOOKUP(C2326,'[1]خريطة الحسابات'!_xlnm.Print_Area,5,FALSE)))</f>
        <v xml:space="preserve">تكاليف العمليات </v>
      </c>
      <c r="O2326" s="84" t="s">
        <v>2357</v>
      </c>
      <c r="P2326" s="84" t="s">
        <v>1340</v>
      </c>
    </row>
    <row r="2327" spans="1:16">
      <c r="A2327" s="151">
        <v>70</v>
      </c>
      <c r="B2327" s="131">
        <v>46058</v>
      </c>
      <c r="C2327" s="150" t="s">
        <v>707</v>
      </c>
      <c r="D2327" s="140" t="str">
        <f>IF(ISERROR(VLOOKUP(C2327,'[1]خريطة الحسابات'!_xlnm.Print_Area,3,FALSE))," ",(VLOOKUP(C2327,'[1]خريطة الحسابات'!_xlnm.Print_Area,3,FALSE)))</f>
        <v>خامات ومصنعية أعمال السيراميك</v>
      </c>
      <c r="E2327" s="142"/>
      <c r="F2327" s="133">
        <v>1261</v>
      </c>
      <c r="G2327" s="133"/>
      <c r="H2327" s="134">
        <f t="shared" si="106"/>
        <v>1261</v>
      </c>
      <c r="I2327" s="134">
        <f t="shared" si="106"/>
        <v>0</v>
      </c>
      <c r="J2327" s="134">
        <f t="shared" si="105"/>
        <v>1261</v>
      </c>
      <c r="K2327" s="135"/>
      <c r="L2327" s="136" t="str">
        <f t="shared" si="107"/>
        <v>مدين</v>
      </c>
      <c r="M2327" s="137" t="str">
        <f>IF(ISERROR(VLOOKUP(C2327,'[1]خريطة الحسابات'!_xlnm.Print_Area,4,FALSE))," ",(VLOOKUP(C2327,'[1]خريطة الحسابات'!_xlnm.Print_Area,4,FALSE)))</f>
        <v>تكاليف مشروع اشرف الشروق 372</v>
      </c>
      <c r="N2327" s="138" t="str">
        <f>IF(ISERROR(VLOOKUP(C2327,'[1]خريطة الحسابات'!_xlnm.Print_Area,5,FALSE))," ",(VLOOKUP(C2327,'[1]خريطة الحسابات'!_xlnm.Print_Area,5,FALSE)))</f>
        <v xml:space="preserve">تكاليف العمليات </v>
      </c>
      <c r="O2327" s="84" t="s">
        <v>2358</v>
      </c>
      <c r="P2327" s="84" t="s">
        <v>1340</v>
      </c>
    </row>
    <row r="2328" spans="1:16">
      <c r="A2328" s="151">
        <v>70</v>
      </c>
      <c r="B2328" s="131">
        <v>46060</v>
      </c>
      <c r="C2328" s="150" t="s">
        <v>707</v>
      </c>
      <c r="D2328" s="140" t="str">
        <f>IF(ISERROR(VLOOKUP(C2328,'[1]خريطة الحسابات'!_xlnm.Print_Area,3,FALSE))," ",(VLOOKUP(C2328,'[1]خريطة الحسابات'!_xlnm.Print_Area,3,FALSE)))</f>
        <v>خامات ومصنعية أعمال السيراميك</v>
      </c>
      <c r="E2328" s="142"/>
      <c r="F2328" s="133">
        <v>600</v>
      </c>
      <c r="G2328" s="133"/>
      <c r="H2328" s="134">
        <f t="shared" si="106"/>
        <v>600</v>
      </c>
      <c r="I2328" s="134">
        <f t="shared" si="106"/>
        <v>0</v>
      </c>
      <c r="J2328" s="134">
        <f t="shared" ref="J2328:J2391" si="108">H2328-I2328</f>
        <v>600</v>
      </c>
      <c r="K2328" s="135"/>
      <c r="L2328" s="136" t="str">
        <f t="shared" si="107"/>
        <v>مدين</v>
      </c>
      <c r="M2328" s="137" t="str">
        <f>IF(ISERROR(VLOOKUP(C2328,'[1]خريطة الحسابات'!_xlnm.Print_Area,4,FALSE))," ",(VLOOKUP(C2328,'[1]خريطة الحسابات'!_xlnm.Print_Area,4,FALSE)))</f>
        <v>تكاليف مشروع اشرف الشروق 372</v>
      </c>
      <c r="N2328" s="138" t="str">
        <f>IF(ISERROR(VLOOKUP(C2328,'[1]خريطة الحسابات'!_xlnm.Print_Area,5,FALSE))," ",(VLOOKUP(C2328,'[1]خريطة الحسابات'!_xlnm.Print_Area,5,FALSE)))</f>
        <v xml:space="preserve">تكاليف العمليات </v>
      </c>
      <c r="O2328" s="84" t="s">
        <v>2359</v>
      </c>
      <c r="P2328" s="84" t="s">
        <v>1340</v>
      </c>
    </row>
    <row r="2329" spans="1:16">
      <c r="A2329" s="151">
        <v>70</v>
      </c>
      <c r="B2329" s="131">
        <v>46064</v>
      </c>
      <c r="C2329" s="150" t="s">
        <v>707</v>
      </c>
      <c r="D2329" s="140" t="str">
        <f>IF(ISERROR(VLOOKUP(C2329,'[1]خريطة الحسابات'!_xlnm.Print_Area,3,FALSE))," ",(VLOOKUP(C2329,'[1]خريطة الحسابات'!_xlnm.Print_Area,3,FALSE)))</f>
        <v>خامات ومصنعية أعمال السيراميك</v>
      </c>
      <c r="E2329" s="142"/>
      <c r="F2329" s="133">
        <v>6807</v>
      </c>
      <c r="G2329" s="133"/>
      <c r="H2329" s="134">
        <f t="shared" ref="H2329:I2392" si="109">IF($E2329=2,F2329*3.465,F2329)</f>
        <v>6807</v>
      </c>
      <c r="I2329" s="134">
        <f t="shared" si="109"/>
        <v>0</v>
      </c>
      <c r="J2329" s="134">
        <f t="shared" si="108"/>
        <v>6807</v>
      </c>
      <c r="K2329" s="135"/>
      <c r="L2329" s="136" t="str">
        <f t="shared" si="107"/>
        <v>مدين</v>
      </c>
      <c r="M2329" s="137" t="str">
        <f>IF(ISERROR(VLOOKUP(C2329,'[1]خريطة الحسابات'!_xlnm.Print_Area,4,FALSE))," ",(VLOOKUP(C2329,'[1]خريطة الحسابات'!_xlnm.Print_Area,4,FALSE)))</f>
        <v>تكاليف مشروع اشرف الشروق 372</v>
      </c>
      <c r="N2329" s="138" t="str">
        <f>IF(ISERROR(VLOOKUP(C2329,'[1]خريطة الحسابات'!_xlnm.Print_Area,5,FALSE))," ",(VLOOKUP(C2329,'[1]خريطة الحسابات'!_xlnm.Print_Area,5,FALSE)))</f>
        <v xml:space="preserve">تكاليف العمليات </v>
      </c>
      <c r="O2329" s="84" t="s">
        <v>2360</v>
      </c>
      <c r="P2329" s="84" t="s">
        <v>1340</v>
      </c>
    </row>
    <row r="2330" spans="1:16">
      <c r="A2330" s="151">
        <v>70</v>
      </c>
      <c r="B2330" s="131">
        <v>46070</v>
      </c>
      <c r="C2330" s="150" t="s">
        <v>707</v>
      </c>
      <c r="D2330" s="140" t="str">
        <f>IF(ISERROR(VLOOKUP(C2330,'[1]خريطة الحسابات'!_xlnm.Print_Area,3,FALSE))," ",(VLOOKUP(C2330,'[1]خريطة الحسابات'!_xlnm.Print_Area,3,FALSE)))</f>
        <v>خامات ومصنعية أعمال السيراميك</v>
      </c>
      <c r="E2330" s="142"/>
      <c r="F2330" s="133">
        <v>125</v>
      </c>
      <c r="G2330" s="133"/>
      <c r="H2330" s="134">
        <f t="shared" si="109"/>
        <v>125</v>
      </c>
      <c r="I2330" s="134">
        <f t="shared" si="109"/>
        <v>0</v>
      </c>
      <c r="J2330" s="134">
        <f t="shared" si="108"/>
        <v>125</v>
      </c>
      <c r="K2330" s="135"/>
      <c r="L2330" s="136" t="str">
        <f t="shared" si="107"/>
        <v>مدين</v>
      </c>
      <c r="M2330" s="137" t="str">
        <f>IF(ISERROR(VLOOKUP(C2330,'[1]خريطة الحسابات'!_xlnm.Print_Area,4,FALSE))," ",(VLOOKUP(C2330,'[1]خريطة الحسابات'!_xlnm.Print_Area,4,FALSE)))</f>
        <v>تكاليف مشروع اشرف الشروق 372</v>
      </c>
      <c r="N2330" s="138" t="str">
        <f>IF(ISERROR(VLOOKUP(C2330,'[1]خريطة الحسابات'!_xlnm.Print_Area,5,FALSE))," ",(VLOOKUP(C2330,'[1]خريطة الحسابات'!_xlnm.Print_Area,5,FALSE)))</f>
        <v xml:space="preserve">تكاليف العمليات </v>
      </c>
      <c r="O2330" s="84" t="s">
        <v>2361</v>
      </c>
      <c r="P2330" s="84" t="s">
        <v>1340</v>
      </c>
    </row>
    <row r="2331" spans="1:16">
      <c r="A2331" s="151">
        <v>70</v>
      </c>
      <c r="B2331" s="131">
        <v>46070</v>
      </c>
      <c r="C2331" s="150" t="s">
        <v>707</v>
      </c>
      <c r="D2331" s="140" t="str">
        <f>IF(ISERROR(VLOOKUP(C2331,'[1]خريطة الحسابات'!_xlnm.Print_Area,3,FALSE))," ",(VLOOKUP(C2331,'[1]خريطة الحسابات'!_xlnm.Print_Area,3,FALSE)))</f>
        <v>خامات ومصنعية أعمال السيراميك</v>
      </c>
      <c r="E2331" s="142"/>
      <c r="F2331" s="133">
        <v>2750</v>
      </c>
      <c r="G2331" s="133"/>
      <c r="H2331" s="134">
        <f t="shared" si="109"/>
        <v>2750</v>
      </c>
      <c r="I2331" s="134">
        <f t="shared" si="109"/>
        <v>0</v>
      </c>
      <c r="J2331" s="134">
        <f t="shared" si="108"/>
        <v>2750</v>
      </c>
      <c r="K2331" s="135"/>
      <c r="L2331" s="136" t="str">
        <f t="shared" ref="L2331:L2394" si="110">IF(J2331&lt;0,"دائن",IF(J2331&gt;0,"مدين",""))</f>
        <v>مدين</v>
      </c>
      <c r="M2331" s="137" t="str">
        <f>IF(ISERROR(VLOOKUP(C2331,'[1]خريطة الحسابات'!_xlnm.Print_Area,4,FALSE))," ",(VLOOKUP(C2331,'[1]خريطة الحسابات'!_xlnm.Print_Area,4,FALSE)))</f>
        <v>تكاليف مشروع اشرف الشروق 372</v>
      </c>
      <c r="N2331" s="138" t="str">
        <f>IF(ISERROR(VLOOKUP(C2331,'[1]خريطة الحسابات'!_xlnm.Print_Area,5,FALSE))," ",(VLOOKUP(C2331,'[1]خريطة الحسابات'!_xlnm.Print_Area,5,FALSE)))</f>
        <v xml:space="preserve">تكاليف العمليات </v>
      </c>
      <c r="O2331" s="84" t="s">
        <v>2362</v>
      </c>
      <c r="P2331" s="84" t="s">
        <v>1340</v>
      </c>
    </row>
    <row r="2332" spans="1:16">
      <c r="A2332" s="151">
        <v>70</v>
      </c>
      <c r="B2332" s="131">
        <v>46079</v>
      </c>
      <c r="C2332" s="150" t="s">
        <v>707</v>
      </c>
      <c r="D2332" s="140" t="str">
        <f>IF(ISERROR(VLOOKUP(C2332,'[1]خريطة الحسابات'!_xlnm.Print_Area,3,FALSE))," ",(VLOOKUP(C2332,'[1]خريطة الحسابات'!_xlnm.Print_Area,3,FALSE)))</f>
        <v>خامات ومصنعية أعمال السيراميك</v>
      </c>
      <c r="E2332" s="142"/>
      <c r="F2332" s="133">
        <v>11235</v>
      </c>
      <c r="G2332" s="133"/>
      <c r="H2332" s="134">
        <f t="shared" si="109"/>
        <v>11235</v>
      </c>
      <c r="I2332" s="134">
        <f t="shared" si="109"/>
        <v>0</v>
      </c>
      <c r="J2332" s="134">
        <f t="shared" si="108"/>
        <v>11235</v>
      </c>
      <c r="K2332" s="135"/>
      <c r="L2332" s="136" t="str">
        <f t="shared" si="110"/>
        <v>مدين</v>
      </c>
      <c r="M2332" s="137" t="str">
        <f>IF(ISERROR(VLOOKUP(C2332,'[1]خريطة الحسابات'!_xlnm.Print_Area,4,FALSE))," ",(VLOOKUP(C2332,'[1]خريطة الحسابات'!_xlnm.Print_Area,4,FALSE)))</f>
        <v>تكاليف مشروع اشرف الشروق 372</v>
      </c>
      <c r="N2332" s="138" t="str">
        <f>IF(ISERROR(VLOOKUP(C2332,'[1]خريطة الحسابات'!_xlnm.Print_Area,5,FALSE))," ",(VLOOKUP(C2332,'[1]خريطة الحسابات'!_xlnm.Print_Area,5,FALSE)))</f>
        <v xml:space="preserve">تكاليف العمليات </v>
      </c>
      <c r="O2332" s="84" t="s">
        <v>2363</v>
      </c>
      <c r="P2332" s="84" t="s">
        <v>1340</v>
      </c>
    </row>
    <row r="2333" spans="1:16">
      <c r="A2333" s="151">
        <v>70</v>
      </c>
      <c r="B2333" s="131">
        <v>46081</v>
      </c>
      <c r="C2333" s="150" t="s">
        <v>707</v>
      </c>
      <c r="D2333" s="140" t="str">
        <f>IF(ISERROR(VLOOKUP(C2333,'[1]خريطة الحسابات'!_xlnm.Print_Area,3,FALSE))," ",(VLOOKUP(C2333,'[1]خريطة الحسابات'!_xlnm.Print_Area,3,FALSE)))</f>
        <v>خامات ومصنعية أعمال السيراميك</v>
      </c>
      <c r="E2333" s="142"/>
      <c r="F2333" s="133">
        <v>4571</v>
      </c>
      <c r="G2333" s="133"/>
      <c r="H2333" s="134">
        <f t="shared" si="109"/>
        <v>4571</v>
      </c>
      <c r="I2333" s="134">
        <f t="shared" si="109"/>
        <v>0</v>
      </c>
      <c r="J2333" s="134">
        <f t="shared" si="108"/>
        <v>4571</v>
      </c>
      <c r="K2333" s="135"/>
      <c r="L2333" s="136" t="str">
        <f t="shared" si="110"/>
        <v>مدين</v>
      </c>
      <c r="M2333" s="137" t="str">
        <f>IF(ISERROR(VLOOKUP(C2333,'[1]خريطة الحسابات'!_xlnm.Print_Area,4,FALSE))," ",(VLOOKUP(C2333,'[1]خريطة الحسابات'!_xlnm.Print_Area,4,FALSE)))</f>
        <v>تكاليف مشروع اشرف الشروق 372</v>
      </c>
      <c r="N2333" s="138" t="str">
        <f>IF(ISERROR(VLOOKUP(C2333,'[1]خريطة الحسابات'!_xlnm.Print_Area,5,FALSE))," ",(VLOOKUP(C2333,'[1]خريطة الحسابات'!_xlnm.Print_Area,5,FALSE)))</f>
        <v xml:space="preserve">تكاليف العمليات </v>
      </c>
      <c r="O2333" s="84" t="s">
        <v>2364</v>
      </c>
      <c r="P2333" s="84" t="s">
        <v>1340</v>
      </c>
    </row>
    <row r="2334" spans="1:16">
      <c r="A2334" s="151">
        <v>70</v>
      </c>
      <c r="B2334" s="131">
        <v>46086</v>
      </c>
      <c r="C2334" s="150" t="s">
        <v>707</v>
      </c>
      <c r="D2334" s="140" t="str">
        <f>IF(ISERROR(VLOOKUP(C2334,'[1]خريطة الحسابات'!_xlnm.Print_Area,3,FALSE))," ",(VLOOKUP(C2334,'[1]خريطة الحسابات'!_xlnm.Print_Area,3,FALSE)))</f>
        <v>خامات ومصنعية أعمال السيراميك</v>
      </c>
      <c r="E2334" s="142"/>
      <c r="F2334" s="133">
        <v>3603</v>
      </c>
      <c r="G2334" s="133"/>
      <c r="H2334" s="134">
        <f t="shared" si="109"/>
        <v>3603</v>
      </c>
      <c r="I2334" s="134">
        <f t="shared" si="109"/>
        <v>0</v>
      </c>
      <c r="J2334" s="134">
        <f t="shared" si="108"/>
        <v>3603</v>
      </c>
      <c r="K2334" s="135"/>
      <c r="L2334" s="136" t="str">
        <f t="shared" si="110"/>
        <v>مدين</v>
      </c>
      <c r="M2334" s="137" t="str">
        <f>IF(ISERROR(VLOOKUP(C2334,'[1]خريطة الحسابات'!_xlnm.Print_Area,4,FALSE))," ",(VLOOKUP(C2334,'[1]خريطة الحسابات'!_xlnm.Print_Area,4,FALSE)))</f>
        <v>تكاليف مشروع اشرف الشروق 372</v>
      </c>
      <c r="N2334" s="138" t="str">
        <f>IF(ISERROR(VLOOKUP(C2334,'[1]خريطة الحسابات'!_xlnm.Print_Area,5,FALSE))," ",(VLOOKUP(C2334,'[1]خريطة الحسابات'!_xlnm.Print_Area,5,FALSE)))</f>
        <v xml:space="preserve">تكاليف العمليات </v>
      </c>
      <c r="O2334" s="84" t="s">
        <v>2365</v>
      </c>
      <c r="P2334" s="84" t="s">
        <v>1340</v>
      </c>
    </row>
    <row r="2335" spans="1:16">
      <c r="A2335" s="151">
        <v>70</v>
      </c>
      <c r="B2335" s="131">
        <v>46051</v>
      </c>
      <c r="C2335" s="150" t="s">
        <v>637</v>
      </c>
      <c r="D2335" s="140" t="str">
        <f>IF(ISERROR(VLOOKUP(C2335,'[1]خريطة الحسابات'!_xlnm.Print_Area,3,FALSE))," ",(VLOOKUP(C2335,'[1]خريطة الحسابات'!_xlnm.Print_Area,3,FALSE)))</f>
        <v>خامات ومصنعية أعمال السيراميك</v>
      </c>
      <c r="E2335" s="142"/>
      <c r="F2335" s="133">
        <v>1075</v>
      </c>
      <c r="G2335" s="133"/>
      <c r="H2335" s="134">
        <f t="shared" si="109"/>
        <v>1075</v>
      </c>
      <c r="I2335" s="134">
        <f t="shared" si="109"/>
        <v>0</v>
      </c>
      <c r="J2335" s="134">
        <f t="shared" si="108"/>
        <v>1075</v>
      </c>
      <c r="K2335" s="135"/>
      <c r="L2335" s="136" t="str">
        <f t="shared" si="110"/>
        <v>مدين</v>
      </c>
      <c r="M2335" s="137" t="str">
        <f>IF(ISERROR(VLOOKUP(C2335,'[1]خريطة الحسابات'!_xlnm.Print_Area,4,FALSE))," ",(VLOOKUP(C2335,'[1]خريطة الحسابات'!_xlnm.Print_Area,4,FALSE)))</f>
        <v>تكاليف مشروع الاندلس 364</v>
      </c>
      <c r="N2335" s="138" t="str">
        <f>IF(ISERROR(VLOOKUP(C2335,'[1]خريطة الحسابات'!_xlnm.Print_Area,5,FALSE))," ",(VLOOKUP(C2335,'[1]خريطة الحسابات'!_xlnm.Print_Area,5,FALSE)))</f>
        <v xml:space="preserve">تكاليف العمليات </v>
      </c>
      <c r="O2335" s="84" t="s">
        <v>2366</v>
      </c>
      <c r="P2335" s="84" t="s">
        <v>1299</v>
      </c>
    </row>
    <row r="2336" spans="1:16">
      <c r="A2336" s="151">
        <v>70</v>
      </c>
      <c r="B2336" s="131">
        <v>46051</v>
      </c>
      <c r="C2336" s="150" t="s">
        <v>637</v>
      </c>
      <c r="D2336" s="140" t="str">
        <f>IF(ISERROR(VLOOKUP(C2336,'[1]خريطة الحسابات'!_xlnm.Print_Area,3,FALSE))," ",(VLOOKUP(C2336,'[1]خريطة الحسابات'!_xlnm.Print_Area,3,FALSE)))</f>
        <v>خامات ومصنعية أعمال السيراميك</v>
      </c>
      <c r="E2336" s="142"/>
      <c r="F2336" s="133">
        <v>900</v>
      </c>
      <c r="G2336" s="133"/>
      <c r="H2336" s="134">
        <f t="shared" si="109"/>
        <v>900</v>
      </c>
      <c r="I2336" s="134">
        <f t="shared" si="109"/>
        <v>0</v>
      </c>
      <c r="J2336" s="134">
        <f t="shared" si="108"/>
        <v>900</v>
      </c>
      <c r="K2336" s="135"/>
      <c r="L2336" s="136" t="str">
        <f t="shared" si="110"/>
        <v>مدين</v>
      </c>
      <c r="M2336" s="137" t="str">
        <f>IF(ISERROR(VLOOKUP(C2336,'[1]خريطة الحسابات'!_xlnm.Print_Area,4,FALSE))," ",(VLOOKUP(C2336,'[1]خريطة الحسابات'!_xlnm.Print_Area,4,FALSE)))</f>
        <v>تكاليف مشروع الاندلس 364</v>
      </c>
      <c r="N2336" s="138" t="str">
        <f>IF(ISERROR(VLOOKUP(C2336,'[1]خريطة الحسابات'!_xlnm.Print_Area,5,FALSE))," ",(VLOOKUP(C2336,'[1]خريطة الحسابات'!_xlnm.Print_Area,5,FALSE)))</f>
        <v xml:space="preserve">تكاليف العمليات </v>
      </c>
      <c r="O2336" s="84" t="s">
        <v>2367</v>
      </c>
      <c r="P2336" s="84" t="s">
        <v>1299</v>
      </c>
    </row>
    <row r="2337" spans="1:16">
      <c r="A2337" s="151">
        <v>70</v>
      </c>
      <c r="B2337" s="131">
        <v>46030</v>
      </c>
      <c r="C2337" s="150" t="s">
        <v>182</v>
      </c>
      <c r="D2337" s="140" t="str">
        <f>IF(ISERROR(VLOOKUP(C2337,'[1]خريطة الحسابات'!_xlnm.Print_Area,3,FALSE))," ",(VLOOKUP(C2337,'[1]خريطة الحسابات'!_xlnm.Print_Area,3,FALSE)))</f>
        <v>خامات ومصنعية أعمال السيراميك</v>
      </c>
      <c r="E2337" s="142"/>
      <c r="F2337" s="133">
        <v>651</v>
      </c>
      <c r="G2337" s="133"/>
      <c r="H2337" s="134">
        <f t="shared" si="109"/>
        <v>651</v>
      </c>
      <c r="I2337" s="134">
        <f t="shared" si="109"/>
        <v>0</v>
      </c>
      <c r="J2337" s="134">
        <f t="shared" si="108"/>
        <v>651</v>
      </c>
      <c r="K2337" s="135"/>
      <c r="L2337" s="136" t="str">
        <f t="shared" si="110"/>
        <v>مدين</v>
      </c>
      <c r="M2337" s="137" t="str">
        <f>IF(ISERROR(VLOOKUP(C2337,'[1]خريطة الحسابات'!_xlnm.Print_Area,4,FALSE))," ",(VLOOKUP(C2337,'[1]خريطة الحسابات'!_xlnm.Print_Area,4,FALSE)))</f>
        <v>تكاليف مشروع الباتيو 235</v>
      </c>
      <c r="N2337" s="138" t="str">
        <f>IF(ISERROR(VLOOKUP(C2337,'[1]خريطة الحسابات'!_xlnm.Print_Area,5,FALSE))," ",(VLOOKUP(C2337,'[1]خريطة الحسابات'!_xlnm.Print_Area,5,FALSE)))</f>
        <v xml:space="preserve">تكاليف العمليات </v>
      </c>
      <c r="O2337" s="84" t="s">
        <v>2368</v>
      </c>
      <c r="P2337" s="84" t="s">
        <v>1304</v>
      </c>
    </row>
    <row r="2338" spans="1:16">
      <c r="A2338" s="151">
        <v>70</v>
      </c>
      <c r="B2338" s="131">
        <v>46051</v>
      </c>
      <c r="C2338" s="150" t="s">
        <v>322</v>
      </c>
      <c r="D2338" s="140" t="str">
        <f>IF(ISERROR(VLOOKUP(C2338,'[1]خريطة الحسابات'!_xlnm.Print_Area,3,FALSE))," ",(VLOOKUP(C2338,'[1]خريطة الحسابات'!_xlnm.Print_Area,3,FALSE)))</f>
        <v>خامات ومصنعية أعمال السيراميك</v>
      </c>
      <c r="E2338" s="142"/>
      <c r="F2338" s="133">
        <v>2703</v>
      </c>
      <c r="G2338" s="133"/>
      <c r="H2338" s="134">
        <f t="shared" si="109"/>
        <v>2703</v>
      </c>
      <c r="I2338" s="134">
        <f t="shared" si="109"/>
        <v>0</v>
      </c>
      <c r="J2338" s="134">
        <f t="shared" si="108"/>
        <v>2703</v>
      </c>
      <c r="K2338" s="135"/>
      <c r="L2338" s="136" t="str">
        <f t="shared" si="110"/>
        <v>مدين</v>
      </c>
      <c r="M2338" s="137" t="str">
        <f>IF(ISERROR(VLOOKUP(C2338,'[1]خريطة الحسابات'!_xlnm.Print_Area,4,FALSE))," ",(VLOOKUP(C2338,'[1]خريطة الحسابات'!_xlnm.Print_Area,4,FALSE)))</f>
        <v>تكاليف مشروع العبور 306</v>
      </c>
      <c r="N2338" s="138" t="str">
        <f>IF(ISERROR(VLOOKUP(C2338,'[1]خريطة الحسابات'!_xlnm.Print_Area,5,FALSE))," ",(VLOOKUP(C2338,'[1]خريطة الحسابات'!_xlnm.Print_Area,5,FALSE)))</f>
        <v xml:space="preserve">تكاليف العمليات </v>
      </c>
      <c r="O2338" s="84" t="s">
        <v>2369</v>
      </c>
      <c r="P2338" s="84" t="s">
        <v>1292</v>
      </c>
    </row>
    <row r="2339" spans="1:16">
      <c r="A2339" s="151">
        <v>70</v>
      </c>
      <c r="B2339" s="131">
        <v>46051</v>
      </c>
      <c r="C2339" s="150" t="s">
        <v>322</v>
      </c>
      <c r="D2339" s="140" t="str">
        <f>IF(ISERROR(VLOOKUP(C2339,'[1]خريطة الحسابات'!_xlnm.Print_Area,3,FALSE))," ",(VLOOKUP(C2339,'[1]خريطة الحسابات'!_xlnm.Print_Area,3,FALSE)))</f>
        <v>خامات ومصنعية أعمال السيراميك</v>
      </c>
      <c r="E2339" s="142"/>
      <c r="F2339" s="133">
        <v>25740</v>
      </c>
      <c r="G2339" s="133"/>
      <c r="H2339" s="134">
        <f t="shared" si="109"/>
        <v>25740</v>
      </c>
      <c r="I2339" s="134">
        <f t="shared" si="109"/>
        <v>0</v>
      </c>
      <c r="J2339" s="134">
        <f t="shared" si="108"/>
        <v>25740</v>
      </c>
      <c r="K2339" s="135"/>
      <c r="L2339" s="136" t="str">
        <f t="shared" si="110"/>
        <v>مدين</v>
      </c>
      <c r="M2339" s="137" t="str">
        <f>IF(ISERROR(VLOOKUP(C2339,'[1]خريطة الحسابات'!_xlnm.Print_Area,4,FALSE))," ",(VLOOKUP(C2339,'[1]خريطة الحسابات'!_xlnm.Print_Area,4,FALSE)))</f>
        <v>تكاليف مشروع العبور 306</v>
      </c>
      <c r="N2339" s="138" t="str">
        <f>IF(ISERROR(VLOOKUP(C2339,'[1]خريطة الحسابات'!_xlnm.Print_Area,5,FALSE))," ",(VLOOKUP(C2339,'[1]خريطة الحسابات'!_xlnm.Print_Area,5,FALSE)))</f>
        <v xml:space="preserve">تكاليف العمليات </v>
      </c>
      <c r="O2339" s="84" t="s">
        <v>2370</v>
      </c>
      <c r="P2339" s="84" t="s">
        <v>1292</v>
      </c>
    </row>
    <row r="2340" spans="1:16">
      <c r="A2340" s="151">
        <v>70</v>
      </c>
      <c r="B2340" s="131">
        <v>46078</v>
      </c>
      <c r="C2340" s="150" t="s">
        <v>322</v>
      </c>
      <c r="D2340" s="140" t="str">
        <f>IF(ISERROR(VLOOKUP(C2340,'[1]خريطة الحسابات'!_xlnm.Print_Area,3,FALSE))," ",(VLOOKUP(C2340,'[1]خريطة الحسابات'!_xlnm.Print_Area,3,FALSE)))</f>
        <v>خامات ومصنعية أعمال السيراميك</v>
      </c>
      <c r="E2340" s="142"/>
      <c r="F2340" s="133">
        <v>2200</v>
      </c>
      <c r="G2340" s="133"/>
      <c r="H2340" s="134">
        <f t="shared" si="109"/>
        <v>2200</v>
      </c>
      <c r="I2340" s="134">
        <f t="shared" si="109"/>
        <v>0</v>
      </c>
      <c r="J2340" s="134">
        <f t="shared" si="108"/>
        <v>2200</v>
      </c>
      <c r="K2340" s="135"/>
      <c r="L2340" s="136" t="str">
        <f t="shared" si="110"/>
        <v>مدين</v>
      </c>
      <c r="M2340" s="137" t="str">
        <f>IF(ISERROR(VLOOKUP(C2340,'[1]خريطة الحسابات'!_xlnm.Print_Area,4,FALSE))," ",(VLOOKUP(C2340,'[1]خريطة الحسابات'!_xlnm.Print_Area,4,FALSE)))</f>
        <v>تكاليف مشروع العبور 306</v>
      </c>
      <c r="N2340" s="138" t="str">
        <f>IF(ISERROR(VLOOKUP(C2340,'[1]خريطة الحسابات'!_xlnm.Print_Area,5,FALSE))," ",(VLOOKUP(C2340,'[1]خريطة الحسابات'!_xlnm.Print_Area,5,FALSE)))</f>
        <v xml:space="preserve">تكاليف العمليات </v>
      </c>
      <c r="O2340" s="84" t="s">
        <v>2371</v>
      </c>
      <c r="P2340" s="84" t="s">
        <v>1292</v>
      </c>
    </row>
    <row r="2341" spans="1:16">
      <c r="A2341" s="151">
        <v>70</v>
      </c>
      <c r="B2341" s="131">
        <v>46093</v>
      </c>
      <c r="C2341" s="150" t="s">
        <v>322</v>
      </c>
      <c r="D2341" s="140" t="str">
        <f>IF(ISERROR(VLOOKUP(C2341,'[1]خريطة الحسابات'!_xlnm.Print_Area,3,FALSE))," ",(VLOOKUP(C2341,'[1]خريطة الحسابات'!_xlnm.Print_Area,3,FALSE)))</f>
        <v>خامات ومصنعية أعمال السيراميك</v>
      </c>
      <c r="E2341" s="142"/>
      <c r="F2341" s="133">
        <v>300</v>
      </c>
      <c r="G2341" s="133"/>
      <c r="H2341" s="134">
        <f t="shared" si="109"/>
        <v>300</v>
      </c>
      <c r="I2341" s="134">
        <f t="shared" si="109"/>
        <v>0</v>
      </c>
      <c r="J2341" s="134">
        <f t="shared" si="108"/>
        <v>300</v>
      </c>
      <c r="K2341" s="135"/>
      <c r="L2341" s="136" t="str">
        <f t="shared" si="110"/>
        <v>مدين</v>
      </c>
      <c r="M2341" s="137" t="str">
        <f>IF(ISERROR(VLOOKUP(C2341,'[1]خريطة الحسابات'!_xlnm.Print_Area,4,FALSE))," ",(VLOOKUP(C2341,'[1]خريطة الحسابات'!_xlnm.Print_Area,4,FALSE)))</f>
        <v>تكاليف مشروع العبور 306</v>
      </c>
      <c r="N2341" s="138" t="str">
        <f>IF(ISERROR(VLOOKUP(C2341,'[1]خريطة الحسابات'!_xlnm.Print_Area,5,FALSE))," ",(VLOOKUP(C2341,'[1]خريطة الحسابات'!_xlnm.Print_Area,5,FALSE)))</f>
        <v xml:space="preserve">تكاليف العمليات </v>
      </c>
      <c r="O2341" s="84" t="s">
        <v>2372</v>
      </c>
      <c r="P2341" s="84" t="s">
        <v>1292</v>
      </c>
    </row>
    <row r="2342" spans="1:16">
      <c r="A2342" s="151">
        <v>70</v>
      </c>
      <c r="B2342" s="131">
        <v>46051</v>
      </c>
      <c r="C2342" s="150" t="s">
        <v>602</v>
      </c>
      <c r="D2342" s="140" t="str">
        <f>IF(ISERROR(VLOOKUP(C2342,'[1]خريطة الحسابات'!_xlnm.Print_Area,3,FALSE))," ",(VLOOKUP(C2342,'[1]خريطة الحسابات'!_xlnm.Print_Area,3,FALSE)))</f>
        <v>خامات ومصنعية أعمال السيراميك</v>
      </c>
      <c r="E2342" s="142"/>
      <c r="F2342" s="133">
        <v>800</v>
      </c>
      <c r="G2342" s="133"/>
      <c r="H2342" s="134">
        <f t="shared" si="109"/>
        <v>800</v>
      </c>
      <c r="I2342" s="134">
        <f t="shared" si="109"/>
        <v>0</v>
      </c>
      <c r="J2342" s="134">
        <f t="shared" si="108"/>
        <v>800</v>
      </c>
      <c r="K2342" s="135"/>
      <c r="L2342" s="136" t="str">
        <f t="shared" si="110"/>
        <v>مدين</v>
      </c>
      <c r="M2342" s="137" t="str">
        <f>IF(ISERROR(VLOOKUP(C2342,'[1]خريطة الحسابات'!_xlnm.Print_Area,4,FALSE))," ",(VLOOKUP(C2342,'[1]خريطة الحسابات'!_xlnm.Print_Area,4,FALSE)))</f>
        <v>تكاليف مشروع اللوتس 361</v>
      </c>
      <c r="N2342" s="138" t="str">
        <f>IF(ISERROR(VLOOKUP(C2342,'[1]خريطة الحسابات'!_xlnm.Print_Area,5,FALSE))," ",(VLOOKUP(C2342,'[1]خريطة الحسابات'!_xlnm.Print_Area,5,FALSE)))</f>
        <v xml:space="preserve">تكاليف العمليات </v>
      </c>
      <c r="O2342" s="84" t="s">
        <v>2373</v>
      </c>
      <c r="P2342" s="84" t="s">
        <v>1295</v>
      </c>
    </row>
    <row r="2343" spans="1:16">
      <c r="A2343" s="151">
        <v>70</v>
      </c>
      <c r="B2343" s="131">
        <v>46058</v>
      </c>
      <c r="C2343" s="150" t="s">
        <v>427</v>
      </c>
      <c r="D2343" s="140" t="str">
        <f>IF(ISERROR(VLOOKUP(C2343,'[1]خريطة الحسابات'!_xlnm.Print_Area,3,FALSE))," ",(VLOOKUP(C2343,'[1]خريطة الحسابات'!_xlnm.Print_Area,3,FALSE)))</f>
        <v>خامات ومصنعية أعمال السيراميك</v>
      </c>
      <c r="E2343" s="142"/>
      <c r="F2343" s="133">
        <v>305</v>
      </c>
      <c r="G2343" s="133"/>
      <c r="H2343" s="134">
        <f t="shared" si="109"/>
        <v>305</v>
      </c>
      <c r="I2343" s="134">
        <f t="shared" si="109"/>
        <v>0</v>
      </c>
      <c r="J2343" s="134">
        <f t="shared" si="108"/>
        <v>305</v>
      </c>
      <c r="K2343" s="135"/>
      <c r="L2343" s="136" t="str">
        <f t="shared" si="110"/>
        <v>مدين</v>
      </c>
      <c r="M2343" s="137" t="str">
        <f>IF(ISERROR(VLOOKUP(C2343,'[1]خريطة الحسابات'!_xlnm.Print_Area,4,FALSE))," ",(VLOOKUP(C2343,'[1]خريطة الحسابات'!_xlnm.Print_Area,4,FALSE)))</f>
        <v>345 تكاليف مشروع بالم هيلز</v>
      </c>
      <c r="N2343" s="138" t="str">
        <f>IF(ISERROR(VLOOKUP(C2343,'[1]خريطة الحسابات'!_xlnm.Print_Area,5,FALSE))," ",(VLOOKUP(C2343,'[1]خريطة الحسابات'!_xlnm.Print_Area,5,FALSE)))</f>
        <v xml:space="preserve">تكاليف العمليات </v>
      </c>
      <c r="O2343" s="84" t="s">
        <v>2374</v>
      </c>
      <c r="P2343" s="84" t="s">
        <v>1327</v>
      </c>
    </row>
    <row r="2344" spans="1:16">
      <c r="A2344" s="151">
        <v>70</v>
      </c>
      <c r="B2344" s="131">
        <v>46117</v>
      </c>
      <c r="C2344" s="150" t="s">
        <v>427</v>
      </c>
      <c r="D2344" s="140" t="str">
        <f>IF(ISERROR(VLOOKUP(C2344,'[1]خريطة الحسابات'!_xlnm.Print_Area,3,FALSE))," ",(VLOOKUP(C2344,'[1]خريطة الحسابات'!_xlnm.Print_Area,3,FALSE)))</f>
        <v>خامات ومصنعية أعمال السيراميك</v>
      </c>
      <c r="E2344" s="142"/>
      <c r="F2344" s="133">
        <v>785</v>
      </c>
      <c r="G2344" s="133"/>
      <c r="H2344" s="134">
        <f t="shared" si="109"/>
        <v>785</v>
      </c>
      <c r="I2344" s="134">
        <f t="shared" si="109"/>
        <v>0</v>
      </c>
      <c r="J2344" s="134">
        <f t="shared" si="108"/>
        <v>785</v>
      </c>
      <c r="K2344" s="135"/>
      <c r="L2344" s="136" t="str">
        <f t="shared" si="110"/>
        <v>مدين</v>
      </c>
      <c r="M2344" s="137" t="str">
        <f>IF(ISERROR(VLOOKUP(C2344,'[1]خريطة الحسابات'!_xlnm.Print_Area,4,FALSE))," ",(VLOOKUP(C2344,'[1]خريطة الحسابات'!_xlnm.Print_Area,4,FALSE)))</f>
        <v>345 تكاليف مشروع بالم هيلز</v>
      </c>
      <c r="N2344" s="138" t="str">
        <f>IF(ISERROR(VLOOKUP(C2344,'[1]خريطة الحسابات'!_xlnm.Print_Area,5,FALSE))," ",(VLOOKUP(C2344,'[1]خريطة الحسابات'!_xlnm.Print_Area,5,FALSE)))</f>
        <v xml:space="preserve">تكاليف العمليات </v>
      </c>
      <c r="O2344" s="84" t="s">
        <v>2375</v>
      </c>
      <c r="P2344" s="84" t="s">
        <v>1327</v>
      </c>
    </row>
    <row r="2345" spans="1:16">
      <c r="A2345" s="151">
        <v>70</v>
      </c>
      <c r="B2345" s="131">
        <v>46084</v>
      </c>
      <c r="C2345" s="150" t="s">
        <v>147</v>
      </c>
      <c r="D2345" s="140" t="str">
        <f>IF(ISERROR(VLOOKUP(C2345,'[1]خريطة الحسابات'!_xlnm.Print_Area,3,FALSE))," ",(VLOOKUP(C2345,'[1]خريطة الحسابات'!_xlnm.Print_Area,3,FALSE)))</f>
        <v>خامات ومصنعية أعمال السيراميك</v>
      </c>
      <c r="E2345" s="142"/>
      <c r="F2345" s="133">
        <v>1115</v>
      </c>
      <c r="G2345" s="133"/>
      <c r="H2345" s="134">
        <f t="shared" si="109"/>
        <v>1115</v>
      </c>
      <c r="I2345" s="134">
        <f t="shared" si="109"/>
        <v>0</v>
      </c>
      <c r="J2345" s="134">
        <f t="shared" si="108"/>
        <v>1115</v>
      </c>
      <c r="K2345" s="135"/>
      <c r="L2345" s="136" t="str">
        <f t="shared" si="110"/>
        <v>مدين</v>
      </c>
      <c r="M2345" s="137" t="str">
        <f>IF(ISERROR(VLOOKUP(C2345,'[1]خريطة الحسابات'!_xlnm.Print_Area,4,FALSE))," ",(VLOOKUP(C2345,'[1]خريطة الحسابات'!_xlnm.Print_Area,4,FALSE)))</f>
        <v>تكاليف مشروع بيت الوطن  149</v>
      </c>
      <c r="N2345" s="138" t="str">
        <f>IF(ISERROR(VLOOKUP(C2345,'[1]خريطة الحسابات'!_xlnm.Print_Area,5,FALSE))," ",(VLOOKUP(C2345,'[1]خريطة الحسابات'!_xlnm.Print_Area,5,FALSE)))</f>
        <v xml:space="preserve">تكاليف العمليات </v>
      </c>
      <c r="O2345" s="84" t="s">
        <v>2376</v>
      </c>
      <c r="P2345" s="84" t="s">
        <v>1336</v>
      </c>
    </row>
    <row r="2346" spans="1:16">
      <c r="A2346" s="151">
        <v>70</v>
      </c>
      <c r="B2346" s="131">
        <v>46093</v>
      </c>
      <c r="C2346" s="150" t="s">
        <v>147</v>
      </c>
      <c r="D2346" s="140" t="str">
        <f>IF(ISERROR(VLOOKUP(C2346,'[1]خريطة الحسابات'!_xlnm.Print_Area,3,FALSE))," ",(VLOOKUP(C2346,'[1]خريطة الحسابات'!_xlnm.Print_Area,3,FALSE)))</f>
        <v>خامات ومصنعية أعمال السيراميك</v>
      </c>
      <c r="E2346" s="142"/>
      <c r="F2346" s="133">
        <v>250</v>
      </c>
      <c r="G2346" s="133"/>
      <c r="H2346" s="134">
        <f t="shared" si="109"/>
        <v>250</v>
      </c>
      <c r="I2346" s="134">
        <f t="shared" si="109"/>
        <v>0</v>
      </c>
      <c r="J2346" s="134">
        <f t="shared" si="108"/>
        <v>250</v>
      </c>
      <c r="K2346" s="135"/>
      <c r="L2346" s="136" t="str">
        <f t="shared" si="110"/>
        <v>مدين</v>
      </c>
      <c r="M2346" s="137" t="str">
        <f>IF(ISERROR(VLOOKUP(C2346,'[1]خريطة الحسابات'!_xlnm.Print_Area,4,FALSE))," ",(VLOOKUP(C2346,'[1]خريطة الحسابات'!_xlnm.Print_Area,4,FALSE)))</f>
        <v>تكاليف مشروع بيت الوطن  149</v>
      </c>
      <c r="N2346" s="138" t="str">
        <f>IF(ISERROR(VLOOKUP(C2346,'[1]خريطة الحسابات'!_xlnm.Print_Area,5,FALSE))," ",(VLOOKUP(C2346,'[1]خريطة الحسابات'!_xlnm.Print_Area,5,FALSE)))</f>
        <v xml:space="preserve">تكاليف العمليات </v>
      </c>
      <c r="O2346" s="84" t="s">
        <v>2377</v>
      </c>
      <c r="P2346" s="84" t="s">
        <v>1336</v>
      </c>
    </row>
    <row r="2347" spans="1:16">
      <c r="A2347" s="151">
        <v>70</v>
      </c>
      <c r="B2347" s="131">
        <v>46132</v>
      </c>
      <c r="C2347" s="150" t="s">
        <v>147</v>
      </c>
      <c r="D2347" s="140" t="str">
        <f>IF(ISERROR(VLOOKUP(C2347,'[1]خريطة الحسابات'!_xlnm.Print_Area,3,FALSE))," ",(VLOOKUP(C2347,'[1]خريطة الحسابات'!_xlnm.Print_Area,3,FALSE)))</f>
        <v>خامات ومصنعية أعمال السيراميك</v>
      </c>
      <c r="E2347" s="142"/>
      <c r="F2347" s="133">
        <v>235</v>
      </c>
      <c r="G2347" s="133"/>
      <c r="H2347" s="134">
        <f t="shared" si="109"/>
        <v>235</v>
      </c>
      <c r="I2347" s="134">
        <f t="shared" si="109"/>
        <v>0</v>
      </c>
      <c r="J2347" s="134">
        <f t="shared" si="108"/>
        <v>235</v>
      </c>
      <c r="K2347" s="135"/>
      <c r="L2347" s="136" t="str">
        <f t="shared" si="110"/>
        <v>مدين</v>
      </c>
      <c r="M2347" s="137" t="str">
        <f>IF(ISERROR(VLOOKUP(C2347,'[1]خريطة الحسابات'!_xlnm.Print_Area,4,FALSE))," ",(VLOOKUP(C2347,'[1]خريطة الحسابات'!_xlnm.Print_Area,4,FALSE)))</f>
        <v>تكاليف مشروع بيت الوطن  149</v>
      </c>
      <c r="N2347" s="138" t="str">
        <f>IF(ISERROR(VLOOKUP(C2347,'[1]خريطة الحسابات'!_xlnm.Print_Area,5,FALSE))," ",(VLOOKUP(C2347,'[1]خريطة الحسابات'!_xlnm.Print_Area,5,FALSE)))</f>
        <v xml:space="preserve">تكاليف العمليات </v>
      </c>
      <c r="O2347" s="84" t="s">
        <v>2378</v>
      </c>
      <c r="P2347" s="84" t="s">
        <v>1336</v>
      </c>
    </row>
    <row r="2348" spans="1:16">
      <c r="A2348" s="151">
        <v>70</v>
      </c>
      <c r="B2348" s="131">
        <v>46154</v>
      </c>
      <c r="C2348" s="150" t="s">
        <v>147</v>
      </c>
      <c r="D2348" s="140" t="str">
        <f>IF(ISERROR(VLOOKUP(C2348,'[1]خريطة الحسابات'!_xlnm.Print_Area,3,FALSE))," ",(VLOOKUP(C2348,'[1]خريطة الحسابات'!_xlnm.Print_Area,3,FALSE)))</f>
        <v>خامات ومصنعية أعمال السيراميك</v>
      </c>
      <c r="E2348" s="142"/>
      <c r="F2348" s="133">
        <v>900</v>
      </c>
      <c r="G2348" s="133"/>
      <c r="H2348" s="134">
        <f t="shared" si="109"/>
        <v>900</v>
      </c>
      <c r="I2348" s="134">
        <f t="shared" si="109"/>
        <v>0</v>
      </c>
      <c r="J2348" s="134">
        <f t="shared" si="108"/>
        <v>900</v>
      </c>
      <c r="K2348" s="135"/>
      <c r="L2348" s="136" t="str">
        <f t="shared" si="110"/>
        <v>مدين</v>
      </c>
      <c r="M2348" s="137" t="str">
        <f>IF(ISERROR(VLOOKUP(C2348,'[1]خريطة الحسابات'!_xlnm.Print_Area,4,FALSE))," ",(VLOOKUP(C2348,'[1]خريطة الحسابات'!_xlnm.Print_Area,4,FALSE)))</f>
        <v>تكاليف مشروع بيت الوطن  149</v>
      </c>
      <c r="N2348" s="138" t="str">
        <f>IF(ISERROR(VLOOKUP(C2348,'[1]خريطة الحسابات'!_xlnm.Print_Area,5,FALSE))," ",(VLOOKUP(C2348,'[1]خريطة الحسابات'!_xlnm.Print_Area,5,FALSE)))</f>
        <v xml:space="preserve">تكاليف العمليات </v>
      </c>
      <c r="O2348" s="84" t="s">
        <v>2379</v>
      </c>
      <c r="P2348" s="84" t="s">
        <v>1336</v>
      </c>
    </row>
    <row r="2349" spans="1:16">
      <c r="A2349" s="151">
        <v>70</v>
      </c>
      <c r="B2349" s="131">
        <v>46186</v>
      </c>
      <c r="C2349" s="150" t="s">
        <v>847</v>
      </c>
      <c r="D2349" s="140" t="str">
        <f>IF(ISERROR(VLOOKUP(C2349,'[1]خريطة الحسابات'!_xlnm.Print_Area,3,FALSE))," ",(VLOOKUP(C2349,'[1]خريطة الحسابات'!_xlnm.Print_Area,3,FALSE)))</f>
        <v>خامات ومصنعية أعمال السيراميك</v>
      </c>
      <c r="E2349" s="142"/>
      <c r="F2349" s="133">
        <v>5005</v>
      </c>
      <c r="G2349" s="133"/>
      <c r="H2349" s="134">
        <f t="shared" si="109"/>
        <v>5005</v>
      </c>
      <c r="I2349" s="134">
        <f t="shared" si="109"/>
        <v>0</v>
      </c>
      <c r="J2349" s="134">
        <f t="shared" si="108"/>
        <v>5005</v>
      </c>
      <c r="K2349" s="135"/>
      <c r="L2349" s="136" t="str">
        <f t="shared" si="110"/>
        <v>مدين</v>
      </c>
      <c r="M2349" s="137" t="str">
        <f>IF(ISERROR(VLOOKUP(C2349,'[1]خريطة الحسابات'!_xlnm.Print_Area,4,FALSE))," ",(VLOOKUP(C2349,'[1]خريطة الحسابات'!_xlnm.Print_Area,4,FALSE)))</f>
        <v>تكاليف مشروع رأس الحكمة</v>
      </c>
      <c r="N2349" s="138" t="str">
        <f>IF(ISERROR(VLOOKUP(C2349,'[1]خريطة الحسابات'!_xlnm.Print_Area,5,FALSE))," ",(VLOOKUP(C2349,'[1]خريطة الحسابات'!_xlnm.Print_Area,5,FALSE)))</f>
        <v xml:space="preserve">تكاليف العمليات </v>
      </c>
      <c r="O2349" s="84" t="s">
        <v>2380</v>
      </c>
      <c r="P2349" s="84" t="s">
        <v>1964</v>
      </c>
    </row>
    <row r="2350" spans="1:16">
      <c r="A2350" s="151">
        <v>70</v>
      </c>
      <c r="B2350" s="131">
        <v>46030</v>
      </c>
      <c r="C2350" s="150" t="s">
        <v>89</v>
      </c>
      <c r="D2350" s="140" t="str">
        <f>IF(ISERROR(VLOOKUP(C2350,'[1]خريطة الحسابات'!_xlnm.Print_Area,3,FALSE))," ",(VLOOKUP(C2350,'[1]خريطة الحسابات'!_xlnm.Print_Area,3,FALSE)))</f>
        <v>خامات ومصنعية أعمال السيراميك</v>
      </c>
      <c r="E2350" s="142"/>
      <c r="F2350" s="133">
        <v>2400</v>
      </c>
      <c r="G2350" s="133"/>
      <c r="H2350" s="134">
        <f t="shared" si="109"/>
        <v>2400</v>
      </c>
      <c r="I2350" s="134">
        <f t="shared" si="109"/>
        <v>0</v>
      </c>
      <c r="J2350" s="134">
        <f t="shared" si="108"/>
        <v>2400</v>
      </c>
      <c r="K2350" s="135"/>
      <c r="L2350" s="136" t="str">
        <f t="shared" si="110"/>
        <v>مدين</v>
      </c>
      <c r="M2350" s="137" t="str">
        <f>IF(ISERROR(VLOOKUP(C2350,'[1]خريطة الحسابات'!_xlnm.Print_Area,4,FALSE))," ",(VLOOKUP(C2350,'[1]خريطة الحسابات'!_xlnm.Print_Area,4,FALSE)))</f>
        <v>تكاليف مشروع سوديك  341</v>
      </c>
      <c r="N2350" s="138" t="str">
        <f>IF(ISERROR(VLOOKUP(C2350,'[1]خريطة الحسابات'!_xlnm.Print_Area,5,FALSE))," ",(VLOOKUP(C2350,'[1]خريطة الحسابات'!_xlnm.Print_Area,5,FALSE)))</f>
        <v xml:space="preserve">تكاليف العمليات </v>
      </c>
      <c r="O2350" s="84" t="s">
        <v>2381</v>
      </c>
      <c r="P2350" s="84" t="s">
        <v>1290</v>
      </c>
    </row>
    <row r="2351" spans="1:16">
      <c r="A2351" s="151">
        <v>70</v>
      </c>
      <c r="B2351" s="131">
        <v>46032</v>
      </c>
      <c r="C2351" s="150" t="s">
        <v>89</v>
      </c>
      <c r="D2351" s="140" t="str">
        <f>IF(ISERROR(VLOOKUP(C2351,'[1]خريطة الحسابات'!_xlnm.Print_Area,3,FALSE))," ",(VLOOKUP(C2351,'[1]خريطة الحسابات'!_xlnm.Print_Area,3,FALSE)))</f>
        <v>خامات ومصنعية أعمال السيراميك</v>
      </c>
      <c r="E2351" s="142"/>
      <c r="F2351" s="133">
        <v>5005</v>
      </c>
      <c r="G2351" s="133"/>
      <c r="H2351" s="134">
        <f t="shared" si="109"/>
        <v>5005</v>
      </c>
      <c r="I2351" s="134">
        <f t="shared" si="109"/>
        <v>0</v>
      </c>
      <c r="J2351" s="134">
        <f t="shared" si="108"/>
        <v>5005</v>
      </c>
      <c r="K2351" s="135"/>
      <c r="L2351" s="136" t="str">
        <f t="shared" si="110"/>
        <v>مدين</v>
      </c>
      <c r="M2351" s="137" t="str">
        <f>IF(ISERROR(VLOOKUP(C2351,'[1]خريطة الحسابات'!_xlnm.Print_Area,4,FALSE))," ",(VLOOKUP(C2351,'[1]خريطة الحسابات'!_xlnm.Print_Area,4,FALSE)))</f>
        <v>تكاليف مشروع سوديك  341</v>
      </c>
      <c r="N2351" s="138" t="str">
        <f>IF(ISERROR(VLOOKUP(C2351,'[1]خريطة الحسابات'!_xlnm.Print_Area,5,FALSE))," ",(VLOOKUP(C2351,'[1]خريطة الحسابات'!_xlnm.Print_Area,5,FALSE)))</f>
        <v xml:space="preserve">تكاليف العمليات </v>
      </c>
      <c r="O2351" s="84" t="s">
        <v>2382</v>
      </c>
      <c r="P2351" s="84" t="s">
        <v>1290</v>
      </c>
    </row>
    <row r="2352" spans="1:16">
      <c r="A2352" s="151">
        <v>70</v>
      </c>
      <c r="B2352" s="131">
        <v>46037</v>
      </c>
      <c r="C2352" s="150" t="s">
        <v>89</v>
      </c>
      <c r="D2352" s="140" t="str">
        <f>IF(ISERROR(VLOOKUP(C2352,'[1]خريطة الحسابات'!_xlnm.Print_Area,3,FALSE))," ",(VLOOKUP(C2352,'[1]خريطة الحسابات'!_xlnm.Print_Area,3,FALSE)))</f>
        <v>خامات ومصنعية أعمال السيراميك</v>
      </c>
      <c r="E2352" s="142"/>
      <c r="F2352" s="133">
        <v>12215</v>
      </c>
      <c r="G2352" s="133"/>
      <c r="H2352" s="134">
        <f t="shared" si="109"/>
        <v>12215</v>
      </c>
      <c r="I2352" s="134">
        <f t="shared" si="109"/>
        <v>0</v>
      </c>
      <c r="J2352" s="134">
        <f t="shared" si="108"/>
        <v>12215</v>
      </c>
      <c r="K2352" s="135"/>
      <c r="L2352" s="136" t="str">
        <f t="shared" si="110"/>
        <v>مدين</v>
      </c>
      <c r="M2352" s="137" t="str">
        <f>IF(ISERROR(VLOOKUP(C2352,'[1]خريطة الحسابات'!_xlnm.Print_Area,4,FALSE))," ",(VLOOKUP(C2352,'[1]خريطة الحسابات'!_xlnm.Print_Area,4,FALSE)))</f>
        <v>تكاليف مشروع سوديك  341</v>
      </c>
      <c r="N2352" s="138" t="str">
        <f>IF(ISERROR(VLOOKUP(C2352,'[1]خريطة الحسابات'!_xlnm.Print_Area,5,FALSE))," ",(VLOOKUP(C2352,'[1]خريطة الحسابات'!_xlnm.Print_Area,5,FALSE)))</f>
        <v xml:space="preserve">تكاليف العمليات </v>
      </c>
      <c r="O2352" s="84" t="s">
        <v>2383</v>
      </c>
      <c r="P2352" s="84" t="s">
        <v>1290</v>
      </c>
    </row>
    <row r="2353" spans="1:16">
      <c r="A2353" s="151">
        <v>70</v>
      </c>
      <c r="B2353" s="131">
        <v>46042</v>
      </c>
      <c r="C2353" s="150" t="s">
        <v>89</v>
      </c>
      <c r="D2353" s="140" t="str">
        <f>IF(ISERROR(VLOOKUP(C2353,'[1]خريطة الحسابات'!_xlnm.Print_Area,3,FALSE))," ",(VLOOKUP(C2353,'[1]خريطة الحسابات'!_xlnm.Print_Area,3,FALSE)))</f>
        <v>خامات ومصنعية أعمال السيراميك</v>
      </c>
      <c r="E2353" s="142"/>
      <c r="F2353" s="133">
        <v>2210</v>
      </c>
      <c r="G2353" s="133"/>
      <c r="H2353" s="134">
        <f t="shared" si="109"/>
        <v>2210</v>
      </c>
      <c r="I2353" s="134">
        <f t="shared" si="109"/>
        <v>0</v>
      </c>
      <c r="J2353" s="134">
        <f t="shared" si="108"/>
        <v>2210</v>
      </c>
      <c r="K2353" s="135"/>
      <c r="L2353" s="136" t="str">
        <f t="shared" si="110"/>
        <v>مدين</v>
      </c>
      <c r="M2353" s="137" t="str">
        <f>IF(ISERROR(VLOOKUP(C2353,'[1]خريطة الحسابات'!_xlnm.Print_Area,4,FALSE))," ",(VLOOKUP(C2353,'[1]خريطة الحسابات'!_xlnm.Print_Area,4,FALSE)))</f>
        <v>تكاليف مشروع سوديك  341</v>
      </c>
      <c r="N2353" s="138" t="str">
        <f>IF(ISERROR(VLOOKUP(C2353,'[1]خريطة الحسابات'!_xlnm.Print_Area,5,FALSE))," ",(VLOOKUP(C2353,'[1]خريطة الحسابات'!_xlnm.Print_Area,5,FALSE)))</f>
        <v xml:space="preserve">تكاليف العمليات </v>
      </c>
      <c r="O2353" s="84" t="s">
        <v>2384</v>
      </c>
      <c r="P2353" s="84" t="s">
        <v>1290</v>
      </c>
    </row>
    <row r="2354" spans="1:16">
      <c r="A2354" s="151">
        <v>70</v>
      </c>
      <c r="B2354" s="131">
        <v>46043</v>
      </c>
      <c r="C2354" s="150" t="s">
        <v>89</v>
      </c>
      <c r="D2354" s="140" t="str">
        <f>IF(ISERROR(VLOOKUP(C2354,'[1]خريطة الحسابات'!_xlnm.Print_Area,3,FALSE))," ",(VLOOKUP(C2354,'[1]خريطة الحسابات'!_xlnm.Print_Area,3,FALSE)))</f>
        <v>خامات ومصنعية أعمال السيراميك</v>
      </c>
      <c r="E2354" s="142"/>
      <c r="F2354" s="133">
        <v>300</v>
      </c>
      <c r="G2354" s="133"/>
      <c r="H2354" s="134">
        <f t="shared" si="109"/>
        <v>300</v>
      </c>
      <c r="I2354" s="134">
        <f t="shared" si="109"/>
        <v>0</v>
      </c>
      <c r="J2354" s="134">
        <f t="shared" si="108"/>
        <v>300</v>
      </c>
      <c r="K2354" s="135"/>
      <c r="L2354" s="136" t="str">
        <f t="shared" si="110"/>
        <v>مدين</v>
      </c>
      <c r="M2354" s="137" t="str">
        <f>IF(ISERROR(VLOOKUP(C2354,'[1]خريطة الحسابات'!_xlnm.Print_Area,4,FALSE))," ",(VLOOKUP(C2354,'[1]خريطة الحسابات'!_xlnm.Print_Area,4,FALSE)))</f>
        <v>تكاليف مشروع سوديك  341</v>
      </c>
      <c r="N2354" s="138" t="str">
        <f>IF(ISERROR(VLOOKUP(C2354,'[1]خريطة الحسابات'!_xlnm.Print_Area,5,FALSE))," ",(VLOOKUP(C2354,'[1]خريطة الحسابات'!_xlnm.Print_Area,5,FALSE)))</f>
        <v xml:space="preserve">تكاليف العمليات </v>
      </c>
      <c r="O2354" s="84" t="s">
        <v>2385</v>
      </c>
      <c r="P2354" s="84" t="s">
        <v>1290</v>
      </c>
    </row>
    <row r="2355" spans="1:16">
      <c r="A2355" s="151">
        <v>70</v>
      </c>
      <c r="B2355" s="131">
        <v>46043</v>
      </c>
      <c r="C2355" s="150" t="s">
        <v>89</v>
      </c>
      <c r="D2355" s="140" t="str">
        <f>IF(ISERROR(VLOOKUP(C2355,'[1]خريطة الحسابات'!_xlnm.Print_Area,3,FALSE))," ",(VLOOKUP(C2355,'[1]خريطة الحسابات'!_xlnm.Print_Area,3,FALSE)))</f>
        <v>خامات ومصنعية أعمال السيراميك</v>
      </c>
      <c r="E2355" s="142"/>
      <c r="F2355" s="133">
        <v>10160</v>
      </c>
      <c r="G2355" s="133"/>
      <c r="H2355" s="134">
        <f t="shared" si="109"/>
        <v>10160</v>
      </c>
      <c r="I2355" s="134">
        <f t="shared" si="109"/>
        <v>0</v>
      </c>
      <c r="J2355" s="134">
        <f t="shared" si="108"/>
        <v>10160</v>
      </c>
      <c r="K2355" s="135"/>
      <c r="L2355" s="136" t="str">
        <f t="shared" si="110"/>
        <v>مدين</v>
      </c>
      <c r="M2355" s="137" t="str">
        <f>IF(ISERROR(VLOOKUP(C2355,'[1]خريطة الحسابات'!_xlnm.Print_Area,4,FALSE))," ",(VLOOKUP(C2355,'[1]خريطة الحسابات'!_xlnm.Print_Area,4,FALSE)))</f>
        <v>تكاليف مشروع سوديك  341</v>
      </c>
      <c r="N2355" s="138" t="str">
        <f>IF(ISERROR(VLOOKUP(C2355,'[1]خريطة الحسابات'!_xlnm.Print_Area,5,FALSE))," ",(VLOOKUP(C2355,'[1]خريطة الحسابات'!_xlnm.Print_Area,5,FALSE)))</f>
        <v xml:space="preserve">تكاليف العمليات </v>
      </c>
      <c r="O2355" s="84" t="s">
        <v>2386</v>
      </c>
      <c r="P2355" s="84" t="s">
        <v>1290</v>
      </c>
    </row>
    <row r="2356" spans="1:16">
      <c r="A2356" s="151">
        <v>70</v>
      </c>
      <c r="B2356" s="131">
        <v>46044</v>
      </c>
      <c r="C2356" s="150" t="s">
        <v>89</v>
      </c>
      <c r="D2356" s="140" t="str">
        <f>IF(ISERROR(VLOOKUP(C2356,'[1]خريطة الحسابات'!_xlnm.Print_Area,3,FALSE))," ",(VLOOKUP(C2356,'[1]خريطة الحسابات'!_xlnm.Print_Area,3,FALSE)))</f>
        <v>خامات ومصنعية أعمال السيراميك</v>
      </c>
      <c r="E2356" s="142"/>
      <c r="F2356" s="133">
        <v>56992</v>
      </c>
      <c r="G2356" s="133"/>
      <c r="H2356" s="134">
        <f t="shared" si="109"/>
        <v>56992</v>
      </c>
      <c r="I2356" s="134">
        <f t="shared" si="109"/>
        <v>0</v>
      </c>
      <c r="J2356" s="134">
        <f t="shared" si="108"/>
        <v>56992</v>
      </c>
      <c r="K2356" s="135"/>
      <c r="L2356" s="136" t="str">
        <f t="shared" si="110"/>
        <v>مدين</v>
      </c>
      <c r="M2356" s="137" t="str">
        <f>IF(ISERROR(VLOOKUP(C2356,'[1]خريطة الحسابات'!_xlnm.Print_Area,4,FALSE))," ",(VLOOKUP(C2356,'[1]خريطة الحسابات'!_xlnm.Print_Area,4,FALSE)))</f>
        <v>تكاليف مشروع سوديك  341</v>
      </c>
      <c r="N2356" s="138" t="str">
        <f>IF(ISERROR(VLOOKUP(C2356,'[1]خريطة الحسابات'!_xlnm.Print_Area,5,FALSE))," ",(VLOOKUP(C2356,'[1]خريطة الحسابات'!_xlnm.Print_Area,5,FALSE)))</f>
        <v xml:space="preserve">تكاليف العمليات </v>
      </c>
      <c r="O2356" s="84" t="s">
        <v>2387</v>
      </c>
      <c r="P2356" s="84" t="s">
        <v>1290</v>
      </c>
    </row>
    <row r="2357" spans="1:16">
      <c r="A2357" s="151">
        <v>70</v>
      </c>
      <c r="B2357" s="131">
        <v>46046</v>
      </c>
      <c r="C2357" s="150" t="s">
        <v>89</v>
      </c>
      <c r="D2357" s="140" t="str">
        <f>IF(ISERROR(VLOOKUP(C2357,'[1]خريطة الحسابات'!_xlnm.Print_Area,3,FALSE))," ",(VLOOKUP(C2357,'[1]خريطة الحسابات'!_xlnm.Print_Area,3,FALSE)))</f>
        <v>خامات ومصنعية أعمال السيراميك</v>
      </c>
      <c r="E2357" s="142"/>
      <c r="F2357" s="133">
        <v>8354</v>
      </c>
      <c r="G2357" s="133"/>
      <c r="H2357" s="134">
        <f t="shared" si="109"/>
        <v>8354</v>
      </c>
      <c r="I2357" s="134">
        <f t="shared" si="109"/>
        <v>0</v>
      </c>
      <c r="J2357" s="134">
        <f t="shared" si="108"/>
        <v>8354</v>
      </c>
      <c r="K2357" s="135"/>
      <c r="L2357" s="136" t="str">
        <f t="shared" si="110"/>
        <v>مدين</v>
      </c>
      <c r="M2357" s="137" t="str">
        <f>IF(ISERROR(VLOOKUP(C2357,'[1]خريطة الحسابات'!_xlnm.Print_Area,4,FALSE))," ",(VLOOKUP(C2357,'[1]خريطة الحسابات'!_xlnm.Print_Area,4,FALSE)))</f>
        <v>تكاليف مشروع سوديك  341</v>
      </c>
      <c r="N2357" s="138" t="str">
        <f>IF(ISERROR(VLOOKUP(C2357,'[1]خريطة الحسابات'!_xlnm.Print_Area,5,FALSE))," ",(VLOOKUP(C2357,'[1]خريطة الحسابات'!_xlnm.Print_Area,5,FALSE)))</f>
        <v xml:space="preserve">تكاليف العمليات </v>
      </c>
      <c r="O2357" s="84" t="s">
        <v>2388</v>
      </c>
      <c r="P2357" s="84" t="s">
        <v>1290</v>
      </c>
    </row>
    <row r="2358" spans="1:16">
      <c r="A2358" s="151">
        <v>70</v>
      </c>
      <c r="B2358" s="131">
        <v>46050</v>
      </c>
      <c r="C2358" s="150" t="s">
        <v>89</v>
      </c>
      <c r="D2358" s="140" t="str">
        <f>IF(ISERROR(VLOOKUP(C2358,'[1]خريطة الحسابات'!_xlnm.Print_Area,3,FALSE))," ",(VLOOKUP(C2358,'[1]خريطة الحسابات'!_xlnm.Print_Area,3,FALSE)))</f>
        <v>خامات ومصنعية أعمال السيراميك</v>
      </c>
      <c r="E2358" s="142"/>
      <c r="F2358" s="133">
        <v>9510</v>
      </c>
      <c r="G2358" s="133"/>
      <c r="H2358" s="134">
        <f t="shared" si="109"/>
        <v>9510</v>
      </c>
      <c r="I2358" s="134">
        <f t="shared" si="109"/>
        <v>0</v>
      </c>
      <c r="J2358" s="134">
        <f t="shared" si="108"/>
        <v>9510</v>
      </c>
      <c r="K2358" s="135"/>
      <c r="L2358" s="136" t="str">
        <f t="shared" si="110"/>
        <v>مدين</v>
      </c>
      <c r="M2358" s="137" t="str">
        <f>IF(ISERROR(VLOOKUP(C2358,'[1]خريطة الحسابات'!_xlnm.Print_Area,4,FALSE))," ",(VLOOKUP(C2358,'[1]خريطة الحسابات'!_xlnm.Print_Area,4,FALSE)))</f>
        <v>تكاليف مشروع سوديك  341</v>
      </c>
      <c r="N2358" s="138" t="str">
        <f>IF(ISERROR(VLOOKUP(C2358,'[1]خريطة الحسابات'!_xlnm.Print_Area,5,FALSE))," ",(VLOOKUP(C2358,'[1]خريطة الحسابات'!_xlnm.Print_Area,5,FALSE)))</f>
        <v xml:space="preserve">تكاليف العمليات </v>
      </c>
      <c r="O2358" s="84" t="s">
        <v>2389</v>
      </c>
      <c r="P2358" s="84" t="s">
        <v>1290</v>
      </c>
    </row>
    <row r="2359" spans="1:16">
      <c r="A2359" s="151">
        <v>70</v>
      </c>
      <c r="B2359" s="131">
        <v>46051</v>
      </c>
      <c r="C2359" s="150" t="s">
        <v>89</v>
      </c>
      <c r="D2359" s="140" t="str">
        <f>IF(ISERROR(VLOOKUP(C2359,'[1]خريطة الحسابات'!_xlnm.Print_Area,3,FALSE))," ",(VLOOKUP(C2359,'[1]خريطة الحسابات'!_xlnm.Print_Area,3,FALSE)))</f>
        <v>خامات ومصنعية أعمال السيراميك</v>
      </c>
      <c r="E2359" s="142"/>
      <c r="F2359" s="133">
        <v>4035</v>
      </c>
      <c r="G2359" s="133"/>
      <c r="H2359" s="134">
        <f t="shared" si="109"/>
        <v>4035</v>
      </c>
      <c r="I2359" s="134">
        <f t="shared" si="109"/>
        <v>0</v>
      </c>
      <c r="J2359" s="134">
        <f t="shared" si="108"/>
        <v>4035</v>
      </c>
      <c r="K2359" s="135"/>
      <c r="L2359" s="136" t="str">
        <f t="shared" si="110"/>
        <v>مدين</v>
      </c>
      <c r="M2359" s="137" t="str">
        <f>IF(ISERROR(VLOOKUP(C2359,'[1]خريطة الحسابات'!_xlnm.Print_Area,4,FALSE))," ",(VLOOKUP(C2359,'[1]خريطة الحسابات'!_xlnm.Print_Area,4,FALSE)))</f>
        <v>تكاليف مشروع سوديك  341</v>
      </c>
      <c r="N2359" s="138" t="str">
        <f>IF(ISERROR(VLOOKUP(C2359,'[1]خريطة الحسابات'!_xlnm.Print_Area,5,FALSE))," ",(VLOOKUP(C2359,'[1]خريطة الحسابات'!_xlnm.Print_Area,5,FALSE)))</f>
        <v xml:space="preserve">تكاليف العمليات </v>
      </c>
      <c r="O2359" s="84" t="s">
        <v>2390</v>
      </c>
      <c r="P2359" s="84" t="s">
        <v>1290</v>
      </c>
    </row>
    <row r="2360" spans="1:16">
      <c r="A2360" s="151">
        <v>70</v>
      </c>
      <c r="B2360" s="131">
        <v>46054</v>
      </c>
      <c r="C2360" s="150" t="s">
        <v>89</v>
      </c>
      <c r="D2360" s="140" t="str">
        <f>IF(ISERROR(VLOOKUP(C2360,'[1]خريطة الحسابات'!_xlnm.Print_Area,3,FALSE))," ",(VLOOKUP(C2360,'[1]خريطة الحسابات'!_xlnm.Print_Area,3,FALSE)))</f>
        <v>خامات ومصنعية أعمال السيراميك</v>
      </c>
      <c r="E2360" s="142"/>
      <c r="F2360" s="133">
        <v>1601</v>
      </c>
      <c r="G2360" s="133"/>
      <c r="H2360" s="134">
        <f t="shared" si="109"/>
        <v>1601</v>
      </c>
      <c r="I2360" s="134">
        <f t="shared" si="109"/>
        <v>0</v>
      </c>
      <c r="J2360" s="134">
        <f t="shared" si="108"/>
        <v>1601</v>
      </c>
      <c r="K2360" s="135"/>
      <c r="L2360" s="136" t="str">
        <f t="shared" si="110"/>
        <v>مدين</v>
      </c>
      <c r="M2360" s="137" t="str">
        <f>IF(ISERROR(VLOOKUP(C2360,'[1]خريطة الحسابات'!_xlnm.Print_Area,4,FALSE))," ",(VLOOKUP(C2360,'[1]خريطة الحسابات'!_xlnm.Print_Area,4,FALSE)))</f>
        <v>تكاليف مشروع سوديك  341</v>
      </c>
      <c r="N2360" s="138" t="str">
        <f>IF(ISERROR(VLOOKUP(C2360,'[1]خريطة الحسابات'!_xlnm.Print_Area,5,FALSE))," ",(VLOOKUP(C2360,'[1]خريطة الحسابات'!_xlnm.Print_Area,5,FALSE)))</f>
        <v xml:space="preserve">تكاليف العمليات </v>
      </c>
      <c r="O2360" s="84" t="s">
        <v>2391</v>
      </c>
      <c r="P2360" s="84" t="s">
        <v>1290</v>
      </c>
    </row>
    <row r="2361" spans="1:16">
      <c r="A2361" s="151">
        <v>70</v>
      </c>
      <c r="B2361" s="131">
        <v>46058</v>
      </c>
      <c r="C2361" s="150" t="s">
        <v>89</v>
      </c>
      <c r="D2361" s="140" t="str">
        <f>IF(ISERROR(VLOOKUP(C2361,'[1]خريطة الحسابات'!_xlnm.Print_Area,3,FALSE))," ",(VLOOKUP(C2361,'[1]خريطة الحسابات'!_xlnm.Print_Area,3,FALSE)))</f>
        <v>خامات ومصنعية أعمال السيراميك</v>
      </c>
      <c r="E2361" s="142"/>
      <c r="F2361" s="133">
        <v>2400</v>
      </c>
      <c r="G2361" s="133"/>
      <c r="H2361" s="134">
        <f t="shared" si="109"/>
        <v>2400</v>
      </c>
      <c r="I2361" s="134">
        <f t="shared" si="109"/>
        <v>0</v>
      </c>
      <c r="J2361" s="134">
        <f t="shared" si="108"/>
        <v>2400</v>
      </c>
      <c r="K2361" s="135"/>
      <c r="L2361" s="136" t="str">
        <f t="shared" si="110"/>
        <v>مدين</v>
      </c>
      <c r="M2361" s="137" t="str">
        <f>IF(ISERROR(VLOOKUP(C2361,'[1]خريطة الحسابات'!_xlnm.Print_Area,4,FALSE))," ",(VLOOKUP(C2361,'[1]خريطة الحسابات'!_xlnm.Print_Area,4,FALSE)))</f>
        <v>تكاليف مشروع سوديك  341</v>
      </c>
      <c r="N2361" s="138" t="str">
        <f>IF(ISERROR(VLOOKUP(C2361,'[1]خريطة الحسابات'!_xlnm.Print_Area,5,FALSE))," ",(VLOOKUP(C2361,'[1]خريطة الحسابات'!_xlnm.Print_Area,5,FALSE)))</f>
        <v xml:space="preserve">تكاليف العمليات </v>
      </c>
      <c r="O2361" s="84" t="s">
        <v>2392</v>
      </c>
      <c r="P2361" s="84" t="s">
        <v>1290</v>
      </c>
    </row>
    <row r="2362" spans="1:16">
      <c r="A2362" s="151">
        <v>70</v>
      </c>
      <c r="B2362" s="131">
        <v>46062</v>
      </c>
      <c r="C2362" s="150" t="s">
        <v>89</v>
      </c>
      <c r="D2362" s="140" t="str">
        <f>IF(ISERROR(VLOOKUP(C2362,'[1]خريطة الحسابات'!_xlnm.Print_Area,3,FALSE))," ",(VLOOKUP(C2362,'[1]خريطة الحسابات'!_xlnm.Print_Area,3,FALSE)))</f>
        <v>خامات ومصنعية أعمال السيراميك</v>
      </c>
      <c r="E2362" s="142"/>
      <c r="F2362" s="133">
        <v>299</v>
      </c>
      <c r="G2362" s="133"/>
      <c r="H2362" s="134">
        <f t="shared" si="109"/>
        <v>299</v>
      </c>
      <c r="I2362" s="134">
        <f t="shared" si="109"/>
        <v>0</v>
      </c>
      <c r="J2362" s="134">
        <f t="shared" si="108"/>
        <v>299</v>
      </c>
      <c r="K2362" s="135"/>
      <c r="L2362" s="136" t="str">
        <f t="shared" si="110"/>
        <v>مدين</v>
      </c>
      <c r="M2362" s="137" t="str">
        <f>IF(ISERROR(VLOOKUP(C2362,'[1]خريطة الحسابات'!_xlnm.Print_Area,4,FALSE))," ",(VLOOKUP(C2362,'[1]خريطة الحسابات'!_xlnm.Print_Area,4,FALSE)))</f>
        <v>تكاليف مشروع سوديك  341</v>
      </c>
      <c r="N2362" s="138" t="str">
        <f>IF(ISERROR(VLOOKUP(C2362,'[1]خريطة الحسابات'!_xlnm.Print_Area,5,FALSE))," ",(VLOOKUP(C2362,'[1]خريطة الحسابات'!_xlnm.Print_Area,5,FALSE)))</f>
        <v xml:space="preserve">تكاليف العمليات </v>
      </c>
      <c r="O2362" s="84" t="s">
        <v>2393</v>
      </c>
      <c r="P2362" s="84" t="s">
        <v>1290</v>
      </c>
    </row>
    <row r="2363" spans="1:16">
      <c r="A2363" s="151">
        <v>70</v>
      </c>
      <c r="B2363" s="131">
        <v>46063</v>
      </c>
      <c r="C2363" s="150" t="s">
        <v>89</v>
      </c>
      <c r="D2363" s="140" t="str">
        <f>IF(ISERROR(VLOOKUP(C2363,'[1]خريطة الحسابات'!_xlnm.Print_Area,3,FALSE))," ",(VLOOKUP(C2363,'[1]خريطة الحسابات'!_xlnm.Print_Area,3,FALSE)))</f>
        <v>خامات ومصنعية أعمال السيراميك</v>
      </c>
      <c r="E2363" s="142"/>
      <c r="F2363" s="133">
        <v>415</v>
      </c>
      <c r="G2363" s="133"/>
      <c r="H2363" s="134">
        <f t="shared" si="109"/>
        <v>415</v>
      </c>
      <c r="I2363" s="134">
        <f t="shared" si="109"/>
        <v>0</v>
      </c>
      <c r="J2363" s="134">
        <f t="shared" si="108"/>
        <v>415</v>
      </c>
      <c r="K2363" s="135"/>
      <c r="L2363" s="136" t="str">
        <f t="shared" si="110"/>
        <v>مدين</v>
      </c>
      <c r="M2363" s="137" t="str">
        <f>IF(ISERROR(VLOOKUP(C2363,'[1]خريطة الحسابات'!_xlnm.Print_Area,4,FALSE))," ",(VLOOKUP(C2363,'[1]خريطة الحسابات'!_xlnm.Print_Area,4,FALSE)))</f>
        <v>تكاليف مشروع سوديك  341</v>
      </c>
      <c r="N2363" s="138" t="str">
        <f>IF(ISERROR(VLOOKUP(C2363,'[1]خريطة الحسابات'!_xlnm.Print_Area,5,FALSE))," ",(VLOOKUP(C2363,'[1]خريطة الحسابات'!_xlnm.Print_Area,5,FALSE)))</f>
        <v xml:space="preserve">تكاليف العمليات </v>
      </c>
      <c r="O2363" s="84" t="s">
        <v>2394</v>
      </c>
      <c r="P2363" s="84" t="s">
        <v>1290</v>
      </c>
    </row>
    <row r="2364" spans="1:16">
      <c r="A2364" s="151">
        <v>70</v>
      </c>
      <c r="B2364" s="131">
        <v>46065</v>
      </c>
      <c r="C2364" s="150" t="s">
        <v>89</v>
      </c>
      <c r="D2364" s="140" t="str">
        <f>IF(ISERROR(VLOOKUP(C2364,'[1]خريطة الحسابات'!_xlnm.Print_Area,3,FALSE))," ",(VLOOKUP(C2364,'[1]خريطة الحسابات'!_xlnm.Print_Area,3,FALSE)))</f>
        <v>خامات ومصنعية أعمال السيراميك</v>
      </c>
      <c r="E2364" s="142"/>
      <c r="F2364" s="133">
        <v>2200</v>
      </c>
      <c r="G2364" s="133"/>
      <c r="H2364" s="134">
        <f t="shared" si="109"/>
        <v>2200</v>
      </c>
      <c r="I2364" s="134">
        <f t="shared" si="109"/>
        <v>0</v>
      </c>
      <c r="J2364" s="134">
        <f t="shared" si="108"/>
        <v>2200</v>
      </c>
      <c r="K2364" s="135"/>
      <c r="L2364" s="136" t="str">
        <f t="shared" si="110"/>
        <v>مدين</v>
      </c>
      <c r="M2364" s="137" t="str">
        <f>IF(ISERROR(VLOOKUP(C2364,'[1]خريطة الحسابات'!_xlnm.Print_Area,4,FALSE))," ",(VLOOKUP(C2364,'[1]خريطة الحسابات'!_xlnm.Print_Area,4,FALSE)))</f>
        <v>تكاليف مشروع سوديك  341</v>
      </c>
      <c r="N2364" s="138" t="str">
        <f>IF(ISERROR(VLOOKUP(C2364,'[1]خريطة الحسابات'!_xlnm.Print_Area,5,FALSE))," ",(VLOOKUP(C2364,'[1]خريطة الحسابات'!_xlnm.Print_Area,5,FALSE)))</f>
        <v xml:space="preserve">تكاليف العمليات </v>
      </c>
      <c r="O2364" s="84" t="s">
        <v>2395</v>
      </c>
      <c r="P2364" s="84" t="s">
        <v>1290</v>
      </c>
    </row>
    <row r="2365" spans="1:16">
      <c r="A2365" s="151">
        <v>70</v>
      </c>
      <c r="B2365" s="131">
        <v>46071</v>
      </c>
      <c r="C2365" s="150" t="s">
        <v>89</v>
      </c>
      <c r="D2365" s="140" t="str">
        <f>IF(ISERROR(VLOOKUP(C2365,'[1]خريطة الحسابات'!_xlnm.Print_Area,3,FALSE))," ",(VLOOKUP(C2365,'[1]خريطة الحسابات'!_xlnm.Print_Area,3,FALSE)))</f>
        <v>خامات ومصنعية أعمال السيراميك</v>
      </c>
      <c r="E2365" s="142"/>
      <c r="F2365" s="133">
        <v>420</v>
      </c>
      <c r="G2365" s="133"/>
      <c r="H2365" s="134">
        <f t="shared" si="109"/>
        <v>420</v>
      </c>
      <c r="I2365" s="134">
        <f t="shared" si="109"/>
        <v>0</v>
      </c>
      <c r="J2365" s="134">
        <f t="shared" si="108"/>
        <v>420</v>
      </c>
      <c r="K2365" s="135"/>
      <c r="L2365" s="136" t="str">
        <f t="shared" si="110"/>
        <v>مدين</v>
      </c>
      <c r="M2365" s="137" t="str">
        <f>IF(ISERROR(VLOOKUP(C2365,'[1]خريطة الحسابات'!_xlnm.Print_Area,4,FALSE))," ",(VLOOKUP(C2365,'[1]خريطة الحسابات'!_xlnm.Print_Area,4,FALSE)))</f>
        <v>تكاليف مشروع سوديك  341</v>
      </c>
      <c r="N2365" s="138" t="str">
        <f>IF(ISERROR(VLOOKUP(C2365,'[1]خريطة الحسابات'!_xlnm.Print_Area,5,FALSE))," ",(VLOOKUP(C2365,'[1]خريطة الحسابات'!_xlnm.Print_Area,5,FALSE)))</f>
        <v xml:space="preserve">تكاليف العمليات </v>
      </c>
      <c r="O2365" s="84" t="s">
        <v>2396</v>
      </c>
      <c r="P2365" s="84" t="s">
        <v>1290</v>
      </c>
    </row>
    <row r="2366" spans="1:16">
      <c r="A2366" s="151">
        <v>70</v>
      </c>
      <c r="B2366" s="131">
        <v>46075</v>
      </c>
      <c r="C2366" s="150" t="s">
        <v>89</v>
      </c>
      <c r="D2366" s="140" t="str">
        <f>IF(ISERROR(VLOOKUP(C2366,'[1]خريطة الحسابات'!_xlnm.Print_Area,3,FALSE))," ",(VLOOKUP(C2366,'[1]خريطة الحسابات'!_xlnm.Print_Area,3,FALSE)))</f>
        <v>خامات ومصنعية أعمال السيراميك</v>
      </c>
      <c r="E2366" s="142"/>
      <c r="F2366" s="133">
        <v>1438</v>
      </c>
      <c r="G2366" s="133"/>
      <c r="H2366" s="134">
        <f t="shared" si="109"/>
        <v>1438</v>
      </c>
      <c r="I2366" s="134">
        <f t="shared" si="109"/>
        <v>0</v>
      </c>
      <c r="J2366" s="134">
        <f t="shared" si="108"/>
        <v>1438</v>
      </c>
      <c r="K2366" s="135"/>
      <c r="L2366" s="136" t="str">
        <f t="shared" si="110"/>
        <v>مدين</v>
      </c>
      <c r="M2366" s="137" t="str">
        <f>IF(ISERROR(VLOOKUP(C2366,'[1]خريطة الحسابات'!_xlnm.Print_Area,4,FALSE))," ",(VLOOKUP(C2366,'[1]خريطة الحسابات'!_xlnm.Print_Area,4,FALSE)))</f>
        <v>تكاليف مشروع سوديك  341</v>
      </c>
      <c r="N2366" s="138" t="str">
        <f>IF(ISERROR(VLOOKUP(C2366,'[1]خريطة الحسابات'!_xlnm.Print_Area,5,FALSE))," ",(VLOOKUP(C2366,'[1]خريطة الحسابات'!_xlnm.Print_Area,5,FALSE)))</f>
        <v xml:space="preserve">تكاليف العمليات </v>
      </c>
      <c r="O2366" s="84" t="s">
        <v>2397</v>
      </c>
      <c r="P2366" s="84" t="s">
        <v>1290</v>
      </c>
    </row>
    <row r="2367" spans="1:16">
      <c r="A2367" s="151">
        <v>70</v>
      </c>
      <c r="B2367" s="131">
        <v>46086</v>
      </c>
      <c r="C2367" s="150" t="s">
        <v>89</v>
      </c>
      <c r="D2367" s="140" t="str">
        <f>IF(ISERROR(VLOOKUP(C2367,'[1]خريطة الحسابات'!_xlnm.Print_Area,3,FALSE))," ",(VLOOKUP(C2367,'[1]خريطة الحسابات'!_xlnm.Print_Area,3,FALSE)))</f>
        <v>خامات ومصنعية أعمال السيراميك</v>
      </c>
      <c r="E2367" s="142"/>
      <c r="F2367" s="133">
        <v>10850</v>
      </c>
      <c r="G2367" s="133"/>
      <c r="H2367" s="134">
        <f t="shared" si="109"/>
        <v>10850</v>
      </c>
      <c r="I2367" s="134">
        <f t="shared" si="109"/>
        <v>0</v>
      </c>
      <c r="J2367" s="134">
        <f t="shared" si="108"/>
        <v>10850</v>
      </c>
      <c r="K2367" s="135"/>
      <c r="L2367" s="136" t="str">
        <f t="shared" si="110"/>
        <v>مدين</v>
      </c>
      <c r="M2367" s="137" t="str">
        <f>IF(ISERROR(VLOOKUP(C2367,'[1]خريطة الحسابات'!_xlnm.Print_Area,4,FALSE))," ",(VLOOKUP(C2367,'[1]خريطة الحسابات'!_xlnm.Print_Area,4,FALSE)))</f>
        <v>تكاليف مشروع سوديك  341</v>
      </c>
      <c r="N2367" s="138" t="str">
        <f>IF(ISERROR(VLOOKUP(C2367,'[1]خريطة الحسابات'!_xlnm.Print_Area,5,FALSE))," ",(VLOOKUP(C2367,'[1]خريطة الحسابات'!_xlnm.Print_Area,5,FALSE)))</f>
        <v xml:space="preserve">تكاليف العمليات </v>
      </c>
      <c r="O2367" s="84" t="s">
        <v>2398</v>
      </c>
      <c r="P2367" s="84" t="s">
        <v>1290</v>
      </c>
    </row>
    <row r="2368" spans="1:16">
      <c r="A2368" s="151">
        <v>70</v>
      </c>
      <c r="B2368" s="131">
        <v>46093</v>
      </c>
      <c r="C2368" s="150" t="s">
        <v>89</v>
      </c>
      <c r="D2368" s="140" t="str">
        <f>IF(ISERROR(VLOOKUP(C2368,'[1]خريطة الحسابات'!_xlnm.Print_Area,3,FALSE))," ",(VLOOKUP(C2368,'[1]خريطة الحسابات'!_xlnm.Print_Area,3,FALSE)))</f>
        <v>خامات ومصنعية أعمال السيراميك</v>
      </c>
      <c r="E2368" s="142"/>
      <c r="F2368" s="133">
        <v>1252</v>
      </c>
      <c r="G2368" s="133"/>
      <c r="H2368" s="134">
        <f t="shared" si="109"/>
        <v>1252</v>
      </c>
      <c r="I2368" s="134">
        <f t="shared" si="109"/>
        <v>0</v>
      </c>
      <c r="J2368" s="134">
        <f t="shared" si="108"/>
        <v>1252</v>
      </c>
      <c r="K2368" s="135"/>
      <c r="L2368" s="136" t="str">
        <f t="shared" si="110"/>
        <v>مدين</v>
      </c>
      <c r="M2368" s="137" t="str">
        <f>IF(ISERROR(VLOOKUP(C2368,'[1]خريطة الحسابات'!_xlnm.Print_Area,4,FALSE))," ",(VLOOKUP(C2368,'[1]خريطة الحسابات'!_xlnm.Print_Area,4,FALSE)))</f>
        <v>تكاليف مشروع سوديك  341</v>
      </c>
      <c r="N2368" s="138" t="str">
        <f>IF(ISERROR(VLOOKUP(C2368,'[1]خريطة الحسابات'!_xlnm.Print_Area,5,FALSE))," ",(VLOOKUP(C2368,'[1]خريطة الحسابات'!_xlnm.Print_Area,5,FALSE)))</f>
        <v xml:space="preserve">تكاليف العمليات </v>
      </c>
      <c r="O2368" s="84" t="s">
        <v>2399</v>
      </c>
      <c r="P2368" s="84" t="s">
        <v>1290</v>
      </c>
    </row>
    <row r="2369" spans="1:16">
      <c r="A2369" s="151">
        <v>70</v>
      </c>
      <c r="B2369" s="131">
        <v>46121</v>
      </c>
      <c r="C2369" s="150" t="s">
        <v>89</v>
      </c>
      <c r="D2369" s="140" t="str">
        <f>IF(ISERROR(VLOOKUP(C2369,'[1]خريطة الحسابات'!_xlnm.Print_Area,3,FALSE))," ",(VLOOKUP(C2369,'[1]خريطة الحسابات'!_xlnm.Print_Area,3,FALSE)))</f>
        <v>خامات ومصنعية أعمال السيراميك</v>
      </c>
      <c r="E2369" s="142"/>
      <c r="F2369" s="133">
        <v>6708</v>
      </c>
      <c r="G2369" s="133"/>
      <c r="H2369" s="134">
        <f t="shared" si="109"/>
        <v>6708</v>
      </c>
      <c r="I2369" s="134">
        <f t="shared" si="109"/>
        <v>0</v>
      </c>
      <c r="J2369" s="134">
        <f t="shared" si="108"/>
        <v>6708</v>
      </c>
      <c r="K2369" s="135"/>
      <c r="L2369" s="136" t="str">
        <f t="shared" si="110"/>
        <v>مدين</v>
      </c>
      <c r="M2369" s="137" t="str">
        <f>IF(ISERROR(VLOOKUP(C2369,'[1]خريطة الحسابات'!_xlnm.Print_Area,4,FALSE))," ",(VLOOKUP(C2369,'[1]خريطة الحسابات'!_xlnm.Print_Area,4,FALSE)))</f>
        <v>تكاليف مشروع سوديك  341</v>
      </c>
      <c r="N2369" s="138" t="str">
        <f>IF(ISERROR(VLOOKUP(C2369,'[1]خريطة الحسابات'!_xlnm.Print_Area,5,FALSE))," ",(VLOOKUP(C2369,'[1]خريطة الحسابات'!_xlnm.Print_Area,5,FALSE)))</f>
        <v xml:space="preserve">تكاليف العمليات </v>
      </c>
      <c r="O2369" s="84" t="s">
        <v>2400</v>
      </c>
      <c r="P2369" s="84" t="s">
        <v>1290</v>
      </c>
    </row>
    <row r="2370" spans="1:16">
      <c r="A2370" s="151">
        <v>70</v>
      </c>
      <c r="B2370" s="131">
        <v>46146</v>
      </c>
      <c r="C2370" s="150" t="s">
        <v>89</v>
      </c>
      <c r="D2370" s="140" t="str">
        <f>IF(ISERROR(VLOOKUP(C2370,'[1]خريطة الحسابات'!_xlnm.Print_Area,3,FALSE))," ",(VLOOKUP(C2370,'[1]خريطة الحسابات'!_xlnm.Print_Area,3,FALSE)))</f>
        <v>خامات ومصنعية أعمال السيراميك</v>
      </c>
      <c r="E2370" s="142"/>
      <c r="F2370" s="133">
        <v>1430</v>
      </c>
      <c r="G2370" s="133"/>
      <c r="H2370" s="134">
        <f t="shared" si="109"/>
        <v>1430</v>
      </c>
      <c r="I2370" s="134">
        <f t="shared" si="109"/>
        <v>0</v>
      </c>
      <c r="J2370" s="134">
        <f t="shared" si="108"/>
        <v>1430</v>
      </c>
      <c r="K2370" s="135"/>
      <c r="L2370" s="136" t="str">
        <f t="shared" si="110"/>
        <v>مدين</v>
      </c>
      <c r="M2370" s="137" t="str">
        <f>IF(ISERROR(VLOOKUP(C2370,'[1]خريطة الحسابات'!_xlnm.Print_Area,4,FALSE))," ",(VLOOKUP(C2370,'[1]خريطة الحسابات'!_xlnm.Print_Area,4,FALSE)))</f>
        <v>تكاليف مشروع سوديك  341</v>
      </c>
      <c r="N2370" s="138" t="str">
        <f>IF(ISERROR(VLOOKUP(C2370,'[1]خريطة الحسابات'!_xlnm.Print_Area,5,FALSE))," ",(VLOOKUP(C2370,'[1]خريطة الحسابات'!_xlnm.Print_Area,5,FALSE)))</f>
        <v xml:space="preserve">تكاليف العمليات </v>
      </c>
      <c r="O2370" s="84" t="s">
        <v>2400</v>
      </c>
      <c r="P2370" s="84" t="s">
        <v>1290</v>
      </c>
    </row>
    <row r="2371" spans="1:16">
      <c r="A2371" s="151">
        <v>70</v>
      </c>
      <c r="B2371" s="131">
        <v>46147</v>
      </c>
      <c r="C2371" s="150" t="s">
        <v>89</v>
      </c>
      <c r="D2371" s="140" t="str">
        <f>IF(ISERROR(VLOOKUP(C2371,'[1]خريطة الحسابات'!_xlnm.Print_Area,3,FALSE))," ",(VLOOKUP(C2371,'[1]خريطة الحسابات'!_xlnm.Print_Area,3,FALSE)))</f>
        <v>خامات ومصنعية أعمال السيراميك</v>
      </c>
      <c r="E2371" s="142"/>
      <c r="F2371" s="133">
        <v>1802</v>
      </c>
      <c r="G2371" s="133"/>
      <c r="H2371" s="134">
        <f t="shared" si="109"/>
        <v>1802</v>
      </c>
      <c r="I2371" s="134">
        <f t="shared" si="109"/>
        <v>0</v>
      </c>
      <c r="J2371" s="134">
        <f t="shared" si="108"/>
        <v>1802</v>
      </c>
      <c r="K2371" s="135"/>
      <c r="L2371" s="136" t="str">
        <f t="shared" si="110"/>
        <v>مدين</v>
      </c>
      <c r="M2371" s="137" t="str">
        <f>IF(ISERROR(VLOOKUP(C2371,'[1]خريطة الحسابات'!_xlnm.Print_Area,4,FALSE))," ",(VLOOKUP(C2371,'[1]خريطة الحسابات'!_xlnm.Print_Area,4,FALSE)))</f>
        <v>تكاليف مشروع سوديك  341</v>
      </c>
      <c r="N2371" s="138" t="str">
        <f>IF(ISERROR(VLOOKUP(C2371,'[1]خريطة الحسابات'!_xlnm.Print_Area,5,FALSE))," ",(VLOOKUP(C2371,'[1]خريطة الحسابات'!_xlnm.Print_Area,5,FALSE)))</f>
        <v xml:space="preserve">تكاليف العمليات </v>
      </c>
      <c r="O2371" s="84" t="s">
        <v>2401</v>
      </c>
      <c r="P2371" s="84" t="s">
        <v>1290</v>
      </c>
    </row>
    <row r="2372" spans="1:16">
      <c r="A2372" s="151">
        <v>70</v>
      </c>
      <c r="B2372" s="131">
        <v>46070</v>
      </c>
      <c r="C2372" s="150" t="s">
        <v>777</v>
      </c>
      <c r="D2372" s="140" t="str">
        <f>IF(ISERROR(VLOOKUP(C2372,'[1]خريطة الحسابات'!_xlnm.Print_Area,3,FALSE))," ",(VLOOKUP(C2372,'[1]خريطة الحسابات'!_xlnm.Print_Area,3,FALSE)))</f>
        <v>خامات ومصنعية أعمال السيراميك</v>
      </c>
      <c r="E2372" s="142"/>
      <c r="F2372" s="133">
        <v>10000</v>
      </c>
      <c r="G2372" s="133"/>
      <c r="H2372" s="134">
        <f t="shared" si="109"/>
        <v>10000</v>
      </c>
      <c r="I2372" s="134">
        <f t="shared" si="109"/>
        <v>0</v>
      </c>
      <c r="J2372" s="134">
        <f t="shared" si="108"/>
        <v>10000</v>
      </c>
      <c r="K2372" s="135"/>
      <c r="L2372" s="136" t="str">
        <f t="shared" si="110"/>
        <v>مدين</v>
      </c>
      <c r="M2372" s="137" t="str">
        <f>IF(ISERROR(VLOOKUP(C2372,'[1]خريطة الحسابات'!_xlnm.Print_Area,4,FALSE))," ",(VLOOKUP(C2372,'[1]خريطة الحسابات'!_xlnm.Print_Area,4,FALSE)))</f>
        <v>388 تكاليف مشروع الدقي</v>
      </c>
      <c r="N2372" s="138" t="str">
        <f>IF(ISERROR(VLOOKUP(C2372,'[1]خريطة الحسابات'!_xlnm.Print_Area,5,FALSE))," ",(VLOOKUP(C2372,'[1]خريطة الحسابات'!_xlnm.Print_Area,5,FALSE)))</f>
        <v xml:space="preserve">تكاليف العمليات </v>
      </c>
      <c r="O2372" s="84" t="s">
        <v>2402</v>
      </c>
      <c r="P2372" s="84" t="s">
        <v>1315</v>
      </c>
    </row>
    <row r="2373" spans="1:16">
      <c r="A2373" s="151">
        <v>70</v>
      </c>
      <c r="B2373" s="131">
        <v>46076</v>
      </c>
      <c r="C2373" s="150" t="s">
        <v>777</v>
      </c>
      <c r="D2373" s="140" t="str">
        <f>IF(ISERROR(VLOOKUP(C2373,'[1]خريطة الحسابات'!_xlnm.Print_Area,3,FALSE))," ",(VLOOKUP(C2373,'[1]خريطة الحسابات'!_xlnm.Print_Area,3,FALSE)))</f>
        <v>خامات ومصنعية أعمال السيراميك</v>
      </c>
      <c r="E2373" s="142"/>
      <c r="F2373" s="133">
        <v>210637</v>
      </c>
      <c r="G2373" s="133"/>
      <c r="H2373" s="134">
        <f t="shared" si="109"/>
        <v>210637</v>
      </c>
      <c r="I2373" s="134">
        <f t="shared" si="109"/>
        <v>0</v>
      </c>
      <c r="J2373" s="134">
        <f t="shared" si="108"/>
        <v>210637</v>
      </c>
      <c r="K2373" s="135"/>
      <c r="L2373" s="136" t="str">
        <f t="shared" si="110"/>
        <v>مدين</v>
      </c>
      <c r="M2373" s="137" t="str">
        <f>IF(ISERROR(VLOOKUP(C2373,'[1]خريطة الحسابات'!_xlnm.Print_Area,4,FALSE))," ",(VLOOKUP(C2373,'[1]خريطة الحسابات'!_xlnm.Print_Area,4,FALSE)))</f>
        <v>388 تكاليف مشروع الدقي</v>
      </c>
      <c r="N2373" s="138" t="str">
        <f>IF(ISERROR(VLOOKUP(C2373,'[1]خريطة الحسابات'!_xlnm.Print_Area,5,FALSE))," ",(VLOOKUP(C2373,'[1]خريطة الحسابات'!_xlnm.Print_Area,5,FALSE)))</f>
        <v xml:space="preserve">تكاليف العمليات </v>
      </c>
      <c r="O2373" s="84" t="s">
        <v>2403</v>
      </c>
      <c r="P2373" s="84" t="s">
        <v>1315</v>
      </c>
    </row>
    <row r="2374" spans="1:16">
      <c r="A2374" s="151">
        <v>70</v>
      </c>
      <c r="B2374" s="131">
        <v>46093</v>
      </c>
      <c r="C2374" s="150" t="s">
        <v>777</v>
      </c>
      <c r="D2374" s="140" t="str">
        <f>IF(ISERROR(VLOOKUP(C2374,'[1]خريطة الحسابات'!_xlnm.Print_Area,3,FALSE))," ",(VLOOKUP(C2374,'[1]خريطة الحسابات'!_xlnm.Print_Area,3,FALSE)))</f>
        <v>خامات ومصنعية أعمال السيراميك</v>
      </c>
      <c r="E2374" s="142"/>
      <c r="F2374" s="133">
        <v>16800</v>
      </c>
      <c r="G2374" s="133"/>
      <c r="H2374" s="134">
        <f t="shared" si="109"/>
        <v>16800</v>
      </c>
      <c r="I2374" s="134">
        <f t="shared" si="109"/>
        <v>0</v>
      </c>
      <c r="J2374" s="134">
        <f t="shared" si="108"/>
        <v>16800</v>
      </c>
      <c r="K2374" s="135"/>
      <c r="L2374" s="136" t="str">
        <f t="shared" si="110"/>
        <v>مدين</v>
      </c>
      <c r="M2374" s="137" t="str">
        <f>IF(ISERROR(VLOOKUP(C2374,'[1]خريطة الحسابات'!_xlnm.Print_Area,4,FALSE))," ",(VLOOKUP(C2374,'[1]خريطة الحسابات'!_xlnm.Print_Area,4,FALSE)))</f>
        <v>388 تكاليف مشروع الدقي</v>
      </c>
      <c r="N2374" s="138" t="str">
        <f>IF(ISERROR(VLOOKUP(C2374,'[1]خريطة الحسابات'!_xlnm.Print_Area,5,FALSE))," ",(VLOOKUP(C2374,'[1]خريطة الحسابات'!_xlnm.Print_Area,5,FALSE)))</f>
        <v xml:space="preserve">تكاليف العمليات </v>
      </c>
      <c r="O2374" s="84" t="s">
        <v>2404</v>
      </c>
      <c r="P2374" s="84" t="s">
        <v>1315</v>
      </c>
    </row>
    <row r="2375" spans="1:16">
      <c r="A2375" s="151">
        <v>70</v>
      </c>
      <c r="B2375" s="131">
        <v>46093</v>
      </c>
      <c r="C2375" s="150" t="s">
        <v>777</v>
      </c>
      <c r="D2375" s="140" t="str">
        <f>IF(ISERROR(VLOOKUP(C2375,'[1]خريطة الحسابات'!_xlnm.Print_Area,3,FALSE))," ",(VLOOKUP(C2375,'[1]خريطة الحسابات'!_xlnm.Print_Area,3,FALSE)))</f>
        <v>خامات ومصنعية أعمال السيراميك</v>
      </c>
      <c r="E2375" s="142"/>
      <c r="F2375" s="133">
        <v>8500</v>
      </c>
      <c r="G2375" s="133"/>
      <c r="H2375" s="134">
        <f t="shared" si="109"/>
        <v>8500</v>
      </c>
      <c r="I2375" s="134">
        <f t="shared" si="109"/>
        <v>0</v>
      </c>
      <c r="J2375" s="134">
        <f t="shared" si="108"/>
        <v>8500</v>
      </c>
      <c r="K2375" s="135"/>
      <c r="L2375" s="136" t="str">
        <f t="shared" si="110"/>
        <v>مدين</v>
      </c>
      <c r="M2375" s="137" t="str">
        <f>IF(ISERROR(VLOOKUP(C2375,'[1]خريطة الحسابات'!_xlnm.Print_Area,4,FALSE))," ",(VLOOKUP(C2375,'[1]خريطة الحسابات'!_xlnm.Print_Area,4,FALSE)))</f>
        <v>388 تكاليف مشروع الدقي</v>
      </c>
      <c r="N2375" s="138" t="str">
        <f>IF(ISERROR(VLOOKUP(C2375,'[1]خريطة الحسابات'!_xlnm.Print_Area,5,FALSE))," ",(VLOOKUP(C2375,'[1]خريطة الحسابات'!_xlnm.Print_Area,5,FALSE)))</f>
        <v xml:space="preserve">تكاليف العمليات </v>
      </c>
      <c r="O2375" s="84" t="s">
        <v>2405</v>
      </c>
      <c r="P2375" s="84" t="s">
        <v>1315</v>
      </c>
    </row>
    <row r="2376" spans="1:16">
      <c r="A2376" s="151">
        <v>70</v>
      </c>
      <c r="B2376" s="131">
        <v>46093</v>
      </c>
      <c r="C2376" s="150" t="s">
        <v>777</v>
      </c>
      <c r="D2376" s="140" t="str">
        <f>IF(ISERROR(VLOOKUP(C2376,'[1]خريطة الحسابات'!_xlnm.Print_Area,3,FALSE))," ",(VLOOKUP(C2376,'[1]خريطة الحسابات'!_xlnm.Print_Area,3,FALSE)))</f>
        <v>خامات ومصنعية أعمال السيراميك</v>
      </c>
      <c r="E2376" s="142"/>
      <c r="F2376" s="133">
        <v>3400</v>
      </c>
      <c r="G2376" s="133"/>
      <c r="H2376" s="134">
        <f t="shared" si="109"/>
        <v>3400</v>
      </c>
      <c r="I2376" s="134">
        <f t="shared" si="109"/>
        <v>0</v>
      </c>
      <c r="J2376" s="134">
        <f t="shared" si="108"/>
        <v>3400</v>
      </c>
      <c r="K2376" s="135"/>
      <c r="L2376" s="136" t="str">
        <f t="shared" si="110"/>
        <v>مدين</v>
      </c>
      <c r="M2376" s="137" t="str">
        <f>IF(ISERROR(VLOOKUP(C2376,'[1]خريطة الحسابات'!_xlnm.Print_Area,4,FALSE))," ",(VLOOKUP(C2376,'[1]خريطة الحسابات'!_xlnm.Print_Area,4,FALSE)))</f>
        <v>388 تكاليف مشروع الدقي</v>
      </c>
      <c r="N2376" s="138" t="str">
        <f>IF(ISERROR(VLOOKUP(C2376,'[1]خريطة الحسابات'!_xlnm.Print_Area,5,FALSE))," ",(VLOOKUP(C2376,'[1]خريطة الحسابات'!_xlnm.Print_Area,5,FALSE)))</f>
        <v xml:space="preserve">تكاليف العمليات </v>
      </c>
      <c r="O2376" s="84" t="s">
        <v>2406</v>
      </c>
      <c r="P2376" s="84" t="s">
        <v>1315</v>
      </c>
    </row>
    <row r="2377" spans="1:16">
      <c r="A2377" s="151">
        <v>70</v>
      </c>
      <c r="B2377" s="131">
        <v>46093</v>
      </c>
      <c r="C2377" s="150" t="s">
        <v>777</v>
      </c>
      <c r="D2377" s="140" t="str">
        <f>IF(ISERROR(VLOOKUP(C2377,'[1]خريطة الحسابات'!_xlnm.Print_Area,3,FALSE))," ",(VLOOKUP(C2377,'[1]خريطة الحسابات'!_xlnm.Print_Area,3,FALSE)))</f>
        <v>خامات ومصنعية أعمال السيراميك</v>
      </c>
      <c r="E2377" s="142"/>
      <c r="F2377" s="133">
        <v>1000</v>
      </c>
      <c r="G2377" s="133"/>
      <c r="H2377" s="134">
        <f t="shared" si="109"/>
        <v>1000</v>
      </c>
      <c r="I2377" s="134">
        <f t="shared" si="109"/>
        <v>0</v>
      </c>
      <c r="J2377" s="134">
        <f t="shared" si="108"/>
        <v>1000</v>
      </c>
      <c r="K2377" s="135"/>
      <c r="L2377" s="136" t="str">
        <f t="shared" si="110"/>
        <v>مدين</v>
      </c>
      <c r="M2377" s="137" t="str">
        <f>IF(ISERROR(VLOOKUP(C2377,'[1]خريطة الحسابات'!_xlnm.Print_Area,4,FALSE))," ",(VLOOKUP(C2377,'[1]خريطة الحسابات'!_xlnm.Print_Area,4,FALSE)))</f>
        <v>388 تكاليف مشروع الدقي</v>
      </c>
      <c r="N2377" s="138" t="str">
        <f>IF(ISERROR(VLOOKUP(C2377,'[1]خريطة الحسابات'!_xlnm.Print_Area,5,FALSE))," ",(VLOOKUP(C2377,'[1]خريطة الحسابات'!_xlnm.Print_Area,5,FALSE)))</f>
        <v xml:space="preserve">تكاليف العمليات </v>
      </c>
      <c r="O2377" s="84" t="s">
        <v>2407</v>
      </c>
      <c r="P2377" s="84" t="s">
        <v>1315</v>
      </c>
    </row>
    <row r="2378" spans="1:16">
      <c r="A2378" s="151">
        <v>70</v>
      </c>
      <c r="B2378" s="131">
        <v>46093</v>
      </c>
      <c r="C2378" s="150" t="s">
        <v>777</v>
      </c>
      <c r="D2378" s="140" t="str">
        <f>IF(ISERROR(VLOOKUP(C2378,'[1]خريطة الحسابات'!_xlnm.Print_Area,3,FALSE))," ",(VLOOKUP(C2378,'[1]خريطة الحسابات'!_xlnm.Print_Area,3,FALSE)))</f>
        <v>خامات ومصنعية أعمال السيراميك</v>
      </c>
      <c r="E2378" s="142"/>
      <c r="F2378" s="133">
        <v>3000</v>
      </c>
      <c r="G2378" s="133"/>
      <c r="H2378" s="134">
        <f t="shared" si="109"/>
        <v>3000</v>
      </c>
      <c r="I2378" s="134">
        <f t="shared" si="109"/>
        <v>0</v>
      </c>
      <c r="J2378" s="134">
        <f t="shared" si="108"/>
        <v>3000</v>
      </c>
      <c r="K2378" s="135"/>
      <c r="L2378" s="136" t="str">
        <f t="shared" si="110"/>
        <v>مدين</v>
      </c>
      <c r="M2378" s="137" t="str">
        <f>IF(ISERROR(VLOOKUP(C2378,'[1]خريطة الحسابات'!_xlnm.Print_Area,4,FALSE))," ",(VLOOKUP(C2378,'[1]خريطة الحسابات'!_xlnm.Print_Area,4,FALSE)))</f>
        <v>388 تكاليف مشروع الدقي</v>
      </c>
      <c r="N2378" s="138" t="str">
        <f>IF(ISERROR(VLOOKUP(C2378,'[1]خريطة الحسابات'!_xlnm.Print_Area,5,FALSE))," ",(VLOOKUP(C2378,'[1]خريطة الحسابات'!_xlnm.Print_Area,5,FALSE)))</f>
        <v xml:space="preserve">تكاليف العمليات </v>
      </c>
      <c r="O2378" s="84" t="s">
        <v>2408</v>
      </c>
      <c r="P2378" s="84" t="s">
        <v>1315</v>
      </c>
    </row>
    <row r="2379" spans="1:16">
      <c r="A2379" s="151">
        <v>70</v>
      </c>
      <c r="B2379" s="131">
        <v>46093</v>
      </c>
      <c r="C2379" s="150" t="s">
        <v>777</v>
      </c>
      <c r="D2379" s="140" t="str">
        <f>IF(ISERROR(VLOOKUP(C2379,'[1]خريطة الحسابات'!_xlnm.Print_Area,3,FALSE))," ",(VLOOKUP(C2379,'[1]خريطة الحسابات'!_xlnm.Print_Area,3,FALSE)))</f>
        <v>خامات ومصنعية أعمال السيراميك</v>
      </c>
      <c r="E2379" s="142"/>
      <c r="F2379" s="133">
        <v>9000</v>
      </c>
      <c r="G2379" s="133"/>
      <c r="H2379" s="134">
        <f t="shared" si="109"/>
        <v>9000</v>
      </c>
      <c r="I2379" s="134">
        <f t="shared" si="109"/>
        <v>0</v>
      </c>
      <c r="J2379" s="134">
        <f t="shared" si="108"/>
        <v>9000</v>
      </c>
      <c r="K2379" s="135"/>
      <c r="L2379" s="136" t="str">
        <f t="shared" si="110"/>
        <v>مدين</v>
      </c>
      <c r="M2379" s="137" t="str">
        <f>IF(ISERROR(VLOOKUP(C2379,'[1]خريطة الحسابات'!_xlnm.Print_Area,4,FALSE))," ",(VLOOKUP(C2379,'[1]خريطة الحسابات'!_xlnm.Print_Area,4,FALSE)))</f>
        <v>388 تكاليف مشروع الدقي</v>
      </c>
      <c r="N2379" s="138" t="str">
        <f>IF(ISERROR(VLOOKUP(C2379,'[1]خريطة الحسابات'!_xlnm.Print_Area,5,FALSE))," ",(VLOOKUP(C2379,'[1]خريطة الحسابات'!_xlnm.Print_Area,5,FALSE)))</f>
        <v xml:space="preserve">تكاليف العمليات </v>
      </c>
      <c r="O2379" s="84" t="s">
        <v>2409</v>
      </c>
      <c r="P2379" s="84" t="s">
        <v>1315</v>
      </c>
    </row>
    <row r="2380" spans="1:16">
      <c r="A2380" s="151">
        <v>70</v>
      </c>
      <c r="B2380" s="131">
        <v>46093</v>
      </c>
      <c r="C2380" s="150" t="s">
        <v>777</v>
      </c>
      <c r="D2380" s="140" t="str">
        <f>IF(ISERROR(VLOOKUP(C2380,'[1]خريطة الحسابات'!_xlnm.Print_Area,3,FALSE))," ",(VLOOKUP(C2380,'[1]خريطة الحسابات'!_xlnm.Print_Area,3,FALSE)))</f>
        <v>خامات ومصنعية أعمال السيراميك</v>
      </c>
      <c r="E2380" s="142"/>
      <c r="F2380" s="133">
        <v>2150</v>
      </c>
      <c r="G2380" s="133"/>
      <c r="H2380" s="134">
        <f t="shared" si="109"/>
        <v>2150</v>
      </c>
      <c r="I2380" s="134">
        <f t="shared" si="109"/>
        <v>0</v>
      </c>
      <c r="J2380" s="134">
        <f t="shared" si="108"/>
        <v>2150</v>
      </c>
      <c r="K2380" s="135"/>
      <c r="L2380" s="136" t="str">
        <f t="shared" si="110"/>
        <v>مدين</v>
      </c>
      <c r="M2380" s="137" t="str">
        <f>IF(ISERROR(VLOOKUP(C2380,'[1]خريطة الحسابات'!_xlnm.Print_Area,4,FALSE))," ",(VLOOKUP(C2380,'[1]خريطة الحسابات'!_xlnm.Print_Area,4,FALSE)))</f>
        <v>388 تكاليف مشروع الدقي</v>
      </c>
      <c r="N2380" s="138" t="str">
        <f>IF(ISERROR(VLOOKUP(C2380,'[1]خريطة الحسابات'!_xlnm.Print_Area,5,FALSE))," ",(VLOOKUP(C2380,'[1]خريطة الحسابات'!_xlnm.Print_Area,5,FALSE)))</f>
        <v xml:space="preserve">تكاليف العمليات </v>
      </c>
      <c r="O2380" s="84" t="s">
        <v>2410</v>
      </c>
      <c r="P2380" s="84" t="s">
        <v>1315</v>
      </c>
    </row>
    <row r="2381" spans="1:16">
      <c r="A2381" s="151">
        <v>70</v>
      </c>
      <c r="B2381" s="131">
        <v>46097</v>
      </c>
      <c r="C2381" s="150" t="s">
        <v>777</v>
      </c>
      <c r="D2381" s="140" t="str">
        <f>IF(ISERROR(VLOOKUP(C2381,'[1]خريطة الحسابات'!_xlnm.Print_Area,3,FALSE))," ",(VLOOKUP(C2381,'[1]خريطة الحسابات'!_xlnm.Print_Area,3,FALSE)))</f>
        <v>خامات ومصنعية أعمال السيراميك</v>
      </c>
      <c r="E2381" s="142"/>
      <c r="F2381" s="133">
        <v>4420</v>
      </c>
      <c r="G2381" s="133"/>
      <c r="H2381" s="134">
        <f t="shared" si="109"/>
        <v>4420</v>
      </c>
      <c r="I2381" s="134">
        <f t="shared" si="109"/>
        <v>0</v>
      </c>
      <c r="J2381" s="134">
        <f t="shared" si="108"/>
        <v>4420</v>
      </c>
      <c r="K2381" s="135"/>
      <c r="L2381" s="136" t="str">
        <f t="shared" si="110"/>
        <v>مدين</v>
      </c>
      <c r="M2381" s="137" t="str">
        <f>IF(ISERROR(VLOOKUP(C2381,'[1]خريطة الحسابات'!_xlnm.Print_Area,4,FALSE))," ",(VLOOKUP(C2381,'[1]خريطة الحسابات'!_xlnm.Print_Area,4,FALSE)))</f>
        <v>388 تكاليف مشروع الدقي</v>
      </c>
      <c r="N2381" s="138" t="str">
        <f>IF(ISERROR(VLOOKUP(C2381,'[1]خريطة الحسابات'!_xlnm.Print_Area,5,FALSE))," ",(VLOOKUP(C2381,'[1]خريطة الحسابات'!_xlnm.Print_Area,5,FALSE)))</f>
        <v xml:space="preserve">تكاليف العمليات </v>
      </c>
      <c r="O2381" s="84" t="s">
        <v>2411</v>
      </c>
      <c r="P2381" s="84" t="s">
        <v>1315</v>
      </c>
    </row>
    <row r="2382" spans="1:16">
      <c r="A2382" s="151">
        <v>70</v>
      </c>
      <c r="B2382" s="131">
        <v>46097</v>
      </c>
      <c r="C2382" s="150" t="s">
        <v>777</v>
      </c>
      <c r="D2382" s="140" t="str">
        <f>IF(ISERROR(VLOOKUP(C2382,'[1]خريطة الحسابات'!_xlnm.Print_Area,3,FALSE))," ",(VLOOKUP(C2382,'[1]خريطة الحسابات'!_xlnm.Print_Area,3,FALSE)))</f>
        <v>خامات ومصنعية أعمال السيراميك</v>
      </c>
      <c r="E2382" s="142"/>
      <c r="F2382" s="133">
        <v>1000</v>
      </c>
      <c r="G2382" s="133"/>
      <c r="H2382" s="134">
        <f t="shared" si="109"/>
        <v>1000</v>
      </c>
      <c r="I2382" s="134">
        <f t="shared" si="109"/>
        <v>0</v>
      </c>
      <c r="J2382" s="134">
        <f t="shared" si="108"/>
        <v>1000</v>
      </c>
      <c r="K2382" s="135"/>
      <c r="L2382" s="136" t="str">
        <f t="shared" si="110"/>
        <v>مدين</v>
      </c>
      <c r="M2382" s="137" t="str">
        <f>IF(ISERROR(VLOOKUP(C2382,'[1]خريطة الحسابات'!_xlnm.Print_Area,4,FALSE))," ",(VLOOKUP(C2382,'[1]خريطة الحسابات'!_xlnm.Print_Area,4,FALSE)))</f>
        <v>388 تكاليف مشروع الدقي</v>
      </c>
      <c r="N2382" s="138" t="str">
        <f>IF(ISERROR(VLOOKUP(C2382,'[1]خريطة الحسابات'!_xlnm.Print_Area,5,FALSE))," ",(VLOOKUP(C2382,'[1]خريطة الحسابات'!_xlnm.Print_Area,5,FALSE)))</f>
        <v xml:space="preserve">تكاليف العمليات </v>
      </c>
      <c r="O2382" s="84" t="s">
        <v>2412</v>
      </c>
      <c r="P2382" s="84" t="s">
        <v>1315</v>
      </c>
    </row>
    <row r="2383" spans="1:16">
      <c r="A2383" s="151">
        <v>70</v>
      </c>
      <c r="B2383" s="131">
        <v>46109</v>
      </c>
      <c r="C2383" s="150" t="s">
        <v>777</v>
      </c>
      <c r="D2383" s="140" t="str">
        <f>IF(ISERROR(VLOOKUP(C2383,'[1]خريطة الحسابات'!_xlnm.Print_Area,3,FALSE))," ",(VLOOKUP(C2383,'[1]خريطة الحسابات'!_xlnm.Print_Area,3,FALSE)))</f>
        <v>خامات ومصنعية أعمال السيراميك</v>
      </c>
      <c r="E2383" s="142"/>
      <c r="F2383" s="133">
        <v>8809</v>
      </c>
      <c r="G2383" s="133"/>
      <c r="H2383" s="134">
        <f t="shared" si="109"/>
        <v>8809</v>
      </c>
      <c r="I2383" s="134">
        <f t="shared" si="109"/>
        <v>0</v>
      </c>
      <c r="J2383" s="134">
        <f t="shared" si="108"/>
        <v>8809</v>
      </c>
      <c r="K2383" s="135"/>
      <c r="L2383" s="136" t="str">
        <f t="shared" si="110"/>
        <v>مدين</v>
      </c>
      <c r="M2383" s="137" t="str">
        <f>IF(ISERROR(VLOOKUP(C2383,'[1]خريطة الحسابات'!_xlnm.Print_Area,4,FALSE))," ",(VLOOKUP(C2383,'[1]خريطة الحسابات'!_xlnm.Print_Area,4,FALSE)))</f>
        <v>388 تكاليف مشروع الدقي</v>
      </c>
      <c r="N2383" s="138" t="str">
        <f>IF(ISERROR(VLOOKUP(C2383,'[1]خريطة الحسابات'!_xlnm.Print_Area,5,FALSE))," ",(VLOOKUP(C2383,'[1]خريطة الحسابات'!_xlnm.Print_Area,5,FALSE)))</f>
        <v xml:space="preserve">تكاليف العمليات </v>
      </c>
      <c r="O2383" s="84" t="s">
        <v>2413</v>
      </c>
      <c r="P2383" s="84" t="s">
        <v>1315</v>
      </c>
    </row>
    <row r="2384" spans="1:16">
      <c r="A2384" s="151">
        <v>70</v>
      </c>
      <c r="B2384" s="131">
        <v>46117</v>
      </c>
      <c r="C2384" s="150" t="s">
        <v>777</v>
      </c>
      <c r="D2384" s="140" t="str">
        <f>IF(ISERROR(VLOOKUP(C2384,'[1]خريطة الحسابات'!_xlnm.Print_Area,3,FALSE))," ",(VLOOKUP(C2384,'[1]خريطة الحسابات'!_xlnm.Print_Area,3,FALSE)))</f>
        <v>خامات ومصنعية أعمال السيراميك</v>
      </c>
      <c r="E2384" s="142"/>
      <c r="F2384" s="133">
        <v>2890</v>
      </c>
      <c r="G2384" s="133"/>
      <c r="H2384" s="134">
        <f t="shared" si="109"/>
        <v>2890</v>
      </c>
      <c r="I2384" s="134">
        <f t="shared" si="109"/>
        <v>0</v>
      </c>
      <c r="J2384" s="134">
        <f t="shared" si="108"/>
        <v>2890</v>
      </c>
      <c r="K2384" s="135"/>
      <c r="L2384" s="136" t="str">
        <f t="shared" si="110"/>
        <v>مدين</v>
      </c>
      <c r="M2384" s="137" t="str">
        <f>IF(ISERROR(VLOOKUP(C2384,'[1]خريطة الحسابات'!_xlnm.Print_Area,4,FALSE))," ",(VLOOKUP(C2384,'[1]خريطة الحسابات'!_xlnm.Print_Area,4,FALSE)))</f>
        <v>388 تكاليف مشروع الدقي</v>
      </c>
      <c r="N2384" s="138" t="str">
        <f>IF(ISERROR(VLOOKUP(C2384,'[1]خريطة الحسابات'!_xlnm.Print_Area,5,FALSE))," ",(VLOOKUP(C2384,'[1]خريطة الحسابات'!_xlnm.Print_Area,5,FALSE)))</f>
        <v xml:space="preserve">تكاليف العمليات </v>
      </c>
      <c r="O2384" s="84" t="s">
        <v>2414</v>
      </c>
      <c r="P2384" s="84" t="s">
        <v>1315</v>
      </c>
    </row>
    <row r="2385" spans="1:16">
      <c r="A2385" s="151">
        <v>70</v>
      </c>
      <c r="B2385" s="131">
        <v>46121</v>
      </c>
      <c r="C2385" s="150" t="s">
        <v>777</v>
      </c>
      <c r="D2385" s="140" t="str">
        <f>IF(ISERROR(VLOOKUP(C2385,'[1]خريطة الحسابات'!_xlnm.Print_Area,3,FALSE))," ",(VLOOKUP(C2385,'[1]خريطة الحسابات'!_xlnm.Print_Area,3,FALSE)))</f>
        <v>خامات ومصنعية أعمال السيراميك</v>
      </c>
      <c r="E2385" s="142"/>
      <c r="F2385" s="133">
        <v>4595</v>
      </c>
      <c r="G2385" s="133"/>
      <c r="H2385" s="134">
        <f t="shared" si="109"/>
        <v>4595</v>
      </c>
      <c r="I2385" s="134">
        <f t="shared" si="109"/>
        <v>0</v>
      </c>
      <c r="J2385" s="134">
        <f t="shared" si="108"/>
        <v>4595</v>
      </c>
      <c r="K2385" s="135"/>
      <c r="L2385" s="136" t="str">
        <f t="shared" si="110"/>
        <v>مدين</v>
      </c>
      <c r="M2385" s="137" t="str">
        <f>IF(ISERROR(VLOOKUP(C2385,'[1]خريطة الحسابات'!_xlnm.Print_Area,4,FALSE))," ",(VLOOKUP(C2385,'[1]خريطة الحسابات'!_xlnm.Print_Area,4,FALSE)))</f>
        <v>388 تكاليف مشروع الدقي</v>
      </c>
      <c r="N2385" s="138" t="str">
        <f>IF(ISERROR(VLOOKUP(C2385,'[1]خريطة الحسابات'!_xlnm.Print_Area,5,FALSE))," ",(VLOOKUP(C2385,'[1]خريطة الحسابات'!_xlnm.Print_Area,5,FALSE)))</f>
        <v xml:space="preserve">تكاليف العمليات </v>
      </c>
      <c r="O2385" s="84" t="s">
        <v>2400</v>
      </c>
      <c r="P2385" s="84" t="s">
        <v>1315</v>
      </c>
    </row>
    <row r="2386" spans="1:16">
      <c r="A2386" s="151">
        <v>70</v>
      </c>
      <c r="B2386" s="131">
        <v>46123</v>
      </c>
      <c r="C2386" s="150" t="s">
        <v>777</v>
      </c>
      <c r="D2386" s="140" t="str">
        <f>IF(ISERROR(VLOOKUP(C2386,'[1]خريطة الحسابات'!_xlnm.Print_Area,3,FALSE))," ",(VLOOKUP(C2386,'[1]خريطة الحسابات'!_xlnm.Print_Area,3,FALSE)))</f>
        <v>خامات ومصنعية أعمال السيراميك</v>
      </c>
      <c r="E2386" s="142"/>
      <c r="F2386" s="133">
        <v>350</v>
      </c>
      <c r="G2386" s="133"/>
      <c r="H2386" s="134">
        <f t="shared" si="109"/>
        <v>350</v>
      </c>
      <c r="I2386" s="134">
        <f t="shared" si="109"/>
        <v>0</v>
      </c>
      <c r="J2386" s="134">
        <f t="shared" si="108"/>
        <v>350</v>
      </c>
      <c r="K2386" s="135"/>
      <c r="L2386" s="136" t="str">
        <f t="shared" si="110"/>
        <v>مدين</v>
      </c>
      <c r="M2386" s="137" t="str">
        <f>IF(ISERROR(VLOOKUP(C2386,'[1]خريطة الحسابات'!_xlnm.Print_Area,4,FALSE))," ",(VLOOKUP(C2386,'[1]خريطة الحسابات'!_xlnm.Print_Area,4,FALSE)))</f>
        <v>388 تكاليف مشروع الدقي</v>
      </c>
      <c r="N2386" s="138" t="str">
        <f>IF(ISERROR(VLOOKUP(C2386,'[1]خريطة الحسابات'!_xlnm.Print_Area,5,FALSE))," ",(VLOOKUP(C2386,'[1]خريطة الحسابات'!_xlnm.Print_Area,5,FALSE)))</f>
        <v xml:space="preserve">تكاليف العمليات </v>
      </c>
      <c r="O2386" s="84" t="s">
        <v>2415</v>
      </c>
      <c r="P2386" s="84" t="s">
        <v>1315</v>
      </c>
    </row>
    <row r="2387" spans="1:16">
      <c r="A2387" s="151">
        <v>70</v>
      </c>
      <c r="B2387" s="131">
        <v>46123</v>
      </c>
      <c r="C2387" s="150" t="s">
        <v>777</v>
      </c>
      <c r="D2387" s="140" t="str">
        <f>IF(ISERROR(VLOOKUP(C2387,'[1]خريطة الحسابات'!_xlnm.Print_Area,3,FALSE))," ",(VLOOKUP(C2387,'[1]خريطة الحسابات'!_xlnm.Print_Area,3,FALSE)))</f>
        <v>خامات ومصنعية أعمال السيراميك</v>
      </c>
      <c r="E2387" s="142"/>
      <c r="F2387" s="133">
        <v>4350</v>
      </c>
      <c r="G2387" s="133"/>
      <c r="H2387" s="134">
        <f t="shared" si="109"/>
        <v>4350</v>
      </c>
      <c r="I2387" s="134">
        <f t="shared" si="109"/>
        <v>0</v>
      </c>
      <c r="J2387" s="134">
        <f t="shared" si="108"/>
        <v>4350</v>
      </c>
      <c r="K2387" s="135"/>
      <c r="L2387" s="136" t="str">
        <f t="shared" si="110"/>
        <v>مدين</v>
      </c>
      <c r="M2387" s="137" t="str">
        <f>IF(ISERROR(VLOOKUP(C2387,'[1]خريطة الحسابات'!_xlnm.Print_Area,4,FALSE))," ",(VLOOKUP(C2387,'[1]خريطة الحسابات'!_xlnm.Print_Area,4,FALSE)))</f>
        <v>388 تكاليف مشروع الدقي</v>
      </c>
      <c r="N2387" s="138" t="str">
        <f>IF(ISERROR(VLOOKUP(C2387,'[1]خريطة الحسابات'!_xlnm.Print_Area,5,FALSE))," ",(VLOOKUP(C2387,'[1]خريطة الحسابات'!_xlnm.Print_Area,5,FALSE)))</f>
        <v xml:space="preserve">تكاليف العمليات </v>
      </c>
      <c r="O2387" s="84" t="s">
        <v>2416</v>
      </c>
      <c r="P2387" s="84" t="s">
        <v>1315</v>
      </c>
    </row>
    <row r="2388" spans="1:16">
      <c r="A2388" s="151">
        <v>70</v>
      </c>
      <c r="B2388" s="131">
        <v>46029</v>
      </c>
      <c r="C2388" s="150" t="s">
        <v>462</v>
      </c>
      <c r="D2388" s="140" t="str">
        <f>IF(ISERROR(VLOOKUP(C2388,'[1]خريطة الحسابات'!_xlnm.Print_Area,3,FALSE))," ",(VLOOKUP(C2388,'[1]خريطة الحسابات'!_xlnm.Print_Area,3,FALSE)))</f>
        <v>خامات ومصنعية أعمال السيراميك</v>
      </c>
      <c r="E2388" s="142"/>
      <c r="F2388" s="133">
        <v>1050</v>
      </c>
      <c r="G2388" s="133"/>
      <c r="H2388" s="134">
        <f t="shared" si="109"/>
        <v>1050</v>
      </c>
      <c r="I2388" s="134">
        <f t="shared" si="109"/>
        <v>0</v>
      </c>
      <c r="J2388" s="134">
        <f t="shared" si="108"/>
        <v>1050</v>
      </c>
      <c r="K2388" s="135"/>
      <c r="L2388" s="136" t="str">
        <f t="shared" si="110"/>
        <v>مدين</v>
      </c>
      <c r="M2388" s="137" t="str">
        <f>IF(ISERROR(VLOOKUP(C2388,'[1]خريطة الحسابات'!_xlnm.Print_Area,4,FALSE))," ",(VLOOKUP(C2388,'[1]خريطة الحسابات'!_xlnm.Print_Area,4,FALSE)))</f>
        <v>350 تكاليف مشروع شفيق</v>
      </c>
      <c r="N2388" s="138" t="str">
        <f>IF(ISERROR(VLOOKUP(C2388,'[1]خريطة الحسابات'!_xlnm.Print_Area,5,FALSE))," ",(VLOOKUP(C2388,'[1]خريطة الحسابات'!_xlnm.Print_Area,5,FALSE)))</f>
        <v xml:space="preserve">تكاليف العمليات </v>
      </c>
      <c r="O2388" s="84" t="s">
        <v>2417</v>
      </c>
      <c r="P2388" s="84" t="s">
        <v>1325</v>
      </c>
    </row>
    <row r="2389" spans="1:16">
      <c r="A2389" s="151">
        <v>70</v>
      </c>
      <c r="B2389" s="131">
        <v>46044</v>
      </c>
      <c r="C2389" s="150" t="s">
        <v>462</v>
      </c>
      <c r="D2389" s="140" t="str">
        <f>IF(ISERROR(VLOOKUP(C2389,'[1]خريطة الحسابات'!_xlnm.Print_Area,3,FALSE))," ",(VLOOKUP(C2389,'[1]خريطة الحسابات'!_xlnm.Print_Area,3,FALSE)))</f>
        <v>خامات ومصنعية أعمال السيراميك</v>
      </c>
      <c r="E2389" s="142"/>
      <c r="F2389" s="133">
        <v>2000</v>
      </c>
      <c r="G2389" s="133"/>
      <c r="H2389" s="134">
        <f t="shared" si="109"/>
        <v>2000</v>
      </c>
      <c r="I2389" s="134">
        <f t="shared" si="109"/>
        <v>0</v>
      </c>
      <c r="J2389" s="134">
        <f t="shared" si="108"/>
        <v>2000</v>
      </c>
      <c r="K2389" s="135"/>
      <c r="L2389" s="136" t="str">
        <f t="shared" si="110"/>
        <v>مدين</v>
      </c>
      <c r="M2389" s="137" t="str">
        <f>IF(ISERROR(VLOOKUP(C2389,'[1]خريطة الحسابات'!_xlnm.Print_Area,4,FALSE))," ",(VLOOKUP(C2389,'[1]خريطة الحسابات'!_xlnm.Print_Area,4,FALSE)))</f>
        <v>350 تكاليف مشروع شفيق</v>
      </c>
      <c r="N2389" s="138" t="str">
        <f>IF(ISERROR(VLOOKUP(C2389,'[1]خريطة الحسابات'!_xlnm.Print_Area,5,FALSE))," ",(VLOOKUP(C2389,'[1]خريطة الحسابات'!_xlnm.Print_Area,5,FALSE)))</f>
        <v xml:space="preserve">تكاليف العمليات </v>
      </c>
      <c r="O2389" s="84" t="s">
        <v>2418</v>
      </c>
      <c r="P2389" s="84" t="s">
        <v>1325</v>
      </c>
    </row>
    <row r="2390" spans="1:16">
      <c r="A2390" s="151">
        <v>70</v>
      </c>
      <c r="B2390" s="131">
        <v>46065</v>
      </c>
      <c r="C2390" s="150" t="s">
        <v>462</v>
      </c>
      <c r="D2390" s="140" t="str">
        <f>IF(ISERROR(VLOOKUP(C2390,'[1]خريطة الحسابات'!_xlnm.Print_Area,3,FALSE))," ",(VLOOKUP(C2390,'[1]خريطة الحسابات'!_xlnm.Print_Area,3,FALSE)))</f>
        <v>خامات ومصنعية أعمال السيراميك</v>
      </c>
      <c r="E2390" s="142"/>
      <c r="F2390" s="133">
        <v>6670</v>
      </c>
      <c r="G2390" s="133"/>
      <c r="H2390" s="134">
        <f t="shared" si="109"/>
        <v>6670</v>
      </c>
      <c r="I2390" s="134">
        <f t="shared" si="109"/>
        <v>0</v>
      </c>
      <c r="J2390" s="134">
        <f t="shared" si="108"/>
        <v>6670</v>
      </c>
      <c r="K2390" s="135"/>
      <c r="L2390" s="136" t="str">
        <f t="shared" si="110"/>
        <v>مدين</v>
      </c>
      <c r="M2390" s="137" t="str">
        <f>IF(ISERROR(VLOOKUP(C2390,'[1]خريطة الحسابات'!_xlnm.Print_Area,4,FALSE))," ",(VLOOKUP(C2390,'[1]خريطة الحسابات'!_xlnm.Print_Area,4,FALSE)))</f>
        <v>350 تكاليف مشروع شفيق</v>
      </c>
      <c r="N2390" s="138" t="str">
        <f>IF(ISERROR(VLOOKUP(C2390,'[1]خريطة الحسابات'!_xlnm.Print_Area,5,FALSE))," ",(VLOOKUP(C2390,'[1]خريطة الحسابات'!_xlnm.Print_Area,5,FALSE)))</f>
        <v xml:space="preserve">تكاليف العمليات </v>
      </c>
      <c r="O2390" s="84" t="s">
        <v>2419</v>
      </c>
      <c r="P2390" s="84" t="s">
        <v>1325</v>
      </c>
    </row>
    <row r="2391" spans="1:16">
      <c r="A2391" s="151">
        <v>70</v>
      </c>
      <c r="B2391" s="131">
        <v>46043</v>
      </c>
      <c r="C2391" s="150" t="s">
        <v>567</v>
      </c>
      <c r="D2391" s="140" t="str">
        <f>IF(ISERROR(VLOOKUP(C2391,'[1]خريطة الحسابات'!_xlnm.Print_Area,3,FALSE))," ",(VLOOKUP(C2391,'[1]خريطة الحسابات'!_xlnm.Print_Area,3,FALSE)))</f>
        <v>خامات ومصنعية أعمال السيراميك</v>
      </c>
      <c r="E2391" s="142"/>
      <c r="F2391" s="133">
        <v>440</v>
      </c>
      <c r="G2391" s="133"/>
      <c r="H2391" s="134">
        <f t="shared" si="109"/>
        <v>440</v>
      </c>
      <c r="I2391" s="134">
        <f t="shared" si="109"/>
        <v>0</v>
      </c>
      <c r="J2391" s="134">
        <f t="shared" si="108"/>
        <v>440</v>
      </c>
      <c r="K2391" s="135"/>
      <c r="L2391" s="136" t="str">
        <f t="shared" si="110"/>
        <v>مدين</v>
      </c>
      <c r="M2391" s="137" t="str">
        <f>IF(ISERROR(VLOOKUP(C2391,'[1]خريطة الحسابات'!_xlnm.Print_Area,4,FALSE))," ",(VLOOKUP(C2391,'[1]خريطة الحسابات'!_xlnm.Print_Area,4,FALSE)))</f>
        <v>تكاليف مشروع مصطفي مدينتي 356</v>
      </c>
      <c r="N2391" s="138" t="str">
        <f>IF(ISERROR(VLOOKUP(C2391,'[1]خريطة الحسابات'!_xlnm.Print_Area,5,FALSE))," ",(VLOOKUP(C2391,'[1]خريطة الحسابات'!_xlnm.Print_Area,5,FALSE)))</f>
        <v xml:space="preserve">تكاليف العمليات </v>
      </c>
      <c r="O2391" s="84" t="s">
        <v>2420</v>
      </c>
      <c r="P2391" s="84" t="s">
        <v>2421</v>
      </c>
    </row>
    <row r="2392" spans="1:16">
      <c r="A2392" s="151">
        <v>70</v>
      </c>
      <c r="B2392" s="131">
        <v>46132</v>
      </c>
      <c r="C2392" s="150" t="s">
        <v>287</v>
      </c>
      <c r="D2392" s="140" t="str">
        <f>IF(ISERROR(VLOOKUP(C2392,'[1]خريطة الحسابات'!_xlnm.Print_Area,3,FALSE))," ",(VLOOKUP(C2392,'[1]خريطة الحسابات'!_xlnm.Print_Area,3,FALSE)))</f>
        <v>خامات ومصنعية أعمال السيراميك</v>
      </c>
      <c r="E2392" s="142"/>
      <c r="F2392" s="133">
        <v>1995</v>
      </c>
      <c r="G2392" s="133"/>
      <c r="H2392" s="134">
        <f t="shared" si="109"/>
        <v>1995</v>
      </c>
      <c r="I2392" s="134">
        <f t="shared" si="109"/>
        <v>0</v>
      </c>
      <c r="J2392" s="134">
        <f t="shared" ref="J2392:J2455" si="111">H2392-I2392</f>
        <v>1995</v>
      </c>
      <c r="K2392" s="135"/>
      <c r="L2392" s="136" t="str">
        <f t="shared" si="110"/>
        <v>مدين</v>
      </c>
      <c r="M2392" s="137" t="str">
        <f>IF(ISERROR(VLOOKUP(C2392,'[1]خريطة الحسابات'!_xlnm.Print_Area,4,FALSE))," ",(VLOOKUP(C2392,'[1]خريطة الحسابات'!_xlnm.Print_Area,4,FALSE)))</f>
        <v>287 تكاليف مشروع المعادي فيو</v>
      </c>
      <c r="N2392" s="138" t="str">
        <f>IF(ISERROR(VLOOKUP(C2392,'[1]خريطة الحسابات'!_xlnm.Print_Area,5,FALSE))," ",(VLOOKUP(C2392,'[1]خريطة الحسابات'!_xlnm.Print_Area,5,FALSE)))</f>
        <v xml:space="preserve">تكاليف العمليات </v>
      </c>
      <c r="O2392" s="84" t="s">
        <v>2422</v>
      </c>
      <c r="P2392" s="84" t="s">
        <v>1415</v>
      </c>
    </row>
    <row r="2393" spans="1:16">
      <c r="A2393" s="151">
        <v>70</v>
      </c>
      <c r="B2393" s="131">
        <v>46132</v>
      </c>
      <c r="C2393" s="150" t="s">
        <v>287</v>
      </c>
      <c r="D2393" s="140" t="str">
        <f>IF(ISERROR(VLOOKUP(C2393,'[1]خريطة الحسابات'!_xlnm.Print_Area,3,FALSE))," ",(VLOOKUP(C2393,'[1]خريطة الحسابات'!_xlnm.Print_Area,3,FALSE)))</f>
        <v>خامات ومصنعية أعمال السيراميك</v>
      </c>
      <c r="E2393" s="142"/>
      <c r="F2393" s="133">
        <v>1870</v>
      </c>
      <c r="G2393" s="133"/>
      <c r="H2393" s="134">
        <f t="shared" ref="H2393:I2456" si="112">IF($E2393=2,F2393*3.465,F2393)</f>
        <v>1870</v>
      </c>
      <c r="I2393" s="134">
        <f t="shared" si="112"/>
        <v>0</v>
      </c>
      <c r="J2393" s="134">
        <f t="shared" si="111"/>
        <v>1870</v>
      </c>
      <c r="K2393" s="135"/>
      <c r="L2393" s="136" t="str">
        <f t="shared" si="110"/>
        <v>مدين</v>
      </c>
      <c r="M2393" s="137" t="str">
        <f>IF(ISERROR(VLOOKUP(C2393,'[1]خريطة الحسابات'!_xlnm.Print_Area,4,FALSE))," ",(VLOOKUP(C2393,'[1]خريطة الحسابات'!_xlnm.Print_Area,4,FALSE)))</f>
        <v>287 تكاليف مشروع المعادي فيو</v>
      </c>
      <c r="N2393" s="138" t="str">
        <f>IF(ISERROR(VLOOKUP(C2393,'[1]خريطة الحسابات'!_xlnm.Print_Area,5,FALSE))," ",(VLOOKUP(C2393,'[1]خريطة الحسابات'!_xlnm.Print_Area,5,FALSE)))</f>
        <v xml:space="preserve">تكاليف العمليات </v>
      </c>
      <c r="O2393" s="84" t="s">
        <v>2423</v>
      </c>
      <c r="P2393" s="84" t="s">
        <v>1415</v>
      </c>
    </row>
    <row r="2394" spans="1:16">
      <c r="A2394" s="151">
        <v>70</v>
      </c>
      <c r="B2394" s="131">
        <v>46147</v>
      </c>
      <c r="C2394" s="150" t="s">
        <v>287</v>
      </c>
      <c r="D2394" s="140" t="str">
        <f>IF(ISERROR(VLOOKUP(C2394,'[1]خريطة الحسابات'!_xlnm.Print_Area,3,FALSE))," ",(VLOOKUP(C2394,'[1]خريطة الحسابات'!_xlnm.Print_Area,3,FALSE)))</f>
        <v>خامات ومصنعية أعمال السيراميك</v>
      </c>
      <c r="E2394" s="142"/>
      <c r="F2394" s="133">
        <v>1500</v>
      </c>
      <c r="G2394" s="133"/>
      <c r="H2394" s="134">
        <f t="shared" si="112"/>
        <v>1500</v>
      </c>
      <c r="I2394" s="134">
        <f t="shared" si="112"/>
        <v>0</v>
      </c>
      <c r="J2394" s="134">
        <f t="shared" si="111"/>
        <v>1500</v>
      </c>
      <c r="K2394" s="135"/>
      <c r="L2394" s="136" t="str">
        <f t="shared" si="110"/>
        <v>مدين</v>
      </c>
      <c r="M2394" s="137" t="str">
        <f>IF(ISERROR(VLOOKUP(C2394,'[1]خريطة الحسابات'!_xlnm.Print_Area,4,FALSE))," ",(VLOOKUP(C2394,'[1]خريطة الحسابات'!_xlnm.Print_Area,4,FALSE)))</f>
        <v>287 تكاليف مشروع المعادي فيو</v>
      </c>
      <c r="N2394" s="138" t="str">
        <f>IF(ISERROR(VLOOKUP(C2394,'[1]خريطة الحسابات'!_xlnm.Print_Area,5,FALSE))," ",(VLOOKUP(C2394,'[1]خريطة الحسابات'!_xlnm.Print_Area,5,FALSE)))</f>
        <v xml:space="preserve">تكاليف العمليات </v>
      </c>
      <c r="O2394" s="84" t="s">
        <v>2424</v>
      </c>
      <c r="P2394" s="84" t="s">
        <v>1415</v>
      </c>
    </row>
    <row r="2395" spans="1:16">
      <c r="A2395" s="151">
        <v>70</v>
      </c>
      <c r="B2395" s="131">
        <v>46027</v>
      </c>
      <c r="C2395" s="150">
        <v>20</v>
      </c>
      <c r="D2395" s="140" t="str">
        <f>IF(ISERROR(VLOOKUP(C2395,'[1]خريطة الحسابات'!_xlnm.Print_Area,3,FALSE))," ",(VLOOKUP(C2395,'[1]خريطة الحسابات'!_xlnm.Print_Area,3,FALSE)))</f>
        <v xml:space="preserve">الخزينة </v>
      </c>
      <c r="E2395" s="142"/>
      <c r="F2395" s="133"/>
      <c r="G2395" s="133">
        <v>300</v>
      </c>
      <c r="H2395" s="134">
        <f t="shared" si="112"/>
        <v>0</v>
      </c>
      <c r="I2395" s="134">
        <f t="shared" si="112"/>
        <v>300</v>
      </c>
      <c r="J2395" s="134">
        <f t="shared" si="111"/>
        <v>-300</v>
      </c>
      <c r="K2395" s="135"/>
      <c r="L2395" s="136" t="str">
        <f t="shared" ref="L2395:L2458" si="113">IF(J2395&lt;0,"دائن",IF(J2395&gt;0,"مدين",""))</f>
        <v>دائن</v>
      </c>
      <c r="M2395" s="137" t="str">
        <f>IF(ISERROR(VLOOKUP(C2395,'[1]خريطة الحسابات'!_xlnm.Print_Area,4,FALSE))," ",(VLOOKUP(C2395,'[1]خريطة الحسابات'!_xlnm.Print_Area,4,FALSE)))</f>
        <v xml:space="preserve">أصول متداوله -النقدية ومافي حكمها </v>
      </c>
      <c r="N2395" s="138" t="str">
        <f>IF(ISERROR(VLOOKUP(C2395,'[1]خريطة الحسابات'!_xlnm.Print_Area,5,FALSE))," ",(VLOOKUP(C2395,'[1]خريطة الحسابات'!_xlnm.Print_Area,5,FALSE)))</f>
        <v>الاصول</v>
      </c>
      <c r="O2395" s="84" t="s">
        <v>2356</v>
      </c>
      <c r="P2395" s="84" t="s">
        <v>1340</v>
      </c>
    </row>
    <row r="2396" spans="1:16">
      <c r="A2396" s="151">
        <v>70</v>
      </c>
      <c r="B2396" s="131">
        <v>46056</v>
      </c>
      <c r="C2396" s="150">
        <v>20</v>
      </c>
      <c r="D2396" s="140" t="str">
        <f>IF(ISERROR(VLOOKUP(C2396,'[1]خريطة الحسابات'!_xlnm.Print_Area,3,FALSE))," ",(VLOOKUP(C2396,'[1]خريطة الحسابات'!_xlnm.Print_Area,3,FALSE)))</f>
        <v xml:space="preserve">الخزينة </v>
      </c>
      <c r="E2396" s="142"/>
      <c r="F2396" s="133"/>
      <c r="G2396" s="133">
        <v>6806</v>
      </c>
      <c r="H2396" s="134">
        <f t="shared" si="112"/>
        <v>0</v>
      </c>
      <c r="I2396" s="134">
        <f t="shared" si="112"/>
        <v>6806</v>
      </c>
      <c r="J2396" s="134">
        <f t="shared" si="111"/>
        <v>-6806</v>
      </c>
      <c r="K2396" s="135"/>
      <c r="L2396" s="136" t="str">
        <f t="shared" si="113"/>
        <v>دائن</v>
      </c>
      <c r="M2396" s="137" t="str">
        <f>IF(ISERROR(VLOOKUP(C2396,'[1]خريطة الحسابات'!_xlnm.Print_Area,4,FALSE))," ",(VLOOKUP(C2396,'[1]خريطة الحسابات'!_xlnm.Print_Area,4,FALSE)))</f>
        <v xml:space="preserve">أصول متداوله -النقدية ومافي حكمها </v>
      </c>
      <c r="N2396" s="138" t="str">
        <f>IF(ISERROR(VLOOKUP(C2396,'[1]خريطة الحسابات'!_xlnm.Print_Area,5,FALSE))," ",(VLOOKUP(C2396,'[1]خريطة الحسابات'!_xlnm.Print_Area,5,FALSE)))</f>
        <v>الاصول</v>
      </c>
      <c r="O2396" s="84" t="s">
        <v>2357</v>
      </c>
      <c r="P2396" s="84" t="s">
        <v>1340</v>
      </c>
    </row>
    <row r="2397" spans="1:16">
      <c r="A2397" s="151">
        <v>70</v>
      </c>
      <c r="B2397" s="131">
        <v>46058</v>
      </c>
      <c r="C2397" s="150">
        <v>20</v>
      </c>
      <c r="D2397" s="140" t="str">
        <f>IF(ISERROR(VLOOKUP(C2397,'[1]خريطة الحسابات'!_xlnm.Print_Area,3,FALSE))," ",(VLOOKUP(C2397,'[1]خريطة الحسابات'!_xlnm.Print_Area,3,FALSE)))</f>
        <v xml:space="preserve">الخزينة </v>
      </c>
      <c r="E2397" s="142"/>
      <c r="F2397" s="133"/>
      <c r="G2397" s="133">
        <v>1261</v>
      </c>
      <c r="H2397" s="134">
        <f t="shared" si="112"/>
        <v>0</v>
      </c>
      <c r="I2397" s="134">
        <f t="shared" si="112"/>
        <v>1261</v>
      </c>
      <c r="J2397" s="134">
        <f t="shared" si="111"/>
        <v>-1261</v>
      </c>
      <c r="K2397" s="135"/>
      <c r="L2397" s="136" t="str">
        <f t="shared" si="113"/>
        <v>دائن</v>
      </c>
      <c r="M2397" s="137" t="str">
        <f>IF(ISERROR(VLOOKUP(C2397,'[1]خريطة الحسابات'!_xlnm.Print_Area,4,FALSE))," ",(VLOOKUP(C2397,'[1]خريطة الحسابات'!_xlnm.Print_Area,4,FALSE)))</f>
        <v xml:space="preserve">أصول متداوله -النقدية ومافي حكمها </v>
      </c>
      <c r="N2397" s="138" t="str">
        <f>IF(ISERROR(VLOOKUP(C2397,'[1]خريطة الحسابات'!_xlnm.Print_Area,5,FALSE))," ",(VLOOKUP(C2397,'[1]خريطة الحسابات'!_xlnm.Print_Area,5,FALSE)))</f>
        <v>الاصول</v>
      </c>
      <c r="O2397" s="84" t="s">
        <v>2358</v>
      </c>
      <c r="P2397" s="84" t="s">
        <v>1340</v>
      </c>
    </row>
    <row r="2398" spans="1:16">
      <c r="A2398" s="151">
        <v>70</v>
      </c>
      <c r="B2398" s="131">
        <v>46060</v>
      </c>
      <c r="C2398" s="150">
        <v>20</v>
      </c>
      <c r="D2398" s="140" t="str">
        <f>IF(ISERROR(VLOOKUP(C2398,'[1]خريطة الحسابات'!_xlnm.Print_Area,3,FALSE))," ",(VLOOKUP(C2398,'[1]خريطة الحسابات'!_xlnm.Print_Area,3,FALSE)))</f>
        <v xml:space="preserve">الخزينة </v>
      </c>
      <c r="E2398" s="142"/>
      <c r="F2398" s="133"/>
      <c r="G2398" s="133">
        <v>600</v>
      </c>
      <c r="H2398" s="134">
        <f t="shared" si="112"/>
        <v>0</v>
      </c>
      <c r="I2398" s="134">
        <f t="shared" si="112"/>
        <v>600</v>
      </c>
      <c r="J2398" s="134">
        <f t="shared" si="111"/>
        <v>-600</v>
      </c>
      <c r="K2398" s="135"/>
      <c r="L2398" s="136" t="str">
        <f t="shared" si="113"/>
        <v>دائن</v>
      </c>
      <c r="M2398" s="137" t="str">
        <f>IF(ISERROR(VLOOKUP(C2398,'[1]خريطة الحسابات'!_xlnm.Print_Area,4,FALSE))," ",(VLOOKUP(C2398,'[1]خريطة الحسابات'!_xlnm.Print_Area,4,FALSE)))</f>
        <v xml:space="preserve">أصول متداوله -النقدية ومافي حكمها </v>
      </c>
      <c r="N2398" s="138" t="str">
        <f>IF(ISERROR(VLOOKUP(C2398,'[1]خريطة الحسابات'!_xlnm.Print_Area,5,FALSE))," ",(VLOOKUP(C2398,'[1]خريطة الحسابات'!_xlnm.Print_Area,5,FALSE)))</f>
        <v>الاصول</v>
      </c>
      <c r="O2398" s="84" t="s">
        <v>2359</v>
      </c>
      <c r="P2398" s="84" t="s">
        <v>1340</v>
      </c>
    </row>
    <row r="2399" spans="1:16">
      <c r="A2399" s="151">
        <v>70</v>
      </c>
      <c r="B2399" s="131">
        <v>46064</v>
      </c>
      <c r="C2399" s="150">
        <v>20</v>
      </c>
      <c r="D2399" s="140" t="str">
        <f>IF(ISERROR(VLOOKUP(C2399,'[1]خريطة الحسابات'!_xlnm.Print_Area,3,FALSE))," ",(VLOOKUP(C2399,'[1]خريطة الحسابات'!_xlnm.Print_Area,3,FALSE)))</f>
        <v xml:space="preserve">الخزينة </v>
      </c>
      <c r="E2399" s="142"/>
      <c r="F2399" s="133"/>
      <c r="G2399" s="133">
        <v>6807</v>
      </c>
      <c r="H2399" s="134">
        <f t="shared" si="112"/>
        <v>0</v>
      </c>
      <c r="I2399" s="134">
        <f t="shared" si="112"/>
        <v>6807</v>
      </c>
      <c r="J2399" s="134">
        <f t="shared" si="111"/>
        <v>-6807</v>
      </c>
      <c r="K2399" s="135"/>
      <c r="L2399" s="136" t="str">
        <f t="shared" si="113"/>
        <v>دائن</v>
      </c>
      <c r="M2399" s="137" t="str">
        <f>IF(ISERROR(VLOOKUP(C2399,'[1]خريطة الحسابات'!_xlnm.Print_Area,4,FALSE))," ",(VLOOKUP(C2399,'[1]خريطة الحسابات'!_xlnm.Print_Area,4,FALSE)))</f>
        <v xml:space="preserve">أصول متداوله -النقدية ومافي حكمها </v>
      </c>
      <c r="N2399" s="138" t="str">
        <f>IF(ISERROR(VLOOKUP(C2399,'[1]خريطة الحسابات'!_xlnm.Print_Area,5,FALSE))," ",(VLOOKUP(C2399,'[1]خريطة الحسابات'!_xlnm.Print_Area,5,FALSE)))</f>
        <v>الاصول</v>
      </c>
      <c r="O2399" s="84" t="s">
        <v>2360</v>
      </c>
      <c r="P2399" s="84" t="s">
        <v>1340</v>
      </c>
    </row>
    <row r="2400" spans="1:16">
      <c r="A2400" s="151">
        <v>70</v>
      </c>
      <c r="B2400" s="131">
        <v>46070</v>
      </c>
      <c r="C2400" s="150">
        <v>20</v>
      </c>
      <c r="D2400" s="140" t="str">
        <f>IF(ISERROR(VLOOKUP(C2400,'[1]خريطة الحسابات'!_xlnm.Print_Area,3,FALSE))," ",(VLOOKUP(C2400,'[1]خريطة الحسابات'!_xlnm.Print_Area,3,FALSE)))</f>
        <v xml:space="preserve">الخزينة </v>
      </c>
      <c r="E2400" s="142"/>
      <c r="F2400" s="133"/>
      <c r="G2400" s="133">
        <v>125</v>
      </c>
      <c r="H2400" s="134">
        <f t="shared" si="112"/>
        <v>0</v>
      </c>
      <c r="I2400" s="134">
        <f t="shared" si="112"/>
        <v>125</v>
      </c>
      <c r="J2400" s="134">
        <f t="shared" si="111"/>
        <v>-125</v>
      </c>
      <c r="K2400" s="135"/>
      <c r="L2400" s="136" t="str">
        <f t="shared" si="113"/>
        <v>دائن</v>
      </c>
      <c r="M2400" s="137" t="str">
        <f>IF(ISERROR(VLOOKUP(C2400,'[1]خريطة الحسابات'!_xlnm.Print_Area,4,FALSE))," ",(VLOOKUP(C2400,'[1]خريطة الحسابات'!_xlnm.Print_Area,4,FALSE)))</f>
        <v xml:space="preserve">أصول متداوله -النقدية ومافي حكمها </v>
      </c>
      <c r="N2400" s="138" t="str">
        <f>IF(ISERROR(VLOOKUP(C2400,'[1]خريطة الحسابات'!_xlnm.Print_Area,5,FALSE))," ",(VLOOKUP(C2400,'[1]خريطة الحسابات'!_xlnm.Print_Area,5,FALSE)))</f>
        <v>الاصول</v>
      </c>
      <c r="O2400" s="84" t="s">
        <v>2361</v>
      </c>
      <c r="P2400" s="84" t="s">
        <v>1340</v>
      </c>
    </row>
    <row r="2401" spans="1:16">
      <c r="A2401" s="151">
        <v>70</v>
      </c>
      <c r="B2401" s="131">
        <v>46070</v>
      </c>
      <c r="C2401" s="150">
        <v>20</v>
      </c>
      <c r="D2401" s="140" t="str">
        <f>IF(ISERROR(VLOOKUP(C2401,'[1]خريطة الحسابات'!_xlnm.Print_Area,3,FALSE))," ",(VLOOKUP(C2401,'[1]خريطة الحسابات'!_xlnm.Print_Area,3,FALSE)))</f>
        <v xml:space="preserve">الخزينة </v>
      </c>
      <c r="E2401" s="142"/>
      <c r="F2401" s="133"/>
      <c r="G2401" s="133">
        <v>2750</v>
      </c>
      <c r="H2401" s="134">
        <f t="shared" si="112"/>
        <v>0</v>
      </c>
      <c r="I2401" s="134">
        <f t="shared" si="112"/>
        <v>2750</v>
      </c>
      <c r="J2401" s="134">
        <f t="shared" si="111"/>
        <v>-2750</v>
      </c>
      <c r="K2401" s="135"/>
      <c r="L2401" s="136" t="str">
        <f t="shared" si="113"/>
        <v>دائن</v>
      </c>
      <c r="M2401" s="137" t="str">
        <f>IF(ISERROR(VLOOKUP(C2401,'[1]خريطة الحسابات'!_xlnm.Print_Area,4,FALSE))," ",(VLOOKUP(C2401,'[1]خريطة الحسابات'!_xlnm.Print_Area,4,FALSE)))</f>
        <v xml:space="preserve">أصول متداوله -النقدية ومافي حكمها </v>
      </c>
      <c r="N2401" s="138" t="str">
        <f>IF(ISERROR(VLOOKUP(C2401,'[1]خريطة الحسابات'!_xlnm.Print_Area,5,FALSE))," ",(VLOOKUP(C2401,'[1]خريطة الحسابات'!_xlnm.Print_Area,5,FALSE)))</f>
        <v>الاصول</v>
      </c>
      <c r="O2401" s="84" t="s">
        <v>2362</v>
      </c>
      <c r="P2401" s="84" t="s">
        <v>1340</v>
      </c>
    </row>
    <row r="2402" spans="1:16">
      <c r="A2402" s="151">
        <v>70</v>
      </c>
      <c r="B2402" s="131">
        <v>46079</v>
      </c>
      <c r="C2402" s="150">
        <v>20</v>
      </c>
      <c r="D2402" s="140" t="str">
        <f>IF(ISERROR(VLOOKUP(C2402,'[1]خريطة الحسابات'!_xlnm.Print_Area,3,FALSE))," ",(VLOOKUP(C2402,'[1]خريطة الحسابات'!_xlnm.Print_Area,3,FALSE)))</f>
        <v xml:space="preserve">الخزينة </v>
      </c>
      <c r="E2402" s="142"/>
      <c r="F2402" s="133"/>
      <c r="G2402" s="133">
        <v>11235</v>
      </c>
      <c r="H2402" s="134">
        <f t="shared" si="112"/>
        <v>0</v>
      </c>
      <c r="I2402" s="134">
        <f t="shared" si="112"/>
        <v>11235</v>
      </c>
      <c r="J2402" s="134">
        <f t="shared" si="111"/>
        <v>-11235</v>
      </c>
      <c r="K2402" s="135"/>
      <c r="L2402" s="136" t="str">
        <f t="shared" si="113"/>
        <v>دائن</v>
      </c>
      <c r="M2402" s="137" t="str">
        <f>IF(ISERROR(VLOOKUP(C2402,'[1]خريطة الحسابات'!_xlnm.Print_Area,4,FALSE))," ",(VLOOKUP(C2402,'[1]خريطة الحسابات'!_xlnm.Print_Area,4,FALSE)))</f>
        <v xml:space="preserve">أصول متداوله -النقدية ومافي حكمها </v>
      </c>
      <c r="N2402" s="138" t="str">
        <f>IF(ISERROR(VLOOKUP(C2402,'[1]خريطة الحسابات'!_xlnm.Print_Area,5,FALSE))," ",(VLOOKUP(C2402,'[1]خريطة الحسابات'!_xlnm.Print_Area,5,FALSE)))</f>
        <v>الاصول</v>
      </c>
      <c r="O2402" s="84" t="s">
        <v>2363</v>
      </c>
      <c r="P2402" s="84" t="s">
        <v>1340</v>
      </c>
    </row>
    <row r="2403" spans="1:16">
      <c r="A2403" s="151">
        <v>70</v>
      </c>
      <c r="B2403" s="131">
        <v>46081</v>
      </c>
      <c r="C2403" s="150">
        <v>20</v>
      </c>
      <c r="D2403" s="140" t="str">
        <f>IF(ISERROR(VLOOKUP(C2403,'[1]خريطة الحسابات'!_xlnm.Print_Area,3,FALSE))," ",(VLOOKUP(C2403,'[1]خريطة الحسابات'!_xlnm.Print_Area,3,FALSE)))</f>
        <v xml:space="preserve">الخزينة </v>
      </c>
      <c r="E2403" s="142"/>
      <c r="F2403" s="133"/>
      <c r="G2403" s="133">
        <v>4571</v>
      </c>
      <c r="H2403" s="134">
        <f t="shared" si="112"/>
        <v>0</v>
      </c>
      <c r="I2403" s="134">
        <f t="shared" si="112"/>
        <v>4571</v>
      </c>
      <c r="J2403" s="134">
        <f t="shared" si="111"/>
        <v>-4571</v>
      </c>
      <c r="K2403" s="135"/>
      <c r="L2403" s="136" t="str">
        <f t="shared" si="113"/>
        <v>دائن</v>
      </c>
      <c r="M2403" s="137" t="str">
        <f>IF(ISERROR(VLOOKUP(C2403,'[1]خريطة الحسابات'!_xlnm.Print_Area,4,FALSE))," ",(VLOOKUP(C2403,'[1]خريطة الحسابات'!_xlnm.Print_Area,4,FALSE)))</f>
        <v xml:space="preserve">أصول متداوله -النقدية ومافي حكمها </v>
      </c>
      <c r="N2403" s="138" t="str">
        <f>IF(ISERROR(VLOOKUP(C2403,'[1]خريطة الحسابات'!_xlnm.Print_Area,5,FALSE))," ",(VLOOKUP(C2403,'[1]خريطة الحسابات'!_xlnm.Print_Area,5,FALSE)))</f>
        <v>الاصول</v>
      </c>
      <c r="O2403" s="84" t="s">
        <v>2364</v>
      </c>
      <c r="P2403" s="84" t="s">
        <v>1340</v>
      </c>
    </row>
    <row r="2404" spans="1:16">
      <c r="A2404" s="151">
        <v>70</v>
      </c>
      <c r="B2404" s="131">
        <v>46086</v>
      </c>
      <c r="C2404" s="150">
        <v>20</v>
      </c>
      <c r="D2404" s="140" t="str">
        <f>IF(ISERROR(VLOOKUP(C2404,'[1]خريطة الحسابات'!_xlnm.Print_Area,3,FALSE))," ",(VLOOKUP(C2404,'[1]خريطة الحسابات'!_xlnm.Print_Area,3,FALSE)))</f>
        <v xml:space="preserve">الخزينة </v>
      </c>
      <c r="E2404" s="142"/>
      <c r="F2404" s="133"/>
      <c r="G2404" s="133">
        <v>3603</v>
      </c>
      <c r="H2404" s="134">
        <f t="shared" si="112"/>
        <v>0</v>
      </c>
      <c r="I2404" s="134">
        <f t="shared" si="112"/>
        <v>3603</v>
      </c>
      <c r="J2404" s="134">
        <f t="shared" si="111"/>
        <v>-3603</v>
      </c>
      <c r="K2404" s="135"/>
      <c r="L2404" s="136" t="str">
        <f t="shared" si="113"/>
        <v>دائن</v>
      </c>
      <c r="M2404" s="137" t="str">
        <f>IF(ISERROR(VLOOKUP(C2404,'[1]خريطة الحسابات'!_xlnm.Print_Area,4,FALSE))," ",(VLOOKUP(C2404,'[1]خريطة الحسابات'!_xlnm.Print_Area,4,FALSE)))</f>
        <v xml:space="preserve">أصول متداوله -النقدية ومافي حكمها </v>
      </c>
      <c r="N2404" s="138" t="str">
        <f>IF(ISERROR(VLOOKUP(C2404,'[1]خريطة الحسابات'!_xlnm.Print_Area,5,FALSE))," ",(VLOOKUP(C2404,'[1]خريطة الحسابات'!_xlnm.Print_Area,5,FALSE)))</f>
        <v>الاصول</v>
      </c>
      <c r="O2404" s="84" t="s">
        <v>2365</v>
      </c>
      <c r="P2404" s="84" t="s">
        <v>1340</v>
      </c>
    </row>
    <row r="2405" spans="1:16">
      <c r="A2405" s="151">
        <v>70</v>
      </c>
      <c r="B2405" s="131">
        <v>46051</v>
      </c>
      <c r="C2405" s="150">
        <v>20</v>
      </c>
      <c r="D2405" s="140" t="str">
        <f>IF(ISERROR(VLOOKUP(C2405,'[1]خريطة الحسابات'!_xlnm.Print_Area,3,FALSE))," ",(VLOOKUP(C2405,'[1]خريطة الحسابات'!_xlnm.Print_Area,3,FALSE)))</f>
        <v xml:space="preserve">الخزينة </v>
      </c>
      <c r="E2405" s="142"/>
      <c r="F2405" s="133"/>
      <c r="G2405" s="133">
        <v>1075</v>
      </c>
      <c r="H2405" s="134">
        <f t="shared" si="112"/>
        <v>0</v>
      </c>
      <c r="I2405" s="134">
        <f t="shared" si="112"/>
        <v>1075</v>
      </c>
      <c r="J2405" s="134">
        <f t="shared" si="111"/>
        <v>-1075</v>
      </c>
      <c r="K2405" s="135"/>
      <c r="L2405" s="136" t="str">
        <f t="shared" si="113"/>
        <v>دائن</v>
      </c>
      <c r="M2405" s="137" t="str">
        <f>IF(ISERROR(VLOOKUP(C2405,'[1]خريطة الحسابات'!_xlnm.Print_Area,4,FALSE))," ",(VLOOKUP(C2405,'[1]خريطة الحسابات'!_xlnm.Print_Area,4,FALSE)))</f>
        <v xml:space="preserve">أصول متداوله -النقدية ومافي حكمها </v>
      </c>
      <c r="N2405" s="138" t="str">
        <f>IF(ISERROR(VLOOKUP(C2405,'[1]خريطة الحسابات'!_xlnm.Print_Area,5,FALSE))," ",(VLOOKUP(C2405,'[1]خريطة الحسابات'!_xlnm.Print_Area,5,FALSE)))</f>
        <v>الاصول</v>
      </c>
      <c r="O2405" s="84" t="s">
        <v>2366</v>
      </c>
      <c r="P2405" s="84" t="s">
        <v>1299</v>
      </c>
    </row>
    <row r="2406" spans="1:16">
      <c r="A2406" s="151">
        <v>70</v>
      </c>
      <c r="B2406" s="131">
        <v>46051</v>
      </c>
      <c r="C2406" s="150">
        <v>20</v>
      </c>
      <c r="D2406" s="140" t="str">
        <f>IF(ISERROR(VLOOKUP(C2406,'[1]خريطة الحسابات'!_xlnm.Print_Area,3,FALSE))," ",(VLOOKUP(C2406,'[1]خريطة الحسابات'!_xlnm.Print_Area,3,FALSE)))</f>
        <v xml:space="preserve">الخزينة </v>
      </c>
      <c r="E2406" s="142"/>
      <c r="F2406" s="133"/>
      <c r="G2406" s="133">
        <v>900</v>
      </c>
      <c r="H2406" s="134">
        <f t="shared" si="112"/>
        <v>0</v>
      </c>
      <c r="I2406" s="134">
        <f t="shared" si="112"/>
        <v>900</v>
      </c>
      <c r="J2406" s="134">
        <f t="shared" si="111"/>
        <v>-900</v>
      </c>
      <c r="K2406" s="135"/>
      <c r="L2406" s="136" t="str">
        <f t="shared" si="113"/>
        <v>دائن</v>
      </c>
      <c r="M2406" s="137" t="str">
        <f>IF(ISERROR(VLOOKUP(C2406,'[1]خريطة الحسابات'!_xlnm.Print_Area,4,FALSE))," ",(VLOOKUP(C2406,'[1]خريطة الحسابات'!_xlnm.Print_Area,4,FALSE)))</f>
        <v xml:space="preserve">أصول متداوله -النقدية ومافي حكمها </v>
      </c>
      <c r="N2406" s="138" t="str">
        <f>IF(ISERROR(VLOOKUP(C2406,'[1]خريطة الحسابات'!_xlnm.Print_Area,5,FALSE))," ",(VLOOKUP(C2406,'[1]خريطة الحسابات'!_xlnm.Print_Area,5,FALSE)))</f>
        <v>الاصول</v>
      </c>
      <c r="O2406" s="84" t="s">
        <v>2367</v>
      </c>
      <c r="P2406" s="84" t="s">
        <v>1299</v>
      </c>
    </row>
    <row r="2407" spans="1:16">
      <c r="A2407" s="151">
        <v>70</v>
      </c>
      <c r="B2407" s="131">
        <v>46030</v>
      </c>
      <c r="C2407" s="150">
        <v>20</v>
      </c>
      <c r="D2407" s="140" t="str">
        <f>IF(ISERROR(VLOOKUP(C2407,'[1]خريطة الحسابات'!_xlnm.Print_Area,3,FALSE))," ",(VLOOKUP(C2407,'[1]خريطة الحسابات'!_xlnm.Print_Area,3,FALSE)))</f>
        <v xml:space="preserve">الخزينة </v>
      </c>
      <c r="E2407" s="142"/>
      <c r="F2407" s="133"/>
      <c r="G2407" s="133">
        <v>651</v>
      </c>
      <c r="H2407" s="134">
        <f t="shared" si="112"/>
        <v>0</v>
      </c>
      <c r="I2407" s="134">
        <f t="shared" si="112"/>
        <v>651</v>
      </c>
      <c r="J2407" s="134">
        <f t="shared" si="111"/>
        <v>-651</v>
      </c>
      <c r="K2407" s="135"/>
      <c r="L2407" s="136" t="str">
        <f t="shared" si="113"/>
        <v>دائن</v>
      </c>
      <c r="M2407" s="137" t="str">
        <f>IF(ISERROR(VLOOKUP(C2407,'[1]خريطة الحسابات'!_xlnm.Print_Area,4,FALSE))," ",(VLOOKUP(C2407,'[1]خريطة الحسابات'!_xlnm.Print_Area,4,FALSE)))</f>
        <v xml:space="preserve">أصول متداوله -النقدية ومافي حكمها </v>
      </c>
      <c r="N2407" s="138" t="str">
        <f>IF(ISERROR(VLOOKUP(C2407,'[1]خريطة الحسابات'!_xlnm.Print_Area,5,FALSE))," ",(VLOOKUP(C2407,'[1]خريطة الحسابات'!_xlnm.Print_Area,5,FALSE)))</f>
        <v>الاصول</v>
      </c>
      <c r="O2407" s="84" t="s">
        <v>2368</v>
      </c>
      <c r="P2407" s="84" t="s">
        <v>1304</v>
      </c>
    </row>
    <row r="2408" spans="1:16">
      <c r="A2408" s="151">
        <v>70</v>
      </c>
      <c r="B2408" s="131">
        <v>46051</v>
      </c>
      <c r="C2408" s="150">
        <v>20</v>
      </c>
      <c r="D2408" s="140" t="str">
        <f>IF(ISERROR(VLOOKUP(C2408,'[1]خريطة الحسابات'!_xlnm.Print_Area,3,FALSE))," ",(VLOOKUP(C2408,'[1]خريطة الحسابات'!_xlnm.Print_Area,3,FALSE)))</f>
        <v xml:space="preserve">الخزينة </v>
      </c>
      <c r="E2408" s="142"/>
      <c r="F2408" s="133"/>
      <c r="G2408" s="133">
        <v>2703</v>
      </c>
      <c r="H2408" s="134">
        <f t="shared" si="112"/>
        <v>0</v>
      </c>
      <c r="I2408" s="134">
        <f t="shared" si="112"/>
        <v>2703</v>
      </c>
      <c r="J2408" s="134">
        <f t="shared" si="111"/>
        <v>-2703</v>
      </c>
      <c r="K2408" s="135"/>
      <c r="L2408" s="136" t="str">
        <f t="shared" si="113"/>
        <v>دائن</v>
      </c>
      <c r="M2408" s="137" t="str">
        <f>IF(ISERROR(VLOOKUP(C2408,'[1]خريطة الحسابات'!_xlnm.Print_Area,4,FALSE))," ",(VLOOKUP(C2408,'[1]خريطة الحسابات'!_xlnm.Print_Area,4,FALSE)))</f>
        <v xml:space="preserve">أصول متداوله -النقدية ومافي حكمها </v>
      </c>
      <c r="N2408" s="138" t="str">
        <f>IF(ISERROR(VLOOKUP(C2408,'[1]خريطة الحسابات'!_xlnm.Print_Area,5,FALSE))," ",(VLOOKUP(C2408,'[1]خريطة الحسابات'!_xlnm.Print_Area,5,FALSE)))</f>
        <v>الاصول</v>
      </c>
      <c r="O2408" s="84" t="s">
        <v>2369</v>
      </c>
      <c r="P2408" s="84" t="s">
        <v>1292</v>
      </c>
    </row>
    <row r="2409" spans="1:16">
      <c r="A2409" s="151">
        <v>70</v>
      </c>
      <c r="B2409" s="131">
        <v>46051</v>
      </c>
      <c r="C2409" s="150">
        <v>20</v>
      </c>
      <c r="D2409" s="140" t="str">
        <f>IF(ISERROR(VLOOKUP(C2409,'[1]خريطة الحسابات'!_xlnm.Print_Area,3,FALSE))," ",(VLOOKUP(C2409,'[1]خريطة الحسابات'!_xlnm.Print_Area,3,FALSE)))</f>
        <v xml:space="preserve">الخزينة </v>
      </c>
      <c r="E2409" s="142"/>
      <c r="F2409" s="133"/>
      <c r="G2409" s="133">
        <v>25740</v>
      </c>
      <c r="H2409" s="134">
        <f t="shared" si="112"/>
        <v>0</v>
      </c>
      <c r="I2409" s="134">
        <f t="shared" si="112"/>
        <v>25740</v>
      </c>
      <c r="J2409" s="134">
        <f t="shared" si="111"/>
        <v>-25740</v>
      </c>
      <c r="K2409" s="135"/>
      <c r="L2409" s="136" t="str">
        <f t="shared" si="113"/>
        <v>دائن</v>
      </c>
      <c r="M2409" s="137" t="str">
        <f>IF(ISERROR(VLOOKUP(C2409,'[1]خريطة الحسابات'!_xlnm.Print_Area,4,FALSE))," ",(VLOOKUP(C2409,'[1]خريطة الحسابات'!_xlnm.Print_Area,4,FALSE)))</f>
        <v xml:space="preserve">أصول متداوله -النقدية ومافي حكمها </v>
      </c>
      <c r="N2409" s="138" t="str">
        <f>IF(ISERROR(VLOOKUP(C2409,'[1]خريطة الحسابات'!_xlnm.Print_Area,5,FALSE))," ",(VLOOKUP(C2409,'[1]خريطة الحسابات'!_xlnm.Print_Area,5,FALSE)))</f>
        <v>الاصول</v>
      </c>
      <c r="O2409" s="84" t="s">
        <v>2370</v>
      </c>
      <c r="P2409" s="84" t="s">
        <v>1292</v>
      </c>
    </row>
    <row r="2410" spans="1:16">
      <c r="A2410" s="151">
        <v>70</v>
      </c>
      <c r="B2410" s="131">
        <v>46078</v>
      </c>
      <c r="C2410" s="150">
        <v>20</v>
      </c>
      <c r="D2410" s="140" t="str">
        <f>IF(ISERROR(VLOOKUP(C2410,'[1]خريطة الحسابات'!_xlnm.Print_Area,3,FALSE))," ",(VLOOKUP(C2410,'[1]خريطة الحسابات'!_xlnm.Print_Area,3,FALSE)))</f>
        <v xml:space="preserve">الخزينة </v>
      </c>
      <c r="E2410" s="142"/>
      <c r="F2410" s="133"/>
      <c r="G2410" s="133">
        <v>2200</v>
      </c>
      <c r="H2410" s="134">
        <f t="shared" si="112"/>
        <v>0</v>
      </c>
      <c r="I2410" s="134">
        <f t="shared" si="112"/>
        <v>2200</v>
      </c>
      <c r="J2410" s="134">
        <f t="shared" si="111"/>
        <v>-2200</v>
      </c>
      <c r="K2410" s="135"/>
      <c r="L2410" s="136" t="str">
        <f t="shared" si="113"/>
        <v>دائن</v>
      </c>
      <c r="M2410" s="137" t="str">
        <f>IF(ISERROR(VLOOKUP(C2410,'[1]خريطة الحسابات'!_xlnm.Print_Area,4,FALSE))," ",(VLOOKUP(C2410,'[1]خريطة الحسابات'!_xlnm.Print_Area,4,FALSE)))</f>
        <v xml:space="preserve">أصول متداوله -النقدية ومافي حكمها </v>
      </c>
      <c r="N2410" s="138" t="str">
        <f>IF(ISERROR(VLOOKUP(C2410,'[1]خريطة الحسابات'!_xlnm.Print_Area,5,FALSE))," ",(VLOOKUP(C2410,'[1]خريطة الحسابات'!_xlnm.Print_Area,5,FALSE)))</f>
        <v>الاصول</v>
      </c>
      <c r="O2410" s="84" t="s">
        <v>2371</v>
      </c>
      <c r="P2410" s="84" t="s">
        <v>1292</v>
      </c>
    </row>
    <row r="2411" spans="1:16">
      <c r="A2411" s="151">
        <v>70</v>
      </c>
      <c r="B2411" s="131">
        <v>46093</v>
      </c>
      <c r="C2411" s="150">
        <v>20</v>
      </c>
      <c r="D2411" s="140" t="str">
        <f>IF(ISERROR(VLOOKUP(C2411,'[1]خريطة الحسابات'!_xlnm.Print_Area,3,FALSE))," ",(VLOOKUP(C2411,'[1]خريطة الحسابات'!_xlnm.Print_Area,3,FALSE)))</f>
        <v xml:space="preserve">الخزينة </v>
      </c>
      <c r="E2411" s="142"/>
      <c r="F2411" s="133"/>
      <c r="G2411" s="133">
        <v>300</v>
      </c>
      <c r="H2411" s="134">
        <f t="shared" si="112"/>
        <v>0</v>
      </c>
      <c r="I2411" s="134">
        <f t="shared" si="112"/>
        <v>300</v>
      </c>
      <c r="J2411" s="134">
        <f t="shared" si="111"/>
        <v>-300</v>
      </c>
      <c r="K2411" s="135"/>
      <c r="L2411" s="136" t="str">
        <f t="shared" si="113"/>
        <v>دائن</v>
      </c>
      <c r="M2411" s="137" t="str">
        <f>IF(ISERROR(VLOOKUP(C2411,'[1]خريطة الحسابات'!_xlnm.Print_Area,4,FALSE))," ",(VLOOKUP(C2411,'[1]خريطة الحسابات'!_xlnm.Print_Area,4,FALSE)))</f>
        <v xml:space="preserve">أصول متداوله -النقدية ومافي حكمها </v>
      </c>
      <c r="N2411" s="138" t="str">
        <f>IF(ISERROR(VLOOKUP(C2411,'[1]خريطة الحسابات'!_xlnm.Print_Area,5,FALSE))," ",(VLOOKUP(C2411,'[1]خريطة الحسابات'!_xlnm.Print_Area,5,FALSE)))</f>
        <v>الاصول</v>
      </c>
      <c r="O2411" s="84" t="s">
        <v>2372</v>
      </c>
      <c r="P2411" s="84" t="s">
        <v>1292</v>
      </c>
    </row>
    <row r="2412" spans="1:16">
      <c r="A2412" s="151">
        <v>70</v>
      </c>
      <c r="B2412" s="131">
        <v>46051</v>
      </c>
      <c r="C2412" s="150">
        <v>20</v>
      </c>
      <c r="D2412" s="140" t="str">
        <f>IF(ISERROR(VLOOKUP(C2412,'[1]خريطة الحسابات'!_xlnm.Print_Area,3,FALSE))," ",(VLOOKUP(C2412,'[1]خريطة الحسابات'!_xlnm.Print_Area,3,FALSE)))</f>
        <v xml:space="preserve">الخزينة </v>
      </c>
      <c r="E2412" s="142"/>
      <c r="F2412" s="133"/>
      <c r="G2412" s="133">
        <v>800</v>
      </c>
      <c r="H2412" s="134">
        <f t="shared" si="112"/>
        <v>0</v>
      </c>
      <c r="I2412" s="134">
        <f t="shared" si="112"/>
        <v>800</v>
      </c>
      <c r="J2412" s="134">
        <f t="shared" si="111"/>
        <v>-800</v>
      </c>
      <c r="K2412" s="135"/>
      <c r="L2412" s="136" t="str">
        <f t="shared" si="113"/>
        <v>دائن</v>
      </c>
      <c r="M2412" s="137" t="str">
        <f>IF(ISERROR(VLOOKUP(C2412,'[1]خريطة الحسابات'!_xlnm.Print_Area,4,FALSE))," ",(VLOOKUP(C2412,'[1]خريطة الحسابات'!_xlnm.Print_Area,4,FALSE)))</f>
        <v xml:space="preserve">أصول متداوله -النقدية ومافي حكمها </v>
      </c>
      <c r="N2412" s="138" t="str">
        <f>IF(ISERROR(VLOOKUP(C2412,'[1]خريطة الحسابات'!_xlnm.Print_Area,5,FALSE))," ",(VLOOKUP(C2412,'[1]خريطة الحسابات'!_xlnm.Print_Area,5,FALSE)))</f>
        <v>الاصول</v>
      </c>
      <c r="O2412" s="84" t="s">
        <v>2373</v>
      </c>
      <c r="P2412" s="84" t="s">
        <v>1295</v>
      </c>
    </row>
    <row r="2413" spans="1:16">
      <c r="A2413" s="151">
        <v>70</v>
      </c>
      <c r="B2413" s="131">
        <v>46058</v>
      </c>
      <c r="C2413" s="150">
        <v>20</v>
      </c>
      <c r="D2413" s="140" t="str">
        <f>IF(ISERROR(VLOOKUP(C2413,'[1]خريطة الحسابات'!_xlnm.Print_Area,3,FALSE))," ",(VLOOKUP(C2413,'[1]خريطة الحسابات'!_xlnm.Print_Area,3,FALSE)))</f>
        <v xml:space="preserve">الخزينة </v>
      </c>
      <c r="E2413" s="142"/>
      <c r="F2413" s="133"/>
      <c r="G2413" s="133">
        <v>305</v>
      </c>
      <c r="H2413" s="134">
        <f t="shared" si="112"/>
        <v>0</v>
      </c>
      <c r="I2413" s="134">
        <f t="shared" si="112"/>
        <v>305</v>
      </c>
      <c r="J2413" s="134">
        <f t="shared" si="111"/>
        <v>-305</v>
      </c>
      <c r="K2413" s="135"/>
      <c r="L2413" s="136" t="str">
        <f t="shared" si="113"/>
        <v>دائن</v>
      </c>
      <c r="M2413" s="137" t="str">
        <f>IF(ISERROR(VLOOKUP(C2413,'[1]خريطة الحسابات'!_xlnm.Print_Area,4,FALSE))," ",(VLOOKUP(C2413,'[1]خريطة الحسابات'!_xlnm.Print_Area,4,FALSE)))</f>
        <v xml:space="preserve">أصول متداوله -النقدية ومافي حكمها </v>
      </c>
      <c r="N2413" s="138" t="str">
        <f>IF(ISERROR(VLOOKUP(C2413,'[1]خريطة الحسابات'!_xlnm.Print_Area,5,FALSE))," ",(VLOOKUP(C2413,'[1]خريطة الحسابات'!_xlnm.Print_Area,5,FALSE)))</f>
        <v>الاصول</v>
      </c>
      <c r="O2413" s="84" t="s">
        <v>2374</v>
      </c>
      <c r="P2413" s="84" t="s">
        <v>1327</v>
      </c>
    </row>
    <row r="2414" spans="1:16">
      <c r="A2414" s="151">
        <v>70</v>
      </c>
      <c r="B2414" s="131">
        <v>46117</v>
      </c>
      <c r="C2414" s="150">
        <v>20</v>
      </c>
      <c r="D2414" s="140" t="str">
        <f>IF(ISERROR(VLOOKUP(C2414,'[1]خريطة الحسابات'!_xlnm.Print_Area,3,FALSE))," ",(VLOOKUP(C2414,'[1]خريطة الحسابات'!_xlnm.Print_Area,3,FALSE)))</f>
        <v xml:space="preserve">الخزينة </v>
      </c>
      <c r="E2414" s="142"/>
      <c r="F2414" s="133"/>
      <c r="G2414" s="133">
        <v>785</v>
      </c>
      <c r="H2414" s="134">
        <f t="shared" si="112"/>
        <v>0</v>
      </c>
      <c r="I2414" s="134">
        <f t="shared" si="112"/>
        <v>785</v>
      </c>
      <c r="J2414" s="134">
        <f t="shared" si="111"/>
        <v>-785</v>
      </c>
      <c r="K2414" s="135"/>
      <c r="L2414" s="136" t="str">
        <f t="shared" si="113"/>
        <v>دائن</v>
      </c>
      <c r="M2414" s="137" t="str">
        <f>IF(ISERROR(VLOOKUP(C2414,'[1]خريطة الحسابات'!_xlnm.Print_Area,4,FALSE))," ",(VLOOKUP(C2414,'[1]خريطة الحسابات'!_xlnm.Print_Area,4,FALSE)))</f>
        <v xml:space="preserve">أصول متداوله -النقدية ومافي حكمها </v>
      </c>
      <c r="N2414" s="138" t="str">
        <f>IF(ISERROR(VLOOKUP(C2414,'[1]خريطة الحسابات'!_xlnm.Print_Area,5,FALSE))," ",(VLOOKUP(C2414,'[1]خريطة الحسابات'!_xlnm.Print_Area,5,FALSE)))</f>
        <v>الاصول</v>
      </c>
      <c r="O2414" s="84" t="s">
        <v>2375</v>
      </c>
      <c r="P2414" s="84" t="s">
        <v>1327</v>
      </c>
    </row>
    <row r="2415" spans="1:16">
      <c r="A2415" s="151">
        <v>70</v>
      </c>
      <c r="B2415" s="131">
        <v>46084</v>
      </c>
      <c r="C2415" s="150">
        <v>20</v>
      </c>
      <c r="D2415" s="140" t="str">
        <f>IF(ISERROR(VLOOKUP(C2415,'[1]خريطة الحسابات'!_xlnm.Print_Area,3,FALSE))," ",(VLOOKUP(C2415,'[1]خريطة الحسابات'!_xlnm.Print_Area,3,FALSE)))</f>
        <v xml:space="preserve">الخزينة </v>
      </c>
      <c r="E2415" s="142"/>
      <c r="F2415" s="133"/>
      <c r="G2415" s="133">
        <v>1115</v>
      </c>
      <c r="H2415" s="134">
        <f t="shared" si="112"/>
        <v>0</v>
      </c>
      <c r="I2415" s="134">
        <f t="shared" si="112"/>
        <v>1115</v>
      </c>
      <c r="J2415" s="134">
        <f t="shared" si="111"/>
        <v>-1115</v>
      </c>
      <c r="K2415" s="135"/>
      <c r="L2415" s="136" t="str">
        <f t="shared" si="113"/>
        <v>دائن</v>
      </c>
      <c r="M2415" s="137" t="str">
        <f>IF(ISERROR(VLOOKUP(C2415,'[1]خريطة الحسابات'!_xlnm.Print_Area,4,FALSE))," ",(VLOOKUP(C2415,'[1]خريطة الحسابات'!_xlnm.Print_Area,4,FALSE)))</f>
        <v xml:space="preserve">أصول متداوله -النقدية ومافي حكمها </v>
      </c>
      <c r="N2415" s="138" t="str">
        <f>IF(ISERROR(VLOOKUP(C2415,'[1]خريطة الحسابات'!_xlnm.Print_Area,5,FALSE))," ",(VLOOKUP(C2415,'[1]خريطة الحسابات'!_xlnm.Print_Area,5,FALSE)))</f>
        <v>الاصول</v>
      </c>
      <c r="O2415" s="84" t="s">
        <v>2376</v>
      </c>
      <c r="P2415" s="84" t="s">
        <v>1336</v>
      </c>
    </row>
    <row r="2416" spans="1:16">
      <c r="A2416" s="151">
        <v>70</v>
      </c>
      <c r="B2416" s="131">
        <v>46093</v>
      </c>
      <c r="C2416" s="150">
        <v>20</v>
      </c>
      <c r="D2416" s="140" t="str">
        <f>IF(ISERROR(VLOOKUP(C2416,'[1]خريطة الحسابات'!_xlnm.Print_Area,3,FALSE))," ",(VLOOKUP(C2416,'[1]خريطة الحسابات'!_xlnm.Print_Area,3,FALSE)))</f>
        <v xml:space="preserve">الخزينة </v>
      </c>
      <c r="E2416" s="142"/>
      <c r="F2416" s="133"/>
      <c r="G2416" s="133">
        <v>250</v>
      </c>
      <c r="H2416" s="134">
        <f t="shared" si="112"/>
        <v>0</v>
      </c>
      <c r="I2416" s="134">
        <f t="shared" si="112"/>
        <v>250</v>
      </c>
      <c r="J2416" s="134">
        <f t="shared" si="111"/>
        <v>-250</v>
      </c>
      <c r="K2416" s="135"/>
      <c r="L2416" s="136" t="str">
        <f t="shared" si="113"/>
        <v>دائن</v>
      </c>
      <c r="M2416" s="137" t="str">
        <f>IF(ISERROR(VLOOKUP(C2416,'[1]خريطة الحسابات'!_xlnm.Print_Area,4,FALSE))," ",(VLOOKUP(C2416,'[1]خريطة الحسابات'!_xlnm.Print_Area,4,FALSE)))</f>
        <v xml:space="preserve">أصول متداوله -النقدية ومافي حكمها </v>
      </c>
      <c r="N2416" s="138" t="str">
        <f>IF(ISERROR(VLOOKUP(C2416,'[1]خريطة الحسابات'!_xlnm.Print_Area,5,FALSE))," ",(VLOOKUP(C2416,'[1]خريطة الحسابات'!_xlnm.Print_Area,5,FALSE)))</f>
        <v>الاصول</v>
      </c>
      <c r="O2416" s="84" t="s">
        <v>2377</v>
      </c>
      <c r="P2416" s="84" t="s">
        <v>1336</v>
      </c>
    </row>
    <row r="2417" spans="1:16">
      <c r="A2417" s="151">
        <v>70</v>
      </c>
      <c r="B2417" s="131">
        <v>46132</v>
      </c>
      <c r="C2417" s="150">
        <v>20</v>
      </c>
      <c r="D2417" s="140" t="str">
        <f>IF(ISERROR(VLOOKUP(C2417,'[1]خريطة الحسابات'!_xlnm.Print_Area,3,FALSE))," ",(VLOOKUP(C2417,'[1]خريطة الحسابات'!_xlnm.Print_Area,3,FALSE)))</f>
        <v xml:space="preserve">الخزينة </v>
      </c>
      <c r="E2417" s="142"/>
      <c r="F2417" s="133"/>
      <c r="G2417" s="133">
        <v>235</v>
      </c>
      <c r="H2417" s="134">
        <f t="shared" si="112"/>
        <v>0</v>
      </c>
      <c r="I2417" s="134">
        <f t="shared" si="112"/>
        <v>235</v>
      </c>
      <c r="J2417" s="134">
        <f t="shared" si="111"/>
        <v>-235</v>
      </c>
      <c r="K2417" s="135"/>
      <c r="L2417" s="136" t="str">
        <f t="shared" si="113"/>
        <v>دائن</v>
      </c>
      <c r="M2417" s="137" t="str">
        <f>IF(ISERROR(VLOOKUP(C2417,'[1]خريطة الحسابات'!_xlnm.Print_Area,4,FALSE))," ",(VLOOKUP(C2417,'[1]خريطة الحسابات'!_xlnm.Print_Area,4,FALSE)))</f>
        <v xml:space="preserve">أصول متداوله -النقدية ومافي حكمها </v>
      </c>
      <c r="N2417" s="138" t="str">
        <f>IF(ISERROR(VLOOKUP(C2417,'[1]خريطة الحسابات'!_xlnm.Print_Area,5,FALSE))," ",(VLOOKUP(C2417,'[1]خريطة الحسابات'!_xlnm.Print_Area,5,FALSE)))</f>
        <v>الاصول</v>
      </c>
      <c r="O2417" s="84" t="s">
        <v>2378</v>
      </c>
      <c r="P2417" s="84" t="s">
        <v>1336</v>
      </c>
    </row>
    <row r="2418" spans="1:16">
      <c r="A2418" s="151">
        <v>70</v>
      </c>
      <c r="B2418" s="131">
        <v>46154</v>
      </c>
      <c r="C2418" s="150">
        <v>20</v>
      </c>
      <c r="D2418" s="140" t="str">
        <f>IF(ISERROR(VLOOKUP(C2418,'[1]خريطة الحسابات'!_xlnm.Print_Area,3,FALSE))," ",(VLOOKUP(C2418,'[1]خريطة الحسابات'!_xlnm.Print_Area,3,FALSE)))</f>
        <v xml:space="preserve">الخزينة </v>
      </c>
      <c r="E2418" s="142"/>
      <c r="F2418" s="133"/>
      <c r="G2418" s="133">
        <v>900</v>
      </c>
      <c r="H2418" s="134">
        <f t="shared" si="112"/>
        <v>0</v>
      </c>
      <c r="I2418" s="134">
        <f t="shared" si="112"/>
        <v>900</v>
      </c>
      <c r="J2418" s="134">
        <f t="shared" si="111"/>
        <v>-900</v>
      </c>
      <c r="K2418" s="135"/>
      <c r="L2418" s="136" t="str">
        <f t="shared" si="113"/>
        <v>دائن</v>
      </c>
      <c r="M2418" s="137" t="str">
        <f>IF(ISERROR(VLOOKUP(C2418,'[1]خريطة الحسابات'!_xlnm.Print_Area,4,FALSE))," ",(VLOOKUP(C2418,'[1]خريطة الحسابات'!_xlnm.Print_Area,4,FALSE)))</f>
        <v xml:space="preserve">أصول متداوله -النقدية ومافي حكمها </v>
      </c>
      <c r="N2418" s="138" t="str">
        <f>IF(ISERROR(VLOOKUP(C2418,'[1]خريطة الحسابات'!_xlnm.Print_Area,5,FALSE))," ",(VLOOKUP(C2418,'[1]خريطة الحسابات'!_xlnm.Print_Area,5,FALSE)))</f>
        <v>الاصول</v>
      </c>
      <c r="O2418" s="84" t="s">
        <v>2379</v>
      </c>
      <c r="P2418" s="84" t="s">
        <v>1336</v>
      </c>
    </row>
    <row r="2419" spans="1:16">
      <c r="A2419" s="151">
        <v>70</v>
      </c>
      <c r="B2419" s="131">
        <v>46186</v>
      </c>
      <c r="C2419" s="150">
        <v>20</v>
      </c>
      <c r="D2419" s="140" t="str">
        <f>IF(ISERROR(VLOOKUP(C2419,'[1]خريطة الحسابات'!_xlnm.Print_Area,3,FALSE))," ",(VLOOKUP(C2419,'[1]خريطة الحسابات'!_xlnm.Print_Area,3,FALSE)))</f>
        <v xml:space="preserve">الخزينة </v>
      </c>
      <c r="E2419" s="142"/>
      <c r="F2419" s="133"/>
      <c r="G2419" s="133">
        <v>5005</v>
      </c>
      <c r="H2419" s="134">
        <f t="shared" si="112"/>
        <v>0</v>
      </c>
      <c r="I2419" s="134">
        <f t="shared" si="112"/>
        <v>5005</v>
      </c>
      <c r="J2419" s="134">
        <f t="shared" si="111"/>
        <v>-5005</v>
      </c>
      <c r="K2419" s="135"/>
      <c r="L2419" s="136" t="str">
        <f t="shared" si="113"/>
        <v>دائن</v>
      </c>
      <c r="M2419" s="137" t="str">
        <f>IF(ISERROR(VLOOKUP(C2419,'[1]خريطة الحسابات'!_xlnm.Print_Area,4,FALSE))," ",(VLOOKUP(C2419,'[1]خريطة الحسابات'!_xlnm.Print_Area,4,FALSE)))</f>
        <v xml:space="preserve">أصول متداوله -النقدية ومافي حكمها </v>
      </c>
      <c r="N2419" s="138" t="str">
        <f>IF(ISERROR(VLOOKUP(C2419,'[1]خريطة الحسابات'!_xlnm.Print_Area,5,FALSE))," ",(VLOOKUP(C2419,'[1]خريطة الحسابات'!_xlnm.Print_Area,5,FALSE)))</f>
        <v>الاصول</v>
      </c>
      <c r="O2419" s="84" t="s">
        <v>2380</v>
      </c>
      <c r="P2419" s="84" t="s">
        <v>1964</v>
      </c>
    </row>
    <row r="2420" spans="1:16">
      <c r="A2420" s="151">
        <v>70</v>
      </c>
      <c r="B2420" s="131">
        <v>46030</v>
      </c>
      <c r="C2420" s="150">
        <v>20</v>
      </c>
      <c r="D2420" s="140" t="str">
        <f>IF(ISERROR(VLOOKUP(C2420,'[1]خريطة الحسابات'!_xlnm.Print_Area,3,FALSE))," ",(VLOOKUP(C2420,'[1]خريطة الحسابات'!_xlnm.Print_Area,3,FALSE)))</f>
        <v xml:space="preserve">الخزينة </v>
      </c>
      <c r="E2420" s="142"/>
      <c r="F2420" s="133"/>
      <c r="G2420" s="133">
        <v>2400</v>
      </c>
      <c r="H2420" s="134">
        <f t="shared" si="112"/>
        <v>0</v>
      </c>
      <c r="I2420" s="134">
        <f t="shared" si="112"/>
        <v>2400</v>
      </c>
      <c r="J2420" s="134">
        <f t="shared" si="111"/>
        <v>-2400</v>
      </c>
      <c r="K2420" s="135"/>
      <c r="L2420" s="136" t="str">
        <f t="shared" si="113"/>
        <v>دائن</v>
      </c>
      <c r="M2420" s="137" t="str">
        <f>IF(ISERROR(VLOOKUP(C2420,'[1]خريطة الحسابات'!_xlnm.Print_Area,4,FALSE))," ",(VLOOKUP(C2420,'[1]خريطة الحسابات'!_xlnm.Print_Area,4,FALSE)))</f>
        <v xml:space="preserve">أصول متداوله -النقدية ومافي حكمها </v>
      </c>
      <c r="N2420" s="138" t="str">
        <f>IF(ISERROR(VLOOKUP(C2420,'[1]خريطة الحسابات'!_xlnm.Print_Area,5,FALSE))," ",(VLOOKUP(C2420,'[1]خريطة الحسابات'!_xlnm.Print_Area,5,FALSE)))</f>
        <v>الاصول</v>
      </c>
      <c r="O2420" s="84" t="s">
        <v>2381</v>
      </c>
      <c r="P2420" s="84" t="s">
        <v>1290</v>
      </c>
    </row>
    <row r="2421" spans="1:16">
      <c r="A2421" s="151">
        <v>70</v>
      </c>
      <c r="B2421" s="131">
        <v>46032</v>
      </c>
      <c r="C2421" s="150">
        <v>20</v>
      </c>
      <c r="D2421" s="140" t="str">
        <f>IF(ISERROR(VLOOKUP(C2421,'[1]خريطة الحسابات'!_xlnm.Print_Area,3,FALSE))," ",(VLOOKUP(C2421,'[1]خريطة الحسابات'!_xlnm.Print_Area,3,FALSE)))</f>
        <v xml:space="preserve">الخزينة </v>
      </c>
      <c r="E2421" s="142"/>
      <c r="F2421" s="133"/>
      <c r="G2421" s="133">
        <v>5005</v>
      </c>
      <c r="H2421" s="134">
        <f t="shared" si="112"/>
        <v>0</v>
      </c>
      <c r="I2421" s="134">
        <f t="shared" si="112"/>
        <v>5005</v>
      </c>
      <c r="J2421" s="134">
        <f t="shared" si="111"/>
        <v>-5005</v>
      </c>
      <c r="K2421" s="135"/>
      <c r="L2421" s="136" t="str">
        <f t="shared" si="113"/>
        <v>دائن</v>
      </c>
      <c r="M2421" s="137" t="str">
        <f>IF(ISERROR(VLOOKUP(C2421,'[1]خريطة الحسابات'!_xlnm.Print_Area,4,FALSE))," ",(VLOOKUP(C2421,'[1]خريطة الحسابات'!_xlnm.Print_Area,4,FALSE)))</f>
        <v xml:space="preserve">أصول متداوله -النقدية ومافي حكمها </v>
      </c>
      <c r="N2421" s="138" t="str">
        <f>IF(ISERROR(VLOOKUP(C2421,'[1]خريطة الحسابات'!_xlnm.Print_Area,5,FALSE))," ",(VLOOKUP(C2421,'[1]خريطة الحسابات'!_xlnm.Print_Area,5,FALSE)))</f>
        <v>الاصول</v>
      </c>
      <c r="O2421" s="84" t="s">
        <v>2382</v>
      </c>
      <c r="P2421" s="84" t="s">
        <v>1290</v>
      </c>
    </row>
    <row r="2422" spans="1:16">
      <c r="A2422" s="151">
        <v>70</v>
      </c>
      <c r="B2422" s="131">
        <v>46037</v>
      </c>
      <c r="C2422" s="150">
        <v>20</v>
      </c>
      <c r="D2422" s="140" t="str">
        <f>IF(ISERROR(VLOOKUP(C2422,'[1]خريطة الحسابات'!_xlnm.Print_Area,3,FALSE))," ",(VLOOKUP(C2422,'[1]خريطة الحسابات'!_xlnm.Print_Area,3,FALSE)))</f>
        <v xml:space="preserve">الخزينة </v>
      </c>
      <c r="E2422" s="142"/>
      <c r="F2422" s="133"/>
      <c r="G2422" s="133">
        <v>12215</v>
      </c>
      <c r="H2422" s="134">
        <f t="shared" si="112"/>
        <v>0</v>
      </c>
      <c r="I2422" s="134">
        <f t="shared" si="112"/>
        <v>12215</v>
      </c>
      <c r="J2422" s="134">
        <f t="shared" si="111"/>
        <v>-12215</v>
      </c>
      <c r="K2422" s="135"/>
      <c r="L2422" s="136" t="str">
        <f t="shared" si="113"/>
        <v>دائن</v>
      </c>
      <c r="M2422" s="137" t="str">
        <f>IF(ISERROR(VLOOKUP(C2422,'[1]خريطة الحسابات'!_xlnm.Print_Area,4,FALSE))," ",(VLOOKUP(C2422,'[1]خريطة الحسابات'!_xlnm.Print_Area,4,FALSE)))</f>
        <v xml:space="preserve">أصول متداوله -النقدية ومافي حكمها </v>
      </c>
      <c r="N2422" s="138" t="str">
        <f>IF(ISERROR(VLOOKUP(C2422,'[1]خريطة الحسابات'!_xlnm.Print_Area,5,FALSE))," ",(VLOOKUP(C2422,'[1]خريطة الحسابات'!_xlnm.Print_Area,5,FALSE)))</f>
        <v>الاصول</v>
      </c>
      <c r="O2422" s="84" t="s">
        <v>2383</v>
      </c>
      <c r="P2422" s="84" t="s">
        <v>1290</v>
      </c>
    </row>
    <row r="2423" spans="1:16">
      <c r="A2423" s="151">
        <v>70</v>
      </c>
      <c r="B2423" s="131">
        <v>46042</v>
      </c>
      <c r="C2423" s="150">
        <v>20</v>
      </c>
      <c r="D2423" s="140" t="str">
        <f>IF(ISERROR(VLOOKUP(C2423,'[1]خريطة الحسابات'!_xlnm.Print_Area,3,FALSE))," ",(VLOOKUP(C2423,'[1]خريطة الحسابات'!_xlnm.Print_Area,3,FALSE)))</f>
        <v xml:space="preserve">الخزينة </v>
      </c>
      <c r="E2423" s="142"/>
      <c r="F2423" s="133"/>
      <c r="G2423" s="133">
        <v>2210</v>
      </c>
      <c r="H2423" s="134">
        <f t="shared" si="112"/>
        <v>0</v>
      </c>
      <c r="I2423" s="134">
        <f t="shared" si="112"/>
        <v>2210</v>
      </c>
      <c r="J2423" s="134">
        <f t="shared" si="111"/>
        <v>-2210</v>
      </c>
      <c r="K2423" s="135"/>
      <c r="L2423" s="136" t="str">
        <f t="shared" si="113"/>
        <v>دائن</v>
      </c>
      <c r="M2423" s="137" t="str">
        <f>IF(ISERROR(VLOOKUP(C2423,'[1]خريطة الحسابات'!_xlnm.Print_Area,4,FALSE))," ",(VLOOKUP(C2423,'[1]خريطة الحسابات'!_xlnm.Print_Area,4,FALSE)))</f>
        <v xml:space="preserve">أصول متداوله -النقدية ومافي حكمها </v>
      </c>
      <c r="N2423" s="138" t="str">
        <f>IF(ISERROR(VLOOKUP(C2423,'[1]خريطة الحسابات'!_xlnm.Print_Area,5,FALSE))," ",(VLOOKUP(C2423,'[1]خريطة الحسابات'!_xlnm.Print_Area,5,FALSE)))</f>
        <v>الاصول</v>
      </c>
      <c r="O2423" s="84" t="s">
        <v>2384</v>
      </c>
      <c r="P2423" s="84" t="s">
        <v>1290</v>
      </c>
    </row>
    <row r="2424" spans="1:16">
      <c r="A2424" s="151">
        <v>70</v>
      </c>
      <c r="B2424" s="131">
        <v>46043</v>
      </c>
      <c r="C2424" s="150">
        <v>20</v>
      </c>
      <c r="D2424" s="140" t="str">
        <f>IF(ISERROR(VLOOKUP(C2424,'[1]خريطة الحسابات'!_xlnm.Print_Area,3,FALSE))," ",(VLOOKUP(C2424,'[1]خريطة الحسابات'!_xlnm.Print_Area,3,FALSE)))</f>
        <v xml:space="preserve">الخزينة </v>
      </c>
      <c r="E2424" s="142"/>
      <c r="F2424" s="133"/>
      <c r="G2424" s="133">
        <v>300</v>
      </c>
      <c r="H2424" s="134">
        <f t="shared" si="112"/>
        <v>0</v>
      </c>
      <c r="I2424" s="134">
        <f t="shared" si="112"/>
        <v>300</v>
      </c>
      <c r="J2424" s="134">
        <f t="shared" si="111"/>
        <v>-300</v>
      </c>
      <c r="K2424" s="135"/>
      <c r="L2424" s="136" t="str">
        <f t="shared" si="113"/>
        <v>دائن</v>
      </c>
      <c r="M2424" s="137" t="str">
        <f>IF(ISERROR(VLOOKUP(C2424,'[1]خريطة الحسابات'!_xlnm.Print_Area,4,FALSE))," ",(VLOOKUP(C2424,'[1]خريطة الحسابات'!_xlnm.Print_Area,4,FALSE)))</f>
        <v xml:space="preserve">أصول متداوله -النقدية ومافي حكمها </v>
      </c>
      <c r="N2424" s="138" t="str">
        <f>IF(ISERROR(VLOOKUP(C2424,'[1]خريطة الحسابات'!_xlnm.Print_Area,5,FALSE))," ",(VLOOKUP(C2424,'[1]خريطة الحسابات'!_xlnm.Print_Area,5,FALSE)))</f>
        <v>الاصول</v>
      </c>
      <c r="O2424" s="84" t="s">
        <v>2385</v>
      </c>
      <c r="P2424" s="84" t="s">
        <v>1290</v>
      </c>
    </row>
    <row r="2425" spans="1:16">
      <c r="A2425" s="151">
        <v>70</v>
      </c>
      <c r="B2425" s="131">
        <v>46043</v>
      </c>
      <c r="C2425" s="150">
        <v>20</v>
      </c>
      <c r="D2425" s="140" t="str">
        <f>IF(ISERROR(VLOOKUP(C2425,'[1]خريطة الحسابات'!_xlnm.Print_Area,3,FALSE))," ",(VLOOKUP(C2425,'[1]خريطة الحسابات'!_xlnm.Print_Area,3,FALSE)))</f>
        <v xml:space="preserve">الخزينة </v>
      </c>
      <c r="E2425" s="142"/>
      <c r="F2425" s="133"/>
      <c r="G2425" s="133">
        <v>10160</v>
      </c>
      <c r="H2425" s="134">
        <f t="shared" si="112"/>
        <v>0</v>
      </c>
      <c r="I2425" s="134">
        <f t="shared" si="112"/>
        <v>10160</v>
      </c>
      <c r="J2425" s="134">
        <f t="shared" si="111"/>
        <v>-10160</v>
      </c>
      <c r="K2425" s="135"/>
      <c r="L2425" s="136" t="str">
        <f t="shared" si="113"/>
        <v>دائن</v>
      </c>
      <c r="M2425" s="137" t="str">
        <f>IF(ISERROR(VLOOKUP(C2425,'[1]خريطة الحسابات'!_xlnm.Print_Area,4,FALSE))," ",(VLOOKUP(C2425,'[1]خريطة الحسابات'!_xlnm.Print_Area,4,FALSE)))</f>
        <v xml:space="preserve">أصول متداوله -النقدية ومافي حكمها </v>
      </c>
      <c r="N2425" s="138" t="str">
        <f>IF(ISERROR(VLOOKUP(C2425,'[1]خريطة الحسابات'!_xlnm.Print_Area,5,FALSE))," ",(VLOOKUP(C2425,'[1]خريطة الحسابات'!_xlnm.Print_Area,5,FALSE)))</f>
        <v>الاصول</v>
      </c>
      <c r="O2425" s="84" t="s">
        <v>2386</v>
      </c>
      <c r="P2425" s="84" t="s">
        <v>1290</v>
      </c>
    </row>
    <row r="2426" spans="1:16">
      <c r="A2426" s="151">
        <v>70</v>
      </c>
      <c r="B2426" s="131">
        <v>46044</v>
      </c>
      <c r="C2426" s="150">
        <v>20</v>
      </c>
      <c r="D2426" s="140" t="str">
        <f>IF(ISERROR(VLOOKUP(C2426,'[1]خريطة الحسابات'!_xlnm.Print_Area,3,FALSE))," ",(VLOOKUP(C2426,'[1]خريطة الحسابات'!_xlnm.Print_Area,3,FALSE)))</f>
        <v xml:space="preserve">الخزينة </v>
      </c>
      <c r="E2426" s="142"/>
      <c r="F2426" s="133"/>
      <c r="G2426" s="133">
        <v>56992</v>
      </c>
      <c r="H2426" s="134">
        <f t="shared" si="112"/>
        <v>0</v>
      </c>
      <c r="I2426" s="134">
        <f t="shared" si="112"/>
        <v>56992</v>
      </c>
      <c r="J2426" s="134">
        <f t="shared" si="111"/>
        <v>-56992</v>
      </c>
      <c r="K2426" s="135"/>
      <c r="L2426" s="136" t="str">
        <f t="shared" si="113"/>
        <v>دائن</v>
      </c>
      <c r="M2426" s="137" t="str">
        <f>IF(ISERROR(VLOOKUP(C2426,'[1]خريطة الحسابات'!_xlnm.Print_Area,4,FALSE))," ",(VLOOKUP(C2426,'[1]خريطة الحسابات'!_xlnm.Print_Area,4,FALSE)))</f>
        <v xml:space="preserve">أصول متداوله -النقدية ومافي حكمها </v>
      </c>
      <c r="N2426" s="138" t="str">
        <f>IF(ISERROR(VLOOKUP(C2426,'[1]خريطة الحسابات'!_xlnm.Print_Area,5,FALSE))," ",(VLOOKUP(C2426,'[1]خريطة الحسابات'!_xlnm.Print_Area,5,FALSE)))</f>
        <v>الاصول</v>
      </c>
      <c r="O2426" s="84" t="s">
        <v>2387</v>
      </c>
      <c r="P2426" s="84" t="s">
        <v>1290</v>
      </c>
    </row>
    <row r="2427" spans="1:16">
      <c r="A2427" s="151">
        <v>70</v>
      </c>
      <c r="B2427" s="131">
        <v>46046</v>
      </c>
      <c r="C2427" s="150">
        <v>20</v>
      </c>
      <c r="D2427" s="140" t="str">
        <f>IF(ISERROR(VLOOKUP(C2427,'[1]خريطة الحسابات'!_xlnm.Print_Area,3,FALSE))," ",(VLOOKUP(C2427,'[1]خريطة الحسابات'!_xlnm.Print_Area,3,FALSE)))</f>
        <v xml:space="preserve">الخزينة </v>
      </c>
      <c r="E2427" s="142"/>
      <c r="F2427" s="133"/>
      <c r="G2427" s="133">
        <v>8354</v>
      </c>
      <c r="H2427" s="134">
        <f t="shared" si="112"/>
        <v>0</v>
      </c>
      <c r="I2427" s="134">
        <f t="shared" si="112"/>
        <v>8354</v>
      </c>
      <c r="J2427" s="134">
        <f t="shared" si="111"/>
        <v>-8354</v>
      </c>
      <c r="K2427" s="135"/>
      <c r="L2427" s="136" t="str">
        <f t="shared" si="113"/>
        <v>دائن</v>
      </c>
      <c r="M2427" s="137" t="str">
        <f>IF(ISERROR(VLOOKUP(C2427,'[1]خريطة الحسابات'!_xlnm.Print_Area,4,FALSE))," ",(VLOOKUP(C2427,'[1]خريطة الحسابات'!_xlnm.Print_Area,4,FALSE)))</f>
        <v xml:space="preserve">أصول متداوله -النقدية ومافي حكمها </v>
      </c>
      <c r="N2427" s="138" t="str">
        <f>IF(ISERROR(VLOOKUP(C2427,'[1]خريطة الحسابات'!_xlnm.Print_Area,5,FALSE))," ",(VLOOKUP(C2427,'[1]خريطة الحسابات'!_xlnm.Print_Area,5,FALSE)))</f>
        <v>الاصول</v>
      </c>
      <c r="O2427" s="84" t="s">
        <v>2388</v>
      </c>
      <c r="P2427" s="84" t="s">
        <v>1290</v>
      </c>
    </row>
    <row r="2428" spans="1:16">
      <c r="A2428" s="151">
        <v>70</v>
      </c>
      <c r="B2428" s="131">
        <v>46050</v>
      </c>
      <c r="C2428" s="150">
        <v>20</v>
      </c>
      <c r="D2428" s="140" t="str">
        <f>IF(ISERROR(VLOOKUP(C2428,'[1]خريطة الحسابات'!_xlnm.Print_Area,3,FALSE))," ",(VLOOKUP(C2428,'[1]خريطة الحسابات'!_xlnm.Print_Area,3,FALSE)))</f>
        <v xml:space="preserve">الخزينة </v>
      </c>
      <c r="E2428" s="142"/>
      <c r="F2428" s="133"/>
      <c r="G2428" s="133">
        <v>9510</v>
      </c>
      <c r="H2428" s="134">
        <f t="shared" si="112"/>
        <v>0</v>
      </c>
      <c r="I2428" s="134">
        <f t="shared" si="112"/>
        <v>9510</v>
      </c>
      <c r="J2428" s="134">
        <f t="shared" si="111"/>
        <v>-9510</v>
      </c>
      <c r="K2428" s="135"/>
      <c r="L2428" s="136" t="str">
        <f t="shared" si="113"/>
        <v>دائن</v>
      </c>
      <c r="M2428" s="137" t="str">
        <f>IF(ISERROR(VLOOKUP(C2428,'[1]خريطة الحسابات'!_xlnm.Print_Area,4,FALSE))," ",(VLOOKUP(C2428,'[1]خريطة الحسابات'!_xlnm.Print_Area,4,FALSE)))</f>
        <v xml:space="preserve">أصول متداوله -النقدية ومافي حكمها </v>
      </c>
      <c r="N2428" s="138" t="str">
        <f>IF(ISERROR(VLOOKUP(C2428,'[1]خريطة الحسابات'!_xlnm.Print_Area,5,FALSE))," ",(VLOOKUP(C2428,'[1]خريطة الحسابات'!_xlnm.Print_Area,5,FALSE)))</f>
        <v>الاصول</v>
      </c>
      <c r="O2428" s="84" t="s">
        <v>2389</v>
      </c>
      <c r="P2428" s="84" t="s">
        <v>1290</v>
      </c>
    </row>
    <row r="2429" spans="1:16">
      <c r="A2429" s="151">
        <v>70</v>
      </c>
      <c r="B2429" s="131">
        <v>46051</v>
      </c>
      <c r="C2429" s="150">
        <v>20</v>
      </c>
      <c r="D2429" s="140" t="str">
        <f>IF(ISERROR(VLOOKUP(C2429,'[1]خريطة الحسابات'!_xlnm.Print_Area,3,FALSE))," ",(VLOOKUP(C2429,'[1]خريطة الحسابات'!_xlnm.Print_Area,3,FALSE)))</f>
        <v xml:space="preserve">الخزينة </v>
      </c>
      <c r="E2429" s="142"/>
      <c r="F2429" s="133"/>
      <c r="G2429" s="133">
        <v>4035</v>
      </c>
      <c r="H2429" s="134">
        <f t="shared" si="112"/>
        <v>0</v>
      </c>
      <c r="I2429" s="134">
        <f t="shared" si="112"/>
        <v>4035</v>
      </c>
      <c r="J2429" s="134">
        <f t="shared" si="111"/>
        <v>-4035</v>
      </c>
      <c r="K2429" s="135"/>
      <c r="L2429" s="136" t="str">
        <f t="shared" si="113"/>
        <v>دائن</v>
      </c>
      <c r="M2429" s="137" t="str">
        <f>IF(ISERROR(VLOOKUP(C2429,'[1]خريطة الحسابات'!_xlnm.Print_Area,4,FALSE))," ",(VLOOKUP(C2429,'[1]خريطة الحسابات'!_xlnm.Print_Area,4,FALSE)))</f>
        <v xml:space="preserve">أصول متداوله -النقدية ومافي حكمها </v>
      </c>
      <c r="N2429" s="138" t="str">
        <f>IF(ISERROR(VLOOKUP(C2429,'[1]خريطة الحسابات'!_xlnm.Print_Area,5,FALSE))," ",(VLOOKUP(C2429,'[1]خريطة الحسابات'!_xlnm.Print_Area,5,FALSE)))</f>
        <v>الاصول</v>
      </c>
      <c r="O2429" s="84" t="s">
        <v>2390</v>
      </c>
      <c r="P2429" s="84" t="s">
        <v>1290</v>
      </c>
    </row>
    <row r="2430" spans="1:16">
      <c r="A2430" s="151">
        <v>70</v>
      </c>
      <c r="B2430" s="131">
        <v>46054</v>
      </c>
      <c r="C2430" s="150">
        <v>20</v>
      </c>
      <c r="D2430" s="140" t="str">
        <f>IF(ISERROR(VLOOKUP(C2430,'[1]خريطة الحسابات'!_xlnm.Print_Area,3,FALSE))," ",(VLOOKUP(C2430,'[1]خريطة الحسابات'!_xlnm.Print_Area,3,FALSE)))</f>
        <v xml:space="preserve">الخزينة </v>
      </c>
      <c r="E2430" s="142"/>
      <c r="F2430" s="133"/>
      <c r="G2430" s="133">
        <v>1601</v>
      </c>
      <c r="H2430" s="134">
        <f t="shared" si="112"/>
        <v>0</v>
      </c>
      <c r="I2430" s="134">
        <f t="shared" si="112"/>
        <v>1601</v>
      </c>
      <c r="J2430" s="134">
        <f t="shared" si="111"/>
        <v>-1601</v>
      </c>
      <c r="K2430" s="135"/>
      <c r="L2430" s="136" t="str">
        <f t="shared" si="113"/>
        <v>دائن</v>
      </c>
      <c r="M2430" s="137" t="str">
        <f>IF(ISERROR(VLOOKUP(C2430,'[1]خريطة الحسابات'!_xlnm.Print_Area,4,FALSE))," ",(VLOOKUP(C2430,'[1]خريطة الحسابات'!_xlnm.Print_Area,4,FALSE)))</f>
        <v xml:space="preserve">أصول متداوله -النقدية ومافي حكمها </v>
      </c>
      <c r="N2430" s="138" t="str">
        <f>IF(ISERROR(VLOOKUP(C2430,'[1]خريطة الحسابات'!_xlnm.Print_Area,5,FALSE))," ",(VLOOKUP(C2430,'[1]خريطة الحسابات'!_xlnm.Print_Area,5,FALSE)))</f>
        <v>الاصول</v>
      </c>
      <c r="O2430" s="84" t="s">
        <v>2391</v>
      </c>
      <c r="P2430" s="84" t="s">
        <v>1290</v>
      </c>
    </row>
    <row r="2431" spans="1:16">
      <c r="A2431" s="151">
        <v>70</v>
      </c>
      <c r="B2431" s="131">
        <v>46058</v>
      </c>
      <c r="C2431" s="150">
        <v>20</v>
      </c>
      <c r="D2431" s="140" t="str">
        <f>IF(ISERROR(VLOOKUP(C2431,'[1]خريطة الحسابات'!_xlnm.Print_Area,3,FALSE))," ",(VLOOKUP(C2431,'[1]خريطة الحسابات'!_xlnm.Print_Area,3,FALSE)))</f>
        <v xml:space="preserve">الخزينة </v>
      </c>
      <c r="E2431" s="142"/>
      <c r="F2431" s="133"/>
      <c r="G2431" s="133">
        <v>2400</v>
      </c>
      <c r="H2431" s="134">
        <f t="shared" si="112"/>
        <v>0</v>
      </c>
      <c r="I2431" s="134">
        <f t="shared" si="112"/>
        <v>2400</v>
      </c>
      <c r="J2431" s="134">
        <f t="shared" si="111"/>
        <v>-2400</v>
      </c>
      <c r="K2431" s="135"/>
      <c r="L2431" s="136" t="str">
        <f t="shared" si="113"/>
        <v>دائن</v>
      </c>
      <c r="M2431" s="137" t="str">
        <f>IF(ISERROR(VLOOKUP(C2431,'[1]خريطة الحسابات'!_xlnm.Print_Area,4,FALSE))," ",(VLOOKUP(C2431,'[1]خريطة الحسابات'!_xlnm.Print_Area,4,FALSE)))</f>
        <v xml:space="preserve">أصول متداوله -النقدية ومافي حكمها </v>
      </c>
      <c r="N2431" s="138" t="str">
        <f>IF(ISERROR(VLOOKUP(C2431,'[1]خريطة الحسابات'!_xlnm.Print_Area,5,FALSE))," ",(VLOOKUP(C2431,'[1]خريطة الحسابات'!_xlnm.Print_Area,5,FALSE)))</f>
        <v>الاصول</v>
      </c>
      <c r="O2431" s="84" t="s">
        <v>2392</v>
      </c>
      <c r="P2431" s="84" t="s">
        <v>1290</v>
      </c>
    </row>
    <row r="2432" spans="1:16">
      <c r="A2432" s="151">
        <v>70</v>
      </c>
      <c r="B2432" s="131">
        <v>46062</v>
      </c>
      <c r="C2432" s="150">
        <v>20</v>
      </c>
      <c r="D2432" s="140" t="str">
        <f>IF(ISERROR(VLOOKUP(C2432,'[1]خريطة الحسابات'!_xlnm.Print_Area,3,FALSE))," ",(VLOOKUP(C2432,'[1]خريطة الحسابات'!_xlnm.Print_Area,3,FALSE)))</f>
        <v xml:space="preserve">الخزينة </v>
      </c>
      <c r="E2432" s="142"/>
      <c r="F2432" s="133"/>
      <c r="G2432" s="133">
        <v>299</v>
      </c>
      <c r="H2432" s="134">
        <f t="shared" si="112"/>
        <v>0</v>
      </c>
      <c r="I2432" s="134">
        <f t="shared" si="112"/>
        <v>299</v>
      </c>
      <c r="J2432" s="134">
        <f t="shared" si="111"/>
        <v>-299</v>
      </c>
      <c r="K2432" s="135"/>
      <c r="L2432" s="136" t="str">
        <f t="shared" si="113"/>
        <v>دائن</v>
      </c>
      <c r="M2432" s="137" t="str">
        <f>IF(ISERROR(VLOOKUP(C2432,'[1]خريطة الحسابات'!_xlnm.Print_Area,4,FALSE))," ",(VLOOKUP(C2432,'[1]خريطة الحسابات'!_xlnm.Print_Area,4,FALSE)))</f>
        <v xml:space="preserve">أصول متداوله -النقدية ومافي حكمها </v>
      </c>
      <c r="N2432" s="138" t="str">
        <f>IF(ISERROR(VLOOKUP(C2432,'[1]خريطة الحسابات'!_xlnm.Print_Area,5,FALSE))," ",(VLOOKUP(C2432,'[1]خريطة الحسابات'!_xlnm.Print_Area,5,FALSE)))</f>
        <v>الاصول</v>
      </c>
      <c r="O2432" s="84" t="s">
        <v>2393</v>
      </c>
      <c r="P2432" s="84" t="s">
        <v>1290</v>
      </c>
    </row>
    <row r="2433" spans="1:16">
      <c r="A2433" s="151">
        <v>70</v>
      </c>
      <c r="B2433" s="131">
        <v>46063</v>
      </c>
      <c r="C2433" s="150">
        <v>20</v>
      </c>
      <c r="D2433" s="140" t="str">
        <f>IF(ISERROR(VLOOKUP(C2433,'[1]خريطة الحسابات'!_xlnm.Print_Area,3,FALSE))," ",(VLOOKUP(C2433,'[1]خريطة الحسابات'!_xlnm.Print_Area,3,FALSE)))</f>
        <v xml:space="preserve">الخزينة </v>
      </c>
      <c r="E2433" s="142"/>
      <c r="F2433" s="133"/>
      <c r="G2433" s="133">
        <v>415</v>
      </c>
      <c r="H2433" s="134">
        <f t="shared" si="112"/>
        <v>0</v>
      </c>
      <c r="I2433" s="134">
        <f t="shared" si="112"/>
        <v>415</v>
      </c>
      <c r="J2433" s="134">
        <f t="shared" si="111"/>
        <v>-415</v>
      </c>
      <c r="K2433" s="135"/>
      <c r="L2433" s="136" t="str">
        <f t="shared" si="113"/>
        <v>دائن</v>
      </c>
      <c r="M2433" s="137" t="str">
        <f>IF(ISERROR(VLOOKUP(C2433,'[1]خريطة الحسابات'!_xlnm.Print_Area,4,FALSE))," ",(VLOOKUP(C2433,'[1]خريطة الحسابات'!_xlnm.Print_Area,4,FALSE)))</f>
        <v xml:space="preserve">أصول متداوله -النقدية ومافي حكمها </v>
      </c>
      <c r="N2433" s="138" t="str">
        <f>IF(ISERROR(VLOOKUP(C2433,'[1]خريطة الحسابات'!_xlnm.Print_Area,5,FALSE))," ",(VLOOKUP(C2433,'[1]خريطة الحسابات'!_xlnm.Print_Area,5,FALSE)))</f>
        <v>الاصول</v>
      </c>
      <c r="O2433" s="84" t="s">
        <v>2394</v>
      </c>
      <c r="P2433" s="84" t="s">
        <v>1290</v>
      </c>
    </row>
    <row r="2434" spans="1:16">
      <c r="A2434" s="151">
        <v>70</v>
      </c>
      <c r="B2434" s="131">
        <v>46065</v>
      </c>
      <c r="C2434" s="150">
        <v>20</v>
      </c>
      <c r="D2434" s="140" t="str">
        <f>IF(ISERROR(VLOOKUP(C2434,'[1]خريطة الحسابات'!_xlnm.Print_Area,3,FALSE))," ",(VLOOKUP(C2434,'[1]خريطة الحسابات'!_xlnm.Print_Area,3,FALSE)))</f>
        <v xml:space="preserve">الخزينة </v>
      </c>
      <c r="E2434" s="142"/>
      <c r="F2434" s="133"/>
      <c r="G2434" s="133">
        <v>2200</v>
      </c>
      <c r="H2434" s="134">
        <f t="shared" si="112"/>
        <v>0</v>
      </c>
      <c r="I2434" s="134">
        <f t="shared" si="112"/>
        <v>2200</v>
      </c>
      <c r="J2434" s="134">
        <f t="shared" si="111"/>
        <v>-2200</v>
      </c>
      <c r="K2434" s="135"/>
      <c r="L2434" s="136" t="str">
        <f t="shared" si="113"/>
        <v>دائن</v>
      </c>
      <c r="M2434" s="137" t="str">
        <f>IF(ISERROR(VLOOKUP(C2434,'[1]خريطة الحسابات'!_xlnm.Print_Area,4,FALSE))," ",(VLOOKUP(C2434,'[1]خريطة الحسابات'!_xlnm.Print_Area,4,FALSE)))</f>
        <v xml:space="preserve">أصول متداوله -النقدية ومافي حكمها </v>
      </c>
      <c r="N2434" s="138" t="str">
        <f>IF(ISERROR(VLOOKUP(C2434,'[1]خريطة الحسابات'!_xlnm.Print_Area,5,FALSE))," ",(VLOOKUP(C2434,'[1]خريطة الحسابات'!_xlnm.Print_Area,5,FALSE)))</f>
        <v>الاصول</v>
      </c>
      <c r="O2434" s="84" t="s">
        <v>2395</v>
      </c>
      <c r="P2434" s="84" t="s">
        <v>1290</v>
      </c>
    </row>
    <row r="2435" spans="1:16">
      <c r="A2435" s="151">
        <v>70</v>
      </c>
      <c r="B2435" s="131">
        <v>46071</v>
      </c>
      <c r="C2435" s="150">
        <v>20</v>
      </c>
      <c r="D2435" s="140" t="str">
        <f>IF(ISERROR(VLOOKUP(C2435,'[1]خريطة الحسابات'!_xlnm.Print_Area,3,FALSE))," ",(VLOOKUP(C2435,'[1]خريطة الحسابات'!_xlnm.Print_Area,3,FALSE)))</f>
        <v xml:space="preserve">الخزينة </v>
      </c>
      <c r="E2435" s="142"/>
      <c r="F2435" s="133"/>
      <c r="G2435" s="133">
        <v>420</v>
      </c>
      <c r="H2435" s="134">
        <f t="shared" si="112"/>
        <v>0</v>
      </c>
      <c r="I2435" s="134">
        <f t="shared" si="112"/>
        <v>420</v>
      </c>
      <c r="J2435" s="134">
        <f t="shared" si="111"/>
        <v>-420</v>
      </c>
      <c r="K2435" s="135"/>
      <c r="L2435" s="136" t="str">
        <f t="shared" si="113"/>
        <v>دائن</v>
      </c>
      <c r="M2435" s="137" t="str">
        <f>IF(ISERROR(VLOOKUP(C2435,'[1]خريطة الحسابات'!_xlnm.Print_Area,4,FALSE))," ",(VLOOKUP(C2435,'[1]خريطة الحسابات'!_xlnm.Print_Area,4,FALSE)))</f>
        <v xml:space="preserve">أصول متداوله -النقدية ومافي حكمها </v>
      </c>
      <c r="N2435" s="138" t="str">
        <f>IF(ISERROR(VLOOKUP(C2435,'[1]خريطة الحسابات'!_xlnm.Print_Area,5,FALSE))," ",(VLOOKUP(C2435,'[1]خريطة الحسابات'!_xlnm.Print_Area,5,FALSE)))</f>
        <v>الاصول</v>
      </c>
      <c r="O2435" s="84" t="s">
        <v>2396</v>
      </c>
      <c r="P2435" s="84" t="s">
        <v>1290</v>
      </c>
    </row>
    <row r="2436" spans="1:16">
      <c r="A2436" s="151">
        <v>70</v>
      </c>
      <c r="B2436" s="131">
        <v>46075</v>
      </c>
      <c r="C2436" s="150">
        <v>20</v>
      </c>
      <c r="D2436" s="140" t="str">
        <f>IF(ISERROR(VLOOKUP(C2436,'[1]خريطة الحسابات'!_xlnm.Print_Area,3,FALSE))," ",(VLOOKUP(C2436,'[1]خريطة الحسابات'!_xlnm.Print_Area,3,FALSE)))</f>
        <v xml:space="preserve">الخزينة </v>
      </c>
      <c r="E2436" s="142"/>
      <c r="F2436" s="133"/>
      <c r="G2436" s="133">
        <v>1438</v>
      </c>
      <c r="H2436" s="134">
        <f t="shared" si="112"/>
        <v>0</v>
      </c>
      <c r="I2436" s="134">
        <f t="shared" si="112"/>
        <v>1438</v>
      </c>
      <c r="J2436" s="134">
        <f t="shared" si="111"/>
        <v>-1438</v>
      </c>
      <c r="K2436" s="135"/>
      <c r="L2436" s="136" t="str">
        <f t="shared" si="113"/>
        <v>دائن</v>
      </c>
      <c r="M2436" s="137" t="str">
        <f>IF(ISERROR(VLOOKUP(C2436,'[1]خريطة الحسابات'!_xlnm.Print_Area,4,FALSE))," ",(VLOOKUP(C2436,'[1]خريطة الحسابات'!_xlnm.Print_Area,4,FALSE)))</f>
        <v xml:space="preserve">أصول متداوله -النقدية ومافي حكمها </v>
      </c>
      <c r="N2436" s="138" t="str">
        <f>IF(ISERROR(VLOOKUP(C2436,'[1]خريطة الحسابات'!_xlnm.Print_Area,5,FALSE))," ",(VLOOKUP(C2436,'[1]خريطة الحسابات'!_xlnm.Print_Area,5,FALSE)))</f>
        <v>الاصول</v>
      </c>
      <c r="O2436" s="84" t="s">
        <v>2397</v>
      </c>
      <c r="P2436" s="84" t="s">
        <v>1290</v>
      </c>
    </row>
    <row r="2437" spans="1:16">
      <c r="A2437" s="151">
        <v>70</v>
      </c>
      <c r="B2437" s="131">
        <v>46086</v>
      </c>
      <c r="C2437" s="150">
        <v>20</v>
      </c>
      <c r="D2437" s="140" t="str">
        <f>IF(ISERROR(VLOOKUP(C2437,'[1]خريطة الحسابات'!_xlnm.Print_Area,3,FALSE))," ",(VLOOKUP(C2437,'[1]خريطة الحسابات'!_xlnm.Print_Area,3,FALSE)))</f>
        <v xml:space="preserve">الخزينة </v>
      </c>
      <c r="E2437" s="142"/>
      <c r="F2437" s="133"/>
      <c r="G2437" s="133">
        <v>10850</v>
      </c>
      <c r="H2437" s="134">
        <f t="shared" si="112"/>
        <v>0</v>
      </c>
      <c r="I2437" s="134">
        <f t="shared" si="112"/>
        <v>10850</v>
      </c>
      <c r="J2437" s="134">
        <f t="shared" si="111"/>
        <v>-10850</v>
      </c>
      <c r="K2437" s="135"/>
      <c r="L2437" s="136" t="str">
        <f t="shared" si="113"/>
        <v>دائن</v>
      </c>
      <c r="M2437" s="137" t="str">
        <f>IF(ISERROR(VLOOKUP(C2437,'[1]خريطة الحسابات'!_xlnm.Print_Area,4,FALSE))," ",(VLOOKUP(C2437,'[1]خريطة الحسابات'!_xlnm.Print_Area,4,FALSE)))</f>
        <v xml:space="preserve">أصول متداوله -النقدية ومافي حكمها </v>
      </c>
      <c r="N2437" s="138" t="str">
        <f>IF(ISERROR(VLOOKUP(C2437,'[1]خريطة الحسابات'!_xlnm.Print_Area,5,FALSE))," ",(VLOOKUP(C2437,'[1]خريطة الحسابات'!_xlnm.Print_Area,5,FALSE)))</f>
        <v>الاصول</v>
      </c>
      <c r="O2437" s="84" t="s">
        <v>2398</v>
      </c>
      <c r="P2437" s="84" t="s">
        <v>1290</v>
      </c>
    </row>
    <row r="2438" spans="1:16">
      <c r="A2438" s="151">
        <v>70</v>
      </c>
      <c r="B2438" s="131">
        <v>46093</v>
      </c>
      <c r="C2438" s="150">
        <v>20</v>
      </c>
      <c r="D2438" s="140" t="str">
        <f>IF(ISERROR(VLOOKUP(C2438,'[1]خريطة الحسابات'!_xlnm.Print_Area,3,FALSE))," ",(VLOOKUP(C2438,'[1]خريطة الحسابات'!_xlnm.Print_Area,3,FALSE)))</f>
        <v xml:space="preserve">الخزينة </v>
      </c>
      <c r="E2438" s="142"/>
      <c r="F2438" s="133"/>
      <c r="G2438" s="133">
        <v>1252</v>
      </c>
      <c r="H2438" s="134">
        <f t="shared" si="112"/>
        <v>0</v>
      </c>
      <c r="I2438" s="134">
        <f t="shared" si="112"/>
        <v>1252</v>
      </c>
      <c r="J2438" s="134">
        <f t="shared" si="111"/>
        <v>-1252</v>
      </c>
      <c r="K2438" s="135"/>
      <c r="L2438" s="136" t="str">
        <f t="shared" si="113"/>
        <v>دائن</v>
      </c>
      <c r="M2438" s="137" t="str">
        <f>IF(ISERROR(VLOOKUP(C2438,'[1]خريطة الحسابات'!_xlnm.Print_Area,4,FALSE))," ",(VLOOKUP(C2438,'[1]خريطة الحسابات'!_xlnm.Print_Area,4,FALSE)))</f>
        <v xml:space="preserve">أصول متداوله -النقدية ومافي حكمها </v>
      </c>
      <c r="N2438" s="138" t="str">
        <f>IF(ISERROR(VLOOKUP(C2438,'[1]خريطة الحسابات'!_xlnm.Print_Area,5,FALSE))," ",(VLOOKUP(C2438,'[1]خريطة الحسابات'!_xlnm.Print_Area,5,FALSE)))</f>
        <v>الاصول</v>
      </c>
      <c r="O2438" s="84" t="s">
        <v>2399</v>
      </c>
      <c r="P2438" s="84" t="s">
        <v>1290</v>
      </c>
    </row>
    <row r="2439" spans="1:16">
      <c r="A2439" s="151">
        <v>70</v>
      </c>
      <c r="B2439" s="131">
        <v>46121</v>
      </c>
      <c r="C2439" s="150">
        <v>20</v>
      </c>
      <c r="D2439" s="140" t="str">
        <f>IF(ISERROR(VLOOKUP(C2439,'[1]خريطة الحسابات'!_xlnm.Print_Area,3,FALSE))," ",(VLOOKUP(C2439,'[1]خريطة الحسابات'!_xlnm.Print_Area,3,FALSE)))</f>
        <v xml:space="preserve">الخزينة </v>
      </c>
      <c r="E2439" s="142"/>
      <c r="F2439" s="133"/>
      <c r="G2439" s="133">
        <v>6708</v>
      </c>
      <c r="H2439" s="134">
        <f t="shared" si="112"/>
        <v>0</v>
      </c>
      <c r="I2439" s="134">
        <f t="shared" si="112"/>
        <v>6708</v>
      </c>
      <c r="J2439" s="134">
        <f t="shared" si="111"/>
        <v>-6708</v>
      </c>
      <c r="K2439" s="135"/>
      <c r="L2439" s="136" t="str">
        <f t="shared" si="113"/>
        <v>دائن</v>
      </c>
      <c r="M2439" s="137" t="str">
        <f>IF(ISERROR(VLOOKUP(C2439,'[1]خريطة الحسابات'!_xlnm.Print_Area,4,FALSE))," ",(VLOOKUP(C2439,'[1]خريطة الحسابات'!_xlnm.Print_Area,4,FALSE)))</f>
        <v xml:space="preserve">أصول متداوله -النقدية ومافي حكمها </v>
      </c>
      <c r="N2439" s="138" t="str">
        <f>IF(ISERROR(VLOOKUP(C2439,'[1]خريطة الحسابات'!_xlnm.Print_Area,5,FALSE))," ",(VLOOKUP(C2439,'[1]خريطة الحسابات'!_xlnm.Print_Area,5,FALSE)))</f>
        <v>الاصول</v>
      </c>
      <c r="O2439" s="84" t="s">
        <v>2400</v>
      </c>
      <c r="P2439" s="84" t="s">
        <v>1290</v>
      </c>
    </row>
    <row r="2440" spans="1:16">
      <c r="A2440" s="151">
        <v>70</v>
      </c>
      <c r="B2440" s="131">
        <v>46146</v>
      </c>
      <c r="C2440" s="150">
        <v>20</v>
      </c>
      <c r="D2440" s="140" t="str">
        <f>IF(ISERROR(VLOOKUP(C2440,'[1]خريطة الحسابات'!_xlnm.Print_Area,3,FALSE))," ",(VLOOKUP(C2440,'[1]خريطة الحسابات'!_xlnm.Print_Area,3,FALSE)))</f>
        <v xml:space="preserve">الخزينة </v>
      </c>
      <c r="E2440" s="142"/>
      <c r="F2440" s="133"/>
      <c r="G2440" s="133">
        <v>1430</v>
      </c>
      <c r="H2440" s="134">
        <f t="shared" si="112"/>
        <v>0</v>
      </c>
      <c r="I2440" s="134">
        <f t="shared" si="112"/>
        <v>1430</v>
      </c>
      <c r="J2440" s="134">
        <f t="shared" si="111"/>
        <v>-1430</v>
      </c>
      <c r="K2440" s="135"/>
      <c r="L2440" s="136" t="str">
        <f t="shared" si="113"/>
        <v>دائن</v>
      </c>
      <c r="M2440" s="137" t="str">
        <f>IF(ISERROR(VLOOKUP(C2440,'[1]خريطة الحسابات'!_xlnm.Print_Area,4,FALSE))," ",(VLOOKUP(C2440,'[1]خريطة الحسابات'!_xlnm.Print_Area,4,FALSE)))</f>
        <v xml:space="preserve">أصول متداوله -النقدية ومافي حكمها </v>
      </c>
      <c r="N2440" s="138" t="str">
        <f>IF(ISERROR(VLOOKUP(C2440,'[1]خريطة الحسابات'!_xlnm.Print_Area,5,FALSE))," ",(VLOOKUP(C2440,'[1]خريطة الحسابات'!_xlnm.Print_Area,5,FALSE)))</f>
        <v>الاصول</v>
      </c>
      <c r="O2440" s="84" t="s">
        <v>2400</v>
      </c>
      <c r="P2440" s="84" t="s">
        <v>1290</v>
      </c>
    </row>
    <row r="2441" spans="1:16">
      <c r="A2441" s="151">
        <v>70</v>
      </c>
      <c r="B2441" s="131">
        <v>46147</v>
      </c>
      <c r="C2441" s="150">
        <v>20</v>
      </c>
      <c r="D2441" s="140" t="str">
        <f>IF(ISERROR(VLOOKUP(C2441,'[1]خريطة الحسابات'!_xlnm.Print_Area,3,FALSE))," ",(VLOOKUP(C2441,'[1]خريطة الحسابات'!_xlnm.Print_Area,3,FALSE)))</f>
        <v xml:space="preserve">الخزينة </v>
      </c>
      <c r="E2441" s="142"/>
      <c r="F2441" s="133"/>
      <c r="G2441" s="133">
        <v>1802</v>
      </c>
      <c r="H2441" s="134">
        <f t="shared" si="112"/>
        <v>0</v>
      </c>
      <c r="I2441" s="134">
        <f t="shared" si="112"/>
        <v>1802</v>
      </c>
      <c r="J2441" s="134">
        <f t="shared" si="111"/>
        <v>-1802</v>
      </c>
      <c r="K2441" s="135"/>
      <c r="L2441" s="136" t="str">
        <f t="shared" si="113"/>
        <v>دائن</v>
      </c>
      <c r="M2441" s="137" t="str">
        <f>IF(ISERROR(VLOOKUP(C2441,'[1]خريطة الحسابات'!_xlnm.Print_Area,4,FALSE))," ",(VLOOKUP(C2441,'[1]خريطة الحسابات'!_xlnm.Print_Area,4,FALSE)))</f>
        <v xml:space="preserve">أصول متداوله -النقدية ومافي حكمها </v>
      </c>
      <c r="N2441" s="138" t="str">
        <f>IF(ISERROR(VLOOKUP(C2441,'[1]خريطة الحسابات'!_xlnm.Print_Area,5,FALSE))," ",(VLOOKUP(C2441,'[1]خريطة الحسابات'!_xlnm.Print_Area,5,FALSE)))</f>
        <v>الاصول</v>
      </c>
      <c r="O2441" s="84" t="s">
        <v>2401</v>
      </c>
      <c r="P2441" s="84" t="s">
        <v>1290</v>
      </c>
    </row>
    <row r="2442" spans="1:16">
      <c r="A2442" s="151">
        <v>70</v>
      </c>
      <c r="B2442" s="131">
        <v>46070</v>
      </c>
      <c r="C2442" s="150">
        <v>20</v>
      </c>
      <c r="D2442" s="140" t="str">
        <f>IF(ISERROR(VLOOKUP(C2442,'[1]خريطة الحسابات'!_xlnm.Print_Area,3,FALSE))," ",(VLOOKUP(C2442,'[1]خريطة الحسابات'!_xlnm.Print_Area,3,FALSE)))</f>
        <v xml:space="preserve">الخزينة </v>
      </c>
      <c r="E2442" s="142"/>
      <c r="F2442" s="133"/>
      <c r="G2442" s="133">
        <v>10000</v>
      </c>
      <c r="H2442" s="134">
        <f t="shared" si="112"/>
        <v>0</v>
      </c>
      <c r="I2442" s="134">
        <f t="shared" si="112"/>
        <v>10000</v>
      </c>
      <c r="J2442" s="134">
        <f t="shared" si="111"/>
        <v>-10000</v>
      </c>
      <c r="K2442" s="135"/>
      <c r="L2442" s="136" t="str">
        <f t="shared" si="113"/>
        <v>دائن</v>
      </c>
      <c r="M2442" s="137" t="str">
        <f>IF(ISERROR(VLOOKUP(C2442,'[1]خريطة الحسابات'!_xlnm.Print_Area,4,FALSE))," ",(VLOOKUP(C2442,'[1]خريطة الحسابات'!_xlnm.Print_Area,4,FALSE)))</f>
        <v xml:space="preserve">أصول متداوله -النقدية ومافي حكمها </v>
      </c>
      <c r="N2442" s="138" t="str">
        <f>IF(ISERROR(VLOOKUP(C2442,'[1]خريطة الحسابات'!_xlnm.Print_Area,5,FALSE))," ",(VLOOKUP(C2442,'[1]خريطة الحسابات'!_xlnm.Print_Area,5,FALSE)))</f>
        <v>الاصول</v>
      </c>
      <c r="O2442" s="84" t="s">
        <v>2402</v>
      </c>
      <c r="P2442" s="84" t="s">
        <v>1315</v>
      </c>
    </row>
    <row r="2443" spans="1:16">
      <c r="A2443" s="151">
        <v>70</v>
      </c>
      <c r="B2443" s="131">
        <v>46076</v>
      </c>
      <c r="C2443" s="150">
        <v>20</v>
      </c>
      <c r="D2443" s="140" t="str">
        <f>IF(ISERROR(VLOOKUP(C2443,'[1]خريطة الحسابات'!_xlnm.Print_Area,3,FALSE))," ",(VLOOKUP(C2443,'[1]خريطة الحسابات'!_xlnm.Print_Area,3,FALSE)))</f>
        <v xml:space="preserve">الخزينة </v>
      </c>
      <c r="E2443" s="142"/>
      <c r="F2443" s="133"/>
      <c r="G2443" s="133">
        <v>210637</v>
      </c>
      <c r="H2443" s="134">
        <f t="shared" si="112"/>
        <v>0</v>
      </c>
      <c r="I2443" s="134">
        <f t="shared" si="112"/>
        <v>210637</v>
      </c>
      <c r="J2443" s="134">
        <f t="shared" si="111"/>
        <v>-210637</v>
      </c>
      <c r="K2443" s="135"/>
      <c r="L2443" s="136" t="str">
        <f t="shared" si="113"/>
        <v>دائن</v>
      </c>
      <c r="M2443" s="137" t="str">
        <f>IF(ISERROR(VLOOKUP(C2443,'[1]خريطة الحسابات'!_xlnm.Print_Area,4,FALSE))," ",(VLOOKUP(C2443,'[1]خريطة الحسابات'!_xlnm.Print_Area,4,FALSE)))</f>
        <v xml:space="preserve">أصول متداوله -النقدية ومافي حكمها </v>
      </c>
      <c r="N2443" s="138" t="str">
        <f>IF(ISERROR(VLOOKUP(C2443,'[1]خريطة الحسابات'!_xlnm.Print_Area,5,FALSE))," ",(VLOOKUP(C2443,'[1]خريطة الحسابات'!_xlnm.Print_Area,5,FALSE)))</f>
        <v>الاصول</v>
      </c>
      <c r="O2443" s="84" t="s">
        <v>2403</v>
      </c>
      <c r="P2443" s="84" t="s">
        <v>1315</v>
      </c>
    </row>
    <row r="2444" spans="1:16">
      <c r="A2444" s="151">
        <v>70</v>
      </c>
      <c r="B2444" s="131">
        <v>46093</v>
      </c>
      <c r="C2444" s="150">
        <v>20</v>
      </c>
      <c r="D2444" s="140" t="str">
        <f>IF(ISERROR(VLOOKUP(C2444,'[1]خريطة الحسابات'!_xlnm.Print_Area,3,FALSE))," ",(VLOOKUP(C2444,'[1]خريطة الحسابات'!_xlnm.Print_Area,3,FALSE)))</f>
        <v xml:space="preserve">الخزينة </v>
      </c>
      <c r="E2444" s="142"/>
      <c r="F2444" s="133"/>
      <c r="G2444" s="133">
        <v>16800</v>
      </c>
      <c r="H2444" s="134">
        <f t="shared" si="112"/>
        <v>0</v>
      </c>
      <c r="I2444" s="134">
        <f t="shared" si="112"/>
        <v>16800</v>
      </c>
      <c r="J2444" s="134">
        <f t="shared" si="111"/>
        <v>-16800</v>
      </c>
      <c r="K2444" s="135"/>
      <c r="L2444" s="136" t="str">
        <f t="shared" si="113"/>
        <v>دائن</v>
      </c>
      <c r="M2444" s="137" t="str">
        <f>IF(ISERROR(VLOOKUP(C2444,'[1]خريطة الحسابات'!_xlnm.Print_Area,4,FALSE))," ",(VLOOKUP(C2444,'[1]خريطة الحسابات'!_xlnm.Print_Area,4,FALSE)))</f>
        <v xml:space="preserve">أصول متداوله -النقدية ومافي حكمها </v>
      </c>
      <c r="N2444" s="138" t="str">
        <f>IF(ISERROR(VLOOKUP(C2444,'[1]خريطة الحسابات'!_xlnm.Print_Area,5,FALSE))," ",(VLOOKUP(C2444,'[1]خريطة الحسابات'!_xlnm.Print_Area,5,FALSE)))</f>
        <v>الاصول</v>
      </c>
      <c r="O2444" s="84" t="s">
        <v>2404</v>
      </c>
      <c r="P2444" s="84" t="s">
        <v>1315</v>
      </c>
    </row>
    <row r="2445" spans="1:16">
      <c r="A2445" s="151">
        <v>70</v>
      </c>
      <c r="B2445" s="131">
        <v>46093</v>
      </c>
      <c r="C2445" s="150">
        <v>20</v>
      </c>
      <c r="D2445" s="140" t="str">
        <f>IF(ISERROR(VLOOKUP(C2445,'[1]خريطة الحسابات'!_xlnm.Print_Area,3,FALSE))," ",(VLOOKUP(C2445,'[1]خريطة الحسابات'!_xlnm.Print_Area,3,FALSE)))</f>
        <v xml:space="preserve">الخزينة </v>
      </c>
      <c r="E2445" s="142"/>
      <c r="F2445" s="133"/>
      <c r="G2445" s="133">
        <v>8500</v>
      </c>
      <c r="H2445" s="134">
        <f t="shared" si="112"/>
        <v>0</v>
      </c>
      <c r="I2445" s="134">
        <f t="shared" si="112"/>
        <v>8500</v>
      </c>
      <c r="J2445" s="134">
        <f t="shared" si="111"/>
        <v>-8500</v>
      </c>
      <c r="K2445" s="135"/>
      <c r="L2445" s="136" t="str">
        <f t="shared" si="113"/>
        <v>دائن</v>
      </c>
      <c r="M2445" s="137" t="str">
        <f>IF(ISERROR(VLOOKUP(C2445,'[1]خريطة الحسابات'!_xlnm.Print_Area,4,FALSE))," ",(VLOOKUP(C2445,'[1]خريطة الحسابات'!_xlnm.Print_Area,4,FALSE)))</f>
        <v xml:space="preserve">أصول متداوله -النقدية ومافي حكمها </v>
      </c>
      <c r="N2445" s="138" t="str">
        <f>IF(ISERROR(VLOOKUP(C2445,'[1]خريطة الحسابات'!_xlnm.Print_Area,5,FALSE))," ",(VLOOKUP(C2445,'[1]خريطة الحسابات'!_xlnm.Print_Area,5,FALSE)))</f>
        <v>الاصول</v>
      </c>
      <c r="O2445" s="84" t="s">
        <v>2405</v>
      </c>
      <c r="P2445" s="84" t="s">
        <v>1315</v>
      </c>
    </row>
    <row r="2446" spans="1:16">
      <c r="A2446" s="151">
        <v>70</v>
      </c>
      <c r="B2446" s="131">
        <v>46093</v>
      </c>
      <c r="C2446" s="150">
        <v>20</v>
      </c>
      <c r="D2446" s="140" t="str">
        <f>IF(ISERROR(VLOOKUP(C2446,'[1]خريطة الحسابات'!_xlnm.Print_Area,3,FALSE))," ",(VLOOKUP(C2446,'[1]خريطة الحسابات'!_xlnm.Print_Area,3,FALSE)))</f>
        <v xml:space="preserve">الخزينة </v>
      </c>
      <c r="E2446" s="142"/>
      <c r="F2446" s="133"/>
      <c r="G2446" s="133">
        <v>3400</v>
      </c>
      <c r="H2446" s="134">
        <f t="shared" si="112"/>
        <v>0</v>
      </c>
      <c r="I2446" s="134">
        <f t="shared" si="112"/>
        <v>3400</v>
      </c>
      <c r="J2446" s="134">
        <f t="shared" si="111"/>
        <v>-3400</v>
      </c>
      <c r="K2446" s="135"/>
      <c r="L2446" s="136" t="str">
        <f t="shared" si="113"/>
        <v>دائن</v>
      </c>
      <c r="M2446" s="137" t="str">
        <f>IF(ISERROR(VLOOKUP(C2446,'[1]خريطة الحسابات'!_xlnm.Print_Area,4,FALSE))," ",(VLOOKUP(C2446,'[1]خريطة الحسابات'!_xlnm.Print_Area,4,FALSE)))</f>
        <v xml:space="preserve">أصول متداوله -النقدية ومافي حكمها </v>
      </c>
      <c r="N2446" s="138" t="str">
        <f>IF(ISERROR(VLOOKUP(C2446,'[1]خريطة الحسابات'!_xlnm.Print_Area,5,FALSE))," ",(VLOOKUP(C2446,'[1]خريطة الحسابات'!_xlnm.Print_Area,5,FALSE)))</f>
        <v>الاصول</v>
      </c>
      <c r="O2446" s="84" t="s">
        <v>2406</v>
      </c>
      <c r="P2446" s="84" t="s">
        <v>1315</v>
      </c>
    </row>
    <row r="2447" spans="1:16">
      <c r="A2447" s="151">
        <v>70</v>
      </c>
      <c r="B2447" s="131">
        <v>46093</v>
      </c>
      <c r="C2447" s="150">
        <v>20</v>
      </c>
      <c r="D2447" s="140" t="str">
        <f>IF(ISERROR(VLOOKUP(C2447,'[1]خريطة الحسابات'!_xlnm.Print_Area,3,FALSE))," ",(VLOOKUP(C2447,'[1]خريطة الحسابات'!_xlnm.Print_Area,3,FALSE)))</f>
        <v xml:space="preserve">الخزينة </v>
      </c>
      <c r="E2447" s="142"/>
      <c r="F2447" s="133"/>
      <c r="G2447" s="133">
        <v>1000</v>
      </c>
      <c r="H2447" s="134">
        <f t="shared" si="112"/>
        <v>0</v>
      </c>
      <c r="I2447" s="134">
        <f t="shared" si="112"/>
        <v>1000</v>
      </c>
      <c r="J2447" s="134">
        <f t="shared" si="111"/>
        <v>-1000</v>
      </c>
      <c r="K2447" s="135"/>
      <c r="L2447" s="136" t="str">
        <f t="shared" si="113"/>
        <v>دائن</v>
      </c>
      <c r="M2447" s="137" t="str">
        <f>IF(ISERROR(VLOOKUP(C2447,'[1]خريطة الحسابات'!_xlnm.Print_Area,4,FALSE))," ",(VLOOKUP(C2447,'[1]خريطة الحسابات'!_xlnm.Print_Area,4,FALSE)))</f>
        <v xml:space="preserve">أصول متداوله -النقدية ومافي حكمها </v>
      </c>
      <c r="N2447" s="138" t="str">
        <f>IF(ISERROR(VLOOKUP(C2447,'[1]خريطة الحسابات'!_xlnm.Print_Area,5,FALSE))," ",(VLOOKUP(C2447,'[1]خريطة الحسابات'!_xlnm.Print_Area,5,FALSE)))</f>
        <v>الاصول</v>
      </c>
      <c r="O2447" s="84" t="s">
        <v>2407</v>
      </c>
      <c r="P2447" s="84" t="s">
        <v>1315</v>
      </c>
    </row>
    <row r="2448" spans="1:16">
      <c r="A2448" s="151">
        <v>70</v>
      </c>
      <c r="B2448" s="131">
        <v>46093</v>
      </c>
      <c r="C2448" s="150">
        <v>20</v>
      </c>
      <c r="D2448" s="140" t="str">
        <f>IF(ISERROR(VLOOKUP(C2448,'[1]خريطة الحسابات'!_xlnm.Print_Area,3,FALSE))," ",(VLOOKUP(C2448,'[1]خريطة الحسابات'!_xlnm.Print_Area,3,FALSE)))</f>
        <v xml:space="preserve">الخزينة </v>
      </c>
      <c r="E2448" s="142"/>
      <c r="F2448" s="133"/>
      <c r="G2448" s="133">
        <v>3000</v>
      </c>
      <c r="H2448" s="134">
        <f t="shared" si="112"/>
        <v>0</v>
      </c>
      <c r="I2448" s="134">
        <f t="shared" si="112"/>
        <v>3000</v>
      </c>
      <c r="J2448" s="134">
        <f t="shared" si="111"/>
        <v>-3000</v>
      </c>
      <c r="K2448" s="135"/>
      <c r="L2448" s="136" t="str">
        <f t="shared" si="113"/>
        <v>دائن</v>
      </c>
      <c r="M2448" s="137" t="str">
        <f>IF(ISERROR(VLOOKUP(C2448,'[1]خريطة الحسابات'!_xlnm.Print_Area,4,FALSE))," ",(VLOOKUP(C2448,'[1]خريطة الحسابات'!_xlnm.Print_Area,4,FALSE)))</f>
        <v xml:space="preserve">أصول متداوله -النقدية ومافي حكمها </v>
      </c>
      <c r="N2448" s="138" t="str">
        <f>IF(ISERROR(VLOOKUP(C2448,'[1]خريطة الحسابات'!_xlnm.Print_Area,5,FALSE))," ",(VLOOKUP(C2448,'[1]خريطة الحسابات'!_xlnm.Print_Area,5,FALSE)))</f>
        <v>الاصول</v>
      </c>
      <c r="O2448" s="84" t="s">
        <v>2408</v>
      </c>
      <c r="P2448" s="84" t="s">
        <v>1315</v>
      </c>
    </row>
    <row r="2449" spans="1:16">
      <c r="A2449" s="151">
        <v>70</v>
      </c>
      <c r="B2449" s="131">
        <v>46093</v>
      </c>
      <c r="C2449" s="150">
        <v>20</v>
      </c>
      <c r="D2449" s="140" t="str">
        <f>IF(ISERROR(VLOOKUP(C2449,'[1]خريطة الحسابات'!_xlnm.Print_Area,3,FALSE))," ",(VLOOKUP(C2449,'[1]خريطة الحسابات'!_xlnm.Print_Area,3,FALSE)))</f>
        <v xml:space="preserve">الخزينة </v>
      </c>
      <c r="E2449" s="142"/>
      <c r="F2449" s="133"/>
      <c r="G2449" s="133">
        <v>9000</v>
      </c>
      <c r="H2449" s="134">
        <f t="shared" si="112"/>
        <v>0</v>
      </c>
      <c r="I2449" s="134">
        <f t="shared" si="112"/>
        <v>9000</v>
      </c>
      <c r="J2449" s="134">
        <f t="shared" si="111"/>
        <v>-9000</v>
      </c>
      <c r="K2449" s="135"/>
      <c r="L2449" s="136" t="str">
        <f t="shared" si="113"/>
        <v>دائن</v>
      </c>
      <c r="M2449" s="137" t="str">
        <f>IF(ISERROR(VLOOKUP(C2449,'[1]خريطة الحسابات'!_xlnm.Print_Area,4,FALSE))," ",(VLOOKUP(C2449,'[1]خريطة الحسابات'!_xlnm.Print_Area,4,FALSE)))</f>
        <v xml:space="preserve">أصول متداوله -النقدية ومافي حكمها </v>
      </c>
      <c r="N2449" s="138" t="str">
        <f>IF(ISERROR(VLOOKUP(C2449,'[1]خريطة الحسابات'!_xlnm.Print_Area,5,FALSE))," ",(VLOOKUP(C2449,'[1]خريطة الحسابات'!_xlnm.Print_Area,5,FALSE)))</f>
        <v>الاصول</v>
      </c>
      <c r="O2449" s="84" t="s">
        <v>2409</v>
      </c>
      <c r="P2449" s="84" t="s">
        <v>1315</v>
      </c>
    </row>
    <row r="2450" spans="1:16">
      <c r="A2450" s="151">
        <v>70</v>
      </c>
      <c r="B2450" s="131">
        <v>46093</v>
      </c>
      <c r="C2450" s="150">
        <v>20</v>
      </c>
      <c r="D2450" s="140" t="str">
        <f>IF(ISERROR(VLOOKUP(C2450,'[1]خريطة الحسابات'!_xlnm.Print_Area,3,FALSE))," ",(VLOOKUP(C2450,'[1]خريطة الحسابات'!_xlnm.Print_Area,3,FALSE)))</f>
        <v xml:space="preserve">الخزينة </v>
      </c>
      <c r="E2450" s="142"/>
      <c r="F2450" s="133"/>
      <c r="G2450" s="133">
        <v>2150</v>
      </c>
      <c r="H2450" s="134">
        <f t="shared" si="112"/>
        <v>0</v>
      </c>
      <c r="I2450" s="134">
        <f t="shared" si="112"/>
        <v>2150</v>
      </c>
      <c r="J2450" s="134">
        <f t="shared" si="111"/>
        <v>-2150</v>
      </c>
      <c r="K2450" s="135"/>
      <c r="L2450" s="136" t="str">
        <f t="shared" si="113"/>
        <v>دائن</v>
      </c>
      <c r="M2450" s="137" t="str">
        <f>IF(ISERROR(VLOOKUP(C2450,'[1]خريطة الحسابات'!_xlnm.Print_Area,4,FALSE))," ",(VLOOKUP(C2450,'[1]خريطة الحسابات'!_xlnm.Print_Area,4,FALSE)))</f>
        <v xml:space="preserve">أصول متداوله -النقدية ومافي حكمها </v>
      </c>
      <c r="N2450" s="138" t="str">
        <f>IF(ISERROR(VLOOKUP(C2450,'[1]خريطة الحسابات'!_xlnm.Print_Area,5,FALSE))," ",(VLOOKUP(C2450,'[1]خريطة الحسابات'!_xlnm.Print_Area,5,FALSE)))</f>
        <v>الاصول</v>
      </c>
      <c r="O2450" s="84" t="s">
        <v>2410</v>
      </c>
      <c r="P2450" s="84" t="s">
        <v>1315</v>
      </c>
    </row>
    <row r="2451" spans="1:16">
      <c r="A2451" s="151">
        <v>70</v>
      </c>
      <c r="B2451" s="131">
        <v>46097</v>
      </c>
      <c r="C2451" s="150">
        <v>20</v>
      </c>
      <c r="D2451" s="140" t="str">
        <f>IF(ISERROR(VLOOKUP(C2451,'[1]خريطة الحسابات'!_xlnm.Print_Area,3,FALSE))," ",(VLOOKUP(C2451,'[1]خريطة الحسابات'!_xlnm.Print_Area,3,FALSE)))</f>
        <v xml:space="preserve">الخزينة </v>
      </c>
      <c r="E2451" s="142"/>
      <c r="F2451" s="133"/>
      <c r="G2451" s="133">
        <v>4420</v>
      </c>
      <c r="H2451" s="134">
        <f t="shared" si="112"/>
        <v>0</v>
      </c>
      <c r="I2451" s="134">
        <f t="shared" si="112"/>
        <v>4420</v>
      </c>
      <c r="J2451" s="134">
        <f t="shared" si="111"/>
        <v>-4420</v>
      </c>
      <c r="K2451" s="135"/>
      <c r="L2451" s="136" t="str">
        <f t="shared" si="113"/>
        <v>دائن</v>
      </c>
      <c r="M2451" s="137" t="str">
        <f>IF(ISERROR(VLOOKUP(C2451,'[1]خريطة الحسابات'!_xlnm.Print_Area,4,FALSE))," ",(VLOOKUP(C2451,'[1]خريطة الحسابات'!_xlnm.Print_Area,4,FALSE)))</f>
        <v xml:space="preserve">أصول متداوله -النقدية ومافي حكمها </v>
      </c>
      <c r="N2451" s="138" t="str">
        <f>IF(ISERROR(VLOOKUP(C2451,'[1]خريطة الحسابات'!_xlnm.Print_Area,5,FALSE))," ",(VLOOKUP(C2451,'[1]خريطة الحسابات'!_xlnm.Print_Area,5,FALSE)))</f>
        <v>الاصول</v>
      </c>
      <c r="O2451" s="84" t="s">
        <v>2411</v>
      </c>
      <c r="P2451" s="84" t="s">
        <v>1315</v>
      </c>
    </row>
    <row r="2452" spans="1:16">
      <c r="A2452" s="151">
        <v>70</v>
      </c>
      <c r="B2452" s="131">
        <v>46097</v>
      </c>
      <c r="C2452" s="150">
        <v>20</v>
      </c>
      <c r="D2452" s="140" t="str">
        <f>IF(ISERROR(VLOOKUP(C2452,'[1]خريطة الحسابات'!_xlnm.Print_Area,3,FALSE))," ",(VLOOKUP(C2452,'[1]خريطة الحسابات'!_xlnm.Print_Area,3,FALSE)))</f>
        <v xml:space="preserve">الخزينة </v>
      </c>
      <c r="E2452" s="142"/>
      <c r="F2452" s="133"/>
      <c r="G2452" s="133">
        <v>1000</v>
      </c>
      <c r="H2452" s="134">
        <f t="shared" si="112"/>
        <v>0</v>
      </c>
      <c r="I2452" s="134">
        <f t="shared" si="112"/>
        <v>1000</v>
      </c>
      <c r="J2452" s="134">
        <f t="shared" si="111"/>
        <v>-1000</v>
      </c>
      <c r="K2452" s="135"/>
      <c r="L2452" s="136" t="str">
        <f t="shared" si="113"/>
        <v>دائن</v>
      </c>
      <c r="M2452" s="137" t="str">
        <f>IF(ISERROR(VLOOKUP(C2452,'[1]خريطة الحسابات'!_xlnm.Print_Area,4,FALSE))," ",(VLOOKUP(C2452,'[1]خريطة الحسابات'!_xlnm.Print_Area,4,FALSE)))</f>
        <v xml:space="preserve">أصول متداوله -النقدية ومافي حكمها </v>
      </c>
      <c r="N2452" s="138" t="str">
        <f>IF(ISERROR(VLOOKUP(C2452,'[1]خريطة الحسابات'!_xlnm.Print_Area,5,FALSE))," ",(VLOOKUP(C2452,'[1]خريطة الحسابات'!_xlnm.Print_Area,5,FALSE)))</f>
        <v>الاصول</v>
      </c>
      <c r="O2452" s="84" t="s">
        <v>2412</v>
      </c>
      <c r="P2452" s="84" t="s">
        <v>1315</v>
      </c>
    </row>
    <row r="2453" spans="1:16">
      <c r="A2453" s="151">
        <v>70</v>
      </c>
      <c r="B2453" s="131">
        <v>46109</v>
      </c>
      <c r="C2453" s="150">
        <v>20</v>
      </c>
      <c r="D2453" s="140" t="str">
        <f>IF(ISERROR(VLOOKUP(C2453,'[1]خريطة الحسابات'!_xlnm.Print_Area,3,FALSE))," ",(VLOOKUP(C2453,'[1]خريطة الحسابات'!_xlnm.Print_Area,3,FALSE)))</f>
        <v xml:space="preserve">الخزينة </v>
      </c>
      <c r="E2453" s="142"/>
      <c r="F2453" s="133"/>
      <c r="G2453" s="133">
        <v>8809</v>
      </c>
      <c r="H2453" s="134">
        <f t="shared" si="112"/>
        <v>0</v>
      </c>
      <c r="I2453" s="134">
        <f t="shared" si="112"/>
        <v>8809</v>
      </c>
      <c r="J2453" s="134">
        <f t="shared" si="111"/>
        <v>-8809</v>
      </c>
      <c r="K2453" s="135"/>
      <c r="L2453" s="136" t="str">
        <f t="shared" si="113"/>
        <v>دائن</v>
      </c>
      <c r="M2453" s="137" t="str">
        <f>IF(ISERROR(VLOOKUP(C2453,'[1]خريطة الحسابات'!_xlnm.Print_Area,4,FALSE))," ",(VLOOKUP(C2453,'[1]خريطة الحسابات'!_xlnm.Print_Area,4,FALSE)))</f>
        <v xml:space="preserve">أصول متداوله -النقدية ومافي حكمها </v>
      </c>
      <c r="N2453" s="138" t="str">
        <f>IF(ISERROR(VLOOKUP(C2453,'[1]خريطة الحسابات'!_xlnm.Print_Area,5,FALSE))," ",(VLOOKUP(C2453,'[1]خريطة الحسابات'!_xlnm.Print_Area,5,FALSE)))</f>
        <v>الاصول</v>
      </c>
      <c r="O2453" s="84" t="s">
        <v>2413</v>
      </c>
      <c r="P2453" s="84" t="s">
        <v>1315</v>
      </c>
    </row>
    <row r="2454" spans="1:16">
      <c r="A2454" s="151">
        <v>70</v>
      </c>
      <c r="B2454" s="131">
        <v>46117</v>
      </c>
      <c r="C2454" s="150">
        <v>20</v>
      </c>
      <c r="D2454" s="140" t="str">
        <f>IF(ISERROR(VLOOKUP(C2454,'[1]خريطة الحسابات'!_xlnm.Print_Area,3,FALSE))," ",(VLOOKUP(C2454,'[1]خريطة الحسابات'!_xlnm.Print_Area,3,FALSE)))</f>
        <v xml:space="preserve">الخزينة </v>
      </c>
      <c r="E2454" s="142"/>
      <c r="F2454" s="133"/>
      <c r="G2454" s="133">
        <v>2890</v>
      </c>
      <c r="H2454" s="134">
        <f t="shared" si="112"/>
        <v>0</v>
      </c>
      <c r="I2454" s="134">
        <f t="shared" si="112"/>
        <v>2890</v>
      </c>
      <c r="J2454" s="134">
        <f t="shared" si="111"/>
        <v>-2890</v>
      </c>
      <c r="K2454" s="135"/>
      <c r="L2454" s="136" t="str">
        <f t="shared" si="113"/>
        <v>دائن</v>
      </c>
      <c r="M2454" s="137" t="str">
        <f>IF(ISERROR(VLOOKUP(C2454,'[1]خريطة الحسابات'!_xlnm.Print_Area,4,FALSE))," ",(VLOOKUP(C2454,'[1]خريطة الحسابات'!_xlnm.Print_Area,4,FALSE)))</f>
        <v xml:space="preserve">أصول متداوله -النقدية ومافي حكمها </v>
      </c>
      <c r="N2454" s="138" t="str">
        <f>IF(ISERROR(VLOOKUP(C2454,'[1]خريطة الحسابات'!_xlnm.Print_Area,5,FALSE))," ",(VLOOKUP(C2454,'[1]خريطة الحسابات'!_xlnm.Print_Area,5,FALSE)))</f>
        <v>الاصول</v>
      </c>
      <c r="O2454" s="84" t="s">
        <v>2414</v>
      </c>
      <c r="P2454" s="84" t="s">
        <v>1315</v>
      </c>
    </row>
    <row r="2455" spans="1:16">
      <c r="A2455" s="151">
        <v>70</v>
      </c>
      <c r="B2455" s="131">
        <v>46121</v>
      </c>
      <c r="C2455" s="150">
        <v>20</v>
      </c>
      <c r="D2455" s="140" t="str">
        <f>IF(ISERROR(VLOOKUP(C2455,'[1]خريطة الحسابات'!_xlnm.Print_Area,3,FALSE))," ",(VLOOKUP(C2455,'[1]خريطة الحسابات'!_xlnm.Print_Area,3,FALSE)))</f>
        <v xml:space="preserve">الخزينة </v>
      </c>
      <c r="E2455" s="142"/>
      <c r="F2455" s="133"/>
      <c r="G2455" s="133">
        <v>4595</v>
      </c>
      <c r="H2455" s="134">
        <f t="shared" si="112"/>
        <v>0</v>
      </c>
      <c r="I2455" s="134">
        <f t="shared" si="112"/>
        <v>4595</v>
      </c>
      <c r="J2455" s="134">
        <f t="shared" si="111"/>
        <v>-4595</v>
      </c>
      <c r="K2455" s="135"/>
      <c r="L2455" s="136" t="str">
        <f t="shared" si="113"/>
        <v>دائن</v>
      </c>
      <c r="M2455" s="137" t="str">
        <f>IF(ISERROR(VLOOKUP(C2455,'[1]خريطة الحسابات'!_xlnm.Print_Area,4,FALSE))," ",(VLOOKUP(C2455,'[1]خريطة الحسابات'!_xlnm.Print_Area,4,FALSE)))</f>
        <v xml:space="preserve">أصول متداوله -النقدية ومافي حكمها </v>
      </c>
      <c r="N2455" s="138" t="str">
        <f>IF(ISERROR(VLOOKUP(C2455,'[1]خريطة الحسابات'!_xlnm.Print_Area,5,FALSE))," ",(VLOOKUP(C2455,'[1]خريطة الحسابات'!_xlnm.Print_Area,5,FALSE)))</f>
        <v>الاصول</v>
      </c>
      <c r="O2455" s="84" t="s">
        <v>2400</v>
      </c>
      <c r="P2455" s="84" t="s">
        <v>1315</v>
      </c>
    </row>
    <row r="2456" spans="1:16">
      <c r="A2456" s="151">
        <v>70</v>
      </c>
      <c r="B2456" s="131">
        <v>46123</v>
      </c>
      <c r="C2456" s="150">
        <v>20</v>
      </c>
      <c r="D2456" s="140" t="str">
        <f>IF(ISERROR(VLOOKUP(C2456,'[1]خريطة الحسابات'!_xlnm.Print_Area,3,FALSE))," ",(VLOOKUP(C2456,'[1]خريطة الحسابات'!_xlnm.Print_Area,3,FALSE)))</f>
        <v xml:space="preserve">الخزينة </v>
      </c>
      <c r="E2456" s="142"/>
      <c r="F2456" s="133"/>
      <c r="G2456" s="133">
        <v>350</v>
      </c>
      <c r="H2456" s="134">
        <f t="shared" si="112"/>
        <v>0</v>
      </c>
      <c r="I2456" s="134">
        <f t="shared" si="112"/>
        <v>350</v>
      </c>
      <c r="J2456" s="134">
        <f t="shared" ref="J2456:J2519" si="114">H2456-I2456</f>
        <v>-350</v>
      </c>
      <c r="K2456" s="135"/>
      <c r="L2456" s="136" t="str">
        <f t="shared" si="113"/>
        <v>دائن</v>
      </c>
      <c r="M2456" s="137" t="str">
        <f>IF(ISERROR(VLOOKUP(C2456,'[1]خريطة الحسابات'!_xlnm.Print_Area,4,FALSE))," ",(VLOOKUP(C2456,'[1]خريطة الحسابات'!_xlnm.Print_Area,4,FALSE)))</f>
        <v xml:space="preserve">أصول متداوله -النقدية ومافي حكمها </v>
      </c>
      <c r="N2456" s="138" t="str">
        <f>IF(ISERROR(VLOOKUP(C2456,'[1]خريطة الحسابات'!_xlnm.Print_Area,5,FALSE))," ",(VLOOKUP(C2456,'[1]خريطة الحسابات'!_xlnm.Print_Area,5,FALSE)))</f>
        <v>الاصول</v>
      </c>
      <c r="O2456" s="84" t="s">
        <v>2415</v>
      </c>
      <c r="P2456" s="84" t="s">
        <v>1315</v>
      </c>
    </row>
    <row r="2457" spans="1:16">
      <c r="A2457" s="151">
        <v>70</v>
      </c>
      <c r="B2457" s="131">
        <v>46123</v>
      </c>
      <c r="C2457" s="150">
        <v>20</v>
      </c>
      <c r="D2457" s="140" t="str">
        <f>IF(ISERROR(VLOOKUP(C2457,'[1]خريطة الحسابات'!_xlnm.Print_Area,3,FALSE))," ",(VLOOKUP(C2457,'[1]خريطة الحسابات'!_xlnm.Print_Area,3,FALSE)))</f>
        <v xml:space="preserve">الخزينة </v>
      </c>
      <c r="E2457" s="142"/>
      <c r="F2457" s="133"/>
      <c r="G2457" s="133">
        <v>4350</v>
      </c>
      <c r="H2457" s="134">
        <f t="shared" ref="H2457:I2520" si="115">IF($E2457=2,F2457*3.465,F2457)</f>
        <v>0</v>
      </c>
      <c r="I2457" s="134">
        <f t="shared" si="115"/>
        <v>4350</v>
      </c>
      <c r="J2457" s="134">
        <f t="shared" si="114"/>
        <v>-4350</v>
      </c>
      <c r="K2457" s="135"/>
      <c r="L2457" s="136" t="str">
        <f t="shared" si="113"/>
        <v>دائن</v>
      </c>
      <c r="M2457" s="137" t="str">
        <f>IF(ISERROR(VLOOKUP(C2457,'[1]خريطة الحسابات'!_xlnm.Print_Area,4,FALSE))," ",(VLOOKUP(C2457,'[1]خريطة الحسابات'!_xlnm.Print_Area,4,FALSE)))</f>
        <v xml:space="preserve">أصول متداوله -النقدية ومافي حكمها </v>
      </c>
      <c r="N2457" s="138" t="str">
        <f>IF(ISERROR(VLOOKUP(C2457,'[1]خريطة الحسابات'!_xlnm.Print_Area,5,FALSE))," ",(VLOOKUP(C2457,'[1]خريطة الحسابات'!_xlnm.Print_Area,5,FALSE)))</f>
        <v>الاصول</v>
      </c>
      <c r="O2457" s="84" t="s">
        <v>2416</v>
      </c>
      <c r="P2457" s="84" t="s">
        <v>1315</v>
      </c>
    </row>
    <row r="2458" spans="1:16">
      <c r="A2458" s="151">
        <v>70</v>
      </c>
      <c r="B2458" s="131">
        <v>46029</v>
      </c>
      <c r="C2458" s="150">
        <v>20</v>
      </c>
      <c r="D2458" s="140" t="str">
        <f>IF(ISERROR(VLOOKUP(C2458,'[1]خريطة الحسابات'!_xlnm.Print_Area,3,FALSE))," ",(VLOOKUP(C2458,'[1]خريطة الحسابات'!_xlnm.Print_Area,3,FALSE)))</f>
        <v xml:space="preserve">الخزينة </v>
      </c>
      <c r="E2458" s="142"/>
      <c r="F2458" s="133"/>
      <c r="G2458" s="133">
        <v>1050</v>
      </c>
      <c r="H2458" s="134">
        <f t="shared" si="115"/>
        <v>0</v>
      </c>
      <c r="I2458" s="134">
        <f t="shared" si="115"/>
        <v>1050</v>
      </c>
      <c r="J2458" s="134">
        <f t="shared" si="114"/>
        <v>-1050</v>
      </c>
      <c r="K2458" s="135"/>
      <c r="L2458" s="136" t="str">
        <f t="shared" si="113"/>
        <v>دائن</v>
      </c>
      <c r="M2458" s="137" t="str">
        <f>IF(ISERROR(VLOOKUP(C2458,'[1]خريطة الحسابات'!_xlnm.Print_Area,4,FALSE))," ",(VLOOKUP(C2458,'[1]خريطة الحسابات'!_xlnm.Print_Area,4,FALSE)))</f>
        <v xml:space="preserve">أصول متداوله -النقدية ومافي حكمها </v>
      </c>
      <c r="N2458" s="138" t="str">
        <f>IF(ISERROR(VLOOKUP(C2458,'[1]خريطة الحسابات'!_xlnm.Print_Area,5,FALSE))," ",(VLOOKUP(C2458,'[1]خريطة الحسابات'!_xlnm.Print_Area,5,FALSE)))</f>
        <v>الاصول</v>
      </c>
      <c r="O2458" s="84" t="s">
        <v>2417</v>
      </c>
      <c r="P2458" s="84" t="s">
        <v>1325</v>
      </c>
    </row>
    <row r="2459" spans="1:16">
      <c r="A2459" s="151">
        <v>70</v>
      </c>
      <c r="B2459" s="131">
        <v>46044</v>
      </c>
      <c r="C2459" s="150">
        <v>20</v>
      </c>
      <c r="D2459" s="140" t="str">
        <f>IF(ISERROR(VLOOKUP(C2459,'[1]خريطة الحسابات'!_xlnm.Print_Area,3,FALSE))," ",(VLOOKUP(C2459,'[1]خريطة الحسابات'!_xlnm.Print_Area,3,FALSE)))</f>
        <v xml:space="preserve">الخزينة </v>
      </c>
      <c r="E2459" s="142"/>
      <c r="F2459" s="133"/>
      <c r="G2459" s="133">
        <v>2000</v>
      </c>
      <c r="H2459" s="134">
        <f t="shared" si="115"/>
        <v>0</v>
      </c>
      <c r="I2459" s="134">
        <f t="shared" si="115"/>
        <v>2000</v>
      </c>
      <c r="J2459" s="134">
        <f t="shared" si="114"/>
        <v>-2000</v>
      </c>
      <c r="K2459" s="135"/>
      <c r="L2459" s="136" t="str">
        <f t="shared" ref="L2459:L2522" si="116">IF(J2459&lt;0,"دائن",IF(J2459&gt;0,"مدين",""))</f>
        <v>دائن</v>
      </c>
      <c r="M2459" s="137" t="str">
        <f>IF(ISERROR(VLOOKUP(C2459,'[1]خريطة الحسابات'!_xlnm.Print_Area,4,FALSE))," ",(VLOOKUP(C2459,'[1]خريطة الحسابات'!_xlnm.Print_Area,4,FALSE)))</f>
        <v xml:space="preserve">أصول متداوله -النقدية ومافي حكمها </v>
      </c>
      <c r="N2459" s="138" t="str">
        <f>IF(ISERROR(VLOOKUP(C2459,'[1]خريطة الحسابات'!_xlnm.Print_Area,5,FALSE))," ",(VLOOKUP(C2459,'[1]خريطة الحسابات'!_xlnm.Print_Area,5,FALSE)))</f>
        <v>الاصول</v>
      </c>
      <c r="O2459" s="84" t="s">
        <v>2418</v>
      </c>
      <c r="P2459" s="84" t="s">
        <v>1325</v>
      </c>
    </row>
    <row r="2460" spans="1:16">
      <c r="A2460" s="151">
        <v>70</v>
      </c>
      <c r="B2460" s="131">
        <v>46065</v>
      </c>
      <c r="C2460" s="150">
        <v>20</v>
      </c>
      <c r="D2460" s="140" t="str">
        <f>IF(ISERROR(VLOOKUP(C2460,'[1]خريطة الحسابات'!_xlnm.Print_Area,3,FALSE))," ",(VLOOKUP(C2460,'[1]خريطة الحسابات'!_xlnm.Print_Area,3,FALSE)))</f>
        <v xml:space="preserve">الخزينة </v>
      </c>
      <c r="E2460" s="142"/>
      <c r="F2460" s="133"/>
      <c r="G2460" s="133">
        <v>6670</v>
      </c>
      <c r="H2460" s="134">
        <f t="shared" si="115"/>
        <v>0</v>
      </c>
      <c r="I2460" s="134">
        <f t="shared" si="115"/>
        <v>6670</v>
      </c>
      <c r="J2460" s="134">
        <f t="shared" si="114"/>
        <v>-6670</v>
      </c>
      <c r="K2460" s="135"/>
      <c r="L2460" s="136" t="str">
        <f t="shared" si="116"/>
        <v>دائن</v>
      </c>
      <c r="M2460" s="137" t="str">
        <f>IF(ISERROR(VLOOKUP(C2460,'[1]خريطة الحسابات'!_xlnm.Print_Area,4,FALSE))," ",(VLOOKUP(C2460,'[1]خريطة الحسابات'!_xlnm.Print_Area,4,FALSE)))</f>
        <v xml:space="preserve">أصول متداوله -النقدية ومافي حكمها </v>
      </c>
      <c r="N2460" s="138" t="str">
        <f>IF(ISERROR(VLOOKUP(C2460,'[1]خريطة الحسابات'!_xlnm.Print_Area,5,FALSE))," ",(VLOOKUP(C2460,'[1]خريطة الحسابات'!_xlnm.Print_Area,5,FALSE)))</f>
        <v>الاصول</v>
      </c>
      <c r="O2460" s="84" t="s">
        <v>2419</v>
      </c>
      <c r="P2460" s="84" t="s">
        <v>1325</v>
      </c>
    </row>
    <row r="2461" spans="1:16">
      <c r="A2461" s="151">
        <v>70</v>
      </c>
      <c r="B2461" s="131">
        <v>46043</v>
      </c>
      <c r="C2461" s="150">
        <v>20</v>
      </c>
      <c r="D2461" s="140" t="str">
        <f>IF(ISERROR(VLOOKUP(C2461,'[1]خريطة الحسابات'!_xlnm.Print_Area,3,FALSE))," ",(VLOOKUP(C2461,'[1]خريطة الحسابات'!_xlnm.Print_Area,3,FALSE)))</f>
        <v xml:space="preserve">الخزينة </v>
      </c>
      <c r="E2461" s="142"/>
      <c r="F2461" s="133"/>
      <c r="G2461" s="133">
        <v>440</v>
      </c>
      <c r="H2461" s="134">
        <f t="shared" si="115"/>
        <v>0</v>
      </c>
      <c r="I2461" s="134">
        <f t="shared" si="115"/>
        <v>440</v>
      </c>
      <c r="J2461" s="134">
        <f t="shared" si="114"/>
        <v>-440</v>
      </c>
      <c r="K2461" s="135"/>
      <c r="L2461" s="136" t="str">
        <f t="shared" si="116"/>
        <v>دائن</v>
      </c>
      <c r="M2461" s="137" t="str">
        <f>IF(ISERROR(VLOOKUP(C2461,'[1]خريطة الحسابات'!_xlnm.Print_Area,4,FALSE))," ",(VLOOKUP(C2461,'[1]خريطة الحسابات'!_xlnm.Print_Area,4,FALSE)))</f>
        <v xml:space="preserve">أصول متداوله -النقدية ومافي حكمها </v>
      </c>
      <c r="N2461" s="138" t="str">
        <f>IF(ISERROR(VLOOKUP(C2461,'[1]خريطة الحسابات'!_xlnm.Print_Area,5,FALSE))," ",(VLOOKUP(C2461,'[1]خريطة الحسابات'!_xlnm.Print_Area,5,FALSE)))</f>
        <v>الاصول</v>
      </c>
      <c r="O2461" s="84" t="s">
        <v>2420</v>
      </c>
      <c r="P2461" s="84" t="s">
        <v>2421</v>
      </c>
    </row>
    <row r="2462" spans="1:16">
      <c r="A2462" s="151">
        <v>70</v>
      </c>
      <c r="B2462" s="131">
        <v>46132</v>
      </c>
      <c r="C2462" s="150">
        <v>20</v>
      </c>
      <c r="D2462" s="140" t="str">
        <f>IF(ISERROR(VLOOKUP(C2462,'[1]خريطة الحسابات'!_xlnm.Print_Area,3,FALSE))," ",(VLOOKUP(C2462,'[1]خريطة الحسابات'!_xlnm.Print_Area,3,FALSE)))</f>
        <v xml:space="preserve">الخزينة </v>
      </c>
      <c r="E2462" s="142"/>
      <c r="F2462" s="133"/>
      <c r="G2462" s="133">
        <v>1995</v>
      </c>
      <c r="H2462" s="134">
        <f t="shared" si="115"/>
        <v>0</v>
      </c>
      <c r="I2462" s="134">
        <f t="shared" si="115"/>
        <v>1995</v>
      </c>
      <c r="J2462" s="134">
        <f t="shared" si="114"/>
        <v>-1995</v>
      </c>
      <c r="K2462" s="135"/>
      <c r="L2462" s="136" t="str">
        <f t="shared" si="116"/>
        <v>دائن</v>
      </c>
      <c r="M2462" s="137" t="str">
        <f>IF(ISERROR(VLOOKUP(C2462,'[1]خريطة الحسابات'!_xlnm.Print_Area,4,FALSE))," ",(VLOOKUP(C2462,'[1]خريطة الحسابات'!_xlnm.Print_Area,4,FALSE)))</f>
        <v xml:space="preserve">أصول متداوله -النقدية ومافي حكمها </v>
      </c>
      <c r="N2462" s="138" t="str">
        <f>IF(ISERROR(VLOOKUP(C2462,'[1]خريطة الحسابات'!_xlnm.Print_Area,5,FALSE))," ",(VLOOKUP(C2462,'[1]خريطة الحسابات'!_xlnm.Print_Area,5,FALSE)))</f>
        <v>الاصول</v>
      </c>
      <c r="O2462" s="84" t="s">
        <v>2422</v>
      </c>
      <c r="P2462" s="84" t="s">
        <v>1415</v>
      </c>
    </row>
    <row r="2463" spans="1:16">
      <c r="A2463" s="151">
        <v>70</v>
      </c>
      <c r="B2463" s="131">
        <v>46132</v>
      </c>
      <c r="C2463" s="150">
        <v>20</v>
      </c>
      <c r="D2463" s="140" t="str">
        <f>IF(ISERROR(VLOOKUP(C2463,'[1]خريطة الحسابات'!_xlnm.Print_Area,3,FALSE))," ",(VLOOKUP(C2463,'[1]خريطة الحسابات'!_xlnm.Print_Area,3,FALSE)))</f>
        <v xml:space="preserve">الخزينة </v>
      </c>
      <c r="E2463" s="142"/>
      <c r="F2463" s="133"/>
      <c r="G2463" s="133">
        <v>1870</v>
      </c>
      <c r="H2463" s="134">
        <f t="shared" si="115"/>
        <v>0</v>
      </c>
      <c r="I2463" s="134">
        <f t="shared" si="115"/>
        <v>1870</v>
      </c>
      <c r="J2463" s="134">
        <f t="shared" si="114"/>
        <v>-1870</v>
      </c>
      <c r="K2463" s="135"/>
      <c r="L2463" s="136" t="str">
        <f t="shared" si="116"/>
        <v>دائن</v>
      </c>
      <c r="M2463" s="137" t="str">
        <f>IF(ISERROR(VLOOKUP(C2463,'[1]خريطة الحسابات'!_xlnm.Print_Area,4,FALSE))," ",(VLOOKUP(C2463,'[1]خريطة الحسابات'!_xlnm.Print_Area,4,FALSE)))</f>
        <v xml:space="preserve">أصول متداوله -النقدية ومافي حكمها </v>
      </c>
      <c r="N2463" s="138" t="str">
        <f>IF(ISERROR(VLOOKUP(C2463,'[1]خريطة الحسابات'!_xlnm.Print_Area,5,FALSE))," ",(VLOOKUP(C2463,'[1]خريطة الحسابات'!_xlnm.Print_Area,5,FALSE)))</f>
        <v>الاصول</v>
      </c>
      <c r="O2463" s="84" t="s">
        <v>2423</v>
      </c>
      <c r="P2463" s="84" t="s">
        <v>1415</v>
      </c>
    </row>
    <row r="2464" spans="1:16">
      <c r="A2464" s="151">
        <v>70</v>
      </c>
      <c r="B2464" s="131">
        <v>46147</v>
      </c>
      <c r="C2464" s="150">
        <v>20</v>
      </c>
      <c r="D2464" s="140" t="str">
        <f>IF(ISERROR(VLOOKUP(C2464,'[1]خريطة الحسابات'!_xlnm.Print_Area,3,FALSE))," ",(VLOOKUP(C2464,'[1]خريطة الحسابات'!_xlnm.Print_Area,3,FALSE)))</f>
        <v xml:space="preserve">الخزينة </v>
      </c>
      <c r="E2464" s="142"/>
      <c r="F2464" s="133"/>
      <c r="G2464" s="133">
        <v>1500</v>
      </c>
      <c r="H2464" s="134">
        <f t="shared" si="115"/>
        <v>0</v>
      </c>
      <c r="I2464" s="134">
        <f t="shared" si="115"/>
        <v>1500</v>
      </c>
      <c r="J2464" s="134">
        <f t="shared" si="114"/>
        <v>-1500</v>
      </c>
      <c r="K2464" s="135"/>
      <c r="L2464" s="136" t="str">
        <f t="shared" si="116"/>
        <v>دائن</v>
      </c>
      <c r="M2464" s="137" t="str">
        <f>IF(ISERROR(VLOOKUP(C2464,'[1]خريطة الحسابات'!_xlnm.Print_Area,4,FALSE))," ",(VLOOKUP(C2464,'[1]خريطة الحسابات'!_xlnm.Print_Area,4,FALSE)))</f>
        <v xml:space="preserve">أصول متداوله -النقدية ومافي حكمها </v>
      </c>
      <c r="N2464" s="138" t="str">
        <f>IF(ISERROR(VLOOKUP(C2464,'[1]خريطة الحسابات'!_xlnm.Print_Area,5,FALSE))," ",(VLOOKUP(C2464,'[1]خريطة الحسابات'!_xlnm.Print_Area,5,FALSE)))</f>
        <v>الاصول</v>
      </c>
      <c r="O2464" s="84" t="s">
        <v>2424</v>
      </c>
      <c r="P2464" s="84" t="s">
        <v>1415</v>
      </c>
    </row>
    <row r="2465" spans="1:16" ht="15.6">
      <c r="A2465" s="151">
        <v>71</v>
      </c>
      <c r="B2465" s="131">
        <v>46159</v>
      </c>
      <c r="C2465" s="150" t="s">
        <v>916</v>
      </c>
      <c r="D2465" s="140" t="str">
        <f>IF(ISERROR(VLOOKUP(C2465,'[1]خريطة الحسابات'!_xlnm.Print_Area,3,FALSE))," ",(VLOOKUP(C2465,'[1]خريطة الحسابات'!_xlnm.Print_Area,3,FALSE)))</f>
        <v>خامات ومصنعية أعمال الجبس والديكورات</v>
      </c>
      <c r="E2465" s="142"/>
      <c r="F2465" s="133">
        <v>12790</v>
      </c>
      <c r="G2465" s="133"/>
      <c r="H2465" s="134">
        <f t="shared" si="115"/>
        <v>12790</v>
      </c>
      <c r="I2465" s="134">
        <f t="shared" si="115"/>
        <v>0</v>
      </c>
      <c r="J2465" s="134">
        <f t="shared" si="114"/>
        <v>12790</v>
      </c>
      <c r="K2465" s="135"/>
      <c r="L2465" s="136" t="str">
        <f t="shared" si="116"/>
        <v>مدين</v>
      </c>
      <c r="M2465" s="137" t="str">
        <f>IF(ISERROR(VLOOKUP(C2465,'[1]خريطة الحسابات'!_xlnm.Print_Area,4,FALSE))," ",(VLOOKUP(C2465,'[1]خريطة الحسابات'!_xlnm.Print_Area,4,FALSE)))</f>
        <v>تكاليف مشروع وصال العشري 398</v>
      </c>
      <c r="N2465" s="138" t="str">
        <f>IF(ISERROR(VLOOKUP(C2465,'[1]خريطة الحسابات'!_xlnm.Print_Area,5,FALSE))," ",(VLOOKUP(C2465,'[1]خريطة الحسابات'!_xlnm.Print_Area,5,FALSE)))</f>
        <v xml:space="preserve">تكاليف العمليات </v>
      </c>
      <c r="O2465" s="129" t="s">
        <v>2425</v>
      </c>
      <c r="P2465" s="128" t="s">
        <v>1315</v>
      </c>
    </row>
    <row r="2466" spans="1:16" ht="15.6">
      <c r="A2466" s="151">
        <v>71</v>
      </c>
      <c r="B2466" s="131">
        <v>46159</v>
      </c>
      <c r="C2466" s="150">
        <v>20</v>
      </c>
      <c r="D2466" s="140" t="str">
        <f>IF(ISERROR(VLOOKUP(C2466,'[1]خريطة الحسابات'!_xlnm.Print_Area,3,FALSE))," ",(VLOOKUP(C2466,'[1]خريطة الحسابات'!_xlnm.Print_Area,3,FALSE)))</f>
        <v xml:space="preserve">الخزينة </v>
      </c>
      <c r="E2466" s="142"/>
      <c r="F2466" s="133"/>
      <c r="G2466" s="133">
        <v>12790</v>
      </c>
      <c r="H2466" s="134">
        <f t="shared" si="115"/>
        <v>0</v>
      </c>
      <c r="I2466" s="134">
        <f t="shared" si="115"/>
        <v>12790</v>
      </c>
      <c r="J2466" s="134">
        <f t="shared" si="114"/>
        <v>-12790</v>
      </c>
      <c r="K2466" s="135"/>
      <c r="L2466" s="136" t="str">
        <f t="shared" si="116"/>
        <v>دائن</v>
      </c>
      <c r="M2466" s="137" t="str">
        <f>IF(ISERROR(VLOOKUP(C2466,'[1]خريطة الحسابات'!_xlnm.Print_Area,4,FALSE))," ",(VLOOKUP(C2466,'[1]خريطة الحسابات'!_xlnm.Print_Area,4,FALSE)))</f>
        <v xml:space="preserve">أصول متداوله -النقدية ومافي حكمها </v>
      </c>
      <c r="N2466" s="138" t="str">
        <f>IF(ISERROR(VLOOKUP(C2466,'[1]خريطة الحسابات'!_xlnm.Print_Area,5,FALSE))," ",(VLOOKUP(C2466,'[1]خريطة الحسابات'!_xlnm.Print_Area,5,FALSE)))</f>
        <v>الاصول</v>
      </c>
      <c r="O2466" s="129" t="s">
        <v>2425</v>
      </c>
      <c r="P2466" s="128" t="s">
        <v>1315</v>
      </c>
    </row>
    <row r="2467" spans="1:16">
      <c r="A2467" s="151">
        <v>72</v>
      </c>
      <c r="B2467" s="131">
        <v>46060</v>
      </c>
      <c r="C2467" s="150" t="s">
        <v>183</v>
      </c>
      <c r="D2467" s="140" t="str">
        <f>IF(ISERROR(VLOOKUP(C2467,'[1]خريطة الحسابات'!_xlnm.Print_Area,3,FALSE))," ",(VLOOKUP(C2467,'[1]خريطة الحسابات'!_xlnm.Print_Area,3,FALSE)))</f>
        <v>خامات ومصنعية أعمال الرخام</v>
      </c>
      <c r="E2467" s="142"/>
      <c r="F2467" s="133">
        <v>155</v>
      </c>
      <c r="G2467" s="133"/>
      <c r="H2467" s="134">
        <f t="shared" si="115"/>
        <v>155</v>
      </c>
      <c r="I2467" s="134">
        <f t="shared" si="115"/>
        <v>0</v>
      </c>
      <c r="J2467" s="134">
        <f t="shared" si="114"/>
        <v>155</v>
      </c>
      <c r="K2467" s="135"/>
      <c r="L2467" s="136" t="str">
        <f t="shared" si="116"/>
        <v>مدين</v>
      </c>
      <c r="M2467" s="137" t="str">
        <f>IF(ISERROR(VLOOKUP(C2467,'[1]خريطة الحسابات'!_xlnm.Print_Area,4,FALSE))," ",(VLOOKUP(C2467,'[1]خريطة الحسابات'!_xlnm.Print_Area,4,FALSE)))</f>
        <v>تكاليف مشروع الباتيو 235</v>
      </c>
      <c r="N2467" s="138" t="str">
        <f>IF(ISERROR(VLOOKUP(C2467,'[1]خريطة الحسابات'!_xlnm.Print_Area,5,FALSE))," ",(VLOOKUP(C2467,'[1]خريطة الحسابات'!_xlnm.Print_Area,5,FALSE)))</f>
        <v xml:space="preserve">تكاليف العمليات </v>
      </c>
      <c r="O2467" s="84" t="s">
        <v>2426</v>
      </c>
      <c r="P2467" s="84" t="s">
        <v>1304</v>
      </c>
    </row>
    <row r="2468" spans="1:16">
      <c r="A2468" s="151">
        <v>72</v>
      </c>
      <c r="B2468" s="131">
        <v>46124</v>
      </c>
      <c r="C2468" s="150" t="s">
        <v>323</v>
      </c>
      <c r="D2468" s="140" t="str">
        <f>IF(ISERROR(VLOOKUP(C2468,'[1]خريطة الحسابات'!_xlnm.Print_Area,3,FALSE))," ",(VLOOKUP(C2468,'[1]خريطة الحسابات'!_xlnm.Print_Area,3,FALSE)))</f>
        <v>خامات ومصنعية أعمال الرخام</v>
      </c>
      <c r="E2468" s="142"/>
      <c r="F2468" s="133">
        <v>925</v>
      </c>
      <c r="G2468" s="133"/>
      <c r="H2468" s="134">
        <f t="shared" si="115"/>
        <v>925</v>
      </c>
      <c r="I2468" s="134">
        <f t="shared" si="115"/>
        <v>0</v>
      </c>
      <c r="J2468" s="134">
        <f t="shared" si="114"/>
        <v>925</v>
      </c>
      <c r="K2468" s="135"/>
      <c r="L2468" s="136" t="str">
        <f t="shared" si="116"/>
        <v>مدين</v>
      </c>
      <c r="M2468" s="137" t="str">
        <f>IF(ISERROR(VLOOKUP(C2468,'[1]خريطة الحسابات'!_xlnm.Print_Area,4,FALSE))," ",(VLOOKUP(C2468,'[1]خريطة الحسابات'!_xlnm.Print_Area,4,FALSE)))</f>
        <v>تكاليف مشروع العبور 306</v>
      </c>
      <c r="N2468" s="138" t="str">
        <f>IF(ISERROR(VLOOKUP(C2468,'[1]خريطة الحسابات'!_xlnm.Print_Area,5,FALSE))," ",(VLOOKUP(C2468,'[1]خريطة الحسابات'!_xlnm.Print_Area,5,FALSE)))</f>
        <v xml:space="preserve">تكاليف العمليات </v>
      </c>
      <c r="O2468" s="84" t="s">
        <v>2427</v>
      </c>
      <c r="P2468" s="84" t="s">
        <v>1292</v>
      </c>
    </row>
    <row r="2469" spans="1:16">
      <c r="A2469" s="151">
        <v>72</v>
      </c>
      <c r="B2469" s="131">
        <v>46166</v>
      </c>
      <c r="C2469" s="150" t="s">
        <v>323</v>
      </c>
      <c r="D2469" s="140" t="str">
        <f>IF(ISERROR(VLOOKUP(C2469,'[1]خريطة الحسابات'!_xlnm.Print_Area,3,FALSE))," ",(VLOOKUP(C2469,'[1]خريطة الحسابات'!_xlnm.Print_Area,3,FALSE)))</f>
        <v>خامات ومصنعية أعمال الرخام</v>
      </c>
      <c r="E2469" s="142"/>
      <c r="F2469" s="133">
        <v>4421</v>
      </c>
      <c r="G2469" s="133"/>
      <c r="H2469" s="134">
        <f t="shared" si="115"/>
        <v>4421</v>
      </c>
      <c r="I2469" s="134">
        <f t="shared" si="115"/>
        <v>0</v>
      </c>
      <c r="J2469" s="134">
        <f t="shared" si="114"/>
        <v>4421</v>
      </c>
      <c r="K2469" s="135"/>
      <c r="L2469" s="136" t="str">
        <f t="shared" si="116"/>
        <v>مدين</v>
      </c>
      <c r="M2469" s="137" t="str">
        <f>IF(ISERROR(VLOOKUP(C2469,'[1]خريطة الحسابات'!_xlnm.Print_Area,4,FALSE))," ",(VLOOKUP(C2469,'[1]خريطة الحسابات'!_xlnm.Print_Area,4,FALSE)))</f>
        <v>تكاليف مشروع العبور 306</v>
      </c>
      <c r="N2469" s="138" t="str">
        <f>IF(ISERROR(VLOOKUP(C2469,'[1]خريطة الحسابات'!_xlnm.Print_Area,5,FALSE))," ",(VLOOKUP(C2469,'[1]خريطة الحسابات'!_xlnm.Print_Area,5,FALSE)))</f>
        <v xml:space="preserve">تكاليف العمليات </v>
      </c>
      <c r="O2469" s="84" t="s">
        <v>2428</v>
      </c>
      <c r="P2469" s="84" t="s">
        <v>1292</v>
      </c>
    </row>
    <row r="2470" spans="1:16">
      <c r="A2470" s="151">
        <v>72</v>
      </c>
      <c r="B2470" s="131">
        <v>46186</v>
      </c>
      <c r="C2470" s="150" t="s">
        <v>848</v>
      </c>
      <c r="D2470" s="140" t="str">
        <f>IF(ISERROR(VLOOKUP(C2470,'[1]خريطة الحسابات'!_xlnm.Print_Area,3,FALSE))," ",(VLOOKUP(C2470,'[1]خريطة الحسابات'!_xlnm.Print_Area,3,FALSE)))</f>
        <v>خامات ومصنعية أعمال الرخام</v>
      </c>
      <c r="E2470" s="142"/>
      <c r="F2470" s="133">
        <v>4905</v>
      </c>
      <c r="G2470" s="133"/>
      <c r="H2470" s="134">
        <f t="shared" si="115"/>
        <v>4905</v>
      </c>
      <c r="I2470" s="134">
        <f t="shared" si="115"/>
        <v>0</v>
      </c>
      <c r="J2470" s="134">
        <f t="shared" si="114"/>
        <v>4905</v>
      </c>
      <c r="K2470" s="135"/>
      <c r="L2470" s="136" t="str">
        <f t="shared" si="116"/>
        <v>مدين</v>
      </c>
      <c r="M2470" s="137" t="str">
        <f>IF(ISERROR(VLOOKUP(C2470,'[1]خريطة الحسابات'!_xlnm.Print_Area,4,FALSE))," ",(VLOOKUP(C2470,'[1]خريطة الحسابات'!_xlnm.Print_Area,4,FALSE)))</f>
        <v>تكاليف مشروع رأس الحكمة</v>
      </c>
      <c r="N2470" s="138" t="str">
        <f>IF(ISERROR(VLOOKUP(C2470,'[1]خريطة الحسابات'!_xlnm.Print_Area,5,FALSE))," ",(VLOOKUP(C2470,'[1]خريطة الحسابات'!_xlnm.Print_Area,5,FALSE)))</f>
        <v xml:space="preserve">تكاليف العمليات </v>
      </c>
      <c r="O2470" s="84" t="s">
        <v>2429</v>
      </c>
      <c r="P2470" s="84" t="s">
        <v>1964</v>
      </c>
    </row>
    <row r="2471" spans="1:16">
      <c r="A2471" s="151">
        <v>72</v>
      </c>
      <c r="B2471" s="131">
        <v>46126</v>
      </c>
      <c r="C2471" s="150" t="s">
        <v>91</v>
      </c>
      <c r="D2471" s="140" t="str">
        <f>IF(ISERROR(VLOOKUP(C2471,'[1]خريطة الحسابات'!_xlnm.Print_Area,3,FALSE))," ",(VLOOKUP(C2471,'[1]خريطة الحسابات'!_xlnm.Print_Area,3,FALSE)))</f>
        <v>خامات ومصنعية أعمال الرخام</v>
      </c>
      <c r="E2471" s="142"/>
      <c r="F2471" s="133">
        <v>675</v>
      </c>
      <c r="G2471" s="133"/>
      <c r="H2471" s="134">
        <f t="shared" si="115"/>
        <v>675</v>
      </c>
      <c r="I2471" s="134">
        <f t="shared" si="115"/>
        <v>0</v>
      </c>
      <c r="J2471" s="134">
        <f t="shared" si="114"/>
        <v>675</v>
      </c>
      <c r="K2471" s="135"/>
      <c r="L2471" s="136" t="str">
        <f t="shared" si="116"/>
        <v>مدين</v>
      </c>
      <c r="M2471" s="137" t="str">
        <f>IF(ISERROR(VLOOKUP(C2471,'[1]خريطة الحسابات'!_xlnm.Print_Area,4,FALSE))," ",(VLOOKUP(C2471,'[1]خريطة الحسابات'!_xlnm.Print_Area,4,FALSE)))</f>
        <v>تكاليف مشروع سوديك  341</v>
      </c>
      <c r="N2471" s="138" t="str">
        <f>IF(ISERROR(VLOOKUP(C2471,'[1]خريطة الحسابات'!_xlnm.Print_Area,5,FALSE))," ",(VLOOKUP(C2471,'[1]خريطة الحسابات'!_xlnm.Print_Area,5,FALSE)))</f>
        <v xml:space="preserve">تكاليف العمليات </v>
      </c>
      <c r="O2471" s="84" t="s">
        <v>2430</v>
      </c>
      <c r="P2471" s="84" t="s">
        <v>1290</v>
      </c>
    </row>
    <row r="2472" spans="1:16">
      <c r="A2472" s="151">
        <v>72</v>
      </c>
      <c r="B2472" s="131">
        <v>46181</v>
      </c>
      <c r="C2472" s="150" t="s">
        <v>91</v>
      </c>
      <c r="D2472" s="140" t="str">
        <f>IF(ISERROR(VLOOKUP(C2472,'[1]خريطة الحسابات'!_xlnm.Print_Area,3,FALSE))," ",(VLOOKUP(C2472,'[1]خريطة الحسابات'!_xlnm.Print_Area,3,FALSE)))</f>
        <v>خامات ومصنعية أعمال الرخام</v>
      </c>
      <c r="E2472" s="142"/>
      <c r="F2472" s="133">
        <v>5916</v>
      </c>
      <c r="G2472" s="133"/>
      <c r="H2472" s="134">
        <f t="shared" si="115"/>
        <v>5916</v>
      </c>
      <c r="I2472" s="134">
        <f t="shared" si="115"/>
        <v>0</v>
      </c>
      <c r="J2472" s="134">
        <f t="shared" si="114"/>
        <v>5916</v>
      </c>
      <c r="K2472" s="135"/>
      <c r="L2472" s="136" t="str">
        <f t="shared" si="116"/>
        <v>مدين</v>
      </c>
      <c r="M2472" s="137" t="str">
        <f>IF(ISERROR(VLOOKUP(C2472,'[1]خريطة الحسابات'!_xlnm.Print_Area,4,FALSE))," ",(VLOOKUP(C2472,'[1]خريطة الحسابات'!_xlnm.Print_Area,4,FALSE)))</f>
        <v>تكاليف مشروع سوديك  341</v>
      </c>
      <c r="N2472" s="138" t="str">
        <f>IF(ISERROR(VLOOKUP(C2472,'[1]خريطة الحسابات'!_xlnm.Print_Area,5,FALSE))," ",(VLOOKUP(C2472,'[1]خريطة الحسابات'!_xlnm.Print_Area,5,FALSE)))</f>
        <v xml:space="preserve">تكاليف العمليات </v>
      </c>
      <c r="O2472" s="84" t="s">
        <v>2431</v>
      </c>
      <c r="P2472" s="84" t="s">
        <v>1290</v>
      </c>
    </row>
    <row r="2473" spans="1:16">
      <c r="A2473" s="151">
        <v>72</v>
      </c>
      <c r="B2473" s="131">
        <v>46060</v>
      </c>
      <c r="C2473" s="150">
        <v>20</v>
      </c>
      <c r="D2473" s="140" t="str">
        <f>IF(ISERROR(VLOOKUP(C2473,'[1]خريطة الحسابات'!_xlnm.Print_Area,3,FALSE))," ",(VLOOKUP(C2473,'[1]خريطة الحسابات'!_xlnm.Print_Area,3,FALSE)))</f>
        <v xml:space="preserve">الخزينة </v>
      </c>
      <c r="E2473" s="142"/>
      <c r="F2473" s="133"/>
      <c r="G2473" s="133">
        <v>155</v>
      </c>
      <c r="H2473" s="134">
        <f t="shared" si="115"/>
        <v>0</v>
      </c>
      <c r="I2473" s="134">
        <f t="shared" si="115"/>
        <v>155</v>
      </c>
      <c r="J2473" s="134">
        <f t="shared" si="114"/>
        <v>-155</v>
      </c>
      <c r="K2473" s="135"/>
      <c r="L2473" s="136" t="str">
        <f t="shared" si="116"/>
        <v>دائن</v>
      </c>
      <c r="M2473" s="137" t="str">
        <f>IF(ISERROR(VLOOKUP(C2473,'[1]خريطة الحسابات'!_xlnm.Print_Area,4,FALSE))," ",(VLOOKUP(C2473,'[1]خريطة الحسابات'!_xlnm.Print_Area,4,FALSE)))</f>
        <v xml:space="preserve">أصول متداوله -النقدية ومافي حكمها </v>
      </c>
      <c r="N2473" s="138" t="str">
        <f>IF(ISERROR(VLOOKUP(C2473,'[1]خريطة الحسابات'!_xlnm.Print_Area,5,FALSE))," ",(VLOOKUP(C2473,'[1]خريطة الحسابات'!_xlnm.Print_Area,5,FALSE)))</f>
        <v>الاصول</v>
      </c>
      <c r="O2473" s="84" t="s">
        <v>2426</v>
      </c>
      <c r="P2473" s="84" t="s">
        <v>1304</v>
      </c>
    </row>
    <row r="2474" spans="1:16">
      <c r="A2474" s="151">
        <v>72</v>
      </c>
      <c r="B2474" s="131">
        <v>46124</v>
      </c>
      <c r="C2474" s="150">
        <v>20</v>
      </c>
      <c r="D2474" s="140" t="str">
        <f>IF(ISERROR(VLOOKUP(C2474,'[1]خريطة الحسابات'!_xlnm.Print_Area,3,FALSE))," ",(VLOOKUP(C2474,'[1]خريطة الحسابات'!_xlnm.Print_Area,3,FALSE)))</f>
        <v xml:space="preserve">الخزينة </v>
      </c>
      <c r="E2474" s="142"/>
      <c r="F2474" s="133"/>
      <c r="G2474" s="133">
        <v>925</v>
      </c>
      <c r="H2474" s="134">
        <f t="shared" si="115"/>
        <v>0</v>
      </c>
      <c r="I2474" s="134">
        <f t="shared" si="115"/>
        <v>925</v>
      </c>
      <c r="J2474" s="134">
        <f t="shared" si="114"/>
        <v>-925</v>
      </c>
      <c r="K2474" s="135"/>
      <c r="L2474" s="136" t="str">
        <f t="shared" si="116"/>
        <v>دائن</v>
      </c>
      <c r="M2474" s="137" t="str">
        <f>IF(ISERROR(VLOOKUP(C2474,'[1]خريطة الحسابات'!_xlnm.Print_Area,4,FALSE))," ",(VLOOKUP(C2474,'[1]خريطة الحسابات'!_xlnm.Print_Area,4,FALSE)))</f>
        <v xml:space="preserve">أصول متداوله -النقدية ومافي حكمها </v>
      </c>
      <c r="N2474" s="138" t="str">
        <f>IF(ISERROR(VLOOKUP(C2474,'[1]خريطة الحسابات'!_xlnm.Print_Area,5,FALSE))," ",(VLOOKUP(C2474,'[1]خريطة الحسابات'!_xlnm.Print_Area,5,FALSE)))</f>
        <v>الاصول</v>
      </c>
      <c r="O2474" s="84" t="s">
        <v>2427</v>
      </c>
      <c r="P2474" s="84" t="s">
        <v>1292</v>
      </c>
    </row>
    <row r="2475" spans="1:16">
      <c r="A2475" s="151">
        <v>72</v>
      </c>
      <c r="B2475" s="131">
        <v>46166</v>
      </c>
      <c r="C2475" s="150">
        <v>20</v>
      </c>
      <c r="D2475" s="140" t="str">
        <f>IF(ISERROR(VLOOKUP(C2475,'[1]خريطة الحسابات'!_xlnm.Print_Area,3,FALSE))," ",(VLOOKUP(C2475,'[1]خريطة الحسابات'!_xlnm.Print_Area,3,FALSE)))</f>
        <v xml:space="preserve">الخزينة </v>
      </c>
      <c r="E2475" s="142"/>
      <c r="F2475" s="133"/>
      <c r="G2475" s="133">
        <v>4421</v>
      </c>
      <c r="H2475" s="134">
        <f t="shared" si="115"/>
        <v>0</v>
      </c>
      <c r="I2475" s="134">
        <f t="shared" si="115"/>
        <v>4421</v>
      </c>
      <c r="J2475" s="134">
        <f t="shared" si="114"/>
        <v>-4421</v>
      </c>
      <c r="K2475" s="135"/>
      <c r="L2475" s="136" t="str">
        <f t="shared" si="116"/>
        <v>دائن</v>
      </c>
      <c r="M2475" s="137" t="str">
        <f>IF(ISERROR(VLOOKUP(C2475,'[1]خريطة الحسابات'!_xlnm.Print_Area,4,FALSE))," ",(VLOOKUP(C2475,'[1]خريطة الحسابات'!_xlnm.Print_Area,4,FALSE)))</f>
        <v xml:space="preserve">أصول متداوله -النقدية ومافي حكمها </v>
      </c>
      <c r="N2475" s="138" t="str">
        <f>IF(ISERROR(VLOOKUP(C2475,'[1]خريطة الحسابات'!_xlnm.Print_Area,5,FALSE))," ",(VLOOKUP(C2475,'[1]خريطة الحسابات'!_xlnm.Print_Area,5,FALSE)))</f>
        <v>الاصول</v>
      </c>
      <c r="O2475" s="84" t="s">
        <v>2428</v>
      </c>
      <c r="P2475" s="84" t="s">
        <v>1292</v>
      </c>
    </row>
    <row r="2476" spans="1:16">
      <c r="A2476" s="151">
        <v>72</v>
      </c>
      <c r="B2476" s="131">
        <v>46186</v>
      </c>
      <c r="C2476" s="150">
        <v>20</v>
      </c>
      <c r="D2476" s="140" t="str">
        <f>IF(ISERROR(VLOOKUP(C2476,'[1]خريطة الحسابات'!_xlnm.Print_Area,3,FALSE))," ",(VLOOKUP(C2476,'[1]خريطة الحسابات'!_xlnm.Print_Area,3,FALSE)))</f>
        <v xml:space="preserve">الخزينة </v>
      </c>
      <c r="E2476" s="142"/>
      <c r="F2476" s="133"/>
      <c r="G2476" s="133">
        <v>4905</v>
      </c>
      <c r="H2476" s="134">
        <f t="shared" si="115"/>
        <v>0</v>
      </c>
      <c r="I2476" s="134">
        <f t="shared" si="115"/>
        <v>4905</v>
      </c>
      <c r="J2476" s="134">
        <f t="shared" si="114"/>
        <v>-4905</v>
      </c>
      <c r="K2476" s="135"/>
      <c r="L2476" s="136" t="str">
        <f t="shared" si="116"/>
        <v>دائن</v>
      </c>
      <c r="M2476" s="137" t="str">
        <f>IF(ISERROR(VLOOKUP(C2476,'[1]خريطة الحسابات'!_xlnm.Print_Area,4,FALSE))," ",(VLOOKUP(C2476,'[1]خريطة الحسابات'!_xlnm.Print_Area,4,FALSE)))</f>
        <v xml:space="preserve">أصول متداوله -النقدية ومافي حكمها </v>
      </c>
      <c r="N2476" s="138" t="str">
        <f>IF(ISERROR(VLOOKUP(C2476,'[1]خريطة الحسابات'!_xlnm.Print_Area,5,FALSE))," ",(VLOOKUP(C2476,'[1]خريطة الحسابات'!_xlnm.Print_Area,5,FALSE)))</f>
        <v>الاصول</v>
      </c>
      <c r="O2476" s="84" t="s">
        <v>2429</v>
      </c>
      <c r="P2476" s="84" t="s">
        <v>1964</v>
      </c>
    </row>
    <row r="2477" spans="1:16">
      <c r="A2477" s="151">
        <v>72</v>
      </c>
      <c r="B2477" s="131">
        <v>46126</v>
      </c>
      <c r="C2477" s="150">
        <v>20</v>
      </c>
      <c r="D2477" s="140" t="str">
        <f>IF(ISERROR(VLOOKUP(C2477,'[1]خريطة الحسابات'!_xlnm.Print_Area,3,FALSE))," ",(VLOOKUP(C2477,'[1]خريطة الحسابات'!_xlnm.Print_Area,3,FALSE)))</f>
        <v xml:space="preserve">الخزينة </v>
      </c>
      <c r="E2477" s="142"/>
      <c r="F2477" s="133"/>
      <c r="G2477" s="133">
        <v>675</v>
      </c>
      <c r="H2477" s="134">
        <f t="shared" si="115"/>
        <v>0</v>
      </c>
      <c r="I2477" s="134">
        <f t="shared" si="115"/>
        <v>675</v>
      </c>
      <c r="J2477" s="134">
        <f t="shared" si="114"/>
        <v>-675</v>
      </c>
      <c r="K2477" s="135"/>
      <c r="L2477" s="136" t="str">
        <f t="shared" si="116"/>
        <v>دائن</v>
      </c>
      <c r="M2477" s="137" t="str">
        <f>IF(ISERROR(VLOOKUP(C2477,'[1]خريطة الحسابات'!_xlnm.Print_Area,4,FALSE))," ",(VLOOKUP(C2477,'[1]خريطة الحسابات'!_xlnm.Print_Area,4,FALSE)))</f>
        <v xml:space="preserve">أصول متداوله -النقدية ومافي حكمها </v>
      </c>
      <c r="N2477" s="138" t="str">
        <f>IF(ISERROR(VLOOKUP(C2477,'[1]خريطة الحسابات'!_xlnm.Print_Area,5,FALSE))," ",(VLOOKUP(C2477,'[1]خريطة الحسابات'!_xlnm.Print_Area,5,FALSE)))</f>
        <v>الاصول</v>
      </c>
      <c r="O2477" s="84" t="s">
        <v>2430</v>
      </c>
      <c r="P2477" s="84" t="s">
        <v>1290</v>
      </c>
    </row>
    <row r="2478" spans="1:16">
      <c r="A2478" s="151">
        <v>72</v>
      </c>
      <c r="B2478" s="131">
        <v>46181</v>
      </c>
      <c r="C2478" s="150">
        <v>20</v>
      </c>
      <c r="D2478" s="140" t="str">
        <f>IF(ISERROR(VLOOKUP(C2478,'[1]خريطة الحسابات'!_xlnm.Print_Area,3,FALSE))," ",(VLOOKUP(C2478,'[1]خريطة الحسابات'!_xlnm.Print_Area,3,FALSE)))</f>
        <v xml:space="preserve">الخزينة </v>
      </c>
      <c r="E2478" s="142"/>
      <c r="F2478" s="133"/>
      <c r="G2478" s="133">
        <v>5916</v>
      </c>
      <c r="H2478" s="134">
        <f t="shared" si="115"/>
        <v>0</v>
      </c>
      <c r="I2478" s="134">
        <f t="shared" si="115"/>
        <v>5916</v>
      </c>
      <c r="J2478" s="134">
        <f t="shared" si="114"/>
        <v>-5916</v>
      </c>
      <c r="K2478" s="135"/>
      <c r="L2478" s="136" t="str">
        <f t="shared" si="116"/>
        <v>دائن</v>
      </c>
      <c r="M2478" s="137" t="str">
        <f>IF(ISERROR(VLOOKUP(C2478,'[1]خريطة الحسابات'!_xlnm.Print_Area,4,FALSE))," ",(VLOOKUP(C2478,'[1]خريطة الحسابات'!_xlnm.Print_Area,4,FALSE)))</f>
        <v xml:space="preserve">أصول متداوله -النقدية ومافي حكمها </v>
      </c>
      <c r="N2478" s="138" t="str">
        <f>IF(ISERROR(VLOOKUP(C2478,'[1]خريطة الحسابات'!_xlnm.Print_Area,5,FALSE))," ",(VLOOKUP(C2478,'[1]خريطة الحسابات'!_xlnm.Print_Area,5,FALSE)))</f>
        <v>الاصول</v>
      </c>
      <c r="O2478" s="84" t="s">
        <v>2431</v>
      </c>
      <c r="P2478" s="84" t="s">
        <v>1290</v>
      </c>
    </row>
    <row r="2479" spans="1:16">
      <c r="A2479" s="151">
        <v>73</v>
      </c>
      <c r="B2479" s="131">
        <v>46154</v>
      </c>
      <c r="C2479" s="150" t="s">
        <v>292</v>
      </c>
      <c r="D2479" s="140" t="str">
        <f>IF(ISERROR(VLOOKUP(C2479,'[1]خريطة الحسابات'!_xlnm.Print_Area,3,FALSE))," ",(VLOOKUP(C2479,'[1]خريطة الحسابات'!_xlnm.Print_Area,3,FALSE)))</f>
        <v>خامات ومصنعية أعمال النجارة والأبواب</v>
      </c>
      <c r="E2479" s="142"/>
      <c r="F2479" s="133">
        <v>1500</v>
      </c>
      <c r="G2479" s="133"/>
      <c r="H2479" s="134">
        <f t="shared" si="115"/>
        <v>1500</v>
      </c>
      <c r="I2479" s="134">
        <f t="shared" si="115"/>
        <v>0</v>
      </c>
      <c r="J2479" s="134">
        <f t="shared" si="114"/>
        <v>1500</v>
      </c>
      <c r="K2479" s="135"/>
      <c r="L2479" s="136" t="str">
        <f t="shared" si="116"/>
        <v>مدين</v>
      </c>
      <c r="M2479" s="137" t="str">
        <f>IF(ISERROR(VLOOKUP(C2479,'[1]خريطة الحسابات'!_xlnm.Print_Area,4,FALSE))," ",(VLOOKUP(C2479,'[1]خريطة الحسابات'!_xlnm.Print_Area,4,FALSE)))</f>
        <v>287 تكاليف مشروع المعادي فيو</v>
      </c>
      <c r="N2479" s="138" t="str">
        <f>IF(ISERROR(VLOOKUP(C2479,'[1]خريطة الحسابات'!_xlnm.Print_Area,5,FALSE))," ",(VLOOKUP(C2479,'[1]خريطة الحسابات'!_xlnm.Print_Area,5,FALSE)))</f>
        <v xml:space="preserve">تكاليف العمليات </v>
      </c>
      <c r="O2479" s="84" t="s">
        <v>2432</v>
      </c>
      <c r="P2479" s="84" t="s">
        <v>1415</v>
      </c>
    </row>
    <row r="2480" spans="1:16">
      <c r="A2480" s="151">
        <v>73</v>
      </c>
      <c r="B2480" s="131">
        <v>46154</v>
      </c>
      <c r="C2480" s="150" t="s">
        <v>292</v>
      </c>
      <c r="D2480" s="140" t="str">
        <f>IF(ISERROR(VLOOKUP(C2480,'[1]خريطة الحسابات'!_xlnm.Print_Area,3,FALSE))," ",(VLOOKUP(C2480,'[1]خريطة الحسابات'!_xlnm.Print_Area,3,FALSE)))</f>
        <v>خامات ومصنعية أعمال النجارة والأبواب</v>
      </c>
      <c r="E2480" s="142"/>
      <c r="F2480" s="133">
        <v>300</v>
      </c>
      <c r="G2480" s="133"/>
      <c r="H2480" s="134">
        <f t="shared" si="115"/>
        <v>300</v>
      </c>
      <c r="I2480" s="134">
        <f t="shared" si="115"/>
        <v>0</v>
      </c>
      <c r="J2480" s="134">
        <f t="shared" si="114"/>
        <v>300</v>
      </c>
      <c r="K2480" s="135"/>
      <c r="L2480" s="136" t="str">
        <f t="shared" si="116"/>
        <v>مدين</v>
      </c>
      <c r="M2480" s="137" t="str">
        <f>IF(ISERROR(VLOOKUP(C2480,'[1]خريطة الحسابات'!_xlnm.Print_Area,4,FALSE))," ",(VLOOKUP(C2480,'[1]خريطة الحسابات'!_xlnm.Print_Area,4,FALSE)))</f>
        <v>287 تكاليف مشروع المعادي فيو</v>
      </c>
      <c r="N2480" s="138" t="str">
        <f>IF(ISERROR(VLOOKUP(C2480,'[1]خريطة الحسابات'!_xlnm.Print_Area,5,FALSE))," ",(VLOOKUP(C2480,'[1]خريطة الحسابات'!_xlnm.Print_Area,5,FALSE)))</f>
        <v xml:space="preserve">تكاليف العمليات </v>
      </c>
      <c r="O2480" s="84" t="s">
        <v>2433</v>
      </c>
      <c r="P2480" s="84" t="s">
        <v>1415</v>
      </c>
    </row>
    <row r="2481" spans="1:16">
      <c r="A2481" s="151">
        <v>73</v>
      </c>
      <c r="B2481" s="131">
        <v>46179</v>
      </c>
      <c r="C2481" s="150" t="s">
        <v>782</v>
      </c>
      <c r="D2481" s="140" t="str">
        <f>IF(ISERROR(VLOOKUP(C2481,'[1]خريطة الحسابات'!_xlnm.Print_Area,3,FALSE))," ",(VLOOKUP(C2481,'[1]خريطة الحسابات'!_xlnm.Print_Area,3,FALSE)))</f>
        <v>خامات ومصنعية أعمال النجارة والأبواب</v>
      </c>
      <c r="E2481" s="142"/>
      <c r="F2481" s="133">
        <v>2500</v>
      </c>
      <c r="G2481" s="133"/>
      <c r="H2481" s="134">
        <f t="shared" si="115"/>
        <v>2500</v>
      </c>
      <c r="I2481" s="134">
        <f t="shared" si="115"/>
        <v>0</v>
      </c>
      <c r="J2481" s="134">
        <f t="shared" si="114"/>
        <v>2500</v>
      </c>
      <c r="K2481" s="135"/>
      <c r="L2481" s="136" t="str">
        <f t="shared" si="116"/>
        <v>مدين</v>
      </c>
      <c r="M2481" s="137" t="str">
        <f>IF(ISERROR(VLOOKUP(C2481,'[1]خريطة الحسابات'!_xlnm.Print_Area,4,FALSE))," ",(VLOOKUP(C2481,'[1]خريطة الحسابات'!_xlnm.Print_Area,4,FALSE)))</f>
        <v>388 تكاليف مشروع الدقي</v>
      </c>
      <c r="N2481" s="138" t="str">
        <f>IF(ISERROR(VLOOKUP(C2481,'[1]خريطة الحسابات'!_xlnm.Print_Area,5,FALSE))," ",(VLOOKUP(C2481,'[1]خريطة الحسابات'!_xlnm.Print_Area,5,FALSE)))</f>
        <v xml:space="preserve">تكاليف العمليات </v>
      </c>
      <c r="O2481" s="84" t="s">
        <v>2434</v>
      </c>
      <c r="P2481" s="84" t="s">
        <v>1315</v>
      </c>
    </row>
    <row r="2482" spans="1:16">
      <c r="A2482" s="151">
        <v>73</v>
      </c>
      <c r="B2482" s="131">
        <v>46154</v>
      </c>
      <c r="C2482" s="150">
        <v>20</v>
      </c>
      <c r="D2482" s="140" t="str">
        <f>IF(ISERROR(VLOOKUP(C2482,'[1]خريطة الحسابات'!_xlnm.Print_Area,3,FALSE))," ",(VLOOKUP(C2482,'[1]خريطة الحسابات'!_xlnm.Print_Area,3,FALSE)))</f>
        <v xml:space="preserve">الخزينة </v>
      </c>
      <c r="E2482" s="142"/>
      <c r="F2482" s="133"/>
      <c r="G2482" s="133">
        <v>1500</v>
      </c>
      <c r="H2482" s="134">
        <f t="shared" si="115"/>
        <v>0</v>
      </c>
      <c r="I2482" s="134">
        <f t="shared" si="115"/>
        <v>1500</v>
      </c>
      <c r="J2482" s="134">
        <f t="shared" si="114"/>
        <v>-1500</v>
      </c>
      <c r="K2482" s="135"/>
      <c r="L2482" s="136" t="str">
        <f t="shared" si="116"/>
        <v>دائن</v>
      </c>
      <c r="M2482" s="137" t="str">
        <f>IF(ISERROR(VLOOKUP(C2482,'[1]خريطة الحسابات'!_xlnm.Print_Area,4,FALSE))," ",(VLOOKUP(C2482,'[1]خريطة الحسابات'!_xlnm.Print_Area,4,FALSE)))</f>
        <v xml:space="preserve">أصول متداوله -النقدية ومافي حكمها </v>
      </c>
      <c r="N2482" s="138" t="str">
        <f>IF(ISERROR(VLOOKUP(C2482,'[1]خريطة الحسابات'!_xlnm.Print_Area,5,FALSE))," ",(VLOOKUP(C2482,'[1]خريطة الحسابات'!_xlnm.Print_Area,5,FALSE)))</f>
        <v>الاصول</v>
      </c>
      <c r="O2482" s="84" t="s">
        <v>2432</v>
      </c>
      <c r="P2482" s="84" t="s">
        <v>1415</v>
      </c>
    </row>
    <row r="2483" spans="1:16">
      <c r="A2483" s="151">
        <v>73</v>
      </c>
      <c r="B2483" s="131">
        <v>46154</v>
      </c>
      <c r="C2483" s="150">
        <v>20</v>
      </c>
      <c r="D2483" s="140" t="str">
        <f>IF(ISERROR(VLOOKUP(C2483,'[1]خريطة الحسابات'!_xlnm.Print_Area,3,FALSE))," ",(VLOOKUP(C2483,'[1]خريطة الحسابات'!_xlnm.Print_Area,3,FALSE)))</f>
        <v xml:space="preserve">الخزينة </v>
      </c>
      <c r="E2483" s="142"/>
      <c r="F2483" s="133"/>
      <c r="G2483" s="133">
        <v>300</v>
      </c>
      <c r="H2483" s="134">
        <f t="shared" si="115"/>
        <v>0</v>
      </c>
      <c r="I2483" s="134">
        <f t="shared" si="115"/>
        <v>300</v>
      </c>
      <c r="J2483" s="134">
        <f t="shared" si="114"/>
        <v>-300</v>
      </c>
      <c r="K2483" s="135"/>
      <c r="L2483" s="136" t="str">
        <f t="shared" si="116"/>
        <v>دائن</v>
      </c>
      <c r="M2483" s="137" t="str">
        <f>IF(ISERROR(VLOOKUP(C2483,'[1]خريطة الحسابات'!_xlnm.Print_Area,4,FALSE))," ",(VLOOKUP(C2483,'[1]خريطة الحسابات'!_xlnm.Print_Area,4,FALSE)))</f>
        <v xml:space="preserve">أصول متداوله -النقدية ومافي حكمها </v>
      </c>
      <c r="N2483" s="138" t="str">
        <f>IF(ISERROR(VLOOKUP(C2483,'[1]خريطة الحسابات'!_xlnm.Print_Area,5,FALSE))," ",(VLOOKUP(C2483,'[1]خريطة الحسابات'!_xlnm.Print_Area,5,FALSE)))</f>
        <v>الاصول</v>
      </c>
      <c r="O2483" s="84" t="s">
        <v>2433</v>
      </c>
      <c r="P2483" s="84" t="s">
        <v>1415</v>
      </c>
    </row>
    <row r="2484" spans="1:16">
      <c r="A2484" s="151">
        <v>73</v>
      </c>
      <c r="B2484" s="131">
        <v>46179</v>
      </c>
      <c r="C2484" s="150">
        <v>20</v>
      </c>
      <c r="D2484" s="140" t="str">
        <f>IF(ISERROR(VLOOKUP(C2484,'[1]خريطة الحسابات'!_xlnm.Print_Area,3,FALSE))," ",(VLOOKUP(C2484,'[1]خريطة الحسابات'!_xlnm.Print_Area,3,FALSE)))</f>
        <v xml:space="preserve">الخزينة </v>
      </c>
      <c r="E2484" s="142"/>
      <c r="F2484" s="133"/>
      <c r="G2484" s="133">
        <v>2500</v>
      </c>
      <c r="H2484" s="134">
        <f t="shared" si="115"/>
        <v>0</v>
      </c>
      <c r="I2484" s="134">
        <f t="shared" si="115"/>
        <v>2500</v>
      </c>
      <c r="J2484" s="134">
        <f t="shared" si="114"/>
        <v>-2500</v>
      </c>
      <c r="K2484" s="135"/>
      <c r="L2484" s="136" t="str">
        <f t="shared" si="116"/>
        <v>دائن</v>
      </c>
      <c r="M2484" s="137" t="str">
        <f>IF(ISERROR(VLOOKUP(C2484,'[1]خريطة الحسابات'!_xlnm.Print_Area,4,FALSE))," ",(VLOOKUP(C2484,'[1]خريطة الحسابات'!_xlnm.Print_Area,4,FALSE)))</f>
        <v xml:space="preserve">أصول متداوله -النقدية ومافي حكمها </v>
      </c>
      <c r="N2484" s="138" t="str">
        <f>IF(ISERROR(VLOOKUP(C2484,'[1]خريطة الحسابات'!_xlnm.Print_Area,5,FALSE))," ",(VLOOKUP(C2484,'[1]خريطة الحسابات'!_xlnm.Print_Area,5,FALSE)))</f>
        <v>الاصول</v>
      </c>
      <c r="O2484" s="84" t="s">
        <v>2434</v>
      </c>
      <c r="P2484" s="84" t="s">
        <v>1315</v>
      </c>
    </row>
    <row r="2485" spans="1:16">
      <c r="A2485" s="151">
        <v>74</v>
      </c>
      <c r="B2485" s="131">
        <v>46027</v>
      </c>
      <c r="C2485" s="150" t="s">
        <v>111</v>
      </c>
      <c r="D2485" s="140" t="str">
        <f>IF(ISERROR(VLOOKUP(C2485,'[1]خريطة الحسابات'!_xlnm.Print_Area,3,FALSE))," ",(VLOOKUP(C2485,'[1]خريطة الحسابات'!_xlnm.Print_Area,3,FALSE)))</f>
        <v>خامات ومصنعية أعمال العزل</v>
      </c>
      <c r="E2485" s="142"/>
      <c r="F2485" s="133">
        <v>21020</v>
      </c>
      <c r="G2485" s="133"/>
      <c r="H2485" s="134">
        <f t="shared" si="115"/>
        <v>21020</v>
      </c>
      <c r="I2485" s="134">
        <f t="shared" si="115"/>
        <v>0</v>
      </c>
      <c r="J2485" s="134">
        <f t="shared" si="114"/>
        <v>21020</v>
      </c>
      <c r="K2485" s="135"/>
      <c r="L2485" s="136" t="str">
        <f t="shared" si="116"/>
        <v>مدين</v>
      </c>
      <c r="M2485" s="137" t="str">
        <f>IF(ISERROR(VLOOKUP(C2485,'[1]خريطة الحسابات'!_xlnm.Print_Area,4,FALSE))," ",(VLOOKUP(C2485,'[1]خريطة الحسابات'!_xlnm.Print_Area,4,FALSE)))</f>
        <v>تكاليف مشروع سوديك  341</v>
      </c>
      <c r="N2485" s="138" t="str">
        <f>IF(ISERROR(VLOOKUP(C2485,'[1]خريطة الحسابات'!_xlnm.Print_Area,5,FALSE))," ",(VLOOKUP(C2485,'[1]خريطة الحسابات'!_xlnm.Print_Area,5,FALSE)))</f>
        <v xml:space="preserve">تكاليف العمليات </v>
      </c>
      <c r="O2485" s="84" t="s">
        <v>2435</v>
      </c>
      <c r="P2485" s="84" t="s">
        <v>1290</v>
      </c>
    </row>
    <row r="2486" spans="1:16">
      <c r="A2486" s="151">
        <v>74</v>
      </c>
      <c r="B2486" s="131">
        <v>46042</v>
      </c>
      <c r="C2486" s="150" t="s">
        <v>111</v>
      </c>
      <c r="D2486" s="140" t="str">
        <f>IF(ISERROR(VLOOKUP(C2486,'[1]خريطة الحسابات'!_xlnm.Print_Area,3,FALSE))," ",(VLOOKUP(C2486,'[1]خريطة الحسابات'!_xlnm.Print_Area,3,FALSE)))</f>
        <v>خامات ومصنعية أعمال العزل</v>
      </c>
      <c r="E2486" s="142"/>
      <c r="F2486" s="133">
        <v>1300</v>
      </c>
      <c r="G2486" s="133"/>
      <c r="H2486" s="134">
        <f t="shared" si="115"/>
        <v>1300</v>
      </c>
      <c r="I2486" s="134">
        <f t="shared" si="115"/>
        <v>0</v>
      </c>
      <c r="J2486" s="134">
        <f t="shared" si="114"/>
        <v>1300</v>
      </c>
      <c r="K2486" s="135"/>
      <c r="L2486" s="136" t="str">
        <f t="shared" si="116"/>
        <v>مدين</v>
      </c>
      <c r="M2486" s="137" t="str">
        <f>IF(ISERROR(VLOOKUP(C2486,'[1]خريطة الحسابات'!_xlnm.Print_Area,4,FALSE))," ",(VLOOKUP(C2486,'[1]خريطة الحسابات'!_xlnm.Print_Area,4,FALSE)))</f>
        <v>تكاليف مشروع سوديك  341</v>
      </c>
      <c r="N2486" s="138" t="str">
        <f>IF(ISERROR(VLOOKUP(C2486,'[1]خريطة الحسابات'!_xlnm.Print_Area,5,FALSE))," ",(VLOOKUP(C2486,'[1]خريطة الحسابات'!_xlnm.Print_Area,5,FALSE)))</f>
        <v xml:space="preserve">تكاليف العمليات </v>
      </c>
      <c r="O2486" s="84" t="s">
        <v>2436</v>
      </c>
      <c r="P2486" s="84" t="s">
        <v>1290</v>
      </c>
    </row>
    <row r="2487" spans="1:16">
      <c r="A2487" s="151">
        <v>74</v>
      </c>
      <c r="B2487" s="131">
        <v>46043</v>
      </c>
      <c r="C2487" s="150">
        <v>20</v>
      </c>
      <c r="D2487" s="140" t="str">
        <f>IF(ISERROR(VLOOKUP(C2487,'[1]خريطة الحسابات'!_xlnm.Print_Area,3,FALSE))," ",(VLOOKUP(C2487,'[1]خريطة الحسابات'!_xlnm.Print_Area,3,FALSE)))</f>
        <v xml:space="preserve">الخزينة </v>
      </c>
      <c r="E2487" s="142"/>
      <c r="F2487" s="133">
        <v>10523</v>
      </c>
      <c r="G2487" s="133"/>
      <c r="H2487" s="134">
        <f t="shared" si="115"/>
        <v>10523</v>
      </c>
      <c r="I2487" s="134">
        <f t="shared" si="115"/>
        <v>0</v>
      </c>
      <c r="J2487" s="134">
        <f t="shared" si="114"/>
        <v>10523</v>
      </c>
      <c r="K2487" s="135"/>
      <c r="L2487" s="136" t="str">
        <f t="shared" si="116"/>
        <v>مدين</v>
      </c>
      <c r="M2487" s="137" t="str">
        <f>IF(ISERROR(VLOOKUP(C2487,'[1]خريطة الحسابات'!_xlnm.Print_Area,4,FALSE))," ",(VLOOKUP(C2487,'[1]خريطة الحسابات'!_xlnm.Print_Area,4,FALSE)))</f>
        <v xml:space="preserve">أصول متداوله -النقدية ومافي حكمها </v>
      </c>
      <c r="N2487" s="138" t="str">
        <f>IF(ISERROR(VLOOKUP(C2487,'[1]خريطة الحسابات'!_xlnm.Print_Area,5,FALSE))," ",(VLOOKUP(C2487,'[1]خريطة الحسابات'!_xlnm.Print_Area,5,FALSE)))</f>
        <v>الاصول</v>
      </c>
      <c r="O2487" s="84" t="s">
        <v>2437</v>
      </c>
      <c r="P2487" s="84" t="s">
        <v>1290</v>
      </c>
    </row>
    <row r="2488" spans="1:16">
      <c r="A2488" s="151">
        <v>74</v>
      </c>
      <c r="B2488" s="131">
        <v>46027</v>
      </c>
      <c r="C2488" s="150">
        <v>20</v>
      </c>
      <c r="D2488" s="140" t="str">
        <f>IF(ISERROR(VLOOKUP(C2488,'[1]خريطة الحسابات'!_xlnm.Print_Area,3,FALSE))," ",(VLOOKUP(C2488,'[1]خريطة الحسابات'!_xlnm.Print_Area,3,FALSE)))</f>
        <v xml:space="preserve">الخزينة </v>
      </c>
      <c r="E2488" s="142"/>
      <c r="F2488" s="133"/>
      <c r="G2488" s="133">
        <v>21020</v>
      </c>
      <c r="H2488" s="134">
        <f t="shared" si="115"/>
        <v>0</v>
      </c>
      <c r="I2488" s="134">
        <f t="shared" si="115"/>
        <v>21020</v>
      </c>
      <c r="J2488" s="134">
        <f t="shared" si="114"/>
        <v>-21020</v>
      </c>
      <c r="K2488" s="135"/>
      <c r="L2488" s="136" t="str">
        <f t="shared" si="116"/>
        <v>دائن</v>
      </c>
      <c r="M2488" s="137" t="str">
        <f>IF(ISERROR(VLOOKUP(C2488,'[1]خريطة الحسابات'!_xlnm.Print_Area,4,FALSE))," ",(VLOOKUP(C2488,'[1]خريطة الحسابات'!_xlnm.Print_Area,4,FALSE)))</f>
        <v xml:space="preserve">أصول متداوله -النقدية ومافي حكمها </v>
      </c>
      <c r="N2488" s="138" t="str">
        <f>IF(ISERROR(VLOOKUP(C2488,'[1]خريطة الحسابات'!_xlnm.Print_Area,5,FALSE))," ",(VLOOKUP(C2488,'[1]خريطة الحسابات'!_xlnm.Print_Area,5,FALSE)))</f>
        <v>الاصول</v>
      </c>
      <c r="O2488" s="84" t="s">
        <v>2435</v>
      </c>
      <c r="P2488" s="84" t="s">
        <v>1290</v>
      </c>
    </row>
    <row r="2489" spans="1:16">
      <c r="A2489" s="151">
        <v>74</v>
      </c>
      <c r="B2489" s="131">
        <v>46042</v>
      </c>
      <c r="C2489" s="150">
        <v>20</v>
      </c>
      <c r="D2489" s="140" t="str">
        <f>IF(ISERROR(VLOOKUP(C2489,'[1]خريطة الحسابات'!_xlnm.Print_Area,3,FALSE))," ",(VLOOKUP(C2489,'[1]خريطة الحسابات'!_xlnm.Print_Area,3,FALSE)))</f>
        <v xml:space="preserve">الخزينة </v>
      </c>
      <c r="E2489" s="142"/>
      <c r="F2489" s="133"/>
      <c r="G2489" s="133">
        <v>1300</v>
      </c>
      <c r="H2489" s="134">
        <f t="shared" si="115"/>
        <v>0</v>
      </c>
      <c r="I2489" s="134">
        <f t="shared" si="115"/>
        <v>1300</v>
      </c>
      <c r="J2489" s="134">
        <f t="shared" si="114"/>
        <v>-1300</v>
      </c>
      <c r="K2489" s="135"/>
      <c r="L2489" s="136" t="str">
        <f t="shared" si="116"/>
        <v>دائن</v>
      </c>
      <c r="M2489" s="137" t="str">
        <f>IF(ISERROR(VLOOKUP(C2489,'[1]خريطة الحسابات'!_xlnm.Print_Area,4,FALSE))," ",(VLOOKUP(C2489,'[1]خريطة الحسابات'!_xlnm.Print_Area,4,FALSE)))</f>
        <v xml:space="preserve">أصول متداوله -النقدية ومافي حكمها </v>
      </c>
      <c r="N2489" s="138" t="str">
        <f>IF(ISERROR(VLOOKUP(C2489,'[1]خريطة الحسابات'!_xlnm.Print_Area,5,FALSE))," ",(VLOOKUP(C2489,'[1]خريطة الحسابات'!_xlnm.Print_Area,5,FALSE)))</f>
        <v>الاصول</v>
      </c>
      <c r="O2489" s="84" t="s">
        <v>2436</v>
      </c>
      <c r="P2489" s="84" t="s">
        <v>1290</v>
      </c>
    </row>
    <row r="2490" spans="1:16">
      <c r="A2490" s="151">
        <v>74</v>
      </c>
      <c r="B2490" s="131">
        <v>46043</v>
      </c>
      <c r="C2490" s="150" t="s">
        <v>111</v>
      </c>
      <c r="D2490" s="140" t="str">
        <f>IF(ISERROR(VLOOKUP(C2490,'[1]خريطة الحسابات'!_xlnm.Print_Area,3,FALSE))," ",(VLOOKUP(C2490,'[1]خريطة الحسابات'!_xlnm.Print_Area,3,FALSE)))</f>
        <v>خامات ومصنعية أعمال العزل</v>
      </c>
      <c r="E2490" s="142"/>
      <c r="F2490" s="133"/>
      <c r="G2490" s="133">
        <v>10523</v>
      </c>
      <c r="H2490" s="134">
        <f t="shared" si="115"/>
        <v>0</v>
      </c>
      <c r="I2490" s="134">
        <f t="shared" si="115"/>
        <v>10523</v>
      </c>
      <c r="J2490" s="134">
        <f t="shared" si="114"/>
        <v>-10523</v>
      </c>
      <c r="K2490" s="135"/>
      <c r="L2490" s="136" t="str">
        <f t="shared" si="116"/>
        <v>دائن</v>
      </c>
      <c r="M2490" s="137" t="str">
        <f>IF(ISERROR(VLOOKUP(C2490,'[1]خريطة الحسابات'!_xlnm.Print_Area,4,FALSE))," ",(VLOOKUP(C2490,'[1]خريطة الحسابات'!_xlnm.Print_Area,4,FALSE)))</f>
        <v>تكاليف مشروع سوديك  341</v>
      </c>
      <c r="N2490" s="138" t="str">
        <f>IF(ISERROR(VLOOKUP(C2490,'[1]خريطة الحسابات'!_xlnm.Print_Area,5,FALSE))," ",(VLOOKUP(C2490,'[1]خريطة الحسابات'!_xlnm.Print_Area,5,FALSE)))</f>
        <v xml:space="preserve">تكاليف العمليات </v>
      </c>
      <c r="O2490" s="84" t="s">
        <v>2437</v>
      </c>
      <c r="P2490" s="84" t="s">
        <v>1290</v>
      </c>
    </row>
    <row r="2491" spans="1:16">
      <c r="A2491" s="151">
        <v>75</v>
      </c>
      <c r="B2491" s="131">
        <v>46147</v>
      </c>
      <c r="C2491" s="150" t="s">
        <v>824</v>
      </c>
      <c r="D2491" s="140" t="str">
        <f>IF(ISERROR(VLOOKUP(C2491,'[1]خريطة الحسابات'!_xlnm.Print_Area,3,FALSE))," ",(VLOOKUP(C2491,'[1]خريطة الحسابات'!_xlnm.Print_Area,3,FALSE)))</f>
        <v>خامات ومصنعية أعمال الشفاطات</v>
      </c>
      <c r="E2491" s="142"/>
      <c r="F2491" s="133">
        <v>12170</v>
      </c>
      <c r="G2491" s="133"/>
      <c r="H2491" s="134">
        <f t="shared" si="115"/>
        <v>12170</v>
      </c>
      <c r="I2491" s="134">
        <f t="shared" si="115"/>
        <v>0</v>
      </c>
      <c r="J2491" s="134">
        <f t="shared" si="114"/>
        <v>12170</v>
      </c>
      <c r="K2491" s="135"/>
      <c r="L2491" s="136" t="str">
        <f t="shared" si="116"/>
        <v>مدين</v>
      </c>
      <c r="M2491" s="137" t="str">
        <f>IF(ISERROR(VLOOKUP(C2491,'[1]خريطة الحسابات'!_xlnm.Print_Area,4,FALSE))," ",(VLOOKUP(C2491,'[1]خريطة الحسابات'!_xlnm.Print_Area,4,FALSE)))</f>
        <v>تكاليف مشروع احمد زايد 401</v>
      </c>
      <c r="N2491" s="138" t="str">
        <f>IF(ISERROR(VLOOKUP(C2491,'[1]خريطة الحسابات'!_xlnm.Print_Area,5,FALSE))," ",(VLOOKUP(C2491,'[1]خريطة الحسابات'!_xlnm.Print_Area,5,FALSE)))</f>
        <v xml:space="preserve">تكاليف العمليات </v>
      </c>
      <c r="O2491" s="84" t="s">
        <v>2438</v>
      </c>
      <c r="P2491" s="84" t="s">
        <v>1345</v>
      </c>
    </row>
    <row r="2492" spans="1:16">
      <c r="A2492" s="151">
        <v>75</v>
      </c>
      <c r="B2492" s="131">
        <v>46184</v>
      </c>
      <c r="C2492" s="150" t="s">
        <v>824</v>
      </c>
      <c r="D2492" s="140" t="str">
        <f>IF(ISERROR(VLOOKUP(C2492,'[1]خريطة الحسابات'!_xlnm.Print_Area,3,FALSE))," ",(VLOOKUP(C2492,'[1]خريطة الحسابات'!_xlnm.Print_Area,3,FALSE)))</f>
        <v>خامات ومصنعية أعمال الشفاطات</v>
      </c>
      <c r="E2492" s="142"/>
      <c r="F2492" s="133">
        <v>5275</v>
      </c>
      <c r="G2492" s="133"/>
      <c r="H2492" s="134">
        <f t="shared" si="115"/>
        <v>5275</v>
      </c>
      <c r="I2492" s="134">
        <f t="shared" si="115"/>
        <v>0</v>
      </c>
      <c r="J2492" s="134">
        <f t="shared" si="114"/>
        <v>5275</v>
      </c>
      <c r="K2492" s="135"/>
      <c r="L2492" s="136" t="str">
        <f t="shared" si="116"/>
        <v>مدين</v>
      </c>
      <c r="M2492" s="137" t="str">
        <f>IF(ISERROR(VLOOKUP(C2492,'[1]خريطة الحسابات'!_xlnm.Print_Area,4,FALSE))," ",(VLOOKUP(C2492,'[1]خريطة الحسابات'!_xlnm.Print_Area,4,FALSE)))</f>
        <v>تكاليف مشروع احمد زايد 401</v>
      </c>
      <c r="N2492" s="138" t="str">
        <f>IF(ISERROR(VLOOKUP(C2492,'[1]خريطة الحسابات'!_xlnm.Print_Area,5,FALSE))," ",(VLOOKUP(C2492,'[1]خريطة الحسابات'!_xlnm.Print_Area,5,FALSE)))</f>
        <v xml:space="preserve">تكاليف العمليات </v>
      </c>
      <c r="O2492" s="84" t="s">
        <v>2439</v>
      </c>
      <c r="P2492" s="84" t="s">
        <v>1345</v>
      </c>
    </row>
    <row r="2493" spans="1:16">
      <c r="A2493" s="151">
        <v>75</v>
      </c>
      <c r="B2493" s="131">
        <v>46037</v>
      </c>
      <c r="C2493" s="150" t="s">
        <v>649</v>
      </c>
      <c r="D2493" s="140" t="str">
        <f>IF(ISERROR(VLOOKUP(C2493,'[1]خريطة الحسابات'!_xlnm.Print_Area,3,FALSE))," ",(VLOOKUP(C2493,'[1]خريطة الحسابات'!_xlnm.Print_Area,3,FALSE)))</f>
        <v>خامات ومصنعية أعمال الشفاطات</v>
      </c>
      <c r="E2493" s="142"/>
      <c r="F2493" s="133">
        <v>13000</v>
      </c>
      <c r="G2493" s="133"/>
      <c r="H2493" s="134">
        <f t="shared" si="115"/>
        <v>13000</v>
      </c>
      <c r="I2493" s="134">
        <f t="shared" si="115"/>
        <v>0</v>
      </c>
      <c r="J2493" s="134">
        <f t="shared" si="114"/>
        <v>13000</v>
      </c>
      <c r="K2493" s="135"/>
      <c r="L2493" s="136" t="str">
        <f t="shared" si="116"/>
        <v>مدين</v>
      </c>
      <c r="M2493" s="137" t="str">
        <f>IF(ISERROR(VLOOKUP(C2493,'[1]خريطة الحسابات'!_xlnm.Print_Area,4,FALSE))," ",(VLOOKUP(C2493,'[1]خريطة الحسابات'!_xlnm.Print_Area,4,FALSE)))</f>
        <v>تكاليف مشروع الاندلس 364</v>
      </c>
      <c r="N2493" s="138" t="str">
        <f>IF(ISERROR(VLOOKUP(C2493,'[1]خريطة الحسابات'!_xlnm.Print_Area,5,FALSE))," ",(VLOOKUP(C2493,'[1]خريطة الحسابات'!_xlnm.Print_Area,5,FALSE)))</f>
        <v xml:space="preserve">تكاليف العمليات </v>
      </c>
      <c r="O2493" s="84" t="s">
        <v>2440</v>
      </c>
      <c r="P2493" s="84" t="s">
        <v>1299</v>
      </c>
    </row>
    <row r="2494" spans="1:16">
      <c r="A2494" s="151">
        <v>75</v>
      </c>
      <c r="B2494" s="131">
        <v>46147</v>
      </c>
      <c r="C2494" s="150" t="s">
        <v>754</v>
      </c>
      <c r="D2494" s="140" t="str">
        <f>IF(ISERROR(VLOOKUP(C2494,'[1]خريطة الحسابات'!_xlnm.Print_Area,3,FALSE))," ",(VLOOKUP(C2494,'[1]خريطة الحسابات'!_xlnm.Print_Area,3,FALSE)))</f>
        <v>خامات ومصنعية أعمال الشفاطات</v>
      </c>
      <c r="E2494" s="142"/>
      <c r="F2494" s="133">
        <v>29320</v>
      </c>
      <c r="G2494" s="133"/>
      <c r="H2494" s="134">
        <f t="shared" si="115"/>
        <v>29320</v>
      </c>
      <c r="I2494" s="134">
        <f t="shared" si="115"/>
        <v>0</v>
      </c>
      <c r="J2494" s="134">
        <f t="shared" si="114"/>
        <v>29320</v>
      </c>
      <c r="K2494" s="135"/>
      <c r="L2494" s="136" t="str">
        <f t="shared" si="116"/>
        <v>مدين</v>
      </c>
      <c r="M2494" s="137" t="str">
        <f>IF(ISERROR(VLOOKUP(C2494,'[1]خريطة الحسابات'!_xlnm.Print_Area,4,FALSE))," ",(VLOOKUP(C2494,'[1]خريطة الحسابات'!_xlnm.Print_Area,4,FALSE)))</f>
        <v>تكاليف مشروع القصر 380</v>
      </c>
      <c r="N2494" s="138" t="str">
        <f>IF(ISERROR(VLOOKUP(C2494,'[1]خريطة الحسابات'!_xlnm.Print_Area,5,FALSE))," ",(VLOOKUP(C2494,'[1]خريطة الحسابات'!_xlnm.Print_Area,5,FALSE)))</f>
        <v xml:space="preserve">تكاليف العمليات </v>
      </c>
      <c r="O2494" s="84" t="s">
        <v>2438</v>
      </c>
      <c r="P2494" s="84" t="s">
        <v>1480</v>
      </c>
    </row>
    <row r="2495" spans="1:16">
      <c r="A2495" s="151">
        <v>75</v>
      </c>
      <c r="B2495" s="131">
        <v>46152</v>
      </c>
      <c r="C2495" s="150" t="s">
        <v>754</v>
      </c>
      <c r="D2495" s="140" t="str">
        <f>IF(ISERROR(VLOOKUP(C2495,'[1]خريطة الحسابات'!_xlnm.Print_Area,3,FALSE))," ",(VLOOKUP(C2495,'[1]خريطة الحسابات'!_xlnm.Print_Area,3,FALSE)))</f>
        <v>خامات ومصنعية أعمال الشفاطات</v>
      </c>
      <c r="E2495" s="142"/>
      <c r="F2495" s="133">
        <v>2400</v>
      </c>
      <c r="G2495" s="133"/>
      <c r="H2495" s="134">
        <f t="shared" si="115"/>
        <v>2400</v>
      </c>
      <c r="I2495" s="134">
        <f t="shared" si="115"/>
        <v>0</v>
      </c>
      <c r="J2495" s="134">
        <f t="shared" si="114"/>
        <v>2400</v>
      </c>
      <c r="K2495" s="135"/>
      <c r="L2495" s="136" t="str">
        <f t="shared" si="116"/>
        <v>مدين</v>
      </c>
      <c r="M2495" s="137" t="str">
        <f>IF(ISERROR(VLOOKUP(C2495,'[1]خريطة الحسابات'!_xlnm.Print_Area,4,FALSE))," ",(VLOOKUP(C2495,'[1]خريطة الحسابات'!_xlnm.Print_Area,4,FALSE)))</f>
        <v>تكاليف مشروع القصر 380</v>
      </c>
      <c r="N2495" s="138" t="str">
        <f>IF(ISERROR(VLOOKUP(C2495,'[1]خريطة الحسابات'!_xlnm.Print_Area,5,FALSE))," ",(VLOOKUP(C2495,'[1]خريطة الحسابات'!_xlnm.Print_Area,5,FALSE)))</f>
        <v xml:space="preserve">تكاليف العمليات </v>
      </c>
      <c r="O2495" s="84" t="s">
        <v>2441</v>
      </c>
      <c r="P2495" s="84" t="s">
        <v>1480</v>
      </c>
    </row>
    <row r="2496" spans="1:16">
      <c r="A2496" s="151">
        <v>75</v>
      </c>
      <c r="B2496" s="131">
        <v>46163</v>
      </c>
      <c r="C2496" s="150" t="s">
        <v>754</v>
      </c>
      <c r="D2496" s="140" t="str">
        <f>IF(ISERROR(VLOOKUP(C2496,'[1]خريطة الحسابات'!_xlnm.Print_Area,3,FALSE))," ",(VLOOKUP(C2496,'[1]خريطة الحسابات'!_xlnm.Print_Area,3,FALSE)))</f>
        <v>خامات ومصنعية أعمال الشفاطات</v>
      </c>
      <c r="E2496" s="142"/>
      <c r="F2496" s="133">
        <v>3003</v>
      </c>
      <c r="G2496" s="133"/>
      <c r="H2496" s="134">
        <f t="shared" si="115"/>
        <v>3003</v>
      </c>
      <c r="I2496" s="134">
        <f t="shared" si="115"/>
        <v>0</v>
      </c>
      <c r="J2496" s="134">
        <f t="shared" si="114"/>
        <v>3003</v>
      </c>
      <c r="K2496" s="135"/>
      <c r="L2496" s="136" t="str">
        <f t="shared" si="116"/>
        <v>مدين</v>
      </c>
      <c r="M2496" s="137" t="str">
        <f>IF(ISERROR(VLOOKUP(C2496,'[1]خريطة الحسابات'!_xlnm.Print_Area,4,FALSE))," ",(VLOOKUP(C2496,'[1]خريطة الحسابات'!_xlnm.Print_Area,4,FALSE)))</f>
        <v>تكاليف مشروع القصر 380</v>
      </c>
      <c r="N2496" s="138" t="str">
        <f>IF(ISERROR(VLOOKUP(C2496,'[1]خريطة الحسابات'!_xlnm.Print_Area,5,FALSE))," ",(VLOOKUP(C2496,'[1]خريطة الحسابات'!_xlnm.Print_Area,5,FALSE)))</f>
        <v xml:space="preserve">تكاليف العمليات </v>
      </c>
      <c r="O2496" s="84" t="s">
        <v>2442</v>
      </c>
      <c r="P2496" s="84" t="s">
        <v>1480</v>
      </c>
    </row>
    <row r="2497" spans="1:16">
      <c r="A2497" s="151">
        <v>75</v>
      </c>
      <c r="B2497" s="131">
        <v>46082</v>
      </c>
      <c r="C2497" s="150" t="s">
        <v>614</v>
      </c>
      <c r="D2497" s="140" t="str">
        <f>IF(ISERROR(VLOOKUP(C2497,'[1]خريطة الحسابات'!_xlnm.Print_Area,3,FALSE))," ",(VLOOKUP(C2497,'[1]خريطة الحسابات'!_xlnm.Print_Area,3,FALSE)))</f>
        <v>خامات ومصنعية أعمال الشفاطات</v>
      </c>
      <c r="E2497" s="142"/>
      <c r="F2497" s="133">
        <v>12300</v>
      </c>
      <c r="G2497" s="133"/>
      <c r="H2497" s="134">
        <f t="shared" si="115"/>
        <v>12300</v>
      </c>
      <c r="I2497" s="134">
        <f t="shared" si="115"/>
        <v>0</v>
      </c>
      <c r="J2497" s="134">
        <f t="shared" si="114"/>
        <v>12300</v>
      </c>
      <c r="K2497" s="135"/>
      <c r="L2497" s="136" t="str">
        <f t="shared" si="116"/>
        <v>مدين</v>
      </c>
      <c r="M2497" s="137" t="str">
        <f>IF(ISERROR(VLOOKUP(C2497,'[1]خريطة الحسابات'!_xlnm.Print_Area,4,FALSE))," ",(VLOOKUP(C2497,'[1]خريطة الحسابات'!_xlnm.Print_Area,4,FALSE)))</f>
        <v>تكاليف مشروع اللوتس 361</v>
      </c>
      <c r="N2497" s="138" t="str">
        <f>IF(ISERROR(VLOOKUP(C2497,'[1]خريطة الحسابات'!_xlnm.Print_Area,5,FALSE))," ",(VLOOKUP(C2497,'[1]خريطة الحسابات'!_xlnm.Print_Area,5,FALSE)))</f>
        <v xml:space="preserve">تكاليف العمليات </v>
      </c>
      <c r="O2497" s="84" t="s">
        <v>2443</v>
      </c>
      <c r="P2497" s="84" t="s">
        <v>1295</v>
      </c>
    </row>
    <row r="2498" spans="1:16">
      <c r="A2498" s="151">
        <v>75</v>
      </c>
      <c r="B2498" s="131">
        <v>46046</v>
      </c>
      <c r="C2498" s="150" t="s">
        <v>789</v>
      </c>
      <c r="D2498" s="140" t="str">
        <f>IF(ISERROR(VLOOKUP(C2498,'[1]خريطة الحسابات'!_xlnm.Print_Area,3,FALSE))," ",(VLOOKUP(C2498,'[1]خريطة الحسابات'!_xlnm.Print_Area,3,FALSE)))</f>
        <v>خامات ومصنعية أعمال الشفاطات</v>
      </c>
      <c r="E2498" s="142"/>
      <c r="F2498" s="133">
        <v>12180</v>
      </c>
      <c r="G2498" s="133"/>
      <c r="H2498" s="134">
        <f t="shared" si="115"/>
        <v>12180</v>
      </c>
      <c r="I2498" s="134">
        <f t="shared" si="115"/>
        <v>0</v>
      </c>
      <c r="J2498" s="134">
        <f t="shared" si="114"/>
        <v>12180</v>
      </c>
      <c r="K2498" s="135"/>
      <c r="L2498" s="136" t="str">
        <f t="shared" si="116"/>
        <v>مدين</v>
      </c>
      <c r="M2498" s="137" t="str">
        <f>IF(ISERROR(VLOOKUP(C2498,'[1]خريطة الحسابات'!_xlnm.Print_Area,4,FALSE))," ",(VLOOKUP(C2498,'[1]خريطة الحسابات'!_xlnm.Print_Area,4,FALSE)))</f>
        <v>388 تكاليف مشروع الدقي</v>
      </c>
      <c r="N2498" s="138" t="str">
        <f>IF(ISERROR(VLOOKUP(C2498,'[1]خريطة الحسابات'!_xlnm.Print_Area,5,FALSE))," ",(VLOOKUP(C2498,'[1]خريطة الحسابات'!_xlnm.Print_Area,5,FALSE)))</f>
        <v xml:space="preserve">تكاليف العمليات </v>
      </c>
      <c r="O2498" s="84" t="s">
        <v>2444</v>
      </c>
      <c r="P2498" s="84" t="s">
        <v>1315</v>
      </c>
    </row>
    <row r="2499" spans="1:16">
      <c r="A2499" s="151">
        <v>75</v>
      </c>
      <c r="B2499" s="131">
        <v>46050</v>
      </c>
      <c r="C2499" s="150" t="s">
        <v>789</v>
      </c>
      <c r="D2499" s="140" t="str">
        <f>IF(ISERROR(VLOOKUP(C2499,'[1]خريطة الحسابات'!_xlnm.Print_Area,3,FALSE))," ",(VLOOKUP(C2499,'[1]خريطة الحسابات'!_xlnm.Print_Area,3,FALSE)))</f>
        <v>خامات ومصنعية أعمال الشفاطات</v>
      </c>
      <c r="E2499" s="142"/>
      <c r="F2499" s="133">
        <v>1700</v>
      </c>
      <c r="G2499" s="133"/>
      <c r="H2499" s="134">
        <f t="shared" si="115"/>
        <v>1700</v>
      </c>
      <c r="I2499" s="134">
        <f t="shared" si="115"/>
        <v>0</v>
      </c>
      <c r="J2499" s="134">
        <f t="shared" si="114"/>
        <v>1700</v>
      </c>
      <c r="K2499" s="135"/>
      <c r="L2499" s="136" t="str">
        <f t="shared" si="116"/>
        <v>مدين</v>
      </c>
      <c r="M2499" s="137" t="str">
        <f>IF(ISERROR(VLOOKUP(C2499,'[1]خريطة الحسابات'!_xlnm.Print_Area,4,FALSE))," ",(VLOOKUP(C2499,'[1]خريطة الحسابات'!_xlnm.Print_Area,4,FALSE)))</f>
        <v>388 تكاليف مشروع الدقي</v>
      </c>
      <c r="N2499" s="138" t="str">
        <f>IF(ISERROR(VLOOKUP(C2499,'[1]خريطة الحسابات'!_xlnm.Print_Area,5,FALSE))," ",(VLOOKUP(C2499,'[1]خريطة الحسابات'!_xlnm.Print_Area,5,FALSE)))</f>
        <v xml:space="preserve">تكاليف العمليات </v>
      </c>
      <c r="O2499" s="84" t="s">
        <v>2445</v>
      </c>
      <c r="P2499" s="84" t="s">
        <v>1315</v>
      </c>
    </row>
    <row r="2500" spans="1:16">
      <c r="A2500" s="151">
        <v>75</v>
      </c>
      <c r="B2500" s="131">
        <v>46187</v>
      </c>
      <c r="C2500" s="150" t="s">
        <v>789</v>
      </c>
      <c r="D2500" s="140" t="str">
        <f>IF(ISERROR(VLOOKUP(C2500,'[1]خريطة الحسابات'!_xlnm.Print_Area,3,FALSE))," ",(VLOOKUP(C2500,'[1]خريطة الحسابات'!_xlnm.Print_Area,3,FALSE)))</f>
        <v>خامات ومصنعية أعمال الشفاطات</v>
      </c>
      <c r="E2500" s="142"/>
      <c r="F2500" s="133">
        <v>8250</v>
      </c>
      <c r="G2500" s="133"/>
      <c r="H2500" s="134">
        <f t="shared" si="115"/>
        <v>8250</v>
      </c>
      <c r="I2500" s="134">
        <f t="shared" si="115"/>
        <v>0</v>
      </c>
      <c r="J2500" s="134">
        <f t="shared" si="114"/>
        <v>8250</v>
      </c>
      <c r="K2500" s="135"/>
      <c r="L2500" s="136" t="str">
        <f t="shared" si="116"/>
        <v>مدين</v>
      </c>
      <c r="M2500" s="137" t="str">
        <f>IF(ISERROR(VLOOKUP(C2500,'[1]خريطة الحسابات'!_xlnm.Print_Area,4,FALSE))," ",(VLOOKUP(C2500,'[1]خريطة الحسابات'!_xlnm.Print_Area,4,FALSE)))</f>
        <v>388 تكاليف مشروع الدقي</v>
      </c>
      <c r="N2500" s="138" t="str">
        <f>IF(ISERROR(VLOOKUP(C2500,'[1]خريطة الحسابات'!_xlnm.Print_Area,5,FALSE))," ",(VLOOKUP(C2500,'[1]خريطة الحسابات'!_xlnm.Print_Area,5,FALSE)))</f>
        <v xml:space="preserve">تكاليف العمليات </v>
      </c>
      <c r="O2500" s="84" t="s">
        <v>2446</v>
      </c>
      <c r="P2500" s="84" t="s">
        <v>1315</v>
      </c>
    </row>
    <row r="2501" spans="1:16">
      <c r="A2501" s="151">
        <v>75</v>
      </c>
      <c r="B2501" s="131">
        <v>46144</v>
      </c>
      <c r="C2501" s="150" t="s">
        <v>930</v>
      </c>
      <c r="D2501" s="140" t="str">
        <f>IF(ISERROR(VLOOKUP(C2501,'[1]خريطة الحسابات'!_xlnm.Print_Area,3,FALSE))," ",(VLOOKUP(C2501,'[1]خريطة الحسابات'!_xlnm.Print_Area,3,FALSE)))</f>
        <v>خامات ومصنعية أعمال الشفاطات</v>
      </c>
      <c r="E2501" s="142"/>
      <c r="F2501" s="133">
        <v>15080</v>
      </c>
      <c r="G2501" s="133"/>
      <c r="H2501" s="134">
        <f t="shared" si="115"/>
        <v>15080</v>
      </c>
      <c r="I2501" s="134">
        <f t="shared" si="115"/>
        <v>0</v>
      </c>
      <c r="J2501" s="134">
        <f t="shared" si="114"/>
        <v>15080</v>
      </c>
      <c r="K2501" s="135"/>
      <c r="L2501" s="136" t="str">
        <f t="shared" si="116"/>
        <v>مدين</v>
      </c>
      <c r="M2501" s="137" t="str">
        <f>IF(ISERROR(VLOOKUP(C2501,'[1]خريطة الحسابات'!_xlnm.Print_Area,4,FALSE))," ",(VLOOKUP(C2501,'[1]خريطة الحسابات'!_xlnm.Print_Area,4,FALSE)))</f>
        <v>تكاليف مشروع وصال العشري 398</v>
      </c>
      <c r="N2501" s="138" t="str">
        <f>IF(ISERROR(VLOOKUP(C2501,'[1]خريطة الحسابات'!_xlnm.Print_Area,5,FALSE))," ",(VLOOKUP(C2501,'[1]خريطة الحسابات'!_xlnm.Print_Area,5,FALSE)))</f>
        <v xml:space="preserve">تكاليف العمليات </v>
      </c>
      <c r="O2501" s="84" t="s">
        <v>2438</v>
      </c>
      <c r="P2501" s="84" t="s">
        <v>1489</v>
      </c>
    </row>
    <row r="2502" spans="1:16">
      <c r="A2502" s="151">
        <v>75</v>
      </c>
      <c r="B2502" s="131">
        <v>46142</v>
      </c>
      <c r="C2502" s="150" t="s">
        <v>369</v>
      </c>
      <c r="D2502" s="140" t="str">
        <f>IF(ISERROR(VLOOKUP(C2502,'[1]خريطة الحسابات'!_xlnm.Print_Area,3,FALSE))," ",(VLOOKUP(C2502,'[1]خريطة الحسابات'!_xlnm.Print_Area,3,FALSE)))</f>
        <v>خامات ومصنعية أعمال الشفاطات</v>
      </c>
      <c r="E2502" s="142"/>
      <c r="F2502" s="133">
        <v>1200</v>
      </c>
      <c r="G2502" s="133"/>
      <c r="H2502" s="134">
        <f t="shared" si="115"/>
        <v>1200</v>
      </c>
      <c r="I2502" s="134">
        <f t="shared" si="115"/>
        <v>0</v>
      </c>
      <c r="J2502" s="134">
        <f t="shared" si="114"/>
        <v>1200</v>
      </c>
      <c r="K2502" s="135"/>
      <c r="L2502" s="136" t="str">
        <f t="shared" si="116"/>
        <v>مدين</v>
      </c>
      <c r="M2502" s="137" t="str">
        <f>IF(ISERROR(VLOOKUP(C2502,'[1]خريطة الحسابات'!_xlnm.Print_Area,4,FALSE))," ",(VLOOKUP(C2502,'[1]خريطة الحسابات'!_xlnm.Print_Area,4,FALSE)))</f>
        <v>318 تكاليف مشروع  المعادي ديونز</v>
      </c>
      <c r="N2502" s="138" t="str">
        <f>IF(ISERROR(VLOOKUP(C2502,'[1]خريطة الحسابات'!_xlnm.Print_Area,5,FALSE))," ",(VLOOKUP(C2502,'[1]خريطة الحسابات'!_xlnm.Print_Area,5,FALSE)))</f>
        <v xml:space="preserve">تكاليف العمليات </v>
      </c>
      <c r="O2502" s="84" t="s">
        <v>2447</v>
      </c>
      <c r="P2502" s="84" t="s">
        <v>1383</v>
      </c>
    </row>
    <row r="2503" spans="1:16">
      <c r="A2503" s="151">
        <v>75</v>
      </c>
      <c r="B2503" s="131">
        <v>46144</v>
      </c>
      <c r="C2503" s="150" t="s">
        <v>369</v>
      </c>
      <c r="D2503" s="140" t="str">
        <f>IF(ISERROR(VLOOKUP(C2503,'[1]خريطة الحسابات'!_xlnm.Print_Area,3,FALSE))," ",(VLOOKUP(C2503,'[1]خريطة الحسابات'!_xlnm.Print_Area,3,FALSE)))</f>
        <v>خامات ومصنعية أعمال الشفاطات</v>
      </c>
      <c r="E2503" s="142"/>
      <c r="F2503" s="133">
        <v>14810</v>
      </c>
      <c r="G2503" s="133"/>
      <c r="H2503" s="134">
        <f t="shared" si="115"/>
        <v>14810</v>
      </c>
      <c r="I2503" s="134">
        <f t="shared" si="115"/>
        <v>0</v>
      </c>
      <c r="J2503" s="134">
        <f t="shared" si="114"/>
        <v>14810</v>
      </c>
      <c r="K2503" s="135"/>
      <c r="L2503" s="136" t="str">
        <f t="shared" si="116"/>
        <v>مدين</v>
      </c>
      <c r="M2503" s="137" t="str">
        <f>IF(ISERROR(VLOOKUP(C2503,'[1]خريطة الحسابات'!_xlnm.Print_Area,4,FALSE))," ",(VLOOKUP(C2503,'[1]خريطة الحسابات'!_xlnm.Print_Area,4,FALSE)))</f>
        <v>318 تكاليف مشروع  المعادي ديونز</v>
      </c>
      <c r="N2503" s="138" t="str">
        <f>IF(ISERROR(VLOOKUP(C2503,'[1]خريطة الحسابات'!_xlnm.Print_Area,5,FALSE))," ",(VLOOKUP(C2503,'[1]خريطة الحسابات'!_xlnm.Print_Area,5,FALSE)))</f>
        <v xml:space="preserve">تكاليف العمليات </v>
      </c>
      <c r="O2503" s="84" t="s">
        <v>2438</v>
      </c>
      <c r="P2503" s="84" t="s">
        <v>1383</v>
      </c>
    </row>
    <row r="2504" spans="1:16">
      <c r="A2504" s="151">
        <v>75</v>
      </c>
      <c r="B2504" s="131">
        <v>46148</v>
      </c>
      <c r="C2504" s="150" t="s">
        <v>369</v>
      </c>
      <c r="D2504" s="140" t="str">
        <f>IF(ISERROR(VLOOKUP(C2504,'[1]خريطة الحسابات'!_xlnm.Print_Area,3,FALSE))," ",(VLOOKUP(C2504,'[1]خريطة الحسابات'!_xlnm.Print_Area,3,FALSE)))</f>
        <v>خامات ومصنعية أعمال الشفاطات</v>
      </c>
      <c r="E2504" s="142"/>
      <c r="F2504" s="133">
        <v>2000</v>
      </c>
      <c r="G2504" s="133"/>
      <c r="H2504" s="134">
        <f t="shared" si="115"/>
        <v>2000</v>
      </c>
      <c r="I2504" s="134">
        <f t="shared" si="115"/>
        <v>0</v>
      </c>
      <c r="J2504" s="134">
        <f t="shared" si="114"/>
        <v>2000</v>
      </c>
      <c r="K2504" s="135"/>
      <c r="L2504" s="136" t="str">
        <f t="shared" si="116"/>
        <v>مدين</v>
      </c>
      <c r="M2504" s="137" t="str">
        <f>IF(ISERROR(VLOOKUP(C2504,'[1]خريطة الحسابات'!_xlnm.Print_Area,4,FALSE))," ",(VLOOKUP(C2504,'[1]خريطة الحسابات'!_xlnm.Print_Area,4,FALSE)))</f>
        <v>318 تكاليف مشروع  المعادي ديونز</v>
      </c>
      <c r="N2504" s="138" t="str">
        <f>IF(ISERROR(VLOOKUP(C2504,'[1]خريطة الحسابات'!_xlnm.Print_Area,5,FALSE))," ",(VLOOKUP(C2504,'[1]خريطة الحسابات'!_xlnm.Print_Area,5,FALSE)))</f>
        <v xml:space="preserve">تكاليف العمليات </v>
      </c>
      <c r="O2504" s="84" t="s">
        <v>2448</v>
      </c>
      <c r="P2504" s="84" t="s">
        <v>1383</v>
      </c>
    </row>
    <row r="2505" spans="1:16">
      <c r="A2505" s="151">
        <v>75</v>
      </c>
      <c r="B2505" s="131">
        <v>46121</v>
      </c>
      <c r="C2505" s="150" t="s">
        <v>299</v>
      </c>
      <c r="D2505" s="140" t="str">
        <f>IF(ISERROR(VLOOKUP(C2505,'[1]خريطة الحسابات'!_xlnm.Print_Area,3,FALSE))," ",(VLOOKUP(C2505,'[1]خريطة الحسابات'!_xlnm.Print_Area,3,FALSE)))</f>
        <v>خامات ومصنعية أعمال الشفاطات</v>
      </c>
      <c r="E2505" s="142"/>
      <c r="F2505" s="133">
        <v>11400</v>
      </c>
      <c r="G2505" s="133"/>
      <c r="H2505" s="134">
        <f t="shared" si="115"/>
        <v>11400</v>
      </c>
      <c r="I2505" s="134">
        <f t="shared" si="115"/>
        <v>0</v>
      </c>
      <c r="J2505" s="134">
        <f t="shared" si="114"/>
        <v>11400</v>
      </c>
      <c r="K2505" s="135"/>
      <c r="L2505" s="136" t="str">
        <f t="shared" si="116"/>
        <v>مدين</v>
      </c>
      <c r="M2505" s="137" t="str">
        <f>IF(ISERROR(VLOOKUP(C2505,'[1]خريطة الحسابات'!_xlnm.Print_Area,4,FALSE))," ",(VLOOKUP(C2505,'[1]خريطة الحسابات'!_xlnm.Print_Area,4,FALSE)))</f>
        <v>287 تكاليف مشروع المعادي فيو</v>
      </c>
      <c r="N2505" s="138" t="str">
        <f>IF(ISERROR(VLOOKUP(C2505,'[1]خريطة الحسابات'!_xlnm.Print_Area,5,FALSE))," ",(VLOOKUP(C2505,'[1]خريطة الحسابات'!_xlnm.Print_Area,5,FALSE)))</f>
        <v xml:space="preserve">تكاليف العمليات </v>
      </c>
      <c r="O2505" s="84" t="s">
        <v>2449</v>
      </c>
      <c r="P2505" s="84" t="s">
        <v>1415</v>
      </c>
    </row>
    <row r="2506" spans="1:16">
      <c r="A2506" s="151">
        <v>75</v>
      </c>
      <c r="B2506" s="131">
        <v>46109</v>
      </c>
      <c r="C2506" s="150" t="s">
        <v>544</v>
      </c>
      <c r="D2506" s="140" t="str">
        <f>IF(ISERROR(VLOOKUP(C2506,'[1]خريطة الحسابات'!_xlnm.Print_Area,3,FALSE))," ",(VLOOKUP(C2506,'[1]خريطة الحسابات'!_xlnm.Print_Area,3,FALSE)))</f>
        <v>خامات ومصنعية أعمال الشفاطات</v>
      </c>
      <c r="E2506" s="142"/>
      <c r="F2506" s="133">
        <v>1000</v>
      </c>
      <c r="G2506" s="133"/>
      <c r="H2506" s="134">
        <f t="shared" si="115"/>
        <v>1000</v>
      </c>
      <c r="I2506" s="134">
        <f t="shared" si="115"/>
        <v>0</v>
      </c>
      <c r="J2506" s="134">
        <f t="shared" si="114"/>
        <v>1000</v>
      </c>
      <c r="K2506" s="135"/>
      <c r="L2506" s="136" t="str">
        <f t="shared" si="116"/>
        <v>مدين</v>
      </c>
      <c r="M2506" s="137" t="str">
        <f>IF(ISERROR(VLOOKUP(C2506,'[1]خريطة الحسابات'!_xlnm.Print_Area,4,FALSE))," ",(VLOOKUP(C2506,'[1]خريطة الحسابات'!_xlnm.Print_Area,4,FALSE)))</f>
        <v>تكاليف مشروع هاني القرنفل 355</v>
      </c>
      <c r="N2506" s="138" t="str">
        <f>IF(ISERROR(VLOOKUP(C2506,'[1]خريطة الحسابات'!_xlnm.Print_Area,5,FALSE))," ",(VLOOKUP(C2506,'[1]خريطة الحسابات'!_xlnm.Print_Area,5,FALSE)))</f>
        <v xml:space="preserve">تكاليف العمليات </v>
      </c>
      <c r="O2506" s="84" t="s">
        <v>2450</v>
      </c>
      <c r="P2506" s="84" t="s">
        <v>1395</v>
      </c>
    </row>
    <row r="2507" spans="1:16">
      <c r="A2507" s="151">
        <v>75</v>
      </c>
      <c r="B2507" s="131">
        <v>46152</v>
      </c>
      <c r="C2507" s="150" t="s">
        <v>544</v>
      </c>
      <c r="D2507" s="140" t="str">
        <f>IF(ISERROR(VLOOKUP(C2507,'[1]خريطة الحسابات'!_xlnm.Print_Area,3,FALSE))," ",(VLOOKUP(C2507,'[1]خريطة الحسابات'!_xlnm.Print_Area,3,FALSE)))</f>
        <v>خامات ومصنعية أعمال الشفاطات</v>
      </c>
      <c r="E2507" s="142"/>
      <c r="F2507" s="133">
        <v>1500</v>
      </c>
      <c r="G2507" s="133"/>
      <c r="H2507" s="134">
        <f t="shared" si="115"/>
        <v>1500</v>
      </c>
      <c r="I2507" s="134">
        <f t="shared" si="115"/>
        <v>0</v>
      </c>
      <c r="J2507" s="134">
        <f t="shared" si="114"/>
        <v>1500</v>
      </c>
      <c r="K2507" s="135"/>
      <c r="L2507" s="136" t="str">
        <f t="shared" si="116"/>
        <v>مدين</v>
      </c>
      <c r="M2507" s="137" t="str">
        <f>IF(ISERROR(VLOOKUP(C2507,'[1]خريطة الحسابات'!_xlnm.Print_Area,4,FALSE))," ",(VLOOKUP(C2507,'[1]خريطة الحسابات'!_xlnm.Print_Area,4,FALSE)))</f>
        <v>تكاليف مشروع هاني القرنفل 355</v>
      </c>
      <c r="N2507" s="138" t="str">
        <f>IF(ISERROR(VLOOKUP(C2507,'[1]خريطة الحسابات'!_xlnm.Print_Area,5,FALSE))," ",(VLOOKUP(C2507,'[1]خريطة الحسابات'!_xlnm.Print_Area,5,FALSE)))</f>
        <v xml:space="preserve">تكاليف العمليات </v>
      </c>
      <c r="O2507" s="84" t="s">
        <v>2451</v>
      </c>
      <c r="P2507" s="84" t="s">
        <v>1395</v>
      </c>
    </row>
    <row r="2508" spans="1:16">
      <c r="A2508" s="151">
        <v>75</v>
      </c>
      <c r="B2508" s="131">
        <v>46109</v>
      </c>
      <c r="C2508" s="150" t="s">
        <v>509</v>
      </c>
      <c r="D2508" s="140" t="str">
        <f>IF(ISERROR(VLOOKUP(C2508,'[1]خريطة الحسابات'!_xlnm.Print_Area,3,FALSE))," ",(VLOOKUP(C2508,'[1]خريطة الحسابات'!_xlnm.Print_Area,3,FALSE)))</f>
        <v>خامات ومصنعية أعمال الشفاطات</v>
      </c>
      <c r="E2508" s="142"/>
      <c r="F2508" s="133">
        <v>1000</v>
      </c>
      <c r="G2508" s="133"/>
      <c r="H2508" s="134">
        <f t="shared" si="115"/>
        <v>1000</v>
      </c>
      <c r="I2508" s="134">
        <f t="shared" si="115"/>
        <v>0</v>
      </c>
      <c r="J2508" s="134">
        <f t="shared" si="114"/>
        <v>1000</v>
      </c>
      <c r="K2508" s="135"/>
      <c r="L2508" s="136" t="str">
        <f t="shared" si="116"/>
        <v>مدين</v>
      </c>
      <c r="M2508" s="137" t="str">
        <f>IF(ISERROR(VLOOKUP(C2508,'[1]خريطة الحسابات'!_xlnm.Print_Area,4,FALSE))," ",(VLOOKUP(C2508,'[1]خريطة الحسابات'!_xlnm.Print_Area,4,FALSE)))</f>
        <v>تكاليف مشروع ياسر القرنفل 354</v>
      </c>
      <c r="N2508" s="138" t="str">
        <f>IF(ISERROR(VLOOKUP(C2508,'[1]خريطة الحسابات'!_xlnm.Print_Area,5,FALSE))," ",(VLOOKUP(C2508,'[1]خريطة الحسابات'!_xlnm.Print_Area,5,FALSE)))</f>
        <v xml:space="preserve">تكاليف العمليات </v>
      </c>
      <c r="O2508" s="84" t="s">
        <v>2450</v>
      </c>
      <c r="P2508" s="84" t="s">
        <v>1393</v>
      </c>
    </row>
    <row r="2509" spans="1:16">
      <c r="A2509" s="151">
        <v>75</v>
      </c>
      <c r="B2509" s="131">
        <v>46152</v>
      </c>
      <c r="C2509" s="150" t="s">
        <v>509</v>
      </c>
      <c r="D2509" s="140" t="str">
        <f>IF(ISERROR(VLOOKUP(C2509,'[1]خريطة الحسابات'!_xlnm.Print_Area,3,FALSE))," ",(VLOOKUP(C2509,'[1]خريطة الحسابات'!_xlnm.Print_Area,3,FALSE)))</f>
        <v>خامات ومصنعية أعمال الشفاطات</v>
      </c>
      <c r="E2509" s="142"/>
      <c r="F2509" s="133">
        <v>1500</v>
      </c>
      <c r="G2509" s="133"/>
      <c r="H2509" s="134">
        <f t="shared" si="115"/>
        <v>1500</v>
      </c>
      <c r="I2509" s="134">
        <f t="shared" si="115"/>
        <v>0</v>
      </c>
      <c r="J2509" s="134">
        <f t="shared" si="114"/>
        <v>1500</v>
      </c>
      <c r="K2509" s="135"/>
      <c r="L2509" s="136" t="str">
        <f t="shared" si="116"/>
        <v>مدين</v>
      </c>
      <c r="M2509" s="137" t="str">
        <f>IF(ISERROR(VLOOKUP(C2509,'[1]خريطة الحسابات'!_xlnm.Print_Area,4,FALSE))," ",(VLOOKUP(C2509,'[1]خريطة الحسابات'!_xlnm.Print_Area,4,FALSE)))</f>
        <v>تكاليف مشروع ياسر القرنفل 354</v>
      </c>
      <c r="N2509" s="138" t="str">
        <f>IF(ISERROR(VLOOKUP(C2509,'[1]خريطة الحسابات'!_xlnm.Print_Area,5,FALSE))," ",(VLOOKUP(C2509,'[1]خريطة الحسابات'!_xlnm.Print_Area,5,FALSE)))</f>
        <v xml:space="preserve">تكاليف العمليات </v>
      </c>
      <c r="O2509" s="84" t="s">
        <v>2451</v>
      </c>
      <c r="P2509" s="84" t="s">
        <v>1393</v>
      </c>
    </row>
    <row r="2510" spans="1:16">
      <c r="A2510" s="151">
        <v>75</v>
      </c>
      <c r="B2510" s="131">
        <v>46147</v>
      </c>
      <c r="C2510" s="150">
        <v>20</v>
      </c>
      <c r="D2510" s="140" t="str">
        <f>IF(ISERROR(VLOOKUP(C2510,'[1]خريطة الحسابات'!_xlnm.Print_Area,3,FALSE))," ",(VLOOKUP(C2510,'[1]خريطة الحسابات'!_xlnm.Print_Area,3,FALSE)))</f>
        <v xml:space="preserve">الخزينة </v>
      </c>
      <c r="E2510" s="142"/>
      <c r="F2510" s="133"/>
      <c r="G2510" s="133">
        <v>12170</v>
      </c>
      <c r="H2510" s="134">
        <f t="shared" si="115"/>
        <v>0</v>
      </c>
      <c r="I2510" s="134">
        <f t="shared" si="115"/>
        <v>12170</v>
      </c>
      <c r="J2510" s="134">
        <f t="shared" si="114"/>
        <v>-12170</v>
      </c>
      <c r="K2510" s="135"/>
      <c r="L2510" s="136" t="str">
        <f t="shared" si="116"/>
        <v>دائن</v>
      </c>
      <c r="M2510" s="137" t="str">
        <f>IF(ISERROR(VLOOKUP(C2510,'[1]خريطة الحسابات'!_xlnm.Print_Area,4,FALSE))," ",(VLOOKUP(C2510,'[1]خريطة الحسابات'!_xlnm.Print_Area,4,FALSE)))</f>
        <v xml:space="preserve">أصول متداوله -النقدية ومافي حكمها </v>
      </c>
      <c r="N2510" s="138" t="str">
        <f>IF(ISERROR(VLOOKUP(C2510,'[1]خريطة الحسابات'!_xlnm.Print_Area,5,FALSE))," ",(VLOOKUP(C2510,'[1]خريطة الحسابات'!_xlnm.Print_Area,5,FALSE)))</f>
        <v>الاصول</v>
      </c>
      <c r="O2510" s="84" t="s">
        <v>2438</v>
      </c>
      <c r="P2510" s="84" t="s">
        <v>1345</v>
      </c>
    </row>
    <row r="2511" spans="1:16">
      <c r="A2511" s="151">
        <v>75</v>
      </c>
      <c r="B2511" s="131">
        <v>46184</v>
      </c>
      <c r="C2511" s="150">
        <v>20</v>
      </c>
      <c r="D2511" s="140" t="str">
        <f>IF(ISERROR(VLOOKUP(C2511,'[1]خريطة الحسابات'!_xlnm.Print_Area,3,FALSE))," ",(VLOOKUP(C2511,'[1]خريطة الحسابات'!_xlnm.Print_Area,3,FALSE)))</f>
        <v xml:space="preserve">الخزينة </v>
      </c>
      <c r="E2511" s="142"/>
      <c r="F2511" s="133"/>
      <c r="G2511" s="133">
        <v>5275</v>
      </c>
      <c r="H2511" s="134">
        <f t="shared" si="115"/>
        <v>0</v>
      </c>
      <c r="I2511" s="134">
        <f t="shared" si="115"/>
        <v>5275</v>
      </c>
      <c r="J2511" s="134">
        <f t="shared" si="114"/>
        <v>-5275</v>
      </c>
      <c r="K2511" s="135"/>
      <c r="L2511" s="136" t="str">
        <f t="shared" si="116"/>
        <v>دائن</v>
      </c>
      <c r="M2511" s="137" t="str">
        <f>IF(ISERROR(VLOOKUP(C2511,'[1]خريطة الحسابات'!_xlnm.Print_Area,4,FALSE))," ",(VLOOKUP(C2511,'[1]خريطة الحسابات'!_xlnm.Print_Area,4,FALSE)))</f>
        <v xml:space="preserve">أصول متداوله -النقدية ومافي حكمها </v>
      </c>
      <c r="N2511" s="138" t="str">
        <f>IF(ISERROR(VLOOKUP(C2511,'[1]خريطة الحسابات'!_xlnm.Print_Area,5,FALSE))," ",(VLOOKUP(C2511,'[1]خريطة الحسابات'!_xlnm.Print_Area,5,FALSE)))</f>
        <v>الاصول</v>
      </c>
      <c r="O2511" s="84" t="s">
        <v>2439</v>
      </c>
      <c r="P2511" s="84" t="s">
        <v>1345</v>
      </c>
    </row>
    <row r="2512" spans="1:16">
      <c r="A2512" s="151">
        <v>75</v>
      </c>
      <c r="B2512" s="131">
        <v>46037</v>
      </c>
      <c r="C2512" s="150">
        <v>20</v>
      </c>
      <c r="D2512" s="140" t="str">
        <f>IF(ISERROR(VLOOKUP(C2512,'[1]خريطة الحسابات'!_xlnm.Print_Area,3,FALSE))," ",(VLOOKUP(C2512,'[1]خريطة الحسابات'!_xlnm.Print_Area,3,FALSE)))</f>
        <v xml:space="preserve">الخزينة </v>
      </c>
      <c r="E2512" s="142"/>
      <c r="F2512" s="133"/>
      <c r="G2512" s="133">
        <v>13000</v>
      </c>
      <c r="H2512" s="134">
        <f t="shared" si="115"/>
        <v>0</v>
      </c>
      <c r="I2512" s="134">
        <f t="shared" si="115"/>
        <v>13000</v>
      </c>
      <c r="J2512" s="134">
        <f t="shared" si="114"/>
        <v>-13000</v>
      </c>
      <c r="K2512" s="135"/>
      <c r="L2512" s="136" t="str">
        <f t="shared" si="116"/>
        <v>دائن</v>
      </c>
      <c r="M2512" s="137" t="str">
        <f>IF(ISERROR(VLOOKUP(C2512,'[1]خريطة الحسابات'!_xlnm.Print_Area,4,FALSE))," ",(VLOOKUP(C2512,'[1]خريطة الحسابات'!_xlnm.Print_Area,4,FALSE)))</f>
        <v xml:space="preserve">أصول متداوله -النقدية ومافي حكمها </v>
      </c>
      <c r="N2512" s="138" t="str">
        <f>IF(ISERROR(VLOOKUP(C2512,'[1]خريطة الحسابات'!_xlnm.Print_Area,5,FALSE))," ",(VLOOKUP(C2512,'[1]خريطة الحسابات'!_xlnm.Print_Area,5,FALSE)))</f>
        <v>الاصول</v>
      </c>
      <c r="O2512" s="84" t="s">
        <v>2440</v>
      </c>
      <c r="P2512" s="84" t="s">
        <v>1299</v>
      </c>
    </row>
    <row r="2513" spans="1:16">
      <c r="A2513" s="151">
        <v>75</v>
      </c>
      <c r="B2513" s="131">
        <v>46147</v>
      </c>
      <c r="C2513" s="150">
        <v>20</v>
      </c>
      <c r="D2513" s="140" t="str">
        <f>IF(ISERROR(VLOOKUP(C2513,'[1]خريطة الحسابات'!_xlnm.Print_Area,3,FALSE))," ",(VLOOKUP(C2513,'[1]خريطة الحسابات'!_xlnm.Print_Area,3,FALSE)))</f>
        <v xml:space="preserve">الخزينة </v>
      </c>
      <c r="E2513" s="142"/>
      <c r="F2513" s="133"/>
      <c r="G2513" s="133">
        <v>29320</v>
      </c>
      <c r="H2513" s="134">
        <f t="shared" si="115"/>
        <v>0</v>
      </c>
      <c r="I2513" s="134">
        <f t="shared" si="115"/>
        <v>29320</v>
      </c>
      <c r="J2513" s="134">
        <f t="shared" si="114"/>
        <v>-29320</v>
      </c>
      <c r="K2513" s="135"/>
      <c r="L2513" s="136" t="str">
        <f t="shared" si="116"/>
        <v>دائن</v>
      </c>
      <c r="M2513" s="137" t="str">
        <f>IF(ISERROR(VLOOKUP(C2513,'[1]خريطة الحسابات'!_xlnm.Print_Area,4,FALSE))," ",(VLOOKUP(C2513,'[1]خريطة الحسابات'!_xlnm.Print_Area,4,FALSE)))</f>
        <v xml:space="preserve">أصول متداوله -النقدية ومافي حكمها </v>
      </c>
      <c r="N2513" s="138" t="str">
        <f>IF(ISERROR(VLOOKUP(C2513,'[1]خريطة الحسابات'!_xlnm.Print_Area,5,FALSE))," ",(VLOOKUP(C2513,'[1]خريطة الحسابات'!_xlnm.Print_Area,5,FALSE)))</f>
        <v>الاصول</v>
      </c>
      <c r="O2513" s="84" t="s">
        <v>2438</v>
      </c>
      <c r="P2513" s="84" t="s">
        <v>1480</v>
      </c>
    </row>
    <row r="2514" spans="1:16">
      <c r="A2514" s="151">
        <v>75</v>
      </c>
      <c r="B2514" s="131">
        <v>46152</v>
      </c>
      <c r="C2514" s="150">
        <v>20</v>
      </c>
      <c r="D2514" s="140" t="str">
        <f>IF(ISERROR(VLOOKUP(C2514,'[1]خريطة الحسابات'!_xlnm.Print_Area,3,FALSE))," ",(VLOOKUP(C2514,'[1]خريطة الحسابات'!_xlnm.Print_Area,3,FALSE)))</f>
        <v xml:space="preserve">الخزينة </v>
      </c>
      <c r="E2514" s="142"/>
      <c r="F2514" s="133"/>
      <c r="G2514" s="133">
        <v>2400</v>
      </c>
      <c r="H2514" s="134">
        <f t="shared" si="115"/>
        <v>0</v>
      </c>
      <c r="I2514" s="134">
        <f t="shared" si="115"/>
        <v>2400</v>
      </c>
      <c r="J2514" s="134">
        <f t="shared" si="114"/>
        <v>-2400</v>
      </c>
      <c r="K2514" s="135"/>
      <c r="L2514" s="136" t="str">
        <f t="shared" si="116"/>
        <v>دائن</v>
      </c>
      <c r="M2514" s="137" t="str">
        <f>IF(ISERROR(VLOOKUP(C2514,'[1]خريطة الحسابات'!_xlnm.Print_Area,4,FALSE))," ",(VLOOKUP(C2514,'[1]خريطة الحسابات'!_xlnm.Print_Area,4,FALSE)))</f>
        <v xml:space="preserve">أصول متداوله -النقدية ومافي حكمها </v>
      </c>
      <c r="N2514" s="138" t="str">
        <f>IF(ISERROR(VLOOKUP(C2514,'[1]خريطة الحسابات'!_xlnm.Print_Area,5,FALSE))," ",(VLOOKUP(C2514,'[1]خريطة الحسابات'!_xlnm.Print_Area,5,FALSE)))</f>
        <v>الاصول</v>
      </c>
      <c r="O2514" s="84" t="s">
        <v>2441</v>
      </c>
      <c r="P2514" s="84" t="s">
        <v>1480</v>
      </c>
    </row>
    <row r="2515" spans="1:16">
      <c r="A2515" s="151">
        <v>75</v>
      </c>
      <c r="B2515" s="131">
        <v>46163</v>
      </c>
      <c r="C2515" s="150">
        <v>20</v>
      </c>
      <c r="D2515" s="140" t="str">
        <f>IF(ISERROR(VLOOKUP(C2515,'[1]خريطة الحسابات'!_xlnm.Print_Area,3,FALSE))," ",(VLOOKUP(C2515,'[1]خريطة الحسابات'!_xlnm.Print_Area,3,FALSE)))</f>
        <v xml:space="preserve">الخزينة </v>
      </c>
      <c r="E2515" s="142"/>
      <c r="F2515" s="133"/>
      <c r="G2515" s="133">
        <v>3003</v>
      </c>
      <c r="H2515" s="134">
        <f t="shared" si="115"/>
        <v>0</v>
      </c>
      <c r="I2515" s="134">
        <f t="shared" si="115"/>
        <v>3003</v>
      </c>
      <c r="J2515" s="134">
        <f t="shared" si="114"/>
        <v>-3003</v>
      </c>
      <c r="K2515" s="135"/>
      <c r="L2515" s="136" t="str">
        <f t="shared" si="116"/>
        <v>دائن</v>
      </c>
      <c r="M2515" s="137" t="str">
        <f>IF(ISERROR(VLOOKUP(C2515,'[1]خريطة الحسابات'!_xlnm.Print_Area,4,FALSE))," ",(VLOOKUP(C2515,'[1]خريطة الحسابات'!_xlnm.Print_Area,4,FALSE)))</f>
        <v xml:space="preserve">أصول متداوله -النقدية ومافي حكمها </v>
      </c>
      <c r="N2515" s="138" t="str">
        <f>IF(ISERROR(VLOOKUP(C2515,'[1]خريطة الحسابات'!_xlnm.Print_Area,5,FALSE))," ",(VLOOKUP(C2515,'[1]خريطة الحسابات'!_xlnm.Print_Area,5,FALSE)))</f>
        <v>الاصول</v>
      </c>
      <c r="O2515" s="84" t="s">
        <v>2442</v>
      </c>
      <c r="P2515" s="84" t="s">
        <v>1480</v>
      </c>
    </row>
    <row r="2516" spans="1:16">
      <c r="A2516" s="151">
        <v>75</v>
      </c>
      <c r="B2516" s="131">
        <v>46082</v>
      </c>
      <c r="C2516" s="150">
        <v>20</v>
      </c>
      <c r="D2516" s="140" t="str">
        <f>IF(ISERROR(VLOOKUP(C2516,'[1]خريطة الحسابات'!_xlnm.Print_Area,3,FALSE))," ",(VLOOKUP(C2516,'[1]خريطة الحسابات'!_xlnm.Print_Area,3,FALSE)))</f>
        <v xml:space="preserve">الخزينة </v>
      </c>
      <c r="E2516" s="142"/>
      <c r="F2516" s="133"/>
      <c r="G2516" s="133">
        <v>12300</v>
      </c>
      <c r="H2516" s="134">
        <f t="shared" si="115"/>
        <v>0</v>
      </c>
      <c r="I2516" s="134">
        <f t="shared" si="115"/>
        <v>12300</v>
      </c>
      <c r="J2516" s="134">
        <f t="shared" si="114"/>
        <v>-12300</v>
      </c>
      <c r="K2516" s="135"/>
      <c r="L2516" s="136" t="str">
        <f t="shared" si="116"/>
        <v>دائن</v>
      </c>
      <c r="M2516" s="137" t="str">
        <f>IF(ISERROR(VLOOKUP(C2516,'[1]خريطة الحسابات'!_xlnm.Print_Area,4,FALSE))," ",(VLOOKUP(C2516,'[1]خريطة الحسابات'!_xlnm.Print_Area,4,FALSE)))</f>
        <v xml:space="preserve">أصول متداوله -النقدية ومافي حكمها </v>
      </c>
      <c r="N2516" s="138" t="str">
        <f>IF(ISERROR(VLOOKUP(C2516,'[1]خريطة الحسابات'!_xlnm.Print_Area,5,FALSE))," ",(VLOOKUP(C2516,'[1]خريطة الحسابات'!_xlnm.Print_Area,5,FALSE)))</f>
        <v>الاصول</v>
      </c>
      <c r="O2516" s="84" t="s">
        <v>2443</v>
      </c>
      <c r="P2516" s="84" t="s">
        <v>1295</v>
      </c>
    </row>
    <row r="2517" spans="1:16">
      <c r="A2517" s="151">
        <v>75</v>
      </c>
      <c r="B2517" s="131">
        <v>46046</v>
      </c>
      <c r="C2517" s="150">
        <v>20</v>
      </c>
      <c r="D2517" s="140" t="str">
        <f>IF(ISERROR(VLOOKUP(C2517,'[1]خريطة الحسابات'!_xlnm.Print_Area,3,FALSE))," ",(VLOOKUP(C2517,'[1]خريطة الحسابات'!_xlnm.Print_Area,3,FALSE)))</f>
        <v xml:space="preserve">الخزينة </v>
      </c>
      <c r="E2517" s="142"/>
      <c r="F2517" s="133"/>
      <c r="G2517" s="133">
        <v>12180</v>
      </c>
      <c r="H2517" s="134">
        <f t="shared" si="115"/>
        <v>0</v>
      </c>
      <c r="I2517" s="134">
        <f t="shared" si="115"/>
        <v>12180</v>
      </c>
      <c r="J2517" s="134">
        <f t="shared" si="114"/>
        <v>-12180</v>
      </c>
      <c r="K2517" s="135"/>
      <c r="L2517" s="136" t="str">
        <f t="shared" si="116"/>
        <v>دائن</v>
      </c>
      <c r="M2517" s="137" t="str">
        <f>IF(ISERROR(VLOOKUP(C2517,'[1]خريطة الحسابات'!_xlnm.Print_Area,4,FALSE))," ",(VLOOKUP(C2517,'[1]خريطة الحسابات'!_xlnm.Print_Area,4,FALSE)))</f>
        <v xml:space="preserve">أصول متداوله -النقدية ومافي حكمها </v>
      </c>
      <c r="N2517" s="138" t="str">
        <f>IF(ISERROR(VLOOKUP(C2517,'[1]خريطة الحسابات'!_xlnm.Print_Area,5,FALSE))," ",(VLOOKUP(C2517,'[1]خريطة الحسابات'!_xlnm.Print_Area,5,FALSE)))</f>
        <v>الاصول</v>
      </c>
      <c r="O2517" s="84" t="s">
        <v>2444</v>
      </c>
      <c r="P2517" s="84" t="s">
        <v>1315</v>
      </c>
    </row>
    <row r="2518" spans="1:16">
      <c r="A2518" s="151">
        <v>75</v>
      </c>
      <c r="B2518" s="131">
        <v>46050</v>
      </c>
      <c r="C2518" s="150">
        <v>20</v>
      </c>
      <c r="D2518" s="140" t="str">
        <f>IF(ISERROR(VLOOKUP(C2518,'[1]خريطة الحسابات'!_xlnm.Print_Area,3,FALSE))," ",(VLOOKUP(C2518,'[1]خريطة الحسابات'!_xlnm.Print_Area,3,FALSE)))</f>
        <v xml:space="preserve">الخزينة </v>
      </c>
      <c r="E2518" s="142"/>
      <c r="F2518" s="133"/>
      <c r="G2518" s="133">
        <v>1700</v>
      </c>
      <c r="H2518" s="134">
        <f t="shared" si="115"/>
        <v>0</v>
      </c>
      <c r="I2518" s="134">
        <f t="shared" si="115"/>
        <v>1700</v>
      </c>
      <c r="J2518" s="134">
        <f t="shared" si="114"/>
        <v>-1700</v>
      </c>
      <c r="K2518" s="135"/>
      <c r="L2518" s="136" t="str">
        <f t="shared" si="116"/>
        <v>دائن</v>
      </c>
      <c r="M2518" s="137" t="str">
        <f>IF(ISERROR(VLOOKUP(C2518,'[1]خريطة الحسابات'!_xlnm.Print_Area,4,FALSE))," ",(VLOOKUP(C2518,'[1]خريطة الحسابات'!_xlnm.Print_Area,4,FALSE)))</f>
        <v xml:space="preserve">أصول متداوله -النقدية ومافي حكمها </v>
      </c>
      <c r="N2518" s="138" t="str">
        <f>IF(ISERROR(VLOOKUP(C2518,'[1]خريطة الحسابات'!_xlnm.Print_Area,5,FALSE))," ",(VLOOKUP(C2518,'[1]خريطة الحسابات'!_xlnm.Print_Area,5,FALSE)))</f>
        <v>الاصول</v>
      </c>
      <c r="O2518" s="84" t="s">
        <v>2445</v>
      </c>
      <c r="P2518" s="84" t="s">
        <v>1315</v>
      </c>
    </row>
    <row r="2519" spans="1:16">
      <c r="A2519" s="151">
        <v>75</v>
      </c>
      <c r="B2519" s="131">
        <v>46187</v>
      </c>
      <c r="C2519" s="150">
        <v>20</v>
      </c>
      <c r="D2519" s="140" t="str">
        <f>IF(ISERROR(VLOOKUP(C2519,'[1]خريطة الحسابات'!_xlnm.Print_Area,3,FALSE))," ",(VLOOKUP(C2519,'[1]خريطة الحسابات'!_xlnm.Print_Area,3,FALSE)))</f>
        <v xml:space="preserve">الخزينة </v>
      </c>
      <c r="E2519" s="142"/>
      <c r="F2519" s="133"/>
      <c r="G2519" s="133">
        <v>8250</v>
      </c>
      <c r="H2519" s="134">
        <f t="shared" si="115"/>
        <v>0</v>
      </c>
      <c r="I2519" s="134">
        <f t="shared" si="115"/>
        <v>8250</v>
      </c>
      <c r="J2519" s="134">
        <f t="shared" si="114"/>
        <v>-8250</v>
      </c>
      <c r="K2519" s="135"/>
      <c r="L2519" s="136" t="str">
        <f t="shared" si="116"/>
        <v>دائن</v>
      </c>
      <c r="M2519" s="137" t="str">
        <f>IF(ISERROR(VLOOKUP(C2519,'[1]خريطة الحسابات'!_xlnm.Print_Area,4,FALSE))," ",(VLOOKUP(C2519,'[1]خريطة الحسابات'!_xlnm.Print_Area,4,FALSE)))</f>
        <v xml:space="preserve">أصول متداوله -النقدية ومافي حكمها </v>
      </c>
      <c r="N2519" s="138" t="str">
        <f>IF(ISERROR(VLOOKUP(C2519,'[1]خريطة الحسابات'!_xlnm.Print_Area,5,FALSE))," ",(VLOOKUP(C2519,'[1]خريطة الحسابات'!_xlnm.Print_Area,5,FALSE)))</f>
        <v>الاصول</v>
      </c>
      <c r="O2519" s="84" t="s">
        <v>2446</v>
      </c>
      <c r="P2519" s="84" t="s">
        <v>1315</v>
      </c>
    </row>
    <row r="2520" spans="1:16">
      <c r="A2520" s="151">
        <v>75</v>
      </c>
      <c r="B2520" s="131">
        <v>46144</v>
      </c>
      <c r="C2520" s="150">
        <v>20</v>
      </c>
      <c r="D2520" s="140" t="str">
        <f>IF(ISERROR(VLOOKUP(C2520,'[1]خريطة الحسابات'!_xlnm.Print_Area,3,FALSE))," ",(VLOOKUP(C2520,'[1]خريطة الحسابات'!_xlnm.Print_Area,3,FALSE)))</f>
        <v xml:space="preserve">الخزينة </v>
      </c>
      <c r="E2520" s="142"/>
      <c r="F2520" s="133"/>
      <c r="G2520" s="133">
        <v>15080</v>
      </c>
      <c r="H2520" s="134">
        <f t="shared" si="115"/>
        <v>0</v>
      </c>
      <c r="I2520" s="134">
        <f t="shared" si="115"/>
        <v>15080</v>
      </c>
      <c r="J2520" s="134">
        <f t="shared" ref="J2520:J2583" si="117">H2520-I2520</f>
        <v>-15080</v>
      </c>
      <c r="K2520" s="135"/>
      <c r="L2520" s="136" t="str">
        <f t="shared" si="116"/>
        <v>دائن</v>
      </c>
      <c r="M2520" s="137" t="str">
        <f>IF(ISERROR(VLOOKUP(C2520,'[1]خريطة الحسابات'!_xlnm.Print_Area,4,FALSE))," ",(VLOOKUP(C2520,'[1]خريطة الحسابات'!_xlnm.Print_Area,4,FALSE)))</f>
        <v xml:space="preserve">أصول متداوله -النقدية ومافي حكمها </v>
      </c>
      <c r="N2520" s="138" t="str">
        <f>IF(ISERROR(VLOOKUP(C2520,'[1]خريطة الحسابات'!_xlnm.Print_Area,5,FALSE))," ",(VLOOKUP(C2520,'[1]خريطة الحسابات'!_xlnm.Print_Area,5,FALSE)))</f>
        <v>الاصول</v>
      </c>
      <c r="O2520" s="84" t="s">
        <v>2438</v>
      </c>
      <c r="P2520" s="84" t="s">
        <v>1489</v>
      </c>
    </row>
    <row r="2521" spans="1:16">
      <c r="A2521" s="151">
        <v>75</v>
      </c>
      <c r="B2521" s="131">
        <v>46142</v>
      </c>
      <c r="C2521" s="150">
        <v>20</v>
      </c>
      <c r="D2521" s="140" t="str">
        <f>IF(ISERROR(VLOOKUP(C2521,'[1]خريطة الحسابات'!_xlnm.Print_Area,3,FALSE))," ",(VLOOKUP(C2521,'[1]خريطة الحسابات'!_xlnm.Print_Area,3,FALSE)))</f>
        <v xml:space="preserve">الخزينة </v>
      </c>
      <c r="E2521" s="142"/>
      <c r="F2521" s="133"/>
      <c r="G2521" s="133">
        <v>1200</v>
      </c>
      <c r="H2521" s="134">
        <f t="shared" ref="H2521:I2584" si="118">IF($E2521=2,F2521*3.465,F2521)</f>
        <v>0</v>
      </c>
      <c r="I2521" s="134">
        <f t="shared" si="118"/>
        <v>1200</v>
      </c>
      <c r="J2521" s="134">
        <f t="shared" si="117"/>
        <v>-1200</v>
      </c>
      <c r="K2521" s="135"/>
      <c r="L2521" s="136" t="str">
        <f t="shared" si="116"/>
        <v>دائن</v>
      </c>
      <c r="M2521" s="137" t="str">
        <f>IF(ISERROR(VLOOKUP(C2521,'[1]خريطة الحسابات'!_xlnm.Print_Area,4,FALSE))," ",(VLOOKUP(C2521,'[1]خريطة الحسابات'!_xlnm.Print_Area,4,FALSE)))</f>
        <v xml:space="preserve">أصول متداوله -النقدية ومافي حكمها </v>
      </c>
      <c r="N2521" s="138" t="str">
        <f>IF(ISERROR(VLOOKUP(C2521,'[1]خريطة الحسابات'!_xlnm.Print_Area,5,FALSE))," ",(VLOOKUP(C2521,'[1]خريطة الحسابات'!_xlnm.Print_Area,5,FALSE)))</f>
        <v>الاصول</v>
      </c>
      <c r="O2521" s="84" t="s">
        <v>2447</v>
      </c>
      <c r="P2521" s="84" t="s">
        <v>1383</v>
      </c>
    </row>
    <row r="2522" spans="1:16">
      <c r="A2522" s="151">
        <v>75</v>
      </c>
      <c r="B2522" s="131">
        <v>46144</v>
      </c>
      <c r="C2522" s="150">
        <v>20</v>
      </c>
      <c r="D2522" s="140" t="str">
        <f>IF(ISERROR(VLOOKUP(C2522,'[1]خريطة الحسابات'!_xlnm.Print_Area,3,FALSE))," ",(VLOOKUP(C2522,'[1]خريطة الحسابات'!_xlnm.Print_Area,3,FALSE)))</f>
        <v xml:space="preserve">الخزينة </v>
      </c>
      <c r="E2522" s="142"/>
      <c r="F2522" s="133"/>
      <c r="G2522" s="133">
        <v>14810</v>
      </c>
      <c r="H2522" s="134">
        <f t="shared" si="118"/>
        <v>0</v>
      </c>
      <c r="I2522" s="134">
        <f t="shared" si="118"/>
        <v>14810</v>
      </c>
      <c r="J2522" s="134">
        <f t="shared" si="117"/>
        <v>-14810</v>
      </c>
      <c r="K2522" s="135"/>
      <c r="L2522" s="136" t="str">
        <f t="shared" si="116"/>
        <v>دائن</v>
      </c>
      <c r="M2522" s="137" t="str">
        <f>IF(ISERROR(VLOOKUP(C2522,'[1]خريطة الحسابات'!_xlnm.Print_Area,4,FALSE))," ",(VLOOKUP(C2522,'[1]خريطة الحسابات'!_xlnm.Print_Area,4,FALSE)))</f>
        <v xml:space="preserve">أصول متداوله -النقدية ومافي حكمها </v>
      </c>
      <c r="N2522" s="138" t="str">
        <f>IF(ISERROR(VLOOKUP(C2522,'[1]خريطة الحسابات'!_xlnm.Print_Area,5,FALSE))," ",(VLOOKUP(C2522,'[1]خريطة الحسابات'!_xlnm.Print_Area,5,FALSE)))</f>
        <v>الاصول</v>
      </c>
      <c r="O2522" s="84" t="s">
        <v>2438</v>
      </c>
      <c r="P2522" s="84" t="s">
        <v>1383</v>
      </c>
    </row>
    <row r="2523" spans="1:16">
      <c r="A2523" s="151">
        <v>75</v>
      </c>
      <c r="B2523" s="131">
        <v>46148</v>
      </c>
      <c r="C2523" s="150">
        <v>20</v>
      </c>
      <c r="D2523" s="140" t="str">
        <f>IF(ISERROR(VLOOKUP(C2523,'[1]خريطة الحسابات'!_xlnm.Print_Area,3,FALSE))," ",(VLOOKUP(C2523,'[1]خريطة الحسابات'!_xlnm.Print_Area,3,FALSE)))</f>
        <v xml:space="preserve">الخزينة </v>
      </c>
      <c r="E2523" s="142"/>
      <c r="F2523" s="133"/>
      <c r="G2523" s="133">
        <v>2000</v>
      </c>
      <c r="H2523" s="134">
        <f t="shared" si="118"/>
        <v>0</v>
      </c>
      <c r="I2523" s="134">
        <f t="shared" si="118"/>
        <v>2000</v>
      </c>
      <c r="J2523" s="134">
        <f t="shared" si="117"/>
        <v>-2000</v>
      </c>
      <c r="K2523" s="135"/>
      <c r="L2523" s="136" t="str">
        <f t="shared" ref="L2523:L2586" si="119">IF(J2523&lt;0,"دائن",IF(J2523&gt;0,"مدين",""))</f>
        <v>دائن</v>
      </c>
      <c r="M2523" s="137" t="str">
        <f>IF(ISERROR(VLOOKUP(C2523,'[1]خريطة الحسابات'!_xlnm.Print_Area,4,FALSE))," ",(VLOOKUP(C2523,'[1]خريطة الحسابات'!_xlnm.Print_Area,4,FALSE)))</f>
        <v xml:space="preserve">أصول متداوله -النقدية ومافي حكمها </v>
      </c>
      <c r="N2523" s="138" t="str">
        <f>IF(ISERROR(VLOOKUP(C2523,'[1]خريطة الحسابات'!_xlnm.Print_Area,5,FALSE))," ",(VLOOKUP(C2523,'[1]خريطة الحسابات'!_xlnm.Print_Area,5,FALSE)))</f>
        <v>الاصول</v>
      </c>
      <c r="O2523" s="84" t="s">
        <v>2448</v>
      </c>
      <c r="P2523" s="84" t="s">
        <v>1383</v>
      </c>
    </row>
    <row r="2524" spans="1:16">
      <c r="A2524" s="151">
        <v>75</v>
      </c>
      <c r="B2524" s="131">
        <v>46121</v>
      </c>
      <c r="C2524" s="150">
        <v>20</v>
      </c>
      <c r="D2524" s="140" t="str">
        <f>IF(ISERROR(VLOOKUP(C2524,'[1]خريطة الحسابات'!_xlnm.Print_Area,3,FALSE))," ",(VLOOKUP(C2524,'[1]خريطة الحسابات'!_xlnm.Print_Area,3,FALSE)))</f>
        <v xml:space="preserve">الخزينة </v>
      </c>
      <c r="E2524" s="142"/>
      <c r="F2524" s="133"/>
      <c r="G2524" s="133">
        <v>11400</v>
      </c>
      <c r="H2524" s="134">
        <f t="shared" si="118"/>
        <v>0</v>
      </c>
      <c r="I2524" s="134">
        <f t="shared" si="118"/>
        <v>11400</v>
      </c>
      <c r="J2524" s="134">
        <f t="shared" si="117"/>
        <v>-11400</v>
      </c>
      <c r="K2524" s="135"/>
      <c r="L2524" s="136" t="str">
        <f t="shared" si="119"/>
        <v>دائن</v>
      </c>
      <c r="M2524" s="137" t="str">
        <f>IF(ISERROR(VLOOKUP(C2524,'[1]خريطة الحسابات'!_xlnm.Print_Area,4,FALSE))," ",(VLOOKUP(C2524,'[1]خريطة الحسابات'!_xlnm.Print_Area,4,FALSE)))</f>
        <v xml:space="preserve">أصول متداوله -النقدية ومافي حكمها </v>
      </c>
      <c r="N2524" s="138" t="str">
        <f>IF(ISERROR(VLOOKUP(C2524,'[1]خريطة الحسابات'!_xlnm.Print_Area,5,FALSE))," ",(VLOOKUP(C2524,'[1]خريطة الحسابات'!_xlnm.Print_Area,5,FALSE)))</f>
        <v>الاصول</v>
      </c>
      <c r="O2524" s="84" t="s">
        <v>2449</v>
      </c>
      <c r="P2524" s="84" t="s">
        <v>1415</v>
      </c>
    </row>
    <row r="2525" spans="1:16">
      <c r="A2525" s="151">
        <v>75</v>
      </c>
      <c r="B2525" s="131">
        <v>46109</v>
      </c>
      <c r="C2525" s="150">
        <v>20</v>
      </c>
      <c r="D2525" s="140" t="str">
        <f>IF(ISERROR(VLOOKUP(C2525,'[1]خريطة الحسابات'!_xlnm.Print_Area,3,FALSE))," ",(VLOOKUP(C2525,'[1]خريطة الحسابات'!_xlnm.Print_Area,3,FALSE)))</f>
        <v xml:space="preserve">الخزينة </v>
      </c>
      <c r="E2525" s="142"/>
      <c r="F2525" s="133"/>
      <c r="G2525" s="133">
        <v>1000</v>
      </c>
      <c r="H2525" s="134">
        <f t="shared" si="118"/>
        <v>0</v>
      </c>
      <c r="I2525" s="134">
        <f t="shared" si="118"/>
        <v>1000</v>
      </c>
      <c r="J2525" s="134">
        <f t="shared" si="117"/>
        <v>-1000</v>
      </c>
      <c r="K2525" s="135"/>
      <c r="L2525" s="136" t="str">
        <f t="shared" si="119"/>
        <v>دائن</v>
      </c>
      <c r="M2525" s="137" t="str">
        <f>IF(ISERROR(VLOOKUP(C2525,'[1]خريطة الحسابات'!_xlnm.Print_Area,4,FALSE))," ",(VLOOKUP(C2525,'[1]خريطة الحسابات'!_xlnm.Print_Area,4,FALSE)))</f>
        <v xml:space="preserve">أصول متداوله -النقدية ومافي حكمها </v>
      </c>
      <c r="N2525" s="138" t="str">
        <f>IF(ISERROR(VLOOKUP(C2525,'[1]خريطة الحسابات'!_xlnm.Print_Area,5,FALSE))," ",(VLOOKUP(C2525,'[1]خريطة الحسابات'!_xlnm.Print_Area,5,FALSE)))</f>
        <v>الاصول</v>
      </c>
      <c r="O2525" s="84" t="s">
        <v>2450</v>
      </c>
      <c r="P2525" s="84" t="s">
        <v>1395</v>
      </c>
    </row>
    <row r="2526" spans="1:16">
      <c r="A2526" s="151">
        <v>75</v>
      </c>
      <c r="B2526" s="131">
        <v>46152</v>
      </c>
      <c r="C2526" s="150">
        <v>20</v>
      </c>
      <c r="D2526" s="140" t="str">
        <f>IF(ISERROR(VLOOKUP(C2526,'[1]خريطة الحسابات'!_xlnm.Print_Area,3,FALSE))," ",(VLOOKUP(C2526,'[1]خريطة الحسابات'!_xlnm.Print_Area,3,FALSE)))</f>
        <v xml:space="preserve">الخزينة </v>
      </c>
      <c r="E2526" s="142"/>
      <c r="F2526" s="133"/>
      <c r="G2526" s="133">
        <v>1500</v>
      </c>
      <c r="H2526" s="134">
        <f t="shared" si="118"/>
        <v>0</v>
      </c>
      <c r="I2526" s="134">
        <f t="shared" si="118"/>
        <v>1500</v>
      </c>
      <c r="J2526" s="134">
        <f t="shared" si="117"/>
        <v>-1500</v>
      </c>
      <c r="K2526" s="135"/>
      <c r="L2526" s="136" t="str">
        <f t="shared" si="119"/>
        <v>دائن</v>
      </c>
      <c r="M2526" s="137" t="str">
        <f>IF(ISERROR(VLOOKUP(C2526,'[1]خريطة الحسابات'!_xlnm.Print_Area,4,FALSE))," ",(VLOOKUP(C2526,'[1]خريطة الحسابات'!_xlnm.Print_Area,4,FALSE)))</f>
        <v xml:space="preserve">أصول متداوله -النقدية ومافي حكمها </v>
      </c>
      <c r="N2526" s="138" t="str">
        <f>IF(ISERROR(VLOOKUP(C2526,'[1]خريطة الحسابات'!_xlnm.Print_Area,5,FALSE))," ",(VLOOKUP(C2526,'[1]خريطة الحسابات'!_xlnm.Print_Area,5,FALSE)))</f>
        <v>الاصول</v>
      </c>
      <c r="O2526" s="84" t="s">
        <v>2451</v>
      </c>
      <c r="P2526" s="84" t="s">
        <v>1395</v>
      </c>
    </row>
    <row r="2527" spans="1:16">
      <c r="A2527" s="151">
        <v>75</v>
      </c>
      <c r="B2527" s="131">
        <v>46109</v>
      </c>
      <c r="C2527" s="150">
        <v>20</v>
      </c>
      <c r="D2527" s="140" t="str">
        <f>IF(ISERROR(VLOOKUP(C2527,'[1]خريطة الحسابات'!_xlnm.Print_Area,3,FALSE))," ",(VLOOKUP(C2527,'[1]خريطة الحسابات'!_xlnm.Print_Area,3,FALSE)))</f>
        <v xml:space="preserve">الخزينة </v>
      </c>
      <c r="E2527" s="142"/>
      <c r="F2527" s="133"/>
      <c r="G2527" s="133">
        <v>1000</v>
      </c>
      <c r="H2527" s="134">
        <f t="shared" si="118"/>
        <v>0</v>
      </c>
      <c r="I2527" s="134">
        <f t="shared" si="118"/>
        <v>1000</v>
      </c>
      <c r="J2527" s="134">
        <f t="shared" si="117"/>
        <v>-1000</v>
      </c>
      <c r="K2527" s="135"/>
      <c r="L2527" s="136" t="str">
        <f t="shared" si="119"/>
        <v>دائن</v>
      </c>
      <c r="M2527" s="137" t="str">
        <f>IF(ISERROR(VLOOKUP(C2527,'[1]خريطة الحسابات'!_xlnm.Print_Area,4,FALSE))," ",(VLOOKUP(C2527,'[1]خريطة الحسابات'!_xlnm.Print_Area,4,FALSE)))</f>
        <v xml:space="preserve">أصول متداوله -النقدية ومافي حكمها </v>
      </c>
      <c r="N2527" s="138" t="str">
        <f>IF(ISERROR(VLOOKUP(C2527,'[1]خريطة الحسابات'!_xlnm.Print_Area,5,FALSE))," ",(VLOOKUP(C2527,'[1]خريطة الحسابات'!_xlnm.Print_Area,5,FALSE)))</f>
        <v>الاصول</v>
      </c>
      <c r="O2527" s="84" t="s">
        <v>2450</v>
      </c>
      <c r="P2527" s="84" t="s">
        <v>1393</v>
      </c>
    </row>
    <row r="2528" spans="1:16">
      <c r="A2528" s="151">
        <v>75</v>
      </c>
      <c r="B2528" s="131">
        <v>46152</v>
      </c>
      <c r="C2528" s="150">
        <v>20</v>
      </c>
      <c r="D2528" s="140" t="str">
        <f>IF(ISERROR(VLOOKUP(C2528,'[1]خريطة الحسابات'!_xlnm.Print_Area,3,FALSE))," ",(VLOOKUP(C2528,'[1]خريطة الحسابات'!_xlnm.Print_Area,3,FALSE)))</f>
        <v xml:space="preserve">الخزينة </v>
      </c>
      <c r="E2528" s="142"/>
      <c r="F2528" s="133"/>
      <c r="G2528" s="133">
        <v>1500</v>
      </c>
      <c r="H2528" s="134">
        <f t="shared" si="118"/>
        <v>0</v>
      </c>
      <c r="I2528" s="134">
        <f t="shared" si="118"/>
        <v>1500</v>
      </c>
      <c r="J2528" s="134">
        <f t="shared" si="117"/>
        <v>-1500</v>
      </c>
      <c r="K2528" s="135"/>
      <c r="L2528" s="136" t="str">
        <f t="shared" si="119"/>
        <v>دائن</v>
      </c>
      <c r="M2528" s="137" t="str">
        <f>IF(ISERROR(VLOOKUP(C2528,'[1]خريطة الحسابات'!_xlnm.Print_Area,4,FALSE))," ",(VLOOKUP(C2528,'[1]خريطة الحسابات'!_xlnm.Print_Area,4,FALSE)))</f>
        <v xml:space="preserve">أصول متداوله -النقدية ومافي حكمها </v>
      </c>
      <c r="N2528" s="138" t="str">
        <f>IF(ISERROR(VLOOKUP(C2528,'[1]خريطة الحسابات'!_xlnm.Print_Area,5,FALSE))," ",(VLOOKUP(C2528,'[1]خريطة الحسابات'!_xlnm.Print_Area,5,FALSE)))</f>
        <v>الاصول</v>
      </c>
      <c r="O2528" s="84" t="s">
        <v>2451</v>
      </c>
      <c r="P2528" s="84" t="s">
        <v>1393</v>
      </c>
    </row>
    <row r="2529" spans="1:16">
      <c r="A2529" s="151">
        <v>76</v>
      </c>
      <c r="B2529" s="131">
        <v>46028</v>
      </c>
      <c r="C2529" s="150" t="s">
        <v>67</v>
      </c>
      <c r="D2529" s="140" t="str">
        <f>IF(ISERROR(VLOOKUP(C2529,'[1]خريطة الحسابات'!_xlnm.Print_Area,3,FALSE))," ",(VLOOKUP(C2529,'[1]خريطة الحسابات'!_xlnm.Print_Area,3,FALSE)))</f>
        <v>تكاليف معاينات</v>
      </c>
      <c r="E2529" s="142"/>
      <c r="F2529" s="133">
        <v>300</v>
      </c>
      <c r="G2529" s="133"/>
      <c r="H2529" s="134">
        <f t="shared" si="118"/>
        <v>300</v>
      </c>
      <c r="I2529" s="134">
        <f t="shared" si="118"/>
        <v>0</v>
      </c>
      <c r="J2529" s="134">
        <f t="shared" si="117"/>
        <v>300</v>
      </c>
      <c r="K2529" s="135"/>
      <c r="L2529" s="136" t="str">
        <f t="shared" si="119"/>
        <v>مدين</v>
      </c>
      <c r="M2529" s="137" t="str">
        <f>IF(ISERROR(VLOOKUP(C2529,'[1]خريطة الحسابات'!_xlnm.Print_Area,4,FALSE))," ",(VLOOKUP(C2529,'[1]خريطة الحسابات'!_xlnm.Print_Area,4,FALSE)))</f>
        <v xml:space="preserve">تكاليف ادارية وعمومية </v>
      </c>
      <c r="N2529" s="138" t="str">
        <f>IF(ISERROR(VLOOKUP(C2529,'[1]خريطة الحسابات'!_xlnm.Print_Area,5,FALSE))," ",(VLOOKUP(C2529,'[1]خريطة الحسابات'!_xlnm.Print_Area,5,FALSE)))</f>
        <v xml:space="preserve">مصروفات </v>
      </c>
      <c r="O2529" s="84" t="s">
        <v>2452</v>
      </c>
      <c r="P2529" s="84" t="s">
        <v>2453</v>
      </c>
    </row>
    <row r="2530" spans="1:16">
      <c r="A2530" s="151">
        <v>76</v>
      </c>
      <c r="B2530" s="131">
        <v>46047</v>
      </c>
      <c r="C2530" s="150" t="s">
        <v>67</v>
      </c>
      <c r="D2530" s="140" t="str">
        <f>IF(ISERROR(VLOOKUP(C2530,'[1]خريطة الحسابات'!_xlnm.Print_Area,3,FALSE))," ",(VLOOKUP(C2530,'[1]خريطة الحسابات'!_xlnm.Print_Area,3,FALSE)))</f>
        <v>تكاليف معاينات</v>
      </c>
      <c r="E2530" s="142"/>
      <c r="F2530" s="133">
        <v>1800</v>
      </c>
      <c r="G2530" s="133"/>
      <c r="H2530" s="134">
        <f t="shared" si="118"/>
        <v>1800</v>
      </c>
      <c r="I2530" s="134">
        <f t="shared" si="118"/>
        <v>0</v>
      </c>
      <c r="J2530" s="134">
        <f t="shared" si="117"/>
        <v>1800</v>
      </c>
      <c r="K2530" s="135"/>
      <c r="L2530" s="136" t="str">
        <f t="shared" si="119"/>
        <v>مدين</v>
      </c>
      <c r="M2530" s="137" t="str">
        <f>IF(ISERROR(VLOOKUP(C2530,'[1]خريطة الحسابات'!_xlnm.Print_Area,4,FALSE))," ",(VLOOKUP(C2530,'[1]خريطة الحسابات'!_xlnm.Print_Area,4,FALSE)))</f>
        <v xml:space="preserve">تكاليف ادارية وعمومية </v>
      </c>
      <c r="N2530" s="138" t="str">
        <f>IF(ISERROR(VLOOKUP(C2530,'[1]خريطة الحسابات'!_xlnm.Print_Area,5,FALSE))," ",(VLOOKUP(C2530,'[1]خريطة الحسابات'!_xlnm.Print_Area,5,FALSE)))</f>
        <v xml:space="preserve">مصروفات </v>
      </c>
      <c r="O2530" s="84" t="s">
        <v>2454</v>
      </c>
      <c r="P2530" s="84" t="s">
        <v>2455</v>
      </c>
    </row>
    <row r="2531" spans="1:16">
      <c r="A2531" s="151">
        <v>76</v>
      </c>
      <c r="B2531" s="131">
        <v>46053</v>
      </c>
      <c r="C2531" s="150" t="s">
        <v>67</v>
      </c>
      <c r="D2531" s="140" t="str">
        <f>IF(ISERROR(VLOOKUP(C2531,'[1]خريطة الحسابات'!_xlnm.Print_Area,3,FALSE))," ",(VLOOKUP(C2531,'[1]خريطة الحسابات'!_xlnm.Print_Area,3,FALSE)))</f>
        <v>تكاليف معاينات</v>
      </c>
      <c r="E2531" s="142"/>
      <c r="F2531" s="133">
        <v>200</v>
      </c>
      <c r="G2531" s="133"/>
      <c r="H2531" s="134">
        <f t="shared" si="118"/>
        <v>200</v>
      </c>
      <c r="I2531" s="134">
        <f t="shared" si="118"/>
        <v>0</v>
      </c>
      <c r="J2531" s="134">
        <f t="shared" si="117"/>
        <v>200</v>
      </c>
      <c r="K2531" s="135"/>
      <c r="L2531" s="136" t="str">
        <f t="shared" si="119"/>
        <v>مدين</v>
      </c>
      <c r="M2531" s="137" t="str">
        <f>IF(ISERROR(VLOOKUP(C2531,'[1]خريطة الحسابات'!_xlnm.Print_Area,4,FALSE))," ",(VLOOKUP(C2531,'[1]خريطة الحسابات'!_xlnm.Print_Area,4,FALSE)))</f>
        <v xml:space="preserve">تكاليف ادارية وعمومية </v>
      </c>
      <c r="N2531" s="138" t="str">
        <f>IF(ISERROR(VLOOKUP(C2531,'[1]خريطة الحسابات'!_xlnm.Print_Area,5,FALSE))," ",(VLOOKUP(C2531,'[1]خريطة الحسابات'!_xlnm.Print_Area,5,FALSE)))</f>
        <v xml:space="preserve">مصروفات </v>
      </c>
      <c r="O2531" s="84" t="s">
        <v>2456</v>
      </c>
      <c r="P2531" s="84" t="s">
        <v>2457</v>
      </c>
    </row>
    <row r="2532" spans="1:16">
      <c r="A2532" s="151">
        <v>76</v>
      </c>
      <c r="B2532" s="131">
        <v>46109</v>
      </c>
      <c r="C2532" s="150" t="s">
        <v>67</v>
      </c>
      <c r="D2532" s="140" t="str">
        <f>IF(ISERROR(VLOOKUP(C2532,'[1]خريطة الحسابات'!_xlnm.Print_Area,3,FALSE))," ",(VLOOKUP(C2532,'[1]خريطة الحسابات'!_xlnm.Print_Area,3,FALSE)))</f>
        <v>تكاليف معاينات</v>
      </c>
      <c r="E2532" s="142"/>
      <c r="F2532" s="133">
        <v>300</v>
      </c>
      <c r="G2532" s="133"/>
      <c r="H2532" s="134">
        <f t="shared" si="118"/>
        <v>300</v>
      </c>
      <c r="I2532" s="134">
        <f t="shared" si="118"/>
        <v>0</v>
      </c>
      <c r="J2532" s="134">
        <f t="shared" si="117"/>
        <v>300</v>
      </c>
      <c r="K2532" s="135"/>
      <c r="L2532" s="136" t="str">
        <f t="shared" si="119"/>
        <v>مدين</v>
      </c>
      <c r="M2532" s="137" t="str">
        <f>IF(ISERROR(VLOOKUP(C2532,'[1]خريطة الحسابات'!_xlnm.Print_Area,4,FALSE))," ",(VLOOKUP(C2532,'[1]خريطة الحسابات'!_xlnm.Print_Area,4,FALSE)))</f>
        <v xml:space="preserve">تكاليف ادارية وعمومية </v>
      </c>
      <c r="N2532" s="138" t="str">
        <f>IF(ISERROR(VLOOKUP(C2532,'[1]خريطة الحسابات'!_xlnm.Print_Area,5,FALSE))," ",(VLOOKUP(C2532,'[1]خريطة الحسابات'!_xlnm.Print_Area,5,FALSE)))</f>
        <v xml:space="preserve">مصروفات </v>
      </c>
      <c r="O2532" s="84" t="s">
        <v>2458</v>
      </c>
      <c r="P2532" s="84" t="s">
        <v>2459</v>
      </c>
    </row>
    <row r="2533" spans="1:16">
      <c r="A2533" s="151">
        <v>76</v>
      </c>
      <c r="B2533" s="131">
        <v>46109</v>
      </c>
      <c r="C2533" s="150" t="s">
        <v>67</v>
      </c>
      <c r="D2533" s="140" t="str">
        <f>IF(ISERROR(VLOOKUP(C2533,'[1]خريطة الحسابات'!_xlnm.Print_Area,3,FALSE))," ",(VLOOKUP(C2533,'[1]خريطة الحسابات'!_xlnm.Print_Area,3,FALSE)))</f>
        <v>تكاليف معاينات</v>
      </c>
      <c r="E2533" s="142"/>
      <c r="F2533" s="133">
        <v>750</v>
      </c>
      <c r="G2533" s="133"/>
      <c r="H2533" s="134">
        <f t="shared" si="118"/>
        <v>750</v>
      </c>
      <c r="I2533" s="134">
        <f t="shared" si="118"/>
        <v>0</v>
      </c>
      <c r="J2533" s="134">
        <f t="shared" si="117"/>
        <v>750</v>
      </c>
      <c r="K2533" s="135"/>
      <c r="L2533" s="136" t="str">
        <f t="shared" si="119"/>
        <v>مدين</v>
      </c>
      <c r="M2533" s="137" t="str">
        <f>IF(ISERROR(VLOOKUP(C2533,'[1]خريطة الحسابات'!_xlnm.Print_Area,4,FALSE))," ",(VLOOKUP(C2533,'[1]خريطة الحسابات'!_xlnm.Print_Area,4,FALSE)))</f>
        <v xml:space="preserve">تكاليف ادارية وعمومية </v>
      </c>
      <c r="N2533" s="138" t="str">
        <f>IF(ISERROR(VLOOKUP(C2533,'[1]خريطة الحسابات'!_xlnm.Print_Area,5,FALSE))," ",(VLOOKUP(C2533,'[1]خريطة الحسابات'!_xlnm.Print_Area,5,FALSE)))</f>
        <v xml:space="preserve">مصروفات </v>
      </c>
      <c r="O2533" s="84" t="s">
        <v>2460</v>
      </c>
      <c r="P2533" s="84" t="s">
        <v>1342</v>
      </c>
    </row>
    <row r="2534" spans="1:16">
      <c r="A2534" s="151">
        <v>76</v>
      </c>
      <c r="B2534" s="131">
        <v>46112</v>
      </c>
      <c r="C2534" s="150" t="s">
        <v>67</v>
      </c>
      <c r="D2534" s="140" t="str">
        <f>IF(ISERROR(VLOOKUP(C2534,'[1]خريطة الحسابات'!_xlnm.Print_Area,3,FALSE))," ",(VLOOKUP(C2534,'[1]خريطة الحسابات'!_xlnm.Print_Area,3,FALSE)))</f>
        <v>تكاليف معاينات</v>
      </c>
      <c r="E2534" s="142"/>
      <c r="F2534" s="133">
        <v>300</v>
      </c>
      <c r="G2534" s="133"/>
      <c r="H2534" s="134">
        <f t="shared" si="118"/>
        <v>300</v>
      </c>
      <c r="I2534" s="134">
        <f t="shared" si="118"/>
        <v>0</v>
      </c>
      <c r="J2534" s="134">
        <f t="shared" si="117"/>
        <v>300</v>
      </c>
      <c r="K2534" s="135"/>
      <c r="L2534" s="136" t="str">
        <f t="shared" si="119"/>
        <v>مدين</v>
      </c>
      <c r="M2534" s="137" t="str">
        <f>IF(ISERROR(VLOOKUP(C2534,'[1]خريطة الحسابات'!_xlnm.Print_Area,4,FALSE))," ",(VLOOKUP(C2534,'[1]خريطة الحسابات'!_xlnm.Print_Area,4,FALSE)))</f>
        <v xml:space="preserve">تكاليف ادارية وعمومية </v>
      </c>
      <c r="N2534" s="138" t="str">
        <f>IF(ISERROR(VLOOKUP(C2534,'[1]خريطة الحسابات'!_xlnm.Print_Area,5,FALSE))," ",(VLOOKUP(C2534,'[1]خريطة الحسابات'!_xlnm.Print_Area,5,FALSE)))</f>
        <v xml:space="preserve">مصروفات </v>
      </c>
      <c r="O2534" s="84" t="s">
        <v>2461</v>
      </c>
      <c r="P2534" s="84" t="s">
        <v>2462</v>
      </c>
    </row>
    <row r="2535" spans="1:16">
      <c r="A2535" s="151">
        <v>76</v>
      </c>
      <c r="B2535" s="131">
        <v>46116</v>
      </c>
      <c r="C2535" s="150" t="s">
        <v>67</v>
      </c>
      <c r="D2535" s="140" t="str">
        <f>IF(ISERROR(VLOOKUP(C2535,'[1]خريطة الحسابات'!_xlnm.Print_Area,3,FALSE))," ",(VLOOKUP(C2535,'[1]خريطة الحسابات'!_xlnm.Print_Area,3,FALSE)))</f>
        <v>تكاليف معاينات</v>
      </c>
      <c r="E2535" s="142"/>
      <c r="F2535" s="133">
        <v>300</v>
      </c>
      <c r="G2535" s="133"/>
      <c r="H2535" s="134">
        <f t="shared" si="118"/>
        <v>300</v>
      </c>
      <c r="I2535" s="134">
        <f t="shared" si="118"/>
        <v>0</v>
      </c>
      <c r="J2535" s="134">
        <f t="shared" si="117"/>
        <v>300</v>
      </c>
      <c r="K2535" s="135"/>
      <c r="L2535" s="136" t="str">
        <f t="shared" si="119"/>
        <v>مدين</v>
      </c>
      <c r="M2535" s="137" t="str">
        <f>IF(ISERROR(VLOOKUP(C2535,'[1]خريطة الحسابات'!_xlnm.Print_Area,4,FALSE))," ",(VLOOKUP(C2535,'[1]خريطة الحسابات'!_xlnm.Print_Area,4,FALSE)))</f>
        <v xml:space="preserve">تكاليف ادارية وعمومية </v>
      </c>
      <c r="N2535" s="138" t="str">
        <f>IF(ISERROR(VLOOKUP(C2535,'[1]خريطة الحسابات'!_xlnm.Print_Area,5,FALSE))," ",(VLOOKUP(C2535,'[1]خريطة الحسابات'!_xlnm.Print_Area,5,FALSE)))</f>
        <v xml:space="preserve">مصروفات </v>
      </c>
      <c r="O2535" s="84" t="s">
        <v>2463</v>
      </c>
      <c r="P2535" s="84" t="s">
        <v>2464</v>
      </c>
    </row>
    <row r="2536" spans="1:16">
      <c r="A2536" s="151">
        <v>76</v>
      </c>
      <c r="B2536" s="131">
        <v>46117</v>
      </c>
      <c r="C2536" s="150" t="s">
        <v>67</v>
      </c>
      <c r="D2536" s="140" t="str">
        <f>IF(ISERROR(VLOOKUP(C2536,'[1]خريطة الحسابات'!_xlnm.Print_Area,3,FALSE))," ",(VLOOKUP(C2536,'[1]خريطة الحسابات'!_xlnm.Print_Area,3,FALSE)))</f>
        <v>تكاليف معاينات</v>
      </c>
      <c r="E2536" s="142"/>
      <c r="F2536" s="133">
        <v>300</v>
      </c>
      <c r="G2536" s="133"/>
      <c r="H2536" s="134">
        <f t="shared" si="118"/>
        <v>300</v>
      </c>
      <c r="I2536" s="134">
        <f t="shared" si="118"/>
        <v>0</v>
      </c>
      <c r="J2536" s="134">
        <f t="shared" si="117"/>
        <v>300</v>
      </c>
      <c r="K2536" s="135"/>
      <c r="L2536" s="136" t="str">
        <f t="shared" si="119"/>
        <v>مدين</v>
      </c>
      <c r="M2536" s="137" t="str">
        <f>IF(ISERROR(VLOOKUP(C2536,'[1]خريطة الحسابات'!_xlnm.Print_Area,4,FALSE))," ",(VLOOKUP(C2536,'[1]خريطة الحسابات'!_xlnm.Print_Area,4,FALSE)))</f>
        <v xml:space="preserve">تكاليف ادارية وعمومية </v>
      </c>
      <c r="N2536" s="138" t="str">
        <f>IF(ISERROR(VLOOKUP(C2536,'[1]خريطة الحسابات'!_xlnm.Print_Area,5,FALSE))," ",(VLOOKUP(C2536,'[1]خريطة الحسابات'!_xlnm.Print_Area,5,FALSE)))</f>
        <v xml:space="preserve">مصروفات </v>
      </c>
      <c r="O2536" s="84" t="s">
        <v>2465</v>
      </c>
      <c r="P2536" s="84" t="s">
        <v>1342</v>
      </c>
    </row>
    <row r="2537" spans="1:16">
      <c r="A2537" s="151">
        <v>76</v>
      </c>
      <c r="B2537" s="131">
        <v>46117</v>
      </c>
      <c r="C2537" s="150" t="s">
        <v>67</v>
      </c>
      <c r="D2537" s="140" t="str">
        <f>IF(ISERROR(VLOOKUP(C2537,'[1]خريطة الحسابات'!_xlnm.Print_Area,3,FALSE))," ",(VLOOKUP(C2537,'[1]خريطة الحسابات'!_xlnm.Print_Area,3,FALSE)))</f>
        <v>تكاليف معاينات</v>
      </c>
      <c r="E2537" s="142"/>
      <c r="F2537" s="133">
        <v>300</v>
      </c>
      <c r="G2537" s="133"/>
      <c r="H2537" s="134">
        <f t="shared" si="118"/>
        <v>300</v>
      </c>
      <c r="I2537" s="134">
        <f t="shared" si="118"/>
        <v>0</v>
      </c>
      <c r="J2537" s="134">
        <f t="shared" si="117"/>
        <v>300</v>
      </c>
      <c r="K2537" s="135"/>
      <c r="L2537" s="136" t="str">
        <f t="shared" si="119"/>
        <v>مدين</v>
      </c>
      <c r="M2537" s="137" t="str">
        <f>IF(ISERROR(VLOOKUP(C2537,'[1]خريطة الحسابات'!_xlnm.Print_Area,4,FALSE))," ",(VLOOKUP(C2537,'[1]خريطة الحسابات'!_xlnm.Print_Area,4,FALSE)))</f>
        <v xml:space="preserve">تكاليف ادارية وعمومية </v>
      </c>
      <c r="N2537" s="138" t="str">
        <f>IF(ISERROR(VLOOKUP(C2537,'[1]خريطة الحسابات'!_xlnm.Print_Area,5,FALSE))," ",(VLOOKUP(C2537,'[1]خريطة الحسابات'!_xlnm.Print_Area,5,FALSE)))</f>
        <v xml:space="preserve">مصروفات </v>
      </c>
      <c r="O2537" s="84" t="s">
        <v>2466</v>
      </c>
      <c r="P2537" s="84" t="s">
        <v>1342</v>
      </c>
    </row>
    <row r="2538" spans="1:16">
      <c r="A2538" s="151">
        <v>76</v>
      </c>
      <c r="B2538" s="131">
        <v>46132</v>
      </c>
      <c r="C2538" s="150" t="s">
        <v>67</v>
      </c>
      <c r="D2538" s="140" t="str">
        <f>IF(ISERROR(VLOOKUP(C2538,'[1]خريطة الحسابات'!_xlnm.Print_Area,3,FALSE))," ",(VLOOKUP(C2538,'[1]خريطة الحسابات'!_xlnm.Print_Area,3,FALSE)))</f>
        <v>تكاليف معاينات</v>
      </c>
      <c r="E2538" s="142"/>
      <c r="F2538" s="133">
        <v>90</v>
      </c>
      <c r="G2538" s="133"/>
      <c r="H2538" s="134">
        <f t="shared" si="118"/>
        <v>90</v>
      </c>
      <c r="I2538" s="134">
        <f t="shared" si="118"/>
        <v>0</v>
      </c>
      <c r="J2538" s="134">
        <f t="shared" si="117"/>
        <v>90</v>
      </c>
      <c r="K2538" s="135"/>
      <c r="L2538" s="136" t="str">
        <f t="shared" si="119"/>
        <v>مدين</v>
      </c>
      <c r="M2538" s="137" t="str">
        <f>IF(ISERROR(VLOOKUP(C2538,'[1]خريطة الحسابات'!_xlnm.Print_Area,4,FALSE))," ",(VLOOKUP(C2538,'[1]خريطة الحسابات'!_xlnm.Print_Area,4,FALSE)))</f>
        <v xml:space="preserve">تكاليف ادارية وعمومية </v>
      </c>
      <c r="N2538" s="138" t="str">
        <f>IF(ISERROR(VLOOKUP(C2538,'[1]خريطة الحسابات'!_xlnm.Print_Area,5,FALSE))," ",(VLOOKUP(C2538,'[1]خريطة الحسابات'!_xlnm.Print_Area,5,FALSE)))</f>
        <v xml:space="preserve">مصروفات </v>
      </c>
      <c r="O2538" s="84" t="s">
        <v>2467</v>
      </c>
      <c r="P2538" s="84" t="s">
        <v>2468</v>
      </c>
    </row>
    <row r="2539" spans="1:16">
      <c r="A2539" s="151">
        <v>76</v>
      </c>
      <c r="B2539" s="131">
        <v>46148</v>
      </c>
      <c r="C2539" s="150" t="s">
        <v>67</v>
      </c>
      <c r="D2539" s="140" t="str">
        <f>IF(ISERROR(VLOOKUP(C2539,'[1]خريطة الحسابات'!_xlnm.Print_Area,3,FALSE))," ",(VLOOKUP(C2539,'[1]خريطة الحسابات'!_xlnm.Print_Area,3,FALSE)))</f>
        <v>تكاليف معاينات</v>
      </c>
      <c r="E2539" s="142"/>
      <c r="F2539" s="133">
        <v>300</v>
      </c>
      <c r="G2539" s="133"/>
      <c r="H2539" s="134">
        <f t="shared" si="118"/>
        <v>300</v>
      </c>
      <c r="I2539" s="134">
        <f t="shared" si="118"/>
        <v>0</v>
      </c>
      <c r="J2539" s="134">
        <f t="shared" si="117"/>
        <v>300</v>
      </c>
      <c r="K2539" s="135"/>
      <c r="L2539" s="136" t="str">
        <f t="shared" si="119"/>
        <v>مدين</v>
      </c>
      <c r="M2539" s="137" t="str">
        <f>IF(ISERROR(VLOOKUP(C2539,'[1]خريطة الحسابات'!_xlnm.Print_Area,4,FALSE))," ",(VLOOKUP(C2539,'[1]خريطة الحسابات'!_xlnm.Print_Area,4,FALSE)))</f>
        <v xml:space="preserve">تكاليف ادارية وعمومية </v>
      </c>
      <c r="N2539" s="138" t="str">
        <f>IF(ISERROR(VLOOKUP(C2539,'[1]خريطة الحسابات'!_xlnm.Print_Area,5,FALSE))," ",(VLOOKUP(C2539,'[1]خريطة الحسابات'!_xlnm.Print_Area,5,FALSE)))</f>
        <v xml:space="preserve">مصروفات </v>
      </c>
      <c r="O2539" s="84" t="s">
        <v>2469</v>
      </c>
      <c r="P2539" s="84" t="s">
        <v>2061</v>
      </c>
    </row>
    <row r="2540" spans="1:16">
      <c r="A2540" s="151">
        <v>76</v>
      </c>
      <c r="B2540" s="131">
        <v>46181</v>
      </c>
      <c r="C2540" s="150" t="s">
        <v>67</v>
      </c>
      <c r="D2540" s="140" t="str">
        <f>IF(ISERROR(VLOOKUP(C2540,'[1]خريطة الحسابات'!_xlnm.Print_Area,3,FALSE))," ",(VLOOKUP(C2540,'[1]خريطة الحسابات'!_xlnm.Print_Area,3,FALSE)))</f>
        <v>تكاليف معاينات</v>
      </c>
      <c r="E2540" s="142"/>
      <c r="F2540" s="133">
        <v>300</v>
      </c>
      <c r="G2540" s="133"/>
      <c r="H2540" s="134">
        <f t="shared" si="118"/>
        <v>300</v>
      </c>
      <c r="I2540" s="134">
        <f t="shared" si="118"/>
        <v>0</v>
      </c>
      <c r="J2540" s="134">
        <f t="shared" si="117"/>
        <v>300</v>
      </c>
      <c r="K2540" s="135"/>
      <c r="L2540" s="136" t="str">
        <f t="shared" si="119"/>
        <v>مدين</v>
      </c>
      <c r="M2540" s="137" t="str">
        <f>IF(ISERROR(VLOOKUP(C2540,'[1]خريطة الحسابات'!_xlnm.Print_Area,4,FALSE))," ",(VLOOKUP(C2540,'[1]خريطة الحسابات'!_xlnm.Print_Area,4,FALSE)))</f>
        <v xml:space="preserve">تكاليف ادارية وعمومية </v>
      </c>
      <c r="N2540" s="138" t="str">
        <f>IF(ISERROR(VLOOKUP(C2540,'[1]خريطة الحسابات'!_xlnm.Print_Area,5,FALSE))," ",(VLOOKUP(C2540,'[1]خريطة الحسابات'!_xlnm.Print_Area,5,FALSE)))</f>
        <v xml:space="preserve">مصروفات </v>
      </c>
      <c r="O2540" s="84" t="s">
        <v>2470</v>
      </c>
      <c r="P2540" s="84" t="s">
        <v>2471</v>
      </c>
    </row>
    <row r="2541" spans="1:16">
      <c r="A2541" s="151">
        <v>76</v>
      </c>
      <c r="B2541" s="131">
        <v>46181</v>
      </c>
      <c r="C2541" s="150" t="s">
        <v>67</v>
      </c>
      <c r="D2541" s="140" t="str">
        <f>IF(ISERROR(VLOOKUP(C2541,'[1]خريطة الحسابات'!_xlnm.Print_Area,3,FALSE))," ",(VLOOKUP(C2541,'[1]خريطة الحسابات'!_xlnm.Print_Area,3,FALSE)))</f>
        <v>تكاليف معاينات</v>
      </c>
      <c r="E2541" s="142"/>
      <c r="F2541" s="133">
        <v>150</v>
      </c>
      <c r="G2541" s="133"/>
      <c r="H2541" s="134">
        <f t="shared" si="118"/>
        <v>150</v>
      </c>
      <c r="I2541" s="134">
        <f t="shared" si="118"/>
        <v>0</v>
      </c>
      <c r="J2541" s="134">
        <f t="shared" si="117"/>
        <v>150</v>
      </c>
      <c r="K2541" s="135"/>
      <c r="L2541" s="136" t="str">
        <f t="shared" si="119"/>
        <v>مدين</v>
      </c>
      <c r="M2541" s="137" t="str">
        <f>IF(ISERROR(VLOOKUP(C2541,'[1]خريطة الحسابات'!_xlnm.Print_Area,4,FALSE))," ",(VLOOKUP(C2541,'[1]خريطة الحسابات'!_xlnm.Print_Area,4,FALSE)))</f>
        <v xml:space="preserve">تكاليف ادارية وعمومية </v>
      </c>
      <c r="N2541" s="138" t="str">
        <f>IF(ISERROR(VLOOKUP(C2541,'[1]خريطة الحسابات'!_xlnm.Print_Area,5,FALSE))," ",(VLOOKUP(C2541,'[1]خريطة الحسابات'!_xlnm.Print_Area,5,FALSE)))</f>
        <v xml:space="preserve">مصروفات </v>
      </c>
      <c r="O2541" s="84" t="s">
        <v>2472</v>
      </c>
      <c r="P2541" s="84" t="s">
        <v>2061</v>
      </c>
    </row>
    <row r="2542" spans="1:16">
      <c r="A2542" s="151">
        <v>76</v>
      </c>
      <c r="B2542" s="131">
        <v>46181</v>
      </c>
      <c r="C2542" s="150" t="s">
        <v>67</v>
      </c>
      <c r="D2542" s="140" t="str">
        <f>IF(ISERROR(VLOOKUP(C2542,'[1]خريطة الحسابات'!_xlnm.Print_Area,3,FALSE))," ",(VLOOKUP(C2542,'[1]خريطة الحسابات'!_xlnm.Print_Area,3,FALSE)))</f>
        <v>تكاليف معاينات</v>
      </c>
      <c r="E2542" s="142"/>
      <c r="F2542" s="133">
        <v>150</v>
      </c>
      <c r="G2542" s="133"/>
      <c r="H2542" s="134">
        <f t="shared" si="118"/>
        <v>150</v>
      </c>
      <c r="I2542" s="134">
        <f t="shared" si="118"/>
        <v>0</v>
      </c>
      <c r="J2542" s="134">
        <f t="shared" si="117"/>
        <v>150</v>
      </c>
      <c r="K2542" s="135"/>
      <c r="L2542" s="136" t="str">
        <f t="shared" si="119"/>
        <v>مدين</v>
      </c>
      <c r="M2542" s="137" t="str">
        <f>IF(ISERROR(VLOOKUP(C2542,'[1]خريطة الحسابات'!_xlnm.Print_Area,4,FALSE))," ",(VLOOKUP(C2542,'[1]خريطة الحسابات'!_xlnm.Print_Area,4,FALSE)))</f>
        <v xml:space="preserve">تكاليف ادارية وعمومية </v>
      </c>
      <c r="N2542" s="138" t="str">
        <f>IF(ISERROR(VLOOKUP(C2542,'[1]خريطة الحسابات'!_xlnm.Print_Area,5,FALSE))," ",(VLOOKUP(C2542,'[1]خريطة الحسابات'!_xlnm.Print_Area,5,FALSE)))</f>
        <v xml:space="preserve">مصروفات </v>
      </c>
      <c r="O2542" s="84" t="s">
        <v>2473</v>
      </c>
      <c r="P2542" s="84" t="s">
        <v>2474</v>
      </c>
    </row>
    <row r="2543" spans="1:16">
      <c r="A2543" s="151">
        <v>76</v>
      </c>
      <c r="B2543" s="131">
        <v>46028</v>
      </c>
      <c r="C2543" s="150">
        <v>20</v>
      </c>
      <c r="D2543" s="140" t="str">
        <f>IF(ISERROR(VLOOKUP(C2543,'[1]خريطة الحسابات'!_xlnm.Print_Area,3,FALSE))," ",(VLOOKUP(C2543,'[1]خريطة الحسابات'!_xlnm.Print_Area,3,FALSE)))</f>
        <v xml:space="preserve">الخزينة </v>
      </c>
      <c r="E2543" s="142"/>
      <c r="F2543" s="133"/>
      <c r="G2543" s="133">
        <v>300</v>
      </c>
      <c r="H2543" s="134">
        <f t="shared" si="118"/>
        <v>0</v>
      </c>
      <c r="I2543" s="134">
        <f t="shared" si="118"/>
        <v>300</v>
      </c>
      <c r="J2543" s="134">
        <f t="shared" si="117"/>
        <v>-300</v>
      </c>
      <c r="K2543" s="135"/>
      <c r="L2543" s="136" t="str">
        <f t="shared" si="119"/>
        <v>دائن</v>
      </c>
      <c r="M2543" s="137" t="str">
        <f>IF(ISERROR(VLOOKUP(C2543,'[1]خريطة الحسابات'!_xlnm.Print_Area,4,FALSE))," ",(VLOOKUP(C2543,'[1]خريطة الحسابات'!_xlnm.Print_Area,4,FALSE)))</f>
        <v xml:space="preserve">أصول متداوله -النقدية ومافي حكمها </v>
      </c>
      <c r="N2543" s="138" t="str">
        <f>IF(ISERROR(VLOOKUP(C2543,'[1]خريطة الحسابات'!_xlnm.Print_Area,5,FALSE))," ",(VLOOKUP(C2543,'[1]خريطة الحسابات'!_xlnm.Print_Area,5,FALSE)))</f>
        <v>الاصول</v>
      </c>
      <c r="O2543" s="84" t="s">
        <v>2452</v>
      </c>
      <c r="P2543" s="84" t="s">
        <v>2453</v>
      </c>
    </row>
    <row r="2544" spans="1:16">
      <c r="A2544" s="151">
        <v>76</v>
      </c>
      <c r="B2544" s="131">
        <v>46047</v>
      </c>
      <c r="C2544" s="150">
        <v>20</v>
      </c>
      <c r="D2544" s="140" t="str">
        <f>IF(ISERROR(VLOOKUP(C2544,'[1]خريطة الحسابات'!_xlnm.Print_Area,3,FALSE))," ",(VLOOKUP(C2544,'[1]خريطة الحسابات'!_xlnm.Print_Area,3,FALSE)))</f>
        <v xml:space="preserve">الخزينة </v>
      </c>
      <c r="E2544" s="142"/>
      <c r="F2544" s="133"/>
      <c r="G2544" s="133">
        <v>1800</v>
      </c>
      <c r="H2544" s="134">
        <f t="shared" si="118"/>
        <v>0</v>
      </c>
      <c r="I2544" s="134">
        <f t="shared" si="118"/>
        <v>1800</v>
      </c>
      <c r="J2544" s="134">
        <f t="shared" si="117"/>
        <v>-1800</v>
      </c>
      <c r="K2544" s="135"/>
      <c r="L2544" s="136" t="str">
        <f t="shared" si="119"/>
        <v>دائن</v>
      </c>
      <c r="M2544" s="137" t="str">
        <f>IF(ISERROR(VLOOKUP(C2544,'[1]خريطة الحسابات'!_xlnm.Print_Area,4,FALSE))," ",(VLOOKUP(C2544,'[1]خريطة الحسابات'!_xlnm.Print_Area,4,FALSE)))</f>
        <v xml:space="preserve">أصول متداوله -النقدية ومافي حكمها </v>
      </c>
      <c r="N2544" s="138" t="str">
        <f>IF(ISERROR(VLOOKUP(C2544,'[1]خريطة الحسابات'!_xlnm.Print_Area,5,FALSE))," ",(VLOOKUP(C2544,'[1]خريطة الحسابات'!_xlnm.Print_Area,5,FALSE)))</f>
        <v>الاصول</v>
      </c>
      <c r="O2544" s="84" t="s">
        <v>2454</v>
      </c>
      <c r="P2544" s="84" t="s">
        <v>2455</v>
      </c>
    </row>
    <row r="2545" spans="1:16">
      <c r="A2545" s="151">
        <v>76</v>
      </c>
      <c r="B2545" s="131">
        <v>46053</v>
      </c>
      <c r="C2545" s="150">
        <v>20</v>
      </c>
      <c r="D2545" s="140" t="str">
        <f>IF(ISERROR(VLOOKUP(C2545,'[1]خريطة الحسابات'!_xlnm.Print_Area,3,FALSE))," ",(VLOOKUP(C2545,'[1]خريطة الحسابات'!_xlnm.Print_Area,3,FALSE)))</f>
        <v xml:space="preserve">الخزينة </v>
      </c>
      <c r="E2545" s="142"/>
      <c r="F2545" s="133"/>
      <c r="G2545" s="133">
        <v>200</v>
      </c>
      <c r="H2545" s="134">
        <f t="shared" si="118"/>
        <v>0</v>
      </c>
      <c r="I2545" s="134">
        <f t="shared" si="118"/>
        <v>200</v>
      </c>
      <c r="J2545" s="134">
        <f t="shared" si="117"/>
        <v>-200</v>
      </c>
      <c r="K2545" s="135"/>
      <c r="L2545" s="136" t="str">
        <f t="shared" si="119"/>
        <v>دائن</v>
      </c>
      <c r="M2545" s="137" t="str">
        <f>IF(ISERROR(VLOOKUP(C2545,'[1]خريطة الحسابات'!_xlnm.Print_Area,4,FALSE))," ",(VLOOKUP(C2545,'[1]خريطة الحسابات'!_xlnm.Print_Area,4,FALSE)))</f>
        <v xml:space="preserve">أصول متداوله -النقدية ومافي حكمها </v>
      </c>
      <c r="N2545" s="138" t="str">
        <f>IF(ISERROR(VLOOKUP(C2545,'[1]خريطة الحسابات'!_xlnm.Print_Area,5,FALSE))," ",(VLOOKUP(C2545,'[1]خريطة الحسابات'!_xlnm.Print_Area,5,FALSE)))</f>
        <v>الاصول</v>
      </c>
      <c r="O2545" s="84" t="s">
        <v>2456</v>
      </c>
      <c r="P2545" s="84" t="s">
        <v>2457</v>
      </c>
    </row>
    <row r="2546" spans="1:16">
      <c r="A2546" s="151">
        <v>76</v>
      </c>
      <c r="B2546" s="131">
        <v>46109</v>
      </c>
      <c r="C2546" s="150">
        <v>20</v>
      </c>
      <c r="D2546" s="140" t="str">
        <f>IF(ISERROR(VLOOKUP(C2546,'[1]خريطة الحسابات'!_xlnm.Print_Area,3,FALSE))," ",(VLOOKUP(C2546,'[1]خريطة الحسابات'!_xlnm.Print_Area,3,FALSE)))</f>
        <v xml:space="preserve">الخزينة </v>
      </c>
      <c r="E2546" s="142"/>
      <c r="F2546" s="133"/>
      <c r="G2546" s="133">
        <v>300</v>
      </c>
      <c r="H2546" s="134">
        <f t="shared" si="118"/>
        <v>0</v>
      </c>
      <c r="I2546" s="134">
        <f t="shared" si="118"/>
        <v>300</v>
      </c>
      <c r="J2546" s="134">
        <f t="shared" si="117"/>
        <v>-300</v>
      </c>
      <c r="K2546" s="135"/>
      <c r="L2546" s="136" t="str">
        <f t="shared" si="119"/>
        <v>دائن</v>
      </c>
      <c r="M2546" s="137" t="str">
        <f>IF(ISERROR(VLOOKUP(C2546,'[1]خريطة الحسابات'!_xlnm.Print_Area,4,FALSE))," ",(VLOOKUP(C2546,'[1]خريطة الحسابات'!_xlnm.Print_Area,4,FALSE)))</f>
        <v xml:space="preserve">أصول متداوله -النقدية ومافي حكمها </v>
      </c>
      <c r="N2546" s="138" t="str">
        <f>IF(ISERROR(VLOOKUP(C2546,'[1]خريطة الحسابات'!_xlnm.Print_Area,5,FALSE))," ",(VLOOKUP(C2546,'[1]خريطة الحسابات'!_xlnm.Print_Area,5,FALSE)))</f>
        <v>الاصول</v>
      </c>
      <c r="O2546" s="84" t="s">
        <v>2458</v>
      </c>
      <c r="P2546" s="84" t="s">
        <v>2459</v>
      </c>
    </row>
    <row r="2547" spans="1:16">
      <c r="A2547" s="151">
        <v>76</v>
      </c>
      <c r="B2547" s="131">
        <v>46109</v>
      </c>
      <c r="C2547" s="150">
        <v>20</v>
      </c>
      <c r="D2547" s="140" t="str">
        <f>IF(ISERROR(VLOOKUP(C2547,'[1]خريطة الحسابات'!_xlnm.Print_Area,3,FALSE))," ",(VLOOKUP(C2547,'[1]خريطة الحسابات'!_xlnm.Print_Area,3,FALSE)))</f>
        <v xml:space="preserve">الخزينة </v>
      </c>
      <c r="E2547" s="142"/>
      <c r="F2547" s="133"/>
      <c r="G2547" s="133">
        <v>750</v>
      </c>
      <c r="H2547" s="134">
        <f t="shared" si="118"/>
        <v>0</v>
      </c>
      <c r="I2547" s="134">
        <f t="shared" si="118"/>
        <v>750</v>
      </c>
      <c r="J2547" s="134">
        <f t="shared" si="117"/>
        <v>-750</v>
      </c>
      <c r="K2547" s="135"/>
      <c r="L2547" s="136" t="str">
        <f t="shared" si="119"/>
        <v>دائن</v>
      </c>
      <c r="M2547" s="137" t="str">
        <f>IF(ISERROR(VLOOKUP(C2547,'[1]خريطة الحسابات'!_xlnm.Print_Area,4,FALSE))," ",(VLOOKUP(C2547,'[1]خريطة الحسابات'!_xlnm.Print_Area,4,FALSE)))</f>
        <v xml:space="preserve">أصول متداوله -النقدية ومافي حكمها </v>
      </c>
      <c r="N2547" s="138" t="str">
        <f>IF(ISERROR(VLOOKUP(C2547,'[1]خريطة الحسابات'!_xlnm.Print_Area,5,FALSE))," ",(VLOOKUP(C2547,'[1]خريطة الحسابات'!_xlnm.Print_Area,5,FALSE)))</f>
        <v>الاصول</v>
      </c>
      <c r="O2547" s="84" t="s">
        <v>2460</v>
      </c>
      <c r="P2547" s="84" t="s">
        <v>1342</v>
      </c>
    </row>
    <row r="2548" spans="1:16">
      <c r="A2548" s="151">
        <v>76</v>
      </c>
      <c r="B2548" s="131">
        <v>46112</v>
      </c>
      <c r="C2548" s="150">
        <v>20</v>
      </c>
      <c r="D2548" s="140" t="str">
        <f>IF(ISERROR(VLOOKUP(C2548,'[1]خريطة الحسابات'!_xlnm.Print_Area,3,FALSE))," ",(VLOOKUP(C2548,'[1]خريطة الحسابات'!_xlnm.Print_Area,3,FALSE)))</f>
        <v xml:space="preserve">الخزينة </v>
      </c>
      <c r="E2548" s="142"/>
      <c r="F2548" s="133"/>
      <c r="G2548" s="133">
        <v>300</v>
      </c>
      <c r="H2548" s="134">
        <f t="shared" si="118"/>
        <v>0</v>
      </c>
      <c r="I2548" s="134">
        <f t="shared" si="118"/>
        <v>300</v>
      </c>
      <c r="J2548" s="134">
        <f t="shared" si="117"/>
        <v>-300</v>
      </c>
      <c r="K2548" s="135"/>
      <c r="L2548" s="136" t="str">
        <f t="shared" si="119"/>
        <v>دائن</v>
      </c>
      <c r="M2548" s="137" t="str">
        <f>IF(ISERROR(VLOOKUP(C2548,'[1]خريطة الحسابات'!_xlnm.Print_Area,4,FALSE))," ",(VLOOKUP(C2548,'[1]خريطة الحسابات'!_xlnm.Print_Area,4,FALSE)))</f>
        <v xml:space="preserve">أصول متداوله -النقدية ومافي حكمها </v>
      </c>
      <c r="N2548" s="138" t="str">
        <f>IF(ISERROR(VLOOKUP(C2548,'[1]خريطة الحسابات'!_xlnm.Print_Area,5,FALSE))," ",(VLOOKUP(C2548,'[1]خريطة الحسابات'!_xlnm.Print_Area,5,FALSE)))</f>
        <v>الاصول</v>
      </c>
      <c r="O2548" s="84" t="s">
        <v>2461</v>
      </c>
      <c r="P2548" s="84" t="s">
        <v>2462</v>
      </c>
    </row>
    <row r="2549" spans="1:16">
      <c r="A2549" s="151">
        <v>76</v>
      </c>
      <c r="B2549" s="131">
        <v>46116</v>
      </c>
      <c r="C2549" s="150">
        <v>20</v>
      </c>
      <c r="D2549" s="140" t="str">
        <f>IF(ISERROR(VLOOKUP(C2549,'[1]خريطة الحسابات'!_xlnm.Print_Area,3,FALSE))," ",(VLOOKUP(C2549,'[1]خريطة الحسابات'!_xlnm.Print_Area,3,FALSE)))</f>
        <v xml:space="preserve">الخزينة </v>
      </c>
      <c r="E2549" s="142"/>
      <c r="F2549" s="133"/>
      <c r="G2549" s="133">
        <v>300</v>
      </c>
      <c r="H2549" s="134">
        <f t="shared" si="118"/>
        <v>0</v>
      </c>
      <c r="I2549" s="134">
        <f t="shared" si="118"/>
        <v>300</v>
      </c>
      <c r="J2549" s="134">
        <f t="shared" si="117"/>
        <v>-300</v>
      </c>
      <c r="K2549" s="135"/>
      <c r="L2549" s="136" t="str">
        <f t="shared" si="119"/>
        <v>دائن</v>
      </c>
      <c r="M2549" s="137" t="str">
        <f>IF(ISERROR(VLOOKUP(C2549,'[1]خريطة الحسابات'!_xlnm.Print_Area,4,FALSE))," ",(VLOOKUP(C2549,'[1]خريطة الحسابات'!_xlnm.Print_Area,4,FALSE)))</f>
        <v xml:space="preserve">أصول متداوله -النقدية ومافي حكمها </v>
      </c>
      <c r="N2549" s="138" t="str">
        <f>IF(ISERROR(VLOOKUP(C2549,'[1]خريطة الحسابات'!_xlnm.Print_Area,5,FALSE))," ",(VLOOKUP(C2549,'[1]خريطة الحسابات'!_xlnm.Print_Area,5,FALSE)))</f>
        <v>الاصول</v>
      </c>
      <c r="O2549" s="84" t="s">
        <v>2463</v>
      </c>
      <c r="P2549" s="84" t="s">
        <v>2464</v>
      </c>
    </row>
    <row r="2550" spans="1:16">
      <c r="A2550" s="151">
        <v>76</v>
      </c>
      <c r="B2550" s="131">
        <v>46117</v>
      </c>
      <c r="C2550" s="150">
        <v>20</v>
      </c>
      <c r="D2550" s="140" t="str">
        <f>IF(ISERROR(VLOOKUP(C2550,'[1]خريطة الحسابات'!_xlnm.Print_Area,3,FALSE))," ",(VLOOKUP(C2550,'[1]خريطة الحسابات'!_xlnm.Print_Area,3,FALSE)))</f>
        <v xml:space="preserve">الخزينة </v>
      </c>
      <c r="E2550" s="142"/>
      <c r="F2550" s="133"/>
      <c r="G2550" s="133">
        <v>300</v>
      </c>
      <c r="H2550" s="134">
        <f t="shared" si="118"/>
        <v>0</v>
      </c>
      <c r="I2550" s="134">
        <f t="shared" si="118"/>
        <v>300</v>
      </c>
      <c r="J2550" s="134">
        <f t="shared" si="117"/>
        <v>-300</v>
      </c>
      <c r="K2550" s="135"/>
      <c r="L2550" s="136" t="str">
        <f t="shared" si="119"/>
        <v>دائن</v>
      </c>
      <c r="M2550" s="137" t="str">
        <f>IF(ISERROR(VLOOKUP(C2550,'[1]خريطة الحسابات'!_xlnm.Print_Area,4,FALSE))," ",(VLOOKUP(C2550,'[1]خريطة الحسابات'!_xlnm.Print_Area,4,FALSE)))</f>
        <v xml:space="preserve">أصول متداوله -النقدية ومافي حكمها </v>
      </c>
      <c r="N2550" s="138" t="str">
        <f>IF(ISERROR(VLOOKUP(C2550,'[1]خريطة الحسابات'!_xlnm.Print_Area,5,FALSE))," ",(VLOOKUP(C2550,'[1]خريطة الحسابات'!_xlnm.Print_Area,5,FALSE)))</f>
        <v>الاصول</v>
      </c>
      <c r="O2550" s="84" t="s">
        <v>2465</v>
      </c>
      <c r="P2550" s="84" t="s">
        <v>1342</v>
      </c>
    </row>
    <row r="2551" spans="1:16">
      <c r="A2551" s="151">
        <v>76</v>
      </c>
      <c r="B2551" s="131">
        <v>46117</v>
      </c>
      <c r="C2551" s="150">
        <v>20</v>
      </c>
      <c r="D2551" s="140" t="str">
        <f>IF(ISERROR(VLOOKUP(C2551,'[1]خريطة الحسابات'!_xlnm.Print_Area,3,FALSE))," ",(VLOOKUP(C2551,'[1]خريطة الحسابات'!_xlnm.Print_Area,3,FALSE)))</f>
        <v xml:space="preserve">الخزينة </v>
      </c>
      <c r="E2551" s="142"/>
      <c r="F2551" s="133"/>
      <c r="G2551" s="133">
        <v>300</v>
      </c>
      <c r="H2551" s="134">
        <f t="shared" si="118"/>
        <v>0</v>
      </c>
      <c r="I2551" s="134">
        <f t="shared" si="118"/>
        <v>300</v>
      </c>
      <c r="J2551" s="134">
        <f t="shared" si="117"/>
        <v>-300</v>
      </c>
      <c r="K2551" s="135"/>
      <c r="L2551" s="136" t="str">
        <f t="shared" si="119"/>
        <v>دائن</v>
      </c>
      <c r="M2551" s="137" t="str">
        <f>IF(ISERROR(VLOOKUP(C2551,'[1]خريطة الحسابات'!_xlnm.Print_Area,4,FALSE))," ",(VLOOKUP(C2551,'[1]خريطة الحسابات'!_xlnm.Print_Area,4,FALSE)))</f>
        <v xml:space="preserve">أصول متداوله -النقدية ومافي حكمها </v>
      </c>
      <c r="N2551" s="138" t="str">
        <f>IF(ISERROR(VLOOKUP(C2551,'[1]خريطة الحسابات'!_xlnm.Print_Area,5,FALSE))," ",(VLOOKUP(C2551,'[1]خريطة الحسابات'!_xlnm.Print_Area,5,FALSE)))</f>
        <v>الاصول</v>
      </c>
      <c r="O2551" s="84" t="s">
        <v>2466</v>
      </c>
      <c r="P2551" s="84" t="s">
        <v>1342</v>
      </c>
    </row>
    <row r="2552" spans="1:16">
      <c r="A2552" s="151">
        <v>76</v>
      </c>
      <c r="B2552" s="131">
        <v>46132</v>
      </c>
      <c r="C2552" s="150">
        <v>20</v>
      </c>
      <c r="D2552" s="140" t="str">
        <f>IF(ISERROR(VLOOKUP(C2552,'[1]خريطة الحسابات'!_xlnm.Print_Area,3,FALSE))," ",(VLOOKUP(C2552,'[1]خريطة الحسابات'!_xlnm.Print_Area,3,FALSE)))</f>
        <v xml:space="preserve">الخزينة </v>
      </c>
      <c r="E2552" s="142"/>
      <c r="F2552" s="133"/>
      <c r="G2552" s="133">
        <v>90</v>
      </c>
      <c r="H2552" s="134">
        <f t="shared" si="118"/>
        <v>0</v>
      </c>
      <c r="I2552" s="134">
        <f t="shared" si="118"/>
        <v>90</v>
      </c>
      <c r="J2552" s="134">
        <f t="shared" si="117"/>
        <v>-90</v>
      </c>
      <c r="K2552" s="135"/>
      <c r="L2552" s="136" t="str">
        <f t="shared" si="119"/>
        <v>دائن</v>
      </c>
      <c r="M2552" s="137" t="str">
        <f>IF(ISERROR(VLOOKUP(C2552,'[1]خريطة الحسابات'!_xlnm.Print_Area,4,FALSE))," ",(VLOOKUP(C2552,'[1]خريطة الحسابات'!_xlnm.Print_Area,4,FALSE)))</f>
        <v xml:space="preserve">أصول متداوله -النقدية ومافي حكمها </v>
      </c>
      <c r="N2552" s="138" t="str">
        <f>IF(ISERROR(VLOOKUP(C2552,'[1]خريطة الحسابات'!_xlnm.Print_Area,5,FALSE))," ",(VLOOKUP(C2552,'[1]خريطة الحسابات'!_xlnm.Print_Area,5,FALSE)))</f>
        <v>الاصول</v>
      </c>
      <c r="O2552" s="84" t="s">
        <v>2467</v>
      </c>
      <c r="P2552" s="84" t="s">
        <v>2468</v>
      </c>
    </row>
    <row r="2553" spans="1:16">
      <c r="A2553" s="151">
        <v>76</v>
      </c>
      <c r="B2553" s="131">
        <v>46148</v>
      </c>
      <c r="C2553" s="150">
        <v>20</v>
      </c>
      <c r="D2553" s="140" t="str">
        <f>IF(ISERROR(VLOOKUP(C2553,'[1]خريطة الحسابات'!_xlnm.Print_Area,3,FALSE))," ",(VLOOKUP(C2553,'[1]خريطة الحسابات'!_xlnm.Print_Area,3,FALSE)))</f>
        <v xml:space="preserve">الخزينة </v>
      </c>
      <c r="E2553" s="142"/>
      <c r="F2553" s="133"/>
      <c r="G2553" s="133">
        <v>300</v>
      </c>
      <c r="H2553" s="134">
        <f t="shared" si="118"/>
        <v>0</v>
      </c>
      <c r="I2553" s="134">
        <f t="shared" si="118"/>
        <v>300</v>
      </c>
      <c r="J2553" s="134">
        <f t="shared" si="117"/>
        <v>-300</v>
      </c>
      <c r="K2553" s="135"/>
      <c r="L2553" s="136" t="str">
        <f t="shared" si="119"/>
        <v>دائن</v>
      </c>
      <c r="M2553" s="137" t="str">
        <f>IF(ISERROR(VLOOKUP(C2553,'[1]خريطة الحسابات'!_xlnm.Print_Area,4,FALSE))," ",(VLOOKUP(C2553,'[1]خريطة الحسابات'!_xlnm.Print_Area,4,FALSE)))</f>
        <v xml:space="preserve">أصول متداوله -النقدية ومافي حكمها </v>
      </c>
      <c r="N2553" s="138" t="str">
        <f>IF(ISERROR(VLOOKUP(C2553,'[1]خريطة الحسابات'!_xlnm.Print_Area,5,FALSE))," ",(VLOOKUP(C2553,'[1]خريطة الحسابات'!_xlnm.Print_Area,5,FALSE)))</f>
        <v>الاصول</v>
      </c>
      <c r="O2553" s="84" t="s">
        <v>2469</v>
      </c>
      <c r="P2553" s="84" t="s">
        <v>2061</v>
      </c>
    </row>
    <row r="2554" spans="1:16">
      <c r="A2554" s="151">
        <v>76</v>
      </c>
      <c r="B2554" s="131">
        <v>46181</v>
      </c>
      <c r="C2554" s="150">
        <v>20</v>
      </c>
      <c r="D2554" s="140" t="str">
        <f>IF(ISERROR(VLOOKUP(C2554,'[1]خريطة الحسابات'!_xlnm.Print_Area,3,FALSE))," ",(VLOOKUP(C2554,'[1]خريطة الحسابات'!_xlnm.Print_Area,3,FALSE)))</f>
        <v xml:space="preserve">الخزينة </v>
      </c>
      <c r="E2554" s="142"/>
      <c r="F2554" s="133"/>
      <c r="G2554" s="133">
        <v>300</v>
      </c>
      <c r="H2554" s="134">
        <f t="shared" si="118"/>
        <v>0</v>
      </c>
      <c r="I2554" s="134">
        <f t="shared" si="118"/>
        <v>300</v>
      </c>
      <c r="J2554" s="134">
        <f t="shared" si="117"/>
        <v>-300</v>
      </c>
      <c r="K2554" s="135"/>
      <c r="L2554" s="136" t="str">
        <f t="shared" si="119"/>
        <v>دائن</v>
      </c>
      <c r="M2554" s="137" t="str">
        <f>IF(ISERROR(VLOOKUP(C2554,'[1]خريطة الحسابات'!_xlnm.Print_Area,4,FALSE))," ",(VLOOKUP(C2554,'[1]خريطة الحسابات'!_xlnm.Print_Area,4,FALSE)))</f>
        <v xml:space="preserve">أصول متداوله -النقدية ومافي حكمها </v>
      </c>
      <c r="N2554" s="138" t="str">
        <f>IF(ISERROR(VLOOKUP(C2554,'[1]خريطة الحسابات'!_xlnm.Print_Area,5,FALSE))," ",(VLOOKUP(C2554,'[1]خريطة الحسابات'!_xlnm.Print_Area,5,FALSE)))</f>
        <v>الاصول</v>
      </c>
      <c r="O2554" s="84" t="s">
        <v>2470</v>
      </c>
      <c r="P2554" s="84" t="s">
        <v>2471</v>
      </c>
    </row>
    <row r="2555" spans="1:16">
      <c r="A2555" s="151">
        <v>76</v>
      </c>
      <c r="B2555" s="131">
        <v>46181</v>
      </c>
      <c r="C2555" s="150">
        <v>20</v>
      </c>
      <c r="D2555" s="140" t="str">
        <f>IF(ISERROR(VLOOKUP(C2555,'[1]خريطة الحسابات'!_xlnm.Print_Area,3,FALSE))," ",(VLOOKUP(C2555,'[1]خريطة الحسابات'!_xlnm.Print_Area,3,FALSE)))</f>
        <v xml:space="preserve">الخزينة </v>
      </c>
      <c r="E2555" s="142"/>
      <c r="F2555" s="133"/>
      <c r="G2555" s="133">
        <v>150</v>
      </c>
      <c r="H2555" s="134">
        <f t="shared" si="118"/>
        <v>0</v>
      </c>
      <c r="I2555" s="134">
        <f t="shared" si="118"/>
        <v>150</v>
      </c>
      <c r="J2555" s="134">
        <f t="shared" si="117"/>
        <v>-150</v>
      </c>
      <c r="K2555" s="135"/>
      <c r="L2555" s="136" t="str">
        <f t="shared" si="119"/>
        <v>دائن</v>
      </c>
      <c r="M2555" s="137" t="str">
        <f>IF(ISERROR(VLOOKUP(C2555,'[1]خريطة الحسابات'!_xlnm.Print_Area,4,FALSE))," ",(VLOOKUP(C2555,'[1]خريطة الحسابات'!_xlnm.Print_Area,4,FALSE)))</f>
        <v xml:space="preserve">أصول متداوله -النقدية ومافي حكمها </v>
      </c>
      <c r="N2555" s="138" t="str">
        <f>IF(ISERROR(VLOOKUP(C2555,'[1]خريطة الحسابات'!_xlnm.Print_Area,5,FALSE))," ",(VLOOKUP(C2555,'[1]خريطة الحسابات'!_xlnm.Print_Area,5,FALSE)))</f>
        <v>الاصول</v>
      </c>
      <c r="O2555" s="84" t="s">
        <v>2472</v>
      </c>
      <c r="P2555" s="84" t="s">
        <v>2061</v>
      </c>
    </row>
    <row r="2556" spans="1:16">
      <c r="A2556" s="151">
        <v>76</v>
      </c>
      <c r="B2556" s="131">
        <v>46181</v>
      </c>
      <c r="C2556" s="150">
        <v>20</v>
      </c>
      <c r="D2556" s="140" t="str">
        <f>IF(ISERROR(VLOOKUP(C2556,'[1]خريطة الحسابات'!_xlnm.Print_Area,3,FALSE))," ",(VLOOKUP(C2556,'[1]خريطة الحسابات'!_xlnm.Print_Area,3,FALSE)))</f>
        <v xml:space="preserve">الخزينة </v>
      </c>
      <c r="E2556" s="142"/>
      <c r="F2556" s="133"/>
      <c r="G2556" s="133">
        <v>150</v>
      </c>
      <c r="H2556" s="134">
        <f t="shared" si="118"/>
        <v>0</v>
      </c>
      <c r="I2556" s="134">
        <f t="shared" si="118"/>
        <v>150</v>
      </c>
      <c r="J2556" s="134">
        <f t="shared" si="117"/>
        <v>-150</v>
      </c>
      <c r="K2556" s="135"/>
      <c r="L2556" s="136" t="str">
        <f t="shared" si="119"/>
        <v>دائن</v>
      </c>
      <c r="M2556" s="137" t="str">
        <f>IF(ISERROR(VLOOKUP(C2556,'[1]خريطة الحسابات'!_xlnm.Print_Area,4,FALSE))," ",(VLOOKUP(C2556,'[1]خريطة الحسابات'!_xlnm.Print_Area,4,FALSE)))</f>
        <v xml:space="preserve">أصول متداوله -النقدية ومافي حكمها </v>
      </c>
      <c r="N2556" s="138" t="str">
        <f>IF(ISERROR(VLOOKUP(C2556,'[1]خريطة الحسابات'!_xlnm.Print_Area,5,FALSE))," ",(VLOOKUP(C2556,'[1]خريطة الحسابات'!_xlnm.Print_Area,5,FALSE)))</f>
        <v>الاصول</v>
      </c>
      <c r="O2556" s="84" t="s">
        <v>2473</v>
      </c>
      <c r="P2556" s="84" t="s">
        <v>2474</v>
      </c>
    </row>
    <row r="2557" spans="1:16">
      <c r="A2557" s="151">
        <v>77</v>
      </c>
      <c r="B2557" s="131">
        <v>46139</v>
      </c>
      <c r="C2557" s="150">
        <v>5300</v>
      </c>
      <c r="D2557" s="140" t="str">
        <f>IF(ISERROR(VLOOKUP(C2557,'[1]خريطة الحسابات'!_xlnm.Print_Area,3,FALSE))," ",(VLOOKUP(C2557,'[1]خريطة الحسابات'!_xlnm.Print_Area,3,FALSE)))</f>
        <v xml:space="preserve">تكاليف مشروع خاص </v>
      </c>
      <c r="E2557" s="142"/>
      <c r="F2557" s="133">
        <v>302000</v>
      </c>
      <c r="G2557" s="133"/>
      <c r="H2557" s="134">
        <f t="shared" si="118"/>
        <v>302000</v>
      </c>
      <c r="I2557" s="134">
        <f t="shared" si="118"/>
        <v>0</v>
      </c>
      <c r="J2557" s="134">
        <f t="shared" si="117"/>
        <v>302000</v>
      </c>
      <c r="K2557" s="135"/>
      <c r="L2557" s="136" t="str">
        <f t="shared" si="119"/>
        <v>مدين</v>
      </c>
      <c r="M2557" s="137" t="str">
        <f>IF(ISERROR(VLOOKUP(C2557,'[1]خريطة الحسابات'!_xlnm.Print_Area,4,FALSE))," ",(VLOOKUP(C2557,'[1]خريطة الحسابات'!_xlnm.Print_Area,4,FALSE)))</f>
        <v>مشروع خاص المهندسة ايه واحمد الميري</v>
      </c>
      <c r="N2557" s="138" t="str">
        <f>IF(ISERROR(VLOOKUP(C2557,'[1]خريطة الحسابات'!_xlnm.Print_Area,5,FALSE))," ",(VLOOKUP(C2557,'[1]خريطة الحسابات'!_xlnm.Print_Area,5,FALSE)))</f>
        <v xml:space="preserve">تكاليف العمليات </v>
      </c>
      <c r="O2557" s="84" t="s">
        <v>2475</v>
      </c>
      <c r="P2557" s="84" t="s">
        <v>2476</v>
      </c>
    </row>
    <row r="2558" spans="1:16">
      <c r="A2558" s="151">
        <v>77</v>
      </c>
      <c r="B2558" s="131">
        <v>46139</v>
      </c>
      <c r="C2558" s="150">
        <v>20</v>
      </c>
      <c r="D2558" s="140" t="str">
        <f>IF(ISERROR(VLOOKUP(C2558,'[1]خريطة الحسابات'!_xlnm.Print_Area,3,FALSE))," ",(VLOOKUP(C2558,'[1]خريطة الحسابات'!_xlnm.Print_Area,3,FALSE)))</f>
        <v xml:space="preserve">الخزينة </v>
      </c>
      <c r="E2558" s="142"/>
      <c r="F2558" s="133"/>
      <c r="G2558" s="133">
        <v>302000</v>
      </c>
      <c r="H2558" s="134">
        <f t="shared" si="118"/>
        <v>0</v>
      </c>
      <c r="I2558" s="134">
        <f t="shared" si="118"/>
        <v>302000</v>
      </c>
      <c r="J2558" s="134">
        <f t="shared" si="117"/>
        <v>-302000</v>
      </c>
      <c r="K2558" s="135"/>
      <c r="L2558" s="136" t="str">
        <f t="shared" si="119"/>
        <v>دائن</v>
      </c>
      <c r="M2558" s="137" t="str">
        <f>IF(ISERROR(VLOOKUP(C2558,'[1]خريطة الحسابات'!_xlnm.Print_Area,4,FALSE))," ",(VLOOKUP(C2558,'[1]خريطة الحسابات'!_xlnm.Print_Area,4,FALSE)))</f>
        <v xml:space="preserve">أصول متداوله -النقدية ومافي حكمها </v>
      </c>
      <c r="N2558" s="138" t="str">
        <f>IF(ISERROR(VLOOKUP(C2558,'[1]خريطة الحسابات'!_xlnm.Print_Area,5,FALSE))," ",(VLOOKUP(C2558,'[1]خريطة الحسابات'!_xlnm.Print_Area,5,FALSE)))</f>
        <v>الاصول</v>
      </c>
      <c r="O2558" s="84" t="s">
        <v>2475</v>
      </c>
      <c r="P2558" s="84" t="s">
        <v>2476</v>
      </c>
    </row>
    <row r="2559" spans="1:16">
      <c r="A2559" s="151">
        <v>78</v>
      </c>
      <c r="B2559" s="131">
        <v>46048</v>
      </c>
      <c r="C2559" s="150" t="s">
        <v>196</v>
      </c>
      <c r="D2559" s="140" t="str">
        <f>IF(ISERROR(VLOOKUP(C2559,'[1]خريطة الحسابات'!_xlnm.Print_Area,3,FALSE))," ",(VLOOKUP(C2559,'[1]خريطة الحسابات'!_xlnm.Print_Area,3,FALSE)))</f>
        <v>خامات ومصنعية أعمال اللاند سكيب</v>
      </c>
      <c r="E2559" s="142"/>
      <c r="F2559" s="133">
        <v>16717</v>
      </c>
      <c r="G2559" s="133"/>
      <c r="H2559" s="134">
        <f t="shared" si="118"/>
        <v>16717</v>
      </c>
      <c r="I2559" s="134">
        <f t="shared" si="118"/>
        <v>0</v>
      </c>
      <c r="J2559" s="134">
        <f t="shared" si="117"/>
        <v>16717</v>
      </c>
      <c r="K2559" s="135"/>
      <c r="L2559" s="136" t="str">
        <f t="shared" si="119"/>
        <v>مدين</v>
      </c>
      <c r="M2559" s="137" t="str">
        <f>IF(ISERROR(VLOOKUP(C2559,'[1]خريطة الحسابات'!_xlnm.Print_Area,4,FALSE))," ",(VLOOKUP(C2559,'[1]خريطة الحسابات'!_xlnm.Print_Area,4,FALSE)))</f>
        <v>تكاليف مشروع الباتيو 235</v>
      </c>
      <c r="N2559" s="138" t="str">
        <f>IF(ISERROR(VLOOKUP(C2559,'[1]خريطة الحسابات'!_xlnm.Print_Area,5,FALSE))," ",(VLOOKUP(C2559,'[1]خريطة الحسابات'!_xlnm.Print_Area,5,FALSE)))</f>
        <v xml:space="preserve">تكاليف العمليات </v>
      </c>
      <c r="O2559" s="84" t="s">
        <v>2477</v>
      </c>
      <c r="P2559" s="84" t="s">
        <v>1304</v>
      </c>
    </row>
    <row r="2560" spans="1:16">
      <c r="A2560" s="151">
        <v>78</v>
      </c>
      <c r="B2560" s="131">
        <v>46058</v>
      </c>
      <c r="C2560" s="150" t="s">
        <v>196</v>
      </c>
      <c r="D2560" s="140" t="str">
        <f>IF(ISERROR(VLOOKUP(C2560,'[1]خريطة الحسابات'!_xlnm.Print_Area,3,FALSE))," ",(VLOOKUP(C2560,'[1]خريطة الحسابات'!_xlnm.Print_Area,3,FALSE)))</f>
        <v>خامات ومصنعية أعمال اللاند سكيب</v>
      </c>
      <c r="E2560" s="142"/>
      <c r="F2560" s="133">
        <v>22620</v>
      </c>
      <c r="G2560" s="133"/>
      <c r="H2560" s="134">
        <f t="shared" si="118"/>
        <v>22620</v>
      </c>
      <c r="I2560" s="134">
        <f t="shared" si="118"/>
        <v>0</v>
      </c>
      <c r="J2560" s="134">
        <f t="shared" si="117"/>
        <v>22620</v>
      </c>
      <c r="K2560" s="135"/>
      <c r="L2560" s="136" t="str">
        <f t="shared" si="119"/>
        <v>مدين</v>
      </c>
      <c r="M2560" s="137" t="str">
        <f>IF(ISERROR(VLOOKUP(C2560,'[1]خريطة الحسابات'!_xlnm.Print_Area,4,FALSE))," ",(VLOOKUP(C2560,'[1]خريطة الحسابات'!_xlnm.Print_Area,4,FALSE)))</f>
        <v>تكاليف مشروع الباتيو 235</v>
      </c>
      <c r="N2560" s="138" t="str">
        <f>IF(ISERROR(VLOOKUP(C2560,'[1]خريطة الحسابات'!_xlnm.Print_Area,5,FALSE))," ",(VLOOKUP(C2560,'[1]خريطة الحسابات'!_xlnm.Print_Area,5,FALSE)))</f>
        <v xml:space="preserve">تكاليف العمليات </v>
      </c>
      <c r="O2560" s="84" t="s">
        <v>2478</v>
      </c>
      <c r="P2560" s="84" t="s">
        <v>1304</v>
      </c>
    </row>
    <row r="2561" spans="1:16">
      <c r="A2561" s="151">
        <v>78</v>
      </c>
      <c r="B2561" s="131">
        <v>46062</v>
      </c>
      <c r="C2561" s="150" t="s">
        <v>196</v>
      </c>
      <c r="D2561" s="140" t="str">
        <f>IF(ISERROR(VLOOKUP(C2561,'[1]خريطة الحسابات'!_xlnm.Print_Area,3,FALSE))," ",(VLOOKUP(C2561,'[1]خريطة الحسابات'!_xlnm.Print_Area,3,FALSE)))</f>
        <v>خامات ومصنعية أعمال اللاند سكيب</v>
      </c>
      <c r="E2561" s="142"/>
      <c r="F2561" s="133">
        <v>3000</v>
      </c>
      <c r="G2561" s="133"/>
      <c r="H2561" s="134">
        <f t="shared" si="118"/>
        <v>3000</v>
      </c>
      <c r="I2561" s="134">
        <f t="shared" si="118"/>
        <v>0</v>
      </c>
      <c r="J2561" s="134">
        <f t="shared" si="117"/>
        <v>3000</v>
      </c>
      <c r="K2561" s="135"/>
      <c r="L2561" s="136" t="str">
        <f t="shared" si="119"/>
        <v>مدين</v>
      </c>
      <c r="M2561" s="137" t="str">
        <f>IF(ISERROR(VLOOKUP(C2561,'[1]خريطة الحسابات'!_xlnm.Print_Area,4,FALSE))," ",(VLOOKUP(C2561,'[1]خريطة الحسابات'!_xlnm.Print_Area,4,FALSE)))</f>
        <v>تكاليف مشروع الباتيو 235</v>
      </c>
      <c r="N2561" s="138" t="str">
        <f>IF(ISERROR(VLOOKUP(C2561,'[1]خريطة الحسابات'!_xlnm.Print_Area,5,FALSE))," ",(VLOOKUP(C2561,'[1]خريطة الحسابات'!_xlnm.Print_Area,5,FALSE)))</f>
        <v xml:space="preserve">تكاليف العمليات </v>
      </c>
      <c r="O2561" s="84" t="s">
        <v>2479</v>
      </c>
      <c r="P2561" s="84" t="s">
        <v>1304</v>
      </c>
    </row>
    <row r="2562" spans="1:16">
      <c r="A2562" s="151">
        <v>78</v>
      </c>
      <c r="B2562" s="131">
        <v>46132</v>
      </c>
      <c r="C2562" s="150" t="s">
        <v>117</v>
      </c>
      <c r="D2562" s="140" t="str">
        <f>IF(ISERROR(VLOOKUP(C2562,'[1]خريطة الحسابات'!_xlnm.Print_Area,3,FALSE))," ",(VLOOKUP(C2562,'[1]خريطة الحسابات'!_xlnm.Print_Area,3,FALSE)))</f>
        <v>خامات ومصنعية أعمال اللاند سكيب</v>
      </c>
      <c r="E2562" s="142"/>
      <c r="F2562" s="133">
        <v>100</v>
      </c>
      <c r="G2562" s="133"/>
      <c r="H2562" s="134">
        <f t="shared" si="118"/>
        <v>100</v>
      </c>
      <c r="I2562" s="134">
        <f t="shared" si="118"/>
        <v>0</v>
      </c>
      <c r="J2562" s="134">
        <f t="shared" si="117"/>
        <v>100</v>
      </c>
      <c r="K2562" s="135"/>
      <c r="L2562" s="136" t="str">
        <f t="shared" si="119"/>
        <v>مدين</v>
      </c>
      <c r="M2562" s="137" t="str">
        <f>IF(ISERROR(VLOOKUP(C2562,'[1]خريطة الحسابات'!_xlnm.Print_Area,4,FALSE))," ",(VLOOKUP(C2562,'[1]خريطة الحسابات'!_xlnm.Print_Area,4,FALSE)))</f>
        <v>تكاليف مشروع سوديك  341</v>
      </c>
      <c r="N2562" s="138" t="str">
        <f>IF(ISERROR(VLOOKUP(C2562,'[1]خريطة الحسابات'!_xlnm.Print_Area,5,FALSE))," ",(VLOOKUP(C2562,'[1]خريطة الحسابات'!_xlnm.Print_Area,5,FALSE)))</f>
        <v xml:space="preserve">تكاليف العمليات </v>
      </c>
      <c r="O2562" s="84" t="s">
        <v>2480</v>
      </c>
      <c r="P2562" s="84" t="s">
        <v>1290</v>
      </c>
    </row>
    <row r="2563" spans="1:16">
      <c r="A2563" s="151">
        <v>78</v>
      </c>
      <c r="B2563" s="131">
        <v>46135</v>
      </c>
      <c r="C2563" s="150" t="s">
        <v>117</v>
      </c>
      <c r="D2563" s="140" t="str">
        <f>IF(ISERROR(VLOOKUP(C2563,'[1]خريطة الحسابات'!_xlnm.Print_Area,3,FALSE))," ",(VLOOKUP(C2563,'[1]خريطة الحسابات'!_xlnm.Print_Area,3,FALSE)))</f>
        <v>خامات ومصنعية أعمال اللاند سكيب</v>
      </c>
      <c r="E2563" s="142"/>
      <c r="F2563" s="133">
        <v>20020</v>
      </c>
      <c r="G2563" s="133"/>
      <c r="H2563" s="134">
        <f t="shared" si="118"/>
        <v>20020</v>
      </c>
      <c r="I2563" s="134">
        <f t="shared" si="118"/>
        <v>0</v>
      </c>
      <c r="J2563" s="134">
        <f t="shared" si="117"/>
        <v>20020</v>
      </c>
      <c r="K2563" s="135"/>
      <c r="L2563" s="136" t="str">
        <f t="shared" si="119"/>
        <v>مدين</v>
      </c>
      <c r="M2563" s="137" t="str">
        <f>IF(ISERROR(VLOOKUP(C2563,'[1]خريطة الحسابات'!_xlnm.Print_Area,4,FALSE))," ",(VLOOKUP(C2563,'[1]خريطة الحسابات'!_xlnm.Print_Area,4,FALSE)))</f>
        <v>تكاليف مشروع سوديك  341</v>
      </c>
      <c r="N2563" s="138" t="str">
        <f>IF(ISERROR(VLOOKUP(C2563,'[1]خريطة الحسابات'!_xlnm.Print_Area,5,FALSE))," ",(VLOOKUP(C2563,'[1]خريطة الحسابات'!_xlnm.Print_Area,5,FALSE)))</f>
        <v xml:space="preserve">تكاليف العمليات </v>
      </c>
      <c r="O2563" s="84" t="s">
        <v>2481</v>
      </c>
      <c r="P2563" s="84" t="s">
        <v>1290</v>
      </c>
    </row>
    <row r="2564" spans="1:16">
      <c r="A2564" s="151">
        <v>78</v>
      </c>
      <c r="B2564" s="131">
        <v>46138</v>
      </c>
      <c r="C2564" s="150" t="s">
        <v>117</v>
      </c>
      <c r="D2564" s="140" t="str">
        <f>IF(ISERROR(VLOOKUP(C2564,'[1]خريطة الحسابات'!_xlnm.Print_Area,3,FALSE))," ",(VLOOKUP(C2564,'[1]خريطة الحسابات'!_xlnm.Print_Area,3,FALSE)))</f>
        <v>خامات ومصنعية أعمال اللاند سكيب</v>
      </c>
      <c r="E2564" s="142"/>
      <c r="F2564" s="133">
        <v>30020</v>
      </c>
      <c r="G2564" s="133"/>
      <c r="H2564" s="134">
        <f t="shared" si="118"/>
        <v>30020</v>
      </c>
      <c r="I2564" s="134">
        <f t="shared" si="118"/>
        <v>0</v>
      </c>
      <c r="J2564" s="134">
        <f t="shared" si="117"/>
        <v>30020</v>
      </c>
      <c r="K2564" s="135"/>
      <c r="L2564" s="136" t="str">
        <f t="shared" si="119"/>
        <v>مدين</v>
      </c>
      <c r="M2564" s="137" t="str">
        <f>IF(ISERROR(VLOOKUP(C2564,'[1]خريطة الحسابات'!_xlnm.Print_Area,4,FALSE))," ",(VLOOKUP(C2564,'[1]خريطة الحسابات'!_xlnm.Print_Area,4,FALSE)))</f>
        <v>تكاليف مشروع سوديك  341</v>
      </c>
      <c r="N2564" s="138" t="str">
        <f>IF(ISERROR(VLOOKUP(C2564,'[1]خريطة الحسابات'!_xlnm.Print_Area,5,FALSE))," ",(VLOOKUP(C2564,'[1]خريطة الحسابات'!_xlnm.Print_Area,5,FALSE)))</f>
        <v xml:space="preserve">تكاليف العمليات </v>
      </c>
      <c r="O2564" s="84" t="s">
        <v>2482</v>
      </c>
      <c r="P2564" s="84" t="s">
        <v>1290</v>
      </c>
    </row>
    <row r="2565" spans="1:16">
      <c r="A2565" s="151">
        <v>78</v>
      </c>
      <c r="B2565" s="131">
        <v>46148</v>
      </c>
      <c r="C2565" s="150" t="s">
        <v>117</v>
      </c>
      <c r="D2565" s="140" t="str">
        <f>IF(ISERROR(VLOOKUP(C2565,'[1]خريطة الحسابات'!_xlnm.Print_Area,3,FALSE))," ",(VLOOKUP(C2565,'[1]خريطة الحسابات'!_xlnm.Print_Area,3,FALSE)))</f>
        <v>خامات ومصنعية أعمال اللاند سكيب</v>
      </c>
      <c r="E2565" s="142"/>
      <c r="F2565" s="133">
        <v>2752</v>
      </c>
      <c r="G2565" s="133"/>
      <c r="H2565" s="134">
        <f t="shared" si="118"/>
        <v>2752</v>
      </c>
      <c r="I2565" s="134">
        <f t="shared" si="118"/>
        <v>0</v>
      </c>
      <c r="J2565" s="134">
        <f t="shared" si="117"/>
        <v>2752</v>
      </c>
      <c r="K2565" s="135"/>
      <c r="L2565" s="136" t="str">
        <f t="shared" si="119"/>
        <v>مدين</v>
      </c>
      <c r="M2565" s="137" t="str">
        <f>IF(ISERROR(VLOOKUP(C2565,'[1]خريطة الحسابات'!_xlnm.Print_Area,4,FALSE))," ",(VLOOKUP(C2565,'[1]خريطة الحسابات'!_xlnm.Print_Area,4,FALSE)))</f>
        <v>تكاليف مشروع سوديك  341</v>
      </c>
      <c r="N2565" s="138" t="str">
        <f>IF(ISERROR(VLOOKUP(C2565,'[1]خريطة الحسابات'!_xlnm.Print_Area,5,FALSE))," ",(VLOOKUP(C2565,'[1]خريطة الحسابات'!_xlnm.Print_Area,5,FALSE)))</f>
        <v xml:space="preserve">تكاليف العمليات </v>
      </c>
      <c r="O2565" s="84" t="s">
        <v>2483</v>
      </c>
      <c r="P2565" s="84" t="s">
        <v>1290</v>
      </c>
    </row>
    <row r="2566" spans="1:16">
      <c r="A2566" s="151">
        <v>78</v>
      </c>
      <c r="B2566" s="131">
        <v>46162</v>
      </c>
      <c r="C2566" s="150" t="s">
        <v>117</v>
      </c>
      <c r="D2566" s="140" t="str">
        <f>IF(ISERROR(VLOOKUP(C2566,'[1]خريطة الحسابات'!_xlnm.Print_Area,3,FALSE))," ",(VLOOKUP(C2566,'[1]خريطة الحسابات'!_xlnm.Print_Area,3,FALSE)))</f>
        <v>خامات ومصنعية أعمال اللاند سكيب</v>
      </c>
      <c r="E2566" s="142"/>
      <c r="F2566" s="133">
        <v>400</v>
      </c>
      <c r="G2566" s="133"/>
      <c r="H2566" s="134">
        <f t="shared" si="118"/>
        <v>400</v>
      </c>
      <c r="I2566" s="134">
        <f t="shared" si="118"/>
        <v>0</v>
      </c>
      <c r="J2566" s="134">
        <f t="shared" si="117"/>
        <v>400</v>
      </c>
      <c r="K2566" s="135"/>
      <c r="L2566" s="136" t="str">
        <f t="shared" si="119"/>
        <v>مدين</v>
      </c>
      <c r="M2566" s="137" t="str">
        <f>IF(ISERROR(VLOOKUP(C2566,'[1]خريطة الحسابات'!_xlnm.Print_Area,4,FALSE))," ",(VLOOKUP(C2566,'[1]خريطة الحسابات'!_xlnm.Print_Area,4,FALSE)))</f>
        <v>تكاليف مشروع سوديك  341</v>
      </c>
      <c r="N2566" s="138" t="str">
        <f>IF(ISERROR(VLOOKUP(C2566,'[1]خريطة الحسابات'!_xlnm.Print_Area,5,FALSE))," ",(VLOOKUP(C2566,'[1]خريطة الحسابات'!_xlnm.Print_Area,5,FALSE)))</f>
        <v xml:space="preserve">تكاليف العمليات </v>
      </c>
      <c r="O2566" s="84" t="s">
        <v>2484</v>
      </c>
      <c r="P2566" s="84" t="s">
        <v>1290</v>
      </c>
    </row>
    <row r="2567" spans="1:16">
      <c r="A2567" s="151">
        <v>78</v>
      </c>
      <c r="B2567" s="131">
        <v>46182</v>
      </c>
      <c r="C2567" s="150" t="s">
        <v>117</v>
      </c>
      <c r="D2567" s="140" t="str">
        <f>IF(ISERROR(VLOOKUP(C2567,'[1]خريطة الحسابات'!_xlnm.Print_Area,3,FALSE))," ",(VLOOKUP(C2567,'[1]خريطة الحسابات'!_xlnm.Print_Area,3,FALSE)))</f>
        <v>خامات ومصنعية أعمال اللاند سكيب</v>
      </c>
      <c r="E2567" s="142"/>
      <c r="F2567" s="133">
        <v>505</v>
      </c>
      <c r="G2567" s="133"/>
      <c r="H2567" s="134">
        <f t="shared" si="118"/>
        <v>505</v>
      </c>
      <c r="I2567" s="134">
        <f t="shared" si="118"/>
        <v>0</v>
      </c>
      <c r="J2567" s="134">
        <f t="shared" si="117"/>
        <v>505</v>
      </c>
      <c r="K2567" s="135"/>
      <c r="L2567" s="136" t="str">
        <f t="shared" si="119"/>
        <v>مدين</v>
      </c>
      <c r="M2567" s="137" t="str">
        <f>IF(ISERROR(VLOOKUP(C2567,'[1]خريطة الحسابات'!_xlnm.Print_Area,4,FALSE))," ",(VLOOKUP(C2567,'[1]خريطة الحسابات'!_xlnm.Print_Area,4,FALSE)))</f>
        <v>تكاليف مشروع سوديك  341</v>
      </c>
      <c r="N2567" s="138" t="str">
        <f>IF(ISERROR(VLOOKUP(C2567,'[1]خريطة الحسابات'!_xlnm.Print_Area,5,FALSE))," ",(VLOOKUP(C2567,'[1]خريطة الحسابات'!_xlnm.Print_Area,5,FALSE)))</f>
        <v xml:space="preserve">تكاليف العمليات </v>
      </c>
      <c r="O2567" s="84" t="s">
        <v>2485</v>
      </c>
      <c r="P2567" s="84" t="s">
        <v>1290</v>
      </c>
    </row>
    <row r="2568" spans="1:16">
      <c r="A2568" s="151">
        <v>78</v>
      </c>
      <c r="B2568" s="131">
        <v>46186</v>
      </c>
      <c r="C2568" s="150" t="s">
        <v>117</v>
      </c>
      <c r="D2568" s="140" t="str">
        <f>IF(ISERROR(VLOOKUP(C2568,'[1]خريطة الحسابات'!_xlnm.Print_Area,3,FALSE))," ",(VLOOKUP(C2568,'[1]خريطة الحسابات'!_xlnm.Print_Area,3,FALSE)))</f>
        <v>خامات ومصنعية أعمال اللاند سكيب</v>
      </c>
      <c r="E2568" s="142"/>
      <c r="F2568" s="133">
        <v>5755</v>
      </c>
      <c r="G2568" s="133"/>
      <c r="H2568" s="134">
        <f t="shared" si="118"/>
        <v>5755</v>
      </c>
      <c r="I2568" s="134">
        <f t="shared" si="118"/>
        <v>0</v>
      </c>
      <c r="J2568" s="134">
        <f t="shared" si="117"/>
        <v>5755</v>
      </c>
      <c r="K2568" s="135"/>
      <c r="L2568" s="136" t="str">
        <f t="shared" si="119"/>
        <v>مدين</v>
      </c>
      <c r="M2568" s="137" t="str">
        <f>IF(ISERROR(VLOOKUP(C2568,'[1]خريطة الحسابات'!_xlnm.Print_Area,4,FALSE))," ",(VLOOKUP(C2568,'[1]خريطة الحسابات'!_xlnm.Print_Area,4,FALSE)))</f>
        <v>تكاليف مشروع سوديك  341</v>
      </c>
      <c r="N2568" s="138" t="str">
        <f>IF(ISERROR(VLOOKUP(C2568,'[1]خريطة الحسابات'!_xlnm.Print_Area,5,FALSE))," ",(VLOOKUP(C2568,'[1]خريطة الحسابات'!_xlnm.Print_Area,5,FALSE)))</f>
        <v xml:space="preserve">تكاليف العمليات </v>
      </c>
      <c r="O2568" s="84" t="s">
        <v>2486</v>
      </c>
      <c r="P2568" s="84" t="s">
        <v>1290</v>
      </c>
    </row>
    <row r="2569" spans="1:16">
      <c r="A2569" s="151">
        <v>78</v>
      </c>
      <c r="B2569" s="131">
        <v>46048</v>
      </c>
      <c r="C2569" s="150">
        <v>20</v>
      </c>
      <c r="D2569" s="140" t="str">
        <f>IF(ISERROR(VLOOKUP(C2569,'[1]خريطة الحسابات'!_xlnm.Print_Area,3,FALSE))," ",(VLOOKUP(C2569,'[1]خريطة الحسابات'!_xlnm.Print_Area,3,FALSE)))</f>
        <v xml:space="preserve">الخزينة </v>
      </c>
      <c r="E2569" s="142"/>
      <c r="F2569" s="133"/>
      <c r="G2569" s="133">
        <v>16717</v>
      </c>
      <c r="H2569" s="134">
        <f t="shared" si="118"/>
        <v>0</v>
      </c>
      <c r="I2569" s="134">
        <f t="shared" si="118"/>
        <v>16717</v>
      </c>
      <c r="J2569" s="134">
        <f t="shared" si="117"/>
        <v>-16717</v>
      </c>
      <c r="K2569" s="135"/>
      <c r="L2569" s="136" t="str">
        <f t="shared" si="119"/>
        <v>دائن</v>
      </c>
      <c r="M2569" s="137" t="str">
        <f>IF(ISERROR(VLOOKUP(C2569,'[1]خريطة الحسابات'!_xlnm.Print_Area,4,FALSE))," ",(VLOOKUP(C2569,'[1]خريطة الحسابات'!_xlnm.Print_Area,4,FALSE)))</f>
        <v xml:space="preserve">أصول متداوله -النقدية ومافي حكمها </v>
      </c>
      <c r="N2569" s="138" t="str">
        <f>IF(ISERROR(VLOOKUP(C2569,'[1]خريطة الحسابات'!_xlnm.Print_Area,5,FALSE))," ",(VLOOKUP(C2569,'[1]خريطة الحسابات'!_xlnm.Print_Area,5,FALSE)))</f>
        <v>الاصول</v>
      </c>
      <c r="O2569" s="84" t="s">
        <v>2477</v>
      </c>
      <c r="P2569" s="84" t="s">
        <v>1304</v>
      </c>
    </row>
    <row r="2570" spans="1:16">
      <c r="A2570" s="151">
        <v>78</v>
      </c>
      <c r="B2570" s="131">
        <v>46058</v>
      </c>
      <c r="C2570" s="150">
        <v>20</v>
      </c>
      <c r="D2570" s="140" t="str">
        <f>IF(ISERROR(VLOOKUP(C2570,'[1]خريطة الحسابات'!_xlnm.Print_Area,3,FALSE))," ",(VLOOKUP(C2570,'[1]خريطة الحسابات'!_xlnm.Print_Area,3,FALSE)))</f>
        <v xml:space="preserve">الخزينة </v>
      </c>
      <c r="E2570" s="142"/>
      <c r="F2570" s="133"/>
      <c r="G2570" s="133">
        <v>22620</v>
      </c>
      <c r="H2570" s="134">
        <f t="shared" si="118"/>
        <v>0</v>
      </c>
      <c r="I2570" s="134">
        <f t="shared" si="118"/>
        <v>22620</v>
      </c>
      <c r="J2570" s="134">
        <f t="shared" si="117"/>
        <v>-22620</v>
      </c>
      <c r="K2570" s="135"/>
      <c r="L2570" s="136" t="str">
        <f t="shared" si="119"/>
        <v>دائن</v>
      </c>
      <c r="M2570" s="137" t="str">
        <f>IF(ISERROR(VLOOKUP(C2570,'[1]خريطة الحسابات'!_xlnm.Print_Area,4,FALSE))," ",(VLOOKUP(C2570,'[1]خريطة الحسابات'!_xlnm.Print_Area,4,FALSE)))</f>
        <v xml:space="preserve">أصول متداوله -النقدية ومافي حكمها </v>
      </c>
      <c r="N2570" s="138" t="str">
        <f>IF(ISERROR(VLOOKUP(C2570,'[1]خريطة الحسابات'!_xlnm.Print_Area,5,FALSE))," ",(VLOOKUP(C2570,'[1]خريطة الحسابات'!_xlnm.Print_Area,5,FALSE)))</f>
        <v>الاصول</v>
      </c>
      <c r="O2570" s="84" t="s">
        <v>2478</v>
      </c>
      <c r="P2570" s="84" t="s">
        <v>1304</v>
      </c>
    </row>
    <row r="2571" spans="1:16">
      <c r="A2571" s="151">
        <v>78</v>
      </c>
      <c r="B2571" s="131">
        <v>46062</v>
      </c>
      <c r="C2571" s="150">
        <v>20</v>
      </c>
      <c r="D2571" s="140" t="str">
        <f>IF(ISERROR(VLOOKUP(C2571,'[1]خريطة الحسابات'!_xlnm.Print_Area,3,FALSE))," ",(VLOOKUP(C2571,'[1]خريطة الحسابات'!_xlnm.Print_Area,3,FALSE)))</f>
        <v xml:space="preserve">الخزينة </v>
      </c>
      <c r="E2571" s="142"/>
      <c r="F2571" s="133"/>
      <c r="G2571" s="133">
        <v>3000</v>
      </c>
      <c r="H2571" s="134">
        <f t="shared" si="118"/>
        <v>0</v>
      </c>
      <c r="I2571" s="134">
        <f t="shared" si="118"/>
        <v>3000</v>
      </c>
      <c r="J2571" s="134">
        <f t="shared" si="117"/>
        <v>-3000</v>
      </c>
      <c r="K2571" s="135"/>
      <c r="L2571" s="136" t="str">
        <f t="shared" si="119"/>
        <v>دائن</v>
      </c>
      <c r="M2571" s="137" t="str">
        <f>IF(ISERROR(VLOOKUP(C2571,'[1]خريطة الحسابات'!_xlnm.Print_Area,4,FALSE))," ",(VLOOKUP(C2571,'[1]خريطة الحسابات'!_xlnm.Print_Area,4,FALSE)))</f>
        <v xml:space="preserve">أصول متداوله -النقدية ومافي حكمها </v>
      </c>
      <c r="N2571" s="138" t="str">
        <f>IF(ISERROR(VLOOKUP(C2571,'[1]خريطة الحسابات'!_xlnm.Print_Area,5,FALSE))," ",(VLOOKUP(C2571,'[1]خريطة الحسابات'!_xlnm.Print_Area,5,FALSE)))</f>
        <v>الاصول</v>
      </c>
      <c r="O2571" s="84" t="s">
        <v>2479</v>
      </c>
      <c r="P2571" s="84" t="s">
        <v>1304</v>
      </c>
    </row>
    <row r="2572" spans="1:16">
      <c r="A2572" s="151">
        <v>78</v>
      </c>
      <c r="B2572" s="131">
        <v>46132</v>
      </c>
      <c r="C2572" s="150">
        <v>20</v>
      </c>
      <c r="D2572" s="140" t="str">
        <f>IF(ISERROR(VLOOKUP(C2572,'[1]خريطة الحسابات'!_xlnm.Print_Area,3,FALSE))," ",(VLOOKUP(C2572,'[1]خريطة الحسابات'!_xlnm.Print_Area,3,FALSE)))</f>
        <v xml:space="preserve">الخزينة </v>
      </c>
      <c r="E2572" s="142"/>
      <c r="F2572" s="133"/>
      <c r="G2572" s="133">
        <v>100</v>
      </c>
      <c r="H2572" s="134">
        <f t="shared" si="118"/>
        <v>0</v>
      </c>
      <c r="I2572" s="134">
        <f t="shared" si="118"/>
        <v>100</v>
      </c>
      <c r="J2572" s="134">
        <f t="shared" si="117"/>
        <v>-100</v>
      </c>
      <c r="K2572" s="135"/>
      <c r="L2572" s="136" t="str">
        <f t="shared" si="119"/>
        <v>دائن</v>
      </c>
      <c r="M2572" s="137" t="str">
        <f>IF(ISERROR(VLOOKUP(C2572,'[1]خريطة الحسابات'!_xlnm.Print_Area,4,FALSE))," ",(VLOOKUP(C2572,'[1]خريطة الحسابات'!_xlnm.Print_Area,4,FALSE)))</f>
        <v xml:space="preserve">أصول متداوله -النقدية ومافي حكمها </v>
      </c>
      <c r="N2572" s="138" t="str">
        <f>IF(ISERROR(VLOOKUP(C2572,'[1]خريطة الحسابات'!_xlnm.Print_Area,5,FALSE))," ",(VLOOKUP(C2572,'[1]خريطة الحسابات'!_xlnm.Print_Area,5,FALSE)))</f>
        <v>الاصول</v>
      </c>
      <c r="O2572" s="84" t="s">
        <v>2480</v>
      </c>
      <c r="P2572" s="84" t="s">
        <v>1290</v>
      </c>
    </row>
    <row r="2573" spans="1:16">
      <c r="A2573" s="151">
        <v>78</v>
      </c>
      <c r="B2573" s="131">
        <v>46135</v>
      </c>
      <c r="C2573" s="150">
        <v>20</v>
      </c>
      <c r="D2573" s="140" t="str">
        <f>IF(ISERROR(VLOOKUP(C2573,'[1]خريطة الحسابات'!_xlnm.Print_Area,3,FALSE))," ",(VLOOKUP(C2573,'[1]خريطة الحسابات'!_xlnm.Print_Area,3,FALSE)))</f>
        <v xml:space="preserve">الخزينة </v>
      </c>
      <c r="E2573" s="142"/>
      <c r="F2573" s="133"/>
      <c r="G2573" s="133">
        <v>20020</v>
      </c>
      <c r="H2573" s="134">
        <f t="shared" si="118"/>
        <v>0</v>
      </c>
      <c r="I2573" s="134">
        <f t="shared" si="118"/>
        <v>20020</v>
      </c>
      <c r="J2573" s="134">
        <f t="shared" si="117"/>
        <v>-20020</v>
      </c>
      <c r="K2573" s="135"/>
      <c r="L2573" s="136" t="str">
        <f t="shared" si="119"/>
        <v>دائن</v>
      </c>
      <c r="M2573" s="137" t="str">
        <f>IF(ISERROR(VLOOKUP(C2573,'[1]خريطة الحسابات'!_xlnm.Print_Area,4,FALSE))," ",(VLOOKUP(C2573,'[1]خريطة الحسابات'!_xlnm.Print_Area,4,FALSE)))</f>
        <v xml:space="preserve">أصول متداوله -النقدية ومافي حكمها </v>
      </c>
      <c r="N2573" s="138" t="str">
        <f>IF(ISERROR(VLOOKUP(C2573,'[1]خريطة الحسابات'!_xlnm.Print_Area,5,FALSE))," ",(VLOOKUP(C2573,'[1]خريطة الحسابات'!_xlnm.Print_Area,5,FALSE)))</f>
        <v>الاصول</v>
      </c>
      <c r="O2573" s="84" t="s">
        <v>2481</v>
      </c>
      <c r="P2573" s="84" t="s">
        <v>1290</v>
      </c>
    </row>
    <row r="2574" spans="1:16">
      <c r="A2574" s="151">
        <v>78</v>
      </c>
      <c r="B2574" s="131">
        <v>46138</v>
      </c>
      <c r="C2574" s="150">
        <v>20</v>
      </c>
      <c r="D2574" s="140" t="str">
        <f>IF(ISERROR(VLOOKUP(C2574,'[1]خريطة الحسابات'!_xlnm.Print_Area,3,FALSE))," ",(VLOOKUP(C2574,'[1]خريطة الحسابات'!_xlnm.Print_Area,3,FALSE)))</f>
        <v xml:space="preserve">الخزينة </v>
      </c>
      <c r="E2574" s="142"/>
      <c r="F2574" s="133"/>
      <c r="G2574" s="133">
        <v>30020</v>
      </c>
      <c r="H2574" s="134">
        <f t="shared" si="118"/>
        <v>0</v>
      </c>
      <c r="I2574" s="134">
        <f t="shared" si="118"/>
        <v>30020</v>
      </c>
      <c r="J2574" s="134">
        <f t="shared" si="117"/>
        <v>-30020</v>
      </c>
      <c r="K2574" s="135"/>
      <c r="L2574" s="136" t="str">
        <f t="shared" si="119"/>
        <v>دائن</v>
      </c>
      <c r="M2574" s="137" t="str">
        <f>IF(ISERROR(VLOOKUP(C2574,'[1]خريطة الحسابات'!_xlnm.Print_Area,4,FALSE))," ",(VLOOKUP(C2574,'[1]خريطة الحسابات'!_xlnm.Print_Area,4,FALSE)))</f>
        <v xml:space="preserve">أصول متداوله -النقدية ومافي حكمها </v>
      </c>
      <c r="N2574" s="138" t="str">
        <f>IF(ISERROR(VLOOKUP(C2574,'[1]خريطة الحسابات'!_xlnm.Print_Area,5,FALSE))," ",(VLOOKUP(C2574,'[1]خريطة الحسابات'!_xlnm.Print_Area,5,FALSE)))</f>
        <v>الاصول</v>
      </c>
      <c r="O2574" s="84" t="s">
        <v>2482</v>
      </c>
      <c r="P2574" s="84" t="s">
        <v>1290</v>
      </c>
    </row>
    <row r="2575" spans="1:16">
      <c r="A2575" s="151">
        <v>78</v>
      </c>
      <c r="B2575" s="131">
        <v>46148</v>
      </c>
      <c r="C2575" s="150">
        <v>20</v>
      </c>
      <c r="D2575" s="140" t="str">
        <f>IF(ISERROR(VLOOKUP(C2575,'[1]خريطة الحسابات'!_xlnm.Print_Area,3,FALSE))," ",(VLOOKUP(C2575,'[1]خريطة الحسابات'!_xlnm.Print_Area,3,FALSE)))</f>
        <v xml:space="preserve">الخزينة </v>
      </c>
      <c r="E2575" s="142"/>
      <c r="F2575" s="133"/>
      <c r="G2575" s="133">
        <v>2752</v>
      </c>
      <c r="H2575" s="134">
        <f t="shared" si="118"/>
        <v>0</v>
      </c>
      <c r="I2575" s="134">
        <f t="shared" si="118"/>
        <v>2752</v>
      </c>
      <c r="J2575" s="134">
        <f t="shared" si="117"/>
        <v>-2752</v>
      </c>
      <c r="K2575" s="135"/>
      <c r="L2575" s="136" t="str">
        <f t="shared" si="119"/>
        <v>دائن</v>
      </c>
      <c r="M2575" s="137" t="str">
        <f>IF(ISERROR(VLOOKUP(C2575,'[1]خريطة الحسابات'!_xlnm.Print_Area,4,FALSE))," ",(VLOOKUP(C2575,'[1]خريطة الحسابات'!_xlnm.Print_Area,4,FALSE)))</f>
        <v xml:space="preserve">أصول متداوله -النقدية ومافي حكمها </v>
      </c>
      <c r="N2575" s="138" t="str">
        <f>IF(ISERROR(VLOOKUP(C2575,'[1]خريطة الحسابات'!_xlnm.Print_Area,5,FALSE))," ",(VLOOKUP(C2575,'[1]خريطة الحسابات'!_xlnm.Print_Area,5,FALSE)))</f>
        <v>الاصول</v>
      </c>
      <c r="O2575" s="84" t="s">
        <v>2483</v>
      </c>
      <c r="P2575" s="84" t="s">
        <v>1290</v>
      </c>
    </row>
    <row r="2576" spans="1:16">
      <c r="A2576" s="151">
        <v>78</v>
      </c>
      <c r="B2576" s="131">
        <v>46162</v>
      </c>
      <c r="C2576" s="150">
        <v>20</v>
      </c>
      <c r="D2576" s="140" t="str">
        <f>IF(ISERROR(VLOOKUP(C2576,'[1]خريطة الحسابات'!_xlnm.Print_Area,3,FALSE))," ",(VLOOKUP(C2576,'[1]خريطة الحسابات'!_xlnm.Print_Area,3,FALSE)))</f>
        <v xml:space="preserve">الخزينة </v>
      </c>
      <c r="E2576" s="142"/>
      <c r="F2576" s="133"/>
      <c r="G2576" s="133">
        <v>400</v>
      </c>
      <c r="H2576" s="134">
        <f t="shared" si="118"/>
        <v>0</v>
      </c>
      <c r="I2576" s="134">
        <f t="shared" si="118"/>
        <v>400</v>
      </c>
      <c r="J2576" s="134">
        <f t="shared" si="117"/>
        <v>-400</v>
      </c>
      <c r="K2576" s="135"/>
      <c r="L2576" s="136" t="str">
        <f t="shared" si="119"/>
        <v>دائن</v>
      </c>
      <c r="M2576" s="137" t="str">
        <f>IF(ISERROR(VLOOKUP(C2576,'[1]خريطة الحسابات'!_xlnm.Print_Area,4,FALSE))," ",(VLOOKUP(C2576,'[1]خريطة الحسابات'!_xlnm.Print_Area,4,FALSE)))</f>
        <v xml:space="preserve">أصول متداوله -النقدية ومافي حكمها </v>
      </c>
      <c r="N2576" s="138" t="str">
        <f>IF(ISERROR(VLOOKUP(C2576,'[1]خريطة الحسابات'!_xlnm.Print_Area,5,FALSE))," ",(VLOOKUP(C2576,'[1]خريطة الحسابات'!_xlnm.Print_Area,5,FALSE)))</f>
        <v>الاصول</v>
      </c>
      <c r="O2576" s="84" t="s">
        <v>2484</v>
      </c>
      <c r="P2576" s="84" t="s">
        <v>1290</v>
      </c>
    </row>
    <row r="2577" spans="1:16">
      <c r="A2577" s="151">
        <v>78</v>
      </c>
      <c r="B2577" s="131">
        <v>46182</v>
      </c>
      <c r="C2577" s="150">
        <v>20</v>
      </c>
      <c r="D2577" s="140" t="str">
        <f>IF(ISERROR(VLOOKUP(C2577,'[1]خريطة الحسابات'!_xlnm.Print_Area,3,FALSE))," ",(VLOOKUP(C2577,'[1]خريطة الحسابات'!_xlnm.Print_Area,3,FALSE)))</f>
        <v xml:space="preserve">الخزينة </v>
      </c>
      <c r="E2577" s="142"/>
      <c r="F2577" s="133"/>
      <c r="G2577" s="133">
        <v>505</v>
      </c>
      <c r="H2577" s="134">
        <f t="shared" si="118"/>
        <v>0</v>
      </c>
      <c r="I2577" s="134">
        <f t="shared" si="118"/>
        <v>505</v>
      </c>
      <c r="J2577" s="134">
        <f t="shared" si="117"/>
        <v>-505</v>
      </c>
      <c r="K2577" s="135"/>
      <c r="L2577" s="136" t="str">
        <f t="shared" si="119"/>
        <v>دائن</v>
      </c>
      <c r="M2577" s="137" t="str">
        <f>IF(ISERROR(VLOOKUP(C2577,'[1]خريطة الحسابات'!_xlnm.Print_Area,4,FALSE))," ",(VLOOKUP(C2577,'[1]خريطة الحسابات'!_xlnm.Print_Area,4,FALSE)))</f>
        <v xml:space="preserve">أصول متداوله -النقدية ومافي حكمها </v>
      </c>
      <c r="N2577" s="138" t="str">
        <f>IF(ISERROR(VLOOKUP(C2577,'[1]خريطة الحسابات'!_xlnm.Print_Area,5,FALSE))," ",(VLOOKUP(C2577,'[1]خريطة الحسابات'!_xlnm.Print_Area,5,FALSE)))</f>
        <v>الاصول</v>
      </c>
      <c r="O2577" s="84" t="s">
        <v>2485</v>
      </c>
      <c r="P2577" s="84" t="s">
        <v>1290</v>
      </c>
    </row>
    <row r="2578" spans="1:16">
      <c r="A2578" s="151">
        <v>78</v>
      </c>
      <c r="B2578" s="131">
        <v>46186</v>
      </c>
      <c r="C2578" s="150">
        <v>20</v>
      </c>
      <c r="D2578" s="140" t="str">
        <f>IF(ISERROR(VLOOKUP(C2578,'[1]خريطة الحسابات'!_xlnm.Print_Area,3,FALSE))," ",(VLOOKUP(C2578,'[1]خريطة الحسابات'!_xlnm.Print_Area,3,FALSE)))</f>
        <v xml:space="preserve">الخزينة </v>
      </c>
      <c r="E2578" s="142"/>
      <c r="F2578" s="133"/>
      <c r="G2578" s="133">
        <v>5755</v>
      </c>
      <c r="H2578" s="134">
        <f t="shared" si="118"/>
        <v>0</v>
      </c>
      <c r="I2578" s="134">
        <f t="shared" si="118"/>
        <v>5755</v>
      </c>
      <c r="J2578" s="134">
        <f t="shared" si="117"/>
        <v>-5755</v>
      </c>
      <c r="K2578" s="135"/>
      <c r="L2578" s="136" t="str">
        <f t="shared" si="119"/>
        <v>دائن</v>
      </c>
      <c r="M2578" s="137" t="str">
        <f>IF(ISERROR(VLOOKUP(C2578,'[1]خريطة الحسابات'!_xlnm.Print_Area,4,FALSE))," ",(VLOOKUP(C2578,'[1]خريطة الحسابات'!_xlnm.Print_Area,4,FALSE)))</f>
        <v xml:space="preserve">أصول متداوله -النقدية ومافي حكمها </v>
      </c>
      <c r="N2578" s="138" t="str">
        <f>IF(ISERROR(VLOOKUP(C2578,'[1]خريطة الحسابات'!_xlnm.Print_Area,5,FALSE))," ",(VLOOKUP(C2578,'[1]خريطة الحسابات'!_xlnm.Print_Area,5,FALSE)))</f>
        <v>الاصول</v>
      </c>
      <c r="O2578" s="84" t="s">
        <v>2486</v>
      </c>
      <c r="P2578" s="84" t="s">
        <v>1290</v>
      </c>
    </row>
    <row r="2579" spans="1:16">
      <c r="A2579" s="151">
        <v>79</v>
      </c>
      <c r="B2579" s="131">
        <v>46057</v>
      </c>
      <c r="C2579" s="150">
        <v>4185</v>
      </c>
      <c r="D2579" s="140" t="str">
        <f>IF(ISERROR(VLOOKUP(C2579,'[1]خريطة الحسابات'!_xlnm.Print_Area,3,FALSE))," ",(VLOOKUP(C2579,'[1]خريطة الحسابات'!_xlnm.Print_Area,3,FALSE)))</f>
        <v>المهندس باسل ثري دي</v>
      </c>
      <c r="E2579" s="142"/>
      <c r="F2579" s="133">
        <v>18000</v>
      </c>
      <c r="G2579" s="133"/>
      <c r="H2579" s="134">
        <f t="shared" si="118"/>
        <v>18000</v>
      </c>
      <c r="I2579" s="134">
        <f t="shared" si="118"/>
        <v>0</v>
      </c>
      <c r="J2579" s="134">
        <f t="shared" si="117"/>
        <v>18000</v>
      </c>
      <c r="K2579" s="135"/>
      <c r="L2579" s="136" t="str">
        <f t="shared" si="119"/>
        <v>مدين</v>
      </c>
      <c r="M2579" s="137" t="str">
        <f>IF(ISERROR(VLOOKUP(C2579,'[1]خريطة الحسابات'!_xlnm.Print_Area,4,FALSE))," ",(VLOOKUP(C2579,'[1]خريطة الحسابات'!_xlnm.Print_Area,4,FALSE)))</f>
        <v>م.مستحقه</v>
      </c>
      <c r="N2579" s="138" t="str">
        <f>IF(ISERROR(VLOOKUP(C2579,'[1]خريطة الحسابات'!_xlnm.Print_Area,5,FALSE))," ",(VLOOKUP(C2579,'[1]خريطة الحسابات'!_xlnm.Print_Area,5,FALSE)))</f>
        <v xml:space="preserve">الدائنون والأرصدة الدائنة الأخرى </v>
      </c>
      <c r="O2579" s="84" t="s">
        <v>2487</v>
      </c>
      <c r="P2579" s="84" t="s">
        <v>1342</v>
      </c>
    </row>
    <row r="2580" spans="1:16">
      <c r="A2580" s="151">
        <v>79</v>
      </c>
      <c r="B2580" s="131">
        <v>46109</v>
      </c>
      <c r="C2580" s="150">
        <v>4185</v>
      </c>
      <c r="D2580" s="140" t="str">
        <f>IF(ISERROR(VLOOKUP(C2580,'[1]خريطة الحسابات'!_xlnm.Print_Area,3,FALSE))," ",(VLOOKUP(C2580,'[1]خريطة الحسابات'!_xlnm.Print_Area,3,FALSE)))</f>
        <v>المهندس باسل ثري دي</v>
      </c>
      <c r="E2580" s="142"/>
      <c r="F2580" s="133">
        <v>7000</v>
      </c>
      <c r="G2580" s="133"/>
      <c r="H2580" s="134">
        <f t="shared" si="118"/>
        <v>7000</v>
      </c>
      <c r="I2580" s="134">
        <f t="shared" si="118"/>
        <v>0</v>
      </c>
      <c r="J2580" s="134">
        <f t="shared" si="117"/>
        <v>7000</v>
      </c>
      <c r="K2580" s="135"/>
      <c r="L2580" s="136" t="str">
        <f t="shared" si="119"/>
        <v>مدين</v>
      </c>
      <c r="M2580" s="137" t="str">
        <f>IF(ISERROR(VLOOKUP(C2580,'[1]خريطة الحسابات'!_xlnm.Print_Area,4,FALSE))," ",(VLOOKUP(C2580,'[1]خريطة الحسابات'!_xlnm.Print_Area,4,FALSE)))</f>
        <v>م.مستحقه</v>
      </c>
      <c r="N2580" s="138" t="str">
        <f>IF(ISERROR(VLOOKUP(C2580,'[1]خريطة الحسابات'!_xlnm.Print_Area,5,FALSE))," ",(VLOOKUP(C2580,'[1]خريطة الحسابات'!_xlnm.Print_Area,5,FALSE)))</f>
        <v xml:space="preserve">الدائنون والأرصدة الدائنة الأخرى </v>
      </c>
      <c r="O2580" s="84" t="s">
        <v>2488</v>
      </c>
      <c r="P2580" s="84" t="s">
        <v>2489</v>
      </c>
    </row>
    <row r="2581" spans="1:16">
      <c r="A2581" s="151">
        <v>79</v>
      </c>
      <c r="B2581" s="131">
        <v>46127</v>
      </c>
      <c r="C2581" s="150">
        <v>4185</v>
      </c>
      <c r="D2581" s="140" t="str">
        <f>IF(ISERROR(VLOOKUP(C2581,'[1]خريطة الحسابات'!_xlnm.Print_Area,3,FALSE))," ",(VLOOKUP(C2581,'[1]خريطة الحسابات'!_xlnm.Print_Area,3,FALSE)))</f>
        <v>المهندس باسل ثري دي</v>
      </c>
      <c r="E2581" s="142"/>
      <c r="F2581" s="133">
        <v>10000</v>
      </c>
      <c r="G2581" s="133"/>
      <c r="H2581" s="134">
        <f t="shared" si="118"/>
        <v>10000</v>
      </c>
      <c r="I2581" s="134">
        <f t="shared" si="118"/>
        <v>0</v>
      </c>
      <c r="J2581" s="134">
        <f t="shared" si="117"/>
        <v>10000</v>
      </c>
      <c r="K2581" s="135"/>
      <c r="L2581" s="136" t="str">
        <f t="shared" si="119"/>
        <v>مدين</v>
      </c>
      <c r="M2581" s="137" t="str">
        <f>IF(ISERROR(VLOOKUP(C2581,'[1]خريطة الحسابات'!_xlnm.Print_Area,4,FALSE))," ",(VLOOKUP(C2581,'[1]خريطة الحسابات'!_xlnm.Print_Area,4,FALSE)))</f>
        <v>م.مستحقه</v>
      </c>
      <c r="N2581" s="138" t="str">
        <f>IF(ISERROR(VLOOKUP(C2581,'[1]خريطة الحسابات'!_xlnm.Print_Area,5,FALSE))," ",(VLOOKUP(C2581,'[1]خريطة الحسابات'!_xlnm.Print_Area,5,FALSE)))</f>
        <v xml:space="preserve">الدائنون والأرصدة الدائنة الأخرى </v>
      </c>
      <c r="O2581" s="84" t="s">
        <v>2490</v>
      </c>
      <c r="P2581" s="84" t="s">
        <v>2491</v>
      </c>
    </row>
    <row r="2582" spans="1:16">
      <c r="A2582" s="151">
        <v>79</v>
      </c>
      <c r="B2582" s="131">
        <v>46138</v>
      </c>
      <c r="C2582" s="150">
        <v>4185</v>
      </c>
      <c r="D2582" s="140" t="str">
        <f>IF(ISERROR(VLOOKUP(C2582,'[1]خريطة الحسابات'!_xlnm.Print_Area,3,FALSE))," ",(VLOOKUP(C2582,'[1]خريطة الحسابات'!_xlnm.Print_Area,3,FALSE)))</f>
        <v>المهندس باسل ثري دي</v>
      </c>
      <c r="E2582" s="142"/>
      <c r="F2582" s="133">
        <v>5000</v>
      </c>
      <c r="G2582" s="133"/>
      <c r="H2582" s="134">
        <f t="shared" si="118"/>
        <v>5000</v>
      </c>
      <c r="I2582" s="134">
        <f t="shared" si="118"/>
        <v>0</v>
      </c>
      <c r="J2582" s="134">
        <f t="shared" si="117"/>
        <v>5000</v>
      </c>
      <c r="K2582" s="135"/>
      <c r="L2582" s="136" t="str">
        <f t="shared" si="119"/>
        <v>مدين</v>
      </c>
      <c r="M2582" s="137" t="str">
        <f>IF(ISERROR(VLOOKUP(C2582,'[1]خريطة الحسابات'!_xlnm.Print_Area,4,FALSE))," ",(VLOOKUP(C2582,'[1]خريطة الحسابات'!_xlnm.Print_Area,4,FALSE)))</f>
        <v>م.مستحقه</v>
      </c>
      <c r="N2582" s="138" t="str">
        <f>IF(ISERROR(VLOOKUP(C2582,'[1]خريطة الحسابات'!_xlnm.Print_Area,5,FALSE))," ",(VLOOKUP(C2582,'[1]خريطة الحسابات'!_xlnm.Print_Area,5,FALSE)))</f>
        <v xml:space="preserve">الدائنون والأرصدة الدائنة الأخرى </v>
      </c>
      <c r="O2582" s="84" t="s">
        <v>2490</v>
      </c>
      <c r="P2582" s="84" t="s">
        <v>2491</v>
      </c>
    </row>
    <row r="2583" spans="1:16">
      <c r="A2583" s="151">
        <v>79</v>
      </c>
      <c r="B2583" s="131">
        <v>46138</v>
      </c>
      <c r="C2583" s="150">
        <v>4185</v>
      </c>
      <c r="D2583" s="140" t="str">
        <f>IF(ISERROR(VLOOKUP(C2583,'[1]خريطة الحسابات'!_xlnm.Print_Area,3,FALSE))," ",(VLOOKUP(C2583,'[1]خريطة الحسابات'!_xlnm.Print_Area,3,FALSE)))</f>
        <v>المهندس باسل ثري دي</v>
      </c>
      <c r="E2583" s="142"/>
      <c r="F2583" s="133">
        <v>5000</v>
      </c>
      <c r="G2583" s="133"/>
      <c r="H2583" s="134">
        <f t="shared" si="118"/>
        <v>5000</v>
      </c>
      <c r="I2583" s="134">
        <f t="shared" si="118"/>
        <v>0</v>
      </c>
      <c r="J2583" s="134">
        <f t="shared" si="117"/>
        <v>5000</v>
      </c>
      <c r="K2583" s="135"/>
      <c r="L2583" s="136" t="str">
        <f t="shared" si="119"/>
        <v>مدين</v>
      </c>
      <c r="M2583" s="137" t="str">
        <f>IF(ISERROR(VLOOKUP(C2583,'[1]خريطة الحسابات'!_xlnm.Print_Area,4,FALSE))," ",(VLOOKUP(C2583,'[1]خريطة الحسابات'!_xlnm.Print_Area,4,FALSE)))</f>
        <v>م.مستحقه</v>
      </c>
      <c r="N2583" s="138" t="str">
        <f>IF(ISERROR(VLOOKUP(C2583,'[1]خريطة الحسابات'!_xlnm.Print_Area,5,FALSE))," ",(VLOOKUP(C2583,'[1]خريطة الحسابات'!_xlnm.Print_Area,5,FALSE)))</f>
        <v xml:space="preserve">الدائنون والأرصدة الدائنة الأخرى </v>
      </c>
      <c r="O2583" s="84" t="s">
        <v>2488</v>
      </c>
      <c r="P2583" s="84" t="s">
        <v>2489</v>
      </c>
    </row>
    <row r="2584" spans="1:16">
      <c r="A2584" s="151">
        <v>79</v>
      </c>
      <c r="B2584" s="131">
        <v>46139</v>
      </c>
      <c r="C2584" s="150">
        <v>4185</v>
      </c>
      <c r="D2584" s="140" t="str">
        <f>IF(ISERROR(VLOOKUP(C2584,'[1]خريطة الحسابات'!_xlnm.Print_Area,3,FALSE))," ",(VLOOKUP(C2584,'[1]خريطة الحسابات'!_xlnm.Print_Area,3,FALSE)))</f>
        <v>المهندس باسل ثري دي</v>
      </c>
      <c r="E2584" s="142"/>
      <c r="F2584" s="133">
        <v>25000</v>
      </c>
      <c r="G2584" s="133"/>
      <c r="H2584" s="134">
        <f t="shared" si="118"/>
        <v>25000</v>
      </c>
      <c r="I2584" s="134">
        <f t="shared" si="118"/>
        <v>0</v>
      </c>
      <c r="J2584" s="134">
        <f t="shared" ref="J2584:J2647" si="120">H2584-I2584</f>
        <v>25000</v>
      </c>
      <c r="K2584" s="135"/>
      <c r="L2584" s="136" t="str">
        <f t="shared" si="119"/>
        <v>مدين</v>
      </c>
      <c r="M2584" s="137" t="str">
        <f>IF(ISERROR(VLOOKUP(C2584,'[1]خريطة الحسابات'!_xlnm.Print_Area,4,FALSE))," ",(VLOOKUP(C2584,'[1]خريطة الحسابات'!_xlnm.Print_Area,4,FALSE)))</f>
        <v>م.مستحقه</v>
      </c>
      <c r="N2584" s="138" t="str">
        <f>IF(ISERROR(VLOOKUP(C2584,'[1]خريطة الحسابات'!_xlnm.Print_Area,5,FALSE))," ",(VLOOKUP(C2584,'[1]خريطة الحسابات'!_xlnm.Print_Area,5,FALSE)))</f>
        <v xml:space="preserve">الدائنون والأرصدة الدائنة الأخرى </v>
      </c>
      <c r="O2584" s="84" t="s">
        <v>2492</v>
      </c>
      <c r="P2584" s="84" t="s">
        <v>2493</v>
      </c>
    </row>
    <row r="2585" spans="1:16">
      <c r="A2585" s="151">
        <v>79</v>
      </c>
      <c r="B2585" s="131">
        <v>46057</v>
      </c>
      <c r="C2585" s="150">
        <v>20</v>
      </c>
      <c r="D2585" s="140" t="str">
        <f>IF(ISERROR(VLOOKUP(C2585,'[1]خريطة الحسابات'!_xlnm.Print_Area,3,FALSE))," ",(VLOOKUP(C2585,'[1]خريطة الحسابات'!_xlnm.Print_Area,3,FALSE)))</f>
        <v xml:space="preserve">الخزينة </v>
      </c>
      <c r="E2585" s="142"/>
      <c r="F2585" s="133"/>
      <c r="G2585" s="133">
        <v>18000</v>
      </c>
      <c r="H2585" s="134">
        <f t="shared" ref="H2585:I2648" si="121">IF($E2585=2,F2585*3.465,F2585)</f>
        <v>0</v>
      </c>
      <c r="I2585" s="134">
        <f t="shared" si="121"/>
        <v>18000</v>
      </c>
      <c r="J2585" s="134">
        <f t="shared" si="120"/>
        <v>-18000</v>
      </c>
      <c r="K2585" s="135"/>
      <c r="L2585" s="136" t="str">
        <f t="shared" si="119"/>
        <v>دائن</v>
      </c>
      <c r="M2585" s="137" t="str">
        <f>IF(ISERROR(VLOOKUP(C2585,'[1]خريطة الحسابات'!_xlnm.Print_Area,4,FALSE))," ",(VLOOKUP(C2585,'[1]خريطة الحسابات'!_xlnm.Print_Area,4,FALSE)))</f>
        <v xml:space="preserve">أصول متداوله -النقدية ومافي حكمها </v>
      </c>
      <c r="N2585" s="138" t="str">
        <f>IF(ISERROR(VLOOKUP(C2585,'[1]خريطة الحسابات'!_xlnm.Print_Area,5,FALSE))," ",(VLOOKUP(C2585,'[1]خريطة الحسابات'!_xlnm.Print_Area,5,FALSE)))</f>
        <v>الاصول</v>
      </c>
      <c r="O2585" s="84" t="s">
        <v>2487</v>
      </c>
      <c r="P2585" s="84" t="s">
        <v>1342</v>
      </c>
    </row>
    <row r="2586" spans="1:16">
      <c r="A2586" s="151">
        <v>79</v>
      </c>
      <c r="B2586" s="131">
        <v>46109</v>
      </c>
      <c r="C2586" s="150">
        <v>20</v>
      </c>
      <c r="D2586" s="140" t="str">
        <f>IF(ISERROR(VLOOKUP(C2586,'[1]خريطة الحسابات'!_xlnm.Print_Area,3,FALSE))," ",(VLOOKUP(C2586,'[1]خريطة الحسابات'!_xlnm.Print_Area,3,FALSE)))</f>
        <v xml:space="preserve">الخزينة </v>
      </c>
      <c r="E2586" s="142"/>
      <c r="F2586" s="133"/>
      <c r="G2586" s="133">
        <v>7000</v>
      </c>
      <c r="H2586" s="134">
        <f t="shared" si="121"/>
        <v>0</v>
      </c>
      <c r="I2586" s="134">
        <f t="shared" si="121"/>
        <v>7000</v>
      </c>
      <c r="J2586" s="134">
        <f t="shared" si="120"/>
        <v>-7000</v>
      </c>
      <c r="K2586" s="135"/>
      <c r="L2586" s="136" t="str">
        <f t="shared" si="119"/>
        <v>دائن</v>
      </c>
      <c r="M2586" s="137" t="str">
        <f>IF(ISERROR(VLOOKUP(C2586,'[1]خريطة الحسابات'!_xlnm.Print_Area,4,FALSE))," ",(VLOOKUP(C2586,'[1]خريطة الحسابات'!_xlnm.Print_Area,4,FALSE)))</f>
        <v xml:space="preserve">أصول متداوله -النقدية ومافي حكمها </v>
      </c>
      <c r="N2586" s="138" t="str">
        <f>IF(ISERROR(VLOOKUP(C2586,'[1]خريطة الحسابات'!_xlnm.Print_Area,5,FALSE))," ",(VLOOKUP(C2586,'[1]خريطة الحسابات'!_xlnm.Print_Area,5,FALSE)))</f>
        <v>الاصول</v>
      </c>
      <c r="O2586" s="84" t="s">
        <v>2488</v>
      </c>
      <c r="P2586" s="84" t="s">
        <v>2489</v>
      </c>
    </row>
    <row r="2587" spans="1:16">
      <c r="A2587" s="151">
        <v>79</v>
      </c>
      <c r="B2587" s="131">
        <v>46127</v>
      </c>
      <c r="C2587" s="150">
        <v>20</v>
      </c>
      <c r="D2587" s="140" t="str">
        <f>IF(ISERROR(VLOOKUP(C2587,'[1]خريطة الحسابات'!_xlnm.Print_Area,3,FALSE))," ",(VLOOKUP(C2587,'[1]خريطة الحسابات'!_xlnm.Print_Area,3,FALSE)))</f>
        <v xml:space="preserve">الخزينة </v>
      </c>
      <c r="E2587" s="142"/>
      <c r="F2587" s="133"/>
      <c r="G2587" s="133">
        <v>10000</v>
      </c>
      <c r="H2587" s="134">
        <f t="shared" si="121"/>
        <v>0</v>
      </c>
      <c r="I2587" s="134">
        <f t="shared" si="121"/>
        <v>10000</v>
      </c>
      <c r="J2587" s="134">
        <f t="shared" si="120"/>
        <v>-10000</v>
      </c>
      <c r="K2587" s="135"/>
      <c r="L2587" s="136" t="str">
        <f t="shared" ref="L2587:L2650" si="122">IF(J2587&lt;0,"دائن",IF(J2587&gt;0,"مدين",""))</f>
        <v>دائن</v>
      </c>
      <c r="M2587" s="137" t="str">
        <f>IF(ISERROR(VLOOKUP(C2587,'[1]خريطة الحسابات'!_xlnm.Print_Area,4,FALSE))," ",(VLOOKUP(C2587,'[1]خريطة الحسابات'!_xlnm.Print_Area,4,FALSE)))</f>
        <v xml:space="preserve">أصول متداوله -النقدية ومافي حكمها </v>
      </c>
      <c r="N2587" s="138" t="str">
        <f>IF(ISERROR(VLOOKUP(C2587,'[1]خريطة الحسابات'!_xlnm.Print_Area,5,FALSE))," ",(VLOOKUP(C2587,'[1]خريطة الحسابات'!_xlnm.Print_Area,5,FALSE)))</f>
        <v>الاصول</v>
      </c>
      <c r="O2587" s="84" t="s">
        <v>2490</v>
      </c>
      <c r="P2587" s="84" t="s">
        <v>2491</v>
      </c>
    </row>
    <row r="2588" spans="1:16">
      <c r="A2588" s="151">
        <v>79</v>
      </c>
      <c r="B2588" s="131">
        <v>46138</v>
      </c>
      <c r="C2588" s="150">
        <v>20</v>
      </c>
      <c r="D2588" s="140" t="str">
        <f>IF(ISERROR(VLOOKUP(C2588,'[1]خريطة الحسابات'!_xlnm.Print_Area,3,FALSE))," ",(VLOOKUP(C2588,'[1]خريطة الحسابات'!_xlnm.Print_Area,3,FALSE)))</f>
        <v xml:space="preserve">الخزينة </v>
      </c>
      <c r="E2588" s="142"/>
      <c r="F2588" s="133"/>
      <c r="G2588" s="133">
        <v>5000</v>
      </c>
      <c r="H2588" s="134">
        <f t="shared" si="121"/>
        <v>0</v>
      </c>
      <c r="I2588" s="134">
        <f t="shared" si="121"/>
        <v>5000</v>
      </c>
      <c r="J2588" s="134">
        <f t="shared" si="120"/>
        <v>-5000</v>
      </c>
      <c r="K2588" s="135"/>
      <c r="L2588" s="136" t="str">
        <f t="shared" si="122"/>
        <v>دائن</v>
      </c>
      <c r="M2588" s="137" t="str">
        <f>IF(ISERROR(VLOOKUP(C2588,'[1]خريطة الحسابات'!_xlnm.Print_Area,4,FALSE))," ",(VLOOKUP(C2588,'[1]خريطة الحسابات'!_xlnm.Print_Area,4,FALSE)))</f>
        <v xml:space="preserve">أصول متداوله -النقدية ومافي حكمها </v>
      </c>
      <c r="N2588" s="138" t="str">
        <f>IF(ISERROR(VLOOKUP(C2588,'[1]خريطة الحسابات'!_xlnm.Print_Area,5,FALSE))," ",(VLOOKUP(C2588,'[1]خريطة الحسابات'!_xlnm.Print_Area,5,FALSE)))</f>
        <v>الاصول</v>
      </c>
      <c r="O2588" s="84" t="s">
        <v>2490</v>
      </c>
      <c r="P2588" s="84" t="s">
        <v>2491</v>
      </c>
    </row>
    <row r="2589" spans="1:16">
      <c r="A2589" s="151">
        <v>79</v>
      </c>
      <c r="B2589" s="131">
        <v>46138</v>
      </c>
      <c r="C2589" s="150">
        <v>20</v>
      </c>
      <c r="D2589" s="140" t="str">
        <f>IF(ISERROR(VLOOKUP(C2589,'[1]خريطة الحسابات'!_xlnm.Print_Area,3,FALSE))," ",(VLOOKUP(C2589,'[1]خريطة الحسابات'!_xlnm.Print_Area,3,FALSE)))</f>
        <v xml:space="preserve">الخزينة </v>
      </c>
      <c r="E2589" s="142"/>
      <c r="F2589" s="133"/>
      <c r="G2589" s="133">
        <v>5000</v>
      </c>
      <c r="H2589" s="134">
        <f t="shared" si="121"/>
        <v>0</v>
      </c>
      <c r="I2589" s="134">
        <f t="shared" si="121"/>
        <v>5000</v>
      </c>
      <c r="J2589" s="134">
        <f t="shared" si="120"/>
        <v>-5000</v>
      </c>
      <c r="K2589" s="135"/>
      <c r="L2589" s="136" t="str">
        <f t="shared" si="122"/>
        <v>دائن</v>
      </c>
      <c r="M2589" s="137" t="str">
        <f>IF(ISERROR(VLOOKUP(C2589,'[1]خريطة الحسابات'!_xlnm.Print_Area,4,FALSE))," ",(VLOOKUP(C2589,'[1]خريطة الحسابات'!_xlnm.Print_Area,4,FALSE)))</f>
        <v xml:space="preserve">أصول متداوله -النقدية ومافي حكمها </v>
      </c>
      <c r="N2589" s="138" t="str">
        <f>IF(ISERROR(VLOOKUP(C2589,'[1]خريطة الحسابات'!_xlnm.Print_Area,5,FALSE))," ",(VLOOKUP(C2589,'[1]خريطة الحسابات'!_xlnm.Print_Area,5,FALSE)))</f>
        <v>الاصول</v>
      </c>
      <c r="O2589" s="84" t="s">
        <v>2488</v>
      </c>
      <c r="P2589" s="84" t="s">
        <v>2489</v>
      </c>
    </row>
    <row r="2590" spans="1:16">
      <c r="A2590" s="151">
        <v>79</v>
      </c>
      <c r="B2590" s="131">
        <v>46139</v>
      </c>
      <c r="C2590" s="150">
        <v>20</v>
      </c>
      <c r="D2590" s="140" t="str">
        <f>IF(ISERROR(VLOOKUP(C2590,'[1]خريطة الحسابات'!_xlnm.Print_Area,3,FALSE))," ",(VLOOKUP(C2590,'[1]خريطة الحسابات'!_xlnm.Print_Area,3,FALSE)))</f>
        <v xml:space="preserve">الخزينة </v>
      </c>
      <c r="E2590" s="142"/>
      <c r="F2590" s="133"/>
      <c r="G2590" s="133">
        <v>25000</v>
      </c>
      <c r="H2590" s="134">
        <f t="shared" si="121"/>
        <v>0</v>
      </c>
      <c r="I2590" s="134">
        <f t="shared" si="121"/>
        <v>25000</v>
      </c>
      <c r="J2590" s="134">
        <f t="shared" si="120"/>
        <v>-25000</v>
      </c>
      <c r="K2590" s="135"/>
      <c r="L2590" s="136" t="str">
        <f t="shared" si="122"/>
        <v>دائن</v>
      </c>
      <c r="M2590" s="137" t="str">
        <f>IF(ISERROR(VLOOKUP(C2590,'[1]خريطة الحسابات'!_xlnm.Print_Area,4,FALSE))," ",(VLOOKUP(C2590,'[1]خريطة الحسابات'!_xlnm.Print_Area,4,FALSE)))</f>
        <v xml:space="preserve">أصول متداوله -النقدية ومافي حكمها </v>
      </c>
      <c r="N2590" s="138" t="str">
        <f>IF(ISERROR(VLOOKUP(C2590,'[1]خريطة الحسابات'!_xlnm.Print_Area,5,FALSE))," ",(VLOOKUP(C2590,'[1]خريطة الحسابات'!_xlnm.Print_Area,5,FALSE)))</f>
        <v>الاصول</v>
      </c>
      <c r="O2590" s="84" t="s">
        <v>2492</v>
      </c>
      <c r="P2590" s="84" t="s">
        <v>2493</v>
      </c>
    </row>
    <row r="2591" spans="1:16">
      <c r="A2591" s="151">
        <v>80</v>
      </c>
      <c r="B2591" s="131">
        <v>46182</v>
      </c>
      <c r="C2591" s="150" t="s">
        <v>127</v>
      </c>
      <c r="D2591" s="140" t="str">
        <f>IF(ISERROR(VLOOKUP(C2591,'[1]خريطة الحسابات'!_xlnm.Print_Area,3,FALSE))," ",(VLOOKUP(C2591,'[1]خريطة الحسابات'!_xlnm.Print_Area,3,FALSE)))</f>
        <v>رسوم وتصاريح المشروع واكراميات</v>
      </c>
      <c r="E2591" s="142"/>
      <c r="F2591" s="133">
        <v>200</v>
      </c>
      <c r="G2591" s="133"/>
      <c r="H2591" s="134">
        <f t="shared" si="121"/>
        <v>200</v>
      </c>
      <c r="I2591" s="134">
        <f t="shared" si="121"/>
        <v>0</v>
      </c>
      <c r="J2591" s="134">
        <f t="shared" si="120"/>
        <v>200</v>
      </c>
      <c r="K2591" s="135"/>
      <c r="L2591" s="136" t="str">
        <f t="shared" si="122"/>
        <v>مدين</v>
      </c>
      <c r="M2591" s="137" t="str">
        <f>IF(ISERROR(VLOOKUP(C2591,'[1]خريطة الحسابات'!_xlnm.Print_Area,4,FALSE))," ",(VLOOKUP(C2591,'[1]خريطة الحسابات'!_xlnm.Print_Area,4,FALSE)))</f>
        <v>تكاليف مشروع سوديك  341</v>
      </c>
      <c r="N2591" s="138" t="str">
        <f>IF(ISERROR(VLOOKUP(C2591,'[1]خريطة الحسابات'!_xlnm.Print_Area,5,FALSE))," ",(VLOOKUP(C2591,'[1]خريطة الحسابات'!_xlnm.Print_Area,5,FALSE)))</f>
        <v xml:space="preserve">تكاليف العمليات </v>
      </c>
      <c r="O2591" s="84" t="s">
        <v>2494</v>
      </c>
      <c r="P2591" s="84" t="s">
        <v>1290</v>
      </c>
    </row>
    <row r="2592" spans="1:16">
      <c r="A2592" s="151">
        <v>80</v>
      </c>
      <c r="B2592" s="131">
        <v>46182</v>
      </c>
      <c r="C2592" s="150">
        <v>20</v>
      </c>
      <c r="D2592" s="140" t="str">
        <f>IF(ISERROR(VLOOKUP(C2592,'[1]خريطة الحسابات'!_xlnm.Print_Area,3,FALSE))," ",(VLOOKUP(C2592,'[1]خريطة الحسابات'!_xlnm.Print_Area,3,FALSE)))</f>
        <v xml:space="preserve">الخزينة </v>
      </c>
      <c r="E2592" s="142"/>
      <c r="F2592" s="133"/>
      <c r="G2592" s="133">
        <v>200</v>
      </c>
      <c r="H2592" s="134">
        <f t="shared" si="121"/>
        <v>0</v>
      </c>
      <c r="I2592" s="134">
        <f t="shared" si="121"/>
        <v>200</v>
      </c>
      <c r="J2592" s="134">
        <f t="shared" si="120"/>
        <v>-200</v>
      </c>
      <c r="K2592" s="135"/>
      <c r="L2592" s="136" t="str">
        <f t="shared" si="122"/>
        <v>دائن</v>
      </c>
      <c r="M2592" s="137" t="str">
        <f>IF(ISERROR(VLOOKUP(C2592,'[1]خريطة الحسابات'!_xlnm.Print_Area,4,FALSE))," ",(VLOOKUP(C2592,'[1]خريطة الحسابات'!_xlnm.Print_Area,4,FALSE)))</f>
        <v xml:space="preserve">أصول متداوله -النقدية ومافي حكمها </v>
      </c>
      <c r="N2592" s="138" t="str">
        <f>IF(ISERROR(VLOOKUP(C2592,'[1]خريطة الحسابات'!_xlnm.Print_Area,5,FALSE))," ",(VLOOKUP(C2592,'[1]خريطة الحسابات'!_xlnm.Print_Area,5,FALSE)))</f>
        <v>الاصول</v>
      </c>
      <c r="O2592" s="84" t="s">
        <v>2494</v>
      </c>
      <c r="P2592" s="84" t="s">
        <v>1290</v>
      </c>
    </row>
    <row r="2593" spans="1:16">
      <c r="A2593" s="151">
        <v>81</v>
      </c>
      <c r="B2593" s="131">
        <v>46033</v>
      </c>
      <c r="C2593" s="150" t="s">
        <v>796</v>
      </c>
      <c r="D2593" s="140" t="str">
        <f>IF(ISERROR(VLOOKUP(C2593,'[1]خريطة الحسابات'!_xlnm.Print_Area,3,FALSE))," ",(VLOOKUP(C2593,'[1]خريطة الحسابات'!_xlnm.Print_Area,3,FALSE)))</f>
        <v>رسوم وتصاريح المشروع واكراميات</v>
      </c>
      <c r="E2593" s="142"/>
      <c r="F2593" s="133">
        <v>2002</v>
      </c>
      <c r="G2593" s="133"/>
      <c r="H2593" s="134">
        <f t="shared" si="121"/>
        <v>2002</v>
      </c>
      <c r="I2593" s="134">
        <f t="shared" si="121"/>
        <v>0</v>
      </c>
      <c r="J2593" s="134">
        <f t="shared" si="120"/>
        <v>2002</v>
      </c>
      <c r="K2593" s="135"/>
      <c r="L2593" s="136" t="str">
        <f t="shared" si="122"/>
        <v>مدين</v>
      </c>
      <c r="M2593" s="137" t="str">
        <f>IF(ISERROR(VLOOKUP(C2593,'[1]خريطة الحسابات'!_xlnm.Print_Area,4,FALSE))," ",(VLOOKUP(C2593,'[1]خريطة الحسابات'!_xlnm.Print_Area,4,FALSE)))</f>
        <v>388 تكاليف مشروع الدقي</v>
      </c>
      <c r="N2593" s="138" t="str">
        <f>IF(ISERROR(VLOOKUP(C2593,'[1]خريطة الحسابات'!_xlnm.Print_Area,5,FALSE))," ",(VLOOKUP(C2593,'[1]خريطة الحسابات'!_xlnm.Print_Area,5,FALSE)))</f>
        <v xml:space="preserve">تكاليف العمليات </v>
      </c>
      <c r="O2593" s="84" t="s">
        <v>2495</v>
      </c>
      <c r="P2593" s="84" t="s">
        <v>1315</v>
      </c>
    </row>
    <row r="2594" spans="1:16">
      <c r="A2594" s="151">
        <v>81</v>
      </c>
      <c r="B2594" s="131">
        <v>46056</v>
      </c>
      <c r="C2594" s="150" t="s">
        <v>796</v>
      </c>
      <c r="D2594" s="140" t="str">
        <f>IF(ISERROR(VLOOKUP(C2594,'[1]خريطة الحسابات'!_xlnm.Print_Area,3,FALSE))," ",(VLOOKUP(C2594,'[1]خريطة الحسابات'!_xlnm.Print_Area,3,FALSE)))</f>
        <v>رسوم وتصاريح المشروع واكراميات</v>
      </c>
      <c r="E2594" s="142"/>
      <c r="F2594" s="133">
        <v>9009</v>
      </c>
      <c r="G2594" s="133"/>
      <c r="H2594" s="134">
        <f t="shared" si="121"/>
        <v>9009</v>
      </c>
      <c r="I2594" s="134">
        <f t="shared" si="121"/>
        <v>0</v>
      </c>
      <c r="J2594" s="134">
        <f t="shared" si="120"/>
        <v>9009</v>
      </c>
      <c r="K2594" s="135"/>
      <c r="L2594" s="136" t="str">
        <f t="shared" si="122"/>
        <v>مدين</v>
      </c>
      <c r="M2594" s="137" t="str">
        <f>IF(ISERROR(VLOOKUP(C2594,'[1]خريطة الحسابات'!_xlnm.Print_Area,4,FALSE))," ",(VLOOKUP(C2594,'[1]خريطة الحسابات'!_xlnm.Print_Area,4,FALSE)))</f>
        <v>388 تكاليف مشروع الدقي</v>
      </c>
      <c r="N2594" s="138" t="str">
        <f>IF(ISERROR(VLOOKUP(C2594,'[1]خريطة الحسابات'!_xlnm.Print_Area,5,FALSE))," ",(VLOOKUP(C2594,'[1]خريطة الحسابات'!_xlnm.Print_Area,5,FALSE)))</f>
        <v xml:space="preserve">تكاليف العمليات </v>
      </c>
      <c r="O2594" s="84" t="s">
        <v>2496</v>
      </c>
      <c r="P2594" s="84" t="s">
        <v>1315</v>
      </c>
    </row>
    <row r="2595" spans="1:16">
      <c r="A2595" s="151">
        <v>81</v>
      </c>
      <c r="B2595" s="131">
        <v>46093</v>
      </c>
      <c r="C2595" s="150" t="s">
        <v>376</v>
      </c>
      <c r="D2595" s="140" t="str">
        <f>IF(ISERROR(VLOOKUP(C2595,'[1]خريطة الحسابات'!_xlnm.Print_Area,3,FALSE))," ",(VLOOKUP(C2595,'[1]خريطة الحسابات'!_xlnm.Print_Area,3,FALSE)))</f>
        <v>رسوم وتصاريح المشروع واكراميات</v>
      </c>
      <c r="E2595" s="142"/>
      <c r="F2595" s="133">
        <v>6000</v>
      </c>
      <c r="G2595" s="133"/>
      <c r="H2595" s="134">
        <f t="shared" si="121"/>
        <v>6000</v>
      </c>
      <c r="I2595" s="134">
        <f t="shared" si="121"/>
        <v>0</v>
      </c>
      <c r="J2595" s="134">
        <f t="shared" si="120"/>
        <v>6000</v>
      </c>
      <c r="K2595" s="135"/>
      <c r="L2595" s="136" t="str">
        <f t="shared" si="122"/>
        <v>مدين</v>
      </c>
      <c r="M2595" s="137" t="str">
        <f>IF(ISERROR(VLOOKUP(C2595,'[1]خريطة الحسابات'!_xlnm.Print_Area,4,FALSE))," ",(VLOOKUP(C2595,'[1]خريطة الحسابات'!_xlnm.Print_Area,4,FALSE)))</f>
        <v>318 تكاليف مشروع  المعادي ديونز</v>
      </c>
      <c r="N2595" s="138" t="str">
        <f>IF(ISERROR(VLOOKUP(C2595,'[1]خريطة الحسابات'!_xlnm.Print_Area,5,FALSE))," ",(VLOOKUP(C2595,'[1]خريطة الحسابات'!_xlnm.Print_Area,5,FALSE)))</f>
        <v xml:space="preserve">تكاليف العمليات </v>
      </c>
      <c r="O2595" s="84" t="s">
        <v>1998</v>
      </c>
      <c r="P2595" s="84" t="s">
        <v>1383</v>
      </c>
    </row>
    <row r="2596" spans="1:16">
      <c r="A2596" s="151">
        <v>81</v>
      </c>
      <c r="B2596" s="131">
        <v>46033</v>
      </c>
      <c r="C2596" s="150">
        <v>20</v>
      </c>
      <c r="D2596" s="140" t="str">
        <f>IF(ISERROR(VLOOKUP(C2596,'[1]خريطة الحسابات'!_xlnm.Print_Area,3,FALSE))," ",(VLOOKUP(C2596,'[1]خريطة الحسابات'!_xlnm.Print_Area,3,FALSE)))</f>
        <v xml:space="preserve">الخزينة </v>
      </c>
      <c r="E2596" s="142"/>
      <c r="F2596" s="133"/>
      <c r="G2596" s="133">
        <v>2002</v>
      </c>
      <c r="H2596" s="134">
        <f t="shared" si="121"/>
        <v>0</v>
      </c>
      <c r="I2596" s="134">
        <f t="shared" si="121"/>
        <v>2002</v>
      </c>
      <c r="J2596" s="134">
        <f t="shared" si="120"/>
        <v>-2002</v>
      </c>
      <c r="K2596" s="135"/>
      <c r="L2596" s="136" t="str">
        <f t="shared" si="122"/>
        <v>دائن</v>
      </c>
      <c r="M2596" s="137" t="str">
        <f>IF(ISERROR(VLOOKUP(C2596,'[1]خريطة الحسابات'!_xlnm.Print_Area,4,FALSE))," ",(VLOOKUP(C2596,'[1]خريطة الحسابات'!_xlnm.Print_Area,4,FALSE)))</f>
        <v xml:space="preserve">أصول متداوله -النقدية ومافي حكمها </v>
      </c>
      <c r="N2596" s="138" t="str">
        <f>IF(ISERROR(VLOOKUP(C2596,'[1]خريطة الحسابات'!_xlnm.Print_Area,5,FALSE))," ",(VLOOKUP(C2596,'[1]خريطة الحسابات'!_xlnm.Print_Area,5,FALSE)))</f>
        <v>الاصول</v>
      </c>
      <c r="O2596" s="84" t="s">
        <v>2495</v>
      </c>
      <c r="P2596" s="84" t="s">
        <v>1315</v>
      </c>
    </row>
    <row r="2597" spans="1:16">
      <c r="A2597" s="151">
        <v>81</v>
      </c>
      <c r="B2597" s="131">
        <v>46056</v>
      </c>
      <c r="C2597" s="150">
        <v>20</v>
      </c>
      <c r="D2597" s="140" t="str">
        <f>IF(ISERROR(VLOOKUP(C2597,'[1]خريطة الحسابات'!_xlnm.Print_Area,3,FALSE))," ",(VLOOKUP(C2597,'[1]خريطة الحسابات'!_xlnm.Print_Area,3,FALSE)))</f>
        <v xml:space="preserve">الخزينة </v>
      </c>
      <c r="E2597" s="142"/>
      <c r="F2597" s="133"/>
      <c r="G2597" s="133">
        <v>9009</v>
      </c>
      <c r="H2597" s="134">
        <f t="shared" si="121"/>
        <v>0</v>
      </c>
      <c r="I2597" s="134">
        <f t="shared" si="121"/>
        <v>9009</v>
      </c>
      <c r="J2597" s="134">
        <f t="shared" si="120"/>
        <v>-9009</v>
      </c>
      <c r="K2597" s="135"/>
      <c r="L2597" s="136" t="str">
        <f t="shared" si="122"/>
        <v>دائن</v>
      </c>
      <c r="M2597" s="137" t="str">
        <f>IF(ISERROR(VLOOKUP(C2597,'[1]خريطة الحسابات'!_xlnm.Print_Area,4,FALSE))," ",(VLOOKUP(C2597,'[1]خريطة الحسابات'!_xlnm.Print_Area,4,FALSE)))</f>
        <v xml:space="preserve">أصول متداوله -النقدية ومافي حكمها </v>
      </c>
      <c r="N2597" s="138" t="str">
        <f>IF(ISERROR(VLOOKUP(C2597,'[1]خريطة الحسابات'!_xlnm.Print_Area,5,FALSE))," ",(VLOOKUP(C2597,'[1]خريطة الحسابات'!_xlnm.Print_Area,5,FALSE)))</f>
        <v>الاصول</v>
      </c>
      <c r="O2597" s="84" t="s">
        <v>2496</v>
      </c>
      <c r="P2597" s="84" t="s">
        <v>1315</v>
      </c>
    </row>
    <row r="2598" spans="1:16">
      <c r="A2598" s="151">
        <v>81</v>
      </c>
      <c r="B2598" s="131">
        <v>46093</v>
      </c>
      <c r="C2598" s="150">
        <v>20</v>
      </c>
      <c r="D2598" s="140" t="str">
        <f>IF(ISERROR(VLOOKUP(C2598,'[1]خريطة الحسابات'!_xlnm.Print_Area,3,FALSE))," ",(VLOOKUP(C2598,'[1]خريطة الحسابات'!_xlnm.Print_Area,3,FALSE)))</f>
        <v xml:space="preserve">الخزينة </v>
      </c>
      <c r="E2598" s="142"/>
      <c r="F2598" s="133"/>
      <c r="G2598" s="133">
        <v>6000</v>
      </c>
      <c r="H2598" s="134">
        <f t="shared" si="121"/>
        <v>0</v>
      </c>
      <c r="I2598" s="134">
        <f t="shared" si="121"/>
        <v>6000</v>
      </c>
      <c r="J2598" s="134">
        <f t="shared" si="120"/>
        <v>-6000</v>
      </c>
      <c r="K2598" s="135"/>
      <c r="L2598" s="136" t="str">
        <f t="shared" si="122"/>
        <v>دائن</v>
      </c>
      <c r="M2598" s="137" t="str">
        <f>IF(ISERROR(VLOOKUP(C2598,'[1]خريطة الحسابات'!_xlnm.Print_Area,4,FALSE))," ",(VLOOKUP(C2598,'[1]خريطة الحسابات'!_xlnm.Print_Area,4,FALSE)))</f>
        <v xml:space="preserve">أصول متداوله -النقدية ومافي حكمها </v>
      </c>
      <c r="N2598" s="138" t="str">
        <f>IF(ISERROR(VLOOKUP(C2598,'[1]خريطة الحسابات'!_xlnm.Print_Area,5,FALSE))," ",(VLOOKUP(C2598,'[1]خريطة الحسابات'!_xlnm.Print_Area,5,FALSE)))</f>
        <v>الاصول</v>
      </c>
      <c r="O2598" s="84" t="s">
        <v>1998</v>
      </c>
      <c r="P2598" s="84" t="s">
        <v>1383</v>
      </c>
    </row>
    <row r="2599" spans="1:16">
      <c r="A2599" s="151">
        <v>82</v>
      </c>
      <c r="B2599" s="131">
        <v>46062</v>
      </c>
      <c r="C2599" s="150" t="s">
        <v>200</v>
      </c>
      <c r="D2599" s="140" t="str">
        <f>IF(ISERROR(VLOOKUP(C2599,'[1]خريطة الحسابات'!_xlnm.Print_Area,3,FALSE))," ",(VLOOKUP(C2599,'[1]خريطة الحسابات'!_xlnm.Print_Area,3,FALSE)))</f>
        <v>خامات ومصنعية أعمال النقل والتشوين</v>
      </c>
      <c r="E2599" s="142"/>
      <c r="F2599" s="133">
        <v>800</v>
      </c>
      <c r="G2599" s="133"/>
      <c r="H2599" s="134">
        <f t="shared" si="121"/>
        <v>800</v>
      </c>
      <c r="I2599" s="134">
        <f t="shared" si="121"/>
        <v>0</v>
      </c>
      <c r="J2599" s="134">
        <f t="shared" si="120"/>
        <v>800</v>
      </c>
      <c r="K2599" s="135"/>
      <c r="L2599" s="136" t="str">
        <f t="shared" si="122"/>
        <v>مدين</v>
      </c>
      <c r="M2599" s="137" t="str">
        <f>IF(ISERROR(VLOOKUP(C2599,'[1]خريطة الحسابات'!_xlnm.Print_Area,4,FALSE))," ",(VLOOKUP(C2599,'[1]خريطة الحسابات'!_xlnm.Print_Area,4,FALSE)))</f>
        <v>تكاليف مشروع الباتيو 235</v>
      </c>
      <c r="N2599" s="138" t="str">
        <f>IF(ISERROR(VLOOKUP(C2599,'[1]خريطة الحسابات'!_xlnm.Print_Area,5,FALSE))," ",(VLOOKUP(C2599,'[1]خريطة الحسابات'!_xlnm.Print_Area,5,FALSE)))</f>
        <v xml:space="preserve">تكاليف العمليات </v>
      </c>
      <c r="O2599" s="84" t="s">
        <v>2497</v>
      </c>
      <c r="P2599" s="84" t="s">
        <v>1304</v>
      </c>
    </row>
    <row r="2600" spans="1:16">
      <c r="A2600" s="151">
        <v>82</v>
      </c>
      <c r="B2600" s="131">
        <v>46089</v>
      </c>
      <c r="C2600" s="150" t="s">
        <v>200</v>
      </c>
      <c r="D2600" s="140" t="str">
        <f>IF(ISERROR(VLOOKUP(C2600,'[1]خريطة الحسابات'!_xlnm.Print_Area,3,FALSE))," ",(VLOOKUP(C2600,'[1]خريطة الحسابات'!_xlnm.Print_Area,3,FALSE)))</f>
        <v>خامات ومصنعية أعمال النقل والتشوين</v>
      </c>
      <c r="E2600" s="142"/>
      <c r="F2600" s="133">
        <v>400</v>
      </c>
      <c r="G2600" s="133"/>
      <c r="H2600" s="134">
        <f t="shared" si="121"/>
        <v>400</v>
      </c>
      <c r="I2600" s="134">
        <f t="shared" si="121"/>
        <v>0</v>
      </c>
      <c r="J2600" s="134">
        <f t="shared" si="120"/>
        <v>400</v>
      </c>
      <c r="K2600" s="135"/>
      <c r="L2600" s="136" t="str">
        <f t="shared" si="122"/>
        <v>مدين</v>
      </c>
      <c r="M2600" s="137" t="str">
        <f>IF(ISERROR(VLOOKUP(C2600,'[1]خريطة الحسابات'!_xlnm.Print_Area,4,FALSE))," ",(VLOOKUP(C2600,'[1]خريطة الحسابات'!_xlnm.Print_Area,4,FALSE)))</f>
        <v>تكاليف مشروع الباتيو 235</v>
      </c>
      <c r="N2600" s="138" t="str">
        <f>IF(ISERROR(VLOOKUP(C2600,'[1]خريطة الحسابات'!_xlnm.Print_Area,5,FALSE))," ",(VLOOKUP(C2600,'[1]خريطة الحسابات'!_xlnm.Print_Area,5,FALSE)))</f>
        <v xml:space="preserve">تكاليف العمليات </v>
      </c>
      <c r="O2600" s="84" t="s">
        <v>2498</v>
      </c>
      <c r="P2600" s="84" t="s">
        <v>1304</v>
      </c>
    </row>
    <row r="2601" spans="1:16">
      <c r="A2601" s="151">
        <v>82</v>
      </c>
      <c r="B2601" s="131">
        <v>46166</v>
      </c>
      <c r="C2601" s="150" t="s">
        <v>340</v>
      </c>
      <c r="D2601" s="140" t="str">
        <f>IF(ISERROR(VLOOKUP(C2601,'[1]خريطة الحسابات'!_xlnm.Print_Area,3,FALSE))," ",(VLOOKUP(C2601,'[1]خريطة الحسابات'!_xlnm.Print_Area,3,FALSE)))</f>
        <v>خامات ومصنعية أعمال النقل والتشوين</v>
      </c>
      <c r="E2601" s="142"/>
      <c r="F2601" s="133">
        <v>200</v>
      </c>
      <c r="G2601" s="133"/>
      <c r="H2601" s="134">
        <f t="shared" si="121"/>
        <v>200</v>
      </c>
      <c r="I2601" s="134">
        <f t="shared" si="121"/>
        <v>0</v>
      </c>
      <c r="J2601" s="134">
        <f t="shared" si="120"/>
        <v>200</v>
      </c>
      <c r="K2601" s="135"/>
      <c r="L2601" s="136" t="str">
        <f t="shared" si="122"/>
        <v>مدين</v>
      </c>
      <c r="M2601" s="137" t="str">
        <f>IF(ISERROR(VLOOKUP(C2601,'[1]خريطة الحسابات'!_xlnm.Print_Area,4,FALSE))," ",(VLOOKUP(C2601,'[1]خريطة الحسابات'!_xlnm.Print_Area,4,FALSE)))</f>
        <v>تكاليف مشروع العبور 306</v>
      </c>
      <c r="N2601" s="138" t="str">
        <f>IF(ISERROR(VLOOKUP(C2601,'[1]خريطة الحسابات'!_xlnm.Print_Area,5,FALSE))," ",(VLOOKUP(C2601,'[1]خريطة الحسابات'!_xlnm.Print_Area,5,FALSE)))</f>
        <v xml:space="preserve">تكاليف العمليات </v>
      </c>
      <c r="O2601" s="84" t="s">
        <v>2499</v>
      </c>
      <c r="P2601" s="84" t="s">
        <v>1292</v>
      </c>
    </row>
    <row r="2602" spans="1:16">
      <c r="A2602" s="151">
        <v>82</v>
      </c>
      <c r="B2602" s="131">
        <v>46063</v>
      </c>
      <c r="C2602" s="150" t="s">
        <v>620</v>
      </c>
      <c r="D2602" s="140" t="str">
        <f>IF(ISERROR(VLOOKUP(C2602,'[1]خريطة الحسابات'!_xlnm.Print_Area,3,FALSE))," ",(VLOOKUP(C2602,'[1]خريطة الحسابات'!_xlnm.Print_Area,3,FALSE)))</f>
        <v>خامات ومصنعية أعمال النقل والتشوين</v>
      </c>
      <c r="E2602" s="142"/>
      <c r="F2602" s="133">
        <v>600</v>
      </c>
      <c r="G2602" s="133"/>
      <c r="H2602" s="134">
        <f t="shared" si="121"/>
        <v>600</v>
      </c>
      <c r="I2602" s="134">
        <f t="shared" si="121"/>
        <v>0</v>
      </c>
      <c r="J2602" s="134">
        <f t="shared" si="120"/>
        <v>600</v>
      </c>
      <c r="K2602" s="135"/>
      <c r="L2602" s="136" t="str">
        <f t="shared" si="122"/>
        <v>مدين</v>
      </c>
      <c r="M2602" s="137" t="str">
        <f>IF(ISERROR(VLOOKUP(C2602,'[1]خريطة الحسابات'!_xlnm.Print_Area,4,FALSE))," ",(VLOOKUP(C2602,'[1]خريطة الحسابات'!_xlnm.Print_Area,4,FALSE)))</f>
        <v>تكاليف مشروع اللوتس 361</v>
      </c>
      <c r="N2602" s="138" t="str">
        <f>IF(ISERROR(VLOOKUP(C2602,'[1]خريطة الحسابات'!_xlnm.Print_Area,5,FALSE))," ",(VLOOKUP(C2602,'[1]خريطة الحسابات'!_xlnm.Print_Area,5,FALSE)))</f>
        <v xml:space="preserve">تكاليف العمليات </v>
      </c>
      <c r="O2602" s="84" t="s">
        <v>1753</v>
      </c>
      <c r="P2602" s="84" t="s">
        <v>1295</v>
      </c>
    </row>
    <row r="2603" spans="1:16">
      <c r="A2603" s="151">
        <v>82</v>
      </c>
      <c r="B2603" s="131">
        <v>46063</v>
      </c>
      <c r="C2603" s="150" t="s">
        <v>620</v>
      </c>
      <c r="D2603" s="140" t="str">
        <f>IF(ISERROR(VLOOKUP(C2603,'[1]خريطة الحسابات'!_xlnm.Print_Area,3,FALSE))," ",(VLOOKUP(C2603,'[1]خريطة الحسابات'!_xlnm.Print_Area,3,FALSE)))</f>
        <v>خامات ومصنعية أعمال النقل والتشوين</v>
      </c>
      <c r="E2603" s="142"/>
      <c r="F2603" s="133">
        <v>400</v>
      </c>
      <c r="G2603" s="133"/>
      <c r="H2603" s="134">
        <f t="shared" si="121"/>
        <v>400</v>
      </c>
      <c r="I2603" s="134">
        <f t="shared" si="121"/>
        <v>0</v>
      </c>
      <c r="J2603" s="134">
        <f t="shared" si="120"/>
        <v>400</v>
      </c>
      <c r="K2603" s="135"/>
      <c r="L2603" s="136" t="str">
        <f t="shared" si="122"/>
        <v>مدين</v>
      </c>
      <c r="M2603" s="137" t="str">
        <f>IF(ISERROR(VLOOKUP(C2603,'[1]خريطة الحسابات'!_xlnm.Print_Area,4,FALSE))," ",(VLOOKUP(C2603,'[1]خريطة الحسابات'!_xlnm.Print_Area,4,FALSE)))</f>
        <v>تكاليف مشروع اللوتس 361</v>
      </c>
      <c r="N2603" s="138" t="str">
        <f>IF(ISERROR(VLOOKUP(C2603,'[1]خريطة الحسابات'!_xlnm.Print_Area,5,FALSE))," ",(VLOOKUP(C2603,'[1]خريطة الحسابات'!_xlnm.Print_Area,5,FALSE)))</f>
        <v xml:space="preserve">تكاليف العمليات </v>
      </c>
      <c r="O2603" s="84" t="s">
        <v>2500</v>
      </c>
      <c r="P2603" s="84" t="s">
        <v>1295</v>
      </c>
    </row>
    <row r="2604" spans="1:16">
      <c r="A2604" s="151">
        <v>82</v>
      </c>
      <c r="B2604" s="131">
        <v>46135</v>
      </c>
      <c r="C2604" s="150" t="s">
        <v>125</v>
      </c>
      <c r="D2604" s="140" t="str">
        <f>IF(ISERROR(VLOOKUP(C2604,'[1]خريطة الحسابات'!_xlnm.Print_Area,3,FALSE))," ",(VLOOKUP(C2604,'[1]خريطة الحسابات'!_xlnm.Print_Area,3,FALSE)))</f>
        <v>خامات ومصنعية أعمال النقل والتشوين</v>
      </c>
      <c r="E2604" s="142"/>
      <c r="F2604" s="133">
        <v>500</v>
      </c>
      <c r="G2604" s="133"/>
      <c r="H2604" s="134">
        <f t="shared" si="121"/>
        <v>500</v>
      </c>
      <c r="I2604" s="134">
        <f t="shared" si="121"/>
        <v>0</v>
      </c>
      <c r="J2604" s="134">
        <f t="shared" si="120"/>
        <v>500</v>
      </c>
      <c r="K2604" s="135"/>
      <c r="L2604" s="136" t="str">
        <f t="shared" si="122"/>
        <v>مدين</v>
      </c>
      <c r="M2604" s="137" t="str">
        <f>IF(ISERROR(VLOOKUP(C2604,'[1]خريطة الحسابات'!_xlnm.Print_Area,4,FALSE))," ",(VLOOKUP(C2604,'[1]خريطة الحسابات'!_xlnm.Print_Area,4,FALSE)))</f>
        <v>تكاليف مشروع سوديك  341</v>
      </c>
      <c r="N2604" s="138" t="str">
        <f>IF(ISERROR(VLOOKUP(C2604,'[1]خريطة الحسابات'!_xlnm.Print_Area,5,FALSE))," ",(VLOOKUP(C2604,'[1]خريطة الحسابات'!_xlnm.Print_Area,5,FALSE)))</f>
        <v xml:space="preserve">تكاليف العمليات </v>
      </c>
      <c r="O2604" s="84" t="s">
        <v>2501</v>
      </c>
      <c r="P2604" s="84" t="s">
        <v>1290</v>
      </c>
    </row>
    <row r="2605" spans="1:16">
      <c r="A2605" s="151">
        <v>82</v>
      </c>
      <c r="B2605" s="131">
        <v>46063</v>
      </c>
      <c r="C2605" s="150" t="s">
        <v>936</v>
      </c>
      <c r="D2605" s="140" t="str">
        <f>IF(ISERROR(VLOOKUP(C2605,'[1]خريطة الحسابات'!_xlnm.Print_Area,3,FALSE))," ",(VLOOKUP(C2605,'[1]خريطة الحسابات'!_xlnm.Print_Area,3,FALSE)))</f>
        <v>خامات ومصنعية أعمال النقل والتشوين</v>
      </c>
      <c r="E2605" s="142"/>
      <c r="F2605" s="133">
        <v>300</v>
      </c>
      <c r="G2605" s="133"/>
      <c r="H2605" s="134">
        <f t="shared" si="121"/>
        <v>300</v>
      </c>
      <c r="I2605" s="134">
        <f t="shared" si="121"/>
        <v>0</v>
      </c>
      <c r="J2605" s="134">
        <f t="shared" si="120"/>
        <v>300</v>
      </c>
      <c r="K2605" s="135"/>
      <c r="L2605" s="136" t="str">
        <f t="shared" si="122"/>
        <v>مدين</v>
      </c>
      <c r="M2605" s="137" t="str">
        <f>IF(ISERROR(VLOOKUP(C2605,'[1]خريطة الحسابات'!_xlnm.Print_Area,4,FALSE))," ",(VLOOKUP(C2605,'[1]خريطة الحسابات'!_xlnm.Print_Area,4,FALSE)))</f>
        <v>تكاليف مشروع وصال العشري 398</v>
      </c>
      <c r="N2605" s="138" t="str">
        <f>IF(ISERROR(VLOOKUP(C2605,'[1]خريطة الحسابات'!_xlnm.Print_Area,5,FALSE))," ",(VLOOKUP(C2605,'[1]خريطة الحسابات'!_xlnm.Print_Area,5,FALSE)))</f>
        <v xml:space="preserve">تكاليف العمليات </v>
      </c>
      <c r="O2605" s="84" t="s">
        <v>2502</v>
      </c>
      <c r="P2605" s="84" t="s">
        <v>1489</v>
      </c>
    </row>
    <row r="2606" spans="1:16">
      <c r="A2606" s="151">
        <v>82</v>
      </c>
      <c r="B2606" s="131">
        <v>46111</v>
      </c>
      <c r="C2606" s="150" t="s">
        <v>235</v>
      </c>
      <c r="D2606" s="140" t="str">
        <f>IF(ISERROR(VLOOKUP(C2606,'[1]خريطة الحسابات'!_xlnm.Print_Area,3,FALSE))," ",(VLOOKUP(C2606,'[1]خريطة الحسابات'!_xlnm.Print_Area,3,FALSE)))</f>
        <v>خامات ومصنعية أعمال النقل والتشوين</v>
      </c>
      <c r="E2606" s="142"/>
      <c r="F2606" s="133">
        <v>200</v>
      </c>
      <c r="G2606" s="133"/>
      <c r="H2606" s="134">
        <f t="shared" si="121"/>
        <v>200</v>
      </c>
      <c r="I2606" s="134">
        <f t="shared" si="121"/>
        <v>0</v>
      </c>
      <c r="J2606" s="134">
        <f t="shared" si="120"/>
        <v>200</v>
      </c>
      <c r="K2606" s="135"/>
      <c r="L2606" s="136" t="str">
        <f t="shared" si="122"/>
        <v>مدين</v>
      </c>
      <c r="M2606" s="137" t="str">
        <f>IF(ISERROR(VLOOKUP(C2606,'[1]خريطة الحسابات'!_xlnm.Print_Area,4,FALSE))," ",(VLOOKUP(C2606,'[1]خريطة الحسابات'!_xlnm.Print_Area,4,FALSE)))</f>
        <v>تكاليف مشروع كناريا  273</v>
      </c>
      <c r="N2606" s="138" t="str">
        <f>IF(ISERROR(VLOOKUP(C2606,'[1]خريطة الحسابات'!_xlnm.Print_Area,5,FALSE))," ",(VLOOKUP(C2606,'[1]خريطة الحسابات'!_xlnm.Print_Area,5,FALSE)))</f>
        <v xml:space="preserve">تكاليف العمليات </v>
      </c>
      <c r="O2606" s="84" t="s">
        <v>2503</v>
      </c>
      <c r="P2606" s="84" t="s">
        <v>1405</v>
      </c>
    </row>
    <row r="2607" spans="1:16">
      <c r="A2607" s="151">
        <v>82</v>
      </c>
      <c r="B2607" s="131">
        <v>46046</v>
      </c>
      <c r="C2607" s="150" t="s">
        <v>480</v>
      </c>
      <c r="D2607" s="140" t="str">
        <f>IF(ISERROR(VLOOKUP(C2607,'[1]خريطة الحسابات'!_xlnm.Print_Area,3,FALSE))," ",(VLOOKUP(C2607,'[1]خريطة الحسابات'!_xlnm.Print_Area,3,FALSE)))</f>
        <v>خامات ومصنعية أعمال النقل والتشوين</v>
      </c>
      <c r="E2607" s="142"/>
      <c r="F2607" s="133">
        <v>800</v>
      </c>
      <c r="G2607" s="133"/>
      <c r="H2607" s="134">
        <f t="shared" si="121"/>
        <v>800</v>
      </c>
      <c r="I2607" s="134">
        <f t="shared" si="121"/>
        <v>0</v>
      </c>
      <c r="J2607" s="134">
        <f t="shared" si="120"/>
        <v>800</v>
      </c>
      <c r="K2607" s="135"/>
      <c r="L2607" s="136" t="str">
        <f t="shared" si="122"/>
        <v>مدين</v>
      </c>
      <c r="M2607" s="137" t="str">
        <f>IF(ISERROR(VLOOKUP(C2607,'[1]خريطة الحسابات'!_xlnm.Print_Area,4,FALSE))," ",(VLOOKUP(C2607,'[1]خريطة الحسابات'!_xlnm.Print_Area,4,FALSE)))</f>
        <v>350 تكاليف مشروع شفيق</v>
      </c>
      <c r="N2607" s="138" t="str">
        <f>IF(ISERROR(VLOOKUP(C2607,'[1]خريطة الحسابات'!_xlnm.Print_Area,5,FALSE))," ",(VLOOKUP(C2607,'[1]خريطة الحسابات'!_xlnm.Print_Area,5,FALSE)))</f>
        <v xml:space="preserve">تكاليف العمليات </v>
      </c>
      <c r="O2607" s="84" t="s">
        <v>2504</v>
      </c>
      <c r="P2607" s="84" t="s">
        <v>1325</v>
      </c>
    </row>
    <row r="2608" spans="1:16">
      <c r="A2608" s="151">
        <v>82</v>
      </c>
      <c r="B2608" s="131">
        <v>46089</v>
      </c>
      <c r="C2608" s="150" t="s">
        <v>375</v>
      </c>
      <c r="D2608" s="140" t="str">
        <f>IF(ISERROR(VLOOKUP(C2608,'[1]خريطة الحسابات'!_xlnm.Print_Area,3,FALSE))," ",(VLOOKUP(C2608,'[1]خريطة الحسابات'!_xlnm.Print_Area,3,FALSE)))</f>
        <v>خامات ومصنعية أعمال النقل والتشوين</v>
      </c>
      <c r="E2608" s="142"/>
      <c r="F2608" s="133">
        <v>300</v>
      </c>
      <c r="G2608" s="133"/>
      <c r="H2608" s="134">
        <f t="shared" si="121"/>
        <v>300</v>
      </c>
      <c r="I2608" s="134">
        <f t="shared" si="121"/>
        <v>0</v>
      </c>
      <c r="J2608" s="134">
        <f t="shared" si="120"/>
        <v>300</v>
      </c>
      <c r="K2608" s="135"/>
      <c r="L2608" s="136" t="str">
        <f t="shared" si="122"/>
        <v>مدين</v>
      </c>
      <c r="M2608" s="137" t="str">
        <f>IF(ISERROR(VLOOKUP(C2608,'[1]خريطة الحسابات'!_xlnm.Print_Area,4,FALSE))," ",(VLOOKUP(C2608,'[1]خريطة الحسابات'!_xlnm.Print_Area,4,FALSE)))</f>
        <v>318 تكاليف مشروع  المعادي ديونز</v>
      </c>
      <c r="N2608" s="138" t="str">
        <f>IF(ISERROR(VLOOKUP(C2608,'[1]خريطة الحسابات'!_xlnm.Print_Area,5,FALSE))," ",(VLOOKUP(C2608,'[1]خريطة الحسابات'!_xlnm.Print_Area,5,FALSE)))</f>
        <v xml:space="preserve">تكاليف العمليات </v>
      </c>
      <c r="O2608" s="84" t="s">
        <v>2505</v>
      </c>
      <c r="P2608" s="84" t="s">
        <v>1383</v>
      </c>
    </row>
    <row r="2609" spans="1:16">
      <c r="A2609" s="151">
        <v>82</v>
      </c>
      <c r="B2609" s="131">
        <v>46034</v>
      </c>
      <c r="C2609" s="150" t="s">
        <v>57</v>
      </c>
      <c r="D2609" s="140" t="str">
        <f>IF(ISERROR(VLOOKUP(C2609,'[1]خريطة الحسابات'!_xlnm.Print_Area,3,FALSE))," ",(VLOOKUP(C2609,'[1]خريطة الحسابات'!_xlnm.Print_Area,3,FALSE)))</f>
        <v>انتقالات</v>
      </c>
      <c r="E2609" s="142"/>
      <c r="F2609" s="133">
        <v>800</v>
      </c>
      <c r="G2609" s="133"/>
      <c r="H2609" s="134">
        <f t="shared" si="121"/>
        <v>800</v>
      </c>
      <c r="I2609" s="134">
        <f t="shared" si="121"/>
        <v>0</v>
      </c>
      <c r="J2609" s="134">
        <f t="shared" si="120"/>
        <v>800</v>
      </c>
      <c r="K2609" s="135"/>
      <c r="L2609" s="136" t="str">
        <f t="shared" si="122"/>
        <v>مدين</v>
      </c>
      <c r="M2609" s="137" t="str">
        <f>IF(ISERROR(VLOOKUP(C2609,'[1]خريطة الحسابات'!_xlnm.Print_Area,4,FALSE))," ",(VLOOKUP(C2609,'[1]خريطة الحسابات'!_xlnm.Print_Area,4,FALSE)))</f>
        <v xml:space="preserve">تكاليف ادارية وعمومية </v>
      </c>
      <c r="N2609" s="138" t="str">
        <f>IF(ISERROR(VLOOKUP(C2609,'[1]خريطة الحسابات'!_xlnm.Print_Area,5,FALSE))," ",(VLOOKUP(C2609,'[1]خريطة الحسابات'!_xlnm.Print_Area,5,FALSE)))</f>
        <v xml:space="preserve">مصروفات </v>
      </c>
      <c r="O2609" s="84" t="s">
        <v>2506</v>
      </c>
      <c r="P2609" s="84" t="s">
        <v>1342</v>
      </c>
    </row>
    <row r="2610" spans="1:16">
      <c r="A2610" s="151">
        <v>82</v>
      </c>
      <c r="B2610" s="131">
        <v>46034</v>
      </c>
      <c r="C2610" s="150" t="s">
        <v>57</v>
      </c>
      <c r="D2610" s="140" t="str">
        <f>IF(ISERROR(VLOOKUP(C2610,'[1]خريطة الحسابات'!_xlnm.Print_Area,3,FALSE))," ",(VLOOKUP(C2610,'[1]خريطة الحسابات'!_xlnm.Print_Area,3,FALSE)))</f>
        <v>انتقالات</v>
      </c>
      <c r="E2610" s="142"/>
      <c r="F2610" s="133">
        <v>200</v>
      </c>
      <c r="G2610" s="133"/>
      <c r="H2610" s="134">
        <f t="shared" si="121"/>
        <v>200</v>
      </c>
      <c r="I2610" s="134">
        <f t="shared" si="121"/>
        <v>0</v>
      </c>
      <c r="J2610" s="134">
        <f t="shared" si="120"/>
        <v>200</v>
      </c>
      <c r="K2610" s="135"/>
      <c r="L2610" s="136" t="str">
        <f t="shared" si="122"/>
        <v>مدين</v>
      </c>
      <c r="M2610" s="137" t="str">
        <f>IF(ISERROR(VLOOKUP(C2610,'[1]خريطة الحسابات'!_xlnm.Print_Area,4,FALSE))," ",(VLOOKUP(C2610,'[1]خريطة الحسابات'!_xlnm.Print_Area,4,FALSE)))</f>
        <v xml:space="preserve">تكاليف ادارية وعمومية </v>
      </c>
      <c r="N2610" s="138" t="str">
        <f>IF(ISERROR(VLOOKUP(C2610,'[1]خريطة الحسابات'!_xlnm.Print_Area,5,FALSE))," ",(VLOOKUP(C2610,'[1]خريطة الحسابات'!_xlnm.Print_Area,5,FALSE)))</f>
        <v xml:space="preserve">مصروفات </v>
      </c>
      <c r="O2610" s="84" t="s">
        <v>2507</v>
      </c>
      <c r="P2610" s="84" t="s">
        <v>1342</v>
      </c>
    </row>
    <row r="2611" spans="1:16">
      <c r="A2611" s="151">
        <v>82</v>
      </c>
      <c r="B2611" s="131">
        <v>46034</v>
      </c>
      <c r="C2611" s="150" t="s">
        <v>57</v>
      </c>
      <c r="D2611" s="140" t="str">
        <f>IF(ISERROR(VLOOKUP(C2611,'[1]خريطة الحسابات'!_xlnm.Print_Area,3,FALSE))," ",(VLOOKUP(C2611,'[1]خريطة الحسابات'!_xlnm.Print_Area,3,FALSE)))</f>
        <v>انتقالات</v>
      </c>
      <c r="E2611" s="142"/>
      <c r="F2611" s="133">
        <v>200</v>
      </c>
      <c r="G2611" s="133"/>
      <c r="H2611" s="134">
        <f t="shared" si="121"/>
        <v>200</v>
      </c>
      <c r="I2611" s="134">
        <f t="shared" si="121"/>
        <v>0</v>
      </c>
      <c r="J2611" s="134">
        <f t="shared" si="120"/>
        <v>200</v>
      </c>
      <c r="K2611" s="135"/>
      <c r="L2611" s="136" t="str">
        <f t="shared" si="122"/>
        <v>مدين</v>
      </c>
      <c r="M2611" s="137" t="str">
        <f>IF(ISERROR(VLOOKUP(C2611,'[1]خريطة الحسابات'!_xlnm.Print_Area,4,FALSE))," ",(VLOOKUP(C2611,'[1]خريطة الحسابات'!_xlnm.Print_Area,4,FALSE)))</f>
        <v xml:space="preserve">تكاليف ادارية وعمومية </v>
      </c>
      <c r="N2611" s="138" t="str">
        <f>IF(ISERROR(VLOOKUP(C2611,'[1]خريطة الحسابات'!_xlnm.Print_Area,5,FALSE))," ",(VLOOKUP(C2611,'[1]خريطة الحسابات'!_xlnm.Print_Area,5,FALSE)))</f>
        <v xml:space="preserve">مصروفات </v>
      </c>
      <c r="O2611" s="84" t="s">
        <v>2507</v>
      </c>
      <c r="P2611" s="84" t="s">
        <v>1342</v>
      </c>
    </row>
    <row r="2612" spans="1:16">
      <c r="A2612" s="151">
        <v>82</v>
      </c>
      <c r="B2612" s="131">
        <v>46037</v>
      </c>
      <c r="C2612" s="150" t="s">
        <v>57</v>
      </c>
      <c r="D2612" s="140" t="str">
        <f>IF(ISERROR(VLOOKUP(C2612,'[1]خريطة الحسابات'!_xlnm.Print_Area,3,FALSE))," ",(VLOOKUP(C2612,'[1]خريطة الحسابات'!_xlnm.Print_Area,3,FALSE)))</f>
        <v>انتقالات</v>
      </c>
      <c r="E2612" s="142"/>
      <c r="F2612" s="133">
        <v>700</v>
      </c>
      <c r="G2612" s="133"/>
      <c r="H2612" s="134">
        <f t="shared" si="121"/>
        <v>700</v>
      </c>
      <c r="I2612" s="134">
        <f t="shared" si="121"/>
        <v>0</v>
      </c>
      <c r="J2612" s="134">
        <f t="shared" si="120"/>
        <v>700</v>
      </c>
      <c r="K2612" s="135"/>
      <c r="L2612" s="136" t="str">
        <f t="shared" si="122"/>
        <v>مدين</v>
      </c>
      <c r="M2612" s="137" t="str">
        <f>IF(ISERROR(VLOOKUP(C2612,'[1]خريطة الحسابات'!_xlnm.Print_Area,4,FALSE))," ",(VLOOKUP(C2612,'[1]خريطة الحسابات'!_xlnm.Print_Area,4,FALSE)))</f>
        <v xml:space="preserve">تكاليف ادارية وعمومية </v>
      </c>
      <c r="N2612" s="138" t="str">
        <f>IF(ISERROR(VLOOKUP(C2612,'[1]خريطة الحسابات'!_xlnm.Print_Area,5,FALSE))," ",(VLOOKUP(C2612,'[1]خريطة الحسابات'!_xlnm.Print_Area,5,FALSE)))</f>
        <v xml:space="preserve">مصروفات </v>
      </c>
      <c r="O2612" s="84" t="s">
        <v>2508</v>
      </c>
      <c r="P2612" s="84" t="s">
        <v>1342</v>
      </c>
    </row>
    <row r="2613" spans="1:16">
      <c r="A2613" s="151">
        <v>82</v>
      </c>
      <c r="B2613" s="131">
        <v>46042</v>
      </c>
      <c r="C2613" s="150" t="s">
        <v>57</v>
      </c>
      <c r="D2613" s="140" t="str">
        <f>IF(ISERROR(VLOOKUP(C2613,'[1]خريطة الحسابات'!_xlnm.Print_Area,3,FALSE))," ",(VLOOKUP(C2613,'[1]خريطة الحسابات'!_xlnm.Print_Area,3,FALSE)))</f>
        <v>انتقالات</v>
      </c>
      <c r="E2613" s="142"/>
      <c r="F2613" s="133">
        <v>300</v>
      </c>
      <c r="G2613" s="133"/>
      <c r="H2613" s="134">
        <f t="shared" si="121"/>
        <v>300</v>
      </c>
      <c r="I2613" s="134">
        <f t="shared" si="121"/>
        <v>0</v>
      </c>
      <c r="J2613" s="134">
        <f t="shared" si="120"/>
        <v>300</v>
      </c>
      <c r="K2613" s="135"/>
      <c r="L2613" s="136" t="str">
        <f t="shared" si="122"/>
        <v>مدين</v>
      </c>
      <c r="M2613" s="137" t="str">
        <f>IF(ISERROR(VLOOKUP(C2613,'[1]خريطة الحسابات'!_xlnm.Print_Area,4,FALSE))," ",(VLOOKUP(C2613,'[1]خريطة الحسابات'!_xlnm.Print_Area,4,FALSE)))</f>
        <v xml:space="preserve">تكاليف ادارية وعمومية </v>
      </c>
      <c r="N2613" s="138" t="str">
        <f>IF(ISERROR(VLOOKUP(C2613,'[1]خريطة الحسابات'!_xlnm.Print_Area,5,FALSE))," ",(VLOOKUP(C2613,'[1]خريطة الحسابات'!_xlnm.Print_Area,5,FALSE)))</f>
        <v xml:space="preserve">مصروفات </v>
      </c>
      <c r="O2613" s="84" t="s">
        <v>2509</v>
      </c>
      <c r="P2613" s="84" t="s">
        <v>1342</v>
      </c>
    </row>
    <row r="2614" spans="1:16">
      <c r="A2614" s="151">
        <v>82</v>
      </c>
      <c r="B2614" s="131">
        <v>46062</v>
      </c>
      <c r="C2614" s="150">
        <v>20</v>
      </c>
      <c r="D2614" s="140" t="str">
        <f>IF(ISERROR(VLOOKUP(C2614,'[1]خريطة الحسابات'!_xlnm.Print_Area,3,FALSE))," ",(VLOOKUP(C2614,'[1]خريطة الحسابات'!_xlnm.Print_Area,3,FALSE)))</f>
        <v xml:space="preserve">الخزينة </v>
      </c>
      <c r="E2614" s="142"/>
      <c r="F2614" s="133"/>
      <c r="G2614" s="133">
        <v>800</v>
      </c>
      <c r="H2614" s="134">
        <f t="shared" si="121"/>
        <v>0</v>
      </c>
      <c r="I2614" s="134">
        <f t="shared" si="121"/>
        <v>800</v>
      </c>
      <c r="J2614" s="134">
        <f t="shared" si="120"/>
        <v>-800</v>
      </c>
      <c r="K2614" s="135"/>
      <c r="L2614" s="136" t="str">
        <f t="shared" si="122"/>
        <v>دائن</v>
      </c>
      <c r="M2614" s="137" t="str">
        <f>IF(ISERROR(VLOOKUP(C2614,'[1]خريطة الحسابات'!_xlnm.Print_Area,4,FALSE))," ",(VLOOKUP(C2614,'[1]خريطة الحسابات'!_xlnm.Print_Area,4,FALSE)))</f>
        <v xml:space="preserve">أصول متداوله -النقدية ومافي حكمها </v>
      </c>
      <c r="N2614" s="138" t="str">
        <f>IF(ISERROR(VLOOKUP(C2614,'[1]خريطة الحسابات'!_xlnm.Print_Area,5,FALSE))," ",(VLOOKUP(C2614,'[1]خريطة الحسابات'!_xlnm.Print_Area,5,FALSE)))</f>
        <v>الاصول</v>
      </c>
      <c r="O2614" s="84" t="s">
        <v>2497</v>
      </c>
      <c r="P2614" s="84" t="s">
        <v>1304</v>
      </c>
    </row>
    <row r="2615" spans="1:16">
      <c r="A2615" s="151">
        <v>82</v>
      </c>
      <c r="B2615" s="131">
        <v>46089</v>
      </c>
      <c r="C2615" s="150">
        <v>20</v>
      </c>
      <c r="D2615" s="140" t="str">
        <f>IF(ISERROR(VLOOKUP(C2615,'[1]خريطة الحسابات'!_xlnm.Print_Area,3,FALSE))," ",(VLOOKUP(C2615,'[1]خريطة الحسابات'!_xlnm.Print_Area,3,FALSE)))</f>
        <v xml:space="preserve">الخزينة </v>
      </c>
      <c r="E2615" s="142"/>
      <c r="F2615" s="133"/>
      <c r="G2615" s="133">
        <v>400</v>
      </c>
      <c r="H2615" s="134">
        <f t="shared" si="121"/>
        <v>0</v>
      </c>
      <c r="I2615" s="134">
        <f t="shared" si="121"/>
        <v>400</v>
      </c>
      <c r="J2615" s="134">
        <f t="shared" si="120"/>
        <v>-400</v>
      </c>
      <c r="K2615" s="135"/>
      <c r="L2615" s="136" t="str">
        <f t="shared" si="122"/>
        <v>دائن</v>
      </c>
      <c r="M2615" s="137" t="str">
        <f>IF(ISERROR(VLOOKUP(C2615,'[1]خريطة الحسابات'!_xlnm.Print_Area,4,FALSE))," ",(VLOOKUP(C2615,'[1]خريطة الحسابات'!_xlnm.Print_Area,4,FALSE)))</f>
        <v xml:space="preserve">أصول متداوله -النقدية ومافي حكمها </v>
      </c>
      <c r="N2615" s="138" t="str">
        <f>IF(ISERROR(VLOOKUP(C2615,'[1]خريطة الحسابات'!_xlnm.Print_Area,5,FALSE))," ",(VLOOKUP(C2615,'[1]خريطة الحسابات'!_xlnm.Print_Area,5,FALSE)))</f>
        <v>الاصول</v>
      </c>
      <c r="O2615" s="84" t="s">
        <v>2498</v>
      </c>
      <c r="P2615" s="84" t="s">
        <v>1304</v>
      </c>
    </row>
    <row r="2616" spans="1:16">
      <c r="A2616" s="151">
        <v>82</v>
      </c>
      <c r="B2616" s="131">
        <v>46166</v>
      </c>
      <c r="C2616" s="150">
        <v>20</v>
      </c>
      <c r="D2616" s="140" t="str">
        <f>IF(ISERROR(VLOOKUP(C2616,'[1]خريطة الحسابات'!_xlnm.Print_Area,3,FALSE))," ",(VLOOKUP(C2616,'[1]خريطة الحسابات'!_xlnm.Print_Area,3,FALSE)))</f>
        <v xml:space="preserve">الخزينة </v>
      </c>
      <c r="E2616" s="142"/>
      <c r="F2616" s="133"/>
      <c r="G2616" s="133">
        <v>200</v>
      </c>
      <c r="H2616" s="134">
        <f t="shared" si="121"/>
        <v>0</v>
      </c>
      <c r="I2616" s="134">
        <f t="shared" si="121"/>
        <v>200</v>
      </c>
      <c r="J2616" s="134">
        <f t="shared" si="120"/>
        <v>-200</v>
      </c>
      <c r="K2616" s="135"/>
      <c r="L2616" s="136" t="str">
        <f t="shared" si="122"/>
        <v>دائن</v>
      </c>
      <c r="M2616" s="137" t="str">
        <f>IF(ISERROR(VLOOKUP(C2616,'[1]خريطة الحسابات'!_xlnm.Print_Area,4,FALSE))," ",(VLOOKUP(C2616,'[1]خريطة الحسابات'!_xlnm.Print_Area,4,FALSE)))</f>
        <v xml:space="preserve">أصول متداوله -النقدية ومافي حكمها </v>
      </c>
      <c r="N2616" s="138" t="str">
        <f>IF(ISERROR(VLOOKUP(C2616,'[1]خريطة الحسابات'!_xlnm.Print_Area,5,FALSE))," ",(VLOOKUP(C2616,'[1]خريطة الحسابات'!_xlnm.Print_Area,5,FALSE)))</f>
        <v>الاصول</v>
      </c>
      <c r="O2616" s="84" t="s">
        <v>2499</v>
      </c>
      <c r="P2616" s="84" t="s">
        <v>1292</v>
      </c>
    </row>
    <row r="2617" spans="1:16">
      <c r="A2617" s="151">
        <v>82</v>
      </c>
      <c r="B2617" s="131">
        <v>46063</v>
      </c>
      <c r="C2617" s="150">
        <v>20</v>
      </c>
      <c r="D2617" s="140" t="str">
        <f>IF(ISERROR(VLOOKUP(C2617,'[1]خريطة الحسابات'!_xlnm.Print_Area,3,FALSE))," ",(VLOOKUP(C2617,'[1]خريطة الحسابات'!_xlnm.Print_Area,3,FALSE)))</f>
        <v xml:space="preserve">الخزينة </v>
      </c>
      <c r="E2617" s="142"/>
      <c r="F2617" s="133"/>
      <c r="G2617" s="133">
        <v>600</v>
      </c>
      <c r="H2617" s="134">
        <f t="shared" si="121"/>
        <v>0</v>
      </c>
      <c r="I2617" s="134">
        <f t="shared" si="121"/>
        <v>600</v>
      </c>
      <c r="J2617" s="134">
        <f t="shared" si="120"/>
        <v>-600</v>
      </c>
      <c r="K2617" s="135"/>
      <c r="L2617" s="136" t="str">
        <f t="shared" si="122"/>
        <v>دائن</v>
      </c>
      <c r="M2617" s="137" t="str">
        <f>IF(ISERROR(VLOOKUP(C2617,'[1]خريطة الحسابات'!_xlnm.Print_Area,4,FALSE))," ",(VLOOKUP(C2617,'[1]خريطة الحسابات'!_xlnm.Print_Area,4,FALSE)))</f>
        <v xml:space="preserve">أصول متداوله -النقدية ومافي حكمها </v>
      </c>
      <c r="N2617" s="138" t="str">
        <f>IF(ISERROR(VLOOKUP(C2617,'[1]خريطة الحسابات'!_xlnm.Print_Area,5,FALSE))," ",(VLOOKUP(C2617,'[1]خريطة الحسابات'!_xlnm.Print_Area,5,FALSE)))</f>
        <v>الاصول</v>
      </c>
      <c r="O2617" s="84" t="s">
        <v>1753</v>
      </c>
      <c r="P2617" s="84" t="s">
        <v>1295</v>
      </c>
    </row>
    <row r="2618" spans="1:16">
      <c r="A2618" s="151">
        <v>82</v>
      </c>
      <c r="B2618" s="131">
        <v>46063</v>
      </c>
      <c r="C2618" s="150">
        <v>20</v>
      </c>
      <c r="D2618" s="140" t="str">
        <f>IF(ISERROR(VLOOKUP(C2618,'[1]خريطة الحسابات'!_xlnm.Print_Area,3,FALSE))," ",(VLOOKUP(C2618,'[1]خريطة الحسابات'!_xlnm.Print_Area,3,FALSE)))</f>
        <v xml:space="preserve">الخزينة </v>
      </c>
      <c r="E2618" s="142"/>
      <c r="F2618" s="133"/>
      <c r="G2618" s="133">
        <v>400</v>
      </c>
      <c r="H2618" s="134">
        <f t="shared" si="121"/>
        <v>0</v>
      </c>
      <c r="I2618" s="134">
        <f t="shared" si="121"/>
        <v>400</v>
      </c>
      <c r="J2618" s="134">
        <f t="shared" si="120"/>
        <v>-400</v>
      </c>
      <c r="K2618" s="135"/>
      <c r="L2618" s="136" t="str">
        <f t="shared" si="122"/>
        <v>دائن</v>
      </c>
      <c r="M2618" s="137" t="str">
        <f>IF(ISERROR(VLOOKUP(C2618,'[1]خريطة الحسابات'!_xlnm.Print_Area,4,FALSE))," ",(VLOOKUP(C2618,'[1]خريطة الحسابات'!_xlnm.Print_Area,4,FALSE)))</f>
        <v xml:space="preserve">أصول متداوله -النقدية ومافي حكمها </v>
      </c>
      <c r="N2618" s="138" t="str">
        <f>IF(ISERROR(VLOOKUP(C2618,'[1]خريطة الحسابات'!_xlnm.Print_Area,5,FALSE))," ",(VLOOKUP(C2618,'[1]خريطة الحسابات'!_xlnm.Print_Area,5,FALSE)))</f>
        <v>الاصول</v>
      </c>
      <c r="O2618" s="84" t="s">
        <v>2500</v>
      </c>
      <c r="P2618" s="84" t="s">
        <v>1295</v>
      </c>
    </row>
    <row r="2619" spans="1:16">
      <c r="A2619" s="151">
        <v>82</v>
      </c>
      <c r="B2619" s="131">
        <v>46135</v>
      </c>
      <c r="C2619" s="150">
        <v>20</v>
      </c>
      <c r="D2619" s="140" t="str">
        <f>IF(ISERROR(VLOOKUP(C2619,'[1]خريطة الحسابات'!_xlnm.Print_Area,3,FALSE))," ",(VLOOKUP(C2619,'[1]خريطة الحسابات'!_xlnm.Print_Area,3,FALSE)))</f>
        <v xml:space="preserve">الخزينة </v>
      </c>
      <c r="E2619" s="142"/>
      <c r="F2619" s="133"/>
      <c r="G2619" s="133">
        <v>500</v>
      </c>
      <c r="H2619" s="134">
        <f t="shared" si="121"/>
        <v>0</v>
      </c>
      <c r="I2619" s="134">
        <f t="shared" si="121"/>
        <v>500</v>
      </c>
      <c r="J2619" s="134">
        <f t="shared" si="120"/>
        <v>-500</v>
      </c>
      <c r="K2619" s="135"/>
      <c r="L2619" s="136" t="str">
        <f t="shared" si="122"/>
        <v>دائن</v>
      </c>
      <c r="M2619" s="137" t="str">
        <f>IF(ISERROR(VLOOKUP(C2619,'[1]خريطة الحسابات'!_xlnm.Print_Area,4,FALSE))," ",(VLOOKUP(C2619,'[1]خريطة الحسابات'!_xlnm.Print_Area,4,FALSE)))</f>
        <v xml:space="preserve">أصول متداوله -النقدية ومافي حكمها </v>
      </c>
      <c r="N2619" s="138" t="str">
        <f>IF(ISERROR(VLOOKUP(C2619,'[1]خريطة الحسابات'!_xlnm.Print_Area,5,FALSE))," ",(VLOOKUP(C2619,'[1]خريطة الحسابات'!_xlnm.Print_Area,5,FALSE)))</f>
        <v>الاصول</v>
      </c>
      <c r="O2619" s="84" t="s">
        <v>2501</v>
      </c>
      <c r="P2619" s="84" t="s">
        <v>1290</v>
      </c>
    </row>
    <row r="2620" spans="1:16">
      <c r="A2620" s="151">
        <v>82</v>
      </c>
      <c r="B2620" s="131">
        <v>46063</v>
      </c>
      <c r="C2620" s="150">
        <v>20</v>
      </c>
      <c r="D2620" s="140" t="str">
        <f>IF(ISERROR(VLOOKUP(C2620,'[1]خريطة الحسابات'!_xlnm.Print_Area,3,FALSE))," ",(VLOOKUP(C2620,'[1]خريطة الحسابات'!_xlnm.Print_Area,3,FALSE)))</f>
        <v xml:space="preserve">الخزينة </v>
      </c>
      <c r="E2620" s="142"/>
      <c r="F2620" s="133"/>
      <c r="G2620" s="133">
        <v>300</v>
      </c>
      <c r="H2620" s="134">
        <f t="shared" si="121"/>
        <v>0</v>
      </c>
      <c r="I2620" s="134">
        <f t="shared" si="121"/>
        <v>300</v>
      </c>
      <c r="J2620" s="134">
        <f t="shared" si="120"/>
        <v>-300</v>
      </c>
      <c r="K2620" s="135"/>
      <c r="L2620" s="136" t="str">
        <f t="shared" si="122"/>
        <v>دائن</v>
      </c>
      <c r="M2620" s="137" t="str">
        <f>IF(ISERROR(VLOOKUP(C2620,'[1]خريطة الحسابات'!_xlnm.Print_Area,4,FALSE))," ",(VLOOKUP(C2620,'[1]خريطة الحسابات'!_xlnm.Print_Area,4,FALSE)))</f>
        <v xml:space="preserve">أصول متداوله -النقدية ومافي حكمها </v>
      </c>
      <c r="N2620" s="138" t="str">
        <f>IF(ISERROR(VLOOKUP(C2620,'[1]خريطة الحسابات'!_xlnm.Print_Area,5,FALSE))," ",(VLOOKUP(C2620,'[1]خريطة الحسابات'!_xlnm.Print_Area,5,FALSE)))</f>
        <v>الاصول</v>
      </c>
      <c r="O2620" s="84" t="s">
        <v>2502</v>
      </c>
      <c r="P2620" s="84" t="s">
        <v>1489</v>
      </c>
    </row>
    <row r="2621" spans="1:16">
      <c r="A2621" s="151">
        <v>82</v>
      </c>
      <c r="B2621" s="131">
        <v>46111</v>
      </c>
      <c r="C2621" s="150">
        <v>20</v>
      </c>
      <c r="D2621" s="140" t="str">
        <f>IF(ISERROR(VLOOKUP(C2621,'[1]خريطة الحسابات'!_xlnm.Print_Area,3,FALSE))," ",(VLOOKUP(C2621,'[1]خريطة الحسابات'!_xlnm.Print_Area,3,FALSE)))</f>
        <v xml:space="preserve">الخزينة </v>
      </c>
      <c r="E2621" s="142"/>
      <c r="F2621" s="133"/>
      <c r="G2621" s="133">
        <v>200</v>
      </c>
      <c r="H2621" s="134">
        <f t="shared" si="121"/>
        <v>0</v>
      </c>
      <c r="I2621" s="134">
        <f t="shared" si="121"/>
        <v>200</v>
      </c>
      <c r="J2621" s="134">
        <f t="shared" si="120"/>
        <v>-200</v>
      </c>
      <c r="K2621" s="135"/>
      <c r="L2621" s="136" t="str">
        <f t="shared" si="122"/>
        <v>دائن</v>
      </c>
      <c r="M2621" s="137" t="str">
        <f>IF(ISERROR(VLOOKUP(C2621,'[1]خريطة الحسابات'!_xlnm.Print_Area,4,FALSE))," ",(VLOOKUP(C2621,'[1]خريطة الحسابات'!_xlnm.Print_Area,4,FALSE)))</f>
        <v xml:space="preserve">أصول متداوله -النقدية ومافي حكمها </v>
      </c>
      <c r="N2621" s="138" t="str">
        <f>IF(ISERROR(VLOOKUP(C2621,'[1]خريطة الحسابات'!_xlnm.Print_Area,5,FALSE))," ",(VLOOKUP(C2621,'[1]خريطة الحسابات'!_xlnm.Print_Area,5,FALSE)))</f>
        <v>الاصول</v>
      </c>
      <c r="O2621" s="84" t="s">
        <v>2503</v>
      </c>
      <c r="P2621" s="84" t="s">
        <v>1405</v>
      </c>
    </row>
    <row r="2622" spans="1:16">
      <c r="A2622" s="151">
        <v>82</v>
      </c>
      <c r="B2622" s="131">
        <v>46046</v>
      </c>
      <c r="C2622" s="150">
        <v>20</v>
      </c>
      <c r="D2622" s="140" t="str">
        <f>IF(ISERROR(VLOOKUP(C2622,'[1]خريطة الحسابات'!_xlnm.Print_Area,3,FALSE))," ",(VLOOKUP(C2622,'[1]خريطة الحسابات'!_xlnm.Print_Area,3,FALSE)))</f>
        <v xml:space="preserve">الخزينة </v>
      </c>
      <c r="E2622" s="142"/>
      <c r="F2622" s="133"/>
      <c r="G2622" s="133">
        <v>800</v>
      </c>
      <c r="H2622" s="134">
        <f t="shared" si="121"/>
        <v>0</v>
      </c>
      <c r="I2622" s="134">
        <f t="shared" si="121"/>
        <v>800</v>
      </c>
      <c r="J2622" s="134">
        <f t="shared" si="120"/>
        <v>-800</v>
      </c>
      <c r="K2622" s="135"/>
      <c r="L2622" s="136" t="str">
        <f t="shared" si="122"/>
        <v>دائن</v>
      </c>
      <c r="M2622" s="137" t="str">
        <f>IF(ISERROR(VLOOKUP(C2622,'[1]خريطة الحسابات'!_xlnm.Print_Area,4,FALSE))," ",(VLOOKUP(C2622,'[1]خريطة الحسابات'!_xlnm.Print_Area,4,FALSE)))</f>
        <v xml:space="preserve">أصول متداوله -النقدية ومافي حكمها </v>
      </c>
      <c r="N2622" s="138" t="str">
        <f>IF(ISERROR(VLOOKUP(C2622,'[1]خريطة الحسابات'!_xlnm.Print_Area,5,FALSE))," ",(VLOOKUP(C2622,'[1]خريطة الحسابات'!_xlnm.Print_Area,5,FALSE)))</f>
        <v>الاصول</v>
      </c>
      <c r="O2622" s="84" t="s">
        <v>2504</v>
      </c>
      <c r="P2622" s="84" t="s">
        <v>1325</v>
      </c>
    </row>
    <row r="2623" spans="1:16">
      <c r="A2623" s="151">
        <v>82</v>
      </c>
      <c r="B2623" s="131">
        <v>46089</v>
      </c>
      <c r="C2623" s="150">
        <v>20</v>
      </c>
      <c r="D2623" s="140" t="str">
        <f>IF(ISERROR(VLOOKUP(C2623,'[1]خريطة الحسابات'!_xlnm.Print_Area,3,FALSE))," ",(VLOOKUP(C2623,'[1]خريطة الحسابات'!_xlnm.Print_Area,3,FALSE)))</f>
        <v xml:space="preserve">الخزينة </v>
      </c>
      <c r="E2623" s="142"/>
      <c r="F2623" s="133"/>
      <c r="G2623" s="133">
        <v>300</v>
      </c>
      <c r="H2623" s="134">
        <f t="shared" si="121"/>
        <v>0</v>
      </c>
      <c r="I2623" s="134">
        <f t="shared" si="121"/>
        <v>300</v>
      </c>
      <c r="J2623" s="134">
        <f t="shared" si="120"/>
        <v>-300</v>
      </c>
      <c r="K2623" s="135"/>
      <c r="L2623" s="136" t="str">
        <f t="shared" si="122"/>
        <v>دائن</v>
      </c>
      <c r="M2623" s="137" t="str">
        <f>IF(ISERROR(VLOOKUP(C2623,'[1]خريطة الحسابات'!_xlnm.Print_Area,4,FALSE))," ",(VLOOKUP(C2623,'[1]خريطة الحسابات'!_xlnm.Print_Area,4,FALSE)))</f>
        <v xml:space="preserve">أصول متداوله -النقدية ومافي حكمها </v>
      </c>
      <c r="N2623" s="138" t="str">
        <f>IF(ISERROR(VLOOKUP(C2623,'[1]خريطة الحسابات'!_xlnm.Print_Area,5,FALSE))," ",(VLOOKUP(C2623,'[1]خريطة الحسابات'!_xlnm.Print_Area,5,FALSE)))</f>
        <v>الاصول</v>
      </c>
      <c r="O2623" s="84" t="s">
        <v>2505</v>
      </c>
      <c r="P2623" s="84" t="s">
        <v>1383</v>
      </c>
    </row>
    <row r="2624" spans="1:16">
      <c r="A2624" s="151">
        <v>82</v>
      </c>
      <c r="B2624" s="131">
        <v>46034</v>
      </c>
      <c r="C2624" s="150">
        <v>20</v>
      </c>
      <c r="D2624" s="140" t="str">
        <f>IF(ISERROR(VLOOKUP(C2624,'[1]خريطة الحسابات'!_xlnm.Print_Area,3,FALSE))," ",(VLOOKUP(C2624,'[1]خريطة الحسابات'!_xlnm.Print_Area,3,FALSE)))</f>
        <v xml:space="preserve">الخزينة </v>
      </c>
      <c r="E2624" s="142"/>
      <c r="F2624" s="133"/>
      <c r="G2624" s="133">
        <v>800</v>
      </c>
      <c r="H2624" s="134">
        <f t="shared" si="121"/>
        <v>0</v>
      </c>
      <c r="I2624" s="134">
        <f t="shared" si="121"/>
        <v>800</v>
      </c>
      <c r="J2624" s="134">
        <f t="shared" si="120"/>
        <v>-800</v>
      </c>
      <c r="K2624" s="135"/>
      <c r="L2624" s="136" t="str">
        <f t="shared" si="122"/>
        <v>دائن</v>
      </c>
      <c r="M2624" s="137" t="str">
        <f>IF(ISERROR(VLOOKUP(C2624,'[1]خريطة الحسابات'!_xlnm.Print_Area,4,FALSE))," ",(VLOOKUP(C2624,'[1]خريطة الحسابات'!_xlnm.Print_Area,4,FALSE)))</f>
        <v xml:space="preserve">أصول متداوله -النقدية ومافي حكمها </v>
      </c>
      <c r="N2624" s="138" t="str">
        <f>IF(ISERROR(VLOOKUP(C2624,'[1]خريطة الحسابات'!_xlnm.Print_Area,5,FALSE))," ",(VLOOKUP(C2624,'[1]خريطة الحسابات'!_xlnm.Print_Area,5,FALSE)))</f>
        <v>الاصول</v>
      </c>
      <c r="O2624" s="84" t="s">
        <v>2506</v>
      </c>
      <c r="P2624" s="84" t="s">
        <v>1342</v>
      </c>
    </row>
    <row r="2625" spans="1:16">
      <c r="A2625" s="151">
        <v>82</v>
      </c>
      <c r="B2625" s="131">
        <v>46034</v>
      </c>
      <c r="C2625" s="150">
        <v>20</v>
      </c>
      <c r="D2625" s="140" t="str">
        <f>IF(ISERROR(VLOOKUP(C2625,'[1]خريطة الحسابات'!_xlnm.Print_Area,3,FALSE))," ",(VLOOKUP(C2625,'[1]خريطة الحسابات'!_xlnm.Print_Area,3,FALSE)))</f>
        <v xml:space="preserve">الخزينة </v>
      </c>
      <c r="E2625" s="142"/>
      <c r="F2625" s="133"/>
      <c r="G2625" s="133">
        <v>200</v>
      </c>
      <c r="H2625" s="134">
        <f t="shared" si="121"/>
        <v>0</v>
      </c>
      <c r="I2625" s="134">
        <f t="shared" si="121"/>
        <v>200</v>
      </c>
      <c r="J2625" s="134">
        <f t="shared" si="120"/>
        <v>-200</v>
      </c>
      <c r="K2625" s="135"/>
      <c r="L2625" s="136" t="str">
        <f t="shared" si="122"/>
        <v>دائن</v>
      </c>
      <c r="M2625" s="137" t="str">
        <f>IF(ISERROR(VLOOKUP(C2625,'[1]خريطة الحسابات'!_xlnm.Print_Area,4,FALSE))," ",(VLOOKUP(C2625,'[1]خريطة الحسابات'!_xlnm.Print_Area,4,FALSE)))</f>
        <v xml:space="preserve">أصول متداوله -النقدية ومافي حكمها </v>
      </c>
      <c r="N2625" s="138" t="str">
        <f>IF(ISERROR(VLOOKUP(C2625,'[1]خريطة الحسابات'!_xlnm.Print_Area,5,FALSE))," ",(VLOOKUP(C2625,'[1]خريطة الحسابات'!_xlnm.Print_Area,5,FALSE)))</f>
        <v>الاصول</v>
      </c>
      <c r="O2625" s="84" t="s">
        <v>2507</v>
      </c>
      <c r="P2625" s="84" t="s">
        <v>1342</v>
      </c>
    </row>
    <row r="2626" spans="1:16">
      <c r="A2626" s="151">
        <v>82</v>
      </c>
      <c r="B2626" s="131">
        <v>46034</v>
      </c>
      <c r="C2626" s="150">
        <v>20</v>
      </c>
      <c r="D2626" s="140" t="str">
        <f>IF(ISERROR(VLOOKUP(C2626,'[1]خريطة الحسابات'!_xlnm.Print_Area,3,FALSE))," ",(VLOOKUP(C2626,'[1]خريطة الحسابات'!_xlnm.Print_Area,3,FALSE)))</f>
        <v xml:space="preserve">الخزينة </v>
      </c>
      <c r="E2626" s="142"/>
      <c r="F2626" s="133"/>
      <c r="G2626" s="133">
        <v>200</v>
      </c>
      <c r="H2626" s="134">
        <f t="shared" si="121"/>
        <v>0</v>
      </c>
      <c r="I2626" s="134">
        <f t="shared" si="121"/>
        <v>200</v>
      </c>
      <c r="J2626" s="134">
        <f t="shared" si="120"/>
        <v>-200</v>
      </c>
      <c r="K2626" s="135"/>
      <c r="L2626" s="136" t="str">
        <f t="shared" si="122"/>
        <v>دائن</v>
      </c>
      <c r="M2626" s="137" t="str">
        <f>IF(ISERROR(VLOOKUP(C2626,'[1]خريطة الحسابات'!_xlnm.Print_Area,4,FALSE))," ",(VLOOKUP(C2626,'[1]خريطة الحسابات'!_xlnm.Print_Area,4,FALSE)))</f>
        <v xml:space="preserve">أصول متداوله -النقدية ومافي حكمها </v>
      </c>
      <c r="N2626" s="138" t="str">
        <f>IF(ISERROR(VLOOKUP(C2626,'[1]خريطة الحسابات'!_xlnm.Print_Area,5,FALSE))," ",(VLOOKUP(C2626,'[1]خريطة الحسابات'!_xlnm.Print_Area,5,FALSE)))</f>
        <v>الاصول</v>
      </c>
      <c r="O2626" s="84" t="s">
        <v>2507</v>
      </c>
      <c r="P2626" s="84" t="s">
        <v>1342</v>
      </c>
    </row>
    <row r="2627" spans="1:16">
      <c r="A2627" s="151">
        <v>82</v>
      </c>
      <c r="B2627" s="131">
        <v>46037</v>
      </c>
      <c r="C2627" s="150">
        <v>20</v>
      </c>
      <c r="D2627" s="140" t="str">
        <f>IF(ISERROR(VLOOKUP(C2627,'[1]خريطة الحسابات'!_xlnm.Print_Area,3,FALSE))," ",(VLOOKUP(C2627,'[1]خريطة الحسابات'!_xlnm.Print_Area,3,FALSE)))</f>
        <v xml:space="preserve">الخزينة </v>
      </c>
      <c r="E2627" s="142"/>
      <c r="F2627" s="133"/>
      <c r="G2627" s="133">
        <v>700</v>
      </c>
      <c r="H2627" s="134">
        <f t="shared" si="121"/>
        <v>0</v>
      </c>
      <c r="I2627" s="134">
        <f t="shared" si="121"/>
        <v>700</v>
      </c>
      <c r="J2627" s="134">
        <f t="shared" si="120"/>
        <v>-700</v>
      </c>
      <c r="K2627" s="135"/>
      <c r="L2627" s="136" t="str">
        <f t="shared" si="122"/>
        <v>دائن</v>
      </c>
      <c r="M2627" s="137" t="str">
        <f>IF(ISERROR(VLOOKUP(C2627,'[1]خريطة الحسابات'!_xlnm.Print_Area,4,FALSE))," ",(VLOOKUP(C2627,'[1]خريطة الحسابات'!_xlnm.Print_Area,4,FALSE)))</f>
        <v xml:space="preserve">أصول متداوله -النقدية ومافي حكمها </v>
      </c>
      <c r="N2627" s="138" t="str">
        <f>IF(ISERROR(VLOOKUP(C2627,'[1]خريطة الحسابات'!_xlnm.Print_Area,5,FALSE))," ",(VLOOKUP(C2627,'[1]خريطة الحسابات'!_xlnm.Print_Area,5,FALSE)))</f>
        <v>الاصول</v>
      </c>
      <c r="O2627" s="84" t="s">
        <v>2508</v>
      </c>
      <c r="P2627" s="84" t="s">
        <v>1342</v>
      </c>
    </row>
    <row r="2628" spans="1:16">
      <c r="A2628" s="151">
        <v>82</v>
      </c>
      <c r="B2628" s="131">
        <v>46042</v>
      </c>
      <c r="C2628" s="150">
        <v>20</v>
      </c>
      <c r="D2628" s="140" t="str">
        <f>IF(ISERROR(VLOOKUP(C2628,'[1]خريطة الحسابات'!_xlnm.Print_Area,3,FALSE))," ",(VLOOKUP(C2628,'[1]خريطة الحسابات'!_xlnm.Print_Area,3,FALSE)))</f>
        <v xml:space="preserve">الخزينة </v>
      </c>
      <c r="E2628" s="142"/>
      <c r="F2628" s="133"/>
      <c r="G2628" s="133">
        <v>300</v>
      </c>
      <c r="H2628" s="134">
        <f t="shared" si="121"/>
        <v>0</v>
      </c>
      <c r="I2628" s="134">
        <f t="shared" si="121"/>
        <v>300</v>
      </c>
      <c r="J2628" s="134">
        <f t="shared" si="120"/>
        <v>-300</v>
      </c>
      <c r="K2628" s="135"/>
      <c r="L2628" s="136" t="str">
        <f t="shared" si="122"/>
        <v>دائن</v>
      </c>
      <c r="M2628" s="137" t="str">
        <f>IF(ISERROR(VLOOKUP(C2628,'[1]خريطة الحسابات'!_xlnm.Print_Area,4,FALSE))," ",(VLOOKUP(C2628,'[1]خريطة الحسابات'!_xlnm.Print_Area,4,FALSE)))</f>
        <v xml:space="preserve">أصول متداوله -النقدية ومافي حكمها </v>
      </c>
      <c r="N2628" s="138" t="str">
        <f>IF(ISERROR(VLOOKUP(C2628,'[1]خريطة الحسابات'!_xlnm.Print_Area,5,FALSE))," ",(VLOOKUP(C2628,'[1]خريطة الحسابات'!_xlnm.Print_Area,5,FALSE)))</f>
        <v>الاصول</v>
      </c>
      <c r="O2628" s="84" t="s">
        <v>2509</v>
      </c>
      <c r="P2628" s="84" t="s">
        <v>1342</v>
      </c>
    </row>
    <row r="2629" spans="1:16" ht="15.6">
      <c r="A2629" s="151">
        <v>83</v>
      </c>
      <c r="B2629" s="131">
        <v>46117</v>
      </c>
      <c r="C2629" s="150">
        <v>104</v>
      </c>
      <c r="D2629" s="140" t="str">
        <f>IF(ISERROR(VLOOKUP(C2629,'[1]خريطة الحسابات'!_xlnm.Print_Area,3,FALSE))," ",(VLOOKUP(C2629,'[1]خريطة الحسابات'!_xlnm.Print_Area,3,FALSE)))</f>
        <v>معدات موقع</v>
      </c>
      <c r="E2629" s="142"/>
      <c r="F2629" s="133">
        <v>11212</v>
      </c>
      <c r="G2629" s="133"/>
      <c r="H2629" s="134">
        <f t="shared" si="121"/>
        <v>11212</v>
      </c>
      <c r="I2629" s="134">
        <f t="shared" si="121"/>
        <v>0</v>
      </c>
      <c r="J2629" s="134">
        <f t="shared" si="120"/>
        <v>11212</v>
      </c>
      <c r="K2629" s="135"/>
      <c r="L2629" s="136" t="str">
        <f t="shared" si="122"/>
        <v>مدين</v>
      </c>
      <c r="M2629" s="137" t="str">
        <f>IF(ISERROR(VLOOKUP(C2629,'[1]خريطة الحسابات'!_xlnm.Print_Area,4,FALSE))," ",(VLOOKUP(C2629,'[1]خريطة الحسابات'!_xlnm.Print_Area,4,FALSE)))</f>
        <v>الأصول ثابتة</v>
      </c>
      <c r="N2629" s="138" t="str">
        <f>IF(ISERROR(VLOOKUP(C2629,'[1]خريطة الحسابات'!_xlnm.Print_Area,5,FALSE))," ",(VLOOKUP(C2629,'[1]خريطة الحسابات'!_xlnm.Print_Area,5,FALSE)))</f>
        <v>الاصول</v>
      </c>
      <c r="O2629" s="129" t="s">
        <v>2510</v>
      </c>
      <c r="P2629" s="128" t="s">
        <v>2511</v>
      </c>
    </row>
    <row r="2630" spans="1:16" ht="15.6">
      <c r="A2630" s="151">
        <v>83</v>
      </c>
      <c r="B2630" s="131">
        <v>46117</v>
      </c>
      <c r="C2630" s="150">
        <v>20</v>
      </c>
      <c r="D2630" s="140" t="str">
        <f>IF(ISERROR(VLOOKUP(C2630,'[1]خريطة الحسابات'!_xlnm.Print_Area,3,FALSE))," ",(VLOOKUP(C2630,'[1]خريطة الحسابات'!_xlnm.Print_Area,3,FALSE)))</f>
        <v xml:space="preserve">الخزينة </v>
      </c>
      <c r="E2630" s="142"/>
      <c r="F2630" s="133"/>
      <c r="G2630" s="133">
        <v>11212</v>
      </c>
      <c r="H2630" s="134">
        <f t="shared" si="121"/>
        <v>0</v>
      </c>
      <c r="I2630" s="134">
        <f t="shared" si="121"/>
        <v>11212</v>
      </c>
      <c r="J2630" s="134">
        <f t="shared" si="120"/>
        <v>-11212</v>
      </c>
      <c r="K2630" s="135"/>
      <c r="L2630" s="136" t="str">
        <f t="shared" si="122"/>
        <v>دائن</v>
      </c>
      <c r="M2630" s="137" t="str">
        <f>IF(ISERROR(VLOOKUP(C2630,'[1]خريطة الحسابات'!_xlnm.Print_Area,4,FALSE))," ",(VLOOKUP(C2630,'[1]خريطة الحسابات'!_xlnm.Print_Area,4,FALSE)))</f>
        <v xml:space="preserve">أصول متداوله -النقدية ومافي حكمها </v>
      </c>
      <c r="N2630" s="138" t="str">
        <f>IF(ISERROR(VLOOKUP(C2630,'[1]خريطة الحسابات'!_xlnm.Print_Area,5,FALSE))," ",(VLOOKUP(C2630,'[1]خريطة الحسابات'!_xlnm.Print_Area,5,FALSE)))</f>
        <v>الاصول</v>
      </c>
      <c r="O2630" s="129" t="s">
        <v>2510</v>
      </c>
      <c r="P2630" s="128" t="s">
        <v>2511</v>
      </c>
    </row>
    <row r="2631" spans="1:16">
      <c r="A2631" s="151">
        <v>84</v>
      </c>
      <c r="B2631" s="131">
        <v>46057</v>
      </c>
      <c r="C2631" s="150">
        <v>103</v>
      </c>
      <c r="D2631" s="140" t="str">
        <f>IF(ISERROR(VLOOKUP(C2631,'[1]خريطة الحسابات'!_xlnm.Print_Area,3,FALSE))," ",(VLOOKUP(C2631,'[1]خريطة الحسابات'!_xlnm.Print_Area,3,FALSE)))</f>
        <v>اجهزة كمبيوتر واجهزة المقر</v>
      </c>
      <c r="E2631" s="142"/>
      <c r="F2631" s="133">
        <v>1800</v>
      </c>
      <c r="G2631" s="133"/>
      <c r="H2631" s="134">
        <f t="shared" si="121"/>
        <v>1800</v>
      </c>
      <c r="I2631" s="134">
        <f t="shared" si="121"/>
        <v>0</v>
      </c>
      <c r="J2631" s="134">
        <f t="shared" si="120"/>
        <v>1800</v>
      </c>
      <c r="K2631" s="135"/>
      <c r="L2631" s="136" t="str">
        <f t="shared" si="122"/>
        <v>مدين</v>
      </c>
      <c r="M2631" s="137" t="str">
        <f>IF(ISERROR(VLOOKUP(C2631,'[1]خريطة الحسابات'!_xlnm.Print_Area,4,FALSE))," ",(VLOOKUP(C2631,'[1]خريطة الحسابات'!_xlnm.Print_Area,4,FALSE)))</f>
        <v>الأصول ثابتة</v>
      </c>
      <c r="N2631" s="138" t="str">
        <f>IF(ISERROR(VLOOKUP(C2631,'[1]خريطة الحسابات'!_xlnm.Print_Area,5,FALSE))," ",(VLOOKUP(C2631,'[1]خريطة الحسابات'!_xlnm.Print_Area,5,FALSE)))</f>
        <v>الاصول</v>
      </c>
      <c r="O2631" s="84" t="s">
        <v>2512</v>
      </c>
      <c r="P2631" s="84" t="s">
        <v>2511</v>
      </c>
    </row>
    <row r="2632" spans="1:16">
      <c r="A2632" s="151">
        <v>84</v>
      </c>
      <c r="B2632" s="131">
        <v>46090</v>
      </c>
      <c r="C2632" s="150">
        <v>103</v>
      </c>
      <c r="D2632" s="140" t="str">
        <f>IF(ISERROR(VLOOKUP(C2632,'[1]خريطة الحسابات'!_xlnm.Print_Area,3,FALSE))," ",(VLOOKUP(C2632,'[1]خريطة الحسابات'!_xlnm.Print_Area,3,FALSE)))</f>
        <v>اجهزة كمبيوتر واجهزة المقر</v>
      </c>
      <c r="E2632" s="142"/>
      <c r="F2632" s="133">
        <v>1800</v>
      </c>
      <c r="G2632" s="133"/>
      <c r="H2632" s="134">
        <f t="shared" si="121"/>
        <v>1800</v>
      </c>
      <c r="I2632" s="134">
        <f t="shared" si="121"/>
        <v>0</v>
      </c>
      <c r="J2632" s="134">
        <f t="shared" si="120"/>
        <v>1800</v>
      </c>
      <c r="K2632" s="135"/>
      <c r="L2632" s="136" t="str">
        <f t="shared" si="122"/>
        <v>مدين</v>
      </c>
      <c r="M2632" s="137" t="str">
        <f>IF(ISERROR(VLOOKUP(C2632,'[1]خريطة الحسابات'!_xlnm.Print_Area,4,FALSE))," ",(VLOOKUP(C2632,'[1]خريطة الحسابات'!_xlnm.Print_Area,4,FALSE)))</f>
        <v>الأصول ثابتة</v>
      </c>
      <c r="N2632" s="138" t="str">
        <f>IF(ISERROR(VLOOKUP(C2632,'[1]خريطة الحسابات'!_xlnm.Print_Area,5,FALSE))," ",(VLOOKUP(C2632,'[1]خريطة الحسابات'!_xlnm.Print_Area,5,FALSE)))</f>
        <v>الاصول</v>
      </c>
      <c r="O2632" s="84" t="s">
        <v>2513</v>
      </c>
      <c r="P2632" s="84" t="s">
        <v>2511</v>
      </c>
    </row>
    <row r="2633" spans="1:16">
      <c r="A2633" s="151">
        <v>84</v>
      </c>
      <c r="B2633" s="131">
        <v>46118</v>
      </c>
      <c r="C2633" s="150">
        <v>103</v>
      </c>
      <c r="D2633" s="140" t="str">
        <f>IF(ISERROR(VLOOKUP(C2633,'[1]خريطة الحسابات'!_xlnm.Print_Area,3,FALSE))," ",(VLOOKUP(C2633,'[1]خريطة الحسابات'!_xlnm.Print_Area,3,FALSE)))</f>
        <v>اجهزة كمبيوتر واجهزة المقر</v>
      </c>
      <c r="E2633" s="142"/>
      <c r="F2633" s="133">
        <v>18500</v>
      </c>
      <c r="G2633" s="133"/>
      <c r="H2633" s="134">
        <f t="shared" si="121"/>
        <v>18500</v>
      </c>
      <c r="I2633" s="134">
        <f t="shared" si="121"/>
        <v>0</v>
      </c>
      <c r="J2633" s="134">
        <f t="shared" si="120"/>
        <v>18500</v>
      </c>
      <c r="K2633" s="135"/>
      <c r="L2633" s="136" t="str">
        <f t="shared" si="122"/>
        <v>مدين</v>
      </c>
      <c r="M2633" s="137" t="str">
        <f>IF(ISERROR(VLOOKUP(C2633,'[1]خريطة الحسابات'!_xlnm.Print_Area,4,FALSE))," ",(VLOOKUP(C2633,'[1]خريطة الحسابات'!_xlnm.Print_Area,4,FALSE)))</f>
        <v>الأصول ثابتة</v>
      </c>
      <c r="N2633" s="138" t="str">
        <f>IF(ISERROR(VLOOKUP(C2633,'[1]خريطة الحسابات'!_xlnm.Print_Area,5,FALSE))," ",(VLOOKUP(C2633,'[1]خريطة الحسابات'!_xlnm.Print_Area,5,FALSE)))</f>
        <v>الاصول</v>
      </c>
      <c r="O2633" s="84" t="s">
        <v>2514</v>
      </c>
      <c r="P2633" s="84" t="s">
        <v>2511</v>
      </c>
    </row>
    <row r="2634" spans="1:16">
      <c r="A2634" s="151">
        <v>84</v>
      </c>
      <c r="B2634" s="131">
        <v>46126</v>
      </c>
      <c r="C2634" s="150">
        <v>103</v>
      </c>
      <c r="D2634" s="140" t="str">
        <f>IF(ISERROR(VLOOKUP(C2634,'[1]خريطة الحسابات'!_xlnm.Print_Area,3,FALSE))," ",(VLOOKUP(C2634,'[1]خريطة الحسابات'!_xlnm.Print_Area,3,FALSE)))</f>
        <v>اجهزة كمبيوتر واجهزة المقر</v>
      </c>
      <c r="E2634" s="142"/>
      <c r="F2634" s="133">
        <v>18000</v>
      </c>
      <c r="G2634" s="133"/>
      <c r="H2634" s="134">
        <f t="shared" si="121"/>
        <v>18000</v>
      </c>
      <c r="I2634" s="134">
        <f t="shared" si="121"/>
        <v>0</v>
      </c>
      <c r="J2634" s="134">
        <f t="shared" si="120"/>
        <v>18000</v>
      </c>
      <c r="K2634" s="135"/>
      <c r="L2634" s="136" t="str">
        <f t="shared" si="122"/>
        <v>مدين</v>
      </c>
      <c r="M2634" s="137" t="str">
        <f>IF(ISERROR(VLOOKUP(C2634,'[1]خريطة الحسابات'!_xlnm.Print_Area,4,FALSE))," ",(VLOOKUP(C2634,'[1]خريطة الحسابات'!_xlnm.Print_Area,4,FALSE)))</f>
        <v>الأصول ثابتة</v>
      </c>
      <c r="N2634" s="138" t="str">
        <f>IF(ISERROR(VLOOKUP(C2634,'[1]خريطة الحسابات'!_xlnm.Print_Area,5,FALSE))," ",(VLOOKUP(C2634,'[1]خريطة الحسابات'!_xlnm.Print_Area,5,FALSE)))</f>
        <v>الاصول</v>
      </c>
      <c r="O2634" s="84" t="s">
        <v>2515</v>
      </c>
      <c r="P2634" s="84" t="s">
        <v>2511</v>
      </c>
    </row>
    <row r="2635" spans="1:16">
      <c r="A2635" s="151">
        <v>84</v>
      </c>
      <c r="B2635" s="131">
        <v>46144</v>
      </c>
      <c r="C2635" s="150">
        <v>103</v>
      </c>
      <c r="D2635" s="140" t="str">
        <f>IF(ISERROR(VLOOKUP(C2635,'[1]خريطة الحسابات'!_xlnm.Print_Area,3,FALSE))," ",(VLOOKUP(C2635,'[1]خريطة الحسابات'!_xlnm.Print_Area,3,FALSE)))</f>
        <v>اجهزة كمبيوتر واجهزة المقر</v>
      </c>
      <c r="E2635" s="142"/>
      <c r="F2635" s="133">
        <v>1900</v>
      </c>
      <c r="G2635" s="133"/>
      <c r="H2635" s="134">
        <f t="shared" si="121"/>
        <v>1900</v>
      </c>
      <c r="I2635" s="134">
        <f t="shared" si="121"/>
        <v>0</v>
      </c>
      <c r="J2635" s="134">
        <f t="shared" si="120"/>
        <v>1900</v>
      </c>
      <c r="K2635" s="135"/>
      <c r="L2635" s="136" t="str">
        <f t="shared" si="122"/>
        <v>مدين</v>
      </c>
      <c r="M2635" s="137" t="str">
        <f>IF(ISERROR(VLOOKUP(C2635,'[1]خريطة الحسابات'!_xlnm.Print_Area,4,FALSE))," ",(VLOOKUP(C2635,'[1]خريطة الحسابات'!_xlnm.Print_Area,4,FALSE)))</f>
        <v>الأصول ثابتة</v>
      </c>
      <c r="N2635" s="138" t="str">
        <f>IF(ISERROR(VLOOKUP(C2635,'[1]خريطة الحسابات'!_xlnm.Print_Area,5,FALSE))," ",(VLOOKUP(C2635,'[1]خريطة الحسابات'!_xlnm.Print_Area,5,FALSE)))</f>
        <v>الاصول</v>
      </c>
      <c r="O2635" s="84" t="s">
        <v>2516</v>
      </c>
      <c r="P2635" s="84" t="s">
        <v>2511</v>
      </c>
    </row>
    <row r="2636" spans="1:16">
      <c r="A2636" s="151">
        <v>84</v>
      </c>
      <c r="B2636" s="131">
        <v>46145</v>
      </c>
      <c r="C2636" s="150">
        <v>103</v>
      </c>
      <c r="D2636" s="140" t="str">
        <f>IF(ISERROR(VLOOKUP(C2636,'[1]خريطة الحسابات'!_xlnm.Print_Area,3,FALSE))," ",(VLOOKUP(C2636,'[1]خريطة الحسابات'!_xlnm.Print_Area,3,FALSE)))</f>
        <v>اجهزة كمبيوتر واجهزة المقر</v>
      </c>
      <c r="E2636" s="142"/>
      <c r="F2636" s="133">
        <v>940</v>
      </c>
      <c r="G2636" s="133"/>
      <c r="H2636" s="134">
        <f t="shared" si="121"/>
        <v>940</v>
      </c>
      <c r="I2636" s="134">
        <f t="shared" si="121"/>
        <v>0</v>
      </c>
      <c r="J2636" s="134">
        <f t="shared" si="120"/>
        <v>940</v>
      </c>
      <c r="K2636" s="135"/>
      <c r="L2636" s="136" t="str">
        <f t="shared" si="122"/>
        <v>مدين</v>
      </c>
      <c r="M2636" s="137" t="str">
        <f>IF(ISERROR(VLOOKUP(C2636,'[1]خريطة الحسابات'!_xlnm.Print_Area,4,FALSE))," ",(VLOOKUP(C2636,'[1]خريطة الحسابات'!_xlnm.Print_Area,4,FALSE)))</f>
        <v>الأصول ثابتة</v>
      </c>
      <c r="N2636" s="138" t="str">
        <f>IF(ISERROR(VLOOKUP(C2636,'[1]خريطة الحسابات'!_xlnm.Print_Area,5,FALSE))," ",(VLOOKUP(C2636,'[1]خريطة الحسابات'!_xlnm.Print_Area,5,FALSE)))</f>
        <v>الاصول</v>
      </c>
      <c r="O2636" s="84" t="s">
        <v>2517</v>
      </c>
      <c r="P2636" s="84" t="s">
        <v>2511</v>
      </c>
    </row>
    <row r="2637" spans="1:16">
      <c r="A2637" s="151">
        <v>84</v>
      </c>
      <c r="B2637" s="131">
        <v>46147</v>
      </c>
      <c r="C2637" s="150">
        <v>103</v>
      </c>
      <c r="D2637" s="140" t="str">
        <f>IF(ISERROR(VLOOKUP(C2637,'[1]خريطة الحسابات'!_xlnm.Print_Area,3,FALSE))," ",(VLOOKUP(C2637,'[1]خريطة الحسابات'!_xlnm.Print_Area,3,FALSE)))</f>
        <v>اجهزة كمبيوتر واجهزة المقر</v>
      </c>
      <c r="E2637" s="142"/>
      <c r="F2637" s="133">
        <v>5000</v>
      </c>
      <c r="G2637" s="133"/>
      <c r="H2637" s="134">
        <f t="shared" si="121"/>
        <v>5000</v>
      </c>
      <c r="I2637" s="134">
        <f t="shared" si="121"/>
        <v>0</v>
      </c>
      <c r="J2637" s="134">
        <f t="shared" si="120"/>
        <v>5000</v>
      </c>
      <c r="K2637" s="135"/>
      <c r="L2637" s="136" t="str">
        <f t="shared" si="122"/>
        <v>مدين</v>
      </c>
      <c r="M2637" s="137" t="str">
        <f>IF(ISERROR(VLOOKUP(C2637,'[1]خريطة الحسابات'!_xlnm.Print_Area,4,FALSE))," ",(VLOOKUP(C2637,'[1]خريطة الحسابات'!_xlnm.Print_Area,4,FALSE)))</f>
        <v>الأصول ثابتة</v>
      </c>
      <c r="N2637" s="138" t="str">
        <f>IF(ISERROR(VLOOKUP(C2637,'[1]خريطة الحسابات'!_xlnm.Print_Area,5,FALSE))," ",(VLOOKUP(C2637,'[1]خريطة الحسابات'!_xlnm.Print_Area,5,FALSE)))</f>
        <v>الاصول</v>
      </c>
      <c r="O2637" s="84" t="s">
        <v>2518</v>
      </c>
      <c r="P2637" s="84" t="s">
        <v>2511</v>
      </c>
    </row>
    <row r="2638" spans="1:16">
      <c r="A2638" s="151">
        <v>84</v>
      </c>
      <c r="B2638" s="131">
        <v>46148</v>
      </c>
      <c r="C2638" s="150">
        <v>103</v>
      </c>
      <c r="D2638" s="140" t="str">
        <f>IF(ISERROR(VLOOKUP(C2638,'[1]خريطة الحسابات'!_xlnm.Print_Area,3,FALSE))," ",(VLOOKUP(C2638,'[1]خريطة الحسابات'!_xlnm.Print_Area,3,FALSE)))</f>
        <v>اجهزة كمبيوتر واجهزة المقر</v>
      </c>
      <c r="E2638" s="142"/>
      <c r="F2638" s="133">
        <v>1000</v>
      </c>
      <c r="G2638" s="133"/>
      <c r="H2638" s="134">
        <f t="shared" si="121"/>
        <v>1000</v>
      </c>
      <c r="I2638" s="134">
        <f t="shared" si="121"/>
        <v>0</v>
      </c>
      <c r="J2638" s="134">
        <f t="shared" si="120"/>
        <v>1000</v>
      </c>
      <c r="K2638" s="135"/>
      <c r="L2638" s="136" t="str">
        <f t="shared" si="122"/>
        <v>مدين</v>
      </c>
      <c r="M2638" s="137" t="str">
        <f>IF(ISERROR(VLOOKUP(C2638,'[1]خريطة الحسابات'!_xlnm.Print_Area,4,FALSE))," ",(VLOOKUP(C2638,'[1]خريطة الحسابات'!_xlnm.Print_Area,4,FALSE)))</f>
        <v>الأصول ثابتة</v>
      </c>
      <c r="N2638" s="138" t="str">
        <f>IF(ISERROR(VLOOKUP(C2638,'[1]خريطة الحسابات'!_xlnm.Print_Area,5,FALSE))," ",(VLOOKUP(C2638,'[1]خريطة الحسابات'!_xlnm.Print_Area,5,FALSE)))</f>
        <v>الاصول</v>
      </c>
      <c r="O2638" s="84" t="s">
        <v>2519</v>
      </c>
      <c r="P2638" s="84" t="s">
        <v>2511</v>
      </c>
    </row>
    <row r="2639" spans="1:16">
      <c r="A2639" s="151">
        <v>84</v>
      </c>
      <c r="B2639" s="131">
        <v>46175</v>
      </c>
      <c r="C2639" s="150">
        <v>103</v>
      </c>
      <c r="D2639" s="140" t="str">
        <f>IF(ISERROR(VLOOKUP(C2639,'[1]خريطة الحسابات'!_xlnm.Print_Area,3,FALSE))," ",(VLOOKUP(C2639,'[1]خريطة الحسابات'!_xlnm.Print_Area,3,FALSE)))</f>
        <v>اجهزة كمبيوتر واجهزة المقر</v>
      </c>
      <c r="E2639" s="142"/>
      <c r="F2639" s="133">
        <v>7202</v>
      </c>
      <c r="G2639" s="133"/>
      <c r="H2639" s="134">
        <f t="shared" si="121"/>
        <v>7202</v>
      </c>
      <c r="I2639" s="134">
        <f t="shared" si="121"/>
        <v>0</v>
      </c>
      <c r="J2639" s="134">
        <f t="shared" si="120"/>
        <v>7202</v>
      </c>
      <c r="K2639" s="135"/>
      <c r="L2639" s="136" t="str">
        <f t="shared" si="122"/>
        <v>مدين</v>
      </c>
      <c r="M2639" s="137" t="str">
        <f>IF(ISERROR(VLOOKUP(C2639,'[1]خريطة الحسابات'!_xlnm.Print_Area,4,FALSE))," ",(VLOOKUP(C2639,'[1]خريطة الحسابات'!_xlnm.Print_Area,4,FALSE)))</f>
        <v>الأصول ثابتة</v>
      </c>
      <c r="N2639" s="138" t="str">
        <f>IF(ISERROR(VLOOKUP(C2639,'[1]خريطة الحسابات'!_xlnm.Print_Area,5,FALSE))," ",(VLOOKUP(C2639,'[1]خريطة الحسابات'!_xlnm.Print_Area,5,FALSE)))</f>
        <v>الاصول</v>
      </c>
      <c r="O2639" s="84" t="s">
        <v>2520</v>
      </c>
      <c r="P2639" s="84" t="s">
        <v>2511</v>
      </c>
    </row>
    <row r="2640" spans="1:16">
      <c r="A2640" s="151">
        <v>84</v>
      </c>
      <c r="B2640" s="131">
        <v>46057</v>
      </c>
      <c r="C2640" s="150">
        <v>20</v>
      </c>
      <c r="D2640" s="140" t="str">
        <f>IF(ISERROR(VLOOKUP(C2640,'[1]خريطة الحسابات'!_xlnm.Print_Area,3,FALSE))," ",(VLOOKUP(C2640,'[1]خريطة الحسابات'!_xlnm.Print_Area,3,FALSE)))</f>
        <v xml:space="preserve">الخزينة </v>
      </c>
      <c r="E2640" s="142"/>
      <c r="F2640" s="133"/>
      <c r="G2640" s="133">
        <v>1800</v>
      </c>
      <c r="H2640" s="134">
        <f t="shared" si="121"/>
        <v>0</v>
      </c>
      <c r="I2640" s="134">
        <f t="shared" si="121"/>
        <v>1800</v>
      </c>
      <c r="J2640" s="134">
        <f t="shared" si="120"/>
        <v>-1800</v>
      </c>
      <c r="K2640" s="135"/>
      <c r="L2640" s="136" t="str">
        <f t="shared" si="122"/>
        <v>دائن</v>
      </c>
      <c r="M2640" s="137" t="str">
        <f>IF(ISERROR(VLOOKUP(C2640,'[1]خريطة الحسابات'!_xlnm.Print_Area,4,FALSE))," ",(VLOOKUP(C2640,'[1]خريطة الحسابات'!_xlnm.Print_Area,4,FALSE)))</f>
        <v xml:space="preserve">أصول متداوله -النقدية ومافي حكمها </v>
      </c>
      <c r="N2640" s="138" t="str">
        <f>IF(ISERROR(VLOOKUP(C2640,'[1]خريطة الحسابات'!_xlnm.Print_Area,5,FALSE))," ",(VLOOKUP(C2640,'[1]خريطة الحسابات'!_xlnm.Print_Area,5,FALSE)))</f>
        <v>الاصول</v>
      </c>
      <c r="O2640" s="84" t="s">
        <v>2512</v>
      </c>
      <c r="P2640" s="84" t="s">
        <v>2511</v>
      </c>
    </row>
    <row r="2641" spans="1:16">
      <c r="A2641" s="151">
        <v>84</v>
      </c>
      <c r="B2641" s="131">
        <v>46090</v>
      </c>
      <c r="C2641" s="150">
        <v>20</v>
      </c>
      <c r="D2641" s="140" t="str">
        <f>IF(ISERROR(VLOOKUP(C2641,'[1]خريطة الحسابات'!_xlnm.Print_Area,3,FALSE))," ",(VLOOKUP(C2641,'[1]خريطة الحسابات'!_xlnm.Print_Area,3,FALSE)))</f>
        <v xml:space="preserve">الخزينة </v>
      </c>
      <c r="E2641" s="142"/>
      <c r="F2641" s="133"/>
      <c r="G2641" s="133">
        <v>1800</v>
      </c>
      <c r="H2641" s="134">
        <f t="shared" si="121"/>
        <v>0</v>
      </c>
      <c r="I2641" s="134">
        <f t="shared" si="121"/>
        <v>1800</v>
      </c>
      <c r="J2641" s="134">
        <f t="shared" si="120"/>
        <v>-1800</v>
      </c>
      <c r="K2641" s="135"/>
      <c r="L2641" s="136" t="str">
        <f t="shared" si="122"/>
        <v>دائن</v>
      </c>
      <c r="M2641" s="137" t="str">
        <f>IF(ISERROR(VLOOKUP(C2641,'[1]خريطة الحسابات'!_xlnm.Print_Area,4,FALSE))," ",(VLOOKUP(C2641,'[1]خريطة الحسابات'!_xlnm.Print_Area,4,FALSE)))</f>
        <v xml:space="preserve">أصول متداوله -النقدية ومافي حكمها </v>
      </c>
      <c r="N2641" s="138" t="str">
        <f>IF(ISERROR(VLOOKUP(C2641,'[1]خريطة الحسابات'!_xlnm.Print_Area,5,FALSE))," ",(VLOOKUP(C2641,'[1]خريطة الحسابات'!_xlnm.Print_Area,5,FALSE)))</f>
        <v>الاصول</v>
      </c>
      <c r="O2641" s="84" t="s">
        <v>2513</v>
      </c>
      <c r="P2641" s="84" t="s">
        <v>2511</v>
      </c>
    </row>
    <row r="2642" spans="1:16">
      <c r="A2642" s="151">
        <v>84</v>
      </c>
      <c r="B2642" s="131">
        <v>46118</v>
      </c>
      <c r="C2642" s="150">
        <v>20</v>
      </c>
      <c r="D2642" s="140" t="str">
        <f>IF(ISERROR(VLOOKUP(C2642,'[1]خريطة الحسابات'!_xlnm.Print_Area,3,FALSE))," ",(VLOOKUP(C2642,'[1]خريطة الحسابات'!_xlnm.Print_Area,3,FALSE)))</f>
        <v xml:space="preserve">الخزينة </v>
      </c>
      <c r="E2642" s="142"/>
      <c r="F2642" s="133"/>
      <c r="G2642" s="133">
        <v>18500</v>
      </c>
      <c r="H2642" s="134">
        <f t="shared" si="121"/>
        <v>0</v>
      </c>
      <c r="I2642" s="134">
        <f t="shared" si="121"/>
        <v>18500</v>
      </c>
      <c r="J2642" s="134">
        <f t="shared" si="120"/>
        <v>-18500</v>
      </c>
      <c r="K2642" s="135"/>
      <c r="L2642" s="136" t="str">
        <f t="shared" si="122"/>
        <v>دائن</v>
      </c>
      <c r="M2642" s="137" t="str">
        <f>IF(ISERROR(VLOOKUP(C2642,'[1]خريطة الحسابات'!_xlnm.Print_Area,4,FALSE))," ",(VLOOKUP(C2642,'[1]خريطة الحسابات'!_xlnm.Print_Area,4,FALSE)))</f>
        <v xml:space="preserve">أصول متداوله -النقدية ومافي حكمها </v>
      </c>
      <c r="N2642" s="138" t="str">
        <f>IF(ISERROR(VLOOKUP(C2642,'[1]خريطة الحسابات'!_xlnm.Print_Area,5,FALSE))," ",(VLOOKUP(C2642,'[1]خريطة الحسابات'!_xlnm.Print_Area,5,FALSE)))</f>
        <v>الاصول</v>
      </c>
      <c r="O2642" s="84" t="s">
        <v>2514</v>
      </c>
      <c r="P2642" s="84" t="s">
        <v>2511</v>
      </c>
    </row>
    <row r="2643" spans="1:16">
      <c r="A2643" s="151">
        <v>84</v>
      </c>
      <c r="B2643" s="131">
        <v>46126</v>
      </c>
      <c r="C2643" s="150">
        <v>20</v>
      </c>
      <c r="D2643" s="140" t="str">
        <f>IF(ISERROR(VLOOKUP(C2643,'[1]خريطة الحسابات'!_xlnm.Print_Area,3,FALSE))," ",(VLOOKUP(C2643,'[1]خريطة الحسابات'!_xlnm.Print_Area,3,FALSE)))</f>
        <v xml:space="preserve">الخزينة </v>
      </c>
      <c r="E2643" s="142"/>
      <c r="F2643" s="133"/>
      <c r="G2643" s="133">
        <v>18000</v>
      </c>
      <c r="H2643" s="134">
        <f t="shared" si="121"/>
        <v>0</v>
      </c>
      <c r="I2643" s="134">
        <f t="shared" si="121"/>
        <v>18000</v>
      </c>
      <c r="J2643" s="134">
        <f t="shared" si="120"/>
        <v>-18000</v>
      </c>
      <c r="K2643" s="135"/>
      <c r="L2643" s="136" t="str">
        <f t="shared" si="122"/>
        <v>دائن</v>
      </c>
      <c r="M2643" s="137" t="str">
        <f>IF(ISERROR(VLOOKUP(C2643,'[1]خريطة الحسابات'!_xlnm.Print_Area,4,FALSE))," ",(VLOOKUP(C2643,'[1]خريطة الحسابات'!_xlnm.Print_Area,4,FALSE)))</f>
        <v xml:space="preserve">أصول متداوله -النقدية ومافي حكمها </v>
      </c>
      <c r="N2643" s="138" t="str">
        <f>IF(ISERROR(VLOOKUP(C2643,'[1]خريطة الحسابات'!_xlnm.Print_Area,5,FALSE))," ",(VLOOKUP(C2643,'[1]خريطة الحسابات'!_xlnm.Print_Area,5,FALSE)))</f>
        <v>الاصول</v>
      </c>
      <c r="O2643" s="84" t="s">
        <v>2515</v>
      </c>
      <c r="P2643" s="84" t="s">
        <v>2511</v>
      </c>
    </row>
    <row r="2644" spans="1:16">
      <c r="A2644" s="151">
        <v>84</v>
      </c>
      <c r="B2644" s="131">
        <v>46144</v>
      </c>
      <c r="C2644" s="150">
        <v>20</v>
      </c>
      <c r="D2644" s="140" t="str">
        <f>IF(ISERROR(VLOOKUP(C2644,'[1]خريطة الحسابات'!_xlnm.Print_Area,3,FALSE))," ",(VLOOKUP(C2644,'[1]خريطة الحسابات'!_xlnm.Print_Area,3,FALSE)))</f>
        <v xml:space="preserve">الخزينة </v>
      </c>
      <c r="E2644" s="142"/>
      <c r="F2644" s="133"/>
      <c r="G2644" s="133">
        <v>1900</v>
      </c>
      <c r="H2644" s="134">
        <f t="shared" si="121"/>
        <v>0</v>
      </c>
      <c r="I2644" s="134">
        <f t="shared" si="121"/>
        <v>1900</v>
      </c>
      <c r="J2644" s="134">
        <f t="shared" si="120"/>
        <v>-1900</v>
      </c>
      <c r="K2644" s="135"/>
      <c r="L2644" s="136" t="str">
        <f t="shared" si="122"/>
        <v>دائن</v>
      </c>
      <c r="M2644" s="137" t="str">
        <f>IF(ISERROR(VLOOKUP(C2644,'[1]خريطة الحسابات'!_xlnm.Print_Area,4,FALSE))," ",(VLOOKUP(C2644,'[1]خريطة الحسابات'!_xlnm.Print_Area,4,FALSE)))</f>
        <v xml:space="preserve">أصول متداوله -النقدية ومافي حكمها </v>
      </c>
      <c r="N2644" s="138" t="str">
        <f>IF(ISERROR(VLOOKUP(C2644,'[1]خريطة الحسابات'!_xlnm.Print_Area,5,FALSE))," ",(VLOOKUP(C2644,'[1]خريطة الحسابات'!_xlnm.Print_Area,5,FALSE)))</f>
        <v>الاصول</v>
      </c>
      <c r="O2644" s="84" t="s">
        <v>2516</v>
      </c>
      <c r="P2644" s="84" t="s">
        <v>2511</v>
      </c>
    </row>
    <row r="2645" spans="1:16">
      <c r="A2645" s="151">
        <v>84</v>
      </c>
      <c r="B2645" s="131">
        <v>46145</v>
      </c>
      <c r="C2645" s="150">
        <v>20</v>
      </c>
      <c r="D2645" s="140" t="str">
        <f>IF(ISERROR(VLOOKUP(C2645,'[1]خريطة الحسابات'!_xlnm.Print_Area,3,FALSE))," ",(VLOOKUP(C2645,'[1]خريطة الحسابات'!_xlnm.Print_Area,3,FALSE)))</f>
        <v xml:space="preserve">الخزينة </v>
      </c>
      <c r="E2645" s="142"/>
      <c r="F2645" s="133"/>
      <c r="G2645" s="133">
        <v>940</v>
      </c>
      <c r="H2645" s="134">
        <f t="shared" si="121"/>
        <v>0</v>
      </c>
      <c r="I2645" s="134">
        <f t="shared" si="121"/>
        <v>940</v>
      </c>
      <c r="J2645" s="134">
        <f t="shared" si="120"/>
        <v>-940</v>
      </c>
      <c r="K2645" s="135"/>
      <c r="L2645" s="136" t="str">
        <f t="shared" si="122"/>
        <v>دائن</v>
      </c>
      <c r="M2645" s="137" t="str">
        <f>IF(ISERROR(VLOOKUP(C2645,'[1]خريطة الحسابات'!_xlnm.Print_Area,4,FALSE))," ",(VLOOKUP(C2645,'[1]خريطة الحسابات'!_xlnm.Print_Area,4,FALSE)))</f>
        <v xml:space="preserve">أصول متداوله -النقدية ومافي حكمها </v>
      </c>
      <c r="N2645" s="138" t="str">
        <f>IF(ISERROR(VLOOKUP(C2645,'[1]خريطة الحسابات'!_xlnm.Print_Area,5,FALSE))," ",(VLOOKUP(C2645,'[1]خريطة الحسابات'!_xlnm.Print_Area,5,FALSE)))</f>
        <v>الاصول</v>
      </c>
      <c r="O2645" s="84" t="s">
        <v>2517</v>
      </c>
      <c r="P2645" s="84" t="s">
        <v>2511</v>
      </c>
    </row>
    <row r="2646" spans="1:16">
      <c r="A2646" s="151">
        <v>84</v>
      </c>
      <c r="B2646" s="131">
        <v>46147</v>
      </c>
      <c r="C2646" s="150">
        <v>20</v>
      </c>
      <c r="D2646" s="140" t="str">
        <f>IF(ISERROR(VLOOKUP(C2646,'[1]خريطة الحسابات'!_xlnm.Print_Area,3,FALSE))," ",(VLOOKUP(C2646,'[1]خريطة الحسابات'!_xlnm.Print_Area,3,FALSE)))</f>
        <v xml:space="preserve">الخزينة </v>
      </c>
      <c r="E2646" s="142"/>
      <c r="F2646" s="133"/>
      <c r="G2646" s="133">
        <v>5000</v>
      </c>
      <c r="H2646" s="134">
        <f t="shared" si="121"/>
        <v>0</v>
      </c>
      <c r="I2646" s="134">
        <f t="shared" si="121"/>
        <v>5000</v>
      </c>
      <c r="J2646" s="134">
        <f t="shared" si="120"/>
        <v>-5000</v>
      </c>
      <c r="K2646" s="135"/>
      <c r="L2646" s="136" t="str">
        <f t="shared" si="122"/>
        <v>دائن</v>
      </c>
      <c r="M2646" s="137" t="str">
        <f>IF(ISERROR(VLOOKUP(C2646,'[1]خريطة الحسابات'!_xlnm.Print_Area,4,FALSE))," ",(VLOOKUP(C2646,'[1]خريطة الحسابات'!_xlnm.Print_Area,4,FALSE)))</f>
        <v xml:space="preserve">أصول متداوله -النقدية ومافي حكمها </v>
      </c>
      <c r="N2646" s="138" t="str">
        <f>IF(ISERROR(VLOOKUP(C2646,'[1]خريطة الحسابات'!_xlnm.Print_Area,5,FALSE))," ",(VLOOKUP(C2646,'[1]خريطة الحسابات'!_xlnm.Print_Area,5,FALSE)))</f>
        <v>الاصول</v>
      </c>
      <c r="O2646" s="84" t="s">
        <v>2518</v>
      </c>
      <c r="P2646" s="84" t="s">
        <v>2511</v>
      </c>
    </row>
    <row r="2647" spans="1:16">
      <c r="A2647" s="151">
        <v>84</v>
      </c>
      <c r="B2647" s="131">
        <v>46148</v>
      </c>
      <c r="C2647" s="150">
        <v>20</v>
      </c>
      <c r="D2647" s="140" t="str">
        <f>IF(ISERROR(VLOOKUP(C2647,'[1]خريطة الحسابات'!_xlnm.Print_Area,3,FALSE))," ",(VLOOKUP(C2647,'[1]خريطة الحسابات'!_xlnm.Print_Area,3,FALSE)))</f>
        <v xml:space="preserve">الخزينة </v>
      </c>
      <c r="E2647" s="142"/>
      <c r="F2647" s="133"/>
      <c r="G2647" s="133">
        <v>1000</v>
      </c>
      <c r="H2647" s="134">
        <f t="shared" si="121"/>
        <v>0</v>
      </c>
      <c r="I2647" s="134">
        <f t="shared" si="121"/>
        <v>1000</v>
      </c>
      <c r="J2647" s="134">
        <f t="shared" si="120"/>
        <v>-1000</v>
      </c>
      <c r="K2647" s="135"/>
      <c r="L2647" s="136" t="str">
        <f t="shared" si="122"/>
        <v>دائن</v>
      </c>
      <c r="M2647" s="137" t="str">
        <f>IF(ISERROR(VLOOKUP(C2647,'[1]خريطة الحسابات'!_xlnm.Print_Area,4,FALSE))," ",(VLOOKUP(C2647,'[1]خريطة الحسابات'!_xlnm.Print_Area,4,FALSE)))</f>
        <v xml:space="preserve">أصول متداوله -النقدية ومافي حكمها </v>
      </c>
      <c r="N2647" s="138" t="str">
        <f>IF(ISERROR(VLOOKUP(C2647,'[1]خريطة الحسابات'!_xlnm.Print_Area,5,FALSE))," ",(VLOOKUP(C2647,'[1]خريطة الحسابات'!_xlnm.Print_Area,5,FALSE)))</f>
        <v>الاصول</v>
      </c>
      <c r="O2647" s="84" t="s">
        <v>2519</v>
      </c>
      <c r="P2647" s="84" t="s">
        <v>2511</v>
      </c>
    </row>
    <row r="2648" spans="1:16">
      <c r="A2648" s="151">
        <v>84</v>
      </c>
      <c r="B2648" s="131">
        <v>46175</v>
      </c>
      <c r="C2648" s="150">
        <v>20</v>
      </c>
      <c r="D2648" s="140" t="str">
        <f>IF(ISERROR(VLOOKUP(C2648,'[1]خريطة الحسابات'!_xlnm.Print_Area,3,FALSE))," ",(VLOOKUP(C2648,'[1]خريطة الحسابات'!_xlnm.Print_Area,3,FALSE)))</f>
        <v xml:space="preserve">الخزينة </v>
      </c>
      <c r="E2648" s="142"/>
      <c r="F2648" s="133"/>
      <c r="G2648" s="133">
        <v>7202</v>
      </c>
      <c r="H2648" s="134">
        <f t="shared" si="121"/>
        <v>0</v>
      </c>
      <c r="I2648" s="134">
        <f t="shared" si="121"/>
        <v>7202</v>
      </c>
      <c r="J2648" s="134">
        <f t="shared" ref="J2648:J2711" si="123">H2648-I2648</f>
        <v>-7202</v>
      </c>
      <c r="K2648" s="135"/>
      <c r="L2648" s="136" t="str">
        <f t="shared" si="122"/>
        <v>دائن</v>
      </c>
      <c r="M2648" s="137" t="str">
        <f>IF(ISERROR(VLOOKUP(C2648,'[1]خريطة الحسابات'!_xlnm.Print_Area,4,FALSE))," ",(VLOOKUP(C2648,'[1]خريطة الحسابات'!_xlnm.Print_Area,4,FALSE)))</f>
        <v xml:space="preserve">أصول متداوله -النقدية ومافي حكمها </v>
      </c>
      <c r="N2648" s="138" t="str">
        <f>IF(ISERROR(VLOOKUP(C2648,'[1]خريطة الحسابات'!_xlnm.Print_Area,5,FALSE))," ",(VLOOKUP(C2648,'[1]خريطة الحسابات'!_xlnm.Print_Area,5,FALSE)))</f>
        <v>الاصول</v>
      </c>
      <c r="O2648" s="84" t="s">
        <v>2520</v>
      </c>
      <c r="P2648" s="84" t="s">
        <v>2511</v>
      </c>
    </row>
    <row r="2649" spans="1:16" ht="15.6">
      <c r="A2649" s="151">
        <v>85</v>
      </c>
      <c r="B2649" s="131">
        <v>46070</v>
      </c>
      <c r="C2649" s="150" t="s">
        <v>335</v>
      </c>
      <c r="D2649" s="140" t="str">
        <f>IF(ISERROR(VLOOKUP(C2649,'[1]خريطة الحسابات'!_xlnm.Print_Area,3,FALSE))," ",(VLOOKUP(C2649,'[1]خريطة الحسابات'!_xlnm.Print_Area,3,FALSE)))</f>
        <v>خامات ومصنعية أعمال النجف والإضاءة</v>
      </c>
      <c r="E2649" s="142"/>
      <c r="F2649" s="133">
        <v>5000</v>
      </c>
      <c r="G2649" s="133"/>
      <c r="H2649" s="134">
        <f t="shared" ref="H2649:I2712" si="124">IF($E2649=2,F2649*3.465,F2649)</f>
        <v>5000</v>
      </c>
      <c r="I2649" s="134">
        <f t="shared" si="124"/>
        <v>0</v>
      </c>
      <c r="J2649" s="134">
        <f t="shared" si="123"/>
        <v>5000</v>
      </c>
      <c r="K2649" s="135"/>
      <c r="L2649" s="136" t="str">
        <f t="shared" si="122"/>
        <v>مدين</v>
      </c>
      <c r="M2649" s="137" t="str">
        <f>IF(ISERROR(VLOOKUP(C2649,'[1]خريطة الحسابات'!_xlnm.Print_Area,4,FALSE))," ",(VLOOKUP(C2649,'[1]خريطة الحسابات'!_xlnm.Print_Area,4,FALSE)))</f>
        <v>تكاليف مشروع العبور 306</v>
      </c>
      <c r="N2649" s="138" t="str">
        <f>IF(ISERROR(VLOOKUP(C2649,'[1]خريطة الحسابات'!_xlnm.Print_Area,5,FALSE))," ",(VLOOKUP(C2649,'[1]خريطة الحسابات'!_xlnm.Print_Area,5,FALSE)))</f>
        <v xml:space="preserve">تكاليف العمليات </v>
      </c>
      <c r="O2649" s="129" t="s">
        <v>2521</v>
      </c>
      <c r="P2649" s="128" t="s">
        <v>1292</v>
      </c>
    </row>
    <row r="2650" spans="1:16" ht="15.6">
      <c r="A2650" s="151">
        <v>85</v>
      </c>
      <c r="B2650" s="131">
        <v>46070</v>
      </c>
      <c r="C2650" s="150">
        <v>20</v>
      </c>
      <c r="D2650" s="140" t="str">
        <f>IF(ISERROR(VLOOKUP(C2650,'[1]خريطة الحسابات'!_xlnm.Print_Area,3,FALSE))," ",(VLOOKUP(C2650,'[1]خريطة الحسابات'!_xlnm.Print_Area,3,FALSE)))</f>
        <v xml:space="preserve">الخزينة </v>
      </c>
      <c r="E2650" s="142"/>
      <c r="F2650" s="133"/>
      <c r="G2650" s="133">
        <v>5000</v>
      </c>
      <c r="H2650" s="134">
        <f t="shared" si="124"/>
        <v>0</v>
      </c>
      <c r="I2650" s="134">
        <f t="shared" si="124"/>
        <v>5000</v>
      </c>
      <c r="J2650" s="134">
        <f t="shared" si="123"/>
        <v>-5000</v>
      </c>
      <c r="K2650" s="135"/>
      <c r="L2650" s="136" t="str">
        <f t="shared" si="122"/>
        <v>دائن</v>
      </c>
      <c r="M2650" s="137" t="str">
        <f>IF(ISERROR(VLOOKUP(C2650,'[1]خريطة الحسابات'!_xlnm.Print_Area,4,FALSE))," ",(VLOOKUP(C2650,'[1]خريطة الحسابات'!_xlnm.Print_Area,4,FALSE)))</f>
        <v xml:space="preserve">أصول متداوله -النقدية ومافي حكمها </v>
      </c>
      <c r="N2650" s="138" t="str">
        <f>IF(ISERROR(VLOOKUP(C2650,'[1]خريطة الحسابات'!_xlnm.Print_Area,5,FALSE))," ",(VLOOKUP(C2650,'[1]خريطة الحسابات'!_xlnm.Print_Area,5,FALSE)))</f>
        <v>الاصول</v>
      </c>
      <c r="O2650" s="129" t="s">
        <v>2521</v>
      </c>
      <c r="P2650" s="128" t="s">
        <v>1292</v>
      </c>
    </row>
    <row r="2651" spans="1:16" ht="15.6">
      <c r="A2651" s="151">
        <v>86</v>
      </c>
      <c r="B2651" s="131">
        <v>46039</v>
      </c>
      <c r="C2651" s="150" t="s">
        <v>29</v>
      </c>
      <c r="D2651" s="140" t="str">
        <f>IF(ISERROR(VLOOKUP(C2651,'[1]خريطة الحسابات'!_xlnm.Print_Area,3,FALSE))," ",(VLOOKUP(C2651,'[1]خريطة الحسابات'!_xlnm.Print_Area,3,FALSE)))</f>
        <v>الايجار</v>
      </c>
      <c r="E2651" s="142"/>
      <c r="F2651" s="133">
        <v>4755</v>
      </c>
      <c r="G2651" s="133"/>
      <c r="H2651" s="134">
        <f t="shared" si="124"/>
        <v>4755</v>
      </c>
      <c r="I2651" s="134">
        <f t="shared" si="124"/>
        <v>0</v>
      </c>
      <c r="J2651" s="134">
        <f t="shared" si="123"/>
        <v>4755</v>
      </c>
      <c r="K2651" s="135"/>
      <c r="L2651" s="136" t="str">
        <f t="shared" ref="L2651:L2714" si="125">IF(J2651&lt;0,"دائن",IF(J2651&gt;0,"مدين",""))</f>
        <v>مدين</v>
      </c>
      <c r="M2651" s="137" t="str">
        <f>IF(ISERROR(VLOOKUP(C2651,'[1]خريطة الحسابات'!_xlnm.Print_Area,4,FALSE))," ",(VLOOKUP(C2651,'[1]خريطة الحسابات'!_xlnm.Print_Area,4,FALSE)))</f>
        <v xml:space="preserve">تكاليف ادارية وعمومية </v>
      </c>
      <c r="N2651" s="138" t="str">
        <f>IF(ISERROR(VLOOKUP(C2651,'[1]خريطة الحسابات'!_xlnm.Print_Area,5,FALSE))," ",(VLOOKUP(C2651,'[1]خريطة الحسابات'!_xlnm.Print_Area,5,FALSE)))</f>
        <v xml:space="preserve">مصروفات </v>
      </c>
      <c r="O2651" s="129" t="s">
        <v>2522</v>
      </c>
      <c r="P2651" s="128" t="s">
        <v>2523</v>
      </c>
    </row>
    <row r="2652" spans="1:16" ht="15.6">
      <c r="A2652" s="151">
        <v>86</v>
      </c>
      <c r="B2652" s="131">
        <v>46056</v>
      </c>
      <c r="C2652" s="150" t="s">
        <v>29</v>
      </c>
      <c r="D2652" s="140" t="str">
        <f>IF(ISERROR(VLOOKUP(C2652,'[1]خريطة الحسابات'!_xlnm.Print_Area,3,FALSE))," ",(VLOOKUP(C2652,'[1]خريطة الحسابات'!_xlnm.Print_Area,3,FALSE)))</f>
        <v>الايجار</v>
      </c>
      <c r="E2652" s="142"/>
      <c r="F2652" s="133">
        <v>41800</v>
      </c>
      <c r="G2652" s="133"/>
      <c r="H2652" s="134">
        <f t="shared" si="124"/>
        <v>41800</v>
      </c>
      <c r="I2652" s="134">
        <f t="shared" si="124"/>
        <v>0</v>
      </c>
      <c r="J2652" s="134">
        <f t="shared" si="123"/>
        <v>41800</v>
      </c>
      <c r="K2652" s="135"/>
      <c r="L2652" s="136" t="str">
        <f t="shared" si="125"/>
        <v>مدين</v>
      </c>
      <c r="M2652" s="137" t="str">
        <f>IF(ISERROR(VLOOKUP(C2652,'[1]خريطة الحسابات'!_xlnm.Print_Area,4,FALSE))," ",(VLOOKUP(C2652,'[1]خريطة الحسابات'!_xlnm.Print_Area,4,FALSE)))</f>
        <v xml:space="preserve">تكاليف ادارية وعمومية </v>
      </c>
      <c r="N2652" s="138" t="str">
        <f>IF(ISERROR(VLOOKUP(C2652,'[1]خريطة الحسابات'!_xlnm.Print_Area,5,FALSE))," ",(VLOOKUP(C2652,'[1]خريطة الحسابات'!_xlnm.Print_Area,5,FALSE)))</f>
        <v xml:space="preserve">مصروفات </v>
      </c>
      <c r="O2652" s="129" t="s">
        <v>2524</v>
      </c>
      <c r="P2652" s="128" t="s">
        <v>2523</v>
      </c>
    </row>
    <row r="2653" spans="1:16" ht="15.6">
      <c r="A2653" s="151">
        <v>86</v>
      </c>
      <c r="B2653" s="131">
        <v>46069</v>
      </c>
      <c r="C2653" s="150" t="s">
        <v>29</v>
      </c>
      <c r="D2653" s="140" t="str">
        <f>IF(ISERROR(VLOOKUP(C2653,'[1]خريطة الحسابات'!_xlnm.Print_Area,3,FALSE))," ",(VLOOKUP(C2653,'[1]خريطة الحسابات'!_xlnm.Print_Area,3,FALSE)))</f>
        <v>الايجار</v>
      </c>
      <c r="E2653" s="142"/>
      <c r="F2653" s="133">
        <v>4755</v>
      </c>
      <c r="G2653" s="133"/>
      <c r="H2653" s="134">
        <f t="shared" si="124"/>
        <v>4755</v>
      </c>
      <c r="I2653" s="134">
        <f t="shared" si="124"/>
        <v>0</v>
      </c>
      <c r="J2653" s="134">
        <f t="shared" si="123"/>
        <v>4755</v>
      </c>
      <c r="K2653" s="135"/>
      <c r="L2653" s="136" t="str">
        <f t="shared" si="125"/>
        <v>مدين</v>
      </c>
      <c r="M2653" s="137" t="str">
        <f>IF(ISERROR(VLOOKUP(C2653,'[1]خريطة الحسابات'!_xlnm.Print_Area,4,FALSE))," ",(VLOOKUP(C2653,'[1]خريطة الحسابات'!_xlnm.Print_Area,4,FALSE)))</f>
        <v xml:space="preserve">تكاليف ادارية وعمومية </v>
      </c>
      <c r="N2653" s="138" t="str">
        <f>IF(ISERROR(VLOOKUP(C2653,'[1]خريطة الحسابات'!_xlnm.Print_Area,5,FALSE))," ",(VLOOKUP(C2653,'[1]خريطة الحسابات'!_xlnm.Print_Area,5,FALSE)))</f>
        <v xml:space="preserve">مصروفات </v>
      </c>
      <c r="O2653" s="129" t="s">
        <v>2522</v>
      </c>
      <c r="P2653" s="128" t="s">
        <v>2523</v>
      </c>
    </row>
    <row r="2654" spans="1:16" ht="15.6">
      <c r="A2654" s="151">
        <v>86</v>
      </c>
      <c r="B2654" s="131">
        <v>46085</v>
      </c>
      <c r="C2654" s="150" t="s">
        <v>29</v>
      </c>
      <c r="D2654" s="140" t="str">
        <f>IF(ISERROR(VLOOKUP(C2654,'[1]خريطة الحسابات'!_xlnm.Print_Area,3,FALSE))," ",(VLOOKUP(C2654,'[1]خريطة الحسابات'!_xlnm.Print_Area,3,FALSE)))</f>
        <v>الايجار</v>
      </c>
      <c r="E2654" s="142"/>
      <c r="F2654" s="133">
        <v>41800</v>
      </c>
      <c r="G2654" s="133"/>
      <c r="H2654" s="134">
        <f t="shared" si="124"/>
        <v>41800</v>
      </c>
      <c r="I2654" s="134">
        <f t="shared" si="124"/>
        <v>0</v>
      </c>
      <c r="J2654" s="134">
        <f t="shared" si="123"/>
        <v>41800</v>
      </c>
      <c r="K2654" s="135"/>
      <c r="L2654" s="136" t="str">
        <f t="shared" si="125"/>
        <v>مدين</v>
      </c>
      <c r="M2654" s="137" t="str">
        <f>IF(ISERROR(VLOOKUP(C2654,'[1]خريطة الحسابات'!_xlnm.Print_Area,4,FALSE))," ",(VLOOKUP(C2654,'[1]خريطة الحسابات'!_xlnm.Print_Area,4,FALSE)))</f>
        <v xml:space="preserve">تكاليف ادارية وعمومية </v>
      </c>
      <c r="N2654" s="138" t="str">
        <f>IF(ISERROR(VLOOKUP(C2654,'[1]خريطة الحسابات'!_xlnm.Print_Area,5,FALSE))," ",(VLOOKUP(C2654,'[1]خريطة الحسابات'!_xlnm.Print_Area,5,FALSE)))</f>
        <v xml:space="preserve">مصروفات </v>
      </c>
      <c r="O2654" s="129" t="s">
        <v>2525</v>
      </c>
      <c r="P2654" s="128" t="s">
        <v>2523</v>
      </c>
    </row>
    <row r="2655" spans="1:16" ht="15.6">
      <c r="A2655" s="151">
        <v>86</v>
      </c>
      <c r="B2655" s="131">
        <v>46099</v>
      </c>
      <c r="C2655" s="150" t="s">
        <v>29</v>
      </c>
      <c r="D2655" s="140" t="str">
        <f>IF(ISERROR(VLOOKUP(C2655,'[1]خريطة الحسابات'!_xlnm.Print_Area,3,FALSE))," ",(VLOOKUP(C2655,'[1]خريطة الحسابات'!_xlnm.Print_Area,3,FALSE)))</f>
        <v>الايجار</v>
      </c>
      <c r="E2655" s="142"/>
      <c r="F2655" s="133">
        <v>4755</v>
      </c>
      <c r="G2655" s="133"/>
      <c r="H2655" s="134">
        <f t="shared" si="124"/>
        <v>4755</v>
      </c>
      <c r="I2655" s="134">
        <f t="shared" si="124"/>
        <v>0</v>
      </c>
      <c r="J2655" s="134">
        <f t="shared" si="123"/>
        <v>4755</v>
      </c>
      <c r="K2655" s="135"/>
      <c r="L2655" s="136" t="str">
        <f t="shared" si="125"/>
        <v>مدين</v>
      </c>
      <c r="M2655" s="137" t="str">
        <f>IF(ISERROR(VLOOKUP(C2655,'[1]خريطة الحسابات'!_xlnm.Print_Area,4,FALSE))," ",(VLOOKUP(C2655,'[1]خريطة الحسابات'!_xlnm.Print_Area,4,FALSE)))</f>
        <v xml:space="preserve">تكاليف ادارية وعمومية </v>
      </c>
      <c r="N2655" s="138" t="str">
        <f>IF(ISERROR(VLOOKUP(C2655,'[1]خريطة الحسابات'!_xlnm.Print_Area,5,FALSE))," ",(VLOOKUP(C2655,'[1]خريطة الحسابات'!_xlnm.Print_Area,5,FALSE)))</f>
        <v xml:space="preserve">مصروفات </v>
      </c>
      <c r="O2655" s="129" t="s">
        <v>2522</v>
      </c>
      <c r="P2655" s="128" t="s">
        <v>2523</v>
      </c>
    </row>
    <row r="2656" spans="1:16" ht="15.6">
      <c r="A2656" s="151">
        <v>86</v>
      </c>
      <c r="B2656" s="131">
        <v>46119</v>
      </c>
      <c r="C2656" s="150" t="s">
        <v>29</v>
      </c>
      <c r="D2656" s="140" t="str">
        <f>IF(ISERROR(VLOOKUP(C2656,'[1]خريطة الحسابات'!_xlnm.Print_Area,3,FALSE))," ",(VLOOKUP(C2656,'[1]خريطة الحسابات'!_xlnm.Print_Area,3,FALSE)))</f>
        <v>الايجار</v>
      </c>
      <c r="E2656" s="142"/>
      <c r="F2656" s="133">
        <v>41800</v>
      </c>
      <c r="G2656" s="133"/>
      <c r="H2656" s="134">
        <f t="shared" si="124"/>
        <v>41800</v>
      </c>
      <c r="I2656" s="134">
        <f t="shared" si="124"/>
        <v>0</v>
      </c>
      <c r="J2656" s="134">
        <f t="shared" si="123"/>
        <v>41800</v>
      </c>
      <c r="K2656" s="135"/>
      <c r="L2656" s="136" t="str">
        <f t="shared" si="125"/>
        <v>مدين</v>
      </c>
      <c r="M2656" s="137" t="str">
        <f>IF(ISERROR(VLOOKUP(C2656,'[1]خريطة الحسابات'!_xlnm.Print_Area,4,FALSE))," ",(VLOOKUP(C2656,'[1]خريطة الحسابات'!_xlnm.Print_Area,4,FALSE)))</f>
        <v xml:space="preserve">تكاليف ادارية وعمومية </v>
      </c>
      <c r="N2656" s="138" t="str">
        <f>IF(ISERROR(VLOOKUP(C2656,'[1]خريطة الحسابات'!_xlnm.Print_Area,5,FALSE))," ",(VLOOKUP(C2656,'[1]خريطة الحسابات'!_xlnm.Print_Area,5,FALSE)))</f>
        <v xml:space="preserve">مصروفات </v>
      </c>
      <c r="O2656" s="129" t="s">
        <v>2526</v>
      </c>
      <c r="P2656" s="128" t="s">
        <v>2523</v>
      </c>
    </row>
    <row r="2657" spans="1:16" ht="15.6">
      <c r="A2657" s="151">
        <v>86</v>
      </c>
      <c r="B2657" s="131">
        <v>46127</v>
      </c>
      <c r="C2657" s="150" t="s">
        <v>29</v>
      </c>
      <c r="D2657" s="140" t="str">
        <f>IF(ISERROR(VLOOKUP(C2657,'[1]خريطة الحسابات'!_xlnm.Print_Area,3,FALSE))," ",(VLOOKUP(C2657,'[1]خريطة الحسابات'!_xlnm.Print_Area,3,FALSE)))</f>
        <v>الايجار</v>
      </c>
      <c r="E2657" s="142"/>
      <c r="F2657" s="133">
        <v>4750</v>
      </c>
      <c r="G2657" s="133"/>
      <c r="H2657" s="134">
        <f t="shared" si="124"/>
        <v>4750</v>
      </c>
      <c r="I2657" s="134">
        <f t="shared" si="124"/>
        <v>0</v>
      </c>
      <c r="J2657" s="134">
        <f t="shared" si="123"/>
        <v>4750</v>
      </c>
      <c r="K2657" s="135"/>
      <c r="L2657" s="136" t="str">
        <f t="shared" si="125"/>
        <v>مدين</v>
      </c>
      <c r="M2657" s="137" t="str">
        <f>IF(ISERROR(VLOOKUP(C2657,'[1]خريطة الحسابات'!_xlnm.Print_Area,4,FALSE))," ",(VLOOKUP(C2657,'[1]خريطة الحسابات'!_xlnm.Print_Area,4,FALSE)))</f>
        <v xml:space="preserve">تكاليف ادارية وعمومية </v>
      </c>
      <c r="N2657" s="138" t="str">
        <f>IF(ISERROR(VLOOKUP(C2657,'[1]خريطة الحسابات'!_xlnm.Print_Area,5,FALSE))," ",(VLOOKUP(C2657,'[1]خريطة الحسابات'!_xlnm.Print_Area,5,FALSE)))</f>
        <v xml:space="preserve">مصروفات </v>
      </c>
      <c r="O2657" s="129" t="s">
        <v>2522</v>
      </c>
      <c r="P2657" s="128" t="s">
        <v>2523</v>
      </c>
    </row>
    <row r="2658" spans="1:16" ht="15.6">
      <c r="A2658" s="151">
        <v>86</v>
      </c>
      <c r="B2658" s="131">
        <v>46145</v>
      </c>
      <c r="C2658" s="150" t="s">
        <v>29</v>
      </c>
      <c r="D2658" s="140" t="str">
        <f>IF(ISERROR(VLOOKUP(C2658,'[1]خريطة الحسابات'!_xlnm.Print_Area,3,FALSE))," ",(VLOOKUP(C2658,'[1]خريطة الحسابات'!_xlnm.Print_Area,3,FALSE)))</f>
        <v>الايجار</v>
      </c>
      <c r="E2658" s="142"/>
      <c r="F2658" s="133">
        <v>41820</v>
      </c>
      <c r="G2658" s="133"/>
      <c r="H2658" s="134">
        <f t="shared" si="124"/>
        <v>41820</v>
      </c>
      <c r="I2658" s="134">
        <f t="shared" si="124"/>
        <v>0</v>
      </c>
      <c r="J2658" s="134">
        <f t="shared" si="123"/>
        <v>41820</v>
      </c>
      <c r="K2658" s="135"/>
      <c r="L2658" s="136" t="str">
        <f t="shared" si="125"/>
        <v>مدين</v>
      </c>
      <c r="M2658" s="137" t="str">
        <f>IF(ISERROR(VLOOKUP(C2658,'[1]خريطة الحسابات'!_xlnm.Print_Area,4,FALSE))," ",(VLOOKUP(C2658,'[1]خريطة الحسابات'!_xlnm.Print_Area,4,FALSE)))</f>
        <v xml:space="preserve">تكاليف ادارية وعمومية </v>
      </c>
      <c r="N2658" s="138" t="str">
        <f>IF(ISERROR(VLOOKUP(C2658,'[1]خريطة الحسابات'!_xlnm.Print_Area,5,FALSE))," ",(VLOOKUP(C2658,'[1]خريطة الحسابات'!_xlnm.Print_Area,5,FALSE)))</f>
        <v xml:space="preserve">مصروفات </v>
      </c>
      <c r="O2658" s="129" t="s">
        <v>2527</v>
      </c>
      <c r="P2658" s="128" t="s">
        <v>2523</v>
      </c>
    </row>
    <row r="2659" spans="1:16" ht="15.6">
      <c r="A2659" s="151">
        <v>86</v>
      </c>
      <c r="B2659" s="131">
        <v>46158</v>
      </c>
      <c r="C2659" s="150" t="s">
        <v>29</v>
      </c>
      <c r="D2659" s="140" t="str">
        <f>IF(ISERROR(VLOOKUP(C2659,'[1]خريطة الحسابات'!_xlnm.Print_Area,3,FALSE))," ",(VLOOKUP(C2659,'[1]خريطة الحسابات'!_xlnm.Print_Area,3,FALSE)))</f>
        <v>الايجار</v>
      </c>
      <c r="E2659" s="142"/>
      <c r="F2659" s="133">
        <v>4755</v>
      </c>
      <c r="G2659" s="133"/>
      <c r="H2659" s="134">
        <f t="shared" si="124"/>
        <v>4755</v>
      </c>
      <c r="I2659" s="134">
        <f t="shared" si="124"/>
        <v>0</v>
      </c>
      <c r="J2659" s="134">
        <f t="shared" si="123"/>
        <v>4755</v>
      </c>
      <c r="K2659" s="135"/>
      <c r="L2659" s="136" t="str">
        <f t="shared" si="125"/>
        <v>مدين</v>
      </c>
      <c r="M2659" s="137" t="str">
        <f>IF(ISERROR(VLOOKUP(C2659,'[1]خريطة الحسابات'!_xlnm.Print_Area,4,FALSE))," ",(VLOOKUP(C2659,'[1]خريطة الحسابات'!_xlnm.Print_Area,4,FALSE)))</f>
        <v xml:space="preserve">تكاليف ادارية وعمومية </v>
      </c>
      <c r="N2659" s="138" t="str">
        <f>IF(ISERROR(VLOOKUP(C2659,'[1]خريطة الحسابات'!_xlnm.Print_Area,5,FALSE))," ",(VLOOKUP(C2659,'[1]خريطة الحسابات'!_xlnm.Print_Area,5,FALSE)))</f>
        <v xml:space="preserve">مصروفات </v>
      </c>
      <c r="O2659" s="129" t="s">
        <v>2522</v>
      </c>
      <c r="P2659" s="128" t="s">
        <v>2523</v>
      </c>
    </row>
    <row r="2660" spans="1:16" ht="15.6">
      <c r="A2660" s="151">
        <v>86</v>
      </c>
      <c r="B2660" s="131">
        <v>46174</v>
      </c>
      <c r="C2660" s="150" t="s">
        <v>29</v>
      </c>
      <c r="D2660" s="140" t="str">
        <f>IF(ISERROR(VLOOKUP(C2660,'[1]خريطة الحسابات'!_xlnm.Print_Area,3,FALSE))," ",(VLOOKUP(C2660,'[1]خريطة الحسابات'!_xlnm.Print_Area,3,FALSE)))</f>
        <v>الايجار</v>
      </c>
      <c r="E2660" s="142"/>
      <c r="F2660" s="133">
        <v>41800</v>
      </c>
      <c r="G2660" s="133"/>
      <c r="H2660" s="134">
        <f t="shared" si="124"/>
        <v>41800</v>
      </c>
      <c r="I2660" s="134">
        <f t="shared" si="124"/>
        <v>0</v>
      </c>
      <c r="J2660" s="134">
        <f t="shared" si="123"/>
        <v>41800</v>
      </c>
      <c r="K2660" s="135"/>
      <c r="L2660" s="136" t="str">
        <f t="shared" si="125"/>
        <v>مدين</v>
      </c>
      <c r="M2660" s="137" t="str">
        <f>IF(ISERROR(VLOOKUP(C2660,'[1]خريطة الحسابات'!_xlnm.Print_Area,4,FALSE))," ",(VLOOKUP(C2660,'[1]خريطة الحسابات'!_xlnm.Print_Area,4,FALSE)))</f>
        <v xml:space="preserve">تكاليف ادارية وعمومية </v>
      </c>
      <c r="N2660" s="138" t="str">
        <f>IF(ISERROR(VLOOKUP(C2660,'[1]خريطة الحسابات'!_xlnm.Print_Area,5,FALSE))," ",(VLOOKUP(C2660,'[1]خريطة الحسابات'!_xlnm.Print_Area,5,FALSE)))</f>
        <v xml:space="preserve">مصروفات </v>
      </c>
      <c r="O2660" s="129" t="s">
        <v>2528</v>
      </c>
      <c r="P2660" s="128" t="s">
        <v>2523</v>
      </c>
    </row>
    <row r="2661" spans="1:16" ht="15.6">
      <c r="A2661" s="151">
        <v>86</v>
      </c>
      <c r="B2661" s="131">
        <v>46039</v>
      </c>
      <c r="C2661" s="150">
        <v>20</v>
      </c>
      <c r="D2661" s="140" t="str">
        <f>IF(ISERROR(VLOOKUP(C2661,'[1]خريطة الحسابات'!_xlnm.Print_Area,3,FALSE))," ",(VLOOKUP(C2661,'[1]خريطة الحسابات'!_xlnm.Print_Area,3,FALSE)))</f>
        <v xml:space="preserve">الخزينة </v>
      </c>
      <c r="E2661" s="142"/>
      <c r="F2661" s="133"/>
      <c r="G2661" s="133">
        <v>4755</v>
      </c>
      <c r="H2661" s="134">
        <f t="shared" si="124"/>
        <v>0</v>
      </c>
      <c r="I2661" s="134">
        <f t="shared" si="124"/>
        <v>4755</v>
      </c>
      <c r="J2661" s="134">
        <f t="shared" si="123"/>
        <v>-4755</v>
      </c>
      <c r="K2661" s="135"/>
      <c r="L2661" s="136" t="str">
        <f t="shared" si="125"/>
        <v>دائن</v>
      </c>
      <c r="M2661" s="137" t="str">
        <f>IF(ISERROR(VLOOKUP(C2661,'[1]خريطة الحسابات'!_xlnm.Print_Area,4,FALSE))," ",(VLOOKUP(C2661,'[1]خريطة الحسابات'!_xlnm.Print_Area,4,FALSE)))</f>
        <v xml:space="preserve">أصول متداوله -النقدية ومافي حكمها </v>
      </c>
      <c r="N2661" s="138" t="str">
        <f>IF(ISERROR(VLOOKUP(C2661,'[1]خريطة الحسابات'!_xlnm.Print_Area,5,FALSE))," ",(VLOOKUP(C2661,'[1]خريطة الحسابات'!_xlnm.Print_Area,5,FALSE)))</f>
        <v>الاصول</v>
      </c>
      <c r="O2661" s="129" t="s">
        <v>2522</v>
      </c>
      <c r="P2661" s="128" t="s">
        <v>2523</v>
      </c>
    </row>
    <row r="2662" spans="1:16" ht="15.6">
      <c r="A2662" s="151">
        <v>86</v>
      </c>
      <c r="B2662" s="131">
        <v>46056</v>
      </c>
      <c r="C2662" s="150">
        <v>20</v>
      </c>
      <c r="D2662" s="140" t="str">
        <f>IF(ISERROR(VLOOKUP(C2662,'[1]خريطة الحسابات'!_xlnm.Print_Area,3,FALSE))," ",(VLOOKUP(C2662,'[1]خريطة الحسابات'!_xlnm.Print_Area,3,FALSE)))</f>
        <v xml:space="preserve">الخزينة </v>
      </c>
      <c r="E2662" s="142"/>
      <c r="F2662" s="133"/>
      <c r="G2662" s="133">
        <v>41800</v>
      </c>
      <c r="H2662" s="134">
        <f t="shared" si="124"/>
        <v>0</v>
      </c>
      <c r="I2662" s="134">
        <f t="shared" si="124"/>
        <v>41800</v>
      </c>
      <c r="J2662" s="134">
        <f t="shared" si="123"/>
        <v>-41800</v>
      </c>
      <c r="K2662" s="135"/>
      <c r="L2662" s="136" t="str">
        <f t="shared" si="125"/>
        <v>دائن</v>
      </c>
      <c r="M2662" s="137" t="str">
        <f>IF(ISERROR(VLOOKUP(C2662,'[1]خريطة الحسابات'!_xlnm.Print_Area,4,FALSE))," ",(VLOOKUP(C2662,'[1]خريطة الحسابات'!_xlnm.Print_Area,4,FALSE)))</f>
        <v xml:space="preserve">أصول متداوله -النقدية ومافي حكمها </v>
      </c>
      <c r="N2662" s="138" t="str">
        <f>IF(ISERROR(VLOOKUP(C2662,'[1]خريطة الحسابات'!_xlnm.Print_Area,5,FALSE))," ",(VLOOKUP(C2662,'[1]خريطة الحسابات'!_xlnm.Print_Area,5,FALSE)))</f>
        <v>الاصول</v>
      </c>
      <c r="O2662" s="129" t="s">
        <v>2524</v>
      </c>
      <c r="P2662" s="128" t="s">
        <v>2523</v>
      </c>
    </row>
    <row r="2663" spans="1:16" ht="15.6">
      <c r="A2663" s="151">
        <v>86</v>
      </c>
      <c r="B2663" s="131">
        <v>46069</v>
      </c>
      <c r="C2663" s="150">
        <v>20</v>
      </c>
      <c r="D2663" s="140" t="str">
        <f>IF(ISERROR(VLOOKUP(C2663,'[1]خريطة الحسابات'!_xlnm.Print_Area,3,FALSE))," ",(VLOOKUP(C2663,'[1]خريطة الحسابات'!_xlnm.Print_Area,3,FALSE)))</f>
        <v xml:space="preserve">الخزينة </v>
      </c>
      <c r="E2663" s="142"/>
      <c r="F2663" s="133"/>
      <c r="G2663" s="133">
        <v>4755</v>
      </c>
      <c r="H2663" s="134">
        <f t="shared" si="124"/>
        <v>0</v>
      </c>
      <c r="I2663" s="134">
        <f t="shared" si="124"/>
        <v>4755</v>
      </c>
      <c r="J2663" s="134">
        <f t="shared" si="123"/>
        <v>-4755</v>
      </c>
      <c r="K2663" s="135"/>
      <c r="L2663" s="136" t="str">
        <f t="shared" si="125"/>
        <v>دائن</v>
      </c>
      <c r="M2663" s="137" t="str">
        <f>IF(ISERROR(VLOOKUP(C2663,'[1]خريطة الحسابات'!_xlnm.Print_Area,4,FALSE))," ",(VLOOKUP(C2663,'[1]خريطة الحسابات'!_xlnm.Print_Area,4,FALSE)))</f>
        <v xml:space="preserve">أصول متداوله -النقدية ومافي حكمها </v>
      </c>
      <c r="N2663" s="138" t="str">
        <f>IF(ISERROR(VLOOKUP(C2663,'[1]خريطة الحسابات'!_xlnm.Print_Area,5,FALSE))," ",(VLOOKUP(C2663,'[1]خريطة الحسابات'!_xlnm.Print_Area,5,FALSE)))</f>
        <v>الاصول</v>
      </c>
      <c r="O2663" s="129" t="s">
        <v>2522</v>
      </c>
      <c r="P2663" s="128" t="s">
        <v>2523</v>
      </c>
    </row>
    <row r="2664" spans="1:16" ht="15.6">
      <c r="A2664" s="151">
        <v>86</v>
      </c>
      <c r="B2664" s="131">
        <v>46085</v>
      </c>
      <c r="C2664" s="150">
        <v>20</v>
      </c>
      <c r="D2664" s="140" t="str">
        <f>IF(ISERROR(VLOOKUP(C2664,'[1]خريطة الحسابات'!_xlnm.Print_Area,3,FALSE))," ",(VLOOKUP(C2664,'[1]خريطة الحسابات'!_xlnm.Print_Area,3,FALSE)))</f>
        <v xml:space="preserve">الخزينة </v>
      </c>
      <c r="E2664" s="142"/>
      <c r="F2664" s="133"/>
      <c r="G2664" s="133">
        <v>41800</v>
      </c>
      <c r="H2664" s="134">
        <f t="shared" si="124"/>
        <v>0</v>
      </c>
      <c r="I2664" s="134">
        <f t="shared" si="124"/>
        <v>41800</v>
      </c>
      <c r="J2664" s="134">
        <f t="shared" si="123"/>
        <v>-41800</v>
      </c>
      <c r="K2664" s="135"/>
      <c r="L2664" s="136" t="str">
        <f t="shared" si="125"/>
        <v>دائن</v>
      </c>
      <c r="M2664" s="137" t="str">
        <f>IF(ISERROR(VLOOKUP(C2664,'[1]خريطة الحسابات'!_xlnm.Print_Area,4,FALSE))," ",(VLOOKUP(C2664,'[1]خريطة الحسابات'!_xlnm.Print_Area,4,FALSE)))</f>
        <v xml:space="preserve">أصول متداوله -النقدية ومافي حكمها </v>
      </c>
      <c r="N2664" s="138" t="str">
        <f>IF(ISERROR(VLOOKUP(C2664,'[1]خريطة الحسابات'!_xlnm.Print_Area,5,FALSE))," ",(VLOOKUP(C2664,'[1]خريطة الحسابات'!_xlnm.Print_Area,5,FALSE)))</f>
        <v>الاصول</v>
      </c>
      <c r="O2664" s="129" t="s">
        <v>2525</v>
      </c>
      <c r="P2664" s="128" t="s">
        <v>2523</v>
      </c>
    </row>
    <row r="2665" spans="1:16" ht="15.6">
      <c r="A2665" s="151">
        <v>86</v>
      </c>
      <c r="B2665" s="131">
        <v>46099</v>
      </c>
      <c r="C2665" s="150">
        <v>20</v>
      </c>
      <c r="D2665" s="140" t="str">
        <f>IF(ISERROR(VLOOKUP(C2665,'[1]خريطة الحسابات'!_xlnm.Print_Area,3,FALSE))," ",(VLOOKUP(C2665,'[1]خريطة الحسابات'!_xlnm.Print_Area,3,FALSE)))</f>
        <v xml:space="preserve">الخزينة </v>
      </c>
      <c r="E2665" s="142"/>
      <c r="F2665" s="133"/>
      <c r="G2665" s="133">
        <v>4755</v>
      </c>
      <c r="H2665" s="134">
        <f t="shared" si="124"/>
        <v>0</v>
      </c>
      <c r="I2665" s="134">
        <f t="shared" si="124"/>
        <v>4755</v>
      </c>
      <c r="J2665" s="134">
        <f t="shared" si="123"/>
        <v>-4755</v>
      </c>
      <c r="K2665" s="135"/>
      <c r="L2665" s="136" t="str">
        <f t="shared" si="125"/>
        <v>دائن</v>
      </c>
      <c r="M2665" s="137" t="str">
        <f>IF(ISERROR(VLOOKUP(C2665,'[1]خريطة الحسابات'!_xlnm.Print_Area,4,FALSE))," ",(VLOOKUP(C2665,'[1]خريطة الحسابات'!_xlnm.Print_Area,4,FALSE)))</f>
        <v xml:space="preserve">أصول متداوله -النقدية ومافي حكمها </v>
      </c>
      <c r="N2665" s="138" t="str">
        <f>IF(ISERROR(VLOOKUP(C2665,'[1]خريطة الحسابات'!_xlnm.Print_Area,5,FALSE))," ",(VLOOKUP(C2665,'[1]خريطة الحسابات'!_xlnm.Print_Area,5,FALSE)))</f>
        <v>الاصول</v>
      </c>
      <c r="O2665" s="129" t="s">
        <v>2522</v>
      </c>
      <c r="P2665" s="128" t="s">
        <v>2523</v>
      </c>
    </row>
    <row r="2666" spans="1:16" ht="15.6">
      <c r="A2666" s="151">
        <v>86</v>
      </c>
      <c r="B2666" s="131">
        <v>46119</v>
      </c>
      <c r="C2666" s="150">
        <v>20</v>
      </c>
      <c r="D2666" s="140" t="str">
        <f>IF(ISERROR(VLOOKUP(C2666,'[1]خريطة الحسابات'!_xlnm.Print_Area,3,FALSE))," ",(VLOOKUP(C2666,'[1]خريطة الحسابات'!_xlnm.Print_Area,3,FALSE)))</f>
        <v xml:space="preserve">الخزينة </v>
      </c>
      <c r="E2666" s="142"/>
      <c r="F2666" s="133"/>
      <c r="G2666" s="133">
        <v>41800</v>
      </c>
      <c r="H2666" s="134">
        <f t="shared" si="124"/>
        <v>0</v>
      </c>
      <c r="I2666" s="134">
        <f t="shared" si="124"/>
        <v>41800</v>
      </c>
      <c r="J2666" s="134">
        <f t="shared" si="123"/>
        <v>-41800</v>
      </c>
      <c r="K2666" s="135"/>
      <c r="L2666" s="136" t="str">
        <f t="shared" si="125"/>
        <v>دائن</v>
      </c>
      <c r="M2666" s="137" t="str">
        <f>IF(ISERROR(VLOOKUP(C2666,'[1]خريطة الحسابات'!_xlnm.Print_Area,4,FALSE))," ",(VLOOKUP(C2666,'[1]خريطة الحسابات'!_xlnm.Print_Area,4,FALSE)))</f>
        <v xml:space="preserve">أصول متداوله -النقدية ومافي حكمها </v>
      </c>
      <c r="N2666" s="138" t="str">
        <f>IF(ISERROR(VLOOKUP(C2666,'[1]خريطة الحسابات'!_xlnm.Print_Area,5,FALSE))," ",(VLOOKUP(C2666,'[1]خريطة الحسابات'!_xlnm.Print_Area,5,FALSE)))</f>
        <v>الاصول</v>
      </c>
      <c r="O2666" s="129" t="s">
        <v>2526</v>
      </c>
      <c r="P2666" s="128" t="s">
        <v>2523</v>
      </c>
    </row>
    <row r="2667" spans="1:16" ht="15.6">
      <c r="A2667" s="151">
        <v>86</v>
      </c>
      <c r="B2667" s="131">
        <v>46127</v>
      </c>
      <c r="C2667" s="150">
        <v>20</v>
      </c>
      <c r="D2667" s="140" t="str">
        <f>IF(ISERROR(VLOOKUP(C2667,'[1]خريطة الحسابات'!_xlnm.Print_Area,3,FALSE))," ",(VLOOKUP(C2667,'[1]خريطة الحسابات'!_xlnm.Print_Area,3,FALSE)))</f>
        <v xml:space="preserve">الخزينة </v>
      </c>
      <c r="E2667" s="142"/>
      <c r="F2667" s="133"/>
      <c r="G2667" s="133">
        <v>4750</v>
      </c>
      <c r="H2667" s="134">
        <f t="shared" si="124"/>
        <v>0</v>
      </c>
      <c r="I2667" s="134">
        <f t="shared" si="124"/>
        <v>4750</v>
      </c>
      <c r="J2667" s="134">
        <f t="shared" si="123"/>
        <v>-4750</v>
      </c>
      <c r="K2667" s="135"/>
      <c r="L2667" s="136" t="str">
        <f t="shared" si="125"/>
        <v>دائن</v>
      </c>
      <c r="M2667" s="137" t="str">
        <f>IF(ISERROR(VLOOKUP(C2667,'[1]خريطة الحسابات'!_xlnm.Print_Area,4,FALSE))," ",(VLOOKUP(C2667,'[1]خريطة الحسابات'!_xlnm.Print_Area,4,FALSE)))</f>
        <v xml:space="preserve">أصول متداوله -النقدية ومافي حكمها </v>
      </c>
      <c r="N2667" s="138" t="str">
        <f>IF(ISERROR(VLOOKUP(C2667,'[1]خريطة الحسابات'!_xlnm.Print_Area,5,FALSE))," ",(VLOOKUP(C2667,'[1]خريطة الحسابات'!_xlnm.Print_Area,5,FALSE)))</f>
        <v>الاصول</v>
      </c>
      <c r="O2667" s="129" t="s">
        <v>2522</v>
      </c>
      <c r="P2667" s="128" t="s">
        <v>2523</v>
      </c>
    </row>
    <row r="2668" spans="1:16" ht="15.6">
      <c r="A2668" s="151">
        <v>86</v>
      </c>
      <c r="B2668" s="131">
        <v>46145</v>
      </c>
      <c r="C2668" s="150">
        <v>20</v>
      </c>
      <c r="D2668" s="140" t="str">
        <f>IF(ISERROR(VLOOKUP(C2668,'[1]خريطة الحسابات'!_xlnm.Print_Area,3,FALSE))," ",(VLOOKUP(C2668,'[1]خريطة الحسابات'!_xlnm.Print_Area,3,FALSE)))</f>
        <v xml:space="preserve">الخزينة </v>
      </c>
      <c r="E2668" s="142"/>
      <c r="F2668" s="133"/>
      <c r="G2668" s="133">
        <v>41820</v>
      </c>
      <c r="H2668" s="134">
        <f t="shared" si="124"/>
        <v>0</v>
      </c>
      <c r="I2668" s="134">
        <f t="shared" si="124"/>
        <v>41820</v>
      </c>
      <c r="J2668" s="134">
        <f t="shared" si="123"/>
        <v>-41820</v>
      </c>
      <c r="K2668" s="135"/>
      <c r="L2668" s="136" t="str">
        <f t="shared" si="125"/>
        <v>دائن</v>
      </c>
      <c r="M2668" s="137" t="str">
        <f>IF(ISERROR(VLOOKUP(C2668,'[1]خريطة الحسابات'!_xlnm.Print_Area,4,FALSE))," ",(VLOOKUP(C2668,'[1]خريطة الحسابات'!_xlnm.Print_Area,4,FALSE)))</f>
        <v xml:space="preserve">أصول متداوله -النقدية ومافي حكمها </v>
      </c>
      <c r="N2668" s="138" t="str">
        <f>IF(ISERROR(VLOOKUP(C2668,'[1]خريطة الحسابات'!_xlnm.Print_Area,5,FALSE))," ",(VLOOKUP(C2668,'[1]خريطة الحسابات'!_xlnm.Print_Area,5,FALSE)))</f>
        <v>الاصول</v>
      </c>
      <c r="O2668" s="129" t="s">
        <v>2527</v>
      </c>
      <c r="P2668" s="128" t="s">
        <v>2523</v>
      </c>
    </row>
    <row r="2669" spans="1:16" ht="15.6">
      <c r="A2669" s="151">
        <v>86</v>
      </c>
      <c r="B2669" s="131">
        <v>46158</v>
      </c>
      <c r="C2669" s="150">
        <v>20</v>
      </c>
      <c r="D2669" s="140" t="str">
        <f>IF(ISERROR(VLOOKUP(C2669,'[1]خريطة الحسابات'!_xlnm.Print_Area,3,FALSE))," ",(VLOOKUP(C2669,'[1]خريطة الحسابات'!_xlnm.Print_Area,3,FALSE)))</f>
        <v xml:space="preserve">الخزينة </v>
      </c>
      <c r="E2669" s="142"/>
      <c r="F2669" s="133"/>
      <c r="G2669" s="133">
        <v>4755</v>
      </c>
      <c r="H2669" s="134">
        <f t="shared" si="124"/>
        <v>0</v>
      </c>
      <c r="I2669" s="134">
        <f t="shared" si="124"/>
        <v>4755</v>
      </c>
      <c r="J2669" s="134">
        <f t="shared" si="123"/>
        <v>-4755</v>
      </c>
      <c r="K2669" s="135"/>
      <c r="L2669" s="136" t="str">
        <f t="shared" si="125"/>
        <v>دائن</v>
      </c>
      <c r="M2669" s="137" t="str">
        <f>IF(ISERROR(VLOOKUP(C2669,'[1]خريطة الحسابات'!_xlnm.Print_Area,4,FALSE))," ",(VLOOKUP(C2669,'[1]خريطة الحسابات'!_xlnm.Print_Area,4,FALSE)))</f>
        <v xml:space="preserve">أصول متداوله -النقدية ومافي حكمها </v>
      </c>
      <c r="N2669" s="138" t="str">
        <f>IF(ISERROR(VLOOKUP(C2669,'[1]خريطة الحسابات'!_xlnm.Print_Area,5,FALSE))," ",(VLOOKUP(C2669,'[1]خريطة الحسابات'!_xlnm.Print_Area,5,FALSE)))</f>
        <v>الاصول</v>
      </c>
      <c r="O2669" s="129" t="s">
        <v>2522</v>
      </c>
      <c r="P2669" s="128" t="s">
        <v>2523</v>
      </c>
    </row>
    <row r="2670" spans="1:16" ht="15.6">
      <c r="A2670" s="151">
        <v>86</v>
      </c>
      <c r="B2670" s="131">
        <v>46174</v>
      </c>
      <c r="C2670" s="150">
        <v>20</v>
      </c>
      <c r="D2670" s="140" t="str">
        <f>IF(ISERROR(VLOOKUP(C2670,'[1]خريطة الحسابات'!_xlnm.Print_Area,3,FALSE))," ",(VLOOKUP(C2670,'[1]خريطة الحسابات'!_xlnm.Print_Area,3,FALSE)))</f>
        <v xml:space="preserve">الخزينة </v>
      </c>
      <c r="E2670" s="142"/>
      <c r="F2670" s="133"/>
      <c r="G2670" s="133">
        <v>41800</v>
      </c>
      <c r="H2670" s="134">
        <f t="shared" si="124"/>
        <v>0</v>
      </c>
      <c r="I2670" s="134">
        <f t="shared" si="124"/>
        <v>41800</v>
      </c>
      <c r="J2670" s="134">
        <f t="shared" si="123"/>
        <v>-41800</v>
      </c>
      <c r="K2670" s="135"/>
      <c r="L2670" s="136" t="str">
        <f t="shared" si="125"/>
        <v>دائن</v>
      </c>
      <c r="M2670" s="137" t="str">
        <f>IF(ISERROR(VLOOKUP(C2670,'[1]خريطة الحسابات'!_xlnm.Print_Area,4,FALSE))," ",(VLOOKUP(C2670,'[1]خريطة الحسابات'!_xlnm.Print_Area,4,FALSE)))</f>
        <v xml:space="preserve">أصول متداوله -النقدية ومافي حكمها </v>
      </c>
      <c r="N2670" s="138" t="str">
        <f>IF(ISERROR(VLOOKUP(C2670,'[1]خريطة الحسابات'!_xlnm.Print_Area,5,FALSE))," ",(VLOOKUP(C2670,'[1]خريطة الحسابات'!_xlnm.Print_Area,5,FALSE)))</f>
        <v>الاصول</v>
      </c>
      <c r="O2670" s="129" t="s">
        <v>2528</v>
      </c>
      <c r="P2670" s="128" t="s">
        <v>2523</v>
      </c>
    </row>
    <row r="2671" spans="1:16">
      <c r="A2671" s="151">
        <v>87</v>
      </c>
      <c r="B2671" s="131">
        <v>46109</v>
      </c>
      <c r="C2671" s="150" t="s">
        <v>31</v>
      </c>
      <c r="D2671" s="140" t="str">
        <f>IF(ISERROR(VLOOKUP(C2671,'[1]خريطة الحسابات'!_xlnm.Print_Area,3,FALSE))," ",(VLOOKUP(C2671,'[1]خريطة الحسابات'!_xlnm.Print_Area,3,FALSE)))</f>
        <v>كهرباء ومياه وغاز وانترنت وموبيل مرافق</v>
      </c>
      <c r="E2671" s="142"/>
      <c r="F2671" s="133">
        <v>44</v>
      </c>
      <c r="G2671" s="133"/>
      <c r="H2671" s="134">
        <f t="shared" si="124"/>
        <v>44</v>
      </c>
      <c r="I2671" s="134">
        <f t="shared" si="124"/>
        <v>0</v>
      </c>
      <c r="J2671" s="134">
        <f t="shared" si="123"/>
        <v>44</v>
      </c>
      <c r="K2671" s="135"/>
      <c r="L2671" s="136" t="str">
        <f t="shared" si="125"/>
        <v>مدين</v>
      </c>
      <c r="M2671" s="137" t="str">
        <f>IF(ISERROR(VLOOKUP(C2671,'[1]خريطة الحسابات'!_xlnm.Print_Area,4,FALSE))," ",(VLOOKUP(C2671,'[1]خريطة الحسابات'!_xlnm.Print_Area,4,FALSE)))</f>
        <v xml:space="preserve">تكاليف ادارية وعمومية </v>
      </c>
      <c r="N2671" s="138" t="str">
        <f>IF(ISERROR(VLOOKUP(C2671,'[1]خريطة الحسابات'!_xlnm.Print_Area,5,FALSE))," ",(VLOOKUP(C2671,'[1]خريطة الحسابات'!_xlnm.Print_Area,5,FALSE)))</f>
        <v xml:space="preserve">مصروفات </v>
      </c>
      <c r="O2671" s="84" t="s">
        <v>2529</v>
      </c>
      <c r="P2671" s="84" t="s">
        <v>2530</v>
      </c>
    </row>
    <row r="2672" spans="1:16">
      <c r="A2672" s="151">
        <v>87</v>
      </c>
      <c r="B2672" s="131">
        <v>46109</v>
      </c>
      <c r="C2672" s="150" t="s">
        <v>31</v>
      </c>
      <c r="D2672" s="140" t="str">
        <f>IF(ISERROR(VLOOKUP(C2672,'[1]خريطة الحسابات'!_xlnm.Print_Area,3,FALSE))," ",(VLOOKUP(C2672,'[1]خريطة الحسابات'!_xlnm.Print_Area,3,FALSE)))</f>
        <v>كهرباء ومياه وغاز وانترنت وموبيل مرافق</v>
      </c>
      <c r="E2672" s="142"/>
      <c r="F2672" s="133">
        <v>1205</v>
      </c>
      <c r="G2672" s="133"/>
      <c r="H2672" s="134">
        <f t="shared" si="124"/>
        <v>1205</v>
      </c>
      <c r="I2672" s="134">
        <f t="shared" si="124"/>
        <v>0</v>
      </c>
      <c r="J2672" s="134">
        <f t="shared" si="123"/>
        <v>1205</v>
      </c>
      <c r="K2672" s="135"/>
      <c r="L2672" s="136" t="str">
        <f t="shared" si="125"/>
        <v>مدين</v>
      </c>
      <c r="M2672" s="137" t="str">
        <f>IF(ISERROR(VLOOKUP(C2672,'[1]خريطة الحسابات'!_xlnm.Print_Area,4,FALSE))," ",(VLOOKUP(C2672,'[1]خريطة الحسابات'!_xlnm.Print_Area,4,FALSE)))</f>
        <v xml:space="preserve">تكاليف ادارية وعمومية </v>
      </c>
      <c r="N2672" s="138" t="str">
        <f>IF(ISERROR(VLOOKUP(C2672,'[1]خريطة الحسابات'!_xlnm.Print_Area,5,FALSE))," ",(VLOOKUP(C2672,'[1]خريطة الحسابات'!_xlnm.Print_Area,5,FALSE)))</f>
        <v xml:space="preserve">مصروفات </v>
      </c>
      <c r="O2672" s="84" t="s">
        <v>2531</v>
      </c>
      <c r="P2672" s="84" t="s">
        <v>2530</v>
      </c>
    </row>
    <row r="2673" spans="1:16">
      <c r="A2673" s="151">
        <v>87</v>
      </c>
      <c r="B2673" s="131">
        <v>46114</v>
      </c>
      <c r="C2673" s="150" t="s">
        <v>31</v>
      </c>
      <c r="D2673" s="140" t="str">
        <f>IF(ISERROR(VLOOKUP(C2673,'[1]خريطة الحسابات'!_xlnm.Print_Area,3,FALSE))," ",(VLOOKUP(C2673,'[1]خريطة الحسابات'!_xlnm.Print_Area,3,FALSE)))</f>
        <v>كهرباء ومياه وغاز وانترنت وموبيل مرافق</v>
      </c>
      <c r="E2673" s="142"/>
      <c r="F2673" s="133">
        <v>1660</v>
      </c>
      <c r="G2673" s="133"/>
      <c r="H2673" s="134">
        <f t="shared" si="124"/>
        <v>1660</v>
      </c>
      <c r="I2673" s="134">
        <f t="shared" si="124"/>
        <v>0</v>
      </c>
      <c r="J2673" s="134">
        <f t="shared" si="123"/>
        <v>1660</v>
      </c>
      <c r="K2673" s="135"/>
      <c r="L2673" s="136" t="str">
        <f t="shared" si="125"/>
        <v>مدين</v>
      </c>
      <c r="M2673" s="137" t="str">
        <f>IF(ISERROR(VLOOKUP(C2673,'[1]خريطة الحسابات'!_xlnm.Print_Area,4,FALSE))," ",(VLOOKUP(C2673,'[1]خريطة الحسابات'!_xlnm.Print_Area,4,FALSE)))</f>
        <v xml:space="preserve">تكاليف ادارية وعمومية </v>
      </c>
      <c r="N2673" s="138" t="str">
        <f>IF(ISERROR(VLOOKUP(C2673,'[1]خريطة الحسابات'!_xlnm.Print_Area,5,FALSE))," ",(VLOOKUP(C2673,'[1]خريطة الحسابات'!_xlnm.Print_Area,5,FALSE)))</f>
        <v xml:space="preserve">مصروفات </v>
      </c>
      <c r="O2673" s="84" t="s">
        <v>2532</v>
      </c>
      <c r="P2673" s="84" t="s">
        <v>2530</v>
      </c>
    </row>
    <row r="2674" spans="1:16">
      <c r="A2674" s="151">
        <v>87</v>
      </c>
      <c r="B2674" s="131">
        <v>46114</v>
      </c>
      <c r="C2674" s="150" t="s">
        <v>31</v>
      </c>
      <c r="D2674" s="140" t="str">
        <f>IF(ISERROR(VLOOKUP(C2674,'[1]خريطة الحسابات'!_xlnm.Print_Area,3,FALSE))," ",(VLOOKUP(C2674,'[1]خريطة الحسابات'!_xlnm.Print_Area,3,FALSE)))</f>
        <v>كهرباء ومياه وغاز وانترنت وموبيل مرافق</v>
      </c>
      <c r="E2674" s="142"/>
      <c r="F2674" s="133">
        <v>170</v>
      </c>
      <c r="G2674" s="133"/>
      <c r="H2674" s="134">
        <f t="shared" si="124"/>
        <v>170</v>
      </c>
      <c r="I2674" s="134">
        <f t="shared" si="124"/>
        <v>0</v>
      </c>
      <c r="J2674" s="134">
        <f t="shared" si="123"/>
        <v>170</v>
      </c>
      <c r="K2674" s="135"/>
      <c r="L2674" s="136" t="str">
        <f t="shared" si="125"/>
        <v>مدين</v>
      </c>
      <c r="M2674" s="137" t="str">
        <f>IF(ISERROR(VLOOKUP(C2674,'[1]خريطة الحسابات'!_xlnm.Print_Area,4,FALSE))," ",(VLOOKUP(C2674,'[1]خريطة الحسابات'!_xlnm.Print_Area,4,FALSE)))</f>
        <v xml:space="preserve">تكاليف ادارية وعمومية </v>
      </c>
      <c r="N2674" s="138" t="str">
        <f>IF(ISERROR(VLOOKUP(C2674,'[1]خريطة الحسابات'!_xlnm.Print_Area,5,FALSE))," ",(VLOOKUP(C2674,'[1]خريطة الحسابات'!_xlnm.Print_Area,5,FALSE)))</f>
        <v xml:space="preserve">مصروفات </v>
      </c>
      <c r="O2674" s="84" t="s">
        <v>2533</v>
      </c>
      <c r="P2674" s="84" t="s">
        <v>2530</v>
      </c>
    </row>
    <row r="2675" spans="1:16">
      <c r="A2675" s="151">
        <v>87</v>
      </c>
      <c r="B2675" s="131">
        <v>46121</v>
      </c>
      <c r="C2675" s="150" t="s">
        <v>31</v>
      </c>
      <c r="D2675" s="140" t="str">
        <f>IF(ISERROR(VLOOKUP(C2675,'[1]خريطة الحسابات'!_xlnm.Print_Area,3,FALSE))," ",(VLOOKUP(C2675,'[1]خريطة الحسابات'!_xlnm.Print_Area,3,FALSE)))</f>
        <v>كهرباء ومياه وغاز وانترنت وموبيل مرافق</v>
      </c>
      <c r="E2675" s="142"/>
      <c r="F2675" s="133">
        <v>150</v>
      </c>
      <c r="G2675" s="133"/>
      <c r="H2675" s="134">
        <f t="shared" si="124"/>
        <v>150</v>
      </c>
      <c r="I2675" s="134">
        <f t="shared" si="124"/>
        <v>0</v>
      </c>
      <c r="J2675" s="134">
        <f t="shared" si="123"/>
        <v>150</v>
      </c>
      <c r="K2675" s="135"/>
      <c r="L2675" s="136" t="str">
        <f t="shared" si="125"/>
        <v>مدين</v>
      </c>
      <c r="M2675" s="137" t="str">
        <f>IF(ISERROR(VLOOKUP(C2675,'[1]خريطة الحسابات'!_xlnm.Print_Area,4,FALSE))," ",(VLOOKUP(C2675,'[1]خريطة الحسابات'!_xlnm.Print_Area,4,FALSE)))</f>
        <v xml:space="preserve">تكاليف ادارية وعمومية </v>
      </c>
      <c r="N2675" s="138" t="str">
        <f>IF(ISERROR(VLOOKUP(C2675,'[1]خريطة الحسابات'!_xlnm.Print_Area,5,FALSE))," ",(VLOOKUP(C2675,'[1]خريطة الحسابات'!_xlnm.Print_Area,5,FALSE)))</f>
        <v xml:space="preserve">مصروفات </v>
      </c>
      <c r="O2675" s="84" t="s">
        <v>2534</v>
      </c>
      <c r="P2675" s="84" t="s">
        <v>2530</v>
      </c>
    </row>
    <row r="2676" spans="1:16">
      <c r="A2676" s="151">
        <v>87</v>
      </c>
      <c r="B2676" s="131">
        <v>46121</v>
      </c>
      <c r="C2676" s="150" t="s">
        <v>31</v>
      </c>
      <c r="D2676" s="140" t="str">
        <f>IF(ISERROR(VLOOKUP(C2676,'[1]خريطة الحسابات'!_xlnm.Print_Area,3,FALSE))," ",(VLOOKUP(C2676,'[1]خريطة الحسابات'!_xlnm.Print_Area,3,FALSE)))</f>
        <v>كهرباء ومياه وغاز وانترنت وموبيل مرافق</v>
      </c>
      <c r="E2676" s="142"/>
      <c r="F2676" s="133">
        <v>2000</v>
      </c>
      <c r="G2676" s="133"/>
      <c r="H2676" s="134">
        <f t="shared" si="124"/>
        <v>2000</v>
      </c>
      <c r="I2676" s="134">
        <f t="shared" si="124"/>
        <v>0</v>
      </c>
      <c r="J2676" s="134">
        <f t="shared" si="123"/>
        <v>2000</v>
      </c>
      <c r="K2676" s="135"/>
      <c r="L2676" s="136" t="str">
        <f t="shared" si="125"/>
        <v>مدين</v>
      </c>
      <c r="M2676" s="137" t="str">
        <f>IF(ISERROR(VLOOKUP(C2676,'[1]خريطة الحسابات'!_xlnm.Print_Area,4,FALSE))," ",(VLOOKUP(C2676,'[1]خريطة الحسابات'!_xlnm.Print_Area,4,FALSE)))</f>
        <v xml:space="preserve">تكاليف ادارية وعمومية </v>
      </c>
      <c r="N2676" s="138" t="str">
        <f>IF(ISERROR(VLOOKUP(C2676,'[1]خريطة الحسابات'!_xlnm.Print_Area,5,FALSE))," ",(VLOOKUP(C2676,'[1]خريطة الحسابات'!_xlnm.Print_Area,5,FALSE)))</f>
        <v xml:space="preserve">مصروفات </v>
      </c>
      <c r="O2676" s="84" t="s">
        <v>2535</v>
      </c>
      <c r="P2676" s="84" t="s">
        <v>2530</v>
      </c>
    </row>
    <row r="2677" spans="1:16">
      <c r="A2677" s="151">
        <v>87</v>
      </c>
      <c r="B2677" s="131">
        <v>46128</v>
      </c>
      <c r="C2677" s="150" t="s">
        <v>31</v>
      </c>
      <c r="D2677" s="140" t="str">
        <f>IF(ISERROR(VLOOKUP(C2677,'[1]خريطة الحسابات'!_xlnm.Print_Area,3,FALSE))," ",(VLOOKUP(C2677,'[1]خريطة الحسابات'!_xlnm.Print_Area,3,FALSE)))</f>
        <v>كهرباء ومياه وغاز وانترنت وموبيل مرافق</v>
      </c>
      <c r="E2677" s="142"/>
      <c r="F2677" s="133">
        <v>1509</v>
      </c>
      <c r="G2677" s="133"/>
      <c r="H2677" s="134">
        <f t="shared" si="124"/>
        <v>1509</v>
      </c>
      <c r="I2677" s="134">
        <f t="shared" si="124"/>
        <v>0</v>
      </c>
      <c r="J2677" s="134">
        <f t="shared" si="123"/>
        <v>1509</v>
      </c>
      <c r="K2677" s="135"/>
      <c r="L2677" s="136" t="str">
        <f t="shared" si="125"/>
        <v>مدين</v>
      </c>
      <c r="M2677" s="137" t="str">
        <f>IF(ISERROR(VLOOKUP(C2677,'[1]خريطة الحسابات'!_xlnm.Print_Area,4,FALSE))," ",(VLOOKUP(C2677,'[1]خريطة الحسابات'!_xlnm.Print_Area,4,FALSE)))</f>
        <v xml:space="preserve">تكاليف ادارية وعمومية </v>
      </c>
      <c r="N2677" s="138" t="str">
        <f>IF(ISERROR(VLOOKUP(C2677,'[1]خريطة الحسابات'!_xlnm.Print_Area,5,FALSE))," ",(VLOOKUP(C2677,'[1]خريطة الحسابات'!_xlnm.Print_Area,5,FALSE)))</f>
        <v xml:space="preserve">مصروفات </v>
      </c>
      <c r="O2677" s="84" t="s">
        <v>2536</v>
      </c>
      <c r="P2677" s="84" t="s">
        <v>2530</v>
      </c>
    </row>
    <row r="2678" spans="1:16">
      <c r="A2678" s="151">
        <v>87</v>
      </c>
      <c r="B2678" s="131">
        <v>46174</v>
      </c>
      <c r="C2678" s="150" t="s">
        <v>31</v>
      </c>
      <c r="D2678" s="140" t="str">
        <f>IF(ISERROR(VLOOKUP(C2678,'[1]خريطة الحسابات'!_xlnm.Print_Area,3,FALSE))," ",(VLOOKUP(C2678,'[1]خريطة الحسابات'!_xlnm.Print_Area,3,FALSE)))</f>
        <v>كهرباء ومياه وغاز وانترنت وموبيل مرافق</v>
      </c>
      <c r="E2678" s="142"/>
      <c r="F2678" s="133">
        <v>1320</v>
      </c>
      <c r="G2678" s="133"/>
      <c r="H2678" s="134">
        <f t="shared" si="124"/>
        <v>1320</v>
      </c>
      <c r="I2678" s="134">
        <f t="shared" si="124"/>
        <v>0</v>
      </c>
      <c r="J2678" s="134">
        <f t="shared" si="123"/>
        <v>1320</v>
      </c>
      <c r="K2678" s="135"/>
      <c r="L2678" s="136" t="str">
        <f t="shared" si="125"/>
        <v>مدين</v>
      </c>
      <c r="M2678" s="137" t="str">
        <f>IF(ISERROR(VLOOKUP(C2678,'[1]خريطة الحسابات'!_xlnm.Print_Area,4,FALSE))," ",(VLOOKUP(C2678,'[1]خريطة الحسابات'!_xlnm.Print_Area,4,FALSE)))</f>
        <v xml:space="preserve">تكاليف ادارية وعمومية </v>
      </c>
      <c r="N2678" s="138" t="str">
        <f>IF(ISERROR(VLOOKUP(C2678,'[1]خريطة الحسابات'!_xlnm.Print_Area,5,FALSE))," ",(VLOOKUP(C2678,'[1]خريطة الحسابات'!_xlnm.Print_Area,5,FALSE)))</f>
        <v xml:space="preserve">مصروفات </v>
      </c>
      <c r="O2678" s="84" t="s">
        <v>2532</v>
      </c>
      <c r="P2678" s="84" t="s">
        <v>2530</v>
      </c>
    </row>
    <row r="2679" spans="1:16">
      <c r="A2679" s="151">
        <v>87</v>
      </c>
      <c r="B2679" s="131">
        <v>46175</v>
      </c>
      <c r="C2679" s="150" t="s">
        <v>31</v>
      </c>
      <c r="D2679" s="140" t="str">
        <f>IF(ISERROR(VLOOKUP(C2679,'[1]خريطة الحسابات'!_xlnm.Print_Area,3,FALSE))," ",(VLOOKUP(C2679,'[1]خريطة الحسابات'!_xlnm.Print_Area,3,FALSE)))</f>
        <v>كهرباء ومياه وغاز وانترنت وموبيل مرافق</v>
      </c>
      <c r="E2679" s="142"/>
      <c r="F2679" s="133">
        <v>150</v>
      </c>
      <c r="G2679" s="133"/>
      <c r="H2679" s="134">
        <f t="shared" si="124"/>
        <v>150</v>
      </c>
      <c r="I2679" s="134">
        <f t="shared" si="124"/>
        <v>0</v>
      </c>
      <c r="J2679" s="134">
        <f t="shared" si="123"/>
        <v>150</v>
      </c>
      <c r="K2679" s="135"/>
      <c r="L2679" s="136" t="str">
        <f t="shared" si="125"/>
        <v>مدين</v>
      </c>
      <c r="M2679" s="137" t="str">
        <f>IF(ISERROR(VLOOKUP(C2679,'[1]خريطة الحسابات'!_xlnm.Print_Area,4,FALSE))," ",(VLOOKUP(C2679,'[1]خريطة الحسابات'!_xlnm.Print_Area,4,FALSE)))</f>
        <v xml:space="preserve">تكاليف ادارية وعمومية </v>
      </c>
      <c r="N2679" s="138" t="str">
        <f>IF(ISERROR(VLOOKUP(C2679,'[1]خريطة الحسابات'!_xlnm.Print_Area,5,FALSE))," ",(VLOOKUP(C2679,'[1]خريطة الحسابات'!_xlnm.Print_Area,5,FALSE)))</f>
        <v xml:space="preserve">مصروفات </v>
      </c>
      <c r="O2679" s="84" t="s">
        <v>2537</v>
      </c>
      <c r="P2679" s="84" t="s">
        <v>2530</v>
      </c>
    </row>
    <row r="2680" spans="1:16">
      <c r="A2680" s="151">
        <v>87</v>
      </c>
      <c r="B2680" s="131">
        <v>46179</v>
      </c>
      <c r="C2680" s="150" t="s">
        <v>31</v>
      </c>
      <c r="D2680" s="140" t="str">
        <f>IF(ISERROR(VLOOKUP(C2680,'[1]خريطة الحسابات'!_xlnm.Print_Area,3,FALSE))," ",(VLOOKUP(C2680,'[1]خريطة الحسابات'!_xlnm.Print_Area,3,FALSE)))</f>
        <v>كهرباء ومياه وغاز وانترنت وموبيل مرافق</v>
      </c>
      <c r="E2680" s="142"/>
      <c r="F2680" s="133">
        <v>150</v>
      </c>
      <c r="G2680" s="133"/>
      <c r="H2680" s="134">
        <f t="shared" si="124"/>
        <v>150</v>
      </c>
      <c r="I2680" s="134">
        <f t="shared" si="124"/>
        <v>0</v>
      </c>
      <c r="J2680" s="134">
        <f t="shared" si="123"/>
        <v>150</v>
      </c>
      <c r="K2680" s="135"/>
      <c r="L2680" s="136" t="str">
        <f t="shared" si="125"/>
        <v>مدين</v>
      </c>
      <c r="M2680" s="137" t="str">
        <f>IF(ISERROR(VLOOKUP(C2680,'[1]خريطة الحسابات'!_xlnm.Print_Area,4,FALSE))," ",(VLOOKUP(C2680,'[1]خريطة الحسابات'!_xlnm.Print_Area,4,FALSE)))</f>
        <v xml:space="preserve">تكاليف ادارية وعمومية </v>
      </c>
      <c r="N2680" s="138" t="str">
        <f>IF(ISERROR(VLOOKUP(C2680,'[1]خريطة الحسابات'!_xlnm.Print_Area,5,FALSE))," ",(VLOOKUP(C2680,'[1]خريطة الحسابات'!_xlnm.Print_Area,5,FALSE)))</f>
        <v xml:space="preserve">مصروفات </v>
      </c>
      <c r="O2680" s="84" t="s">
        <v>2534</v>
      </c>
      <c r="P2680" s="84" t="s">
        <v>2530</v>
      </c>
    </row>
    <row r="2681" spans="1:16">
      <c r="A2681" s="151">
        <v>87</v>
      </c>
      <c r="B2681" s="131">
        <v>46182</v>
      </c>
      <c r="C2681" s="150" t="s">
        <v>31</v>
      </c>
      <c r="D2681" s="140" t="str">
        <f>IF(ISERROR(VLOOKUP(C2681,'[1]خريطة الحسابات'!_xlnm.Print_Area,3,FALSE))," ",(VLOOKUP(C2681,'[1]خريطة الحسابات'!_xlnm.Print_Area,3,FALSE)))</f>
        <v>كهرباء ومياه وغاز وانترنت وموبيل مرافق</v>
      </c>
      <c r="E2681" s="142"/>
      <c r="F2681" s="133">
        <v>4285</v>
      </c>
      <c r="G2681" s="133"/>
      <c r="H2681" s="134">
        <f t="shared" si="124"/>
        <v>4285</v>
      </c>
      <c r="I2681" s="134">
        <f t="shared" si="124"/>
        <v>0</v>
      </c>
      <c r="J2681" s="134">
        <f t="shared" si="123"/>
        <v>4285</v>
      </c>
      <c r="K2681" s="135"/>
      <c r="L2681" s="136" t="str">
        <f t="shared" si="125"/>
        <v>مدين</v>
      </c>
      <c r="M2681" s="137" t="str">
        <f>IF(ISERROR(VLOOKUP(C2681,'[1]خريطة الحسابات'!_xlnm.Print_Area,4,FALSE))," ",(VLOOKUP(C2681,'[1]خريطة الحسابات'!_xlnm.Print_Area,4,FALSE)))</f>
        <v xml:space="preserve">تكاليف ادارية وعمومية </v>
      </c>
      <c r="N2681" s="138" t="str">
        <f>IF(ISERROR(VLOOKUP(C2681,'[1]خريطة الحسابات'!_xlnm.Print_Area,5,FALSE))," ",(VLOOKUP(C2681,'[1]خريطة الحسابات'!_xlnm.Print_Area,5,FALSE)))</f>
        <v xml:space="preserve">مصروفات </v>
      </c>
      <c r="O2681" s="84" t="s">
        <v>2538</v>
      </c>
      <c r="P2681" s="84" t="s">
        <v>2530</v>
      </c>
    </row>
    <row r="2682" spans="1:16">
      <c r="A2682" s="151">
        <v>87</v>
      </c>
      <c r="B2682" s="131">
        <v>46187</v>
      </c>
      <c r="C2682" s="150" t="s">
        <v>31</v>
      </c>
      <c r="D2682" s="140" t="str">
        <f>IF(ISERROR(VLOOKUP(C2682,'[1]خريطة الحسابات'!_xlnm.Print_Area,3,FALSE))," ",(VLOOKUP(C2682,'[1]خريطة الحسابات'!_xlnm.Print_Area,3,FALSE)))</f>
        <v>كهرباء ومياه وغاز وانترنت وموبيل مرافق</v>
      </c>
      <c r="E2682" s="142"/>
      <c r="F2682" s="133">
        <v>3770</v>
      </c>
      <c r="G2682" s="133"/>
      <c r="H2682" s="134">
        <f t="shared" si="124"/>
        <v>3770</v>
      </c>
      <c r="I2682" s="134">
        <f t="shared" si="124"/>
        <v>0</v>
      </c>
      <c r="J2682" s="134">
        <f t="shared" si="123"/>
        <v>3770</v>
      </c>
      <c r="K2682" s="135"/>
      <c r="L2682" s="136" t="str">
        <f t="shared" si="125"/>
        <v>مدين</v>
      </c>
      <c r="M2682" s="137" t="str">
        <f>IF(ISERROR(VLOOKUP(C2682,'[1]خريطة الحسابات'!_xlnm.Print_Area,4,FALSE))," ",(VLOOKUP(C2682,'[1]خريطة الحسابات'!_xlnm.Print_Area,4,FALSE)))</f>
        <v xml:space="preserve">تكاليف ادارية وعمومية </v>
      </c>
      <c r="N2682" s="138" t="str">
        <f>IF(ISERROR(VLOOKUP(C2682,'[1]خريطة الحسابات'!_xlnm.Print_Area,5,FALSE))," ",(VLOOKUP(C2682,'[1]خريطة الحسابات'!_xlnm.Print_Area,5,FALSE)))</f>
        <v xml:space="preserve">مصروفات </v>
      </c>
      <c r="O2682" s="84" t="s">
        <v>2535</v>
      </c>
      <c r="P2682" s="84" t="s">
        <v>2530</v>
      </c>
    </row>
    <row r="2683" spans="1:16">
      <c r="A2683" s="151">
        <v>87</v>
      </c>
      <c r="B2683" s="131">
        <v>46033</v>
      </c>
      <c r="C2683" s="150" t="s">
        <v>31</v>
      </c>
      <c r="D2683" s="140" t="str">
        <f>IF(ISERROR(VLOOKUP(C2683,'[1]خريطة الحسابات'!_xlnm.Print_Area,3,FALSE))," ",(VLOOKUP(C2683,'[1]خريطة الحسابات'!_xlnm.Print_Area,3,FALSE)))</f>
        <v>كهرباء ومياه وغاز وانترنت وموبيل مرافق</v>
      </c>
      <c r="E2683" s="142"/>
      <c r="F2683" s="133">
        <v>3470</v>
      </c>
      <c r="G2683" s="133"/>
      <c r="H2683" s="134">
        <f t="shared" si="124"/>
        <v>3470</v>
      </c>
      <c r="I2683" s="134">
        <f t="shared" si="124"/>
        <v>0</v>
      </c>
      <c r="J2683" s="134">
        <f t="shared" si="123"/>
        <v>3470</v>
      </c>
      <c r="K2683" s="135"/>
      <c r="L2683" s="136" t="str">
        <f t="shared" si="125"/>
        <v>مدين</v>
      </c>
      <c r="M2683" s="137" t="str">
        <f>IF(ISERROR(VLOOKUP(C2683,'[1]خريطة الحسابات'!_xlnm.Print_Area,4,FALSE))," ",(VLOOKUP(C2683,'[1]خريطة الحسابات'!_xlnm.Print_Area,4,FALSE)))</f>
        <v xml:space="preserve">تكاليف ادارية وعمومية </v>
      </c>
      <c r="N2683" s="138" t="str">
        <f>IF(ISERROR(VLOOKUP(C2683,'[1]خريطة الحسابات'!_xlnm.Print_Area,5,FALSE))," ",(VLOOKUP(C2683,'[1]خريطة الحسابات'!_xlnm.Print_Area,5,FALSE)))</f>
        <v xml:space="preserve">مصروفات </v>
      </c>
      <c r="O2683" s="84" t="s">
        <v>1711</v>
      </c>
      <c r="P2683" s="84" t="s">
        <v>2539</v>
      </c>
    </row>
    <row r="2684" spans="1:16">
      <c r="A2684" s="151">
        <v>87</v>
      </c>
      <c r="B2684" s="131">
        <v>46035</v>
      </c>
      <c r="C2684" s="150" t="s">
        <v>31</v>
      </c>
      <c r="D2684" s="140" t="str">
        <f>IF(ISERROR(VLOOKUP(C2684,'[1]خريطة الحسابات'!_xlnm.Print_Area,3,FALSE))," ",(VLOOKUP(C2684,'[1]خريطة الحسابات'!_xlnm.Print_Area,3,FALSE)))</f>
        <v>كهرباء ومياه وغاز وانترنت وموبيل مرافق</v>
      </c>
      <c r="E2684" s="142"/>
      <c r="F2684" s="133">
        <v>1203</v>
      </c>
      <c r="G2684" s="133"/>
      <c r="H2684" s="134">
        <f t="shared" si="124"/>
        <v>1203</v>
      </c>
      <c r="I2684" s="134">
        <f t="shared" si="124"/>
        <v>0</v>
      </c>
      <c r="J2684" s="134">
        <f t="shared" si="123"/>
        <v>1203</v>
      </c>
      <c r="K2684" s="135"/>
      <c r="L2684" s="136" t="str">
        <f t="shared" si="125"/>
        <v>مدين</v>
      </c>
      <c r="M2684" s="137" t="str">
        <f>IF(ISERROR(VLOOKUP(C2684,'[1]خريطة الحسابات'!_xlnm.Print_Area,4,FALSE))," ",(VLOOKUP(C2684,'[1]خريطة الحسابات'!_xlnm.Print_Area,4,FALSE)))</f>
        <v xml:space="preserve">تكاليف ادارية وعمومية </v>
      </c>
      <c r="N2684" s="138" t="str">
        <f>IF(ISERROR(VLOOKUP(C2684,'[1]خريطة الحسابات'!_xlnm.Print_Area,5,FALSE))," ",(VLOOKUP(C2684,'[1]خريطة الحسابات'!_xlnm.Print_Area,5,FALSE)))</f>
        <v xml:space="preserve">مصروفات </v>
      </c>
      <c r="O2684" s="84" t="s">
        <v>2531</v>
      </c>
      <c r="P2684" s="84" t="s">
        <v>2539</v>
      </c>
    </row>
    <row r="2685" spans="1:16">
      <c r="A2685" s="151">
        <v>87</v>
      </c>
      <c r="B2685" s="131">
        <v>46041</v>
      </c>
      <c r="C2685" s="150" t="s">
        <v>31</v>
      </c>
      <c r="D2685" s="140" t="str">
        <f>IF(ISERROR(VLOOKUP(C2685,'[1]خريطة الحسابات'!_xlnm.Print_Area,3,FALSE))," ",(VLOOKUP(C2685,'[1]خريطة الحسابات'!_xlnm.Print_Area,3,FALSE)))</f>
        <v>كهرباء ومياه وغاز وانترنت وموبيل مرافق</v>
      </c>
      <c r="E2685" s="142"/>
      <c r="F2685" s="133">
        <v>3125</v>
      </c>
      <c r="G2685" s="133"/>
      <c r="H2685" s="134">
        <f t="shared" si="124"/>
        <v>3125</v>
      </c>
      <c r="I2685" s="134">
        <f t="shared" si="124"/>
        <v>0</v>
      </c>
      <c r="J2685" s="134">
        <f t="shared" si="123"/>
        <v>3125</v>
      </c>
      <c r="K2685" s="135"/>
      <c r="L2685" s="136" t="str">
        <f t="shared" si="125"/>
        <v>مدين</v>
      </c>
      <c r="M2685" s="137" t="str">
        <f>IF(ISERROR(VLOOKUP(C2685,'[1]خريطة الحسابات'!_xlnm.Print_Area,4,FALSE))," ",(VLOOKUP(C2685,'[1]خريطة الحسابات'!_xlnm.Print_Area,4,FALSE)))</f>
        <v xml:space="preserve">تكاليف ادارية وعمومية </v>
      </c>
      <c r="N2685" s="138" t="str">
        <f>IF(ISERROR(VLOOKUP(C2685,'[1]خريطة الحسابات'!_xlnm.Print_Area,5,FALSE))," ",(VLOOKUP(C2685,'[1]خريطة الحسابات'!_xlnm.Print_Area,5,FALSE)))</f>
        <v xml:space="preserve">مصروفات </v>
      </c>
      <c r="O2685" s="84" t="s">
        <v>2535</v>
      </c>
      <c r="P2685" s="84" t="s">
        <v>2539</v>
      </c>
    </row>
    <row r="2686" spans="1:16">
      <c r="A2686" s="151">
        <v>87</v>
      </c>
      <c r="B2686" s="131">
        <v>46047</v>
      </c>
      <c r="C2686" s="150" t="s">
        <v>31</v>
      </c>
      <c r="D2686" s="140" t="str">
        <f>IF(ISERROR(VLOOKUP(C2686,'[1]خريطة الحسابات'!_xlnm.Print_Area,3,FALSE))," ",(VLOOKUP(C2686,'[1]خريطة الحسابات'!_xlnm.Print_Area,3,FALSE)))</f>
        <v>كهرباء ومياه وغاز وانترنت وموبيل مرافق</v>
      </c>
      <c r="E2686" s="142"/>
      <c r="F2686" s="133">
        <v>1203</v>
      </c>
      <c r="G2686" s="133"/>
      <c r="H2686" s="134">
        <f t="shared" si="124"/>
        <v>1203</v>
      </c>
      <c r="I2686" s="134">
        <f t="shared" si="124"/>
        <v>0</v>
      </c>
      <c r="J2686" s="134">
        <f t="shared" si="123"/>
        <v>1203</v>
      </c>
      <c r="K2686" s="135"/>
      <c r="L2686" s="136" t="str">
        <f t="shared" si="125"/>
        <v>مدين</v>
      </c>
      <c r="M2686" s="137" t="str">
        <f>IF(ISERROR(VLOOKUP(C2686,'[1]خريطة الحسابات'!_xlnm.Print_Area,4,FALSE))," ",(VLOOKUP(C2686,'[1]خريطة الحسابات'!_xlnm.Print_Area,4,FALSE)))</f>
        <v xml:space="preserve">تكاليف ادارية وعمومية </v>
      </c>
      <c r="N2686" s="138" t="str">
        <f>IF(ISERROR(VLOOKUP(C2686,'[1]خريطة الحسابات'!_xlnm.Print_Area,5,FALSE))," ",(VLOOKUP(C2686,'[1]خريطة الحسابات'!_xlnm.Print_Area,5,FALSE)))</f>
        <v xml:space="preserve">مصروفات </v>
      </c>
      <c r="O2686" s="84" t="s">
        <v>2531</v>
      </c>
      <c r="P2686" s="84" t="s">
        <v>2539</v>
      </c>
    </row>
    <row r="2687" spans="1:16">
      <c r="A2687" s="151">
        <v>87</v>
      </c>
      <c r="B2687" s="131">
        <v>46054</v>
      </c>
      <c r="C2687" s="150" t="s">
        <v>31</v>
      </c>
      <c r="D2687" s="140" t="str">
        <f>IF(ISERROR(VLOOKUP(C2687,'[1]خريطة الحسابات'!_xlnm.Print_Area,3,FALSE))," ",(VLOOKUP(C2687,'[1]خريطة الحسابات'!_xlnm.Print_Area,3,FALSE)))</f>
        <v>كهرباء ومياه وغاز وانترنت وموبيل مرافق</v>
      </c>
      <c r="E2687" s="142"/>
      <c r="F2687" s="133">
        <v>1460</v>
      </c>
      <c r="G2687" s="133"/>
      <c r="H2687" s="134">
        <f t="shared" si="124"/>
        <v>1460</v>
      </c>
      <c r="I2687" s="134">
        <f t="shared" si="124"/>
        <v>0</v>
      </c>
      <c r="J2687" s="134">
        <f t="shared" si="123"/>
        <v>1460</v>
      </c>
      <c r="K2687" s="135"/>
      <c r="L2687" s="136" t="str">
        <f t="shared" si="125"/>
        <v>مدين</v>
      </c>
      <c r="M2687" s="137" t="str">
        <f>IF(ISERROR(VLOOKUP(C2687,'[1]خريطة الحسابات'!_xlnm.Print_Area,4,FALSE))," ",(VLOOKUP(C2687,'[1]خريطة الحسابات'!_xlnm.Print_Area,4,FALSE)))</f>
        <v xml:space="preserve">تكاليف ادارية وعمومية </v>
      </c>
      <c r="N2687" s="138" t="str">
        <f>IF(ISERROR(VLOOKUP(C2687,'[1]خريطة الحسابات'!_xlnm.Print_Area,5,FALSE))," ",(VLOOKUP(C2687,'[1]خريطة الحسابات'!_xlnm.Print_Area,5,FALSE)))</f>
        <v xml:space="preserve">مصروفات </v>
      </c>
      <c r="O2687" s="84" t="s">
        <v>2540</v>
      </c>
      <c r="P2687" s="84" t="s">
        <v>2539</v>
      </c>
    </row>
    <row r="2688" spans="1:16">
      <c r="A2688" s="151">
        <v>87</v>
      </c>
      <c r="B2688" s="131">
        <v>46055</v>
      </c>
      <c r="C2688" s="150" t="s">
        <v>31</v>
      </c>
      <c r="D2688" s="140" t="str">
        <f>IF(ISERROR(VLOOKUP(C2688,'[1]خريطة الحسابات'!_xlnm.Print_Area,3,FALSE))," ",(VLOOKUP(C2688,'[1]خريطة الحسابات'!_xlnm.Print_Area,3,FALSE)))</f>
        <v>كهرباء ومياه وغاز وانترنت وموبيل مرافق</v>
      </c>
      <c r="E2688" s="142"/>
      <c r="F2688" s="133">
        <v>15</v>
      </c>
      <c r="G2688" s="133"/>
      <c r="H2688" s="134">
        <f t="shared" si="124"/>
        <v>15</v>
      </c>
      <c r="I2688" s="134">
        <f t="shared" si="124"/>
        <v>0</v>
      </c>
      <c r="J2688" s="134">
        <f t="shared" si="123"/>
        <v>15</v>
      </c>
      <c r="K2688" s="135"/>
      <c r="L2688" s="136" t="str">
        <f t="shared" si="125"/>
        <v>مدين</v>
      </c>
      <c r="M2688" s="137" t="str">
        <f>IF(ISERROR(VLOOKUP(C2688,'[1]خريطة الحسابات'!_xlnm.Print_Area,4,FALSE))," ",(VLOOKUP(C2688,'[1]خريطة الحسابات'!_xlnm.Print_Area,4,FALSE)))</f>
        <v xml:space="preserve">تكاليف ادارية وعمومية </v>
      </c>
      <c r="N2688" s="138" t="str">
        <f>IF(ISERROR(VLOOKUP(C2688,'[1]خريطة الحسابات'!_xlnm.Print_Area,5,FALSE))," ",(VLOOKUP(C2688,'[1]خريطة الحسابات'!_xlnm.Print_Area,5,FALSE)))</f>
        <v xml:space="preserve">مصروفات </v>
      </c>
      <c r="O2688" s="84" t="s">
        <v>2541</v>
      </c>
      <c r="P2688" s="84" t="s">
        <v>2539</v>
      </c>
    </row>
    <row r="2689" spans="1:16">
      <c r="A2689" s="151">
        <v>87</v>
      </c>
      <c r="B2689" s="131">
        <v>46057</v>
      </c>
      <c r="C2689" s="150" t="s">
        <v>31</v>
      </c>
      <c r="D2689" s="140" t="str">
        <f>IF(ISERROR(VLOOKUP(C2689,'[1]خريطة الحسابات'!_xlnm.Print_Area,3,FALSE))," ",(VLOOKUP(C2689,'[1]خريطة الحسابات'!_xlnm.Print_Area,3,FALSE)))</f>
        <v>كهرباء ومياه وغاز وانترنت وموبيل مرافق</v>
      </c>
      <c r="E2689" s="142"/>
      <c r="F2689" s="133">
        <v>53</v>
      </c>
      <c r="G2689" s="133"/>
      <c r="H2689" s="134">
        <f t="shared" si="124"/>
        <v>53</v>
      </c>
      <c r="I2689" s="134">
        <f t="shared" si="124"/>
        <v>0</v>
      </c>
      <c r="J2689" s="134">
        <f t="shared" si="123"/>
        <v>53</v>
      </c>
      <c r="K2689" s="135"/>
      <c r="L2689" s="136" t="str">
        <f t="shared" si="125"/>
        <v>مدين</v>
      </c>
      <c r="M2689" s="137" t="str">
        <f>IF(ISERROR(VLOOKUP(C2689,'[1]خريطة الحسابات'!_xlnm.Print_Area,4,FALSE))," ",(VLOOKUP(C2689,'[1]خريطة الحسابات'!_xlnm.Print_Area,4,FALSE)))</f>
        <v xml:space="preserve">تكاليف ادارية وعمومية </v>
      </c>
      <c r="N2689" s="138" t="str">
        <f>IF(ISERROR(VLOOKUP(C2689,'[1]خريطة الحسابات'!_xlnm.Print_Area,5,FALSE))," ",(VLOOKUP(C2689,'[1]خريطة الحسابات'!_xlnm.Print_Area,5,FALSE)))</f>
        <v xml:space="preserve">مصروفات </v>
      </c>
      <c r="O2689" s="84" t="s">
        <v>2529</v>
      </c>
      <c r="P2689" s="84" t="s">
        <v>2539</v>
      </c>
    </row>
    <row r="2690" spans="1:16">
      <c r="A2690" s="151">
        <v>87</v>
      </c>
      <c r="B2690" s="131">
        <v>46057</v>
      </c>
      <c r="C2690" s="150" t="s">
        <v>31</v>
      </c>
      <c r="D2690" s="140" t="str">
        <f>IF(ISERROR(VLOOKUP(C2690,'[1]خريطة الحسابات'!_xlnm.Print_Area,3,FALSE))," ",(VLOOKUP(C2690,'[1]خريطة الحسابات'!_xlnm.Print_Area,3,FALSE)))</f>
        <v>كهرباء ومياه وغاز وانترنت وموبيل مرافق</v>
      </c>
      <c r="E2690" s="142"/>
      <c r="F2690" s="133">
        <v>1260</v>
      </c>
      <c r="G2690" s="133"/>
      <c r="H2690" s="134">
        <f t="shared" si="124"/>
        <v>1260</v>
      </c>
      <c r="I2690" s="134">
        <f t="shared" si="124"/>
        <v>0</v>
      </c>
      <c r="J2690" s="134">
        <f t="shared" si="123"/>
        <v>1260</v>
      </c>
      <c r="K2690" s="135"/>
      <c r="L2690" s="136" t="str">
        <f t="shared" si="125"/>
        <v>مدين</v>
      </c>
      <c r="M2690" s="137" t="str">
        <f>IF(ISERROR(VLOOKUP(C2690,'[1]خريطة الحسابات'!_xlnm.Print_Area,4,FALSE))," ",(VLOOKUP(C2690,'[1]خريطة الحسابات'!_xlnm.Print_Area,4,FALSE)))</f>
        <v xml:space="preserve">تكاليف ادارية وعمومية </v>
      </c>
      <c r="N2690" s="138" t="str">
        <f>IF(ISERROR(VLOOKUP(C2690,'[1]خريطة الحسابات'!_xlnm.Print_Area,5,FALSE))," ",(VLOOKUP(C2690,'[1]خريطة الحسابات'!_xlnm.Print_Area,5,FALSE)))</f>
        <v xml:space="preserve">مصروفات </v>
      </c>
      <c r="O2690" s="84" t="s">
        <v>2531</v>
      </c>
      <c r="P2690" s="84" t="s">
        <v>2539</v>
      </c>
    </row>
    <row r="2691" spans="1:16">
      <c r="A2691" s="151">
        <v>87</v>
      </c>
      <c r="B2691" s="131">
        <v>46062</v>
      </c>
      <c r="C2691" s="150" t="s">
        <v>31</v>
      </c>
      <c r="D2691" s="140" t="str">
        <f>IF(ISERROR(VLOOKUP(C2691,'[1]خريطة الحسابات'!_xlnm.Print_Area,3,FALSE))," ",(VLOOKUP(C2691,'[1]خريطة الحسابات'!_xlnm.Print_Area,3,FALSE)))</f>
        <v>كهرباء ومياه وغاز وانترنت وموبيل مرافق</v>
      </c>
      <c r="E2691" s="142"/>
      <c r="F2691" s="133">
        <v>150</v>
      </c>
      <c r="G2691" s="133"/>
      <c r="H2691" s="134">
        <f t="shared" si="124"/>
        <v>150</v>
      </c>
      <c r="I2691" s="134">
        <f t="shared" si="124"/>
        <v>0</v>
      </c>
      <c r="J2691" s="134">
        <f t="shared" si="123"/>
        <v>150</v>
      </c>
      <c r="K2691" s="135"/>
      <c r="L2691" s="136" t="str">
        <f t="shared" si="125"/>
        <v>مدين</v>
      </c>
      <c r="M2691" s="137" t="str">
        <f>IF(ISERROR(VLOOKUP(C2691,'[1]خريطة الحسابات'!_xlnm.Print_Area,4,FALSE))," ",(VLOOKUP(C2691,'[1]خريطة الحسابات'!_xlnm.Print_Area,4,FALSE)))</f>
        <v xml:space="preserve">تكاليف ادارية وعمومية </v>
      </c>
      <c r="N2691" s="138" t="str">
        <f>IF(ISERROR(VLOOKUP(C2691,'[1]خريطة الحسابات'!_xlnm.Print_Area,5,FALSE))," ",(VLOOKUP(C2691,'[1]خريطة الحسابات'!_xlnm.Print_Area,5,FALSE)))</f>
        <v xml:space="preserve">مصروفات </v>
      </c>
      <c r="O2691" s="84" t="s">
        <v>2542</v>
      </c>
      <c r="P2691" s="84" t="s">
        <v>2539</v>
      </c>
    </row>
    <row r="2692" spans="1:16">
      <c r="A2692" s="151">
        <v>87</v>
      </c>
      <c r="B2692" s="131">
        <v>46064</v>
      </c>
      <c r="C2692" s="150" t="s">
        <v>31</v>
      </c>
      <c r="D2692" s="140" t="str">
        <f>IF(ISERROR(VLOOKUP(C2692,'[1]خريطة الحسابات'!_xlnm.Print_Area,3,FALSE))," ",(VLOOKUP(C2692,'[1]خريطة الحسابات'!_xlnm.Print_Area,3,FALSE)))</f>
        <v>كهرباء ومياه وغاز وانترنت وموبيل مرافق</v>
      </c>
      <c r="E2692" s="142"/>
      <c r="F2692" s="133">
        <v>4345</v>
      </c>
      <c r="G2692" s="133"/>
      <c r="H2692" s="134">
        <f t="shared" si="124"/>
        <v>4345</v>
      </c>
      <c r="I2692" s="134">
        <f t="shared" si="124"/>
        <v>0</v>
      </c>
      <c r="J2692" s="134">
        <f t="shared" si="123"/>
        <v>4345</v>
      </c>
      <c r="K2692" s="135"/>
      <c r="L2692" s="136" t="str">
        <f t="shared" si="125"/>
        <v>مدين</v>
      </c>
      <c r="M2692" s="137" t="str">
        <f>IF(ISERROR(VLOOKUP(C2692,'[1]خريطة الحسابات'!_xlnm.Print_Area,4,FALSE))," ",(VLOOKUP(C2692,'[1]خريطة الحسابات'!_xlnm.Print_Area,4,FALSE)))</f>
        <v xml:space="preserve">تكاليف ادارية وعمومية </v>
      </c>
      <c r="N2692" s="138" t="str">
        <f>IF(ISERROR(VLOOKUP(C2692,'[1]خريطة الحسابات'!_xlnm.Print_Area,5,FALSE))," ",(VLOOKUP(C2692,'[1]خريطة الحسابات'!_xlnm.Print_Area,5,FALSE)))</f>
        <v xml:space="preserve">مصروفات </v>
      </c>
      <c r="O2692" s="84" t="s">
        <v>1711</v>
      </c>
      <c r="P2692" s="84" t="s">
        <v>2539</v>
      </c>
    </row>
    <row r="2693" spans="1:16">
      <c r="A2693" s="151">
        <v>87</v>
      </c>
      <c r="B2693" s="131">
        <v>46068</v>
      </c>
      <c r="C2693" s="150" t="s">
        <v>31</v>
      </c>
      <c r="D2693" s="140" t="str">
        <f>IF(ISERROR(VLOOKUP(C2693,'[1]خريطة الحسابات'!_xlnm.Print_Area,3,FALSE))," ",(VLOOKUP(C2693,'[1]خريطة الحسابات'!_xlnm.Print_Area,3,FALSE)))</f>
        <v>كهرباء ومياه وغاز وانترنت وموبيل مرافق</v>
      </c>
      <c r="E2693" s="142"/>
      <c r="F2693" s="133">
        <v>1205</v>
      </c>
      <c r="G2693" s="133"/>
      <c r="H2693" s="134">
        <f t="shared" si="124"/>
        <v>1205</v>
      </c>
      <c r="I2693" s="134">
        <f t="shared" si="124"/>
        <v>0</v>
      </c>
      <c r="J2693" s="134">
        <f t="shared" si="123"/>
        <v>1205</v>
      </c>
      <c r="K2693" s="135"/>
      <c r="L2693" s="136" t="str">
        <f t="shared" si="125"/>
        <v>مدين</v>
      </c>
      <c r="M2693" s="137" t="str">
        <f>IF(ISERROR(VLOOKUP(C2693,'[1]خريطة الحسابات'!_xlnm.Print_Area,4,FALSE))," ",(VLOOKUP(C2693,'[1]خريطة الحسابات'!_xlnm.Print_Area,4,FALSE)))</f>
        <v xml:space="preserve">تكاليف ادارية وعمومية </v>
      </c>
      <c r="N2693" s="138" t="str">
        <f>IF(ISERROR(VLOOKUP(C2693,'[1]خريطة الحسابات'!_xlnm.Print_Area,5,FALSE))," ",(VLOOKUP(C2693,'[1]خريطة الحسابات'!_xlnm.Print_Area,5,FALSE)))</f>
        <v xml:space="preserve">مصروفات </v>
      </c>
      <c r="O2693" s="84" t="s">
        <v>2531</v>
      </c>
      <c r="P2693" s="84" t="s">
        <v>2539</v>
      </c>
    </row>
    <row r="2694" spans="1:16">
      <c r="A2694" s="151">
        <v>87</v>
      </c>
      <c r="B2694" s="131">
        <v>46071</v>
      </c>
      <c r="C2694" s="150" t="s">
        <v>31</v>
      </c>
      <c r="D2694" s="140" t="str">
        <f>IF(ISERROR(VLOOKUP(C2694,'[1]خريطة الحسابات'!_xlnm.Print_Area,3,FALSE))," ",(VLOOKUP(C2694,'[1]خريطة الحسابات'!_xlnm.Print_Area,3,FALSE)))</f>
        <v>كهرباء ومياه وغاز وانترنت وموبيل مرافق</v>
      </c>
      <c r="E2694" s="142"/>
      <c r="F2694" s="133">
        <v>5000</v>
      </c>
      <c r="G2694" s="133"/>
      <c r="H2694" s="134">
        <f t="shared" si="124"/>
        <v>5000</v>
      </c>
      <c r="I2694" s="134">
        <f t="shared" si="124"/>
        <v>0</v>
      </c>
      <c r="J2694" s="134">
        <f t="shared" si="123"/>
        <v>5000</v>
      </c>
      <c r="K2694" s="135"/>
      <c r="L2694" s="136" t="str">
        <f t="shared" si="125"/>
        <v>مدين</v>
      </c>
      <c r="M2694" s="137" t="str">
        <f>IF(ISERROR(VLOOKUP(C2694,'[1]خريطة الحسابات'!_xlnm.Print_Area,4,FALSE))," ",(VLOOKUP(C2694,'[1]خريطة الحسابات'!_xlnm.Print_Area,4,FALSE)))</f>
        <v xml:space="preserve">تكاليف ادارية وعمومية </v>
      </c>
      <c r="N2694" s="138" t="str">
        <f>IF(ISERROR(VLOOKUP(C2694,'[1]خريطة الحسابات'!_xlnm.Print_Area,5,FALSE))," ",(VLOOKUP(C2694,'[1]خريطة الحسابات'!_xlnm.Print_Area,5,FALSE)))</f>
        <v xml:space="preserve">مصروفات </v>
      </c>
      <c r="O2694" s="84" t="s">
        <v>2543</v>
      </c>
      <c r="P2694" s="84" t="s">
        <v>2539</v>
      </c>
    </row>
    <row r="2695" spans="1:16">
      <c r="A2695" s="151">
        <v>87</v>
      </c>
      <c r="B2695" s="131">
        <v>46076</v>
      </c>
      <c r="C2695" s="150" t="s">
        <v>31</v>
      </c>
      <c r="D2695" s="140" t="str">
        <f>IF(ISERROR(VLOOKUP(C2695,'[1]خريطة الحسابات'!_xlnm.Print_Area,3,FALSE))," ",(VLOOKUP(C2695,'[1]خريطة الحسابات'!_xlnm.Print_Area,3,FALSE)))</f>
        <v>كهرباء ومياه وغاز وانترنت وموبيل مرافق</v>
      </c>
      <c r="E2695" s="142"/>
      <c r="F2695" s="133">
        <v>2325</v>
      </c>
      <c r="G2695" s="133"/>
      <c r="H2695" s="134">
        <f t="shared" si="124"/>
        <v>2325</v>
      </c>
      <c r="I2695" s="134">
        <f t="shared" si="124"/>
        <v>0</v>
      </c>
      <c r="J2695" s="134">
        <f t="shared" si="123"/>
        <v>2325</v>
      </c>
      <c r="K2695" s="135"/>
      <c r="L2695" s="136" t="str">
        <f t="shared" si="125"/>
        <v>مدين</v>
      </c>
      <c r="M2695" s="137" t="str">
        <f>IF(ISERROR(VLOOKUP(C2695,'[1]خريطة الحسابات'!_xlnm.Print_Area,4,FALSE))," ",(VLOOKUP(C2695,'[1]خريطة الحسابات'!_xlnm.Print_Area,4,FALSE)))</f>
        <v xml:space="preserve">تكاليف ادارية وعمومية </v>
      </c>
      <c r="N2695" s="138" t="str">
        <f>IF(ISERROR(VLOOKUP(C2695,'[1]خريطة الحسابات'!_xlnm.Print_Area,5,FALSE))," ",(VLOOKUP(C2695,'[1]خريطة الحسابات'!_xlnm.Print_Area,5,FALSE)))</f>
        <v xml:space="preserve">مصروفات </v>
      </c>
      <c r="O2695" s="84" t="s">
        <v>2535</v>
      </c>
      <c r="P2695" s="84" t="s">
        <v>2539</v>
      </c>
    </row>
    <row r="2696" spans="1:16">
      <c r="A2696" s="151">
        <v>87</v>
      </c>
      <c r="B2696" s="131">
        <v>46082</v>
      </c>
      <c r="C2696" s="150" t="s">
        <v>31</v>
      </c>
      <c r="D2696" s="140" t="str">
        <f>IF(ISERROR(VLOOKUP(C2696,'[1]خريطة الحسابات'!_xlnm.Print_Area,3,FALSE))," ",(VLOOKUP(C2696,'[1]خريطة الحسابات'!_xlnm.Print_Area,3,FALSE)))</f>
        <v>كهرباء ومياه وغاز وانترنت وموبيل مرافق</v>
      </c>
      <c r="E2696" s="142"/>
      <c r="F2696" s="133">
        <v>20</v>
      </c>
      <c r="G2696" s="133"/>
      <c r="H2696" s="134">
        <f t="shared" si="124"/>
        <v>20</v>
      </c>
      <c r="I2696" s="134">
        <f t="shared" si="124"/>
        <v>0</v>
      </c>
      <c r="J2696" s="134">
        <f t="shared" si="123"/>
        <v>20</v>
      </c>
      <c r="K2696" s="135"/>
      <c r="L2696" s="136" t="str">
        <f t="shared" si="125"/>
        <v>مدين</v>
      </c>
      <c r="M2696" s="137" t="str">
        <f>IF(ISERROR(VLOOKUP(C2696,'[1]خريطة الحسابات'!_xlnm.Print_Area,4,FALSE))," ",(VLOOKUP(C2696,'[1]خريطة الحسابات'!_xlnm.Print_Area,4,FALSE)))</f>
        <v xml:space="preserve">تكاليف ادارية وعمومية </v>
      </c>
      <c r="N2696" s="138" t="str">
        <f>IF(ISERROR(VLOOKUP(C2696,'[1]خريطة الحسابات'!_xlnm.Print_Area,5,FALSE))," ",(VLOOKUP(C2696,'[1]خريطة الحسابات'!_xlnm.Print_Area,5,FALSE)))</f>
        <v xml:space="preserve">مصروفات </v>
      </c>
      <c r="O2696" s="84" t="s">
        <v>2544</v>
      </c>
      <c r="P2696" s="84" t="s">
        <v>2539</v>
      </c>
    </row>
    <row r="2697" spans="1:16">
      <c r="A2697" s="151">
        <v>87</v>
      </c>
      <c r="B2697" s="131">
        <v>46082</v>
      </c>
      <c r="C2697" s="150" t="s">
        <v>31</v>
      </c>
      <c r="D2697" s="140" t="str">
        <f>IF(ISERROR(VLOOKUP(C2697,'[1]خريطة الحسابات'!_xlnm.Print_Area,3,FALSE))," ",(VLOOKUP(C2697,'[1]خريطة الحسابات'!_xlnm.Print_Area,3,FALSE)))</f>
        <v>كهرباء ومياه وغاز وانترنت وموبيل مرافق</v>
      </c>
      <c r="E2697" s="142"/>
      <c r="F2697" s="133">
        <v>1400</v>
      </c>
      <c r="G2697" s="133"/>
      <c r="H2697" s="134">
        <f t="shared" si="124"/>
        <v>1400</v>
      </c>
      <c r="I2697" s="134">
        <f t="shared" si="124"/>
        <v>0</v>
      </c>
      <c r="J2697" s="134">
        <f t="shared" si="123"/>
        <v>1400</v>
      </c>
      <c r="K2697" s="135"/>
      <c r="L2697" s="136" t="str">
        <f t="shared" si="125"/>
        <v>مدين</v>
      </c>
      <c r="M2697" s="137" t="str">
        <f>IF(ISERROR(VLOOKUP(C2697,'[1]خريطة الحسابات'!_xlnm.Print_Area,4,FALSE))," ",(VLOOKUP(C2697,'[1]خريطة الحسابات'!_xlnm.Print_Area,4,FALSE)))</f>
        <v xml:space="preserve">تكاليف ادارية وعمومية </v>
      </c>
      <c r="N2697" s="138" t="str">
        <f>IF(ISERROR(VLOOKUP(C2697,'[1]خريطة الحسابات'!_xlnm.Print_Area,5,FALSE))," ",(VLOOKUP(C2697,'[1]خريطة الحسابات'!_xlnm.Print_Area,5,FALSE)))</f>
        <v xml:space="preserve">مصروفات </v>
      </c>
      <c r="O2697" s="84" t="s">
        <v>2545</v>
      </c>
      <c r="P2697" s="84" t="s">
        <v>2539</v>
      </c>
    </row>
    <row r="2698" spans="1:16">
      <c r="A2698" s="151">
        <v>87</v>
      </c>
      <c r="B2698" s="131">
        <v>46089</v>
      </c>
      <c r="C2698" s="150" t="s">
        <v>31</v>
      </c>
      <c r="D2698" s="140" t="str">
        <f>IF(ISERROR(VLOOKUP(C2698,'[1]خريطة الحسابات'!_xlnm.Print_Area,3,FALSE))," ",(VLOOKUP(C2698,'[1]خريطة الحسابات'!_xlnm.Print_Area,3,FALSE)))</f>
        <v>كهرباء ومياه وغاز وانترنت وموبيل مرافق</v>
      </c>
      <c r="E2698" s="142"/>
      <c r="F2698" s="133">
        <v>300</v>
      </c>
      <c r="G2698" s="133"/>
      <c r="H2698" s="134">
        <f t="shared" si="124"/>
        <v>300</v>
      </c>
      <c r="I2698" s="134">
        <f t="shared" si="124"/>
        <v>0</v>
      </c>
      <c r="J2698" s="134">
        <f t="shared" si="123"/>
        <v>300</v>
      </c>
      <c r="K2698" s="135"/>
      <c r="L2698" s="136" t="str">
        <f t="shared" si="125"/>
        <v>مدين</v>
      </c>
      <c r="M2698" s="137" t="str">
        <f>IF(ISERROR(VLOOKUP(C2698,'[1]خريطة الحسابات'!_xlnm.Print_Area,4,FALSE))," ",(VLOOKUP(C2698,'[1]خريطة الحسابات'!_xlnm.Print_Area,4,FALSE)))</f>
        <v xml:space="preserve">تكاليف ادارية وعمومية </v>
      </c>
      <c r="N2698" s="138" t="str">
        <f>IF(ISERROR(VLOOKUP(C2698,'[1]خريطة الحسابات'!_xlnm.Print_Area,5,FALSE))," ",(VLOOKUP(C2698,'[1]خريطة الحسابات'!_xlnm.Print_Area,5,FALSE)))</f>
        <v xml:space="preserve">مصروفات </v>
      </c>
      <c r="O2698" s="84" t="s">
        <v>2546</v>
      </c>
      <c r="P2698" s="84" t="s">
        <v>2539</v>
      </c>
    </row>
    <row r="2699" spans="1:16">
      <c r="A2699" s="151">
        <v>87</v>
      </c>
      <c r="B2699" s="131">
        <v>46090</v>
      </c>
      <c r="C2699" s="150" t="s">
        <v>31</v>
      </c>
      <c r="D2699" s="140" t="str">
        <f>IF(ISERROR(VLOOKUP(C2699,'[1]خريطة الحسابات'!_xlnm.Print_Area,3,FALSE))," ",(VLOOKUP(C2699,'[1]خريطة الحسابات'!_xlnm.Print_Area,3,FALSE)))</f>
        <v>كهرباء ومياه وغاز وانترنت وموبيل مرافق</v>
      </c>
      <c r="E2699" s="142"/>
      <c r="F2699" s="133">
        <v>2540</v>
      </c>
      <c r="G2699" s="133"/>
      <c r="H2699" s="134">
        <f t="shared" si="124"/>
        <v>2540</v>
      </c>
      <c r="I2699" s="134">
        <f t="shared" si="124"/>
        <v>0</v>
      </c>
      <c r="J2699" s="134">
        <f t="shared" si="123"/>
        <v>2540</v>
      </c>
      <c r="K2699" s="135"/>
      <c r="L2699" s="136" t="str">
        <f t="shared" si="125"/>
        <v>مدين</v>
      </c>
      <c r="M2699" s="137" t="str">
        <f>IF(ISERROR(VLOOKUP(C2699,'[1]خريطة الحسابات'!_xlnm.Print_Area,4,FALSE))," ",(VLOOKUP(C2699,'[1]خريطة الحسابات'!_xlnm.Print_Area,4,FALSE)))</f>
        <v xml:space="preserve">تكاليف ادارية وعمومية </v>
      </c>
      <c r="N2699" s="138" t="str">
        <f>IF(ISERROR(VLOOKUP(C2699,'[1]خريطة الحسابات'!_xlnm.Print_Area,5,FALSE))," ",(VLOOKUP(C2699,'[1]خريطة الحسابات'!_xlnm.Print_Area,5,FALSE)))</f>
        <v xml:space="preserve">مصروفات </v>
      </c>
      <c r="O2699" s="84" t="s">
        <v>2547</v>
      </c>
      <c r="P2699" s="84" t="s">
        <v>2539</v>
      </c>
    </row>
    <row r="2700" spans="1:16">
      <c r="A2700" s="151">
        <v>87</v>
      </c>
      <c r="B2700" s="131">
        <v>46092</v>
      </c>
      <c r="C2700" s="150" t="s">
        <v>31</v>
      </c>
      <c r="D2700" s="140" t="str">
        <f>IF(ISERROR(VLOOKUP(C2700,'[1]خريطة الحسابات'!_xlnm.Print_Area,3,FALSE))," ",(VLOOKUP(C2700,'[1]خريطة الحسابات'!_xlnm.Print_Area,3,FALSE)))</f>
        <v>كهرباء ومياه وغاز وانترنت وموبيل مرافق</v>
      </c>
      <c r="E2700" s="142"/>
      <c r="F2700" s="133">
        <v>150</v>
      </c>
      <c r="G2700" s="133"/>
      <c r="H2700" s="134">
        <f t="shared" si="124"/>
        <v>150</v>
      </c>
      <c r="I2700" s="134">
        <f t="shared" si="124"/>
        <v>0</v>
      </c>
      <c r="J2700" s="134">
        <f t="shared" si="123"/>
        <v>150</v>
      </c>
      <c r="K2700" s="135"/>
      <c r="L2700" s="136" t="str">
        <f t="shared" si="125"/>
        <v>مدين</v>
      </c>
      <c r="M2700" s="137" t="str">
        <f>IF(ISERROR(VLOOKUP(C2700,'[1]خريطة الحسابات'!_xlnm.Print_Area,4,FALSE))," ",(VLOOKUP(C2700,'[1]خريطة الحسابات'!_xlnm.Print_Area,4,FALSE)))</f>
        <v xml:space="preserve">تكاليف ادارية وعمومية </v>
      </c>
      <c r="N2700" s="138" t="str">
        <f>IF(ISERROR(VLOOKUP(C2700,'[1]خريطة الحسابات'!_xlnm.Print_Area,5,FALSE))," ",(VLOOKUP(C2700,'[1]خريطة الحسابات'!_xlnm.Print_Area,5,FALSE)))</f>
        <v xml:space="preserve">مصروفات </v>
      </c>
      <c r="O2700" s="84" t="s">
        <v>2542</v>
      </c>
      <c r="P2700" s="84" t="s">
        <v>2539</v>
      </c>
    </row>
    <row r="2701" spans="1:16">
      <c r="A2701" s="151">
        <v>87</v>
      </c>
      <c r="B2701" s="131">
        <v>46092</v>
      </c>
      <c r="C2701" s="150" t="s">
        <v>31</v>
      </c>
      <c r="D2701" s="140" t="str">
        <f>IF(ISERROR(VLOOKUP(C2701,'[1]خريطة الحسابات'!_xlnm.Print_Area,3,FALSE))," ",(VLOOKUP(C2701,'[1]خريطة الحسابات'!_xlnm.Print_Area,3,FALSE)))</f>
        <v>كهرباء ومياه وغاز وانترنت وموبيل مرافق</v>
      </c>
      <c r="E2701" s="142"/>
      <c r="F2701" s="133">
        <v>1205</v>
      </c>
      <c r="G2701" s="133"/>
      <c r="H2701" s="134">
        <f t="shared" si="124"/>
        <v>1205</v>
      </c>
      <c r="I2701" s="134">
        <f t="shared" si="124"/>
        <v>0</v>
      </c>
      <c r="J2701" s="134">
        <f t="shared" si="123"/>
        <v>1205</v>
      </c>
      <c r="K2701" s="135"/>
      <c r="L2701" s="136" t="str">
        <f t="shared" si="125"/>
        <v>مدين</v>
      </c>
      <c r="M2701" s="137" t="str">
        <f>IF(ISERROR(VLOOKUP(C2701,'[1]خريطة الحسابات'!_xlnm.Print_Area,4,FALSE))," ",(VLOOKUP(C2701,'[1]خريطة الحسابات'!_xlnm.Print_Area,4,FALSE)))</f>
        <v xml:space="preserve">تكاليف ادارية وعمومية </v>
      </c>
      <c r="N2701" s="138" t="str">
        <f>IF(ISERROR(VLOOKUP(C2701,'[1]خريطة الحسابات'!_xlnm.Print_Area,5,FALSE))," ",(VLOOKUP(C2701,'[1]خريطة الحسابات'!_xlnm.Print_Area,5,FALSE)))</f>
        <v xml:space="preserve">مصروفات </v>
      </c>
      <c r="O2701" s="84" t="s">
        <v>2531</v>
      </c>
      <c r="P2701" s="84" t="s">
        <v>2539</v>
      </c>
    </row>
    <row r="2702" spans="1:16">
      <c r="A2702" s="151">
        <v>87</v>
      </c>
      <c r="B2702" s="131">
        <v>46092</v>
      </c>
      <c r="C2702" s="150" t="s">
        <v>31</v>
      </c>
      <c r="D2702" s="140" t="str">
        <f>IF(ISERROR(VLOOKUP(C2702,'[1]خريطة الحسابات'!_xlnm.Print_Area,3,FALSE))," ",(VLOOKUP(C2702,'[1]خريطة الحسابات'!_xlnm.Print_Area,3,FALSE)))</f>
        <v>كهرباء ومياه وغاز وانترنت وموبيل مرافق</v>
      </c>
      <c r="E2702" s="142"/>
      <c r="F2702" s="133">
        <v>4025</v>
      </c>
      <c r="G2702" s="133"/>
      <c r="H2702" s="134">
        <f t="shared" si="124"/>
        <v>4025</v>
      </c>
      <c r="I2702" s="134">
        <f t="shared" si="124"/>
        <v>0</v>
      </c>
      <c r="J2702" s="134">
        <f t="shared" si="123"/>
        <v>4025</v>
      </c>
      <c r="K2702" s="135"/>
      <c r="L2702" s="136" t="str">
        <f t="shared" si="125"/>
        <v>مدين</v>
      </c>
      <c r="M2702" s="137" t="str">
        <f>IF(ISERROR(VLOOKUP(C2702,'[1]خريطة الحسابات'!_xlnm.Print_Area,4,FALSE))," ",(VLOOKUP(C2702,'[1]خريطة الحسابات'!_xlnm.Print_Area,4,FALSE)))</f>
        <v xml:space="preserve">تكاليف ادارية وعمومية </v>
      </c>
      <c r="N2702" s="138" t="str">
        <f>IF(ISERROR(VLOOKUP(C2702,'[1]خريطة الحسابات'!_xlnm.Print_Area,5,FALSE))," ",(VLOOKUP(C2702,'[1]خريطة الحسابات'!_xlnm.Print_Area,5,FALSE)))</f>
        <v xml:space="preserve">مصروفات </v>
      </c>
      <c r="O2702" s="84" t="s">
        <v>1711</v>
      </c>
      <c r="P2702" s="84" t="s">
        <v>2539</v>
      </c>
    </row>
    <row r="2703" spans="1:16">
      <c r="A2703" s="151">
        <v>87</v>
      </c>
      <c r="B2703" s="131">
        <v>46145</v>
      </c>
      <c r="C2703" s="150" t="s">
        <v>31</v>
      </c>
      <c r="D2703" s="140" t="str">
        <f>IF(ISERROR(VLOOKUP(C2703,'[1]خريطة الحسابات'!_xlnm.Print_Area,3,FALSE))," ",(VLOOKUP(C2703,'[1]خريطة الحسابات'!_xlnm.Print_Area,3,FALSE)))</f>
        <v>كهرباء ومياه وغاز وانترنت وموبيل مرافق</v>
      </c>
      <c r="E2703" s="142"/>
      <c r="F2703" s="133">
        <v>1600</v>
      </c>
      <c r="G2703" s="133"/>
      <c r="H2703" s="134">
        <f t="shared" si="124"/>
        <v>1600</v>
      </c>
      <c r="I2703" s="134">
        <f t="shared" si="124"/>
        <v>0</v>
      </c>
      <c r="J2703" s="134">
        <f t="shared" si="123"/>
        <v>1600</v>
      </c>
      <c r="K2703" s="135"/>
      <c r="L2703" s="136" t="str">
        <f t="shared" si="125"/>
        <v>مدين</v>
      </c>
      <c r="M2703" s="137" t="str">
        <f>IF(ISERROR(VLOOKUP(C2703,'[1]خريطة الحسابات'!_xlnm.Print_Area,4,FALSE))," ",(VLOOKUP(C2703,'[1]خريطة الحسابات'!_xlnm.Print_Area,4,FALSE)))</f>
        <v xml:space="preserve">تكاليف ادارية وعمومية </v>
      </c>
      <c r="N2703" s="138" t="str">
        <f>IF(ISERROR(VLOOKUP(C2703,'[1]خريطة الحسابات'!_xlnm.Print_Area,5,FALSE))," ",(VLOOKUP(C2703,'[1]خريطة الحسابات'!_xlnm.Print_Area,5,FALSE)))</f>
        <v xml:space="preserve">مصروفات </v>
      </c>
      <c r="O2703" s="84" t="s">
        <v>2532</v>
      </c>
      <c r="P2703" s="84" t="s">
        <v>2539</v>
      </c>
    </row>
    <row r="2704" spans="1:16">
      <c r="A2704" s="151">
        <v>87</v>
      </c>
      <c r="B2704" s="131">
        <v>46147</v>
      </c>
      <c r="C2704" s="150" t="s">
        <v>31</v>
      </c>
      <c r="D2704" s="140" t="str">
        <f>IF(ISERROR(VLOOKUP(C2704,'[1]خريطة الحسابات'!_xlnm.Print_Area,3,FALSE))," ",(VLOOKUP(C2704,'[1]خريطة الحسابات'!_xlnm.Print_Area,3,FALSE)))</f>
        <v>كهرباء ومياه وغاز وانترنت وموبيل مرافق</v>
      </c>
      <c r="E2704" s="142"/>
      <c r="F2704" s="133">
        <v>150</v>
      </c>
      <c r="G2704" s="133"/>
      <c r="H2704" s="134">
        <f t="shared" si="124"/>
        <v>150</v>
      </c>
      <c r="I2704" s="134">
        <f t="shared" si="124"/>
        <v>0</v>
      </c>
      <c r="J2704" s="134">
        <f t="shared" si="123"/>
        <v>150</v>
      </c>
      <c r="K2704" s="135"/>
      <c r="L2704" s="136" t="str">
        <f t="shared" si="125"/>
        <v>مدين</v>
      </c>
      <c r="M2704" s="137" t="str">
        <f>IF(ISERROR(VLOOKUP(C2704,'[1]خريطة الحسابات'!_xlnm.Print_Area,4,FALSE))," ",(VLOOKUP(C2704,'[1]خريطة الحسابات'!_xlnm.Print_Area,4,FALSE)))</f>
        <v xml:space="preserve">تكاليف ادارية وعمومية </v>
      </c>
      <c r="N2704" s="138" t="str">
        <f>IF(ISERROR(VLOOKUP(C2704,'[1]خريطة الحسابات'!_xlnm.Print_Area,5,FALSE))," ",(VLOOKUP(C2704,'[1]خريطة الحسابات'!_xlnm.Print_Area,5,FALSE)))</f>
        <v xml:space="preserve">مصروفات </v>
      </c>
      <c r="O2704" s="84" t="s">
        <v>2548</v>
      </c>
      <c r="P2704" s="84" t="s">
        <v>2539</v>
      </c>
    </row>
    <row r="2705" spans="1:16">
      <c r="A2705" s="151">
        <v>87</v>
      </c>
      <c r="B2705" s="131">
        <v>46152</v>
      </c>
      <c r="C2705" s="150" t="s">
        <v>31</v>
      </c>
      <c r="D2705" s="140" t="str">
        <f>IF(ISERROR(VLOOKUP(C2705,'[1]خريطة الحسابات'!_xlnm.Print_Area,3,FALSE))," ",(VLOOKUP(C2705,'[1]خريطة الحسابات'!_xlnm.Print_Area,3,FALSE)))</f>
        <v>كهرباء ومياه وغاز وانترنت وموبيل مرافق</v>
      </c>
      <c r="E2705" s="142"/>
      <c r="F2705" s="133">
        <v>3300</v>
      </c>
      <c r="G2705" s="133"/>
      <c r="H2705" s="134">
        <f t="shared" si="124"/>
        <v>3300</v>
      </c>
      <c r="I2705" s="134">
        <f t="shared" si="124"/>
        <v>0</v>
      </c>
      <c r="J2705" s="134">
        <f t="shared" si="123"/>
        <v>3300</v>
      </c>
      <c r="K2705" s="135"/>
      <c r="L2705" s="136" t="str">
        <f t="shared" si="125"/>
        <v>مدين</v>
      </c>
      <c r="M2705" s="137" t="str">
        <f>IF(ISERROR(VLOOKUP(C2705,'[1]خريطة الحسابات'!_xlnm.Print_Area,4,FALSE))," ",(VLOOKUP(C2705,'[1]خريطة الحسابات'!_xlnm.Print_Area,4,FALSE)))</f>
        <v xml:space="preserve">تكاليف ادارية وعمومية </v>
      </c>
      <c r="N2705" s="138" t="str">
        <f>IF(ISERROR(VLOOKUP(C2705,'[1]خريطة الحسابات'!_xlnm.Print_Area,5,FALSE))," ",(VLOOKUP(C2705,'[1]خريطة الحسابات'!_xlnm.Print_Area,5,FALSE)))</f>
        <v xml:space="preserve">مصروفات </v>
      </c>
      <c r="O2705" s="84" t="s">
        <v>2535</v>
      </c>
      <c r="P2705" s="84" t="s">
        <v>2539</v>
      </c>
    </row>
    <row r="2706" spans="1:16">
      <c r="A2706" s="151">
        <v>87</v>
      </c>
      <c r="B2706" s="131">
        <v>46109</v>
      </c>
      <c r="C2706" s="150">
        <v>20</v>
      </c>
      <c r="D2706" s="140" t="str">
        <f>IF(ISERROR(VLOOKUP(C2706,'[1]خريطة الحسابات'!_xlnm.Print_Area,3,FALSE))," ",(VLOOKUP(C2706,'[1]خريطة الحسابات'!_xlnm.Print_Area,3,FALSE)))</f>
        <v xml:space="preserve">الخزينة </v>
      </c>
      <c r="E2706" s="142"/>
      <c r="F2706" s="133"/>
      <c r="G2706" s="133">
        <v>44</v>
      </c>
      <c r="H2706" s="134">
        <f t="shared" si="124"/>
        <v>0</v>
      </c>
      <c r="I2706" s="134">
        <f t="shared" si="124"/>
        <v>44</v>
      </c>
      <c r="J2706" s="134">
        <f t="shared" si="123"/>
        <v>-44</v>
      </c>
      <c r="K2706" s="135"/>
      <c r="L2706" s="136" t="str">
        <f t="shared" si="125"/>
        <v>دائن</v>
      </c>
      <c r="M2706" s="137" t="str">
        <f>IF(ISERROR(VLOOKUP(C2706,'[1]خريطة الحسابات'!_xlnm.Print_Area,4,FALSE))," ",(VLOOKUP(C2706,'[1]خريطة الحسابات'!_xlnm.Print_Area,4,FALSE)))</f>
        <v xml:space="preserve">أصول متداوله -النقدية ومافي حكمها </v>
      </c>
      <c r="N2706" s="138" t="str">
        <f>IF(ISERROR(VLOOKUP(C2706,'[1]خريطة الحسابات'!_xlnm.Print_Area,5,FALSE))," ",(VLOOKUP(C2706,'[1]خريطة الحسابات'!_xlnm.Print_Area,5,FALSE)))</f>
        <v>الاصول</v>
      </c>
      <c r="O2706" s="84" t="s">
        <v>2529</v>
      </c>
      <c r="P2706" s="84" t="s">
        <v>2530</v>
      </c>
    </row>
    <row r="2707" spans="1:16">
      <c r="A2707" s="151">
        <v>87</v>
      </c>
      <c r="B2707" s="131">
        <v>46109</v>
      </c>
      <c r="C2707" s="150">
        <v>20</v>
      </c>
      <c r="D2707" s="140" t="str">
        <f>IF(ISERROR(VLOOKUP(C2707,'[1]خريطة الحسابات'!_xlnm.Print_Area,3,FALSE))," ",(VLOOKUP(C2707,'[1]خريطة الحسابات'!_xlnm.Print_Area,3,FALSE)))</f>
        <v xml:space="preserve">الخزينة </v>
      </c>
      <c r="E2707" s="142"/>
      <c r="F2707" s="133"/>
      <c r="G2707" s="133">
        <v>1205</v>
      </c>
      <c r="H2707" s="134">
        <f t="shared" si="124"/>
        <v>0</v>
      </c>
      <c r="I2707" s="134">
        <f t="shared" si="124"/>
        <v>1205</v>
      </c>
      <c r="J2707" s="134">
        <f t="shared" si="123"/>
        <v>-1205</v>
      </c>
      <c r="K2707" s="135"/>
      <c r="L2707" s="136" t="str">
        <f t="shared" si="125"/>
        <v>دائن</v>
      </c>
      <c r="M2707" s="137" t="str">
        <f>IF(ISERROR(VLOOKUP(C2707,'[1]خريطة الحسابات'!_xlnm.Print_Area,4,FALSE))," ",(VLOOKUP(C2707,'[1]خريطة الحسابات'!_xlnm.Print_Area,4,FALSE)))</f>
        <v xml:space="preserve">أصول متداوله -النقدية ومافي حكمها </v>
      </c>
      <c r="N2707" s="138" t="str">
        <f>IF(ISERROR(VLOOKUP(C2707,'[1]خريطة الحسابات'!_xlnm.Print_Area,5,FALSE))," ",(VLOOKUP(C2707,'[1]خريطة الحسابات'!_xlnm.Print_Area,5,FALSE)))</f>
        <v>الاصول</v>
      </c>
      <c r="O2707" s="84" t="s">
        <v>2531</v>
      </c>
      <c r="P2707" s="84" t="s">
        <v>2530</v>
      </c>
    </row>
    <row r="2708" spans="1:16">
      <c r="A2708" s="151">
        <v>87</v>
      </c>
      <c r="B2708" s="131">
        <v>46114</v>
      </c>
      <c r="C2708" s="150">
        <v>20</v>
      </c>
      <c r="D2708" s="140" t="str">
        <f>IF(ISERROR(VLOOKUP(C2708,'[1]خريطة الحسابات'!_xlnm.Print_Area,3,FALSE))," ",(VLOOKUP(C2708,'[1]خريطة الحسابات'!_xlnm.Print_Area,3,FALSE)))</f>
        <v xml:space="preserve">الخزينة </v>
      </c>
      <c r="E2708" s="142"/>
      <c r="F2708" s="133"/>
      <c r="G2708" s="133">
        <v>1660</v>
      </c>
      <c r="H2708" s="134">
        <f t="shared" si="124"/>
        <v>0</v>
      </c>
      <c r="I2708" s="134">
        <f t="shared" si="124"/>
        <v>1660</v>
      </c>
      <c r="J2708" s="134">
        <f t="shared" si="123"/>
        <v>-1660</v>
      </c>
      <c r="K2708" s="135"/>
      <c r="L2708" s="136" t="str">
        <f t="shared" si="125"/>
        <v>دائن</v>
      </c>
      <c r="M2708" s="137" t="str">
        <f>IF(ISERROR(VLOOKUP(C2708,'[1]خريطة الحسابات'!_xlnm.Print_Area,4,FALSE))," ",(VLOOKUP(C2708,'[1]خريطة الحسابات'!_xlnm.Print_Area,4,FALSE)))</f>
        <v xml:space="preserve">أصول متداوله -النقدية ومافي حكمها </v>
      </c>
      <c r="N2708" s="138" t="str">
        <f>IF(ISERROR(VLOOKUP(C2708,'[1]خريطة الحسابات'!_xlnm.Print_Area,5,FALSE))," ",(VLOOKUP(C2708,'[1]خريطة الحسابات'!_xlnm.Print_Area,5,FALSE)))</f>
        <v>الاصول</v>
      </c>
      <c r="O2708" s="84" t="s">
        <v>2532</v>
      </c>
      <c r="P2708" s="84" t="s">
        <v>2530</v>
      </c>
    </row>
    <row r="2709" spans="1:16">
      <c r="A2709" s="151">
        <v>87</v>
      </c>
      <c r="B2709" s="131">
        <v>46114</v>
      </c>
      <c r="C2709" s="150">
        <v>20</v>
      </c>
      <c r="D2709" s="140" t="str">
        <f>IF(ISERROR(VLOOKUP(C2709,'[1]خريطة الحسابات'!_xlnm.Print_Area,3,FALSE))," ",(VLOOKUP(C2709,'[1]خريطة الحسابات'!_xlnm.Print_Area,3,FALSE)))</f>
        <v xml:space="preserve">الخزينة </v>
      </c>
      <c r="E2709" s="142"/>
      <c r="F2709" s="133"/>
      <c r="G2709" s="133">
        <v>170</v>
      </c>
      <c r="H2709" s="134">
        <f t="shared" si="124"/>
        <v>0</v>
      </c>
      <c r="I2709" s="134">
        <f t="shared" si="124"/>
        <v>170</v>
      </c>
      <c r="J2709" s="134">
        <f t="shared" si="123"/>
        <v>-170</v>
      </c>
      <c r="K2709" s="135"/>
      <c r="L2709" s="136" t="str">
        <f t="shared" si="125"/>
        <v>دائن</v>
      </c>
      <c r="M2709" s="137" t="str">
        <f>IF(ISERROR(VLOOKUP(C2709,'[1]خريطة الحسابات'!_xlnm.Print_Area,4,FALSE))," ",(VLOOKUP(C2709,'[1]خريطة الحسابات'!_xlnm.Print_Area,4,FALSE)))</f>
        <v xml:space="preserve">أصول متداوله -النقدية ومافي حكمها </v>
      </c>
      <c r="N2709" s="138" t="str">
        <f>IF(ISERROR(VLOOKUP(C2709,'[1]خريطة الحسابات'!_xlnm.Print_Area,5,FALSE))," ",(VLOOKUP(C2709,'[1]خريطة الحسابات'!_xlnm.Print_Area,5,FALSE)))</f>
        <v>الاصول</v>
      </c>
      <c r="O2709" s="84" t="s">
        <v>2533</v>
      </c>
      <c r="P2709" s="84" t="s">
        <v>2530</v>
      </c>
    </row>
    <row r="2710" spans="1:16">
      <c r="A2710" s="151">
        <v>87</v>
      </c>
      <c r="B2710" s="131">
        <v>46121</v>
      </c>
      <c r="C2710" s="150">
        <v>20</v>
      </c>
      <c r="D2710" s="140" t="str">
        <f>IF(ISERROR(VLOOKUP(C2710,'[1]خريطة الحسابات'!_xlnm.Print_Area,3,FALSE))," ",(VLOOKUP(C2710,'[1]خريطة الحسابات'!_xlnm.Print_Area,3,FALSE)))</f>
        <v xml:space="preserve">الخزينة </v>
      </c>
      <c r="E2710" s="142"/>
      <c r="F2710" s="133"/>
      <c r="G2710" s="133">
        <v>150</v>
      </c>
      <c r="H2710" s="134">
        <f t="shared" si="124"/>
        <v>0</v>
      </c>
      <c r="I2710" s="134">
        <f t="shared" si="124"/>
        <v>150</v>
      </c>
      <c r="J2710" s="134">
        <f t="shared" si="123"/>
        <v>-150</v>
      </c>
      <c r="K2710" s="135"/>
      <c r="L2710" s="136" t="str">
        <f t="shared" si="125"/>
        <v>دائن</v>
      </c>
      <c r="M2710" s="137" t="str">
        <f>IF(ISERROR(VLOOKUP(C2710,'[1]خريطة الحسابات'!_xlnm.Print_Area,4,FALSE))," ",(VLOOKUP(C2710,'[1]خريطة الحسابات'!_xlnm.Print_Area,4,FALSE)))</f>
        <v xml:space="preserve">أصول متداوله -النقدية ومافي حكمها </v>
      </c>
      <c r="N2710" s="138" t="str">
        <f>IF(ISERROR(VLOOKUP(C2710,'[1]خريطة الحسابات'!_xlnm.Print_Area,5,FALSE))," ",(VLOOKUP(C2710,'[1]خريطة الحسابات'!_xlnm.Print_Area,5,FALSE)))</f>
        <v>الاصول</v>
      </c>
      <c r="O2710" s="84" t="s">
        <v>2534</v>
      </c>
      <c r="P2710" s="84" t="s">
        <v>2530</v>
      </c>
    </row>
    <row r="2711" spans="1:16">
      <c r="A2711" s="151">
        <v>87</v>
      </c>
      <c r="B2711" s="131">
        <v>46121</v>
      </c>
      <c r="C2711" s="150">
        <v>20</v>
      </c>
      <c r="D2711" s="140" t="str">
        <f>IF(ISERROR(VLOOKUP(C2711,'[1]خريطة الحسابات'!_xlnm.Print_Area,3,FALSE))," ",(VLOOKUP(C2711,'[1]خريطة الحسابات'!_xlnm.Print_Area,3,FALSE)))</f>
        <v xml:space="preserve">الخزينة </v>
      </c>
      <c r="E2711" s="142"/>
      <c r="F2711" s="133"/>
      <c r="G2711" s="133">
        <v>2000</v>
      </c>
      <c r="H2711" s="134">
        <f t="shared" si="124"/>
        <v>0</v>
      </c>
      <c r="I2711" s="134">
        <f t="shared" si="124"/>
        <v>2000</v>
      </c>
      <c r="J2711" s="134">
        <f t="shared" si="123"/>
        <v>-2000</v>
      </c>
      <c r="K2711" s="135"/>
      <c r="L2711" s="136" t="str">
        <f t="shared" si="125"/>
        <v>دائن</v>
      </c>
      <c r="M2711" s="137" t="str">
        <f>IF(ISERROR(VLOOKUP(C2711,'[1]خريطة الحسابات'!_xlnm.Print_Area,4,FALSE))," ",(VLOOKUP(C2711,'[1]خريطة الحسابات'!_xlnm.Print_Area,4,FALSE)))</f>
        <v xml:space="preserve">أصول متداوله -النقدية ومافي حكمها </v>
      </c>
      <c r="N2711" s="138" t="str">
        <f>IF(ISERROR(VLOOKUP(C2711,'[1]خريطة الحسابات'!_xlnm.Print_Area,5,FALSE))," ",(VLOOKUP(C2711,'[1]خريطة الحسابات'!_xlnm.Print_Area,5,FALSE)))</f>
        <v>الاصول</v>
      </c>
      <c r="O2711" s="84" t="s">
        <v>2535</v>
      </c>
      <c r="P2711" s="84" t="s">
        <v>2530</v>
      </c>
    </row>
    <row r="2712" spans="1:16">
      <c r="A2712" s="151">
        <v>87</v>
      </c>
      <c r="B2712" s="131">
        <v>46128</v>
      </c>
      <c r="C2712" s="150">
        <v>20</v>
      </c>
      <c r="D2712" s="140" t="str">
        <f>IF(ISERROR(VLOOKUP(C2712,'[1]خريطة الحسابات'!_xlnm.Print_Area,3,FALSE))," ",(VLOOKUP(C2712,'[1]خريطة الحسابات'!_xlnm.Print_Area,3,FALSE)))</f>
        <v xml:space="preserve">الخزينة </v>
      </c>
      <c r="E2712" s="142"/>
      <c r="F2712" s="133"/>
      <c r="G2712" s="133">
        <v>1509</v>
      </c>
      <c r="H2712" s="134">
        <f t="shared" si="124"/>
        <v>0</v>
      </c>
      <c r="I2712" s="134">
        <f t="shared" si="124"/>
        <v>1509</v>
      </c>
      <c r="J2712" s="134">
        <f t="shared" ref="J2712:J2775" si="126">H2712-I2712</f>
        <v>-1509</v>
      </c>
      <c r="K2712" s="135"/>
      <c r="L2712" s="136" t="str">
        <f t="shared" si="125"/>
        <v>دائن</v>
      </c>
      <c r="M2712" s="137" t="str">
        <f>IF(ISERROR(VLOOKUP(C2712,'[1]خريطة الحسابات'!_xlnm.Print_Area,4,FALSE))," ",(VLOOKUP(C2712,'[1]خريطة الحسابات'!_xlnm.Print_Area,4,FALSE)))</f>
        <v xml:space="preserve">أصول متداوله -النقدية ومافي حكمها </v>
      </c>
      <c r="N2712" s="138" t="str">
        <f>IF(ISERROR(VLOOKUP(C2712,'[1]خريطة الحسابات'!_xlnm.Print_Area,5,FALSE))," ",(VLOOKUP(C2712,'[1]خريطة الحسابات'!_xlnm.Print_Area,5,FALSE)))</f>
        <v>الاصول</v>
      </c>
      <c r="O2712" s="84" t="s">
        <v>2536</v>
      </c>
      <c r="P2712" s="84" t="s">
        <v>2530</v>
      </c>
    </row>
    <row r="2713" spans="1:16">
      <c r="A2713" s="151">
        <v>87</v>
      </c>
      <c r="B2713" s="131">
        <v>46174</v>
      </c>
      <c r="C2713" s="150">
        <v>20</v>
      </c>
      <c r="D2713" s="140" t="str">
        <f>IF(ISERROR(VLOOKUP(C2713,'[1]خريطة الحسابات'!_xlnm.Print_Area,3,FALSE))," ",(VLOOKUP(C2713,'[1]خريطة الحسابات'!_xlnm.Print_Area,3,FALSE)))</f>
        <v xml:space="preserve">الخزينة </v>
      </c>
      <c r="E2713" s="142"/>
      <c r="F2713" s="133"/>
      <c r="G2713" s="133">
        <v>1320</v>
      </c>
      <c r="H2713" s="134">
        <f t="shared" ref="H2713:I2776" si="127">IF($E2713=2,F2713*3.465,F2713)</f>
        <v>0</v>
      </c>
      <c r="I2713" s="134">
        <f t="shared" si="127"/>
        <v>1320</v>
      </c>
      <c r="J2713" s="134">
        <f t="shared" si="126"/>
        <v>-1320</v>
      </c>
      <c r="K2713" s="135"/>
      <c r="L2713" s="136" t="str">
        <f t="shared" si="125"/>
        <v>دائن</v>
      </c>
      <c r="M2713" s="137" t="str">
        <f>IF(ISERROR(VLOOKUP(C2713,'[1]خريطة الحسابات'!_xlnm.Print_Area,4,FALSE))," ",(VLOOKUP(C2713,'[1]خريطة الحسابات'!_xlnm.Print_Area,4,FALSE)))</f>
        <v xml:space="preserve">أصول متداوله -النقدية ومافي حكمها </v>
      </c>
      <c r="N2713" s="138" t="str">
        <f>IF(ISERROR(VLOOKUP(C2713,'[1]خريطة الحسابات'!_xlnm.Print_Area,5,FALSE))," ",(VLOOKUP(C2713,'[1]خريطة الحسابات'!_xlnm.Print_Area,5,FALSE)))</f>
        <v>الاصول</v>
      </c>
      <c r="O2713" s="84" t="s">
        <v>2532</v>
      </c>
      <c r="P2713" s="84" t="s">
        <v>2530</v>
      </c>
    </row>
    <row r="2714" spans="1:16">
      <c r="A2714" s="151">
        <v>87</v>
      </c>
      <c r="B2714" s="131">
        <v>46175</v>
      </c>
      <c r="C2714" s="150">
        <v>20</v>
      </c>
      <c r="D2714" s="140" t="str">
        <f>IF(ISERROR(VLOOKUP(C2714,'[1]خريطة الحسابات'!_xlnm.Print_Area,3,FALSE))," ",(VLOOKUP(C2714,'[1]خريطة الحسابات'!_xlnm.Print_Area,3,FALSE)))</f>
        <v xml:space="preserve">الخزينة </v>
      </c>
      <c r="E2714" s="142"/>
      <c r="F2714" s="133"/>
      <c r="G2714" s="133">
        <v>150</v>
      </c>
      <c r="H2714" s="134">
        <f t="shared" si="127"/>
        <v>0</v>
      </c>
      <c r="I2714" s="134">
        <f t="shared" si="127"/>
        <v>150</v>
      </c>
      <c r="J2714" s="134">
        <f t="shared" si="126"/>
        <v>-150</v>
      </c>
      <c r="K2714" s="135"/>
      <c r="L2714" s="136" t="str">
        <f t="shared" si="125"/>
        <v>دائن</v>
      </c>
      <c r="M2714" s="137" t="str">
        <f>IF(ISERROR(VLOOKUP(C2714,'[1]خريطة الحسابات'!_xlnm.Print_Area,4,FALSE))," ",(VLOOKUP(C2714,'[1]خريطة الحسابات'!_xlnm.Print_Area,4,FALSE)))</f>
        <v xml:space="preserve">أصول متداوله -النقدية ومافي حكمها </v>
      </c>
      <c r="N2714" s="138" t="str">
        <f>IF(ISERROR(VLOOKUP(C2714,'[1]خريطة الحسابات'!_xlnm.Print_Area,5,FALSE))," ",(VLOOKUP(C2714,'[1]خريطة الحسابات'!_xlnm.Print_Area,5,FALSE)))</f>
        <v>الاصول</v>
      </c>
      <c r="O2714" s="84" t="s">
        <v>2537</v>
      </c>
      <c r="P2714" s="84" t="s">
        <v>2530</v>
      </c>
    </row>
    <row r="2715" spans="1:16">
      <c r="A2715" s="151">
        <v>87</v>
      </c>
      <c r="B2715" s="131">
        <v>46179</v>
      </c>
      <c r="C2715" s="150">
        <v>20</v>
      </c>
      <c r="D2715" s="140" t="str">
        <f>IF(ISERROR(VLOOKUP(C2715,'[1]خريطة الحسابات'!_xlnm.Print_Area,3,FALSE))," ",(VLOOKUP(C2715,'[1]خريطة الحسابات'!_xlnm.Print_Area,3,FALSE)))</f>
        <v xml:space="preserve">الخزينة </v>
      </c>
      <c r="E2715" s="142"/>
      <c r="F2715" s="133"/>
      <c r="G2715" s="133">
        <v>150</v>
      </c>
      <c r="H2715" s="134">
        <f t="shared" si="127"/>
        <v>0</v>
      </c>
      <c r="I2715" s="134">
        <f t="shared" si="127"/>
        <v>150</v>
      </c>
      <c r="J2715" s="134">
        <f t="shared" si="126"/>
        <v>-150</v>
      </c>
      <c r="K2715" s="135"/>
      <c r="L2715" s="136" t="str">
        <f t="shared" ref="L2715:L2778" si="128">IF(J2715&lt;0,"دائن",IF(J2715&gt;0,"مدين",""))</f>
        <v>دائن</v>
      </c>
      <c r="M2715" s="137" t="str">
        <f>IF(ISERROR(VLOOKUP(C2715,'[1]خريطة الحسابات'!_xlnm.Print_Area,4,FALSE))," ",(VLOOKUP(C2715,'[1]خريطة الحسابات'!_xlnm.Print_Area,4,FALSE)))</f>
        <v xml:space="preserve">أصول متداوله -النقدية ومافي حكمها </v>
      </c>
      <c r="N2715" s="138" t="str">
        <f>IF(ISERROR(VLOOKUP(C2715,'[1]خريطة الحسابات'!_xlnm.Print_Area,5,FALSE))," ",(VLOOKUP(C2715,'[1]خريطة الحسابات'!_xlnm.Print_Area,5,FALSE)))</f>
        <v>الاصول</v>
      </c>
      <c r="O2715" s="84" t="s">
        <v>2534</v>
      </c>
      <c r="P2715" s="84" t="s">
        <v>2530</v>
      </c>
    </row>
    <row r="2716" spans="1:16">
      <c r="A2716" s="151">
        <v>87</v>
      </c>
      <c r="B2716" s="131">
        <v>46182</v>
      </c>
      <c r="C2716" s="150">
        <v>20</v>
      </c>
      <c r="D2716" s="140" t="str">
        <f>IF(ISERROR(VLOOKUP(C2716,'[1]خريطة الحسابات'!_xlnm.Print_Area,3,FALSE))," ",(VLOOKUP(C2716,'[1]خريطة الحسابات'!_xlnm.Print_Area,3,FALSE)))</f>
        <v xml:space="preserve">الخزينة </v>
      </c>
      <c r="E2716" s="142"/>
      <c r="F2716" s="133"/>
      <c r="G2716" s="133">
        <v>4285</v>
      </c>
      <c r="H2716" s="134">
        <f t="shared" si="127"/>
        <v>0</v>
      </c>
      <c r="I2716" s="134">
        <f t="shared" si="127"/>
        <v>4285</v>
      </c>
      <c r="J2716" s="134">
        <f t="shared" si="126"/>
        <v>-4285</v>
      </c>
      <c r="K2716" s="135"/>
      <c r="L2716" s="136" t="str">
        <f t="shared" si="128"/>
        <v>دائن</v>
      </c>
      <c r="M2716" s="137" t="str">
        <f>IF(ISERROR(VLOOKUP(C2716,'[1]خريطة الحسابات'!_xlnm.Print_Area,4,FALSE))," ",(VLOOKUP(C2716,'[1]خريطة الحسابات'!_xlnm.Print_Area,4,FALSE)))</f>
        <v xml:space="preserve">أصول متداوله -النقدية ومافي حكمها </v>
      </c>
      <c r="N2716" s="138" t="str">
        <f>IF(ISERROR(VLOOKUP(C2716,'[1]خريطة الحسابات'!_xlnm.Print_Area,5,FALSE))," ",(VLOOKUP(C2716,'[1]خريطة الحسابات'!_xlnm.Print_Area,5,FALSE)))</f>
        <v>الاصول</v>
      </c>
      <c r="O2716" s="84" t="s">
        <v>2538</v>
      </c>
      <c r="P2716" s="84" t="s">
        <v>2530</v>
      </c>
    </row>
    <row r="2717" spans="1:16">
      <c r="A2717" s="151">
        <v>87</v>
      </c>
      <c r="B2717" s="131">
        <v>46187</v>
      </c>
      <c r="C2717" s="150">
        <v>20</v>
      </c>
      <c r="D2717" s="140" t="str">
        <f>IF(ISERROR(VLOOKUP(C2717,'[1]خريطة الحسابات'!_xlnm.Print_Area,3,FALSE))," ",(VLOOKUP(C2717,'[1]خريطة الحسابات'!_xlnm.Print_Area,3,FALSE)))</f>
        <v xml:space="preserve">الخزينة </v>
      </c>
      <c r="E2717" s="142"/>
      <c r="F2717" s="133"/>
      <c r="G2717" s="133">
        <v>3770</v>
      </c>
      <c r="H2717" s="134">
        <f t="shared" si="127"/>
        <v>0</v>
      </c>
      <c r="I2717" s="134">
        <f t="shared" si="127"/>
        <v>3770</v>
      </c>
      <c r="J2717" s="134">
        <f t="shared" si="126"/>
        <v>-3770</v>
      </c>
      <c r="K2717" s="135"/>
      <c r="L2717" s="136" t="str">
        <f t="shared" si="128"/>
        <v>دائن</v>
      </c>
      <c r="M2717" s="137" t="str">
        <f>IF(ISERROR(VLOOKUP(C2717,'[1]خريطة الحسابات'!_xlnm.Print_Area,4,FALSE))," ",(VLOOKUP(C2717,'[1]خريطة الحسابات'!_xlnm.Print_Area,4,FALSE)))</f>
        <v xml:space="preserve">أصول متداوله -النقدية ومافي حكمها </v>
      </c>
      <c r="N2717" s="138" t="str">
        <f>IF(ISERROR(VLOOKUP(C2717,'[1]خريطة الحسابات'!_xlnm.Print_Area,5,FALSE))," ",(VLOOKUP(C2717,'[1]خريطة الحسابات'!_xlnm.Print_Area,5,FALSE)))</f>
        <v>الاصول</v>
      </c>
      <c r="O2717" s="84" t="s">
        <v>2535</v>
      </c>
      <c r="P2717" s="84" t="s">
        <v>2530</v>
      </c>
    </row>
    <row r="2718" spans="1:16">
      <c r="A2718" s="151">
        <v>87</v>
      </c>
      <c r="B2718" s="131">
        <v>46033</v>
      </c>
      <c r="C2718" s="150">
        <v>20</v>
      </c>
      <c r="D2718" s="140" t="str">
        <f>IF(ISERROR(VLOOKUP(C2718,'[1]خريطة الحسابات'!_xlnm.Print_Area,3,FALSE))," ",(VLOOKUP(C2718,'[1]خريطة الحسابات'!_xlnm.Print_Area,3,FALSE)))</f>
        <v xml:space="preserve">الخزينة </v>
      </c>
      <c r="E2718" s="142"/>
      <c r="F2718" s="133"/>
      <c r="G2718" s="133">
        <v>3470</v>
      </c>
      <c r="H2718" s="134">
        <f t="shared" si="127"/>
        <v>0</v>
      </c>
      <c r="I2718" s="134">
        <f t="shared" si="127"/>
        <v>3470</v>
      </c>
      <c r="J2718" s="134">
        <f t="shared" si="126"/>
        <v>-3470</v>
      </c>
      <c r="K2718" s="135"/>
      <c r="L2718" s="136" t="str">
        <f t="shared" si="128"/>
        <v>دائن</v>
      </c>
      <c r="M2718" s="137" t="str">
        <f>IF(ISERROR(VLOOKUP(C2718,'[1]خريطة الحسابات'!_xlnm.Print_Area,4,FALSE))," ",(VLOOKUP(C2718,'[1]خريطة الحسابات'!_xlnm.Print_Area,4,FALSE)))</f>
        <v xml:space="preserve">أصول متداوله -النقدية ومافي حكمها </v>
      </c>
      <c r="N2718" s="138" t="str">
        <f>IF(ISERROR(VLOOKUP(C2718,'[1]خريطة الحسابات'!_xlnm.Print_Area,5,FALSE))," ",(VLOOKUP(C2718,'[1]خريطة الحسابات'!_xlnm.Print_Area,5,FALSE)))</f>
        <v>الاصول</v>
      </c>
      <c r="O2718" s="84" t="s">
        <v>1711</v>
      </c>
      <c r="P2718" s="84" t="s">
        <v>2539</v>
      </c>
    </row>
    <row r="2719" spans="1:16">
      <c r="A2719" s="151">
        <v>87</v>
      </c>
      <c r="B2719" s="131">
        <v>46035</v>
      </c>
      <c r="C2719" s="150">
        <v>20</v>
      </c>
      <c r="D2719" s="140" t="str">
        <f>IF(ISERROR(VLOOKUP(C2719,'[1]خريطة الحسابات'!_xlnm.Print_Area,3,FALSE))," ",(VLOOKUP(C2719,'[1]خريطة الحسابات'!_xlnm.Print_Area,3,FALSE)))</f>
        <v xml:space="preserve">الخزينة </v>
      </c>
      <c r="E2719" s="142"/>
      <c r="F2719" s="133"/>
      <c r="G2719" s="133">
        <v>1203</v>
      </c>
      <c r="H2719" s="134">
        <f t="shared" si="127"/>
        <v>0</v>
      </c>
      <c r="I2719" s="134">
        <f t="shared" si="127"/>
        <v>1203</v>
      </c>
      <c r="J2719" s="134">
        <f t="shared" si="126"/>
        <v>-1203</v>
      </c>
      <c r="K2719" s="135"/>
      <c r="L2719" s="136" t="str">
        <f t="shared" si="128"/>
        <v>دائن</v>
      </c>
      <c r="M2719" s="137" t="str">
        <f>IF(ISERROR(VLOOKUP(C2719,'[1]خريطة الحسابات'!_xlnm.Print_Area,4,FALSE))," ",(VLOOKUP(C2719,'[1]خريطة الحسابات'!_xlnm.Print_Area,4,FALSE)))</f>
        <v xml:space="preserve">أصول متداوله -النقدية ومافي حكمها </v>
      </c>
      <c r="N2719" s="138" t="str">
        <f>IF(ISERROR(VLOOKUP(C2719,'[1]خريطة الحسابات'!_xlnm.Print_Area,5,FALSE))," ",(VLOOKUP(C2719,'[1]خريطة الحسابات'!_xlnm.Print_Area,5,FALSE)))</f>
        <v>الاصول</v>
      </c>
      <c r="O2719" s="84" t="s">
        <v>2531</v>
      </c>
      <c r="P2719" s="84" t="s">
        <v>2539</v>
      </c>
    </row>
    <row r="2720" spans="1:16">
      <c r="A2720" s="151">
        <v>87</v>
      </c>
      <c r="B2720" s="131">
        <v>46041</v>
      </c>
      <c r="C2720" s="150">
        <v>20</v>
      </c>
      <c r="D2720" s="140" t="str">
        <f>IF(ISERROR(VLOOKUP(C2720,'[1]خريطة الحسابات'!_xlnm.Print_Area,3,FALSE))," ",(VLOOKUP(C2720,'[1]خريطة الحسابات'!_xlnm.Print_Area,3,FALSE)))</f>
        <v xml:space="preserve">الخزينة </v>
      </c>
      <c r="E2720" s="142"/>
      <c r="F2720" s="133"/>
      <c r="G2720" s="133">
        <v>3125</v>
      </c>
      <c r="H2720" s="134">
        <f t="shared" si="127"/>
        <v>0</v>
      </c>
      <c r="I2720" s="134">
        <f t="shared" si="127"/>
        <v>3125</v>
      </c>
      <c r="J2720" s="134">
        <f t="shared" si="126"/>
        <v>-3125</v>
      </c>
      <c r="K2720" s="135"/>
      <c r="L2720" s="148" t="str">
        <f t="shared" si="128"/>
        <v>دائن</v>
      </c>
      <c r="M2720" s="137" t="str">
        <f>IF(ISERROR(VLOOKUP(C2720,'[1]خريطة الحسابات'!_xlnm.Print_Area,4,FALSE))," ",(VLOOKUP(C2720,'[1]خريطة الحسابات'!_xlnm.Print_Area,4,FALSE)))</f>
        <v xml:space="preserve">أصول متداوله -النقدية ومافي حكمها </v>
      </c>
      <c r="N2720" s="138" t="str">
        <f>IF(ISERROR(VLOOKUP(C2720,'[1]خريطة الحسابات'!_xlnm.Print_Area,5,FALSE))," ",(VLOOKUP(C2720,'[1]خريطة الحسابات'!_xlnm.Print_Area,5,FALSE)))</f>
        <v>الاصول</v>
      </c>
      <c r="O2720" s="84" t="s">
        <v>2535</v>
      </c>
      <c r="P2720" s="84" t="s">
        <v>2539</v>
      </c>
    </row>
    <row r="2721" spans="1:16">
      <c r="A2721" s="151">
        <v>87</v>
      </c>
      <c r="B2721" s="131">
        <v>46047</v>
      </c>
      <c r="C2721" s="150">
        <v>20</v>
      </c>
      <c r="D2721" s="140" t="str">
        <f>IF(ISERROR(VLOOKUP(C2721,'[1]خريطة الحسابات'!_xlnm.Print_Area,3,FALSE))," ",(VLOOKUP(C2721,'[1]خريطة الحسابات'!_xlnm.Print_Area,3,FALSE)))</f>
        <v xml:space="preserve">الخزينة </v>
      </c>
      <c r="E2721" s="142"/>
      <c r="F2721" s="133"/>
      <c r="G2721" s="133">
        <v>1203</v>
      </c>
      <c r="H2721" s="134">
        <f t="shared" si="127"/>
        <v>0</v>
      </c>
      <c r="I2721" s="134">
        <f t="shared" si="127"/>
        <v>1203</v>
      </c>
      <c r="J2721" s="134">
        <f t="shared" si="126"/>
        <v>-1203</v>
      </c>
      <c r="K2721" s="135"/>
      <c r="L2721" s="148" t="str">
        <f t="shared" si="128"/>
        <v>دائن</v>
      </c>
      <c r="M2721" s="137" t="str">
        <f>IF(ISERROR(VLOOKUP(C2721,'[1]خريطة الحسابات'!_xlnm.Print_Area,4,FALSE))," ",(VLOOKUP(C2721,'[1]خريطة الحسابات'!_xlnm.Print_Area,4,FALSE)))</f>
        <v xml:space="preserve">أصول متداوله -النقدية ومافي حكمها </v>
      </c>
      <c r="N2721" s="138" t="str">
        <f>IF(ISERROR(VLOOKUP(C2721,'[1]خريطة الحسابات'!_xlnm.Print_Area,5,FALSE))," ",(VLOOKUP(C2721,'[1]خريطة الحسابات'!_xlnm.Print_Area,5,FALSE)))</f>
        <v>الاصول</v>
      </c>
      <c r="O2721" s="84" t="s">
        <v>2531</v>
      </c>
      <c r="P2721" s="84" t="s">
        <v>2539</v>
      </c>
    </row>
    <row r="2722" spans="1:16">
      <c r="A2722" s="151">
        <v>87</v>
      </c>
      <c r="B2722" s="131">
        <v>46054</v>
      </c>
      <c r="C2722" s="150">
        <v>20</v>
      </c>
      <c r="D2722" s="140" t="str">
        <f>IF(ISERROR(VLOOKUP(C2722,'[1]خريطة الحسابات'!_xlnm.Print_Area,3,FALSE))," ",(VLOOKUP(C2722,'[1]خريطة الحسابات'!_xlnm.Print_Area,3,FALSE)))</f>
        <v xml:space="preserve">الخزينة </v>
      </c>
      <c r="E2722" s="142"/>
      <c r="F2722" s="133"/>
      <c r="G2722" s="133">
        <v>1460</v>
      </c>
      <c r="H2722" s="134">
        <f t="shared" si="127"/>
        <v>0</v>
      </c>
      <c r="I2722" s="134">
        <f t="shared" si="127"/>
        <v>1460</v>
      </c>
      <c r="J2722" s="134">
        <f t="shared" si="126"/>
        <v>-1460</v>
      </c>
      <c r="K2722" s="135"/>
      <c r="L2722" s="148" t="str">
        <f t="shared" si="128"/>
        <v>دائن</v>
      </c>
      <c r="M2722" s="137" t="str">
        <f>IF(ISERROR(VLOOKUP(C2722,'[1]خريطة الحسابات'!_xlnm.Print_Area,4,FALSE))," ",(VLOOKUP(C2722,'[1]خريطة الحسابات'!_xlnm.Print_Area,4,FALSE)))</f>
        <v xml:space="preserve">أصول متداوله -النقدية ومافي حكمها </v>
      </c>
      <c r="N2722" s="138" t="str">
        <f>IF(ISERROR(VLOOKUP(C2722,'[1]خريطة الحسابات'!_xlnm.Print_Area,5,FALSE))," ",(VLOOKUP(C2722,'[1]خريطة الحسابات'!_xlnm.Print_Area,5,FALSE)))</f>
        <v>الاصول</v>
      </c>
      <c r="O2722" s="84" t="s">
        <v>2540</v>
      </c>
      <c r="P2722" s="84" t="s">
        <v>2539</v>
      </c>
    </row>
    <row r="2723" spans="1:16">
      <c r="A2723" s="151">
        <v>87</v>
      </c>
      <c r="B2723" s="131">
        <v>46055</v>
      </c>
      <c r="C2723" s="150">
        <v>20</v>
      </c>
      <c r="D2723" s="140" t="str">
        <f>IF(ISERROR(VLOOKUP(C2723,'[1]خريطة الحسابات'!_xlnm.Print_Area,3,FALSE))," ",(VLOOKUP(C2723,'[1]خريطة الحسابات'!_xlnm.Print_Area,3,FALSE)))</f>
        <v xml:space="preserve">الخزينة </v>
      </c>
      <c r="E2723" s="142"/>
      <c r="F2723" s="133"/>
      <c r="G2723" s="133">
        <v>15</v>
      </c>
      <c r="H2723" s="134">
        <f t="shared" si="127"/>
        <v>0</v>
      </c>
      <c r="I2723" s="134">
        <f t="shared" si="127"/>
        <v>15</v>
      </c>
      <c r="J2723" s="134">
        <f t="shared" si="126"/>
        <v>-15</v>
      </c>
      <c r="K2723" s="135"/>
      <c r="L2723" s="148" t="str">
        <f t="shared" si="128"/>
        <v>دائن</v>
      </c>
      <c r="M2723" s="137" t="str">
        <f>IF(ISERROR(VLOOKUP(C2723,'[1]خريطة الحسابات'!_xlnm.Print_Area,4,FALSE))," ",(VLOOKUP(C2723,'[1]خريطة الحسابات'!_xlnm.Print_Area,4,FALSE)))</f>
        <v xml:space="preserve">أصول متداوله -النقدية ومافي حكمها </v>
      </c>
      <c r="N2723" s="138" t="str">
        <f>IF(ISERROR(VLOOKUP(C2723,'[1]خريطة الحسابات'!_xlnm.Print_Area,5,FALSE))," ",(VLOOKUP(C2723,'[1]خريطة الحسابات'!_xlnm.Print_Area,5,FALSE)))</f>
        <v>الاصول</v>
      </c>
      <c r="O2723" s="84" t="s">
        <v>2541</v>
      </c>
      <c r="P2723" s="84" t="s">
        <v>2539</v>
      </c>
    </row>
    <row r="2724" spans="1:16">
      <c r="A2724" s="151">
        <v>87</v>
      </c>
      <c r="B2724" s="131">
        <v>46057</v>
      </c>
      <c r="C2724" s="150">
        <v>20</v>
      </c>
      <c r="D2724" s="140" t="str">
        <f>IF(ISERROR(VLOOKUP(C2724,'[1]خريطة الحسابات'!_xlnm.Print_Area,3,FALSE))," ",(VLOOKUP(C2724,'[1]خريطة الحسابات'!_xlnm.Print_Area,3,FALSE)))</f>
        <v xml:space="preserve">الخزينة </v>
      </c>
      <c r="E2724" s="142"/>
      <c r="F2724" s="133"/>
      <c r="G2724" s="133">
        <v>53</v>
      </c>
      <c r="H2724" s="134">
        <f t="shared" si="127"/>
        <v>0</v>
      </c>
      <c r="I2724" s="134">
        <f t="shared" si="127"/>
        <v>53</v>
      </c>
      <c r="J2724" s="134">
        <f t="shared" si="126"/>
        <v>-53</v>
      </c>
      <c r="K2724" s="135"/>
      <c r="L2724" s="148" t="str">
        <f t="shared" si="128"/>
        <v>دائن</v>
      </c>
      <c r="M2724" s="137" t="str">
        <f>IF(ISERROR(VLOOKUP(C2724,'[1]خريطة الحسابات'!_xlnm.Print_Area,4,FALSE))," ",(VLOOKUP(C2724,'[1]خريطة الحسابات'!_xlnm.Print_Area,4,FALSE)))</f>
        <v xml:space="preserve">أصول متداوله -النقدية ومافي حكمها </v>
      </c>
      <c r="N2724" s="138" t="str">
        <f>IF(ISERROR(VLOOKUP(C2724,'[1]خريطة الحسابات'!_xlnm.Print_Area,5,FALSE))," ",(VLOOKUP(C2724,'[1]خريطة الحسابات'!_xlnm.Print_Area,5,FALSE)))</f>
        <v>الاصول</v>
      </c>
      <c r="O2724" s="84" t="s">
        <v>2529</v>
      </c>
      <c r="P2724" s="84" t="s">
        <v>2539</v>
      </c>
    </row>
    <row r="2725" spans="1:16">
      <c r="A2725" s="151">
        <v>87</v>
      </c>
      <c r="B2725" s="131">
        <v>46057</v>
      </c>
      <c r="C2725" s="150">
        <v>20</v>
      </c>
      <c r="D2725" s="140" t="str">
        <f>IF(ISERROR(VLOOKUP(C2725,'[1]خريطة الحسابات'!_xlnm.Print_Area,3,FALSE))," ",(VLOOKUP(C2725,'[1]خريطة الحسابات'!_xlnm.Print_Area,3,FALSE)))</f>
        <v xml:space="preserve">الخزينة </v>
      </c>
      <c r="E2725" s="142"/>
      <c r="F2725" s="133"/>
      <c r="G2725" s="133">
        <v>1260</v>
      </c>
      <c r="H2725" s="134">
        <f t="shared" si="127"/>
        <v>0</v>
      </c>
      <c r="I2725" s="134">
        <f t="shared" si="127"/>
        <v>1260</v>
      </c>
      <c r="J2725" s="134">
        <f t="shared" si="126"/>
        <v>-1260</v>
      </c>
      <c r="K2725" s="135"/>
      <c r="L2725" s="148" t="str">
        <f t="shared" si="128"/>
        <v>دائن</v>
      </c>
      <c r="M2725" s="137" t="str">
        <f>IF(ISERROR(VLOOKUP(C2725,'[1]خريطة الحسابات'!_xlnm.Print_Area,4,FALSE))," ",(VLOOKUP(C2725,'[1]خريطة الحسابات'!_xlnm.Print_Area,4,FALSE)))</f>
        <v xml:space="preserve">أصول متداوله -النقدية ومافي حكمها </v>
      </c>
      <c r="N2725" s="138" t="str">
        <f>IF(ISERROR(VLOOKUP(C2725,'[1]خريطة الحسابات'!_xlnm.Print_Area,5,FALSE))," ",(VLOOKUP(C2725,'[1]خريطة الحسابات'!_xlnm.Print_Area,5,FALSE)))</f>
        <v>الاصول</v>
      </c>
      <c r="O2725" s="84" t="s">
        <v>2531</v>
      </c>
      <c r="P2725" s="84" t="s">
        <v>2539</v>
      </c>
    </row>
    <row r="2726" spans="1:16">
      <c r="A2726" s="151">
        <v>87</v>
      </c>
      <c r="B2726" s="131">
        <v>46062</v>
      </c>
      <c r="C2726" s="150">
        <v>20</v>
      </c>
      <c r="D2726" s="140" t="str">
        <f>IF(ISERROR(VLOOKUP(C2726,'[1]خريطة الحسابات'!_xlnm.Print_Area,3,FALSE))," ",(VLOOKUP(C2726,'[1]خريطة الحسابات'!_xlnm.Print_Area,3,FALSE)))</f>
        <v xml:space="preserve">الخزينة </v>
      </c>
      <c r="E2726" s="142"/>
      <c r="F2726" s="133"/>
      <c r="G2726" s="133">
        <v>150</v>
      </c>
      <c r="H2726" s="134">
        <f t="shared" si="127"/>
        <v>0</v>
      </c>
      <c r="I2726" s="134">
        <f t="shared" si="127"/>
        <v>150</v>
      </c>
      <c r="J2726" s="134">
        <f t="shared" si="126"/>
        <v>-150</v>
      </c>
      <c r="K2726" s="135"/>
      <c r="L2726" s="148" t="str">
        <f t="shared" si="128"/>
        <v>دائن</v>
      </c>
      <c r="M2726" s="137" t="str">
        <f>IF(ISERROR(VLOOKUP(C2726,'[1]خريطة الحسابات'!_xlnm.Print_Area,4,FALSE))," ",(VLOOKUP(C2726,'[1]خريطة الحسابات'!_xlnm.Print_Area,4,FALSE)))</f>
        <v xml:space="preserve">أصول متداوله -النقدية ومافي حكمها </v>
      </c>
      <c r="N2726" s="138" t="str">
        <f>IF(ISERROR(VLOOKUP(C2726,'[1]خريطة الحسابات'!_xlnm.Print_Area,5,FALSE))," ",(VLOOKUP(C2726,'[1]خريطة الحسابات'!_xlnm.Print_Area,5,FALSE)))</f>
        <v>الاصول</v>
      </c>
      <c r="O2726" s="84" t="s">
        <v>2542</v>
      </c>
      <c r="P2726" s="84" t="s">
        <v>2539</v>
      </c>
    </row>
    <row r="2727" spans="1:16">
      <c r="A2727" s="151">
        <v>87</v>
      </c>
      <c r="B2727" s="131">
        <v>46064</v>
      </c>
      <c r="C2727" s="150">
        <v>20</v>
      </c>
      <c r="D2727" s="140" t="str">
        <f>IF(ISERROR(VLOOKUP(C2727,'[1]خريطة الحسابات'!_xlnm.Print_Area,3,FALSE))," ",(VLOOKUP(C2727,'[1]خريطة الحسابات'!_xlnm.Print_Area,3,FALSE)))</f>
        <v xml:space="preserve">الخزينة </v>
      </c>
      <c r="E2727" s="142"/>
      <c r="F2727" s="133"/>
      <c r="G2727" s="133">
        <v>4345</v>
      </c>
      <c r="H2727" s="134">
        <f t="shared" si="127"/>
        <v>0</v>
      </c>
      <c r="I2727" s="134">
        <f t="shared" si="127"/>
        <v>4345</v>
      </c>
      <c r="J2727" s="134">
        <f t="shared" si="126"/>
        <v>-4345</v>
      </c>
      <c r="K2727" s="135"/>
      <c r="L2727" s="148" t="str">
        <f t="shared" si="128"/>
        <v>دائن</v>
      </c>
      <c r="M2727" s="137" t="str">
        <f>IF(ISERROR(VLOOKUP(C2727,'[1]خريطة الحسابات'!_xlnm.Print_Area,4,FALSE))," ",(VLOOKUP(C2727,'[1]خريطة الحسابات'!_xlnm.Print_Area,4,FALSE)))</f>
        <v xml:space="preserve">أصول متداوله -النقدية ومافي حكمها </v>
      </c>
      <c r="N2727" s="138" t="str">
        <f>IF(ISERROR(VLOOKUP(C2727,'[1]خريطة الحسابات'!_xlnm.Print_Area,5,FALSE))," ",(VLOOKUP(C2727,'[1]خريطة الحسابات'!_xlnm.Print_Area,5,FALSE)))</f>
        <v>الاصول</v>
      </c>
      <c r="O2727" s="84" t="s">
        <v>1711</v>
      </c>
      <c r="P2727" s="84" t="s">
        <v>2539</v>
      </c>
    </row>
    <row r="2728" spans="1:16">
      <c r="A2728" s="151">
        <v>87</v>
      </c>
      <c r="B2728" s="131">
        <v>46068</v>
      </c>
      <c r="C2728" s="150">
        <v>20</v>
      </c>
      <c r="D2728" s="140" t="str">
        <f>IF(ISERROR(VLOOKUP(C2728,'[1]خريطة الحسابات'!_xlnm.Print_Area,3,FALSE))," ",(VLOOKUP(C2728,'[1]خريطة الحسابات'!_xlnm.Print_Area,3,FALSE)))</f>
        <v xml:space="preserve">الخزينة </v>
      </c>
      <c r="E2728" s="142"/>
      <c r="F2728" s="133"/>
      <c r="G2728" s="133">
        <v>1205</v>
      </c>
      <c r="H2728" s="134">
        <f t="shared" si="127"/>
        <v>0</v>
      </c>
      <c r="I2728" s="134">
        <f t="shared" si="127"/>
        <v>1205</v>
      </c>
      <c r="J2728" s="134">
        <f t="shared" si="126"/>
        <v>-1205</v>
      </c>
      <c r="K2728" s="135"/>
      <c r="L2728" s="148" t="str">
        <f t="shared" si="128"/>
        <v>دائن</v>
      </c>
      <c r="M2728" s="137" t="str">
        <f>IF(ISERROR(VLOOKUP(C2728,'[1]خريطة الحسابات'!_xlnm.Print_Area,4,FALSE))," ",(VLOOKUP(C2728,'[1]خريطة الحسابات'!_xlnm.Print_Area,4,FALSE)))</f>
        <v xml:space="preserve">أصول متداوله -النقدية ومافي حكمها </v>
      </c>
      <c r="N2728" s="138" t="str">
        <f>IF(ISERROR(VLOOKUP(C2728,'[1]خريطة الحسابات'!_xlnm.Print_Area,5,FALSE))," ",(VLOOKUP(C2728,'[1]خريطة الحسابات'!_xlnm.Print_Area,5,FALSE)))</f>
        <v>الاصول</v>
      </c>
      <c r="O2728" s="84" t="s">
        <v>2531</v>
      </c>
      <c r="P2728" s="84" t="s">
        <v>2539</v>
      </c>
    </row>
    <row r="2729" spans="1:16">
      <c r="A2729" s="151">
        <v>87</v>
      </c>
      <c r="B2729" s="131">
        <v>46071</v>
      </c>
      <c r="C2729" s="150">
        <v>20</v>
      </c>
      <c r="D2729" s="140" t="str">
        <f>IF(ISERROR(VLOOKUP(C2729,'[1]خريطة الحسابات'!_xlnm.Print_Area,3,FALSE))," ",(VLOOKUP(C2729,'[1]خريطة الحسابات'!_xlnm.Print_Area,3,FALSE)))</f>
        <v xml:space="preserve">الخزينة </v>
      </c>
      <c r="E2729" s="142"/>
      <c r="F2729" s="133"/>
      <c r="G2729" s="133">
        <v>5000</v>
      </c>
      <c r="H2729" s="134">
        <f t="shared" si="127"/>
        <v>0</v>
      </c>
      <c r="I2729" s="134">
        <f t="shared" si="127"/>
        <v>5000</v>
      </c>
      <c r="J2729" s="134">
        <f t="shared" si="126"/>
        <v>-5000</v>
      </c>
      <c r="K2729" s="135"/>
      <c r="L2729" s="148" t="str">
        <f t="shared" si="128"/>
        <v>دائن</v>
      </c>
      <c r="M2729" s="137" t="str">
        <f>IF(ISERROR(VLOOKUP(C2729,'[1]خريطة الحسابات'!_xlnm.Print_Area,4,FALSE))," ",(VLOOKUP(C2729,'[1]خريطة الحسابات'!_xlnm.Print_Area,4,FALSE)))</f>
        <v xml:space="preserve">أصول متداوله -النقدية ومافي حكمها </v>
      </c>
      <c r="N2729" s="138" t="str">
        <f>IF(ISERROR(VLOOKUP(C2729,'[1]خريطة الحسابات'!_xlnm.Print_Area,5,FALSE))," ",(VLOOKUP(C2729,'[1]خريطة الحسابات'!_xlnm.Print_Area,5,FALSE)))</f>
        <v>الاصول</v>
      </c>
      <c r="O2729" s="84" t="s">
        <v>2543</v>
      </c>
      <c r="P2729" s="84" t="s">
        <v>2539</v>
      </c>
    </row>
    <row r="2730" spans="1:16">
      <c r="A2730" s="151">
        <v>87</v>
      </c>
      <c r="B2730" s="131">
        <v>46076</v>
      </c>
      <c r="C2730" s="150">
        <v>20</v>
      </c>
      <c r="D2730" s="140" t="str">
        <f>IF(ISERROR(VLOOKUP(C2730,'[1]خريطة الحسابات'!_xlnm.Print_Area,3,FALSE))," ",(VLOOKUP(C2730,'[1]خريطة الحسابات'!_xlnm.Print_Area,3,FALSE)))</f>
        <v xml:space="preserve">الخزينة </v>
      </c>
      <c r="E2730" s="142"/>
      <c r="F2730" s="133"/>
      <c r="G2730" s="133">
        <v>2325</v>
      </c>
      <c r="H2730" s="134">
        <f t="shared" si="127"/>
        <v>0</v>
      </c>
      <c r="I2730" s="134">
        <f t="shared" si="127"/>
        <v>2325</v>
      </c>
      <c r="J2730" s="134">
        <f t="shared" si="126"/>
        <v>-2325</v>
      </c>
      <c r="K2730" s="135"/>
      <c r="L2730" s="148" t="str">
        <f t="shared" si="128"/>
        <v>دائن</v>
      </c>
      <c r="M2730" s="137" t="str">
        <f>IF(ISERROR(VLOOKUP(C2730,'[1]خريطة الحسابات'!_xlnm.Print_Area,4,FALSE))," ",(VLOOKUP(C2730,'[1]خريطة الحسابات'!_xlnm.Print_Area,4,FALSE)))</f>
        <v xml:space="preserve">أصول متداوله -النقدية ومافي حكمها </v>
      </c>
      <c r="N2730" s="138" t="str">
        <f>IF(ISERROR(VLOOKUP(C2730,'[1]خريطة الحسابات'!_xlnm.Print_Area,5,FALSE))," ",(VLOOKUP(C2730,'[1]خريطة الحسابات'!_xlnm.Print_Area,5,FALSE)))</f>
        <v>الاصول</v>
      </c>
      <c r="O2730" s="84" t="s">
        <v>2535</v>
      </c>
      <c r="P2730" s="84" t="s">
        <v>2539</v>
      </c>
    </row>
    <row r="2731" spans="1:16">
      <c r="A2731" s="151">
        <v>87</v>
      </c>
      <c r="B2731" s="131">
        <v>46082</v>
      </c>
      <c r="C2731" s="150">
        <v>20</v>
      </c>
      <c r="D2731" s="140" t="str">
        <f>IF(ISERROR(VLOOKUP(C2731,'[1]خريطة الحسابات'!_xlnm.Print_Area,3,FALSE))," ",(VLOOKUP(C2731,'[1]خريطة الحسابات'!_xlnm.Print_Area,3,FALSE)))</f>
        <v xml:space="preserve">الخزينة </v>
      </c>
      <c r="E2731" s="142"/>
      <c r="F2731" s="133"/>
      <c r="G2731" s="133">
        <v>20</v>
      </c>
      <c r="H2731" s="134">
        <f t="shared" si="127"/>
        <v>0</v>
      </c>
      <c r="I2731" s="134">
        <f t="shared" si="127"/>
        <v>20</v>
      </c>
      <c r="J2731" s="134">
        <f t="shared" si="126"/>
        <v>-20</v>
      </c>
      <c r="K2731" s="135"/>
      <c r="L2731" s="148" t="str">
        <f t="shared" si="128"/>
        <v>دائن</v>
      </c>
      <c r="M2731" s="137" t="str">
        <f>IF(ISERROR(VLOOKUP(C2731,'[1]خريطة الحسابات'!_xlnm.Print_Area,4,FALSE))," ",(VLOOKUP(C2731,'[1]خريطة الحسابات'!_xlnm.Print_Area,4,FALSE)))</f>
        <v xml:space="preserve">أصول متداوله -النقدية ومافي حكمها </v>
      </c>
      <c r="N2731" s="138" t="str">
        <f>IF(ISERROR(VLOOKUP(C2731,'[1]خريطة الحسابات'!_xlnm.Print_Area,5,FALSE))," ",(VLOOKUP(C2731,'[1]خريطة الحسابات'!_xlnm.Print_Area,5,FALSE)))</f>
        <v>الاصول</v>
      </c>
      <c r="O2731" s="84" t="s">
        <v>2544</v>
      </c>
      <c r="P2731" s="84" t="s">
        <v>2539</v>
      </c>
    </row>
    <row r="2732" spans="1:16">
      <c r="A2732" s="151">
        <v>87</v>
      </c>
      <c r="B2732" s="131">
        <v>46082</v>
      </c>
      <c r="C2732" s="150">
        <v>20</v>
      </c>
      <c r="D2732" s="140" t="str">
        <f>IF(ISERROR(VLOOKUP(C2732,'[1]خريطة الحسابات'!_xlnm.Print_Area,3,FALSE))," ",(VLOOKUP(C2732,'[1]خريطة الحسابات'!_xlnm.Print_Area,3,FALSE)))</f>
        <v xml:space="preserve">الخزينة </v>
      </c>
      <c r="E2732" s="142"/>
      <c r="F2732" s="133"/>
      <c r="G2732" s="133">
        <v>1400</v>
      </c>
      <c r="H2732" s="134">
        <f t="shared" si="127"/>
        <v>0</v>
      </c>
      <c r="I2732" s="134">
        <f t="shared" si="127"/>
        <v>1400</v>
      </c>
      <c r="J2732" s="134">
        <f t="shared" si="126"/>
        <v>-1400</v>
      </c>
      <c r="K2732" s="135"/>
      <c r="L2732" s="148" t="str">
        <f t="shared" si="128"/>
        <v>دائن</v>
      </c>
      <c r="M2732" s="137" t="str">
        <f>IF(ISERROR(VLOOKUP(C2732,'[1]خريطة الحسابات'!_xlnm.Print_Area,4,FALSE))," ",(VLOOKUP(C2732,'[1]خريطة الحسابات'!_xlnm.Print_Area,4,FALSE)))</f>
        <v xml:space="preserve">أصول متداوله -النقدية ومافي حكمها </v>
      </c>
      <c r="N2732" s="138" t="str">
        <f>IF(ISERROR(VLOOKUP(C2732,'[1]خريطة الحسابات'!_xlnm.Print_Area,5,FALSE))," ",(VLOOKUP(C2732,'[1]خريطة الحسابات'!_xlnm.Print_Area,5,FALSE)))</f>
        <v>الاصول</v>
      </c>
      <c r="O2732" s="84" t="s">
        <v>2545</v>
      </c>
      <c r="P2732" s="84" t="s">
        <v>2539</v>
      </c>
    </row>
    <row r="2733" spans="1:16">
      <c r="A2733" s="151">
        <v>87</v>
      </c>
      <c r="B2733" s="131">
        <v>46089</v>
      </c>
      <c r="C2733" s="150">
        <v>20</v>
      </c>
      <c r="D2733" s="140" t="str">
        <f>IF(ISERROR(VLOOKUP(C2733,'[1]خريطة الحسابات'!_xlnm.Print_Area,3,FALSE))," ",(VLOOKUP(C2733,'[1]خريطة الحسابات'!_xlnm.Print_Area,3,FALSE)))</f>
        <v xml:space="preserve">الخزينة </v>
      </c>
      <c r="E2733" s="142"/>
      <c r="F2733" s="133"/>
      <c r="G2733" s="133">
        <v>300</v>
      </c>
      <c r="H2733" s="134">
        <f t="shared" si="127"/>
        <v>0</v>
      </c>
      <c r="I2733" s="134">
        <f t="shared" si="127"/>
        <v>300</v>
      </c>
      <c r="J2733" s="134">
        <f t="shared" si="126"/>
        <v>-300</v>
      </c>
      <c r="K2733" s="135"/>
      <c r="L2733" s="148" t="str">
        <f t="shared" si="128"/>
        <v>دائن</v>
      </c>
      <c r="M2733" s="137" t="str">
        <f>IF(ISERROR(VLOOKUP(C2733,'[1]خريطة الحسابات'!_xlnm.Print_Area,4,FALSE))," ",(VLOOKUP(C2733,'[1]خريطة الحسابات'!_xlnm.Print_Area,4,FALSE)))</f>
        <v xml:space="preserve">أصول متداوله -النقدية ومافي حكمها </v>
      </c>
      <c r="N2733" s="138" t="str">
        <f>IF(ISERROR(VLOOKUP(C2733,'[1]خريطة الحسابات'!_xlnm.Print_Area,5,FALSE))," ",(VLOOKUP(C2733,'[1]خريطة الحسابات'!_xlnm.Print_Area,5,FALSE)))</f>
        <v>الاصول</v>
      </c>
      <c r="O2733" s="84" t="s">
        <v>2546</v>
      </c>
      <c r="P2733" s="84" t="s">
        <v>2539</v>
      </c>
    </row>
    <row r="2734" spans="1:16">
      <c r="A2734" s="151">
        <v>87</v>
      </c>
      <c r="B2734" s="131">
        <v>46090</v>
      </c>
      <c r="C2734" s="150">
        <v>20</v>
      </c>
      <c r="D2734" s="140" t="str">
        <f>IF(ISERROR(VLOOKUP(C2734,'[1]خريطة الحسابات'!_xlnm.Print_Area,3,FALSE))," ",(VLOOKUP(C2734,'[1]خريطة الحسابات'!_xlnm.Print_Area,3,FALSE)))</f>
        <v xml:space="preserve">الخزينة </v>
      </c>
      <c r="E2734" s="142"/>
      <c r="F2734" s="133"/>
      <c r="G2734" s="133">
        <v>2540</v>
      </c>
      <c r="H2734" s="134">
        <f t="shared" si="127"/>
        <v>0</v>
      </c>
      <c r="I2734" s="134">
        <f t="shared" si="127"/>
        <v>2540</v>
      </c>
      <c r="J2734" s="134">
        <f t="shared" si="126"/>
        <v>-2540</v>
      </c>
      <c r="K2734" s="135"/>
      <c r="L2734" s="148" t="str">
        <f t="shared" si="128"/>
        <v>دائن</v>
      </c>
      <c r="M2734" s="137" t="str">
        <f>IF(ISERROR(VLOOKUP(C2734,'[1]خريطة الحسابات'!_xlnm.Print_Area,4,FALSE))," ",(VLOOKUP(C2734,'[1]خريطة الحسابات'!_xlnm.Print_Area,4,FALSE)))</f>
        <v xml:space="preserve">أصول متداوله -النقدية ومافي حكمها </v>
      </c>
      <c r="N2734" s="138" t="str">
        <f>IF(ISERROR(VLOOKUP(C2734,'[1]خريطة الحسابات'!_xlnm.Print_Area,5,FALSE))," ",(VLOOKUP(C2734,'[1]خريطة الحسابات'!_xlnm.Print_Area,5,FALSE)))</f>
        <v>الاصول</v>
      </c>
      <c r="O2734" s="84" t="s">
        <v>2547</v>
      </c>
      <c r="P2734" s="84" t="s">
        <v>2539</v>
      </c>
    </row>
    <row r="2735" spans="1:16">
      <c r="A2735" s="151">
        <v>87</v>
      </c>
      <c r="B2735" s="131">
        <v>46092</v>
      </c>
      <c r="C2735" s="150">
        <v>20</v>
      </c>
      <c r="D2735" s="140" t="str">
        <f>IF(ISERROR(VLOOKUP(C2735,'[1]خريطة الحسابات'!_xlnm.Print_Area,3,FALSE))," ",(VLOOKUP(C2735,'[1]خريطة الحسابات'!_xlnm.Print_Area,3,FALSE)))</f>
        <v xml:space="preserve">الخزينة </v>
      </c>
      <c r="E2735" s="142"/>
      <c r="F2735" s="133"/>
      <c r="G2735" s="133">
        <v>150</v>
      </c>
      <c r="H2735" s="152">
        <f t="shared" si="127"/>
        <v>0</v>
      </c>
      <c r="I2735" s="152">
        <f t="shared" si="127"/>
        <v>150</v>
      </c>
      <c r="J2735" s="152">
        <f t="shared" si="126"/>
        <v>-150</v>
      </c>
      <c r="K2735" s="144"/>
      <c r="L2735" s="148" t="str">
        <f t="shared" si="128"/>
        <v>دائن</v>
      </c>
      <c r="M2735" s="153" t="str">
        <f>IF(ISERROR(VLOOKUP(C2735,'[1]خريطة الحسابات'!_xlnm.Print_Area,4,FALSE))," ",(VLOOKUP(C2735,'[1]خريطة الحسابات'!_xlnm.Print_Area,4,FALSE)))</f>
        <v xml:space="preserve">أصول متداوله -النقدية ومافي حكمها </v>
      </c>
      <c r="N2735" s="138" t="str">
        <f>IF(ISERROR(VLOOKUP(C2735,'[1]خريطة الحسابات'!_xlnm.Print_Area,5,FALSE))," ",(VLOOKUP(C2735,'[1]خريطة الحسابات'!_xlnm.Print_Area,5,FALSE)))</f>
        <v>الاصول</v>
      </c>
      <c r="O2735" s="84" t="s">
        <v>2542</v>
      </c>
      <c r="P2735" s="84" t="s">
        <v>2539</v>
      </c>
    </row>
    <row r="2736" spans="1:16">
      <c r="A2736" s="151">
        <v>87</v>
      </c>
      <c r="B2736" s="131">
        <v>46092</v>
      </c>
      <c r="C2736" s="150">
        <v>20</v>
      </c>
      <c r="D2736" s="140" t="str">
        <f>IF(ISERROR(VLOOKUP(C2736,'[1]خريطة الحسابات'!_xlnm.Print_Area,3,FALSE))," ",(VLOOKUP(C2736,'[1]خريطة الحسابات'!_xlnm.Print_Area,3,FALSE)))</f>
        <v xml:space="preserve">الخزينة </v>
      </c>
      <c r="E2736" s="142"/>
      <c r="F2736" s="133"/>
      <c r="G2736" s="133">
        <v>1205</v>
      </c>
      <c r="H2736" s="134">
        <f t="shared" si="127"/>
        <v>0</v>
      </c>
      <c r="I2736" s="134">
        <f t="shared" si="127"/>
        <v>1205</v>
      </c>
      <c r="J2736" s="134">
        <f t="shared" si="126"/>
        <v>-1205</v>
      </c>
      <c r="K2736" s="135"/>
      <c r="L2736" s="148" t="str">
        <f t="shared" si="128"/>
        <v>دائن</v>
      </c>
      <c r="M2736" s="137" t="str">
        <f>IF(ISERROR(VLOOKUP(C2736,'[1]خريطة الحسابات'!_xlnm.Print_Area,4,FALSE))," ",(VLOOKUP(C2736,'[1]خريطة الحسابات'!_xlnm.Print_Area,4,FALSE)))</f>
        <v xml:space="preserve">أصول متداوله -النقدية ومافي حكمها </v>
      </c>
      <c r="N2736" s="138" t="str">
        <f>IF(ISERROR(VLOOKUP(C2736,'[1]خريطة الحسابات'!_xlnm.Print_Area,5,FALSE))," ",(VLOOKUP(C2736,'[1]خريطة الحسابات'!_xlnm.Print_Area,5,FALSE)))</f>
        <v>الاصول</v>
      </c>
      <c r="O2736" s="84" t="s">
        <v>2531</v>
      </c>
      <c r="P2736" s="84" t="s">
        <v>2539</v>
      </c>
    </row>
    <row r="2737" spans="1:16">
      <c r="A2737" s="151">
        <v>87</v>
      </c>
      <c r="B2737" s="131">
        <v>46092</v>
      </c>
      <c r="C2737" s="150">
        <v>20</v>
      </c>
      <c r="D2737" s="140" t="str">
        <f>IF(ISERROR(VLOOKUP(C2737,'[1]خريطة الحسابات'!_xlnm.Print_Area,3,FALSE))," ",(VLOOKUP(C2737,'[1]خريطة الحسابات'!_xlnm.Print_Area,3,FALSE)))</f>
        <v xml:space="preserve">الخزينة </v>
      </c>
      <c r="E2737" s="142"/>
      <c r="F2737" s="133"/>
      <c r="G2737" s="133">
        <v>4025</v>
      </c>
      <c r="H2737" s="134">
        <f t="shared" si="127"/>
        <v>0</v>
      </c>
      <c r="I2737" s="134">
        <f t="shared" si="127"/>
        <v>4025</v>
      </c>
      <c r="J2737" s="134">
        <f t="shared" si="126"/>
        <v>-4025</v>
      </c>
      <c r="K2737" s="135"/>
      <c r="L2737" s="148" t="str">
        <f t="shared" si="128"/>
        <v>دائن</v>
      </c>
      <c r="M2737" s="137" t="str">
        <f>IF(ISERROR(VLOOKUP(C2737,'[1]خريطة الحسابات'!_xlnm.Print_Area,4,FALSE))," ",(VLOOKUP(C2737,'[1]خريطة الحسابات'!_xlnm.Print_Area,4,FALSE)))</f>
        <v xml:space="preserve">أصول متداوله -النقدية ومافي حكمها </v>
      </c>
      <c r="N2737" s="138" t="str">
        <f>IF(ISERROR(VLOOKUP(C2737,'[1]خريطة الحسابات'!_xlnm.Print_Area,5,FALSE))," ",(VLOOKUP(C2737,'[1]خريطة الحسابات'!_xlnm.Print_Area,5,FALSE)))</f>
        <v>الاصول</v>
      </c>
      <c r="O2737" s="84" t="s">
        <v>1711</v>
      </c>
      <c r="P2737" s="84" t="s">
        <v>2539</v>
      </c>
    </row>
    <row r="2738" spans="1:16">
      <c r="A2738" s="151">
        <v>87</v>
      </c>
      <c r="B2738" s="131">
        <v>46145</v>
      </c>
      <c r="C2738" s="150">
        <v>20</v>
      </c>
      <c r="D2738" s="140" t="str">
        <f>IF(ISERROR(VLOOKUP(C2738,'[1]خريطة الحسابات'!_xlnm.Print_Area,3,FALSE))," ",(VLOOKUP(C2738,'[1]خريطة الحسابات'!_xlnm.Print_Area,3,FALSE)))</f>
        <v xml:space="preserve">الخزينة </v>
      </c>
      <c r="E2738" s="142"/>
      <c r="F2738" s="133"/>
      <c r="G2738" s="133">
        <v>1600</v>
      </c>
      <c r="H2738" s="134">
        <f t="shared" si="127"/>
        <v>0</v>
      </c>
      <c r="I2738" s="134">
        <f t="shared" si="127"/>
        <v>1600</v>
      </c>
      <c r="J2738" s="134">
        <f t="shared" si="126"/>
        <v>-1600</v>
      </c>
      <c r="K2738" s="135"/>
      <c r="L2738" s="148" t="str">
        <f t="shared" si="128"/>
        <v>دائن</v>
      </c>
      <c r="M2738" s="137" t="str">
        <f>IF(ISERROR(VLOOKUP(C2738,'[1]خريطة الحسابات'!_xlnm.Print_Area,4,FALSE))," ",(VLOOKUP(C2738,'[1]خريطة الحسابات'!_xlnm.Print_Area,4,FALSE)))</f>
        <v xml:space="preserve">أصول متداوله -النقدية ومافي حكمها </v>
      </c>
      <c r="N2738" s="138" t="str">
        <f>IF(ISERROR(VLOOKUP(C2738,'[1]خريطة الحسابات'!_xlnm.Print_Area,5,FALSE))," ",(VLOOKUP(C2738,'[1]خريطة الحسابات'!_xlnm.Print_Area,5,FALSE)))</f>
        <v>الاصول</v>
      </c>
      <c r="O2738" s="84" t="s">
        <v>2532</v>
      </c>
      <c r="P2738" s="84" t="s">
        <v>2539</v>
      </c>
    </row>
    <row r="2739" spans="1:16">
      <c r="A2739" s="151">
        <v>87</v>
      </c>
      <c r="B2739" s="131">
        <v>46147</v>
      </c>
      <c r="C2739" s="150">
        <v>20</v>
      </c>
      <c r="D2739" s="140" t="str">
        <f>IF(ISERROR(VLOOKUP(C2739,'[1]خريطة الحسابات'!_xlnm.Print_Area,3,FALSE))," ",(VLOOKUP(C2739,'[1]خريطة الحسابات'!_xlnm.Print_Area,3,FALSE)))</f>
        <v xml:space="preserve">الخزينة </v>
      </c>
      <c r="E2739" s="142"/>
      <c r="F2739" s="133"/>
      <c r="G2739" s="133">
        <v>150</v>
      </c>
      <c r="H2739" s="134">
        <f t="shared" si="127"/>
        <v>0</v>
      </c>
      <c r="I2739" s="134">
        <f t="shared" si="127"/>
        <v>150</v>
      </c>
      <c r="J2739" s="134">
        <f t="shared" si="126"/>
        <v>-150</v>
      </c>
      <c r="K2739" s="135"/>
      <c r="L2739" s="148" t="str">
        <f t="shared" si="128"/>
        <v>دائن</v>
      </c>
      <c r="M2739" s="137" t="str">
        <f>IF(ISERROR(VLOOKUP(C2739,'[1]خريطة الحسابات'!_xlnm.Print_Area,4,FALSE))," ",(VLOOKUP(C2739,'[1]خريطة الحسابات'!_xlnm.Print_Area,4,FALSE)))</f>
        <v xml:space="preserve">أصول متداوله -النقدية ومافي حكمها </v>
      </c>
      <c r="N2739" s="138" t="str">
        <f>IF(ISERROR(VLOOKUP(C2739,'[1]خريطة الحسابات'!_xlnm.Print_Area,5,FALSE))," ",(VLOOKUP(C2739,'[1]خريطة الحسابات'!_xlnm.Print_Area,5,FALSE)))</f>
        <v>الاصول</v>
      </c>
      <c r="O2739" s="84" t="s">
        <v>2548</v>
      </c>
      <c r="P2739" s="84" t="s">
        <v>2539</v>
      </c>
    </row>
    <row r="2740" spans="1:16">
      <c r="A2740" s="151">
        <v>87</v>
      </c>
      <c r="B2740" s="131">
        <v>46152</v>
      </c>
      <c r="C2740" s="150">
        <v>20</v>
      </c>
      <c r="D2740" s="140" t="str">
        <f>IF(ISERROR(VLOOKUP(C2740,'[1]خريطة الحسابات'!_xlnm.Print_Area,3,FALSE))," ",(VLOOKUP(C2740,'[1]خريطة الحسابات'!_xlnm.Print_Area,3,FALSE)))</f>
        <v xml:space="preserve">الخزينة </v>
      </c>
      <c r="E2740" s="142"/>
      <c r="F2740" s="133"/>
      <c r="G2740" s="133">
        <v>3300</v>
      </c>
      <c r="H2740" s="134">
        <f t="shared" si="127"/>
        <v>0</v>
      </c>
      <c r="I2740" s="134">
        <f t="shared" si="127"/>
        <v>3300</v>
      </c>
      <c r="J2740" s="134">
        <f t="shared" si="126"/>
        <v>-3300</v>
      </c>
      <c r="K2740" s="135"/>
      <c r="L2740" s="148" t="str">
        <f t="shared" si="128"/>
        <v>دائن</v>
      </c>
      <c r="M2740" s="137" t="str">
        <f>IF(ISERROR(VLOOKUP(C2740,'[1]خريطة الحسابات'!_xlnm.Print_Area,4,FALSE))," ",(VLOOKUP(C2740,'[1]خريطة الحسابات'!_xlnm.Print_Area,4,FALSE)))</f>
        <v xml:space="preserve">أصول متداوله -النقدية ومافي حكمها </v>
      </c>
      <c r="N2740" s="138" t="str">
        <f>IF(ISERROR(VLOOKUP(C2740,'[1]خريطة الحسابات'!_xlnm.Print_Area,5,FALSE))," ",(VLOOKUP(C2740,'[1]خريطة الحسابات'!_xlnm.Print_Area,5,FALSE)))</f>
        <v>الاصول</v>
      </c>
      <c r="O2740" s="84" t="s">
        <v>2535</v>
      </c>
      <c r="P2740" s="84" t="s">
        <v>2539</v>
      </c>
    </row>
    <row r="2741" spans="1:16">
      <c r="A2741" s="151">
        <v>88</v>
      </c>
      <c r="B2741" s="131">
        <v>46027</v>
      </c>
      <c r="C2741" s="150" t="s">
        <v>65</v>
      </c>
      <c r="D2741" s="140" t="str">
        <f>IF(ISERROR(VLOOKUP(C2741,'[1]خريطة الحسابات'!_xlnm.Print_Area,3,FALSE))," ",(VLOOKUP(C2741,'[1]خريطة الحسابات'!_xlnm.Print_Area,3,FALSE)))</f>
        <v>تكاليف تسويق</v>
      </c>
      <c r="E2741" s="142"/>
      <c r="F2741" s="133">
        <v>10125</v>
      </c>
      <c r="G2741" s="133"/>
      <c r="H2741" s="134">
        <f t="shared" si="127"/>
        <v>10125</v>
      </c>
      <c r="I2741" s="134">
        <f t="shared" si="127"/>
        <v>0</v>
      </c>
      <c r="J2741" s="134">
        <f t="shared" si="126"/>
        <v>10125</v>
      </c>
      <c r="K2741" s="135"/>
      <c r="L2741" s="148" t="str">
        <f t="shared" si="128"/>
        <v>مدين</v>
      </c>
      <c r="M2741" s="137" t="str">
        <f>IF(ISERROR(VLOOKUP(C2741,'[1]خريطة الحسابات'!_xlnm.Print_Area,4,FALSE))," ",(VLOOKUP(C2741,'[1]خريطة الحسابات'!_xlnm.Print_Area,4,FALSE)))</f>
        <v xml:space="preserve">تكاليف ادارية وعمومية </v>
      </c>
      <c r="N2741" s="138" t="str">
        <f>IF(ISERROR(VLOOKUP(C2741,'[1]خريطة الحسابات'!_xlnm.Print_Area,5,FALSE))," ",(VLOOKUP(C2741,'[1]خريطة الحسابات'!_xlnm.Print_Area,5,FALSE)))</f>
        <v xml:space="preserve">مصروفات </v>
      </c>
      <c r="O2741" s="84" t="s">
        <v>2549</v>
      </c>
      <c r="P2741" s="84" t="s">
        <v>2550</v>
      </c>
    </row>
    <row r="2742" spans="1:16">
      <c r="A2742" s="151">
        <v>88</v>
      </c>
      <c r="B2742" s="131">
        <v>46029</v>
      </c>
      <c r="C2742" s="150" t="s">
        <v>65</v>
      </c>
      <c r="D2742" s="140" t="str">
        <f>IF(ISERROR(VLOOKUP(C2742,'[1]خريطة الحسابات'!_xlnm.Print_Area,3,FALSE))," ",(VLOOKUP(C2742,'[1]خريطة الحسابات'!_xlnm.Print_Area,3,FALSE)))</f>
        <v>تكاليف تسويق</v>
      </c>
      <c r="E2742" s="142"/>
      <c r="F2742" s="133">
        <v>10125</v>
      </c>
      <c r="G2742" s="133"/>
      <c r="H2742" s="134">
        <f t="shared" si="127"/>
        <v>10125</v>
      </c>
      <c r="I2742" s="134">
        <f t="shared" si="127"/>
        <v>0</v>
      </c>
      <c r="J2742" s="134">
        <f t="shared" si="126"/>
        <v>10125</v>
      </c>
      <c r="K2742" s="135"/>
      <c r="L2742" s="148" t="str">
        <f t="shared" si="128"/>
        <v>مدين</v>
      </c>
      <c r="M2742" s="137" t="str">
        <f>IF(ISERROR(VLOOKUP(C2742,'[1]خريطة الحسابات'!_xlnm.Print_Area,4,FALSE))," ",(VLOOKUP(C2742,'[1]خريطة الحسابات'!_xlnm.Print_Area,4,FALSE)))</f>
        <v xml:space="preserve">تكاليف ادارية وعمومية </v>
      </c>
      <c r="N2742" s="138" t="str">
        <f>IF(ISERROR(VLOOKUP(C2742,'[1]خريطة الحسابات'!_xlnm.Print_Area,5,FALSE))," ",(VLOOKUP(C2742,'[1]خريطة الحسابات'!_xlnm.Print_Area,5,FALSE)))</f>
        <v xml:space="preserve">مصروفات </v>
      </c>
      <c r="O2742" s="84" t="s">
        <v>2551</v>
      </c>
      <c r="P2742" s="84" t="s">
        <v>2550</v>
      </c>
    </row>
    <row r="2743" spans="1:16">
      <c r="A2743" s="151">
        <v>88</v>
      </c>
      <c r="B2743" s="131">
        <v>46030</v>
      </c>
      <c r="C2743" s="150" t="s">
        <v>65</v>
      </c>
      <c r="D2743" s="140" t="str">
        <f>IF(ISERROR(VLOOKUP(C2743,'[1]خريطة الحسابات'!_xlnm.Print_Area,3,FALSE))," ",(VLOOKUP(C2743,'[1]خريطة الحسابات'!_xlnm.Print_Area,3,FALSE)))</f>
        <v>تكاليف تسويق</v>
      </c>
      <c r="E2743" s="142"/>
      <c r="F2743" s="133">
        <v>1500</v>
      </c>
      <c r="G2743" s="133"/>
      <c r="H2743" s="134">
        <f t="shared" si="127"/>
        <v>1500</v>
      </c>
      <c r="I2743" s="134">
        <f t="shared" si="127"/>
        <v>0</v>
      </c>
      <c r="J2743" s="134">
        <f t="shared" si="126"/>
        <v>1500</v>
      </c>
      <c r="K2743" s="135"/>
      <c r="L2743" s="148" t="str">
        <f t="shared" si="128"/>
        <v>مدين</v>
      </c>
      <c r="M2743" s="137" t="str">
        <f>IF(ISERROR(VLOOKUP(C2743,'[1]خريطة الحسابات'!_xlnm.Print_Area,4,FALSE))," ",(VLOOKUP(C2743,'[1]خريطة الحسابات'!_xlnm.Print_Area,4,FALSE)))</f>
        <v xml:space="preserve">تكاليف ادارية وعمومية </v>
      </c>
      <c r="N2743" s="138" t="str">
        <f>IF(ISERROR(VLOOKUP(C2743,'[1]خريطة الحسابات'!_xlnm.Print_Area,5,FALSE))," ",(VLOOKUP(C2743,'[1]خريطة الحسابات'!_xlnm.Print_Area,5,FALSE)))</f>
        <v xml:space="preserve">مصروفات </v>
      </c>
      <c r="O2743" s="84" t="s">
        <v>2552</v>
      </c>
      <c r="P2743" s="84" t="s">
        <v>2550</v>
      </c>
    </row>
    <row r="2744" spans="1:16">
      <c r="A2744" s="151">
        <v>88</v>
      </c>
      <c r="B2744" s="131">
        <v>46033</v>
      </c>
      <c r="C2744" s="150" t="s">
        <v>65</v>
      </c>
      <c r="D2744" s="140" t="str">
        <f>IF(ISERROR(VLOOKUP(C2744,'[1]خريطة الحسابات'!_xlnm.Print_Area,3,FALSE))," ",(VLOOKUP(C2744,'[1]خريطة الحسابات'!_xlnm.Print_Area,3,FALSE)))</f>
        <v>تكاليف تسويق</v>
      </c>
      <c r="E2744" s="142"/>
      <c r="F2744" s="133">
        <v>10130</v>
      </c>
      <c r="G2744" s="133"/>
      <c r="H2744" s="134">
        <f t="shared" si="127"/>
        <v>10130</v>
      </c>
      <c r="I2744" s="134">
        <f t="shared" si="127"/>
        <v>0</v>
      </c>
      <c r="J2744" s="134">
        <f t="shared" si="126"/>
        <v>10130</v>
      </c>
      <c r="K2744" s="135"/>
      <c r="L2744" s="148" t="str">
        <f t="shared" si="128"/>
        <v>مدين</v>
      </c>
      <c r="M2744" s="137" t="str">
        <f>IF(ISERROR(VLOOKUP(C2744,'[1]خريطة الحسابات'!_xlnm.Print_Area,4,FALSE))," ",(VLOOKUP(C2744,'[1]خريطة الحسابات'!_xlnm.Print_Area,4,FALSE)))</f>
        <v xml:space="preserve">تكاليف ادارية وعمومية </v>
      </c>
      <c r="N2744" s="138" t="str">
        <f>IF(ISERROR(VLOOKUP(C2744,'[1]خريطة الحسابات'!_xlnm.Print_Area,5,FALSE))," ",(VLOOKUP(C2744,'[1]خريطة الحسابات'!_xlnm.Print_Area,5,FALSE)))</f>
        <v xml:space="preserve">مصروفات </v>
      </c>
      <c r="O2744" s="84" t="s">
        <v>2553</v>
      </c>
      <c r="P2744" s="84" t="s">
        <v>2550</v>
      </c>
    </row>
    <row r="2745" spans="1:16">
      <c r="A2745" s="151">
        <v>88</v>
      </c>
      <c r="B2745" s="131">
        <v>46040</v>
      </c>
      <c r="C2745" s="150" t="s">
        <v>65</v>
      </c>
      <c r="D2745" s="140" t="str">
        <f>IF(ISERROR(VLOOKUP(C2745,'[1]خريطة الحسابات'!_xlnm.Print_Area,3,FALSE))," ",(VLOOKUP(C2745,'[1]خريطة الحسابات'!_xlnm.Print_Area,3,FALSE)))</f>
        <v>تكاليف تسويق</v>
      </c>
      <c r="E2745" s="142"/>
      <c r="F2745" s="133">
        <v>15190</v>
      </c>
      <c r="G2745" s="133"/>
      <c r="H2745" s="134">
        <f t="shared" si="127"/>
        <v>15190</v>
      </c>
      <c r="I2745" s="134">
        <f t="shared" si="127"/>
        <v>0</v>
      </c>
      <c r="J2745" s="134">
        <f t="shared" si="126"/>
        <v>15190</v>
      </c>
      <c r="K2745" s="135"/>
      <c r="L2745" s="148" t="str">
        <f t="shared" si="128"/>
        <v>مدين</v>
      </c>
      <c r="M2745" s="137" t="str">
        <f>IF(ISERROR(VLOOKUP(C2745,'[1]خريطة الحسابات'!_xlnm.Print_Area,4,FALSE))," ",(VLOOKUP(C2745,'[1]خريطة الحسابات'!_xlnm.Print_Area,4,FALSE)))</f>
        <v xml:space="preserve">تكاليف ادارية وعمومية </v>
      </c>
      <c r="N2745" s="138" t="str">
        <f>IF(ISERROR(VLOOKUP(C2745,'[1]خريطة الحسابات'!_xlnm.Print_Area,5,FALSE))," ",(VLOOKUP(C2745,'[1]خريطة الحسابات'!_xlnm.Print_Area,5,FALSE)))</f>
        <v xml:space="preserve">مصروفات </v>
      </c>
      <c r="O2745" s="84" t="s">
        <v>2553</v>
      </c>
      <c r="P2745" s="84" t="s">
        <v>2550</v>
      </c>
    </row>
    <row r="2746" spans="1:16">
      <c r="A2746" s="151">
        <v>88</v>
      </c>
      <c r="B2746" s="131">
        <v>46047</v>
      </c>
      <c r="C2746" s="150" t="s">
        <v>65</v>
      </c>
      <c r="D2746" s="140" t="str">
        <f>IF(ISERROR(VLOOKUP(C2746,'[1]خريطة الحسابات'!_xlnm.Print_Area,3,FALSE))," ",(VLOOKUP(C2746,'[1]خريطة الحسابات'!_xlnm.Print_Area,3,FALSE)))</f>
        <v>تكاليف تسويق</v>
      </c>
      <c r="E2746" s="142"/>
      <c r="F2746" s="133">
        <v>14190</v>
      </c>
      <c r="G2746" s="133"/>
      <c r="H2746" s="134">
        <f t="shared" si="127"/>
        <v>14190</v>
      </c>
      <c r="I2746" s="134">
        <f t="shared" si="127"/>
        <v>0</v>
      </c>
      <c r="J2746" s="134">
        <f t="shared" si="126"/>
        <v>14190</v>
      </c>
      <c r="K2746" s="135"/>
      <c r="L2746" s="148" t="str">
        <f t="shared" si="128"/>
        <v>مدين</v>
      </c>
      <c r="M2746" s="137" t="str">
        <f>IF(ISERROR(VLOOKUP(C2746,'[1]خريطة الحسابات'!_xlnm.Print_Area,4,FALSE))," ",(VLOOKUP(C2746,'[1]خريطة الحسابات'!_xlnm.Print_Area,4,FALSE)))</f>
        <v xml:space="preserve">تكاليف ادارية وعمومية </v>
      </c>
      <c r="N2746" s="138" t="str">
        <f>IF(ISERROR(VLOOKUP(C2746,'[1]خريطة الحسابات'!_xlnm.Print_Area,5,FALSE))," ",(VLOOKUP(C2746,'[1]خريطة الحسابات'!_xlnm.Print_Area,5,FALSE)))</f>
        <v xml:space="preserve">مصروفات </v>
      </c>
      <c r="O2746" s="84" t="s">
        <v>2553</v>
      </c>
      <c r="P2746" s="84" t="s">
        <v>2550</v>
      </c>
    </row>
    <row r="2747" spans="1:16">
      <c r="A2747" s="151">
        <v>88</v>
      </c>
      <c r="B2747" s="131">
        <v>46056</v>
      </c>
      <c r="C2747" s="150" t="s">
        <v>65</v>
      </c>
      <c r="D2747" s="140" t="str">
        <f>IF(ISERROR(VLOOKUP(C2747,'[1]خريطة الحسابات'!_xlnm.Print_Area,3,FALSE))," ",(VLOOKUP(C2747,'[1]خريطة الحسابات'!_xlnm.Print_Area,3,FALSE)))</f>
        <v>تكاليف تسويق</v>
      </c>
      <c r="E2747" s="142"/>
      <c r="F2747" s="133">
        <v>10125</v>
      </c>
      <c r="G2747" s="133"/>
      <c r="H2747" s="134">
        <f t="shared" si="127"/>
        <v>10125</v>
      </c>
      <c r="I2747" s="134">
        <f t="shared" si="127"/>
        <v>0</v>
      </c>
      <c r="J2747" s="134">
        <f t="shared" si="126"/>
        <v>10125</v>
      </c>
      <c r="K2747" s="135"/>
      <c r="L2747" s="148" t="str">
        <f t="shared" si="128"/>
        <v>مدين</v>
      </c>
      <c r="M2747" s="137" t="str">
        <f>IF(ISERROR(VLOOKUP(C2747,'[1]خريطة الحسابات'!_xlnm.Print_Area,4,FALSE))," ",(VLOOKUP(C2747,'[1]خريطة الحسابات'!_xlnm.Print_Area,4,FALSE)))</f>
        <v xml:space="preserve">تكاليف ادارية وعمومية </v>
      </c>
      <c r="N2747" s="138" t="str">
        <f>IF(ISERROR(VLOOKUP(C2747,'[1]خريطة الحسابات'!_xlnm.Print_Area,5,FALSE))," ",(VLOOKUP(C2747,'[1]خريطة الحسابات'!_xlnm.Print_Area,5,FALSE)))</f>
        <v xml:space="preserve">مصروفات </v>
      </c>
      <c r="O2747" s="84" t="s">
        <v>2553</v>
      </c>
      <c r="P2747" s="84" t="s">
        <v>2550</v>
      </c>
    </row>
    <row r="2748" spans="1:16">
      <c r="A2748" s="151">
        <v>88</v>
      </c>
      <c r="B2748" s="131">
        <v>46058</v>
      </c>
      <c r="C2748" s="150" t="s">
        <v>65</v>
      </c>
      <c r="D2748" s="140" t="str">
        <f>IF(ISERROR(VLOOKUP(C2748,'[1]خريطة الحسابات'!_xlnm.Print_Area,3,FALSE))," ",(VLOOKUP(C2748,'[1]خريطة الحسابات'!_xlnm.Print_Area,3,FALSE)))</f>
        <v>تكاليف تسويق</v>
      </c>
      <c r="E2748" s="142"/>
      <c r="F2748" s="133">
        <v>1500</v>
      </c>
      <c r="G2748" s="133"/>
      <c r="H2748" s="134">
        <f t="shared" si="127"/>
        <v>1500</v>
      </c>
      <c r="I2748" s="134">
        <f t="shared" si="127"/>
        <v>0</v>
      </c>
      <c r="J2748" s="134">
        <f t="shared" si="126"/>
        <v>1500</v>
      </c>
      <c r="K2748" s="135"/>
      <c r="L2748" s="148" t="str">
        <f t="shared" si="128"/>
        <v>مدين</v>
      </c>
      <c r="M2748" s="137" t="str">
        <f>IF(ISERROR(VLOOKUP(C2748,'[1]خريطة الحسابات'!_xlnm.Print_Area,4,FALSE))," ",(VLOOKUP(C2748,'[1]خريطة الحسابات'!_xlnm.Print_Area,4,FALSE)))</f>
        <v xml:space="preserve">تكاليف ادارية وعمومية </v>
      </c>
      <c r="N2748" s="138" t="str">
        <f>IF(ISERROR(VLOOKUP(C2748,'[1]خريطة الحسابات'!_xlnm.Print_Area,5,FALSE))," ",(VLOOKUP(C2748,'[1]خريطة الحسابات'!_xlnm.Print_Area,5,FALSE)))</f>
        <v xml:space="preserve">مصروفات </v>
      </c>
      <c r="O2748" s="84" t="s">
        <v>2552</v>
      </c>
      <c r="P2748" s="84" t="s">
        <v>2550</v>
      </c>
    </row>
    <row r="2749" spans="1:16">
      <c r="A2749" s="151">
        <v>88</v>
      </c>
      <c r="B2749" s="131">
        <v>46062</v>
      </c>
      <c r="C2749" s="150" t="s">
        <v>65</v>
      </c>
      <c r="D2749" s="140" t="str">
        <f>IF(ISERROR(VLOOKUP(C2749,'[1]خريطة الحسابات'!_xlnm.Print_Area,3,FALSE))," ",(VLOOKUP(C2749,'[1]خريطة الحسابات'!_xlnm.Print_Area,3,FALSE)))</f>
        <v>تكاليف تسويق</v>
      </c>
      <c r="E2749" s="142"/>
      <c r="F2749" s="133">
        <v>14175</v>
      </c>
      <c r="G2749" s="133"/>
      <c r="H2749" s="134">
        <f t="shared" si="127"/>
        <v>14175</v>
      </c>
      <c r="I2749" s="134">
        <f t="shared" si="127"/>
        <v>0</v>
      </c>
      <c r="J2749" s="134">
        <f t="shared" si="126"/>
        <v>14175</v>
      </c>
      <c r="K2749" s="135"/>
      <c r="L2749" s="148" t="str">
        <f t="shared" si="128"/>
        <v>مدين</v>
      </c>
      <c r="M2749" s="137" t="str">
        <f>IF(ISERROR(VLOOKUP(C2749,'[1]خريطة الحسابات'!_xlnm.Print_Area,4,FALSE))," ",(VLOOKUP(C2749,'[1]خريطة الحسابات'!_xlnm.Print_Area,4,FALSE)))</f>
        <v xml:space="preserve">تكاليف ادارية وعمومية </v>
      </c>
      <c r="N2749" s="138" t="str">
        <f>IF(ISERROR(VLOOKUP(C2749,'[1]خريطة الحسابات'!_xlnm.Print_Area,5,FALSE))," ",(VLOOKUP(C2749,'[1]خريطة الحسابات'!_xlnm.Print_Area,5,FALSE)))</f>
        <v xml:space="preserve">مصروفات </v>
      </c>
      <c r="O2749" s="84" t="s">
        <v>2553</v>
      </c>
      <c r="P2749" s="84" t="s">
        <v>2550</v>
      </c>
    </row>
    <row r="2750" spans="1:16">
      <c r="A2750" s="151">
        <v>88</v>
      </c>
      <c r="B2750" s="131">
        <v>46070</v>
      </c>
      <c r="C2750" s="150" t="s">
        <v>65</v>
      </c>
      <c r="D2750" s="140" t="str">
        <f>IF(ISERROR(VLOOKUP(C2750,'[1]خريطة الحسابات'!_xlnm.Print_Area,3,FALSE))," ",(VLOOKUP(C2750,'[1]خريطة الحسابات'!_xlnm.Print_Area,3,FALSE)))</f>
        <v>تكاليف تسويق</v>
      </c>
      <c r="E2750" s="142"/>
      <c r="F2750" s="133">
        <v>6200</v>
      </c>
      <c r="G2750" s="133"/>
      <c r="H2750" s="134">
        <f t="shared" si="127"/>
        <v>6200</v>
      </c>
      <c r="I2750" s="134">
        <f t="shared" si="127"/>
        <v>0</v>
      </c>
      <c r="J2750" s="134">
        <f t="shared" si="126"/>
        <v>6200</v>
      </c>
      <c r="K2750" s="135"/>
      <c r="L2750" s="148" t="str">
        <f t="shared" si="128"/>
        <v>مدين</v>
      </c>
      <c r="M2750" s="137" t="str">
        <f>IF(ISERROR(VLOOKUP(C2750,'[1]خريطة الحسابات'!_xlnm.Print_Area,4,FALSE))," ",(VLOOKUP(C2750,'[1]خريطة الحسابات'!_xlnm.Print_Area,4,FALSE)))</f>
        <v xml:space="preserve">تكاليف ادارية وعمومية </v>
      </c>
      <c r="N2750" s="138" t="str">
        <f>IF(ISERROR(VLOOKUP(C2750,'[1]خريطة الحسابات'!_xlnm.Print_Area,5,FALSE))," ",(VLOOKUP(C2750,'[1]خريطة الحسابات'!_xlnm.Print_Area,5,FALSE)))</f>
        <v xml:space="preserve">مصروفات </v>
      </c>
      <c r="O2750" s="84" t="s">
        <v>2554</v>
      </c>
      <c r="P2750" s="84" t="s">
        <v>2550</v>
      </c>
    </row>
    <row r="2751" spans="1:16">
      <c r="A2751" s="151">
        <v>88</v>
      </c>
      <c r="B2751" s="131">
        <v>46070</v>
      </c>
      <c r="C2751" s="150" t="s">
        <v>65</v>
      </c>
      <c r="D2751" s="140" t="str">
        <f>IF(ISERROR(VLOOKUP(C2751,'[1]خريطة الحسابات'!_xlnm.Print_Area,3,FALSE))," ",(VLOOKUP(C2751,'[1]خريطة الحسابات'!_xlnm.Print_Area,3,FALSE)))</f>
        <v>تكاليف تسويق</v>
      </c>
      <c r="E2751" s="142"/>
      <c r="F2751" s="133">
        <v>800</v>
      </c>
      <c r="G2751" s="133"/>
      <c r="H2751" s="134">
        <f t="shared" si="127"/>
        <v>800</v>
      </c>
      <c r="I2751" s="134">
        <f t="shared" si="127"/>
        <v>0</v>
      </c>
      <c r="J2751" s="134">
        <f t="shared" si="126"/>
        <v>800</v>
      </c>
      <c r="K2751" s="135"/>
      <c r="L2751" s="148" t="str">
        <f t="shared" si="128"/>
        <v>مدين</v>
      </c>
      <c r="M2751" s="137" t="str">
        <f>IF(ISERROR(VLOOKUP(C2751,'[1]خريطة الحسابات'!_xlnm.Print_Area,4,FALSE))," ",(VLOOKUP(C2751,'[1]خريطة الحسابات'!_xlnm.Print_Area,4,FALSE)))</f>
        <v xml:space="preserve">تكاليف ادارية وعمومية </v>
      </c>
      <c r="N2751" s="138" t="str">
        <f>IF(ISERROR(VLOOKUP(C2751,'[1]خريطة الحسابات'!_xlnm.Print_Area,5,FALSE))," ",(VLOOKUP(C2751,'[1]خريطة الحسابات'!_xlnm.Print_Area,5,FALSE)))</f>
        <v xml:space="preserve">مصروفات </v>
      </c>
      <c r="O2751" s="84" t="s">
        <v>2555</v>
      </c>
      <c r="P2751" s="84" t="s">
        <v>2550</v>
      </c>
    </row>
    <row r="2752" spans="1:16">
      <c r="A2752" s="151">
        <v>88</v>
      </c>
      <c r="B2752" s="131">
        <v>46071</v>
      </c>
      <c r="C2752" s="150" t="s">
        <v>65</v>
      </c>
      <c r="D2752" s="140" t="str">
        <f>IF(ISERROR(VLOOKUP(C2752,'[1]خريطة الحسابات'!_xlnm.Print_Area,3,FALSE))," ",(VLOOKUP(C2752,'[1]خريطة الحسابات'!_xlnm.Print_Area,3,FALSE)))</f>
        <v>تكاليف تسويق</v>
      </c>
      <c r="E2752" s="142"/>
      <c r="F2752" s="133">
        <v>7150</v>
      </c>
      <c r="G2752" s="133"/>
      <c r="H2752" s="134">
        <f t="shared" si="127"/>
        <v>7150</v>
      </c>
      <c r="I2752" s="134">
        <f t="shared" si="127"/>
        <v>0</v>
      </c>
      <c r="J2752" s="134">
        <f t="shared" si="126"/>
        <v>7150</v>
      </c>
      <c r="K2752" s="135"/>
      <c r="L2752" s="148" t="str">
        <f t="shared" si="128"/>
        <v>مدين</v>
      </c>
      <c r="M2752" s="137" t="str">
        <f>IF(ISERROR(VLOOKUP(C2752,'[1]خريطة الحسابات'!_xlnm.Print_Area,4,FALSE))," ",(VLOOKUP(C2752,'[1]خريطة الحسابات'!_xlnm.Print_Area,4,FALSE)))</f>
        <v xml:space="preserve">تكاليف ادارية وعمومية </v>
      </c>
      <c r="N2752" s="138" t="str">
        <f>IF(ISERROR(VLOOKUP(C2752,'[1]خريطة الحسابات'!_xlnm.Print_Area,5,FALSE))," ",(VLOOKUP(C2752,'[1]خريطة الحسابات'!_xlnm.Print_Area,5,FALSE)))</f>
        <v xml:space="preserve">مصروفات </v>
      </c>
      <c r="O2752" s="84" t="s">
        <v>2551</v>
      </c>
      <c r="P2752" s="84" t="s">
        <v>2550</v>
      </c>
    </row>
    <row r="2753" spans="1:16">
      <c r="A2753" s="151">
        <v>88</v>
      </c>
      <c r="B2753" s="131">
        <v>46089</v>
      </c>
      <c r="C2753" s="150" t="s">
        <v>65</v>
      </c>
      <c r="D2753" s="140" t="str">
        <f>IF(ISERROR(VLOOKUP(C2753,'[1]خريطة الحسابات'!_xlnm.Print_Area,3,FALSE))," ",(VLOOKUP(C2753,'[1]خريطة الحسابات'!_xlnm.Print_Area,3,FALSE)))</f>
        <v>تكاليف تسويق</v>
      </c>
      <c r="E2753" s="142"/>
      <c r="F2753" s="133">
        <v>14150</v>
      </c>
      <c r="G2753" s="133"/>
      <c r="H2753" s="134">
        <f t="shared" si="127"/>
        <v>14150</v>
      </c>
      <c r="I2753" s="134">
        <f t="shared" si="127"/>
        <v>0</v>
      </c>
      <c r="J2753" s="134">
        <f t="shared" si="126"/>
        <v>14150</v>
      </c>
      <c r="K2753" s="135"/>
      <c r="L2753" s="148" t="str">
        <f t="shared" si="128"/>
        <v>مدين</v>
      </c>
      <c r="M2753" s="137" t="str">
        <f>IF(ISERROR(VLOOKUP(C2753,'[1]خريطة الحسابات'!_xlnm.Print_Area,4,FALSE))," ",(VLOOKUP(C2753,'[1]خريطة الحسابات'!_xlnm.Print_Area,4,FALSE)))</f>
        <v xml:space="preserve">تكاليف ادارية وعمومية </v>
      </c>
      <c r="N2753" s="138" t="str">
        <f>IF(ISERROR(VLOOKUP(C2753,'[1]خريطة الحسابات'!_xlnm.Print_Area,5,FALSE))," ",(VLOOKUP(C2753,'[1]خريطة الحسابات'!_xlnm.Print_Area,5,FALSE)))</f>
        <v xml:space="preserve">مصروفات </v>
      </c>
      <c r="O2753" s="84" t="s">
        <v>2551</v>
      </c>
      <c r="P2753" s="84" t="s">
        <v>2550</v>
      </c>
    </row>
    <row r="2754" spans="1:16">
      <c r="A2754" s="151">
        <v>88</v>
      </c>
      <c r="B2754" s="131">
        <v>46090</v>
      </c>
      <c r="C2754" s="150" t="s">
        <v>65</v>
      </c>
      <c r="D2754" s="140" t="str">
        <f>IF(ISERROR(VLOOKUP(C2754,'[1]خريطة الحسابات'!_xlnm.Print_Area,3,FALSE))," ",(VLOOKUP(C2754,'[1]خريطة الحسابات'!_xlnm.Print_Area,3,FALSE)))</f>
        <v>تكاليف تسويق</v>
      </c>
      <c r="E2754" s="142"/>
      <c r="F2754" s="133">
        <v>1500</v>
      </c>
      <c r="G2754" s="133"/>
      <c r="H2754" s="134">
        <f t="shared" si="127"/>
        <v>1500</v>
      </c>
      <c r="I2754" s="134">
        <f t="shared" si="127"/>
        <v>0</v>
      </c>
      <c r="J2754" s="134">
        <f t="shared" si="126"/>
        <v>1500</v>
      </c>
      <c r="K2754" s="135"/>
      <c r="L2754" s="148" t="str">
        <f t="shared" si="128"/>
        <v>مدين</v>
      </c>
      <c r="M2754" s="137" t="str">
        <f>IF(ISERROR(VLOOKUP(C2754,'[1]خريطة الحسابات'!_xlnm.Print_Area,4,FALSE))," ",(VLOOKUP(C2754,'[1]خريطة الحسابات'!_xlnm.Print_Area,4,FALSE)))</f>
        <v xml:space="preserve">تكاليف ادارية وعمومية </v>
      </c>
      <c r="N2754" s="138" t="str">
        <f>IF(ISERROR(VLOOKUP(C2754,'[1]خريطة الحسابات'!_xlnm.Print_Area,5,FALSE))," ",(VLOOKUP(C2754,'[1]خريطة الحسابات'!_xlnm.Print_Area,5,FALSE)))</f>
        <v xml:space="preserve">مصروفات </v>
      </c>
      <c r="O2754" s="84" t="s">
        <v>2556</v>
      </c>
      <c r="P2754" s="84" t="s">
        <v>2550</v>
      </c>
    </row>
    <row r="2755" spans="1:16">
      <c r="A2755" s="151">
        <v>88</v>
      </c>
      <c r="B2755" s="131">
        <v>46096</v>
      </c>
      <c r="C2755" s="150" t="s">
        <v>65</v>
      </c>
      <c r="D2755" s="140" t="str">
        <f>IF(ISERROR(VLOOKUP(C2755,'[1]خريطة الحسابات'!_xlnm.Print_Area,3,FALSE))," ",(VLOOKUP(C2755,'[1]خريطة الحسابات'!_xlnm.Print_Area,3,FALSE)))</f>
        <v>تكاليف تسويق</v>
      </c>
      <c r="E2755" s="142"/>
      <c r="F2755" s="133">
        <v>14170</v>
      </c>
      <c r="G2755" s="133"/>
      <c r="H2755" s="134">
        <f t="shared" si="127"/>
        <v>14170</v>
      </c>
      <c r="I2755" s="134">
        <f t="shared" si="127"/>
        <v>0</v>
      </c>
      <c r="J2755" s="134">
        <f t="shared" si="126"/>
        <v>14170</v>
      </c>
      <c r="K2755" s="135"/>
      <c r="L2755" s="148" t="str">
        <f t="shared" si="128"/>
        <v>مدين</v>
      </c>
      <c r="M2755" s="137" t="str">
        <f>IF(ISERROR(VLOOKUP(C2755,'[1]خريطة الحسابات'!_xlnm.Print_Area,4,FALSE))," ",(VLOOKUP(C2755,'[1]خريطة الحسابات'!_xlnm.Print_Area,4,FALSE)))</f>
        <v xml:space="preserve">تكاليف ادارية وعمومية </v>
      </c>
      <c r="N2755" s="138" t="str">
        <f>IF(ISERROR(VLOOKUP(C2755,'[1]خريطة الحسابات'!_xlnm.Print_Area,5,FALSE))," ",(VLOOKUP(C2755,'[1]خريطة الحسابات'!_xlnm.Print_Area,5,FALSE)))</f>
        <v xml:space="preserve">مصروفات </v>
      </c>
      <c r="O2755" s="84" t="s">
        <v>2551</v>
      </c>
      <c r="P2755" s="84" t="s">
        <v>2550</v>
      </c>
    </row>
    <row r="2756" spans="1:16">
      <c r="A2756" s="151">
        <v>88</v>
      </c>
      <c r="B2756" s="131">
        <v>46099</v>
      </c>
      <c r="C2756" s="150" t="s">
        <v>65</v>
      </c>
      <c r="D2756" s="140" t="str">
        <f>IF(ISERROR(VLOOKUP(C2756,'[1]خريطة الحسابات'!_xlnm.Print_Area,3,FALSE))," ",(VLOOKUP(C2756,'[1]خريطة الحسابات'!_xlnm.Print_Area,3,FALSE)))</f>
        <v>تكاليف تسويق</v>
      </c>
      <c r="E2756" s="142"/>
      <c r="F2756" s="133">
        <v>20250</v>
      </c>
      <c r="G2756" s="133"/>
      <c r="H2756" s="134">
        <f t="shared" si="127"/>
        <v>20250</v>
      </c>
      <c r="I2756" s="134">
        <f t="shared" si="127"/>
        <v>0</v>
      </c>
      <c r="J2756" s="134">
        <f t="shared" si="126"/>
        <v>20250</v>
      </c>
      <c r="K2756" s="135"/>
      <c r="L2756" s="148" t="str">
        <f t="shared" si="128"/>
        <v>مدين</v>
      </c>
      <c r="M2756" s="137" t="str">
        <f>IF(ISERROR(VLOOKUP(C2756,'[1]خريطة الحسابات'!_xlnm.Print_Area,4,FALSE))," ",(VLOOKUP(C2756,'[1]خريطة الحسابات'!_xlnm.Print_Area,4,FALSE)))</f>
        <v xml:space="preserve">تكاليف ادارية وعمومية </v>
      </c>
      <c r="N2756" s="138" t="str">
        <f>IF(ISERROR(VLOOKUP(C2756,'[1]خريطة الحسابات'!_xlnm.Print_Area,5,FALSE))," ",(VLOOKUP(C2756,'[1]خريطة الحسابات'!_xlnm.Print_Area,5,FALSE)))</f>
        <v xml:space="preserve">مصروفات </v>
      </c>
      <c r="O2756" s="84" t="s">
        <v>2551</v>
      </c>
      <c r="P2756" s="84" t="s">
        <v>2550</v>
      </c>
    </row>
    <row r="2757" spans="1:16">
      <c r="A2757" s="151">
        <v>88</v>
      </c>
      <c r="B2757" s="131">
        <v>46110</v>
      </c>
      <c r="C2757" s="150" t="s">
        <v>65</v>
      </c>
      <c r="D2757" s="140" t="str">
        <f>IF(ISERROR(VLOOKUP(C2757,'[1]خريطة الحسابات'!_xlnm.Print_Area,3,FALSE))," ",(VLOOKUP(C2757,'[1]خريطة الحسابات'!_xlnm.Print_Area,3,FALSE)))</f>
        <v>تكاليف تسويق</v>
      </c>
      <c r="E2757" s="142"/>
      <c r="F2757" s="133">
        <v>14172</v>
      </c>
      <c r="G2757" s="133"/>
      <c r="H2757" s="134">
        <f t="shared" si="127"/>
        <v>14172</v>
      </c>
      <c r="I2757" s="134">
        <f t="shared" si="127"/>
        <v>0</v>
      </c>
      <c r="J2757" s="134">
        <f t="shared" si="126"/>
        <v>14172</v>
      </c>
      <c r="K2757" s="135"/>
      <c r="L2757" s="148" t="str">
        <f t="shared" si="128"/>
        <v>مدين</v>
      </c>
      <c r="M2757" s="137" t="str">
        <f>IF(ISERROR(VLOOKUP(C2757,'[1]خريطة الحسابات'!_xlnm.Print_Area,4,FALSE))," ",(VLOOKUP(C2757,'[1]خريطة الحسابات'!_xlnm.Print_Area,4,FALSE)))</f>
        <v xml:space="preserve">تكاليف ادارية وعمومية </v>
      </c>
      <c r="N2757" s="138" t="str">
        <f>IF(ISERROR(VLOOKUP(C2757,'[1]خريطة الحسابات'!_xlnm.Print_Area,5,FALSE))," ",(VLOOKUP(C2757,'[1]خريطة الحسابات'!_xlnm.Print_Area,5,FALSE)))</f>
        <v xml:space="preserve">مصروفات </v>
      </c>
      <c r="O2757" s="84" t="s">
        <v>2551</v>
      </c>
      <c r="P2757" s="84" t="s">
        <v>2550</v>
      </c>
    </row>
    <row r="2758" spans="1:16">
      <c r="A2758" s="151">
        <v>88</v>
      </c>
      <c r="B2758" s="131">
        <v>46116</v>
      </c>
      <c r="C2758" s="150" t="s">
        <v>65</v>
      </c>
      <c r="D2758" s="140" t="str">
        <f>IF(ISERROR(VLOOKUP(C2758,'[1]خريطة الحسابات'!_xlnm.Print_Area,3,FALSE))," ",(VLOOKUP(C2758,'[1]خريطة الحسابات'!_xlnm.Print_Area,3,FALSE)))</f>
        <v>تكاليف تسويق</v>
      </c>
      <c r="E2758" s="142"/>
      <c r="F2758" s="133">
        <v>4875</v>
      </c>
      <c r="G2758" s="133"/>
      <c r="H2758" s="134">
        <f t="shared" si="127"/>
        <v>4875</v>
      </c>
      <c r="I2758" s="134">
        <f t="shared" si="127"/>
        <v>0</v>
      </c>
      <c r="J2758" s="134">
        <f t="shared" si="126"/>
        <v>4875</v>
      </c>
      <c r="K2758" s="135"/>
      <c r="L2758" s="148" t="str">
        <f t="shared" si="128"/>
        <v>مدين</v>
      </c>
      <c r="M2758" s="137" t="str">
        <f>IF(ISERROR(VLOOKUP(C2758,'[1]خريطة الحسابات'!_xlnm.Print_Area,4,FALSE))," ",(VLOOKUP(C2758,'[1]خريطة الحسابات'!_xlnm.Print_Area,4,FALSE)))</f>
        <v xml:space="preserve">تكاليف ادارية وعمومية </v>
      </c>
      <c r="N2758" s="138" t="str">
        <f>IF(ISERROR(VLOOKUP(C2758,'[1]خريطة الحسابات'!_xlnm.Print_Area,5,FALSE))," ",(VLOOKUP(C2758,'[1]خريطة الحسابات'!_xlnm.Print_Area,5,FALSE)))</f>
        <v xml:space="preserve">مصروفات </v>
      </c>
      <c r="O2758" s="84" t="s">
        <v>2552</v>
      </c>
      <c r="P2758" s="84" t="s">
        <v>2550</v>
      </c>
    </row>
    <row r="2759" spans="1:16">
      <c r="A2759" s="151">
        <v>88</v>
      </c>
      <c r="B2759" s="131">
        <v>46116</v>
      </c>
      <c r="C2759" s="150" t="s">
        <v>65</v>
      </c>
      <c r="D2759" s="140" t="str">
        <f>IF(ISERROR(VLOOKUP(C2759,'[1]خريطة الحسابات'!_xlnm.Print_Area,3,FALSE))," ",(VLOOKUP(C2759,'[1]خريطة الحسابات'!_xlnm.Print_Area,3,FALSE)))</f>
        <v>تكاليف تسويق</v>
      </c>
      <c r="E2759" s="142"/>
      <c r="F2759" s="133">
        <v>7557</v>
      </c>
      <c r="G2759" s="133"/>
      <c r="H2759" s="134">
        <f t="shared" si="127"/>
        <v>7557</v>
      </c>
      <c r="I2759" s="134">
        <f t="shared" si="127"/>
        <v>0</v>
      </c>
      <c r="J2759" s="134">
        <f t="shared" si="126"/>
        <v>7557</v>
      </c>
      <c r="K2759" s="135"/>
      <c r="L2759" s="148" t="str">
        <f t="shared" si="128"/>
        <v>مدين</v>
      </c>
      <c r="M2759" s="137" t="str">
        <f>IF(ISERROR(VLOOKUP(C2759,'[1]خريطة الحسابات'!_xlnm.Print_Area,4,FALSE))," ",(VLOOKUP(C2759,'[1]خريطة الحسابات'!_xlnm.Print_Area,4,FALSE)))</f>
        <v xml:space="preserve">تكاليف ادارية وعمومية </v>
      </c>
      <c r="N2759" s="138" t="str">
        <f>IF(ISERROR(VLOOKUP(C2759,'[1]خريطة الحسابات'!_xlnm.Print_Area,5,FALSE))," ",(VLOOKUP(C2759,'[1]خريطة الحسابات'!_xlnm.Print_Area,5,FALSE)))</f>
        <v xml:space="preserve">مصروفات </v>
      </c>
      <c r="O2759" s="84" t="s">
        <v>2557</v>
      </c>
      <c r="P2759" s="84" t="s">
        <v>2550</v>
      </c>
    </row>
    <row r="2760" spans="1:16">
      <c r="A2760" s="151">
        <v>88</v>
      </c>
      <c r="B2760" s="131">
        <v>46119</v>
      </c>
      <c r="C2760" s="150" t="s">
        <v>65</v>
      </c>
      <c r="D2760" s="140" t="str">
        <f>IF(ISERROR(VLOOKUP(C2760,'[1]خريطة الحسابات'!_xlnm.Print_Area,3,FALSE))," ",(VLOOKUP(C2760,'[1]خريطة الحسابات'!_xlnm.Print_Area,3,FALSE)))</f>
        <v>تكاليف تسويق</v>
      </c>
      <c r="E2760" s="142"/>
      <c r="F2760" s="133">
        <v>14175</v>
      </c>
      <c r="G2760" s="133"/>
      <c r="H2760" s="134">
        <f t="shared" si="127"/>
        <v>14175</v>
      </c>
      <c r="I2760" s="134">
        <f t="shared" si="127"/>
        <v>0</v>
      </c>
      <c r="J2760" s="134">
        <f t="shared" si="126"/>
        <v>14175</v>
      </c>
      <c r="K2760" s="135"/>
      <c r="L2760" s="148" t="str">
        <f t="shared" si="128"/>
        <v>مدين</v>
      </c>
      <c r="M2760" s="137" t="str">
        <f>IF(ISERROR(VLOOKUP(C2760,'[1]خريطة الحسابات'!_xlnm.Print_Area,4,FALSE))," ",(VLOOKUP(C2760,'[1]خريطة الحسابات'!_xlnm.Print_Area,4,FALSE)))</f>
        <v xml:space="preserve">تكاليف ادارية وعمومية </v>
      </c>
      <c r="N2760" s="138" t="str">
        <f>IF(ISERROR(VLOOKUP(C2760,'[1]خريطة الحسابات'!_xlnm.Print_Area,5,FALSE))," ",(VLOOKUP(C2760,'[1]خريطة الحسابات'!_xlnm.Print_Area,5,FALSE)))</f>
        <v xml:space="preserve">مصروفات </v>
      </c>
      <c r="O2760" s="84" t="s">
        <v>2551</v>
      </c>
      <c r="P2760" s="84" t="s">
        <v>2550</v>
      </c>
    </row>
    <row r="2761" spans="1:16">
      <c r="A2761" s="151">
        <v>88</v>
      </c>
      <c r="B2761" s="131">
        <v>46124</v>
      </c>
      <c r="C2761" s="150" t="s">
        <v>65</v>
      </c>
      <c r="D2761" s="140" t="str">
        <f>IF(ISERROR(VLOOKUP(C2761,'[1]خريطة الحسابات'!_xlnm.Print_Area,3,FALSE))," ",(VLOOKUP(C2761,'[1]خريطة الحسابات'!_xlnm.Print_Area,3,FALSE)))</f>
        <v>تكاليف تسويق</v>
      </c>
      <c r="E2761" s="142"/>
      <c r="F2761" s="133">
        <v>145</v>
      </c>
      <c r="G2761" s="133"/>
      <c r="H2761" s="134">
        <f t="shared" si="127"/>
        <v>145</v>
      </c>
      <c r="I2761" s="134">
        <f t="shared" si="127"/>
        <v>0</v>
      </c>
      <c r="J2761" s="134">
        <f t="shared" si="126"/>
        <v>145</v>
      </c>
      <c r="K2761" s="135"/>
      <c r="L2761" s="148" t="str">
        <f t="shared" si="128"/>
        <v>مدين</v>
      </c>
      <c r="M2761" s="137" t="str">
        <f>IF(ISERROR(VLOOKUP(C2761,'[1]خريطة الحسابات'!_xlnm.Print_Area,4,FALSE))," ",(VLOOKUP(C2761,'[1]خريطة الحسابات'!_xlnm.Print_Area,4,FALSE)))</f>
        <v xml:space="preserve">تكاليف ادارية وعمومية </v>
      </c>
      <c r="N2761" s="138" t="str">
        <f>IF(ISERROR(VLOOKUP(C2761,'[1]خريطة الحسابات'!_xlnm.Print_Area,5,FALSE))," ",(VLOOKUP(C2761,'[1]خريطة الحسابات'!_xlnm.Print_Area,5,FALSE)))</f>
        <v xml:space="preserve">مصروفات </v>
      </c>
      <c r="O2761" s="84" t="s">
        <v>2558</v>
      </c>
      <c r="P2761" s="84" t="s">
        <v>2550</v>
      </c>
    </row>
    <row r="2762" spans="1:16">
      <c r="A2762" s="151">
        <v>88</v>
      </c>
      <c r="B2762" s="131">
        <v>46126</v>
      </c>
      <c r="C2762" s="150" t="s">
        <v>65</v>
      </c>
      <c r="D2762" s="140" t="str">
        <f>IF(ISERROR(VLOOKUP(C2762,'[1]خريطة الحسابات'!_xlnm.Print_Area,3,FALSE))," ",(VLOOKUP(C2762,'[1]خريطة الحسابات'!_xlnm.Print_Area,3,FALSE)))</f>
        <v>تكاليف تسويق</v>
      </c>
      <c r="E2762" s="142"/>
      <c r="F2762" s="133">
        <v>14175</v>
      </c>
      <c r="G2762" s="133"/>
      <c r="H2762" s="134">
        <f t="shared" si="127"/>
        <v>14175</v>
      </c>
      <c r="I2762" s="134">
        <f t="shared" si="127"/>
        <v>0</v>
      </c>
      <c r="J2762" s="134">
        <f t="shared" si="126"/>
        <v>14175</v>
      </c>
      <c r="K2762" s="135"/>
      <c r="L2762" s="148" t="str">
        <f t="shared" si="128"/>
        <v>مدين</v>
      </c>
      <c r="M2762" s="137" t="str">
        <f>IF(ISERROR(VLOOKUP(C2762,'[1]خريطة الحسابات'!_xlnm.Print_Area,4,FALSE))," ",(VLOOKUP(C2762,'[1]خريطة الحسابات'!_xlnm.Print_Area,4,FALSE)))</f>
        <v xml:space="preserve">تكاليف ادارية وعمومية </v>
      </c>
      <c r="N2762" s="138" t="str">
        <f>IF(ISERROR(VLOOKUP(C2762,'[1]خريطة الحسابات'!_xlnm.Print_Area,5,FALSE))," ",(VLOOKUP(C2762,'[1]خريطة الحسابات'!_xlnm.Print_Area,5,FALSE)))</f>
        <v xml:space="preserve">مصروفات </v>
      </c>
      <c r="O2762" s="84" t="s">
        <v>2551</v>
      </c>
      <c r="P2762" s="84" t="s">
        <v>2550</v>
      </c>
    </row>
    <row r="2763" spans="1:16">
      <c r="A2763" s="151">
        <v>88</v>
      </c>
      <c r="B2763" s="131">
        <v>46133</v>
      </c>
      <c r="C2763" s="150" t="s">
        <v>65</v>
      </c>
      <c r="D2763" s="140" t="str">
        <f>IF(ISERROR(VLOOKUP(C2763,'[1]خريطة الحسابات'!_xlnm.Print_Area,3,FALSE))," ",(VLOOKUP(C2763,'[1]خريطة الحسابات'!_xlnm.Print_Area,3,FALSE)))</f>
        <v>تكاليف تسويق</v>
      </c>
      <c r="E2763" s="142"/>
      <c r="F2763" s="133">
        <v>14173</v>
      </c>
      <c r="G2763" s="133"/>
      <c r="H2763" s="134">
        <f t="shared" si="127"/>
        <v>14173</v>
      </c>
      <c r="I2763" s="134">
        <f t="shared" si="127"/>
        <v>0</v>
      </c>
      <c r="J2763" s="134">
        <f t="shared" si="126"/>
        <v>14173</v>
      </c>
      <c r="K2763" s="135"/>
      <c r="L2763" s="148" t="str">
        <f t="shared" si="128"/>
        <v>مدين</v>
      </c>
      <c r="M2763" s="137" t="str">
        <f>IF(ISERROR(VLOOKUP(C2763,'[1]خريطة الحسابات'!_xlnm.Print_Area,4,FALSE))," ",(VLOOKUP(C2763,'[1]خريطة الحسابات'!_xlnm.Print_Area,4,FALSE)))</f>
        <v xml:space="preserve">تكاليف ادارية وعمومية </v>
      </c>
      <c r="N2763" s="138" t="str">
        <f>IF(ISERROR(VLOOKUP(C2763,'[1]خريطة الحسابات'!_xlnm.Print_Area,5,FALSE))," ",(VLOOKUP(C2763,'[1]خريطة الحسابات'!_xlnm.Print_Area,5,FALSE)))</f>
        <v xml:space="preserve">مصروفات </v>
      </c>
      <c r="O2763" s="84" t="s">
        <v>2551</v>
      </c>
      <c r="P2763" s="84" t="s">
        <v>2550</v>
      </c>
    </row>
    <row r="2764" spans="1:16">
      <c r="A2764" s="151">
        <v>88</v>
      </c>
      <c r="B2764" s="131">
        <v>46135</v>
      </c>
      <c r="C2764" s="150" t="s">
        <v>65</v>
      </c>
      <c r="D2764" s="140" t="str">
        <f>IF(ISERROR(VLOOKUP(C2764,'[1]خريطة الحسابات'!_xlnm.Print_Area,3,FALSE))," ",(VLOOKUP(C2764,'[1]خريطة الحسابات'!_xlnm.Print_Area,3,FALSE)))</f>
        <v>تكاليف تسويق</v>
      </c>
      <c r="E2764" s="142"/>
      <c r="F2764" s="133">
        <v>14173</v>
      </c>
      <c r="G2764" s="133"/>
      <c r="H2764" s="134">
        <f t="shared" si="127"/>
        <v>14173</v>
      </c>
      <c r="I2764" s="134">
        <f t="shared" si="127"/>
        <v>0</v>
      </c>
      <c r="J2764" s="134">
        <f t="shared" si="126"/>
        <v>14173</v>
      </c>
      <c r="K2764" s="135"/>
      <c r="L2764" s="148" t="str">
        <f t="shared" si="128"/>
        <v>مدين</v>
      </c>
      <c r="M2764" s="137" t="str">
        <f>IF(ISERROR(VLOOKUP(C2764,'[1]خريطة الحسابات'!_xlnm.Print_Area,4,FALSE))," ",(VLOOKUP(C2764,'[1]خريطة الحسابات'!_xlnm.Print_Area,4,FALSE)))</f>
        <v xml:space="preserve">تكاليف ادارية وعمومية </v>
      </c>
      <c r="N2764" s="138" t="str">
        <f>IF(ISERROR(VLOOKUP(C2764,'[1]خريطة الحسابات'!_xlnm.Print_Area,5,FALSE))," ",(VLOOKUP(C2764,'[1]خريطة الحسابات'!_xlnm.Print_Area,5,FALSE)))</f>
        <v xml:space="preserve">مصروفات </v>
      </c>
      <c r="O2764" s="84" t="s">
        <v>2551</v>
      </c>
      <c r="P2764" s="84" t="s">
        <v>2550</v>
      </c>
    </row>
    <row r="2765" spans="1:16">
      <c r="A2765" s="151">
        <v>88</v>
      </c>
      <c r="B2765" s="131">
        <v>46135</v>
      </c>
      <c r="C2765" s="150" t="s">
        <v>65</v>
      </c>
      <c r="D2765" s="140" t="str">
        <f>IF(ISERROR(VLOOKUP(C2765,'[1]خريطة الحسابات'!_xlnm.Print_Area,3,FALSE))," ",(VLOOKUP(C2765,'[1]خريطة الحسابات'!_xlnm.Print_Area,3,FALSE)))</f>
        <v>تكاليف تسويق</v>
      </c>
      <c r="E2765" s="142"/>
      <c r="F2765" s="133">
        <v>6500</v>
      </c>
      <c r="G2765" s="133"/>
      <c r="H2765" s="134">
        <f t="shared" si="127"/>
        <v>6500</v>
      </c>
      <c r="I2765" s="134">
        <f t="shared" si="127"/>
        <v>0</v>
      </c>
      <c r="J2765" s="134">
        <f t="shared" si="126"/>
        <v>6500</v>
      </c>
      <c r="K2765" s="135"/>
      <c r="L2765" s="148" t="str">
        <f t="shared" si="128"/>
        <v>مدين</v>
      </c>
      <c r="M2765" s="137" t="str">
        <f>IF(ISERROR(VLOOKUP(C2765,'[1]خريطة الحسابات'!_xlnm.Print_Area,4,FALSE))," ",(VLOOKUP(C2765,'[1]خريطة الحسابات'!_xlnm.Print_Area,4,FALSE)))</f>
        <v xml:space="preserve">تكاليف ادارية وعمومية </v>
      </c>
      <c r="N2765" s="138" t="str">
        <f>IF(ISERROR(VLOOKUP(C2765,'[1]خريطة الحسابات'!_xlnm.Print_Area,5,FALSE))," ",(VLOOKUP(C2765,'[1]خريطة الحسابات'!_xlnm.Print_Area,5,FALSE)))</f>
        <v xml:space="preserve">مصروفات </v>
      </c>
      <c r="O2765" s="84" t="s">
        <v>2554</v>
      </c>
      <c r="P2765" s="84" t="s">
        <v>2550</v>
      </c>
    </row>
    <row r="2766" spans="1:16">
      <c r="A2766" s="151">
        <v>88</v>
      </c>
      <c r="B2766" s="131">
        <v>46139</v>
      </c>
      <c r="C2766" s="150" t="s">
        <v>65</v>
      </c>
      <c r="D2766" s="140" t="str">
        <f>IF(ISERROR(VLOOKUP(C2766,'[1]خريطة الحسابات'!_xlnm.Print_Area,3,FALSE))," ",(VLOOKUP(C2766,'[1]خريطة الحسابات'!_xlnm.Print_Area,3,FALSE)))</f>
        <v>تكاليف تسويق</v>
      </c>
      <c r="E2766" s="142"/>
      <c r="F2766" s="133">
        <v>10000</v>
      </c>
      <c r="G2766" s="133"/>
      <c r="H2766" s="134">
        <f t="shared" si="127"/>
        <v>10000</v>
      </c>
      <c r="I2766" s="134">
        <f t="shared" si="127"/>
        <v>0</v>
      </c>
      <c r="J2766" s="134">
        <f t="shared" si="126"/>
        <v>10000</v>
      </c>
      <c r="K2766" s="135"/>
      <c r="L2766" s="148" t="str">
        <f t="shared" si="128"/>
        <v>مدين</v>
      </c>
      <c r="M2766" s="137" t="str">
        <f>IF(ISERROR(VLOOKUP(C2766,'[1]خريطة الحسابات'!_xlnm.Print_Area,4,FALSE))," ",(VLOOKUP(C2766,'[1]خريطة الحسابات'!_xlnm.Print_Area,4,FALSE)))</f>
        <v xml:space="preserve">تكاليف ادارية وعمومية </v>
      </c>
      <c r="N2766" s="138" t="str">
        <f>IF(ISERROR(VLOOKUP(C2766,'[1]خريطة الحسابات'!_xlnm.Print_Area,5,FALSE))," ",(VLOOKUP(C2766,'[1]خريطة الحسابات'!_xlnm.Print_Area,5,FALSE)))</f>
        <v xml:space="preserve">مصروفات </v>
      </c>
      <c r="O2766" s="84" t="s">
        <v>2559</v>
      </c>
      <c r="P2766" s="84" t="s">
        <v>2550</v>
      </c>
    </row>
    <row r="2767" spans="1:16">
      <c r="A2767" s="151">
        <v>88</v>
      </c>
      <c r="B2767" s="131">
        <v>46144</v>
      </c>
      <c r="C2767" s="150" t="s">
        <v>65</v>
      </c>
      <c r="D2767" s="140" t="str">
        <f>IF(ISERROR(VLOOKUP(C2767,'[1]خريطة الحسابات'!_xlnm.Print_Area,3,FALSE))," ",(VLOOKUP(C2767,'[1]خريطة الحسابات'!_xlnm.Print_Area,3,FALSE)))</f>
        <v>تكاليف تسويق</v>
      </c>
      <c r="E2767" s="142"/>
      <c r="F2767" s="133">
        <v>14175</v>
      </c>
      <c r="G2767" s="133"/>
      <c r="H2767" s="134">
        <f t="shared" si="127"/>
        <v>14175</v>
      </c>
      <c r="I2767" s="134">
        <f t="shared" si="127"/>
        <v>0</v>
      </c>
      <c r="J2767" s="134">
        <f t="shared" si="126"/>
        <v>14175</v>
      </c>
      <c r="K2767" s="135"/>
      <c r="L2767" s="148" t="str">
        <f t="shared" si="128"/>
        <v>مدين</v>
      </c>
      <c r="M2767" s="137" t="str">
        <f>IF(ISERROR(VLOOKUP(C2767,'[1]خريطة الحسابات'!_xlnm.Print_Area,4,FALSE))," ",(VLOOKUP(C2767,'[1]خريطة الحسابات'!_xlnm.Print_Area,4,FALSE)))</f>
        <v xml:space="preserve">تكاليف ادارية وعمومية </v>
      </c>
      <c r="N2767" s="138" t="str">
        <f>IF(ISERROR(VLOOKUP(C2767,'[1]خريطة الحسابات'!_xlnm.Print_Area,5,FALSE))," ",(VLOOKUP(C2767,'[1]خريطة الحسابات'!_xlnm.Print_Area,5,FALSE)))</f>
        <v xml:space="preserve">مصروفات </v>
      </c>
      <c r="O2767" s="84" t="s">
        <v>2551</v>
      </c>
      <c r="P2767" s="84" t="s">
        <v>2550</v>
      </c>
    </row>
    <row r="2768" spans="1:16">
      <c r="A2768" s="151">
        <v>88</v>
      </c>
      <c r="B2768" s="131">
        <v>46147</v>
      </c>
      <c r="C2768" s="150" t="s">
        <v>65</v>
      </c>
      <c r="D2768" s="140" t="str">
        <f>IF(ISERROR(VLOOKUP(C2768,'[1]خريطة الحسابات'!_xlnm.Print_Area,3,FALSE))," ",(VLOOKUP(C2768,'[1]خريطة الحسابات'!_xlnm.Print_Area,3,FALSE)))</f>
        <v>تكاليف تسويق</v>
      </c>
      <c r="E2768" s="142"/>
      <c r="F2768" s="133">
        <v>15000</v>
      </c>
      <c r="G2768" s="133"/>
      <c r="H2768" s="134">
        <f t="shared" si="127"/>
        <v>15000</v>
      </c>
      <c r="I2768" s="134">
        <f t="shared" si="127"/>
        <v>0</v>
      </c>
      <c r="J2768" s="134">
        <f t="shared" si="126"/>
        <v>15000</v>
      </c>
      <c r="K2768" s="135"/>
      <c r="L2768" s="148" t="str">
        <f t="shared" si="128"/>
        <v>مدين</v>
      </c>
      <c r="M2768" s="137" t="str">
        <f>IF(ISERROR(VLOOKUP(C2768,'[1]خريطة الحسابات'!_xlnm.Print_Area,4,FALSE))," ",(VLOOKUP(C2768,'[1]خريطة الحسابات'!_xlnm.Print_Area,4,FALSE)))</f>
        <v xml:space="preserve">تكاليف ادارية وعمومية </v>
      </c>
      <c r="N2768" s="138" t="str">
        <f>IF(ISERROR(VLOOKUP(C2768,'[1]خريطة الحسابات'!_xlnm.Print_Area,5,FALSE))," ",(VLOOKUP(C2768,'[1]خريطة الحسابات'!_xlnm.Print_Area,5,FALSE)))</f>
        <v xml:space="preserve">مصروفات </v>
      </c>
      <c r="O2768" s="84" t="s">
        <v>2560</v>
      </c>
      <c r="P2768" s="84" t="s">
        <v>2550</v>
      </c>
    </row>
    <row r="2769" spans="1:16">
      <c r="A2769" s="151">
        <v>88</v>
      </c>
      <c r="B2769" s="131">
        <v>46151</v>
      </c>
      <c r="C2769" s="150" t="s">
        <v>65</v>
      </c>
      <c r="D2769" s="140" t="str">
        <f>IF(ISERROR(VLOOKUP(C2769,'[1]خريطة الحسابات'!_xlnm.Print_Area,3,FALSE))," ",(VLOOKUP(C2769,'[1]خريطة الحسابات'!_xlnm.Print_Area,3,FALSE)))</f>
        <v>تكاليف تسويق</v>
      </c>
      <c r="E2769" s="142"/>
      <c r="F2769" s="133">
        <v>14175</v>
      </c>
      <c r="G2769" s="133"/>
      <c r="H2769" s="134">
        <f t="shared" si="127"/>
        <v>14175</v>
      </c>
      <c r="I2769" s="134">
        <f t="shared" si="127"/>
        <v>0</v>
      </c>
      <c r="J2769" s="134">
        <f t="shared" si="126"/>
        <v>14175</v>
      </c>
      <c r="K2769" s="135"/>
      <c r="L2769" s="148" t="str">
        <f t="shared" si="128"/>
        <v>مدين</v>
      </c>
      <c r="M2769" s="137" t="str">
        <f>IF(ISERROR(VLOOKUP(C2769,'[1]خريطة الحسابات'!_xlnm.Print_Area,4,FALSE))," ",(VLOOKUP(C2769,'[1]خريطة الحسابات'!_xlnm.Print_Area,4,FALSE)))</f>
        <v xml:space="preserve">تكاليف ادارية وعمومية </v>
      </c>
      <c r="N2769" s="138" t="str">
        <f>IF(ISERROR(VLOOKUP(C2769,'[1]خريطة الحسابات'!_xlnm.Print_Area,5,FALSE))," ",(VLOOKUP(C2769,'[1]خريطة الحسابات'!_xlnm.Print_Area,5,FALSE)))</f>
        <v xml:space="preserve">مصروفات </v>
      </c>
      <c r="O2769" s="84" t="s">
        <v>2551</v>
      </c>
      <c r="P2769" s="84" t="s">
        <v>2550</v>
      </c>
    </row>
    <row r="2770" spans="1:16">
      <c r="A2770" s="151">
        <v>88</v>
      </c>
      <c r="B2770" s="131">
        <v>46152</v>
      </c>
      <c r="C2770" s="150" t="s">
        <v>65</v>
      </c>
      <c r="D2770" s="140" t="str">
        <f>IF(ISERROR(VLOOKUP(C2770,'[1]خريطة الحسابات'!_xlnm.Print_Area,3,FALSE))," ",(VLOOKUP(C2770,'[1]خريطة الحسابات'!_xlnm.Print_Area,3,FALSE)))</f>
        <v>تكاليف تسويق</v>
      </c>
      <c r="E2770" s="142"/>
      <c r="F2770" s="133">
        <v>1501</v>
      </c>
      <c r="G2770" s="133"/>
      <c r="H2770" s="134">
        <f t="shared" si="127"/>
        <v>1501</v>
      </c>
      <c r="I2770" s="134">
        <f t="shared" si="127"/>
        <v>0</v>
      </c>
      <c r="J2770" s="134">
        <f t="shared" si="126"/>
        <v>1501</v>
      </c>
      <c r="K2770" s="135"/>
      <c r="L2770" s="148" t="str">
        <f t="shared" si="128"/>
        <v>مدين</v>
      </c>
      <c r="M2770" s="137" t="str">
        <f>IF(ISERROR(VLOOKUP(C2770,'[1]خريطة الحسابات'!_xlnm.Print_Area,4,FALSE))," ",(VLOOKUP(C2770,'[1]خريطة الحسابات'!_xlnm.Print_Area,4,FALSE)))</f>
        <v xml:space="preserve">تكاليف ادارية وعمومية </v>
      </c>
      <c r="N2770" s="138" t="str">
        <f>IF(ISERROR(VLOOKUP(C2770,'[1]خريطة الحسابات'!_xlnm.Print_Area,5,FALSE))," ",(VLOOKUP(C2770,'[1]خريطة الحسابات'!_xlnm.Print_Area,5,FALSE)))</f>
        <v xml:space="preserve">مصروفات </v>
      </c>
      <c r="O2770" s="84" t="s">
        <v>2552</v>
      </c>
      <c r="P2770" s="84" t="s">
        <v>2550</v>
      </c>
    </row>
    <row r="2771" spans="1:16">
      <c r="A2771" s="151">
        <v>88</v>
      </c>
      <c r="B2771" s="131">
        <v>46153</v>
      </c>
      <c r="C2771" s="150" t="s">
        <v>65</v>
      </c>
      <c r="D2771" s="140" t="str">
        <f>IF(ISERROR(VLOOKUP(C2771,'[1]خريطة الحسابات'!_xlnm.Print_Area,3,FALSE))," ",(VLOOKUP(C2771,'[1]خريطة الحسابات'!_xlnm.Print_Area,3,FALSE)))</f>
        <v>تكاليف تسويق</v>
      </c>
      <c r="E2771" s="142"/>
      <c r="F2771" s="133">
        <v>20000</v>
      </c>
      <c r="G2771" s="133"/>
      <c r="H2771" s="134">
        <f t="shared" si="127"/>
        <v>20000</v>
      </c>
      <c r="I2771" s="134">
        <f t="shared" si="127"/>
        <v>0</v>
      </c>
      <c r="J2771" s="134">
        <f t="shared" si="126"/>
        <v>20000</v>
      </c>
      <c r="K2771" s="135"/>
      <c r="L2771" s="148" t="str">
        <f t="shared" si="128"/>
        <v>مدين</v>
      </c>
      <c r="M2771" s="137" t="str">
        <f>IF(ISERROR(VLOOKUP(C2771,'[1]خريطة الحسابات'!_xlnm.Print_Area,4,FALSE))," ",(VLOOKUP(C2771,'[1]خريطة الحسابات'!_xlnm.Print_Area,4,FALSE)))</f>
        <v xml:space="preserve">تكاليف ادارية وعمومية </v>
      </c>
      <c r="N2771" s="138" t="str">
        <f>IF(ISERROR(VLOOKUP(C2771,'[1]خريطة الحسابات'!_xlnm.Print_Area,5,FALSE))," ",(VLOOKUP(C2771,'[1]خريطة الحسابات'!_xlnm.Print_Area,5,FALSE)))</f>
        <v xml:space="preserve">مصروفات </v>
      </c>
      <c r="O2771" s="84" t="s">
        <v>2561</v>
      </c>
      <c r="P2771" s="84" t="s">
        <v>2550</v>
      </c>
    </row>
    <row r="2772" spans="1:16">
      <c r="A2772" s="151">
        <v>88</v>
      </c>
      <c r="B2772" s="131">
        <v>46159</v>
      </c>
      <c r="C2772" s="150" t="s">
        <v>65</v>
      </c>
      <c r="D2772" s="140" t="str">
        <f>IF(ISERROR(VLOOKUP(C2772,'[1]خريطة الحسابات'!_xlnm.Print_Area,3,FALSE))," ",(VLOOKUP(C2772,'[1]خريطة الحسابات'!_xlnm.Print_Area,3,FALSE)))</f>
        <v>تكاليف تسويق</v>
      </c>
      <c r="E2772" s="142"/>
      <c r="F2772" s="133">
        <v>21000</v>
      </c>
      <c r="G2772" s="133"/>
      <c r="H2772" s="134">
        <f t="shared" si="127"/>
        <v>21000</v>
      </c>
      <c r="I2772" s="134">
        <f t="shared" si="127"/>
        <v>0</v>
      </c>
      <c r="J2772" s="134">
        <f t="shared" si="126"/>
        <v>21000</v>
      </c>
      <c r="K2772" s="135"/>
      <c r="L2772" s="148" t="str">
        <f t="shared" si="128"/>
        <v>مدين</v>
      </c>
      <c r="M2772" s="137" t="str">
        <f>IF(ISERROR(VLOOKUP(C2772,'[1]خريطة الحسابات'!_xlnm.Print_Area,4,FALSE))," ",(VLOOKUP(C2772,'[1]خريطة الحسابات'!_xlnm.Print_Area,4,FALSE)))</f>
        <v xml:space="preserve">تكاليف ادارية وعمومية </v>
      </c>
      <c r="N2772" s="138" t="str">
        <f>IF(ISERROR(VLOOKUP(C2772,'[1]خريطة الحسابات'!_xlnm.Print_Area,5,FALSE))," ",(VLOOKUP(C2772,'[1]خريطة الحسابات'!_xlnm.Print_Area,5,FALSE)))</f>
        <v xml:space="preserve">مصروفات </v>
      </c>
      <c r="O2772" s="84" t="s">
        <v>2553</v>
      </c>
      <c r="P2772" s="84" t="s">
        <v>2550</v>
      </c>
    </row>
    <row r="2773" spans="1:16">
      <c r="A2773" s="151">
        <v>88</v>
      </c>
      <c r="B2773" s="131">
        <v>46161</v>
      </c>
      <c r="C2773" s="150" t="s">
        <v>65</v>
      </c>
      <c r="D2773" s="140" t="str">
        <f>IF(ISERROR(VLOOKUP(C2773,'[1]خريطة الحسابات'!_xlnm.Print_Area,3,FALSE))," ",(VLOOKUP(C2773,'[1]خريطة الحسابات'!_xlnm.Print_Area,3,FALSE)))</f>
        <v>تكاليف تسويق</v>
      </c>
      <c r="E2773" s="142"/>
      <c r="F2773" s="133">
        <v>3600</v>
      </c>
      <c r="G2773" s="133"/>
      <c r="H2773" s="134">
        <f t="shared" si="127"/>
        <v>3600</v>
      </c>
      <c r="I2773" s="134">
        <f t="shared" si="127"/>
        <v>0</v>
      </c>
      <c r="J2773" s="134">
        <f t="shared" si="126"/>
        <v>3600</v>
      </c>
      <c r="K2773" s="135"/>
      <c r="L2773" s="148" t="str">
        <f t="shared" si="128"/>
        <v>مدين</v>
      </c>
      <c r="M2773" s="137" t="str">
        <f>IF(ISERROR(VLOOKUP(C2773,'[1]خريطة الحسابات'!_xlnm.Print_Area,4,FALSE))," ",(VLOOKUP(C2773,'[1]خريطة الحسابات'!_xlnm.Print_Area,4,FALSE)))</f>
        <v xml:space="preserve">تكاليف ادارية وعمومية </v>
      </c>
      <c r="N2773" s="138" t="str">
        <f>IF(ISERROR(VLOOKUP(C2773,'[1]خريطة الحسابات'!_xlnm.Print_Area,5,FALSE))," ",(VLOOKUP(C2773,'[1]خريطة الحسابات'!_xlnm.Print_Area,5,FALSE)))</f>
        <v xml:space="preserve">مصروفات </v>
      </c>
      <c r="O2773" s="84" t="s">
        <v>2562</v>
      </c>
      <c r="P2773" s="84" t="s">
        <v>2550</v>
      </c>
    </row>
    <row r="2774" spans="1:16">
      <c r="A2774" s="151">
        <v>88</v>
      </c>
      <c r="B2774" s="131">
        <v>46162</v>
      </c>
      <c r="C2774" s="150" t="s">
        <v>65</v>
      </c>
      <c r="D2774" s="140" t="str">
        <f>IF(ISERROR(VLOOKUP(C2774,'[1]خريطة الحسابات'!_xlnm.Print_Area,3,FALSE))," ",(VLOOKUP(C2774,'[1]خريطة الحسابات'!_xlnm.Print_Area,3,FALSE)))</f>
        <v>تكاليف تسويق</v>
      </c>
      <c r="E2774" s="142"/>
      <c r="F2774" s="133">
        <v>14190</v>
      </c>
      <c r="G2774" s="133"/>
      <c r="H2774" s="134">
        <f t="shared" si="127"/>
        <v>14190</v>
      </c>
      <c r="I2774" s="134">
        <f t="shared" si="127"/>
        <v>0</v>
      </c>
      <c r="J2774" s="134">
        <f t="shared" si="126"/>
        <v>14190</v>
      </c>
      <c r="K2774" s="135"/>
      <c r="L2774" s="148" t="str">
        <f t="shared" si="128"/>
        <v>مدين</v>
      </c>
      <c r="M2774" s="137" t="str">
        <f>IF(ISERROR(VLOOKUP(C2774,'[1]خريطة الحسابات'!_xlnm.Print_Area,4,FALSE))," ",(VLOOKUP(C2774,'[1]خريطة الحسابات'!_xlnm.Print_Area,4,FALSE)))</f>
        <v xml:space="preserve">تكاليف ادارية وعمومية </v>
      </c>
      <c r="N2774" s="138" t="str">
        <f>IF(ISERROR(VLOOKUP(C2774,'[1]خريطة الحسابات'!_xlnm.Print_Area,5,FALSE))," ",(VLOOKUP(C2774,'[1]خريطة الحسابات'!_xlnm.Print_Area,5,FALSE)))</f>
        <v xml:space="preserve">مصروفات </v>
      </c>
      <c r="O2774" s="84" t="s">
        <v>2551</v>
      </c>
      <c r="P2774" s="84" t="s">
        <v>2550</v>
      </c>
    </row>
    <row r="2775" spans="1:16">
      <c r="A2775" s="151">
        <v>88</v>
      </c>
      <c r="B2775" s="131">
        <v>46167</v>
      </c>
      <c r="C2775" s="150" t="s">
        <v>65</v>
      </c>
      <c r="D2775" s="140" t="str">
        <f>IF(ISERROR(VLOOKUP(C2775,'[1]خريطة الحسابات'!_xlnm.Print_Area,3,FALSE))," ",(VLOOKUP(C2775,'[1]خريطة الحسابات'!_xlnm.Print_Area,3,FALSE)))</f>
        <v>تكاليف تسويق</v>
      </c>
      <c r="E2775" s="142"/>
      <c r="F2775" s="133">
        <v>4995</v>
      </c>
      <c r="G2775" s="133"/>
      <c r="H2775" s="134">
        <f t="shared" si="127"/>
        <v>4995</v>
      </c>
      <c r="I2775" s="134">
        <f t="shared" si="127"/>
        <v>0</v>
      </c>
      <c r="J2775" s="134">
        <f t="shared" si="126"/>
        <v>4995</v>
      </c>
      <c r="K2775" s="135"/>
      <c r="L2775" s="148" t="str">
        <f t="shared" si="128"/>
        <v>مدين</v>
      </c>
      <c r="M2775" s="137" t="str">
        <f>IF(ISERROR(VLOOKUP(C2775,'[1]خريطة الحسابات'!_xlnm.Print_Area,4,FALSE))," ",(VLOOKUP(C2775,'[1]خريطة الحسابات'!_xlnm.Print_Area,4,FALSE)))</f>
        <v xml:space="preserve">تكاليف ادارية وعمومية </v>
      </c>
      <c r="N2775" s="138" t="str">
        <f>IF(ISERROR(VLOOKUP(C2775,'[1]خريطة الحسابات'!_xlnm.Print_Area,5,FALSE))," ",(VLOOKUP(C2775,'[1]خريطة الحسابات'!_xlnm.Print_Area,5,FALSE)))</f>
        <v xml:space="preserve">مصروفات </v>
      </c>
      <c r="O2775" s="84" t="s">
        <v>2563</v>
      </c>
      <c r="P2775" s="84" t="s">
        <v>2550</v>
      </c>
    </row>
    <row r="2776" spans="1:16">
      <c r="A2776" s="151">
        <v>88</v>
      </c>
      <c r="B2776" s="131">
        <v>46171</v>
      </c>
      <c r="C2776" s="150" t="s">
        <v>65</v>
      </c>
      <c r="D2776" s="140" t="str">
        <f>IF(ISERROR(VLOOKUP(C2776,'[1]خريطة الحسابات'!_xlnm.Print_Area,3,FALSE))," ",(VLOOKUP(C2776,'[1]خريطة الحسابات'!_xlnm.Print_Area,3,FALSE)))</f>
        <v>تكاليف تسويق</v>
      </c>
      <c r="E2776" s="142"/>
      <c r="F2776" s="133">
        <v>14175</v>
      </c>
      <c r="G2776" s="133"/>
      <c r="H2776" s="134">
        <f t="shared" si="127"/>
        <v>14175</v>
      </c>
      <c r="I2776" s="134">
        <f t="shared" si="127"/>
        <v>0</v>
      </c>
      <c r="J2776" s="134">
        <f t="shared" ref="J2776:J2839" si="129">H2776-I2776</f>
        <v>14175</v>
      </c>
      <c r="K2776" s="135"/>
      <c r="L2776" s="148" t="str">
        <f t="shared" si="128"/>
        <v>مدين</v>
      </c>
      <c r="M2776" s="137" t="str">
        <f>IF(ISERROR(VLOOKUP(C2776,'[1]خريطة الحسابات'!_xlnm.Print_Area,4,FALSE))," ",(VLOOKUP(C2776,'[1]خريطة الحسابات'!_xlnm.Print_Area,4,FALSE)))</f>
        <v xml:space="preserve">تكاليف ادارية وعمومية </v>
      </c>
      <c r="N2776" s="138" t="str">
        <f>IF(ISERROR(VLOOKUP(C2776,'[1]خريطة الحسابات'!_xlnm.Print_Area,5,FALSE))," ",(VLOOKUP(C2776,'[1]خريطة الحسابات'!_xlnm.Print_Area,5,FALSE)))</f>
        <v xml:space="preserve">مصروفات </v>
      </c>
      <c r="O2776" s="84" t="s">
        <v>2551</v>
      </c>
      <c r="P2776" s="84" t="s">
        <v>2550</v>
      </c>
    </row>
    <row r="2777" spans="1:16">
      <c r="A2777" s="151">
        <v>88</v>
      </c>
      <c r="B2777" s="131">
        <v>46182</v>
      </c>
      <c r="C2777" s="150" t="s">
        <v>65</v>
      </c>
      <c r="D2777" s="140" t="str">
        <f>IF(ISERROR(VLOOKUP(C2777,'[1]خريطة الحسابات'!_xlnm.Print_Area,3,FALSE))," ",(VLOOKUP(C2777,'[1]خريطة الحسابات'!_xlnm.Print_Area,3,FALSE)))</f>
        <v>تكاليف تسويق</v>
      </c>
      <c r="E2777" s="142"/>
      <c r="F2777" s="133">
        <v>15185</v>
      </c>
      <c r="G2777" s="133"/>
      <c r="H2777" s="134">
        <f t="shared" ref="H2777:I2840" si="130">IF($E2777=2,F2777*3.465,F2777)</f>
        <v>15185</v>
      </c>
      <c r="I2777" s="134">
        <f t="shared" si="130"/>
        <v>0</v>
      </c>
      <c r="J2777" s="134">
        <f t="shared" si="129"/>
        <v>15185</v>
      </c>
      <c r="K2777" s="135"/>
      <c r="L2777" s="148" t="str">
        <f t="shared" si="128"/>
        <v>مدين</v>
      </c>
      <c r="M2777" s="137" t="str">
        <f>IF(ISERROR(VLOOKUP(C2777,'[1]خريطة الحسابات'!_xlnm.Print_Area,4,FALSE))," ",(VLOOKUP(C2777,'[1]خريطة الحسابات'!_xlnm.Print_Area,4,FALSE)))</f>
        <v xml:space="preserve">تكاليف ادارية وعمومية </v>
      </c>
      <c r="N2777" s="138" t="str">
        <f>IF(ISERROR(VLOOKUP(C2777,'[1]خريطة الحسابات'!_xlnm.Print_Area,5,FALSE))," ",(VLOOKUP(C2777,'[1]خريطة الحسابات'!_xlnm.Print_Area,5,FALSE)))</f>
        <v xml:space="preserve">مصروفات </v>
      </c>
      <c r="O2777" s="84" t="s">
        <v>2551</v>
      </c>
      <c r="P2777" s="84" t="s">
        <v>2550</v>
      </c>
    </row>
    <row r="2778" spans="1:16">
      <c r="A2778" s="151">
        <v>88</v>
      </c>
      <c r="B2778" s="131">
        <v>46184</v>
      </c>
      <c r="C2778" s="150" t="s">
        <v>65</v>
      </c>
      <c r="D2778" s="140" t="str">
        <f>IF(ISERROR(VLOOKUP(C2778,'[1]خريطة الحسابات'!_xlnm.Print_Area,3,FALSE))," ",(VLOOKUP(C2778,'[1]خريطة الحسابات'!_xlnm.Print_Area,3,FALSE)))</f>
        <v>تكاليف تسويق</v>
      </c>
      <c r="E2778" s="142"/>
      <c r="F2778" s="133">
        <v>185</v>
      </c>
      <c r="G2778" s="133"/>
      <c r="H2778" s="134">
        <f t="shared" si="130"/>
        <v>185</v>
      </c>
      <c r="I2778" s="134">
        <f t="shared" si="130"/>
        <v>0</v>
      </c>
      <c r="J2778" s="134">
        <f t="shared" si="129"/>
        <v>185</v>
      </c>
      <c r="K2778" s="135"/>
      <c r="L2778" s="148" t="str">
        <f t="shared" si="128"/>
        <v>مدين</v>
      </c>
      <c r="M2778" s="137" t="str">
        <f>IF(ISERROR(VLOOKUP(C2778,'[1]خريطة الحسابات'!_xlnm.Print_Area,4,FALSE))," ",(VLOOKUP(C2778,'[1]خريطة الحسابات'!_xlnm.Print_Area,4,FALSE)))</f>
        <v xml:space="preserve">تكاليف ادارية وعمومية </v>
      </c>
      <c r="N2778" s="138" t="str">
        <f>IF(ISERROR(VLOOKUP(C2778,'[1]خريطة الحسابات'!_xlnm.Print_Area,5,FALSE))," ",(VLOOKUP(C2778,'[1]خريطة الحسابات'!_xlnm.Print_Area,5,FALSE)))</f>
        <v xml:space="preserve">مصروفات </v>
      </c>
      <c r="O2778" s="84" t="s">
        <v>2564</v>
      </c>
      <c r="P2778" s="84" t="s">
        <v>2550</v>
      </c>
    </row>
    <row r="2779" spans="1:16">
      <c r="A2779" s="151">
        <v>88</v>
      </c>
      <c r="B2779" s="131">
        <v>46184</v>
      </c>
      <c r="C2779" s="150" t="s">
        <v>65</v>
      </c>
      <c r="D2779" s="140" t="str">
        <f>IF(ISERROR(VLOOKUP(C2779,'[1]خريطة الحسابات'!_xlnm.Print_Area,3,FALSE))," ",(VLOOKUP(C2779,'[1]خريطة الحسابات'!_xlnm.Print_Area,3,FALSE)))</f>
        <v>تكاليف تسويق</v>
      </c>
      <c r="E2779" s="142"/>
      <c r="F2779" s="133">
        <v>2502</v>
      </c>
      <c r="G2779" s="133"/>
      <c r="H2779" s="134">
        <f t="shared" si="130"/>
        <v>2502</v>
      </c>
      <c r="I2779" s="134">
        <f t="shared" si="130"/>
        <v>0</v>
      </c>
      <c r="J2779" s="134">
        <f t="shared" si="129"/>
        <v>2502</v>
      </c>
      <c r="K2779" s="135"/>
      <c r="L2779" s="148" t="str">
        <f t="shared" ref="L2779:L2842" si="131">IF(J2779&lt;0,"دائن",IF(J2779&gt;0,"مدين",""))</f>
        <v>مدين</v>
      </c>
      <c r="M2779" s="137" t="str">
        <f>IF(ISERROR(VLOOKUP(C2779,'[1]خريطة الحسابات'!_xlnm.Print_Area,4,FALSE))," ",(VLOOKUP(C2779,'[1]خريطة الحسابات'!_xlnm.Print_Area,4,FALSE)))</f>
        <v xml:space="preserve">تكاليف ادارية وعمومية </v>
      </c>
      <c r="N2779" s="138" t="str">
        <f>IF(ISERROR(VLOOKUP(C2779,'[1]خريطة الحسابات'!_xlnm.Print_Area,5,FALSE))," ",(VLOOKUP(C2779,'[1]خريطة الحسابات'!_xlnm.Print_Area,5,FALSE)))</f>
        <v xml:space="preserve">مصروفات </v>
      </c>
      <c r="O2779" s="84" t="s">
        <v>2565</v>
      </c>
      <c r="P2779" s="84" t="s">
        <v>2550</v>
      </c>
    </row>
    <row r="2780" spans="1:16">
      <c r="A2780" s="151">
        <v>88</v>
      </c>
      <c r="B2780" s="131">
        <v>46027</v>
      </c>
      <c r="C2780" s="150">
        <v>20</v>
      </c>
      <c r="D2780" s="140" t="str">
        <f>IF(ISERROR(VLOOKUP(C2780,'[1]خريطة الحسابات'!_xlnm.Print_Area,3,FALSE))," ",(VLOOKUP(C2780,'[1]خريطة الحسابات'!_xlnm.Print_Area,3,FALSE)))</f>
        <v xml:space="preserve">الخزينة </v>
      </c>
      <c r="E2780" s="142"/>
      <c r="F2780" s="133"/>
      <c r="G2780" s="133">
        <v>10125</v>
      </c>
      <c r="H2780" s="134">
        <f t="shared" si="130"/>
        <v>0</v>
      </c>
      <c r="I2780" s="134">
        <f t="shared" si="130"/>
        <v>10125</v>
      </c>
      <c r="J2780" s="134">
        <f t="shared" si="129"/>
        <v>-10125</v>
      </c>
      <c r="K2780" s="135"/>
      <c r="L2780" s="148" t="str">
        <f t="shared" si="131"/>
        <v>دائن</v>
      </c>
      <c r="M2780" s="137" t="str">
        <f>IF(ISERROR(VLOOKUP(C2780,'[1]خريطة الحسابات'!_xlnm.Print_Area,4,FALSE))," ",(VLOOKUP(C2780,'[1]خريطة الحسابات'!_xlnm.Print_Area,4,FALSE)))</f>
        <v xml:space="preserve">أصول متداوله -النقدية ومافي حكمها </v>
      </c>
      <c r="N2780" s="138" t="str">
        <f>IF(ISERROR(VLOOKUP(C2780,'[1]خريطة الحسابات'!_xlnm.Print_Area,5,FALSE))," ",(VLOOKUP(C2780,'[1]خريطة الحسابات'!_xlnm.Print_Area,5,FALSE)))</f>
        <v>الاصول</v>
      </c>
      <c r="O2780" s="84" t="s">
        <v>2549</v>
      </c>
      <c r="P2780" s="84" t="s">
        <v>2550</v>
      </c>
    </row>
    <row r="2781" spans="1:16">
      <c r="A2781" s="151">
        <v>88</v>
      </c>
      <c r="B2781" s="131">
        <v>46029</v>
      </c>
      <c r="C2781" s="150">
        <v>20</v>
      </c>
      <c r="D2781" s="140" t="str">
        <f>IF(ISERROR(VLOOKUP(C2781,'[1]خريطة الحسابات'!_xlnm.Print_Area,3,FALSE))," ",(VLOOKUP(C2781,'[1]خريطة الحسابات'!_xlnm.Print_Area,3,FALSE)))</f>
        <v xml:space="preserve">الخزينة </v>
      </c>
      <c r="E2781" s="142"/>
      <c r="F2781" s="133"/>
      <c r="G2781" s="133">
        <v>10125</v>
      </c>
      <c r="H2781" s="134">
        <f t="shared" si="130"/>
        <v>0</v>
      </c>
      <c r="I2781" s="134">
        <f t="shared" si="130"/>
        <v>10125</v>
      </c>
      <c r="J2781" s="134">
        <f t="shared" si="129"/>
        <v>-10125</v>
      </c>
      <c r="K2781" s="135"/>
      <c r="L2781" s="148" t="str">
        <f t="shared" si="131"/>
        <v>دائن</v>
      </c>
      <c r="M2781" s="137" t="str">
        <f>IF(ISERROR(VLOOKUP(C2781,'[1]خريطة الحسابات'!_xlnm.Print_Area,4,FALSE))," ",(VLOOKUP(C2781,'[1]خريطة الحسابات'!_xlnm.Print_Area,4,FALSE)))</f>
        <v xml:space="preserve">أصول متداوله -النقدية ومافي حكمها </v>
      </c>
      <c r="N2781" s="138" t="str">
        <f>IF(ISERROR(VLOOKUP(C2781,'[1]خريطة الحسابات'!_xlnm.Print_Area,5,FALSE))," ",(VLOOKUP(C2781,'[1]خريطة الحسابات'!_xlnm.Print_Area,5,FALSE)))</f>
        <v>الاصول</v>
      </c>
      <c r="O2781" s="84" t="s">
        <v>2551</v>
      </c>
      <c r="P2781" s="84" t="s">
        <v>2550</v>
      </c>
    </row>
    <row r="2782" spans="1:16">
      <c r="A2782" s="151">
        <v>88</v>
      </c>
      <c r="B2782" s="131">
        <v>46030</v>
      </c>
      <c r="C2782" s="150">
        <v>20</v>
      </c>
      <c r="D2782" s="140" t="str">
        <f>IF(ISERROR(VLOOKUP(C2782,'[1]خريطة الحسابات'!_xlnm.Print_Area,3,FALSE))," ",(VLOOKUP(C2782,'[1]خريطة الحسابات'!_xlnm.Print_Area,3,FALSE)))</f>
        <v xml:space="preserve">الخزينة </v>
      </c>
      <c r="E2782" s="142"/>
      <c r="F2782" s="133"/>
      <c r="G2782" s="133">
        <v>1500</v>
      </c>
      <c r="H2782" s="134">
        <f t="shared" si="130"/>
        <v>0</v>
      </c>
      <c r="I2782" s="134">
        <f t="shared" si="130"/>
        <v>1500</v>
      </c>
      <c r="J2782" s="134">
        <f t="shared" si="129"/>
        <v>-1500</v>
      </c>
      <c r="K2782" s="135"/>
      <c r="L2782" s="148" t="str">
        <f t="shared" si="131"/>
        <v>دائن</v>
      </c>
      <c r="M2782" s="137" t="str">
        <f>IF(ISERROR(VLOOKUP(C2782,'[1]خريطة الحسابات'!_xlnm.Print_Area,4,FALSE))," ",(VLOOKUP(C2782,'[1]خريطة الحسابات'!_xlnm.Print_Area,4,FALSE)))</f>
        <v xml:space="preserve">أصول متداوله -النقدية ومافي حكمها </v>
      </c>
      <c r="N2782" s="138" t="str">
        <f>IF(ISERROR(VLOOKUP(C2782,'[1]خريطة الحسابات'!_xlnm.Print_Area,5,FALSE))," ",(VLOOKUP(C2782,'[1]خريطة الحسابات'!_xlnm.Print_Area,5,FALSE)))</f>
        <v>الاصول</v>
      </c>
      <c r="O2782" s="84" t="s">
        <v>2552</v>
      </c>
      <c r="P2782" s="84" t="s">
        <v>2550</v>
      </c>
    </row>
    <row r="2783" spans="1:16">
      <c r="A2783" s="151">
        <v>88</v>
      </c>
      <c r="B2783" s="131">
        <v>46033</v>
      </c>
      <c r="C2783" s="150">
        <v>20</v>
      </c>
      <c r="D2783" s="140" t="str">
        <f>IF(ISERROR(VLOOKUP(C2783,'[1]خريطة الحسابات'!_xlnm.Print_Area,3,FALSE))," ",(VLOOKUP(C2783,'[1]خريطة الحسابات'!_xlnm.Print_Area,3,FALSE)))</f>
        <v xml:space="preserve">الخزينة </v>
      </c>
      <c r="E2783" s="142"/>
      <c r="F2783" s="133"/>
      <c r="G2783" s="133">
        <v>10130</v>
      </c>
      <c r="H2783" s="134">
        <f t="shared" si="130"/>
        <v>0</v>
      </c>
      <c r="I2783" s="134">
        <f t="shared" si="130"/>
        <v>10130</v>
      </c>
      <c r="J2783" s="134">
        <f t="shared" si="129"/>
        <v>-10130</v>
      </c>
      <c r="K2783" s="135"/>
      <c r="L2783" s="148" t="str">
        <f t="shared" si="131"/>
        <v>دائن</v>
      </c>
      <c r="M2783" s="137" t="str">
        <f>IF(ISERROR(VLOOKUP(C2783,'[1]خريطة الحسابات'!_xlnm.Print_Area,4,FALSE))," ",(VLOOKUP(C2783,'[1]خريطة الحسابات'!_xlnm.Print_Area,4,FALSE)))</f>
        <v xml:space="preserve">أصول متداوله -النقدية ومافي حكمها </v>
      </c>
      <c r="N2783" s="138" t="str">
        <f>IF(ISERROR(VLOOKUP(C2783,'[1]خريطة الحسابات'!_xlnm.Print_Area,5,FALSE))," ",(VLOOKUP(C2783,'[1]خريطة الحسابات'!_xlnm.Print_Area,5,FALSE)))</f>
        <v>الاصول</v>
      </c>
      <c r="O2783" s="84" t="s">
        <v>2553</v>
      </c>
      <c r="P2783" s="84" t="s">
        <v>2550</v>
      </c>
    </row>
    <row r="2784" spans="1:16">
      <c r="A2784" s="151">
        <v>88</v>
      </c>
      <c r="B2784" s="131">
        <v>46040</v>
      </c>
      <c r="C2784" s="150">
        <v>20</v>
      </c>
      <c r="D2784" s="140" t="str">
        <f>IF(ISERROR(VLOOKUP(C2784,'[1]خريطة الحسابات'!_xlnm.Print_Area,3,FALSE))," ",(VLOOKUP(C2784,'[1]خريطة الحسابات'!_xlnm.Print_Area,3,FALSE)))</f>
        <v xml:space="preserve">الخزينة </v>
      </c>
      <c r="E2784" s="142"/>
      <c r="F2784" s="133"/>
      <c r="G2784" s="133">
        <v>15190</v>
      </c>
      <c r="H2784" s="134">
        <f t="shared" si="130"/>
        <v>0</v>
      </c>
      <c r="I2784" s="134">
        <f t="shared" si="130"/>
        <v>15190</v>
      </c>
      <c r="J2784" s="134">
        <f t="shared" si="129"/>
        <v>-15190</v>
      </c>
      <c r="K2784" s="135"/>
      <c r="L2784" s="148" t="str">
        <f t="shared" si="131"/>
        <v>دائن</v>
      </c>
      <c r="M2784" s="137" t="str">
        <f>IF(ISERROR(VLOOKUP(C2784,'[1]خريطة الحسابات'!_xlnm.Print_Area,4,FALSE))," ",(VLOOKUP(C2784,'[1]خريطة الحسابات'!_xlnm.Print_Area,4,FALSE)))</f>
        <v xml:space="preserve">أصول متداوله -النقدية ومافي حكمها </v>
      </c>
      <c r="N2784" s="138" t="str">
        <f>IF(ISERROR(VLOOKUP(C2784,'[1]خريطة الحسابات'!_xlnm.Print_Area,5,FALSE))," ",(VLOOKUP(C2784,'[1]خريطة الحسابات'!_xlnm.Print_Area,5,FALSE)))</f>
        <v>الاصول</v>
      </c>
      <c r="O2784" s="84" t="s">
        <v>2553</v>
      </c>
      <c r="P2784" s="84" t="s">
        <v>2550</v>
      </c>
    </row>
    <row r="2785" spans="1:16">
      <c r="A2785" s="151">
        <v>88</v>
      </c>
      <c r="B2785" s="131">
        <v>46047</v>
      </c>
      <c r="C2785" s="150">
        <v>20</v>
      </c>
      <c r="D2785" s="140" t="str">
        <f>IF(ISERROR(VLOOKUP(C2785,'[1]خريطة الحسابات'!_xlnm.Print_Area,3,FALSE))," ",(VLOOKUP(C2785,'[1]خريطة الحسابات'!_xlnm.Print_Area,3,FALSE)))</f>
        <v xml:space="preserve">الخزينة </v>
      </c>
      <c r="E2785" s="142"/>
      <c r="F2785" s="133"/>
      <c r="G2785" s="133">
        <v>14190</v>
      </c>
      <c r="H2785" s="134">
        <f t="shared" si="130"/>
        <v>0</v>
      </c>
      <c r="I2785" s="134">
        <f t="shared" si="130"/>
        <v>14190</v>
      </c>
      <c r="J2785" s="134">
        <f t="shared" si="129"/>
        <v>-14190</v>
      </c>
      <c r="K2785" s="135"/>
      <c r="L2785" s="148" t="str">
        <f t="shared" si="131"/>
        <v>دائن</v>
      </c>
      <c r="M2785" s="137" t="str">
        <f>IF(ISERROR(VLOOKUP(C2785,'[1]خريطة الحسابات'!_xlnm.Print_Area,4,FALSE))," ",(VLOOKUP(C2785,'[1]خريطة الحسابات'!_xlnm.Print_Area,4,FALSE)))</f>
        <v xml:space="preserve">أصول متداوله -النقدية ومافي حكمها </v>
      </c>
      <c r="N2785" s="138" t="str">
        <f>IF(ISERROR(VLOOKUP(C2785,'[1]خريطة الحسابات'!_xlnm.Print_Area,5,FALSE))," ",(VLOOKUP(C2785,'[1]خريطة الحسابات'!_xlnm.Print_Area,5,FALSE)))</f>
        <v>الاصول</v>
      </c>
      <c r="O2785" s="84" t="s">
        <v>2553</v>
      </c>
      <c r="P2785" s="84" t="s">
        <v>2550</v>
      </c>
    </row>
    <row r="2786" spans="1:16">
      <c r="A2786" s="151">
        <v>88</v>
      </c>
      <c r="B2786" s="131">
        <v>46056</v>
      </c>
      <c r="C2786" s="150">
        <v>20</v>
      </c>
      <c r="D2786" s="140" t="str">
        <f>IF(ISERROR(VLOOKUP(C2786,'[1]خريطة الحسابات'!_xlnm.Print_Area,3,FALSE))," ",(VLOOKUP(C2786,'[1]خريطة الحسابات'!_xlnm.Print_Area,3,FALSE)))</f>
        <v xml:space="preserve">الخزينة </v>
      </c>
      <c r="E2786" s="142"/>
      <c r="F2786" s="133"/>
      <c r="G2786" s="133">
        <v>10125</v>
      </c>
      <c r="H2786" s="134">
        <f t="shared" si="130"/>
        <v>0</v>
      </c>
      <c r="I2786" s="134">
        <f t="shared" si="130"/>
        <v>10125</v>
      </c>
      <c r="J2786" s="134">
        <f t="shared" si="129"/>
        <v>-10125</v>
      </c>
      <c r="K2786" s="135"/>
      <c r="L2786" s="148" t="str">
        <f t="shared" si="131"/>
        <v>دائن</v>
      </c>
      <c r="M2786" s="137" t="str">
        <f>IF(ISERROR(VLOOKUP(C2786,'[1]خريطة الحسابات'!_xlnm.Print_Area,4,FALSE))," ",(VLOOKUP(C2786,'[1]خريطة الحسابات'!_xlnm.Print_Area,4,FALSE)))</f>
        <v xml:space="preserve">أصول متداوله -النقدية ومافي حكمها </v>
      </c>
      <c r="N2786" s="138" t="str">
        <f>IF(ISERROR(VLOOKUP(C2786,'[1]خريطة الحسابات'!_xlnm.Print_Area,5,FALSE))," ",(VLOOKUP(C2786,'[1]خريطة الحسابات'!_xlnm.Print_Area,5,FALSE)))</f>
        <v>الاصول</v>
      </c>
      <c r="O2786" s="84" t="s">
        <v>2553</v>
      </c>
      <c r="P2786" s="84" t="s">
        <v>2550</v>
      </c>
    </row>
    <row r="2787" spans="1:16">
      <c r="A2787" s="151">
        <v>88</v>
      </c>
      <c r="B2787" s="131">
        <v>46058</v>
      </c>
      <c r="C2787" s="150">
        <v>20</v>
      </c>
      <c r="D2787" s="140" t="str">
        <f>IF(ISERROR(VLOOKUP(C2787,'[1]خريطة الحسابات'!_xlnm.Print_Area,3,FALSE))," ",(VLOOKUP(C2787,'[1]خريطة الحسابات'!_xlnm.Print_Area,3,FALSE)))</f>
        <v xml:space="preserve">الخزينة </v>
      </c>
      <c r="E2787" s="142"/>
      <c r="F2787" s="133"/>
      <c r="G2787" s="133">
        <v>1500</v>
      </c>
      <c r="H2787" s="134">
        <f t="shared" si="130"/>
        <v>0</v>
      </c>
      <c r="I2787" s="134">
        <f t="shared" si="130"/>
        <v>1500</v>
      </c>
      <c r="J2787" s="134">
        <f t="shared" si="129"/>
        <v>-1500</v>
      </c>
      <c r="K2787" s="135"/>
      <c r="L2787" s="148" t="str">
        <f t="shared" si="131"/>
        <v>دائن</v>
      </c>
      <c r="M2787" s="137" t="str">
        <f>IF(ISERROR(VLOOKUP(C2787,'[1]خريطة الحسابات'!_xlnm.Print_Area,4,FALSE))," ",(VLOOKUP(C2787,'[1]خريطة الحسابات'!_xlnm.Print_Area,4,FALSE)))</f>
        <v xml:space="preserve">أصول متداوله -النقدية ومافي حكمها </v>
      </c>
      <c r="N2787" s="138" t="str">
        <f>IF(ISERROR(VLOOKUP(C2787,'[1]خريطة الحسابات'!_xlnm.Print_Area,5,FALSE))," ",(VLOOKUP(C2787,'[1]خريطة الحسابات'!_xlnm.Print_Area,5,FALSE)))</f>
        <v>الاصول</v>
      </c>
      <c r="O2787" s="84" t="s">
        <v>2552</v>
      </c>
      <c r="P2787" s="84" t="s">
        <v>2550</v>
      </c>
    </row>
    <row r="2788" spans="1:16">
      <c r="A2788" s="151">
        <v>88</v>
      </c>
      <c r="B2788" s="131">
        <v>46062</v>
      </c>
      <c r="C2788" s="150">
        <v>20</v>
      </c>
      <c r="D2788" s="140" t="str">
        <f>IF(ISERROR(VLOOKUP(C2788,'[1]خريطة الحسابات'!_xlnm.Print_Area,3,FALSE))," ",(VLOOKUP(C2788,'[1]خريطة الحسابات'!_xlnm.Print_Area,3,FALSE)))</f>
        <v xml:space="preserve">الخزينة </v>
      </c>
      <c r="E2788" s="142"/>
      <c r="F2788" s="133"/>
      <c r="G2788" s="133">
        <v>14175</v>
      </c>
      <c r="H2788" s="134">
        <f t="shared" si="130"/>
        <v>0</v>
      </c>
      <c r="I2788" s="134">
        <f t="shared" si="130"/>
        <v>14175</v>
      </c>
      <c r="J2788" s="134">
        <f t="shared" si="129"/>
        <v>-14175</v>
      </c>
      <c r="K2788" s="135"/>
      <c r="L2788" s="148" t="str">
        <f t="shared" si="131"/>
        <v>دائن</v>
      </c>
      <c r="M2788" s="137" t="str">
        <f>IF(ISERROR(VLOOKUP(C2788,'[1]خريطة الحسابات'!_xlnm.Print_Area,4,FALSE))," ",(VLOOKUP(C2788,'[1]خريطة الحسابات'!_xlnm.Print_Area,4,FALSE)))</f>
        <v xml:space="preserve">أصول متداوله -النقدية ومافي حكمها </v>
      </c>
      <c r="N2788" s="138" t="str">
        <f>IF(ISERROR(VLOOKUP(C2788,'[1]خريطة الحسابات'!_xlnm.Print_Area,5,FALSE))," ",(VLOOKUP(C2788,'[1]خريطة الحسابات'!_xlnm.Print_Area,5,FALSE)))</f>
        <v>الاصول</v>
      </c>
      <c r="O2788" s="84" t="s">
        <v>2553</v>
      </c>
      <c r="P2788" s="84" t="s">
        <v>2550</v>
      </c>
    </row>
    <row r="2789" spans="1:16">
      <c r="A2789" s="151">
        <v>88</v>
      </c>
      <c r="B2789" s="131">
        <v>46070</v>
      </c>
      <c r="C2789" s="150">
        <v>20</v>
      </c>
      <c r="D2789" s="149" t="str">
        <f>IF(ISERROR(VLOOKUP(C2789,'[1]خريطة الحسابات'!_xlnm.Print_Area,3,FALSE))," ",(VLOOKUP(C2789,'[1]خريطة الحسابات'!_xlnm.Print_Area,3,FALSE)))</f>
        <v xml:space="preserve">الخزينة </v>
      </c>
      <c r="E2789" s="143"/>
      <c r="F2789" s="133"/>
      <c r="G2789" s="133">
        <v>6200</v>
      </c>
      <c r="H2789" s="134">
        <f t="shared" si="130"/>
        <v>0</v>
      </c>
      <c r="I2789" s="134">
        <f t="shared" si="130"/>
        <v>6200</v>
      </c>
      <c r="J2789" s="134">
        <f t="shared" si="129"/>
        <v>-6200</v>
      </c>
      <c r="K2789" s="144"/>
      <c r="L2789" s="154" t="str">
        <f t="shared" si="131"/>
        <v>دائن</v>
      </c>
      <c r="M2789" s="153" t="str">
        <f>IF(ISERROR(VLOOKUP(C2789,'[1]خريطة الحسابات'!_xlnm.Print_Area,4,FALSE))," ",(VLOOKUP(C2789,'[1]خريطة الحسابات'!_xlnm.Print_Area,4,FALSE)))</f>
        <v xml:space="preserve">أصول متداوله -النقدية ومافي حكمها </v>
      </c>
      <c r="N2789" s="155" t="str">
        <f>IF(ISERROR(VLOOKUP(C2789,'[1]خريطة الحسابات'!_xlnm.Print_Area,5,FALSE))," ",(VLOOKUP(C2789,'[1]خريطة الحسابات'!_xlnm.Print_Area,5,FALSE)))</f>
        <v>الاصول</v>
      </c>
      <c r="O2789" s="84" t="s">
        <v>2554</v>
      </c>
      <c r="P2789" s="84" t="s">
        <v>2550</v>
      </c>
    </row>
    <row r="2790" spans="1:16">
      <c r="A2790" s="151">
        <v>88</v>
      </c>
      <c r="B2790" s="131">
        <v>46070</v>
      </c>
      <c r="C2790" s="150">
        <v>20</v>
      </c>
      <c r="D2790" s="140" t="str">
        <f>IF(ISERROR(VLOOKUP(C2790,'[1]خريطة الحسابات'!_xlnm.Print_Area,3,FALSE))," ",(VLOOKUP(C2790,'[1]خريطة الحسابات'!_xlnm.Print_Area,3,FALSE)))</f>
        <v xml:space="preserve">الخزينة </v>
      </c>
      <c r="E2790" s="142"/>
      <c r="F2790" s="133"/>
      <c r="G2790" s="133">
        <v>800</v>
      </c>
      <c r="H2790" s="134">
        <f t="shared" si="130"/>
        <v>0</v>
      </c>
      <c r="I2790" s="134">
        <f t="shared" si="130"/>
        <v>800</v>
      </c>
      <c r="J2790" s="134">
        <f t="shared" si="129"/>
        <v>-800</v>
      </c>
      <c r="K2790" s="135"/>
      <c r="L2790" s="148" t="str">
        <f t="shared" si="131"/>
        <v>دائن</v>
      </c>
      <c r="M2790" s="137" t="str">
        <f>IF(ISERROR(VLOOKUP(C2790,'[1]خريطة الحسابات'!_xlnm.Print_Area,4,FALSE))," ",(VLOOKUP(C2790,'[1]خريطة الحسابات'!_xlnm.Print_Area,4,FALSE)))</f>
        <v xml:space="preserve">أصول متداوله -النقدية ومافي حكمها </v>
      </c>
      <c r="N2790" s="138" t="str">
        <f>IF(ISERROR(VLOOKUP(C2790,'[1]خريطة الحسابات'!_xlnm.Print_Area,5,FALSE))," ",(VLOOKUP(C2790,'[1]خريطة الحسابات'!_xlnm.Print_Area,5,FALSE)))</f>
        <v>الاصول</v>
      </c>
      <c r="O2790" s="84" t="s">
        <v>2555</v>
      </c>
      <c r="P2790" s="84" t="s">
        <v>2550</v>
      </c>
    </row>
    <row r="2791" spans="1:16">
      <c r="A2791" s="151">
        <v>88</v>
      </c>
      <c r="B2791" s="131">
        <v>46071</v>
      </c>
      <c r="C2791" s="150">
        <v>20</v>
      </c>
      <c r="D2791" s="140" t="str">
        <f>IF(ISERROR(VLOOKUP(C2791,'[1]خريطة الحسابات'!_xlnm.Print_Area,3,FALSE))," ",(VLOOKUP(C2791,'[1]خريطة الحسابات'!_xlnm.Print_Area,3,FALSE)))</f>
        <v xml:space="preserve">الخزينة </v>
      </c>
      <c r="E2791" s="142"/>
      <c r="F2791" s="133"/>
      <c r="G2791" s="133">
        <v>7150</v>
      </c>
      <c r="H2791" s="134">
        <f t="shared" si="130"/>
        <v>0</v>
      </c>
      <c r="I2791" s="134">
        <f t="shared" si="130"/>
        <v>7150</v>
      </c>
      <c r="J2791" s="134">
        <f t="shared" si="129"/>
        <v>-7150</v>
      </c>
      <c r="K2791" s="135"/>
      <c r="L2791" s="148" t="str">
        <f t="shared" si="131"/>
        <v>دائن</v>
      </c>
      <c r="M2791" s="137" t="str">
        <f>IF(ISERROR(VLOOKUP(C2791,'[1]خريطة الحسابات'!_xlnm.Print_Area,4,FALSE))," ",(VLOOKUP(C2791,'[1]خريطة الحسابات'!_xlnm.Print_Area,4,FALSE)))</f>
        <v xml:space="preserve">أصول متداوله -النقدية ومافي حكمها </v>
      </c>
      <c r="N2791" s="138" t="str">
        <f>IF(ISERROR(VLOOKUP(C2791,'[1]خريطة الحسابات'!_xlnm.Print_Area,5,FALSE))," ",(VLOOKUP(C2791,'[1]خريطة الحسابات'!_xlnm.Print_Area,5,FALSE)))</f>
        <v>الاصول</v>
      </c>
      <c r="O2791" s="84" t="s">
        <v>2551</v>
      </c>
      <c r="P2791" s="84" t="s">
        <v>2550</v>
      </c>
    </row>
    <row r="2792" spans="1:16">
      <c r="A2792" s="151">
        <v>88</v>
      </c>
      <c r="B2792" s="131">
        <v>46089</v>
      </c>
      <c r="C2792" s="150">
        <v>20</v>
      </c>
      <c r="D2792" s="140" t="str">
        <f>IF(ISERROR(VLOOKUP(C2792,'[1]خريطة الحسابات'!_xlnm.Print_Area,3,FALSE))," ",(VLOOKUP(C2792,'[1]خريطة الحسابات'!_xlnm.Print_Area,3,FALSE)))</f>
        <v xml:space="preserve">الخزينة </v>
      </c>
      <c r="E2792" s="142"/>
      <c r="F2792" s="133"/>
      <c r="G2792" s="133">
        <v>14150</v>
      </c>
      <c r="H2792" s="134">
        <f t="shared" si="130"/>
        <v>0</v>
      </c>
      <c r="I2792" s="134">
        <f t="shared" si="130"/>
        <v>14150</v>
      </c>
      <c r="J2792" s="134">
        <f t="shared" si="129"/>
        <v>-14150</v>
      </c>
      <c r="K2792" s="135"/>
      <c r="L2792" s="148" t="str">
        <f t="shared" si="131"/>
        <v>دائن</v>
      </c>
      <c r="M2792" s="137" t="str">
        <f>IF(ISERROR(VLOOKUP(C2792,'[1]خريطة الحسابات'!_xlnm.Print_Area,4,FALSE))," ",(VLOOKUP(C2792,'[1]خريطة الحسابات'!_xlnm.Print_Area,4,FALSE)))</f>
        <v xml:space="preserve">أصول متداوله -النقدية ومافي حكمها </v>
      </c>
      <c r="N2792" s="138" t="str">
        <f>IF(ISERROR(VLOOKUP(C2792,'[1]خريطة الحسابات'!_xlnm.Print_Area,5,FALSE))," ",(VLOOKUP(C2792,'[1]خريطة الحسابات'!_xlnm.Print_Area,5,FALSE)))</f>
        <v>الاصول</v>
      </c>
      <c r="O2792" s="84" t="s">
        <v>2551</v>
      </c>
      <c r="P2792" s="84" t="s">
        <v>2550</v>
      </c>
    </row>
    <row r="2793" spans="1:16">
      <c r="A2793" s="151">
        <v>88</v>
      </c>
      <c r="B2793" s="131">
        <v>46090</v>
      </c>
      <c r="C2793" s="150">
        <v>20</v>
      </c>
      <c r="D2793" s="140" t="str">
        <f>IF(ISERROR(VLOOKUP(C2793,'[1]خريطة الحسابات'!_xlnm.Print_Area,3,FALSE))," ",(VLOOKUP(C2793,'[1]خريطة الحسابات'!_xlnm.Print_Area,3,FALSE)))</f>
        <v xml:space="preserve">الخزينة </v>
      </c>
      <c r="E2793" s="142"/>
      <c r="F2793" s="133"/>
      <c r="G2793" s="133">
        <v>1500</v>
      </c>
      <c r="H2793" s="134">
        <f t="shared" si="130"/>
        <v>0</v>
      </c>
      <c r="I2793" s="134">
        <f t="shared" si="130"/>
        <v>1500</v>
      </c>
      <c r="J2793" s="134">
        <f t="shared" si="129"/>
        <v>-1500</v>
      </c>
      <c r="K2793" s="135"/>
      <c r="L2793" s="148" t="str">
        <f t="shared" si="131"/>
        <v>دائن</v>
      </c>
      <c r="M2793" s="137" t="str">
        <f>IF(ISERROR(VLOOKUP(C2793,'[1]خريطة الحسابات'!_xlnm.Print_Area,4,FALSE))," ",(VLOOKUP(C2793,'[1]خريطة الحسابات'!_xlnm.Print_Area,4,FALSE)))</f>
        <v xml:space="preserve">أصول متداوله -النقدية ومافي حكمها </v>
      </c>
      <c r="N2793" s="138" t="str">
        <f>IF(ISERROR(VLOOKUP(C2793,'[1]خريطة الحسابات'!_xlnm.Print_Area,5,FALSE))," ",(VLOOKUP(C2793,'[1]خريطة الحسابات'!_xlnm.Print_Area,5,FALSE)))</f>
        <v>الاصول</v>
      </c>
      <c r="O2793" s="84" t="s">
        <v>2556</v>
      </c>
      <c r="P2793" s="84" t="s">
        <v>2550</v>
      </c>
    </row>
    <row r="2794" spans="1:16">
      <c r="A2794" s="151">
        <v>88</v>
      </c>
      <c r="B2794" s="131">
        <v>46096</v>
      </c>
      <c r="C2794" s="150">
        <v>20</v>
      </c>
      <c r="D2794" s="140" t="str">
        <f>IF(ISERROR(VLOOKUP(C2794,'[1]خريطة الحسابات'!_xlnm.Print_Area,3,FALSE))," ",(VLOOKUP(C2794,'[1]خريطة الحسابات'!_xlnm.Print_Area,3,FALSE)))</f>
        <v xml:space="preserve">الخزينة </v>
      </c>
      <c r="E2794" s="142"/>
      <c r="F2794" s="133"/>
      <c r="G2794" s="133">
        <v>14170</v>
      </c>
      <c r="H2794" s="134">
        <f t="shared" si="130"/>
        <v>0</v>
      </c>
      <c r="I2794" s="134">
        <f t="shared" si="130"/>
        <v>14170</v>
      </c>
      <c r="J2794" s="134">
        <f t="shared" si="129"/>
        <v>-14170</v>
      </c>
      <c r="K2794" s="135"/>
      <c r="L2794" s="148" t="str">
        <f t="shared" si="131"/>
        <v>دائن</v>
      </c>
      <c r="M2794" s="137" t="str">
        <f>IF(ISERROR(VLOOKUP(C2794,'[1]خريطة الحسابات'!_xlnm.Print_Area,4,FALSE))," ",(VLOOKUP(C2794,'[1]خريطة الحسابات'!_xlnm.Print_Area,4,FALSE)))</f>
        <v xml:space="preserve">أصول متداوله -النقدية ومافي حكمها </v>
      </c>
      <c r="N2794" s="138" t="str">
        <f>IF(ISERROR(VLOOKUP(C2794,'[1]خريطة الحسابات'!_xlnm.Print_Area,5,FALSE))," ",(VLOOKUP(C2794,'[1]خريطة الحسابات'!_xlnm.Print_Area,5,FALSE)))</f>
        <v>الاصول</v>
      </c>
      <c r="O2794" s="84" t="s">
        <v>2551</v>
      </c>
      <c r="P2794" s="84" t="s">
        <v>2550</v>
      </c>
    </row>
    <row r="2795" spans="1:16">
      <c r="A2795" s="151">
        <v>88</v>
      </c>
      <c r="B2795" s="131">
        <v>46099</v>
      </c>
      <c r="C2795" s="150">
        <v>20</v>
      </c>
      <c r="D2795" s="140" t="str">
        <f>IF(ISERROR(VLOOKUP(C2795,'[1]خريطة الحسابات'!_xlnm.Print_Area,3,FALSE))," ",(VLOOKUP(C2795,'[1]خريطة الحسابات'!_xlnm.Print_Area,3,FALSE)))</f>
        <v xml:space="preserve">الخزينة </v>
      </c>
      <c r="E2795" s="142"/>
      <c r="F2795" s="133"/>
      <c r="G2795" s="133">
        <v>20250</v>
      </c>
      <c r="H2795" s="134">
        <f t="shared" si="130"/>
        <v>0</v>
      </c>
      <c r="I2795" s="134">
        <f t="shared" si="130"/>
        <v>20250</v>
      </c>
      <c r="J2795" s="134">
        <f t="shared" si="129"/>
        <v>-20250</v>
      </c>
      <c r="K2795" s="135"/>
      <c r="L2795" s="148" t="str">
        <f t="shared" si="131"/>
        <v>دائن</v>
      </c>
      <c r="M2795" s="137" t="str">
        <f>IF(ISERROR(VLOOKUP(C2795,'[1]خريطة الحسابات'!_xlnm.Print_Area,4,FALSE))," ",(VLOOKUP(C2795,'[1]خريطة الحسابات'!_xlnm.Print_Area,4,FALSE)))</f>
        <v xml:space="preserve">أصول متداوله -النقدية ومافي حكمها </v>
      </c>
      <c r="N2795" s="138" t="str">
        <f>IF(ISERROR(VLOOKUP(C2795,'[1]خريطة الحسابات'!_xlnm.Print_Area,5,FALSE))," ",(VLOOKUP(C2795,'[1]خريطة الحسابات'!_xlnm.Print_Area,5,FALSE)))</f>
        <v>الاصول</v>
      </c>
      <c r="O2795" s="84" t="s">
        <v>2551</v>
      </c>
      <c r="P2795" s="84" t="s">
        <v>2550</v>
      </c>
    </row>
    <row r="2796" spans="1:16">
      <c r="A2796" s="151">
        <v>88</v>
      </c>
      <c r="B2796" s="131">
        <v>46110</v>
      </c>
      <c r="C2796" s="150">
        <v>20</v>
      </c>
      <c r="D2796" s="140" t="str">
        <f>IF(ISERROR(VLOOKUP(C2796,'[1]خريطة الحسابات'!_xlnm.Print_Area,3,FALSE))," ",(VLOOKUP(C2796,'[1]خريطة الحسابات'!_xlnm.Print_Area,3,FALSE)))</f>
        <v xml:space="preserve">الخزينة </v>
      </c>
      <c r="E2796" s="142"/>
      <c r="F2796" s="133"/>
      <c r="G2796" s="133">
        <v>14172</v>
      </c>
      <c r="H2796" s="134">
        <f t="shared" si="130"/>
        <v>0</v>
      </c>
      <c r="I2796" s="134">
        <f t="shared" si="130"/>
        <v>14172</v>
      </c>
      <c r="J2796" s="134">
        <f t="shared" si="129"/>
        <v>-14172</v>
      </c>
      <c r="K2796" s="135"/>
      <c r="L2796" s="148" t="str">
        <f t="shared" si="131"/>
        <v>دائن</v>
      </c>
      <c r="M2796" s="137" t="str">
        <f>IF(ISERROR(VLOOKUP(C2796,'[1]خريطة الحسابات'!_xlnm.Print_Area,4,FALSE))," ",(VLOOKUP(C2796,'[1]خريطة الحسابات'!_xlnm.Print_Area,4,FALSE)))</f>
        <v xml:space="preserve">أصول متداوله -النقدية ومافي حكمها </v>
      </c>
      <c r="N2796" s="138" t="str">
        <f>IF(ISERROR(VLOOKUP(C2796,'[1]خريطة الحسابات'!_xlnm.Print_Area,5,FALSE))," ",(VLOOKUP(C2796,'[1]خريطة الحسابات'!_xlnm.Print_Area,5,FALSE)))</f>
        <v>الاصول</v>
      </c>
      <c r="O2796" s="84" t="s">
        <v>2551</v>
      </c>
      <c r="P2796" s="84" t="s">
        <v>2550</v>
      </c>
    </row>
    <row r="2797" spans="1:16">
      <c r="A2797" s="151">
        <v>88</v>
      </c>
      <c r="B2797" s="131">
        <v>46116</v>
      </c>
      <c r="C2797" s="150">
        <v>20</v>
      </c>
      <c r="D2797" s="140" t="str">
        <f>IF(ISERROR(VLOOKUP(C2797,'[1]خريطة الحسابات'!_xlnm.Print_Area,3,FALSE))," ",(VLOOKUP(C2797,'[1]خريطة الحسابات'!_xlnm.Print_Area,3,FALSE)))</f>
        <v xml:space="preserve">الخزينة </v>
      </c>
      <c r="E2797" s="142"/>
      <c r="F2797" s="133"/>
      <c r="G2797" s="133">
        <v>4875</v>
      </c>
      <c r="H2797" s="134">
        <f t="shared" si="130"/>
        <v>0</v>
      </c>
      <c r="I2797" s="134">
        <f t="shared" si="130"/>
        <v>4875</v>
      </c>
      <c r="J2797" s="134">
        <f t="shared" si="129"/>
        <v>-4875</v>
      </c>
      <c r="K2797" s="135"/>
      <c r="L2797" s="148" t="str">
        <f t="shared" si="131"/>
        <v>دائن</v>
      </c>
      <c r="M2797" s="137" t="str">
        <f>IF(ISERROR(VLOOKUP(C2797,'[1]خريطة الحسابات'!_xlnm.Print_Area,4,FALSE))," ",(VLOOKUP(C2797,'[1]خريطة الحسابات'!_xlnm.Print_Area,4,FALSE)))</f>
        <v xml:space="preserve">أصول متداوله -النقدية ومافي حكمها </v>
      </c>
      <c r="N2797" s="138" t="str">
        <f>IF(ISERROR(VLOOKUP(C2797,'[1]خريطة الحسابات'!_xlnm.Print_Area,5,FALSE))," ",(VLOOKUP(C2797,'[1]خريطة الحسابات'!_xlnm.Print_Area,5,FALSE)))</f>
        <v>الاصول</v>
      </c>
      <c r="O2797" s="84" t="s">
        <v>2552</v>
      </c>
      <c r="P2797" s="84" t="s">
        <v>2550</v>
      </c>
    </row>
    <row r="2798" spans="1:16">
      <c r="A2798" s="151">
        <v>88</v>
      </c>
      <c r="B2798" s="131">
        <v>46116</v>
      </c>
      <c r="C2798" s="150">
        <v>20</v>
      </c>
      <c r="D2798" s="140" t="str">
        <f>IF(ISERROR(VLOOKUP(C2798,'[1]خريطة الحسابات'!_xlnm.Print_Area,3,FALSE))," ",(VLOOKUP(C2798,'[1]خريطة الحسابات'!_xlnm.Print_Area,3,FALSE)))</f>
        <v xml:space="preserve">الخزينة </v>
      </c>
      <c r="E2798" s="142"/>
      <c r="F2798" s="133"/>
      <c r="G2798" s="133">
        <v>7557</v>
      </c>
      <c r="H2798" s="134">
        <f t="shared" si="130"/>
        <v>0</v>
      </c>
      <c r="I2798" s="134">
        <f t="shared" si="130"/>
        <v>7557</v>
      </c>
      <c r="J2798" s="134">
        <f t="shared" si="129"/>
        <v>-7557</v>
      </c>
      <c r="K2798" s="135"/>
      <c r="L2798" s="148" t="str">
        <f t="shared" si="131"/>
        <v>دائن</v>
      </c>
      <c r="M2798" s="137" t="str">
        <f>IF(ISERROR(VLOOKUP(C2798,'[1]خريطة الحسابات'!_xlnm.Print_Area,4,FALSE))," ",(VLOOKUP(C2798,'[1]خريطة الحسابات'!_xlnm.Print_Area,4,FALSE)))</f>
        <v xml:space="preserve">أصول متداوله -النقدية ومافي حكمها </v>
      </c>
      <c r="N2798" s="138" t="str">
        <f>IF(ISERROR(VLOOKUP(C2798,'[1]خريطة الحسابات'!_xlnm.Print_Area,5,FALSE))," ",(VLOOKUP(C2798,'[1]خريطة الحسابات'!_xlnm.Print_Area,5,FALSE)))</f>
        <v>الاصول</v>
      </c>
      <c r="O2798" s="84" t="s">
        <v>2557</v>
      </c>
      <c r="P2798" s="84" t="s">
        <v>2550</v>
      </c>
    </row>
    <row r="2799" spans="1:16">
      <c r="A2799" s="151">
        <v>88</v>
      </c>
      <c r="B2799" s="131">
        <v>46119</v>
      </c>
      <c r="C2799" s="150">
        <v>20</v>
      </c>
      <c r="D2799" s="140" t="str">
        <f>IF(ISERROR(VLOOKUP(C2799,'[1]خريطة الحسابات'!_xlnm.Print_Area,3,FALSE))," ",(VLOOKUP(C2799,'[1]خريطة الحسابات'!_xlnm.Print_Area,3,FALSE)))</f>
        <v xml:space="preserve">الخزينة </v>
      </c>
      <c r="E2799" s="142"/>
      <c r="F2799" s="133"/>
      <c r="G2799" s="133">
        <v>14175</v>
      </c>
      <c r="H2799" s="134">
        <f t="shared" si="130"/>
        <v>0</v>
      </c>
      <c r="I2799" s="134">
        <f t="shared" si="130"/>
        <v>14175</v>
      </c>
      <c r="J2799" s="134">
        <f t="shared" si="129"/>
        <v>-14175</v>
      </c>
      <c r="K2799" s="135"/>
      <c r="L2799" s="148" t="str">
        <f t="shared" si="131"/>
        <v>دائن</v>
      </c>
      <c r="M2799" s="137" t="str">
        <f>IF(ISERROR(VLOOKUP(C2799,'[1]خريطة الحسابات'!_xlnm.Print_Area,4,FALSE))," ",(VLOOKUP(C2799,'[1]خريطة الحسابات'!_xlnm.Print_Area,4,FALSE)))</f>
        <v xml:space="preserve">أصول متداوله -النقدية ومافي حكمها </v>
      </c>
      <c r="N2799" s="138" t="str">
        <f>IF(ISERROR(VLOOKUP(C2799,'[1]خريطة الحسابات'!_xlnm.Print_Area,5,FALSE))," ",(VLOOKUP(C2799,'[1]خريطة الحسابات'!_xlnm.Print_Area,5,FALSE)))</f>
        <v>الاصول</v>
      </c>
      <c r="O2799" s="84" t="s">
        <v>2551</v>
      </c>
      <c r="P2799" s="84" t="s">
        <v>2550</v>
      </c>
    </row>
    <row r="2800" spans="1:16">
      <c r="A2800" s="151">
        <v>88</v>
      </c>
      <c r="B2800" s="131">
        <v>46124</v>
      </c>
      <c r="C2800" s="150">
        <v>20</v>
      </c>
      <c r="D2800" s="140" t="str">
        <f>IF(ISERROR(VLOOKUP(C2800,'[1]خريطة الحسابات'!_xlnm.Print_Area,3,FALSE))," ",(VLOOKUP(C2800,'[1]خريطة الحسابات'!_xlnm.Print_Area,3,FALSE)))</f>
        <v xml:space="preserve">الخزينة </v>
      </c>
      <c r="E2800" s="142"/>
      <c r="F2800" s="133"/>
      <c r="G2800" s="133">
        <v>145</v>
      </c>
      <c r="H2800" s="134">
        <f t="shared" si="130"/>
        <v>0</v>
      </c>
      <c r="I2800" s="134">
        <f t="shared" si="130"/>
        <v>145</v>
      </c>
      <c r="J2800" s="134">
        <f t="shared" si="129"/>
        <v>-145</v>
      </c>
      <c r="K2800" s="135"/>
      <c r="L2800" s="148" t="str">
        <f t="shared" si="131"/>
        <v>دائن</v>
      </c>
      <c r="M2800" s="137" t="str">
        <f>IF(ISERROR(VLOOKUP(C2800,'[1]خريطة الحسابات'!_xlnm.Print_Area,4,FALSE))," ",(VLOOKUP(C2800,'[1]خريطة الحسابات'!_xlnm.Print_Area,4,FALSE)))</f>
        <v xml:space="preserve">أصول متداوله -النقدية ومافي حكمها </v>
      </c>
      <c r="N2800" s="138" t="str">
        <f>IF(ISERROR(VLOOKUP(C2800,'[1]خريطة الحسابات'!_xlnm.Print_Area,5,FALSE))," ",(VLOOKUP(C2800,'[1]خريطة الحسابات'!_xlnm.Print_Area,5,FALSE)))</f>
        <v>الاصول</v>
      </c>
      <c r="O2800" s="84" t="s">
        <v>2558</v>
      </c>
      <c r="P2800" s="84" t="s">
        <v>2550</v>
      </c>
    </row>
    <row r="2801" spans="1:16">
      <c r="A2801" s="151">
        <v>88</v>
      </c>
      <c r="B2801" s="131">
        <v>46126</v>
      </c>
      <c r="C2801" s="150">
        <v>20</v>
      </c>
      <c r="D2801" s="140" t="str">
        <f>IF(ISERROR(VLOOKUP(C2801,'[1]خريطة الحسابات'!_xlnm.Print_Area,3,FALSE))," ",(VLOOKUP(C2801,'[1]خريطة الحسابات'!_xlnm.Print_Area,3,FALSE)))</f>
        <v xml:space="preserve">الخزينة </v>
      </c>
      <c r="E2801" s="142"/>
      <c r="F2801" s="133"/>
      <c r="G2801" s="133">
        <v>14175</v>
      </c>
      <c r="H2801" s="134">
        <f t="shared" si="130"/>
        <v>0</v>
      </c>
      <c r="I2801" s="134">
        <f t="shared" si="130"/>
        <v>14175</v>
      </c>
      <c r="J2801" s="134">
        <f t="shared" si="129"/>
        <v>-14175</v>
      </c>
      <c r="K2801" s="135"/>
      <c r="L2801" s="148" t="str">
        <f t="shared" si="131"/>
        <v>دائن</v>
      </c>
      <c r="M2801" s="137" t="str">
        <f>IF(ISERROR(VLOOKUP(C2801,'[1]خريطة الحسابات'!_xlnm.Print_Area,4,FALSE))," ",(VLOOKUP(C2801,'[1]خريطة الحسابات'!_xlnm.Print_Area,4,FALSE)))</f>
        <v xml:space="preserve">أصول متداوله -النقدية ومافي حكمها </v>
      </c>
      <c r="N2801" s="138" t="str">
        <f>IF(ISERROR(VLOOKUP(C2801,'[1]خريطة الحسابات'!_xlnm.Print_Area,5,FALSE))," ",(VLOOKUP(C2801,'[1]خريطة الحسابات'!_xlnm.Print_Area,5,FALSE)))</f>
        <v>الاصول</v>
      </c>
      <c r="O2801" s="84" t="s">
        <v>2551</v>
      </c>
      <c r="P2801" s="84" t="s">
        <v>2550</v>
      </c>
    </row>
    <row r="2802" spans="1:16">
      <c r="A2802" s="151">
        <v>88</v>
      </c>
      <c r="B2802" s="131">
        <v>46133</v>
      </c>
      <c r="C2802" s="150">
        <v>20</v>
      </c>
      <c r="D2802" s="140" t="str">
        <f>IF(ISERROR(VLOOKUP(C2802,'[1]خريطة الحسابات'!_xlnm.Print_Area,3,FALSE))," ",(VLOOKUP(C2802,'[1]خريطة الحسابات'!_xlnm.Print_Area,3,FALSE)))</f>
        <v xml:space="preserve">الخزينة </v>
      </c>
      <c r="E2802" s="142"/>
      <c r="F2802" s="133"/>
      <c r="G2802" s="133">
        <v>14173</v>
      </c>
      <c r="H2802" s="134">
        <f t="shared" si="130"/>
        <v>0</v>
      </c>
      <c r="I2802" s="134">
        <f t="shared" si="130"/>
        <v>14173</v>
      </c>
      <c r="J2802" s="134">
        <f t="shared" si="129"/>
        <v>-14173</v>
      </c>
      <c r="K2802" s="135"/>
      <c r="L2802" s="148" t="str">
        <f t="shared" si="131"/>
        <v>دائن</v>
      </c>
      <c r="M2802" s="137" t="str">
        <f>IF(ISERROR(VLOOKUP(C2802,'[1]خريطة الحسابات'!_xlnm.Print_Area,4,FALSE))," ",(VLOOKUP(C2802,'[1]خريطة الحسابات'!_xlnm.Print_Area,4,FALSE)))</f>
        <v xml:space="preserve">أصول متداوله -النقدية ومافي حكمها </v>
      </c>
      <c r="N2802" s="138" t="str">
        <f>IF(ISERROR(VLOOKUP(C2802,'[1]خريطة الحسابات'!_xlnm.Print_Area,5,FALSE))," ",(VLOOKUP(C2802,'[1]خريطة الحسابات'!_xlnm.Print_Area,5,FALSE)))</f>
        <v>الاصول</v>
      </c>
      <c r="O2802" s="84" t="s">
        <v>2551</v>
      </c>
      <c r="P2802" s="84" t="s">
        <v>2550</v>
      </c>
    </row>
    <row r="2803" spans="1:16">
      <c r="A2803" s="151">
        <v>88</v>
      </c>
      <c r="B2803" s="131">
        <v>46135</v>
      </c>
      <c r="C2803" s="150">
        <v>20</v>
      </c>
      <c r="D2803" s="140" t="str">
        <f>IF(ISERROR(VLOOKUP(C2803,'[1]خريطة الحسابات'!_xlnm.Print_Area,3,FALSE))," ",(VLOOKUP(C2803,'[1]خريطة الحسابات'!_xlnm.Print_Area,3,FALSE)))</f>
        <v xml:space="preserve">الخزينة </v>
      </c>
      <c r="E2803" s="142"/>
      <c r="F2803" s="133"/>
      <c r="G2803" s="133">
        <v>14173</v>
      </c>
      <c r="H2803" s="134">
        <f t="shared" si="130"/>
        <v>0</v>
      </c>
      <c r="I2803" s="134">
        <f t="shared" si="130"/>
        <v>14173</v>
      </c>
      <c r="J2803" s="134">
        <f t="shared" si="129"/>
        <v>-14173</v>
      </c>
      <c r="K2803" s="135"/>
      <c r="L2803" s="148" t="str">
        <f t="shared" si="131"/>
        <v>دائن</v>
      </c>
      <c r="M2803" s="137" t="str">
        <f>IF(ISERROR(VLOOKUP(C2803,'[1]خريطة الحسابات'!_xlnm.Print_Area,4,FALSE))," ",(VLOOKUP(C2803,'[1]خريطة الحسابات'!_xlnm.Print_Area,4,FALSE)))</f>
        <v xml:space="preserve">أصول متداوله -النقدية ومافي حكمها </v>
      </c>
      <c r="N2803" s="138" t="str">
        <f>IF(ISERROR(VLOOKUP(C2803,'[1]خريطة الحسابات'!_xlnm.Print_Area,5,FALSE))," ",(VLOOKUP(C2803,'[1]خريطة الحسابات'!_xlnm.Print_Area,5,FALSE)))</f>
        <v>الاصول</v>
      </c>
      <c r="O2803" s="84" t="s">
        <v>2551</v>
      </c>
      <c r="P2803" s="84" t="s">
        <v>2550</v>
      </c>
    </row>
    <row r="2804" spans="1:16">
      <c r="A2804" s="151">
        <v>88</v>
      </c>
      <c r="B2804" s="131">
        <v>46135</v>
      </c>
      <c r="C2804" s="150">
        <v>20</v>
      </c>
      <c r="D2804" s="140" t="str">
        <f>IF(ISERROR(VLOOKUP(C2804,'[1]خريطة الحسابات'!_xlnm.Print_Area,3,FALSE))," ",(VLOOKUP(C2804,'[1]خريطة الحسابات'!_xlnm.Print_Area,3,FALSE)))</f>
        <v xml:space="preserve">الخزينة </v>
      </c>
      <c r="E2804" s="142"/>
      <c r="F2804" s="133"/>
      <c r="G2804" s="133">
        <v>6500</v>
      </c>
      <c r="H2804" s="134">
        <f t="shared" si="130"/>
        <v>0</v>
      </c>
      <c r="I2804" s="134">
        <f t="shared" si="130"/>
        <v>6500</v>
      </c>
      <c r="J2804" s="134">
        <f t="shared" si="129"/>
        <v>-6500</v>
      </c>
      <c r="K2804" s="135"/>
      <c r="L2804" s="148" t="str">
        <f t="shared" si="131"/>
        <v>دائن</v>
      </c>
      <c r="M2804" s="137" t="str">
        <f>IF(ISERROR(VLOOKUP(C2804,'[1]خريطة الحسابات'!_xlnm.Print_Area,4,FALSE))," ",(VLOOKUP(C2804,'[1]خريطة الحسابات'!_xlnm.Print_Area,4,FALSE)))</f>
        <v xml:space="preserve">أصول متداوله -النقدية ومافي حكمها </v>
      </c>
      <c r="N2804" s="138" t="str">
        <f>IF(ISERROR(VLOOKUP(C2804,'[1]خريطة الحسابات'!_xlnm.Print_Area,5,FALSE))," ",(VLOOKUP(C2804,'[1]خريطة الحسابات'!_xlnm.Print_Area,5,FALSE)))</f>
        <v>الاصول</v>
      </c>
      <c r="O2804" s="84" t="s">
        <v>2554</v>
      </c>
      <c r="P2804" s="84" t="s">
        <v>2550</v>
      </c>
    </row>
    <row r="2805" spans="1:16">
      <c r="A2805" s="151">
        <v>88</v>
      </c>
      <c r="B2805" s="131">
        <v>46139</v>
      </c>
      <c r="C2805" s="150">
        <v>20</v>
      </c>
      <c r="D2805" s="140" t="str">
        <f>IF(ISERROR(VLOOKUP(C2805,'[1]خريطة الحسابات'!_xlnm.Print_Area,3,FALSE))," ",(VLOOKUP(C2805,'[1]خريطة الحسابات'!_xlnm.Print_Area,3,FALSE)))</f>
        <v xml:space="preserve">الخزينة </v>
      </c>
      <c r="E2805" s="142"/>
      <c r="F2805" s="133"/>
      <c r="G2805" s="133">
        <v>10000</v>
      </c>
      <c r="H2805" s="134">
        <f t="shared" si="130"/>
        <v>0</v>
      </c>
      <c r="I2805" s="134">
        <f t="shared" si="130"/>
        <v>10000</v>
      </c>
      <c r="J2805" s="134">
        <f t="shared" si="129"/>
        <v>-10000</v>
      </c>
      <c r="K2805" s="135"/>
      <c r="L2805" s="148" t="str">
        <f t="shared" si="131"/>
        <v>دائن</v>
      </c>
      <c r="M2805" s="137" t="str">
        <f>IF(ISERROR(VLOOKUP(C2805,'[1]خريطة الحسابات'!_xlnm.Print_Area,4,FALSE))," ",(VLOOKUP(C2805,'[1]خريطة الحسابات'!_xlnm.Print_Area,4,FALSE)))</f>
        <v xml:space="preserve">أصول متداوله -النقدية ومافي حكمها </v>
      </c>
      <c r="N2805" s="138" t="str">
        <f>IF(ISERROR(VLOOKUP(C2805,'[1]خريطة الحسابات'!_xlnm.Print_Area,5,FALSE))," ",(VLOOKUP(C2805,'[1]خريطة الحسابات'!_xlnm.Print_Area,5,FALSE)))</f>
        <v>الاصول</v>
      </c>
      <c r="O2805" s="84" t="s">
        <v>2559</v>
      </c>
      <c r="P2805" s="84" t="s">
        <v>2550</v>
      </c>
    </row>
    <row r="2806" spans="1:16">
      <c r="A2806" s="151">
        <v>88</v>
      </c>
      <c r="B2806" s="131">
        <v>46144</v>
      </c>
      <c r="C2806" s="150">
        <v>20</v>
      </c>
      <c r="D2806" s="140" t="str">
        <f>IF(ISERROR(VLOOKUP(C2806,'[1]خريطة الحسابات'!_xlnm.Print_Area,3,FALSE))," ",(VLOOKUP(C2806,'[1]خريطة الحسابات'!_xlnm.Print_Area,3,FALSE)))</f>
        <v xml:space="preserve">الخزينة </v>
      </c>
      <c r="E2806" s="142"/>
      <c r="F2806" s="133"/>
      <c r="G2806" s="133">
        <v>14175</v>
      </c>
      <c r="H2806" s="134">
        <f t="shared" si="130"/>
        <v>0</v>
      </c>
      <c r="I2806" s="134">
        <f t="shared" si="130"/>
        <v>14175</v>
      </c>
      <c r="J2806" s="134">
        <f t="shared" si="129"/>
        <v>-14175</v>
      </c>
      <c r="K2806" s="135"/>
      <c r="L2806" s="148" t="str">
        <f t="shared" si="131"/>
        <v>دائن</v>
      </c>
      <c r="M2806" s="137" t="str">
        <f>IF(ISERROR(VLOOKUP(C2806,'[1]خريطة الحسابات'!_xlnm.Print_Area,4,FALSE))," ",(VLOOKUP(C2806,'[1]خريطة الحسابات'!_xlnm.Print_Area,4,FALSE)))</f>
        <v xml:space="preserve">أصول متداوله -النقدية ومافي حكمها </v>
      </c>
      <c r="N2806" s="138" t="str">
        <f>IF(ISERROR(VLOOKUP(C2806,'[1]خريطة الحسابات'!_xlnm.Print_Area,5,FALSE))," ",(VLOOKUP(C2806,'[1]خريطة الحسابات'!_xlnm.Print_Area,5,FALSE)))</f>
        <v>الاصول</v>
      </c>
      <c r="O2806" s="84" t="s">
        <v>2551</v>
      </c>
      <c r="P2806" s="84" t="s">
        <v>2550</v>
      </c>
    </row>
    <row r="2807" spans="1:16">
      <c r="A2807" s="151">
        <v>88</v>
      </c>
      <c r="B2807" s="131">
        <v>46147</v>
      </c>
      <c r="C2807" s="150">
        <v>20</v>
      </c>
      <c r="D2807" s="140" t="str">
        <f>IF(ISERROR(VLOOKUP(C2807,'[1]خريطة الحسابات'!_xlnm.Print_Area,3,FALSE))," ",(VLOOKUP(C2807,'[1]خريطة الحسابات'!_xlnm.Print_Area,3,FALSE)))</f>
        <v xml:space="preserve">الخزينة </v>
      </c>
      <c r="E2807" s="142"/>
      <c r="F2807" s="133"/>
      <c r="G2807" s="133">
        <v>15000</v>
      </c>
      <c r="H2807" s="134">
        <f t="shared" si="130"/>
        <v>0</v>
      </c>
      <c r="I2807" s="134">
        <f t="shared" si="130"/>
        <v>15000</v>
      </c>
      <c r="J2807" s="134">
        <f t="shared" si="129"/>
        <v>-15000</v>
      </c>
      <c r="K2807" s="135"/>
      <c r="L2807" s="148" t="str">
        <f t="shared" si="131"/>
        <v>دائن</v>
      </c>
      <c r="M2807" s="137" t="str">
        <f>IF(ISERROR(VLOOKUP(C2807,'[1]خريطة الحسابات'!_xlnm.Print_Area,4,FALSE))," ",(VLOOKUP(C2807,'[1]خريطة الحسابات'!_xlnm.Print_Area,4,FALSE)))</f>
        <v xml:space="preserve">أصول متداوله -النقدية ومافي حكمها </v>
      </c>
      <c r="N2807" s="138" t="str">
        <f>IF(ISERROR(VLOOKUP(C2807,'[1]خريطة الحسابات'!_xlnm.Print_Area,5,FALSE))," ",(VLOOKUP(C2807,'[1]خريطة الحسابات'!_xlnm.Print_Area,5,FALSE)))</f>
        <v>الاصول</v>
      </c>
      <c r="O2807" s="84" t="s">
        <v>2560</v>
      </c>
      <c r="P2807" s="84" t="s">
        <v>2550</v>
      </c>
    </row>
    <row r="2808" spans="1:16">
      <c r="A2808" s="151">
        <v>88</v>
      </c>
      <c r="B2808" s="131">
        <v>46151</v>
      </c>
      <c r="C2808" s="150">
        <v>20</v>
      </c>
      <c r="D2808" s="140" t="str">
        <f>IF(ISERROR(VLOOKUP(C2808,'[1]خريطة الحسابات'!_xlnm.Print_Area,3,FALSE))," ",(VLOOKUP(C2808,'[1]خريطة الحسابات'!_xlnm.Print_Area,3,FALSE)))</f>
        <v xml:space="preserve">الخزينة </v>
      </c>
      <c r="E2808" s="142"/>
      <c r="F2808" s="133"/>
      <c r="G2808" s="133">
        <v>14175</v>
      </c>
      <c r="H2808" s="134">
        <f t="shared" si="130"/>
        <v>0</v>
      </c>
      <c r="I2808" s="134">
        <f t="shared" si="130"/>
        <v>14175</v>
      </c>
      <c r="J2808" s="134">
        <f t="shared" si="129"/>
        <v>-14175</v>
      </c>
      <c r="K2808" s="135"/>
      <c r="L2808" s="148" t="str">
        <f t="shared" si="131"/>
        <v>دائن</v>
      </c>
      <c r="M2808" s="137" t="str">
        <f>IF(ISERROR(VLOOKUP(C2808,'[1]خريطة الحسابات'!_xlnm.Print_Area,4,FALSE))," ",(VLOOKUP(C2808,'[1]خريطة الحسابات'!_xlnm.Print_Area,4,FALSE)))</f>
        <v xml:space="preserve">أصول متداوله -النقدية ومافي حكمها </v>
      </c>
      <c r="N2808" s="138" t="str">
        <f>IF(ISERROR(VLOOKUP(C2808,'[1]خريطة الحسابات'!_xlnm.Print_Area,5,FALSE))," ",(VLOOKUP(C2808,'[1]خريطة الحسابات'!_xlnm.Print_Area,5,FALSE)))</f>
        <v>الاصول</v>
      </c>
      <c r="O2808" s="84" t="s">
        <v>2551</v>
      </c>
      <c r="P2808" s="84" t="s">
        <v>2550</v>
      </c>
    </row>
    <row r="2809" spans="1:16">
      <c r="A2809" s="151">
        <v>88</v>
      </c>
      <c r="B2809" s="131">
        <v>46152</v>
      </c>
      <c r="C2809" s="150">
        <v>20</v>
      </c>
      <c r="D2809" s="140" t="str">
        <f>IF(ISERROR(VLOOKUP(C2809,'[1]خريطة الحسابات'!_xlnm.Print_Area,3,FALSE))," ",(VLOOKUP(C2809,'[1]خريطة الحسابات'!_xlnm.Print_Area,3,FALSE)))</f>
        <v xml:space="preserve">الخزينة </v>
      </c>
      <c r="E2809" s="142"/>
      <c r="F2809" s="133"/>
      <c r="G2809" s="133">
        <v>1501</v>
      </c>
      <c r="H2809" s="134">
        <f t="shared" si="130"/>
        <v>0</v>
      </c>
      <c r="I2809" s="134">
        <f t="shared" si="130"/>
        <v>1501</v>
      </c>
      <c r="J2809" s="134">
        <f t="shared" si="129"/>
        <v>-1501</v>
      </c>
      <c r="K2809" s="135"/>
      <c r="L2809" s="148" t="str">
        <f t="shared" si="131"/>
        <v>دائن</v>
      </c>
      <c r="M2809" s="137" t="str">
        <f>IF(ISERROR(VLOOKUP(C2809,'[1]خريطة الحسابات'!_xlnm.Print_Area,4,FALSE))," ",(VLOOKUP(C2809,'[1]خريطة الحسابات'!_xlnm.Print_Area,4,FALSE)))</f>
        <v xml:space="preserve">أصول متداوله -النقدية ومافي حكمها </v>
      </c>
      <c r="N2809" s="138" t="str">
        <f>IF(ISERROR(VLOOKUP(C2809,'[1]خريطة الحسابات'!_xlnm.Print_Area,5,FALSE))," ",(VLOOKUP(C2809,'[1]خريطة الحسابات'!_xlnm.Print_Area,5,FALSE)))</f>
        <v>الاصول</v>
      </c>
      <c r="O2809" s="84" t="s">
        <v>2552</v>
      </c>
      <c r="P2809" s="84" t="s">
        <v>2550</v>
      </c>
    </row>
    <row r="2810" spans="1:16">
      <c r="A2810" s="151">
        <v>88</v>
      </c>
      <c r="B2810" s="131">
        <v>46153</v>
      </c>
      <c r="C2810" s="150">
        <v>20</v>
      </c>
      <c r="D2810" s="140" t="str">
        <f>IF(ISERROR(VLOOKUP(C2810,'[1]خريطة الحسابات'!_xlnm.Print_Area,3,FALSE))," ",(VLOOKUP(C2810,'[1]خريطة الحسابات'!_xlnm.Print_Area,3,FALSE)))</f>
        <v xml:space="preserve">الخزينة </v>
      </c>
      <c r="E2810" s="142"/>
      <c r="F2810" s="133"/>
      <c r="G2810" s="133">
        <v>20000</v>
      </c>
      <c r="H2810" s="134">
        <f t="shared" si="130"/>
        <v>0</v>
      </c>
      <c r="I2810" s="134">
        <f t="shared" si="130"/>
        <v>20000</v>
      </c>
      <c r="J2810" s="134">
        <f t="shared" si="129"/>
        <v>-20000</v>
      </c>
      <c r="K2810" s="135"/>
      <c r="L2810" s="148" t="str">
        <f t="shared" si="131"/>
        <v>دائن</v>
      </c>
      <c r="M2810" s="137" t="str">
        <f>IF(ISERROR(VLOOKUP(C2810,'[1]خريطة الحسابات'!_xlnm.Print_Area,4,FALSE))," ",(VLOOKUP(C2810,'[1]خريطة الحسابات'!_xlnm.Print_Area,4,FALSE)))</f>
        <v xml:space="preserve">أصول متداوله -النقدية ومافي حكمها </v>
      </c>
      <c r="N2810" s="138" t="str">
        <f>IF(ISERROR(VLOOKUP(C2810,'[1]خريطة الحسابات'!_xlnm.Print_Area,5,FALSE))," ",(VLOOKUP(C2810,'[1]خريطة الحسابات'!_xlnm.Print_Area,5,FALSE)))</f>
        <v>الاصول</v>
      </c>
      <c r="O2810" s="84" t="s">
        <v>2561</v>
      </c>
      <c r="P2810" s="84" t="s">
        <v>2550</v>
      </c>
    </row>
    <row r="2811" spans="1:16">
      <c r="A2811" s="151">
        <v>88</v>
      </c>
      <c r="B2811" s="131">
        <v>46159</v>
      </c>
      <c r="C2811" s="150">
        <v>20</v>
      </c>
      <c r="D2811" s="140" t="str">
        <f>IF(ISERROR(VLOOKUP(C2811,'[1]خريطة الحسابات'!_xlnm.Print_Area,3,FALSE))," ",(VLOOKUP(C2811,'[1]خريطة الحسابات'!_xlnm.Print_Area,3,FALSE)))</f>
        <v xml:space="preserve">الخزينة </v>
      </c>
      <c r="E2811" s="142"/>
      <c r="F2811" s="133"/>
      <c r="G2811" s="133">
        <v>21000</v>
      </c>
      <c r="H2811" s="134">
        <f t="shared" si="130"/>
        <v>0</v>
      </c>
      <c r="I2811" s="134">
        <f t="shared" si="130"/>
        <v>21000</v>
      </c>
      <c r="J2811" s="134">
        <f t="shared" si="129"/>
        <v>-21000</v>
      </c>
      <c r="K2811" s="135"/>
      <c r="L2811" s="148" t="str">
        <f t="shared" si="131"/>
        <v>دائن</v>
      </c>
      <c r="M2811" s="137" t="str">
        <f>IF(ISERROR(VLOOKUP(C2811,'[1]خريطة الحسابات'!_xlnm.Print_Area,4,FALSE))," ",(VLOOKUP(C2811,'[1]خريطة الحسابات'!_xlnm.Print_Area,4,FALSE)))</f>
        <v xml:space="preserve">أصول متداوله -النقدية ومافي حكمها </v>
      </c>
      <c r="N2811" s="138" t="str">
        <f>IF(ISERROR(VLOOKUP(C2811,'[1]خريطة الحسابات'!_xlnm.Print_Area,5,FALSE))," ",(VLOOKUP(C2811,'[1]خريطة الحسابات'!_xlnm.Print_Area,5,FALSE)))</f>
        <v>الاصول</v>
      </c>
      <c r="O2811" s="84" t="s">
        <v>2553</v>
      </c>
      <c r="P2811" s="84" t="s">
        <v>2550</v>
      </c>
    </row>
    <row r="2812" spans="1:16">
      <c r="A2812" s="151">
        <v>88</v>
      </c>
      <c r="B2812" s="131">
        <v>46161</v>
      </c>
      <c r="C2812" s="150">
        <v>20</v>
      </c>
      <c r="D2812" s="140" t="str">
        <f>IF(ISERROR(VLOOKUP(C2812,'[1]خريطة الحسابات'!_xlnm.Print_Area,3,FALSE))," ",(VLOOKUP(C2812,'[1]خريطة الحسابات'!_xlnm.Print_Area,3,FALSE)))</f>
        <v xml:space="preserve">الخزينة </v>
      </c>
      <c r="E2812" s="142"/>
      <c r="F2812" s="133"/>
      <c r="G2812" s="133">
        <v>3600</v>
      </c>
      <c r="H2812" s="134">
        <f t="shared" si="130"/>
        <v>0</v>
      </c>
      <c r="I2812" s="134">
        <f t="shared" si="130"/>
        <v>3600</v>
      </c>
      <c r="J2812" s="134">
        <f t="shared" si="129"/>
        <v>-3600</v>
      </c>
      <c r="K2812" s="135"/>
      <c r="L2812" s="148" t="str">
        <f t="shared" si="131"/>
        <v>دائن</v>
      </c>
      <c r="M2812" s="137" t="str">
        <f>IF(ISERROR(VLOOKUP(C2812,'[1]خريطة الحسابات'!_xlnm.Print_Area,4,FALSE))," ",(VLOOKUP(C2812,'[1]خريطة الحسابات'!_xlnm.Print_Area,4,FALSE)))</f>
        <v xml:space="preserve">أصول متداوله -النقدية ومافي حكمها </v>
      </c>
      <c r="N2812" s="138" t="str">
        <f>IF(ISERROR(VLOOKUP(C2812,'[1]خريطة الحسابات'!_xlnm.Print_Area,5,FALSE))," ",(VLOOKUP(C2812,'[1]خريطة الحسابات'!_xlnm.Print_Area,5,FALSE)))</f>
        <v>الاصول</v>
      </c>
      <c r="O2812" s="84" t="s">
        <v>2562</v>
      </c>
      <c r="P2812" s="84" t="s">
        <v>2550</v>
      </c>
    </row>
    <row r="2813" spans="1:16">
      <c r="A2813" s="151">
        <v>88</v>
      </c>
      <c r="B2813" s="131">
        <v>46162</v>
      </c>
      <c r="C2813" s="150">
        <v>20</v>
      </c>
      <c r="D2813" s="140" t="str">
        <f>IF(ISERROR(VLOOKUP(C2813,'[1]خريطة الحسابات'!_xlnm.Print_Area,3,FALSE))," ",(VLOOKUP(C2813,'[1]خريطة الحسابات'!_xlnm.Print_Area,3,FALSE)))</f>
        <v xml:space="preserve">الخزينة </v>
      </c>
      <c r="E2813" s="142"/>
      <c r="F2813" s="133"/>
      <c r="G2813" s="133">
        <v>14190</v>
      </c>
      <c r="H2813" s="134">
        <f t="shared" si="130"/>
        <v>0</v>
      </c>
      <c r="I2813" s="134">
        <f t="shared" si="130"/>
        <v>14190</v>
      </c>
      <c r="J2813" s="134">
        <f t="shared" si="129"/>
        <v>-14190</v>
      </c>
      <c r="K2813" s="135"/>
      <c r="L2813" s="148" t="str">
        <f t="shared" si="131"/>
        <v>دائن</v>
      </c>
      <c r="M2813" s="137" t="str">
        <f>IF(ISERROR(VLOOKUP(C2813,'[1]خريطة الحسابات'!_xlnm.Print_Area,4,FALSE))," ",(VLOOKUP(C2813,'[1]خريطة الحسابات'!_xlnm.Print_Area,4,FALSE)))</f>
        <v xml:space="preserve">أصول متداوله -النقدية ومافي حكمها </v>
      </c>
      <c r="N2813" s="138" t="str">
        <f>IF(ISERROR(VLOOKUP(C2813,'[1]خريطة الحسابات'!_xlnm.Print_Area,5,FALSE))," ",(VLOOKUP(C2813,'[1]خريطة الحسابات'!_xlnm.Print_Area,5,FALSE)))</f>
        <v>الاصول</v>
      </c>
      <c r="O2813" s="84" t="s">
        <v>2551</v>
      </c>
      <c r="P2813" s="84" t="s">
        <v>2550</v>
      </c>
    </row>
    <row r="2814" spans="1:16">
      <c r="A2814" s="151">
        <v>88</v>
      </c>
      <c r="B2814" s="131">
        <v>46167</v>
      </c>
      <c r="C2814" s="150">
        <v>20</v>
      </c>
      <c r="D2814" s="140" t="str">
        <f>IF(ISERROR(VLOOKUP(C2814,'[1]خريطة الحسابات'!_xlnm.Print_Area,3,FALSE))," ",(VLOOKUP(C2814,'[1]خريطة الحسابات'!_xlnm.Print_Area,3,FALSE)))</f>
        <v xml:space="preserve">الخزينة </v>
      </c>
      <c r="E2814" s="142"/>
      <c r="F2814" s="133"/>
      <c r="G2814" s="133">
        <v>4995</v>
      </c>
      <c r="H2814" s="134">
        <f t="shared" si="130"/>
        <v>0</v>
      </c>
      <c r="I2814" s="134">
        <f t="shared" si="130"/>
        <v>4995</v>
      </c>
      <c r="J2814" s="134">
        <f t="shared" si="129"/>
        <v>-4995</v>
      </c>
      <c r="K2814" s="135"/>
      <c r="L2814" s="148" t="str">
        <f t="shared" si="131"/>
        <v>دائن</v>
      </c>
      <c r="M2814" s="137" t="str">
        <f>IF(ISERROR(VLOOKUP(C2814,'[1]خريطة الحسابات'!_xlnm.Print_Area,4,FALSE))," ",(VLOOKUP(C2814,'[1]خريطة الحسابات'!_xlnm.Print_Area,4,FALSE)))</f>
        <v xml:space="preserve">أصول متداوله -النقدية ومافي حكمها </v>
      </c>
      <c r="N2814" s="138" t="str">
        <f>IF(ISERROR(VLOOKUP(C2814,'[1]خريطة الحسابات'!_xlnm.Print_Area,5,FALSE))," ",(VLOOKUP(C2814,'[1]خريطة الحسابات'!_xlnm.Print_Area,5,FALSE)))</f>
        <v>الاصول</v>
      </c>
      <c r="O2814" s="84" t="s">
        <v>2563</v>
      </c>
      <c r="P2814" s="84" t="s">
        <v>2550</v>
      </c>
    </row>
    <row r="2815" spans="1:16">
      <c r="A2815" s="151">
        <v>88</v>
      </c>
      <c r="B2815" s="131">
        <v>46171</v>
      </c>
      <c r="C2815" s="150">
        <v>20</v>
      </c>
      <c r="D2815" s="140" t="str">
        <f>IF(ISERROR(VLOOKUP(C2815,'[1]خريطة الحسابات'!_xlnm.Print_Area,3,FALSE))," ",(VLOOKUP(C2815,'[1]خريطة الحسابات'!_xlnm.Print_Area,3,FALSE)))</f>
        <v xml:space="preserve">الخزينة </v>
      </c>
      <c r="E2815" s="142"/>
      <c r="F2815" s="133"/>
      <c r="G2815" s="133">
        <v>14175</v>
      </c>
      <c r="H2815" s="134">
        <f t="shared" si="130"/>
        <v>0</v>
      </c>
      <c r="I2815" s="134">
        <f t="shared" si="130"/>
        <v>14175</v>
      </c>
      <c r="J2815" s="134">
        <f t="shared" si="129"/>
        <v>-14175</v>
      </c>
      <c r="K2815" s="135"/>
      <c r="L2815" s="148" t="str">
        <f t="shared" si="131"/>
        <v>دائن</v>
      </c>
      <c r="M2815" s="137" t="str">
        <f>IF(ISERROR(VLOOKUP(C2815,'[1]خريطة الحسابات'!_xlnm.Print_Area,4,FALSE))," ",(VLOOKUP(C2815,'[1]خريطة الحسابات'!_xlnm.Print_Area,4,FALSE)))</f>
        <v xml:space="preserve">أصول متداوله -النقدية ومافي حكمها </v>
      </c>
      <c r="N2815" s="138" t="str">
        <f>IF(ISERROR(VLOOKUP(C2815,'[1]خريطة الحسابات'!_xlnm.Print_Area,5,FALSE))," ",(VLOOKUP(C2815,'[1]خريطة الحسابات'!_xlnm.Print_Area,5,FALSE)))</f>
        <v>الاصول</v>
      </c>
      <c r="O2815" s="84" t="s">
        <v>2551</v>
      </c>
      <c r="P2815" s="84" t="s">
        <v>2550</v>
      </c>
    </row>
    <row r="2816" spans="1:16">
      <c r="A2816" s="151">
        <v>88</v>
      </c>
      <c r="B2816" s="131">
        <v>46182</v>
      </c>
      <c r="C2816" s="150">
        <v>20</v>
      </c>
      <c r="D2816" s="140" t="str">
        <f>IF(ISERROR(VLOOKUP(C2816,'[1]خريطة الحسابات'!_xlnm.Print_Area,3,FALSE))," ",(VLOOKUP(C2816,'[1]خريطة الحسابات'!_xlnm.Print_Area,3,FALSE)))</f>
        <v xml:space="preserve">الخزينة </v>
      </c>
      <c r="E2816" s="142"/>
      <c r="F2816" s="133"/>
      <c r="G2816" s="133">
        <v>15185</v>
      </c>
      <c r="H2816" s="134">
        <f t="shared" si="130"/>
        <v>0</v>
      </c>
      <c r="I2816" s="134">
        <f t="shared" si="130"/>
        <v>15185</v>
      </c>
      <c r="J2816" s="134">
        <f t="shared" si="129"/>
        <v>-15185</v>
      </c>
      <c r="K2816" s="135"/>
      <c r="L2816" s="148" t="str">
        <f t="shared" si="131"/>
        <v>دائن</v>
      </c>
      <c r="M2816" s="137" t="str">
        <f>IF(ISERROR(VLOOKUP(C2816,'[1]خريطة الحسابات'!_xlnm.Print_Area,4,FALSE))," ",(VLOOKUP(C2816,'[1]خريطة الحسابات'!_xlnm.Print_Area,4,FALSE)))</f>
        <v xml:space="preserve">أصول متداوله -النقدية ومافي حكمها </v>
      </c>
      <c r="N2816" s="138" t="str">
        <f>IF(ISERROR(VLOOKUP(C2816,'[1]خريطة الحسابات'!_xlnm.Print_Area,5,FALSE))," ",(VLOOKUP(C2816,'[1]خريطة الحسابات'!_xlnm.Print_Area,5,FALSE)))</f>
        <v>الاصول</v>
      </c>
      <c r="O2816" s="84" t="s">
        <v>2551</v>
      </c>
      <c r="P2816" s="84" t="s">
        <v>2550</v>
      </c>
    </row>
    <row r="2817" spans="1:16">
      <c r="A2817" s="151">
        <v>88</v>
      </c>
      <c r="B2817" s="131">
        <v>46184</v>
      </c>
      <c r="C2817" s="150">
        <v>20</v>
      </c>
      <c r="D2817" s="140" t="str">
        <f>IF(ISERROR(VLOOKUP(C2817,'[1]خريطة الحسابات'!_xlnm.Print_Area,3,FALSE))," ",(VLOOKUP(C2817,'[1]خريطة الحسابات'!_xlnm.Print_Area,3,FALSE)))</f>
        <v xml:space="preserve">الخزينة </v>
      </c>
      <c r="E2817" s="142"/>
      <c r="F2817" s="133"/>
      <c r="G2817" s="133">
        <v>185</v>
      </c>
      <c r="H2817" s="134">
        <f t="shared" si="130"/>
        <v>0</v>
      </c>
      <c r="I2817" s="134">
        <f t="shared" si="130"/>
        <v>185</v>
      </c>
      <c r="J2817" s="134">
        <f t="shared" si="129"/>
        <v>-185</v>
      </c>
      <c r="K2817" s="135"/>
      <c r="L2817" s="148" t="str">
        <f t="shared" si="131"/>
        <v>دائن</v>
      </c>
      <c r="M2817" s="137" t="str">
        <f>IF(ISERROR(VLOOKUP(C2817,'[1]خريطة الحسابات'!_xlnm.Print_Area,4,FALSE))," ",(VLOOKUP(C2817,'[1]خريطة الحسابات'!_xlnm.Print_Area,4,FALSE)))</f>
        <v xml:space="preserve">أصول متداوله -النقدية ومافي حكمها </v>
      </c>
      <c r="N2817" s="138" t="str">
        <f>IF(ISERROR(VLOOKUP(C2817,'[1]خريطة الحسابات'!_xlnm.Print_Area,5,FALSE))," ",(VLOOKUP(C2817,'[1]خريطة الحسابات'!_xlnm.Print_Area,5,FALSE)))</f>
        <v>الاصول</v>
      </c>
      <c r="O2817" s="84" t="s">
        <v>2564</v>
      </c>
      <c r="P2817" s="84" t="s">
        <v>2550</v>
      </c>
    </row>
    <row r="2818" spans="1:16">
      <c r="A2818" s="151">
        <v>88</v>
      </c>
      <c r="B2818" s="131">
        <v>46184</v>
      </c>
      <c r="C2818" s="150">
        <v>20</v>
      </c>
      <c r="D2818" s="140" t="str">
        <f>IF(ISERROR(VLOOKUP(C2818,'[1]خريطة الحسابات'!_xlnm.Print_Area,3,FALSE))," ",(VLOOKUP(C2818,'[1]خريطة الحسابات'!_xlnm.Print_Area,3,FALSE)))</f>
        <v xml:space="preserve">الخزينة </v>
      </c>
      <c r="E2818" s="142"/>
      <c r="F2818" s="133"/>
      <c r="G2818" s="133">
        <v>2502</v>
      </c>
      <c r="H2818" s="134">
        <f t="shared" si="130"/>
        <v>0</v>
      </c>
      <c r="I2818" s="134">
        <f t="shared" si="130"/>
        <v>2502</v>
      </c>
      <c r="J2818" s="134">
        <f t="shared" si="129"/>
        <v>-2502</v>
      </c>
      <c r="K2818" s="135"/>
      <c r="L2818" s="148" t="str">
        <f t="shared" si="131"/>
        <v>دائن</v>
      </c>
      <c r="M2818" s="137" t="str">
        <f>IF(ISERROR(VLOOKUP(C2818,'[1]خريطة الحسابات'!_xlnm.Print_Area,4,FALSE))," ",(VLOOKUP(C2818,'[1]خريطة الحسابات'!_xlnm.Print_Area,4,FALSE)))</f>
        <v xml:space="preserve">أصول متداوله -النقدية ومافي حكمها </v>
      </c>
      <c r="N2818" s="138" t="str">
        <f>IF(ISERROR(VLOOKUP(C2818,'[1]خريطة الحسابات'!_xlnm.Print_Area,5,FALSE))," ",(VLOOKUP(C2818,'[1]خريطة الحسابات'!_xlnm.Print_Area,5,FALSE)))</f>
        <v>الاصول</v>
      </c>
      <c r="O2818" s="84" t="s">
        <v>2565</v>
      </c>
      <c r="P2818" s="84" t="s">
        <v>2550</v>
      </c>
    </row>
    <row r="2819" spans="1:16" ht="15.6">
      <c r="A2819" s="151">
        <v>89</v>
      </c>
      <c r="B2819" s="131">
        <v>46070</v>
      </c>
      <c r="C2819" s="150" t="s">
        <v>115</v>
      </c>
      <c r="D2819" s="140" t="str">
        <f>IF(ISERROR(VLOOKUP(C2819,'[1]خريطة الحسابات'!_xlnm.Print_Area,3,FALSE))," ",(VLOOKUP(C2819,'[1]خريطة الحسابات'!_xlnm.Print_Area,3,FALSE)))</f>
        <v>خامات ومصنعية أعمال النجف والإضاءة</v>
      </c>
      <c r="E2819" s="142"/>
      <c r="F2819" s="133">
        <v>5000</v>
      </c>
      <c r="G2819" s="133"/>
      <c r="H2819" s="134">
        <f t="shared" si="130"/>
        <v>5000</v>
      </c>
      <c r="I2819" s="134">
        <f t="shared" si="130"/>
        <v>0</v>
      </c>
      <c r="J2819" s="134">
        <f t="shared" si="129"/>
        <v>5000</v>
      </c>
      <c r="K2819" s="135"/>
      <c r="L2819" s="148" t="str">
        <f t="shared" si="131"/>
        <v>مدين</v>
      </c>
      <c r="M2819" s="137" t="str">
        <f>IF(ISERROR(VLOOKUP(C2819,'[1]خريطة الحسابات'!_xlnm.Print_Area,4,FALSE))," ",(VLOOKUP(C2819,'[1]خريطة الحسابات'!_xlnm.Print_Area,4,FALSE)))</f>
        <v>تكاليف مشروع سوديك  341</v>
      </c>
      <c r="N2819" s="138" t="str">
        <f>IF(ISERROR(VLOOKUP(C2819,'[1]خريطة الحسابات'!_xlnm.Print_Area,5,FALSE))," ",(VLOOKUP(C2819,'[1]خريطة الحسابات'!_xlnm.Print_Area,5,FALSE)))</f>
        <v xml:space="preserve">تكاليف العمليات </v>
      </c>
      <c r="O2819" s="129" t="s">
        <v>2566</v>
      </c>
      <c r="P2819" s="128" t="s">
        <v>1290</v>
      </c>
    </row>
    <row r="2820" spans="1:16" ht="15.6">
      <c r="A2820" s="151">
        <v>89</v>
      </c>
      <c r="B2820" s="131">
        <v>46070</v>
      </c>
      <c r="C2820" s="150">
        <v>20</v>
      </c>
      <c r="D2820" s="140" t="str">
        <f>IF(ISERROR(VLOOKUP(C2820,'[1]خريطة الحسابات'!_xlnm.Print_Area,3,FALSE))," ",(VLOOKUP(C2820,'[1]خريطة الحسابات'!_xlnm.Print_Area,3,FALSE)))</f>
        <v xml:space="preserve">الخزينة </v>
      </c>
      <c r="E2820" s="142"/>
      <c r="F2820" s="133"/>
      <c r="G2820" s="133">
        <v>5000</v>
      </c>
      <c r="H2820" s="134">
        <f t="shared" si="130"/>
        <v>0</v>
      </c>
      <c r="I2820" s="134">
        <f t="shared" si="130"/>
        <v>5000</v>
      </c>
      <c r="J2820" s="134">
        <f t="shared" si="129"/>
        <v>-5000</v>
      </c>
      <c r="K2820" s="135"/>
      <c r="L2820" s="148" t="str">
        <f t="shared" si="131"/>
        <v>دائن</v>
      </c>
      <c r="M2820" s="137" t="str">
        <f>IF(ISERROR(VLOOKUP(C2820,'[1]خريطة الحسابات'!_xlnm.Print_Area,4,FALSE))," ",(VLOOKUP(C2820,'[1]خريطة الحسابات'!_xlnm.Print_Area,4,FALSE)))</f>
        <v xml:space="preserve">أصول متداوله -النقدية ومافي حكمها </v>
      </c>
      <c r="N2820" s="138" t="str">
        <f>IF(ISERROR(VLOOKUP(C2820,'[1]خريطة الحسابات'!_xlnm.Print_Area,5,FALSE))," ",(VLOOKUP(C2820,'[1]خريطة الحسابات'!_xlnm.Print_Area,5,FALSE)))</f>
        <v>الاصول</v>
      </c>
      <c r="O2820" s="129" t="s">
        <v>2566</v>
      </c>
      <c r="P2820" s="128" t="s">
        <v>1290</v>
      </c>
    </row>
    <row r="2821" spans="1:16">
      <c r="A2821" s="151">
        <v>90</v>
      </c>
      <c r="B2821" s="131">
        <v>46124</v>
      </c>
      <c r="C2821" s="150">
        <v>20</v>
      </c>
      <c r="D2821" s="140" t="str">
        <f>IF(ISERROR(VLOOKUP(C2821,'[1]خريطة الحسابات'!_xlnm.Print_Area,3,FALSE))," ",(VLOOKUP(C2821,'[1]خريطة الحسابات'!_xlnm.Print_Area,3,FALSE)))</f>
        <v xml:space="preserve">الخزينة </v>
      </c>
      <c r="E2821" s="142"/>
      <c r="F2821" s="133">
        <v>209000</v>
      </c>
      <c r="G2821" s="133"/>
      <c r="H2821" s="134">
        <f t="shared" si="130"/>
        <v>209000</v>
      </c>
      <c r="I2821" s="134">
        <f t="shared" si="130"/>
        <v>0</v>
      </c>
      <c r="J2821" s="134">
        <f t="shared" si="129"/>
        <v>209000</v>
      </c>
      <c r="K2821" s="135"/>
      <c r="L2821" s="148" t="str">
        <f t="shared" si="131"/>
        <v>مدين</v>
      </c>
      <c r="M2821" s="137" t="str">
        <f>IF(ISERROR(VLOOKUP(C2821,'[1]خريطة الحسابات'!_xlnm.Print_Area,4,FALSE))," ",(VLOOKUP(C2821,'[1]خريطة الحسابات'!_xlnm.Print_Area,4,FALSE)))</f>
        <v xml:space="preserve">أصول متداوله -النقدية ومافي حكمها </v>
      </c>
      <c r="N2821" s="138" t="str">
        <f>IF(ISERROR(VLOOKUP(C2821,'[1]خريطة الحسابات'!_xlnm.Print_Area,5,FALSE))," ",(VLOOKUP(C2821,'[1]خريطة الحسابات'!_xlnm.Print_Area,5,FALSE)))</f>
        <v>الاصول</v>
      </c>
      <c r="O2821" s="84" t="s">
        <v>2567</v>
      </c>
      <c r="P2821" s="84" t="s">
        <v>1345</v>
      </c>
    </row>
    <row r="2822" spans="1:16">
      <c r="A2822" s="151">
        <v>90</v>
      </c>
      <c r="B2822" s="131">
        <v>46144</v>
      </c>
      <c r="C2822" s="150">
        <v>20</v>
      </c>
      <c r="D2822" s="140" t="str">
        <f>IF(ISERROR(VLOOKUP(C2822,'[1]خريطة الحسابات'!_xlnm.Print_Area,3,FALSE))," ",(VLOOKUP(C2822,'[1]خريطة الحسابات'!_xlnm.Print_Area,3,FALSE)))</f>
        <v xml:space="preserve">الخزينة </v>
      </c>
      <c r="E2822" s="142"/>
      <c r="F2822" s="133">
        <v>175000</v>
      </c>
      <c r="G2822" s="133"/>
      <c r="H2822" s="134">
        <f t="shared" si="130"/>
        <v>175000</v>
      </c>
      <c r="I2822" s="134">
        <f t="shared" si="130"/>
        <v>0</v>
      </c>
      <c r="J2822" s="134">
        <f t="shared" si="129"/>
        <v>175000</v>
      </c>
      <c r="K2822" s="135"/>
      <c r="L2822" s="148" t="str">
        <f t="shared" si="131"/>
        <v>مدين</v>
      </c>
      <c r="M2822" s="137" t="str">
        <f>IF(ISERROR(VLOOKUP(C2822,'[1]خريطة الحسابات'!_xlnm.Print_Area,4,FALSE))," ",(VLOOKUP(C2822,'[1]خريطة الحسابات'!_xlnm.Print_Area,4,FALSE)))</f>
        <v xml:space="preserve">أصول متداوله -النقدية ومافي حكمها </v>
      </c>
      <c r="N2822" s="138" t="str">
        <f>IF(ISERROR(VLOOKUP(C2822,'[1]خريطة الحسابات'!_xlnm.Print_Area,5,FALSE))," ",(VLOOKUP(C2822,'[1]خريطة الحسابات'!_xlnm.Print_Area,5,FALSE)))</f>
        <v>الاصول</v>
      </c>
      <c r="O2822" s="84" t="s">
        <v>2568</v>
      </c>
      <c r="P2822" s="84" t="s">
        <v>1345</v>
      </c>
    </row>
    <row r="2823" spans="1:16">
      <c r="A2823" s="151">
        <v>90</v>
      </c>
      <c r="B2823" s="131">
        <v>46155</v>
      </c>
      <c r="C2823" s="150">
        <v>20</v>
      </c>
      <c r="D2823" s="140" t="str">
        <f>IF(ISERROR(VLOOKUP(C2823,'[1]خريطة الحسابات'!_xlnm.Print_Area,3,FALSE))," ",(VLOOKUP(C2823,'[1]خريطة الحسابات'!_xlnm.Print_Area,3,FALSE)))</f>
        <v xml:space="preserve">الخزينة </v>
      </c>
      <c r="E2823" s="142"/>
      <c r="F2823" s="133">
        <v>181100</v>
      </c>
      <c r="G2823" s="133"/>
      <c r="H2823" s="134">
        <f t="shared" si="130"/>
        <v>181100</v>
      </c>
      <c r="I2823" s="134">
        <f t="shared" si="130"/>
        <v>0</v>
      </c>
      <c r="J2823" s="134">
        <f t="shared" si="129"/>
        <v>181100</v>
      </c>
      <c r="K2823" s="135"/>
      <c r="L2823" s="148" t="str">
        <f t="shared" si="131"/>
        <v>مدين</v>
      </c>
      <c r="M2823" s="137" t="str">
        <f>IF(ISERROR(VLOOKUP(C2823,'[1]خريطة الحسابات'!_xlnm.Print_Area,4,FALSE))," ",(VLOOKUP(C2823,'[1]خريطة الحسابات'!_xlnm.Print_Area,4,FALSE)))</f>
        <v xml:space="preserve">أصول متداوله -النقدية ومافي حكمها </v>
      </c>
      <c r="N2823" s="138" t="str">
        <f>IF(ISERROR(VLOOKUP(C2823,'[1]خريطة الحسابات'!_xlnm.Print_Area,5,FALSE))," ",(VLOOKUP(C2823,'[1]خريطة الحسابات'!_xlnm.Print_Area,5,FALSE)))</f>
        <v>الاصول</v>
      </c>
      <c r="O2823" s="84" t="s">
        <v>2569</v>
      </c>
      <c r="P2823" s="84" t="s">
        <v>1345</v>
      </c>
    </row>
    <row r="2824" spans="1:16">
      <c r="A2824" s="151">
        <v>90</v>
      </c>
      <c r="B2824" s="131">
        <v>46061</v>
      </c>
      <c r="C2824" s="150">
        <v>20</v>
      </c>
      <c r="D2824" s="140" t="str">
        <f>IF(ISERROR(VLOOKUP(C2824,'[1]خريطة الحسابات'!_xlnm.Print_Area,3,FALSE))," ",(VLOOKUP(C2824,'[1]خريطة الحسابات'!_xlnm.Print_Area,3,FALSE)))</f>
        <v xml:space="preserve">الخزينة </v>
      </c>
      <c r="E2824" s="142"/>
      <c r="F2824" s="133">
        <v>62410</v>
      </c>
      <c r="G2824" s="133"/>
      <c r="H2824" s="134">
        <f t="shared" si="130"/>
        <v>62410</v>
      </c>
      <c r="I2824" s="134">
        <f t="shared" si="130"/>
        <v>0</v>
      </c>
      <c r="J2824" s="134">
        <f t="shared" si="129"/>
        <v>62410</v>
      </c>
      <c r="K2824" s="135"/>
      <c r="L2824" s="148" t="str">
        <f t="shared" si="131"/>
        <v>مدين</v>
      </c>
      <c r="M2824" s="137" t="str">
        <f>IF(ISERROR(VLOOKUP(C2824,'[1]خريطة الحسابات'!_xlnm.Print_Area,4,FALSE))," ",(VLOOKUP(C2824,'[1]خريطة الحسابات'!_xlnm.Print_Area,4,FALSE)))</f>
        <v xml:space="preserve">أصول متداوله -النقدية ومافي حكمها </v>
      </c>
      <c r="N2824" s="138" t="str">
        <f>IF(ISERROR(VLOOKUP(C2824,'[1]خريطة الحسابات'!_xlnm.Print_Area,5,FALSE))," ",(VLOOKUP(C2824,'[1]خريطة الحسابات'!_xlnm.Print_Area,5,FALSE)))</f>
        <v>الاصول</v>
      </c>
      <c r="O2824" s="84" t="s">
        <v>2570</v>
      </c>
      <c r="P2824" s="84" t="s">
        <v>1340</v>
      </c>
    </row>
    <row r="2825" spans="1:16">
      <c r="A2825" s="151">
        <v>90</v>
      </c>
      <c r="B2825" s="131">
        <v>46098</v>
      </c>
      <c r="C2825" s="150">
        <v>20</v>
      </c>
      <c r="D2825" s="140" t="str">
        <f>IF(ISERROR(VLOOKUP(C2825,'[1]خريطة الحسابات'!_xlnm.Print_Area,3,FALSE))," ",(VLOOKUP(C2825,'[1]خريطة الحسابات'!_xlnm.Print_Area,3,FALSE)))</f>
        <v xml:space="preserve">الخزينة </v>
      </c>
      <c r="E2825" s="142"/>
      <c r="F2825" s="133">
        <v>31818</v>
      </c>
      <c r="G2825" s="133"/>
      <c r="H2825" s="134">
        <f t="shared" si="130"/>
        <v>31818</v>
      </c>
      <c r="I2825" s="134">
        <f t="shared" si="130"/>
        <v>0</v>
      </c>
      <c r="J2825" s="134">
        <f t="shared" si="129"/>
        <v>31818</v>
      </c>
      <c r="K2825" s="135"/>
      <c r="L2825" s="148" t="str">
        <f t="shared" si="131"/>
        <v>مدين</v>
      </c>
      <c r="M2825" s="137" t="str">
        <f>IF(ISERROR(VLOOKUP(C2825,'[1]خريطة الحسابات'!_xlnm.Print_Area,4,FALSE))," ",(VLOOKUP(C2825,'[1]خريطة الحسابات'!_xlnm.Print_Area,4,FALSE)))</f>
        <v xml:space="preserve">أصول متداوله -النقدية ومافي حكمها </v>
      </c>
      <c r="N2825" s="138" t="str">
        <f>IF(ISERROR(VLOOKUP(C2825,'[1]خريطة الحسابات'!_xlnm.Print_Area,5,FALSE))," ",(VLOOKUP(C2825,'[1]خريطة الحسابات'!_xlnm.Print_Area,5,FALSE)))</f>
        <v>الاصول</v>
      </c>
      <c r="O2825" s="84" t="s">
        <v>2571</v>
      </c>
      <c r="P2825" s="84" t="s">
        <v>1340</v>
      </c>
    </row>
    <row r="2826" spans="1:16">
      <c r="A2826" s="151">
        <v>90</v>
      </c>
      <c r="B2826" s="131">
        <v>46126</v>
      </c>
      <c r="C2826" s="150">
        <v>20</v>
      </c>
      <c r="D2826" s="140" t="str">
        <f>IF(ISERROR(VLOOKUP(C2826,'[1]خريطة الحسابات'!_xlnm.Print_Area,3,FALSE))," ",(VLOOKUP(C2826,'[1]خريطة الحسابات'!_xlnm.Print_Area,3,FALSE)))</f>
        <v xml:space="preserve">الخزينة </v>
      </c>
      <c r="E2826" s="142"/>
      <c r="F2826" s="133">
        <v>68040</v>
      </c>
      <c r="G2826" s="133"/>
      <c r="H2826" s="134">
        <f t="shared" si="130"/>
        <v>68040</v>
      </c>
      <c r="I2826" s="134">
        <f t="shared" si="130"/>
        <v>0</v>
      </c>
      <c r="J2826" s="134">
        <f t="shared" si="129"/>
        <v>68040</v>
      </c>
      <c r="K2826" s="135"/>
      <c r="L2826" s="148" t="str">
        <f t="shared" si="131"/>
        <v>مدين</v>
      </c>
      <c r="M2826" s="137" t="str">
        <f>IF(ISERROR(VLOOKUP(C2826,'[1]خريطة الحسابات'!_xlnm.Print_Area,4,FALSE))," ",(VLOOKUP(C2826,'[1]خريطة الحسابات'!_xlnm.Print_Area,4,FALSE)))</f>
        <v xml:space="preserve">أصول متداوله -النقدية ومافي حكمها </v>
      </c>
      <c r="N2826" s="138" t="str">
        <f>IF(ISERROR(VLOOKUP(C2826,'[1]خريطة الحسابات'!_xlnm.Print_Area,5,FALSE))," ",(VLOOKUP(C2826,'[1]خريطة الحسابات'!_xlnm.Print_Area,5,FALSE)))</f>
        <v>الاصول</v>
      </c>
      <c r="O2826" s="84" t="s">
        <v>2572</v>
      </c>
      <c r="P2826" s="84" t="s">
        <v>1340</v>
      </c>
    </row>
    <row r="2827" spans="1:16">
      <c r="A2827" s="151">
        <v>90</v>
      </c>
      <c r="B2827" s="131">
        <v>46046</v>
      </c>
      <c r="C2827" s="150">
        <v>20</v>
      </c>
      <c r="D2827" s="140" t="str">
        <f>IF(ISERROR(VLOOKUP(C2827,'[1]خريطة الحسابات'!_xlnm.Print_Area,3,FALSE))," ",(VLOOKUP(C2827,'[1]خريطة الحسابات'!_xlnm.Print_Area,3,FALSE)))</f>
        <v xml:space="preserve">الخزينة </v>
      </c>
      <c r="E2827" s="142"/>
      <c r="F2827" s="133">
        <v>110000</v>
      </c>
      <c r="G2827" s="133"/>
      <c r="H2827" s="134">
        <f t="shared" si="130"/>
        <v>110000</v>
      </c>
      <c r="I2827" s="134">
        <f t="shared" si="130"/>
        <v>0</v>
      </c>
      <c r="J2827" s="134">
        <f t="shared" si="129"/>
        <v>110000</v>
      </c>
      <c r="K2827" s="135"/>
      <c r="L2827" s="148" t="str">
        <f t="shared" si="131"/>
        <v>مدين</v>
      </c>
      <c r="M2827" s="137" t="str">
        <f>IF(ISERROR(VLOOKUP(C2827,'[1]خريطة الحسابات'!_xlnm.Print_Area,4,FALSE))," ",(VLOOKUP(C2827,'[1]خريطة الحسابات'!_xlnm.Print_Area,4,FALSE)))</f>
        <v xml:space="preserve">أصول متداوله -النقدية ومافي حكمها </v>
      </c>
      <c r="N2827" s="138" t="str">
        <f>IF(ISERROR(VLOOKUP(C2827,'[1]خريطة الحسابات'!_xlnm.Print_Area,5,FALSE))," ",(VLOOKUP(C2827,'[1]خريطة الحسابات'!_xlnm.Print_Area,5,FALSE)))</f>
        <v>الاصول</v>
      </c>
      <c r="O2827" s="84" t="s">
        <v>2573</v>
      </c>
      <c r="P2827" s="84" t="s">
        <v>1310</v>
      </c>
    </row>
    <row r="2828" spans="1:16">
      <c r="A2828" s="151">
        <v>90</v>
      </c>
      <c r="B2828" s="131">
        <v>46034</v>
      </c>
      <c r="C2828" s="150">
        <v>20</v>
      </c>
      <c r="D2828" s="140" t="str">
        <f>IF(ISERROR(VLOOKUP(C2828,'[1]خريطة الحسابات'!_xlnm.Print_Area,3,FALSE))," ",(VLOOKUP(C2828,'[1]خريطة الحسابات'!_xlnm.Print_Area,3,FALSE)))</f>
        <v xml:space="preserve">الخزينة </v>
      </c>
      <c r="E2828" s="142"/>
      <c r="F2828" s="133">
        <v>300000</v>
      </c>
      <c r="G2828" s="133"/>
      <c r="H2828" s="134">
        <f t="shared" si="130"/>
        <v>300000</v>
      </c>
      <c r="I2828" s="134">
        <f t="shared" si="130"/>
        <v>0</v>
      </c>
      <c r="J2828" s="134">
        <f t="shared" si="129"/>
        <v>300000</v>
      </c>
      <c r="K2828" s="135"/>
      <c r="L2828" s="148" t="str">
        <f t="shared" si="131"/>
        <v>مدين</v>
      </c>
      <c r="M2828" s="137" t="str">
        <f>IF(ISERROR(VLOOKUP(C2828,'[1]خريطة الحسابات'!_xlnm.Print_Area,4,FALSE))," ",(VLOOKUP(C2828,'[1]خريطة الحسابات'!_xlnm.Print_Area,4,FALSE)))</f>
        <v xml:space="preserve">أصول متداوله -النقدية ومافي حكمها </v>
      </c>
      <c r="N2828" s="138" t="str">
        <f>IF(ISERROR(VLOOKUP(C2828,'[1]خريطة الحسابات'!_xlnm.Print_Area,5,FALSE))," ",(VLOOKUP(C2828,'[1]خريطة الحسابات'!_xlnm.Print_Area,5,FALSE)))</f>
        <v>الاصول</v>
      </c>
      <c r="O2828" s="84" t="s">
        <v>2574</v>
      </c>
      <c r="P2828" s="84" t="s">
        <v>1299</v>
      </c>
    </row>
    <row r="2829" spans="1:16">
      <c r="A2829" s="151">
        <v>90</v>
      </c>
      <c r="B2829" s="131">
        <v>46056</v>
      </c>
      <c r="C2829" s="150">
        <v>20</v>
      </c>
      <c r="D2829" s="140" t="str">
        <f>IF(ISERROR(VLOOKUP(C2829,'[1]خريطة الحسابات'!_xlnm.Print_Area,3,FALSE))," ",(VLOOKUP(C2829,'[1]خريطة الحسابات'!_xlnm.Print_Area,3,FALSE)))</f>
        <v xml:space="preserve">الخزينة </v>
      </c>
      <c r="E2829" s="142"/>
      <c r="F2829" s="133">
        <v>40000</v>
      </c>
      <c r="G2829" s="133"/>
      <c r="H2829" s="134">
        <f t="shared" si="130"/>
        <v>40000</v>
      </c>
      <c r="I2829" s="134">
        <f t="shared" si="130"/>
        <v>0</v>
      </c>
      <c r="J2829" s="134">
        <f t="shared" si="129"/>
        <v>40000</v>
      </c>
      <c r="K2829" s="135"/>
      <c r="L2829" s="148" t="str">
        <f t="shared" si="131"/>
        <v>مدين</v>
      </c>
      <c r="M2829" s="137" t="str">
        <f>IF(ISERROR(VLOOKUP(C2829,'[1]خريطة الحسابات'!_xlnm.Print_Area,4,FALSE))," ",(VLOOKUP(C2829,'[1]خريطة الحسابات'!_xlnm.Print_Area,4,FALSE)))</f>
        <v xml:space="preserve">أصول متداوله -النقدية ومافي حكمها </v>
      </c>
      <c r="N2829" s="138" t="str">
        <f>IF(ISERROR(VLOOKUP(C2829,'[1]خريطة الحسابات'!_xlnm.Print_Area,5,FALSE))," ",(VLOOKUP(C2829,'[1]خريطة الحسابات'!_xlnm.Print_Area,5,FALSE)))</f>
        <v>الاصول</v>
      </c>
      <c r="O2829" s="84" t="s">
        <v>2575</v>
      </c>
      <c r="P2829" s="84" t="s">
        <v>1299</v>
      </c>
    </row>
    <row r="2830" spans="1:16">
      <c r="A2830" s="151">
        <v>90</v>
      </c>
      <c r="B2830" s="131">
        <v>46064</v>
      </c>
      <c r="C2830" s="150">
        <v>20</v>
      </c>
      <c r="D2830" s="140" t="str">
        <f>IF(ISERROR(VLOOKUP(C2830,'[1]خريطة الحسابات'!_xlnm.Print_Area,3,FALSE))," ",(VLOOKUP(C2830,'[1]خريطة الحسابات'!_xlnm.Print_Area,3,FALSE)))</f>
        <v xml:space="preserve">الخزينة </v>
      </c>
      <c r="E2830" s="142"/>
      <c r="F2830" s="133">
        <v>40000</v>
      </c>
      <c r="G2830" s="133"/>
      <c r="H2830" s="134">
        <f t="shared" si="130"/>
        <v>40000</v>
      </c>
      <c r="I2830" s="134">
        <f t="shared" si="130"/>
        <v>0</v>
      </c>
      <c r="J2830" s="134">
        <f t="shared" si="129"/>
        <v>40000</v>
      </c>
      <c r="K2830" s="135"/>
      <c r="L2830" s="148" t="str">
        <f t="shared" si="131"/>
        <v>مدين</v>
      </c>
      <c r="M2830" s="137" t="str">
        <f>IF(ISERROR(VLOOKUP(C2830,'[1]خريطة الحسابات'!_xlnm.Print_Area,4,FALSE))," ",(VLOOKUP(C2830,'[1]خريطة الحسابات'!_xlnm.Print_Area,4,FALSE)))</f>
        <v xml:space="preserve">أصول متداوله -النقدية ومافي حكمها </v>
      </c>
      <c r="N2830" s="138" t="str">
        <f>IF(ISERROR(VLOOKUP(C2830,'[1]خريطة الحسابات'!_xlnm.Print_Area,5,FALSE))," ",(VLOOKUP(C2830,'[1]خريطة الحسابات'!_xlnm.Print_Area,5,FALSE)))</f>
        <v>الاصول</v>
      </c>
      <c r="O2830" s="84" t="s">
        <v>2574</v>
      </c>
      <c r="P2830" s="84" t="s">
        <v>1299</v>
      </c>
    </row>
    <row r="2831" spans="1:16">
      <c r="A2831" s="151">
        <v>90</v>
      </c>
      <c r="B2831" s="131">
        <v>46079</v>
      </c>
      <c r="C2831" s="150">
        <v>20</v>
      </c>
      <c r="D2831" s="140" t="str">
        <f>IF(ISERROR(VLOOKUP(C2831,'[1]خريطة الحسابات'!_xlnm.Print_Area,3,FALSE))," ",(VLOOKUP(C2831,'[1]خريطة الحسابات'!_xlnm.Print_Area,3,FALSE)))</f>
        <v xml:space="preserve">الخزينة </v>
      </c>
      <c r="E2831" s="142"/>
      <c r="F2831" s="133">
        <v>25000</v>
      </c>
      <c r="G2831" s="133"/>
      <c r="H2831" s="134">
        <f t="shared" si="130"/>
        <v>25000</v>
      </c>
      <c r="I2831" s="134">
        <f t="shared" si="130"/>
        <v>0</v>
      </c>
      <c r="J2831" s="134">
        <f t="shared" si="129"/>
        <v>25000</v>
      </c>
      <c r="K2831" s="135"/>
      <c r="L2831" s="148" t="str">
        <f t="shared" si="131"/>
        <v>مدين</v>
      </c>
      <c r="M2831" s="137" t="str">
        <f>IF(ISERROR(VLOOKUP(C2831,'[1]خريطة الحسابات'!_xlnm.Print_Area,4,FALSE))," ",(VLOOKUP(C2831,'[1]خريطة الحسابات'!_xlnm.Print_Area,4,FALSE)))</f>
        <v xml:space="preserve">أصول متداوله -النقدية ومافي حكمها </v>
      </c>
      <c r="N2831" s="138" t="str">
        <f>IF(ISERROR(VLOOKUP(C2831,'[1]خريطة الحسابات'!_xlnm.Print_Area,5,FALSE))," ",(VLOOKUP(C2831,'[1]خريطة الحسابات'!_xlnm.Print_Area,5,FALSE)))</f>
        <v>الاصول</v>
      </c>
      <c r="O2831" s="84" t="s">
        <v>2574</v>
      </c>
      <c r="P2831" s="84" t="s">
        <v>1299</v>
      </c>
    </row>
    <row r="2832" spans="1:16">
      <c r="A2832" s="151">
        <v>90</v>
      </c>
      <c r="B2832" s="131">
        <v>46055</v>
      </c>
      <c r="C2832" s="150">
        <v>20</v>
      </c>
      <c r="D2832" s="140" t="str">
        <f>IF(ISERROR(VLOOKUP(C2832,'[1]خريطة الحسابات'!_xlnm.Print_Area,3,FALSE))," ",(VLOOKUP(C2832,'[1]خريطة الحسابات'!_xlnm.Print_Area,3,FALSE)))</f>
        <v xml:space="preserve">الخزينة </v>
      </c>
      <c r="E2832" s="142"/>
      <c r="F2832" s="133">
        <v>50000</v>
      </c>
      <c r="G2832" s="133"/>
      <c r="H2832" s="134">
        <f t="shared" si="130"/>
        <v>50000</v>
      </c>
      <c r="I2832" s="134">
        <f t="shared" si="130"/>
        <v>0</v>
      </c>
      <c r="J2832" s="134">
        <f t="shared" si="129"/>
        <v>50000</v>
      </c>
      <c r="K2832" s="135"/>
      <c r="L2832" s="148" t="str">
        <f t="shared" si="131"/>
        <v>مدين</v>
      </c>
      <c r="M2832" s="137" t="str">
        <f>IF(ISERROR(VLOOKUP(C2832,'[1]خريطة الحسابات'!_xlnm.Print_Area,4,FALSE))," ",(VLOOKUP(C2832,'[1]خريطة الحسابات'!_xlnm.Print_Area,4,FALSE)))</f>
        <v xml:space="preserve">أصول متداوله -النقدية ومافي حكمها </v>
      </c>
      <c r="N2832" s="138" t="str">
        <f>IF(ISERROR(VLOOKUP(C2832,'[1]خريطة الحسابات'!_xlnm.Print_Area,5,FALSE))," ",(VLOOKUP(C2832,'[1]خريطة الحسابات'!_xlnm.Print_Area,5,FALSE)))</f>
        <v>الاصول</v>
      </c>
      <c r="O2832" s="84" t="s">
        <v>2576</v>
      </c>
      <c r="P2832" s="84" t="s">
        <v>1304</v>
      </c>
    </row>
    <row r="2833" spans="1:16">
      <c r="A2833" s="151">
        <v>90</v>
      </c>
      <c r="B2833" s="131">
        <v>46089</v>
      </c>
      <c r="C2833" s="150">
        <v>20</v>
      </c>
      <c r="D2833" s="140" t="str">
        <f>IF(ISERROR(VLOOKUP(C2833,'[1]خريطة الحسابات'!_xlnm.Print_Area,3,FALSE))," ",(VLOOKUP(C2833,'[1]خريطة الحسابات'!_xlnm.Print_Area,3,FALSE)))</f>
        <v xml:space="preserve">الخزينة </v>
      </c>
      <c r="E2833" s="142"/>
      <c r="F2833" s="133">
        <v>49000</v>
      </c>
      <c r="G2833" s="133"/>
      <c r="H2833" s="134">
        <f t="shared" si="130"/>
        <v>49000</v>
      </c>
      <c r="I2833" s="134">
        <f t="shared" si="130"/>
        <v>0</v>
      </c>
      <c r="J2833" s="134">
        <f t="shared" si="129"/>
        <v>49000</v>
      </c>
      <c r="K2833" s="135"/>
      <c r="L2833" s="148" t="str">
        <f t="shared" si="131"/>
        <v>مدين</v>
      </c>
      <c r="M2833" s="137" t="str">
        <f>IF(ISERROR(VLOOKUP(C2833,'[1]خريطة الحسابات'!_xlnm.Print_Area,4,FALSE))," ",(VLOOKUP(C2833,'[1]خريطة الحسابات'!_xlnm.Print_Area,4,FALSE)))</f>
        <v xml:space="preserve">أصول متداوله -النقدية ومافي حكمها </v>
      </c>
      <c r="N2833" s="138" t="str">
        <f>IF(ISERROR(VLOOKUP(C2833,'[1]خريطة الحسابات'!_xlnm.Print_Area,5,FALSE))," ",(VLOOKUP(C2833,'[1]خريطة الحسابات'!_xlnm.Print_Area,5,FALSE)))</f>
        <v>الاصول</v>
      </c>
      <c r="O2833" s="84" t="s">
        <v>2577</v>
      </c>
      <c r="P2833" s="84" t="s">
        <v>1304</v>
      </c>
    </row>
    <row r="2834" spans="1:16">
      <c r="A2834" s="151">
        <v>90</v>
      </c>
      <c r="B2834" s="131">
        <v>46099</v>
      </c>
      <c r="C2834" s="150">
        <v>20</v>
      </c>
      <c r="D2834" s="140" t="str">
        <f>IF(ISERROR(VLOOKUP(C2834,'[1]خريطة الحسابات'!_xlnm.Print_Area,3,FALSE))," ",(VLOOKUP(C2834,'[1]خريطة الحسابات'!_xlnm.Print_Area,3,FALSE)))</f>
        <v xml:space="preserve">الخزينة </v>
      </c>
      <c r="E2834" s="142"/>
      <c r="F2834" s="133">
        <v>60445</v>
      </c>
      <c r="G2834" s="133"/>
      <c r="H2834" s="134">
        <f t="shared" si="130"/>
        <v>60445</v>
      </c>
      <c r="I2834" s="134">
        <f t="shared" si="130"/>
        <v>0</v>
      </c>
      <c r="J2834" s="134">
        <f t="shared" si="129"/>
        <v>60445</v>
      </c>
      <c r="K2834" s="135"/>
      <c r="L2834" s="148" t="str">
        <f t="shared" si="131"/>
        <v>مدين</v>
      </c>
      <c r="M2834" s="137" t="str">
        <f>IF(ISERROR(VLOOKUP(C2834,'[1]خريطة الحسابات'!_xlnm.Print_Area,4,FALSE))," ",(VLOOKUP(C2834,'[1]خريطة الحسابات'!_xlnm.Print_Area,4,FALSE)))</f>
        <v xml:space="preserve">أصول متداوله -النقدية ومافي حكمها </v>
      </c>
      <c r="N2834" s="138" t="str">
        <f>IF(ISERROR(VLOOKUP(C2834,'[1]خريطة الحسابات'!_xlnm.Print_Area,5,FALSE))," ",(VLOOKUP(C2834,'[1]خريطة الحسابات'!_xlnm.Print_Area,5,FALSE)))</f>
        <v>الاصول</v>
      </c>
      <c r="O2834" s="84" t="s">
        <v>2578</v>
      </c>
      <c r="P2834" s="84" t="s">
        <v>1304</v>
      </c>
    </row>
    <row r="2835" spans="1:16">
      <c r="A2835" s="151">
        <v>90</v>
      </c>
      <c r="B2835" s="131">
        <v>46036</v>
      </c>
      <c r="C2835" s="150">
        <v>20</v>
      </c>
      <c r="D2835" s="140" t="str">
        <f>IF(ISERROR(VLOOKUP(C2835,'[1]خريطة الحسابات'!_xlnm.Print_Area,3,FALSE))," ",(VLOOKUP(C2835,'[1]خريطة الحسابات'!_xlnm.Print_Area,3,FALSE)))</f>
        <v xml:space="preserve">الخزينة </v>
      </c>
      <c r="E2835" s="142"/>
      <c r="F2835" s="133">
        <v>200000</v>
      </c>
      <c r="G2835" s="133"/>
      <c r="H2835" s="134">
        <f t="shared" si="130"/>
        <v>200000</v>
      </c>
      <c r="I2835" s="134">
        <f t="shared" si="130"/>
        <v>0</v>
      </c>
      <c r="J2835" s="134">
        <f t="shared" si="129"/>
        <v>200000</v>
      </c>
      <c r="K2835" s="135"/>
      <c r="L2835" s="148" t="str">
        <f t="shared" si="131"/>
        <v>مدين</v>
      </c>
      <c r="M2835" s="137" t="str">
        <f>IF(ISERROR(VLOOKUP(C2835,'[1]خريطة الحسابات'!_xlnm.Print_Area,4,FALSE))," ",(VLOOKUP(C2835,'[1]خريطة الحسابات'!_xlnm.Print_Area,4,FALSE)))</f>
        <v xml:space="preserve">أصول متداوله -النقدية ومافي حكمها </v>
      </c>
      <c r="N2835" s="138" t="str">
        <f>IF(ISERROR(VLOOKUP(C2835,'[1]خريطة الحسابات'!_xlnm.Print_Area,5,FALSE))," ",(VLOOKUP(C2835,'[1]خريطة الحسابات'!_xlnm.Print_Area,5,FALSE)))</f>
        <v>الاصول</v>
      </c>
      <c r="O2835" s="84" t="s">
        <v>2579</v>
      </c>
      <c r="P2835" s="84" t="s">
        <v>1292</v>
      </c>
    </row>
    <row r="2836" spans="1:16">
      <c r="A2836" s="151">
        <v>90</v>
      </c>
      <c r="B2836" s="131">
        <v>46040</v>
      </c>
      <c r="C2836" s="150">
        <v>20</v>
      </c>
      <c r="D2836" s="140" t="str">
        <f>IF(ISERROR(VLOOKUP(C2836,'[1]خريطة الحسابات'!_xlnm.Print_Area,3,FALSE))," ",(VLOOKUP(C2836,'[1]خريطة الحسابات'!_xlnm.Print_Area,3,FALSE)))</f>
        <v xml:space="preserve">الخزينة </v>
      </c>
      <c r="E2836" s="142"/>
      <c r="F2836" s="133">
        <v>500000</v>
      </c>
      <c r="G2836" s="133"/>
      <c r="H2836" s="134">
        <f t="shared" si="130"/>
        <v>500000</v>
      </c>
      <c r="I2836" s="134">
        <f t="shared" si="130"/>
        <v>0</v>
      </c>
      <c r="J2836" s="134">
        <f t="shared" si="129"/>
        <v>500000</v>
      </c>
      <c r="K2836" s="135"/>
      <c r="L2836" s="148" t="str">
        <f t="shared" si="131"/>
        <v>مدين</v>
      </c>
      <c r="M2836" s="137" t="str">
        <f>IF(ISERROR(VLOOKUP(C2836,'[1]خريطة الحسابات'!_xlnm.Print_Area,4,FALSE))," ",(VLOOKUP(C2836,'[1]خريطة الحسابات'!_xlnm.Print_Area,4,FALSE)))</f>
        <v xml:space="preserve">أصول متداوله -النقدية ومافي حكمها </v>
      </c>
      <c r="N2836" s="138" t="str">
        <f>IF(ISERROR(VLOOKUP(C2836,'[1]خريطة الحسابات'!_xlnm.Print_Area,5,FALSE))," ",(VLOOKUP(C2836,'[1]خريطة الحسابات'!_xlnm.Print_Area,5,FALSE)))</f>
        <v>الاصول</v>
      </c>
      <c r="O2836" s="84" t="s">
        <v>2580</v>
      </c>
      <c r="P2836" s="84" t="s">
        <v>1292</v>
      </c>
    </row>
    <row r="2837" spans="1:16">
      <c r="A2837" s="151">
        <v>90</v>
      </c>
      <c r="B2837" s="131">
        <v>46057</v>
      </c>
      <c r="C2837" s="150">
        <v>20</v>
      </c>
      <c r="D2837" s="140" t="str">
        <f>IF(ISERROR(VLOOKUP(C2837,'[1]خريطة الحسابات'!_xlnm.Print_Area,3,FALSE))," ",(VLOOKUP(C2837,'[1]خريطة الحسابات'!_xlnm.Print_Area,3,FALSE)))</f>
        <v xml:space="preserve">الخزينة </v>
      </c>
      <c r="E2837" s="142"/>
      <c r="F2837" s="133">
        <v>500000</v>
      </c>
      <c r="G2837" s="133"/>
      <c r="H2837" s="134">
        <f t="shared" si="130"/>
        <v>500000</v>
      </c>
      <c r="I2837" s="134">
        <f t="shared" si="130"/>
        <v>0</v>
      </c>
      <c r="J2837" s="134">
        <f t="shared" si="129"/>
        <v>500000</v>
      </c>
      <c r="K2837" s="135"/>
      <c r="L2837" s="148" t="str">
        <f t="shared" si="131"/>
        <v>مدين</v>
      </c>
      <c r="M2837" s="137" t="str">
        <f>IF(ISERROR(VLOOKUP(C2837,'[1]خريطة الحسابات'!_xlnm.Print_Area,4,FALSE))," ",(VLOOKUP(C2837,'[1]خريطة الحسابات'!_xlnm.Print_Area,4,FALSE)))</f>
        <v xml:space="preserve">أصول متداوله -النقدية ومافي حكمها </v>
      </c>
      <c r="N2837" s="138" t="str">
        <f>IF(ISERROR(VLOOKUP(C2837,'[1]خريطة الحسابات'!_xlnm.Print_Area,5,FALSE))," ",(VLOOKUP(C2837,'[1]خريطة الحسابات'!_xlnm.Print_Area,5,FALSE)))</f>
        <v>الاصول</v>
      </c>
      <c r="O2837" s="84" t="s">
        <v>2580</v>
      </c>
      <c r="P2837" s="84" t="s">
        <v>1292</v>
      </c>
    </row>
    <row r="2838" spans="1:16">
      <c r="A2838" s="151">
        <v>90</v>
      </c>
      <c r="B2838" s="131">
        <v>46089</v>
      </c>
      <c r="C2838" s="150">
        <v>20</v>
      </c>
      <c r="D2838" s="140" t="str">
        <f>IF(ISERROR(VLOOKUP(C2838,'[1]خريطة الحسابات'!_xlnm.Print_Area,3,FALSE))," ",(VLOOKUP(C2838,'[1]خريطة الحسابات'!_xlnm.Print_Area,3,FALSE)))</f>
        <v xml:space="preserve">الخزينة </v>
      </c>
      <c r="E2838" s="142"/>
      <c r="F2838" s="133">
        <v>500000</v>
      </c>
      <c r="G2838" s="133"/>
      <c r="H2838" s="134">
        <f t="shared" si="130"/>
        <v>500000</v>
      </c>
      <c r="I2838" s="134">
        <f t="shared" si="130"/>
        <v>0</v>
      </c>
      <c r="J2838" s="134">
        <f t="shared" si="129"/>
        <v>500000</v>
      </c>
      <c r="K2838" s="135"/>
      <c r="L2838" s="148" t="str">
        <f t="shared" si="131"/>
        <v>مدين</v>
      </c>
      <c r="M2838" s="137" t="str">
        <f>IF(ISERROR(VLOOKUP(C2838,'[1]خريطة الحسابات'!_xlnm.Print_Area,4,FALSE))," ",(VLOOKUP(C2838,'[1]خريطة الحسابات'!_xlnm.Print_Area,4,FALSE)))</f>
        <v xml:space="preserve">أصول متداوله -النقدية ومافي حكمها </v>
      </c>
      <c r="N2838" s="138" t="str">
        <f>IF(ISERROR(VLOOKUP(C2838,'[1]خريطة الحسابات'!_xlnm.Print_Area,5,FALSE))," ",(VLOOKUP(C2838,'[1]خريطة الحسابات'!_xlnm.Print_Area,5,FALSE)))</f>
        <v>الاصول</v>
      </c>
      <c r="O2838" s="84" t="s">
        <v>2581</v>
      </c>
      <c r="P2838" s="84" t="s">
        <v>1292</v>
      </c>
    </row>
    <row r="2839" spans="1:16">
      <c r="A2839" s="151">
        <v>90</v>
      </c>
      <c r="B2839" s="131">
        <v>46114</v>
      </c>
      <c r="C2839" s="150">
        <v>20</v>
      </c>
      <c r="D2839" s="140" t="str">
        <f>IF(ISERROR(VLOOKUP(C2839,'[1]خريطة الحسابات'!_xlnm.Print_Area,3,FALSE))," ",(VLOOKUP(C2839,'[1]خريطة الحسابات'!_xlnm.Print_Area,3,FALSE)))</f>
        <v xml:space="preserve">الخزينة </v>
      </c>
      <c r="E2839" s="142"/>
      <c r="F2839" s="133">
        <v>400000</v>
      </c>
      <c r="G2839" s="133"/>
      <c r="H2839" s="134">
        <f t="shared" si="130"/>
        <v>400000</v>
      </c>
      <c r="I2839" s="134">
        <f t="shared" si="130"/>
        <v>0</v>
      </c>
      <c r="J2839" s="134">
        <f t="shared" si="129"/>
        <v>400000</v>
      </c>
      <c r="K2839" s="135"/>
      <c r="L2839" s="148" t="str">
        <f t="shared" si="131"/>
        <v>مدين</v>
      </c>
      <c r="M2839" s="137" t="str">
        <f>IF(ISERROR(VLOOKUP(C2839,'[1]خريطة الحسابات'!_xlnm.Print_Area,4,FALSE))," ",(VLOOKUP(C2839,'[1]خريطة الحسابات'!_xlnm.Print_Area,4,FALSE)))</f>
        <v xml:space="preserve">أصول متداوله -النقدية ومافي حكمها </v>
      </c>
      <c r="N2839" s="138" t="str">
        <f>IF(ISERROR(VLOOKUP(C2839,'[1]خريطة الحسابات'!_xlnm.Print_Area,5,FALSE))," ",(VLOOKUP(C2839,'[1]خريطة الحسابات'!_xlnm.Print_Area,5,FALSE)))</f>
        <v>الاصول</v>
      </c>
      <c r="O2839" s="84" t="s">
        <v>2582</v>
      </c>
      <c r="P2839" s="84" t="s">
        <v>1292</v>
      </c>
    </row>
    <row r="2840" spans="1:16">
      <c r="A2840" s="151">
        <v>90</v>
      </c>
      <c r="B2840" s="131">
        <v>46145</v>
      </c>
      <c r="C2840" s="150">
        <v>20</v>
      </c>
      <c r="D2840" s="140" t="str">
        <f>IF(ISERROR(VLOOKUP(C2840,'[1]خريطة الحسابات'!_xlnm.Print_Area,3,FALSE))," ",(VLOOKUP(C2840,'[1]خريطة الحسابات'!_xlnm.Print_Area,3,FALSE)))</f>
        <v xml:space="preserve">الخزينة </v>
      </c>
      <c r="E2840" s="142"/>
      <c r="F2840" s="133">
        <v>500000</v>
      </c>
      <c r="G2840" s="133"/>
      <c r="H2840" s="134">
        <f t="shared" si="130"/>
        <v>500000</v>
      </c>
      <c r="I2840" s="134">
        <f t="shared" si="130"/>
        <v>0</v>
      </c>
      <c r="J2840" s="134">
        <f t="shared" ref="J2840:J2903" si="132">H2840-I2840</f>
        <v>500000</v>
      </c>
      <c r="K2840" s="135"/>
      <c r="L2840" s="148" t="str">
        <f t="shared" si="131"/>
        <v>مدين</v>
      </c>
      <c r="M2840" s="137" t="str">
        <f>IF(ISERROR(VLOOKUP(C2840,'[1]خريطة الحسابات'!_xlnm.Print_Area,4,FALSE))," ",(VLOOKUP(C2840,'[1]خريطة الحسابات'!_xlnm.Print_Area,4,FALSE)))</f>
        <v xml:space="preserve">أصول متداوله -النقدية ومافي حكمها </v>
      </c>
      <c r="N2840" s="138" t="str">
        <f>IF(ISERROR(VLOOKUP(C2840,'[1]خريطة الحسابات'!_xlnm.Print_Area,5,FALSE))," ",(VLOOKUP(C2840,'[1]خريطة الحسابات'!_xlnm.Print_Area,5,FALSE)))</f>
        <v>الاصول</v>
      </c>
      <c r="O2840" s="84" t="s">
        <v>2583</v>
      </c>
      <c r="P2840" s="84" t="s">
        <v>1292</v>
      </c>
    </row>
    <row r="2841" spans="1:16">
      <c r="A2841" s="151">
        <v>90</v>
      </c>
      <c r="B2841" s="131">
        <v>46153</v>
      </c>
      <c r="C2841" s="150">
        <v>20</v>
      </c>
      <c r="D2841" s="140" t="str">
        <f>IF(ISERROR(VLOOKUP(C2841,'[1]خريطة الحسابات'!_xlnm.Print_Area,3,FALSE))," ",(VLOOKUP(C2841,'[1]خريطة الحسابات'!_xlnm.Print_Area,3,FALSE)))</f>
        <v xml:space="preserve">الخزينة </v>
      </c>
      <c r="E2841" s="142"/>
      <c r="F2841" s="133">
        <v>500000</v>
      </c>
      <c r="G2841" s="133"/>
      <c r="H2841" s="134">
        <f t="shared" ref="H2841:I2904" si="133">IF($E2841=2,F2841*3.465,F2841)</f>
        <v>500000</v>
      </c>
      <c r="I2841" s="134">
        <f t="shared" si="133"/>
        <v>0</v>
      </c>
      <c r="J2841" s="134">
        <f t="shared" si="132"/>
        <v>500000</v>
      </c>
      <c r="K2841" s="135"/>
      <c r="L2841" s="148" t="str">
        <f t="shared" si="131"/>
        <v>مدين</v>
      </c>
      <c r="M2841" s="137" t="str">
        <f>IF(ISERROR(VLOOKUP(C2841,'[1]خريطة الحسابات'!_xlnm.Print_Area,4,FALSE))," ",(VLOOKUP(C2841,'[1]خريطة الحسابات'!_xlnm.Print_Area,4,FALSE)))</f>
        <v xml:space="preserve">أصول متداوله -النقدية ومافي حكمها </v>
      </c>
      <c r="N2841" s="138" t="str">
        <f>IF(ISERROR(VLOOKUP(C2841,'[1]خريطة الحسابات'!_xlnm.Print_Area,5,FALSE))," ",(VLOOKUP(C2841,'[1]خريطة الحسابات'!_xlnm.Print_Area,5,FALSE)))</f>
        <v>الاصول</v>
      </c>
      <c r="O2841" s="84" t="s">
        <v>2583</v>
      </c>
      <c r="P2841" s="84" t="s">
        <v>1292</v>
      </c>
    </row>
    <row r="2842" spans="1:16">
      <c r="A2842" s="151">
        <v>90</v>
      </c>
      <c r="B2842" s="131">
        <v>46179</v>
      </c>
      <c r="C2842" s="150">
        <v>20</v>
      </c>
      <c r="D2842" s="140" t="str">
        <f>IF(ISERROR(VLOOKUP(C2842,'[1]خريطة الحسابات'!_xlnm.Print_Area,3,FALSE))," ",(VLOOKUP(C2842,'[1]خريطة الحسابات'!_xlnm.Print_Area,3,FALSE)))</f>
        <v xml:space="preserve">الخزينة </v>
      </c>
      <c r="E2842" s="142"/>
      <c r="F2842" s="133">
        <v>500000</v>
      </c>
      <c r="G2842" s="133"/>
      <c r="H2842" s="134">
        <f t="shared" si="133"/>
        <v>500000</v>
      </c>
      <c r="I2842" s="134">
        <f t="shared" si="133"/>
        <v>0</v>
      </c>
      <c r="J2842" s="134">
        <f t="shared" si="132"/>
        <v>500000</v>
      </c>
      <c r="K2842" s="135"/>
      <c r="L2842" s="148" t="str">
        <f t="shared" si="131"/>
        <v>مدين</v>
      </c>
      <c r="M2842" s="137" t="str">
        <f>IF(ISERROR(VLOOKUP(C2842,'[1]خريطة الحسابات'!_xlnm.Print_Area,4,FALSE))," ",(VLOOKUP(C2842,'[1]خريطة الحسابات'!_xlnm.Print_Area,4,FALSE)))</f>
        <v xml:space="preserve">أصول متداوله -النقدية ومافي حكمها </v>
      </c>
      <c r="N2842" s="138" t="str">
        <f>IF(ISERROR(VLOOKUP(C2842,'[1]خريطة الحسابات'!_xlnm.Print_Area,5,FALSE))," ",(VLOOKUP(C2842,'[1]خريطة الحسابات'!_xlnm.Print_Area,5,FALSE)))</f>
        <v>الاصول</v>
      </c>
      <c r="O2842" s="84" t="s">
        <v>2580</v>
      </c>
      <c r="P2842" s="84" t="s">
        <v>1292</v>
      </c>
    </row>
    <row r="2843" spans="1:16">
      <c r="A2843" s="151">
        <v>90</v>
      </c>
      <c r="B2843" s="131">
        <v>46114</v>
      </c>
      <c r="C2843" s="150">
        <v>20</v>
      </c>
      <c r="D2843" s="140" t="str">
        <f>IF(ISERROR(VLOOKUP(C2843,'[1]خريطة الحسابات'!_xlnm.Print_Area,3,FALSE))," ",(VLOOKUP(C2843,'[1]خريطة الحسابات'!_xlnm.Print_Area,3,FALSE)))</f>
        <v xml:space="preserve">الخزينة </v>
      </c>
      <c r="E2843" s="142"/>
      <c r="F2843" s="133">
        <v>100000</v>
      </c>
      <c r="G2843" s="133"/>
      <c r="H2843" s="134">
        <f t="shared" si="133"/>
        <v>100000</v>
      </c>
      <c r="I2843" s="134">
        <f t="shared" si="133"/>
        <v>0</v>
      </c>
      <c r="J2843" s="134">
        <f t="shared" si="132"/>
        <v>100000</v>
      </c>
      <c r="K2843" s="135"/>
      <c r="L2843" s="148" t="str">
        <f t="shared" ref="L2843:L2906" si="134">IF(J2843&lt;0,"دائن",IF(J2843&gt;0,"مدين",""))</f>
        <v>مدين</v>
      </c>
      <c r="M2843" s="137" t="str">
        <f>IF(ISERROR(VLOOKUP(C2843,'[1]خريطة الحسابات'!_xlnm.Print_Area,4,FALSE))," ",(VLOOKUP(C2843,'[1]خريطة الحسابات'!_xlnm.Print_Area,4,FALSE)))</f>
        <v xml:space="preserve">أصول متداوله -النقدية ومافي حكمها </v>
      </c>
      <c r="N2843" s="138" t="str">
        <f>IF(ISERROR(VLOOKUP(C2843,'[1]خريطة الحسابات'!_xlnm.Print_Area,5,FALSE))," ",(VLOOKUP(C2843,'[1]خريطة الحسابات'!_xlnm.Print_Area,5,FALSE)))</f>
        <v>الاصول</v>
      </c>
      <c r="O2843" s="84" t="s">
        <v>2584</v>
      </c>
      <c r="P2843" s="84" t="s">
        <v>1480</v>
      </c>
    </row>
    <row r="2844" spans="1:16">
      <c r="A2844" s="151">
        <v>90</v>
      </c>
      <c r="B2844" s="131">
        <v>46121</v>
      </c>
      <c r="C2844" s="150">
        <v>20</v>
      </c>
      <c r="D2844" s="140" t="str">
        <f>IF(ISERROR(VLOOKUP(C2844,'[1]خريطة الحسابات'!_xlnm.Print_Area,3,FALSE))," ",(VLOOKUP(C2844,'[1]خريطة الحسابات'!_xlnm.Print_Area,3,FALSE)))</f>
        <v xml:space="preserve">الخزينة </v>
      </c>
      <c r="E2844" s="142"/>
      <c r="F2844" s="133">
        <v>50000</v>
      </c>
      <c r="G2844" s="133"/>
      <c r="H2844" s="134">
        <f t="shared" si="133"/>
        <v>50000</v>
      </c>
      <c r="I2844" s="134">
        <f t="shared" si="133"/>
        <v>0</v>
      </c>
      <c r="J2844" s="134">
        <f t="shared" si="132"/>
        <v>50000</v>
      </c>
      <c r="K2844" s="135"/>
      <c r="L2844" s="148" t="str">
        <f t="shared" si="134"/>
        <v>مدين</v>
      </c>
      <c r="M2844" s="137" t="str">
        <f>IF(ISERROR(VLOOKUP(C2844,'[1]خريطة الحسابات'!_xlnm.Print_Area,4,FALSE))," ",(VLOOKUP(C2844,'[1]خريطة الحسابات'!_xlnm.Print_Area,4,FALSE)))</f>
        <v xml:space="preserve">أصول متداوله -النقدية ومافي حكمها </v>
      </c>
      <c r="N2844" s="138" t="str">
        <f>IF(ISERROR(VLOOKUP(C2844,'[1]خريطة الحسابات'!_xlnm.Print_Area,5,FALSE))," ",(VLOOKUP(C2844,'[1]خريطة الحسابات'!_xlnm.Print_Area,5,FALSE)))</f>
        <v>الاصول</v>
      </c>
      <c r="O2844" s="84" t="s">
        <v>2584</v>
      </c>
      <c r="P2844" s="84" t="s">
        <v>1480</v>
      </c>
    </row>
    <row r="2845" spans="1:16">
      <c r="A2845" s="151">
        <v>90</v>
      </c>
      <c r="B2845" s="131">
        <v>46155</v>
      </c>
      <c r="C2845" s="150">
        <v>20</v>
      </c>
      <c r="D2845" s="140" t="str">
        <f>IF(ISERROR(VLOOKUP(C2845,'[1]خريطة الحسابات'!_xlnm.Print_Area,3,FALSE))," ",(VLOOKUP(C2845,'[1]خريطة الحسابات'!_xlnm.Print_Area,3,FALSE)))</f>
        <v xml:space="preserve">الخزينة </v>
      </c>
      <c r="E2845" s="142"/>
      <c r="F2845" s="133">
        <v>30000</v>
      </c>
      <c r="G2845" s="133"/>
      <c r="H2845" s="134">
        <f t="shared" si="133"/>
        <v>30000</v>
      </c>
      <c r="I2845" s="134">
        <f t="shared" si="133"/>
        <v>0</v>
      </c>
      <c r="J2845" s="134">
        <f t="shared" si="132"/>
        <v>30000</v>
      </c>
      <c r="K2845" s="135"/>
      <c r="L2845" s="148" t="str">
        <f t="shared" si="134"/>
        <v>مدين</v>
      </c>
      <c r="M2845" s="137" t="str">
        <f>IF(ISERROR(VLOOKUP(C2845,'[1]خريطة الحسابات'!_xlnm.Print_Area,4,FALSE))," ",(VLOOKUP(C2845,'[1]خريطة الحسابات'!_xlnm.Print_Area,4,FALSE)))</f>
        <v xml:space="preserve">أصول متداوله -النقدية ومافي حكمها </v>
      </c>
      <c r="N2845" s="138" t="str">
        <f>IF(ISERROR(VLOOKUP(C2845,'[1]خريطة الحسابات'!_xlnm.Print_Area,5,FALSE))," ",(VLOOKUP(C2845,'[1]خريطة الحسابات'!_xlnm.Print_Area,5,FALSE)))</f>
        <v>الاصول</v>
      </c>
      <c r="O2845" s="84" t="s">
        <v>2585</v>
      </c>
      <c r="P2845" s="84" t="s">
        <v>1480</v>
      </c>
    </row>
    <row r="2846" spans="1:16">
      <c r="A2846" s="151">
        <v>90</v>
      </c>
      <c r="B2846" s="131">
        <v>46186</v>
      </c>
      <c r="C2846" s="150">
        <v>20</v>
      </c>
      <c r="D2846" s="140" t="str">
        <f>IF(ISERROR(VLOOKUP(C2846,'[1]خريطة الحسابات'!_xlnm.Print_Area,3,FALSE))," ",(VLOOKUP(C2846,'[1]خريطة الحسابات'!_xlnm.Print_Area,3,FALSE)))</f>
        <v xml:space="preserve">الخزينة </v>
      </c>
      <c r="E2846" s="142"/>
      <c r="F2846" s="133">
        <v>100000</v>
      </c>
      <c r="G2846" s="133"/>
      <c r="H2846" s="134">
        <f t="shared" si="133"/>
        <v>100000</v>
      </c>
      <c r="I2846" s="134">
        <f t="shared" si="133"/>
        <v>0</v>
      </c>
      <c r="J2846" s="134">
        <f t="shared" si="132"/>
        <v>100000</v>
      </c>
      <c r="K2846" s="135"/>
      <c r="L2846" s="148" t="str">
        <f t="shared" si="134"/>
        <v>مدين</v>
      </c>
      <c r="M2846" s="137" t="str">
        <f>IF(ISERROR(VLOOKUP(C2846,'[1]خريطة الحسابات'!_xlnm.Print_Area,4,FALSE))," ",(VLOOKUP(C2846,'[1]خريطة الحسابات'!_xlnm.Print_Area,4,FALSE)))</f>
        <v xml:space="preserve">أصول متداوله -النقدية ومافي حكمها </v>
      </c>
      <c r="N2846" s="138" t="str">
        <f>IF(ISERROR(VLOOKUP(C2846,'[1]خريطة الحسابات'!_xlnm.Print_Area,5,FALSE))," ",(VLOOKUP(C2846,'[1]خريطة الحسابات'!_xlnm.Print_Area,5,FALSE)))</f>
        <v>الاصول</v>
      </c>
      <c r="O2846" s="84" t="s">
        <v>2584</v>
      </c>
      <c r="P2846" s="84" t="s">
        <v>1480</v>
      </c>
    </row>
    <row r="2847" spans="1:16">
      <c r="A2847" s="151">
        <v>90</v>
      </c>
      <c r="B2847" s="131">
        <v>46037</v>
      </c>
      <c r="C2847" s="150">
        <v>20</v>
      </c>
      <c r="D2847" s="140" t="str">
        <f>IF(ISERROR(VLOOKUP(C2847,'[1]خريطة الحسابات'!_xlnm.Print_Area,3,FALSE))," ",(VLOOKUP(C2847,'[1]خريطة الحسابات'!_xlnm.Print_Area,3,FALSE)))</f>
        <v xml:space="preserve">الخزينة </v>
      </c>
      <c r="E2847" s="142"/>
      <c r="F2847" s="133">
        <v>250000</v>
      </c>
      <c r="G2847" s="133"/>
      <c r="H2847" s="134">
        <f t="shared" si="133"/>
        <v>250000</v>
      </c>
      <c r="I2847" s="134">
        <f t="shared" si="133"/>
        <v>0</v>
      </c>
      <c r="J2847" s="134">
        <f t="shared" si="132"/>
        <v>250000</v>
      </c>
      <c r="K2847" s="135"/>
      <c r="L2847" s="148" t="str">
        <f t="shared" si="134"/>
        <v>مدين</v>
      </c>
      <c r="M2847" s="137" t="str">
        <f>IF(ISERROR(VLOOKUP(C2847,'[1]خريطة الحسابات'!_xlnm.Print_Area,4,FALSE))," ",(VLOOKUP(C2847,'[1]خريطة الحسابات'!_xlnm.Print_Area,4,FALSE)))</f>
        <v xml:space="preserve">أصول متداوله -النقدية ومافي حكمها </v>
      </c>
      <c r="N2847" s="138" t="str">
        <f>IF(ISERROR(VLOOKUP(C2847,'[1]خريطة الحسابات'!_xlnm.Print_Area,5,FALSE))," ",(VLOOKUP(C2847,'[1]خريطة الحسابات'!_xlnm.Print_Area,5,FALSE)))</f>
        <v>الاصول</v>
      </c>
      <c r="O2847" s="84" t="s">
        <v>2586</v>
      </c>
      <c r="P2847" s="84" t="s">
        <v>1295</v>
      </c>
    </row>
    <row r="2848" spans="1:16">
      <c r="A2848" s="151">
        <v>90</v>
      </c>
      <c r="B2848" s="131">
        <v>46081</v>
      </c>
      <c r="C2848" s="150">
        <v>20</v>
      </c>
      <c r="D2848" s="140" t="str">
        <f>IF(ISERROR(VLOOKUP(C2848,'[1]خريطة الحسابات'!_xlnm.Print_Area,3,FALSE))," ",(VLOOKUP(C2848,'[1]خريطة الحسابات'!_xlnm.Print_Area,3,FALSE)))</f>
        <v xml:space="preserve">الخزينة </v>
      </c>
      <c r="E2848" s="142"/>
      <c r="F2848" s="133">
        <v>115000</v>
      </c>
      <c r="G2848" s="133"/>
      <c r="H2848" s="134">
        <f t="shared" si="133"/>
        <v>115000</v>
      </c>
      <c r="I2848" s="134">
        <f t="shared" si="133"/>
        <v>0</v>
      </c>
      <c r="J2848" s="134">
        <f t="shared" si="132"/>
        <v>115000</v>
      </c>
      <c r="K2848" s="135"/>
      <c r="L2848" s="148" t="str">
        <f t="shared" si="134"/>
        <v>مدين</v>
      </c>
      <c r="M2848" s="137" t="str">
        <f>IF(ISERROR(VLOOKUP(C2848,'[1]خريطة الحسابات'!_xlnm.Print_Area,4,FALSE))," ",(VLOOKUP(C2848,'[1]خريطة الحسابات'!_xlnm.Print_Area,4,FALSE)))</f>
        <v xml:space="preserve">أصول متداوله -النقدية ومافي حكمها </v>
      </c>
      <c r="N2848" s="138" t="str">
        <f>IF(ISERROR(VLOOKUP(C2848,'[1]خريطة الحسابات'!_xlnm.Print_Area,5,FALSE))," ",(VLOOKUP(C2848,'[1]خريطة الحسابات'!_xlnm.Print_Area,5,FALSE)))</f>
        <v>الاصول</v>
      </c>
      <c r="O2848" s="84" t="s">
        <v>2587</v>
      </c>
      <c r="P2848" s="84" t="s">
        <v>1295</v>
      </c>
    </row>
    <row r="2849" spans="1:16">
      <c r="A2849" s="151">
        <v>90</v>
      </c>
      <c r="B2849" s="131">
        <v>46064</v>
      </c>
      <c r="C2849" s="150">
        <v>20</v>
      </c>
      <c r="D2849" s="140" t="str">
        <f>IF(ISERROR(VLOOKUP(C2849,'[1]خريطة الحسابات'!_xlnm.Print_Area,3,FALSE))," ",(VLOOKUP(C2849,'[1]خريطة الحسابات'!_xlnm.Print_Area,3,FALSE)))</f>
        <v xml:space="preserve">الخزينة </v>
      </c>
      <c r="E2849" s="142"/>
      <c r="F2849" s="133">
        <v>40000</v>
      </c>
      <c r="G2849" s="133"/>
      <c r="H2849" s="134">
        <f t="shared" si="133"/>
        <v>40000</v>
      </c>
      <c r="I2849" s="134">
        <f t="shared" si="133"/>
        <v>0</v>
      </c>
      <c r="J2849" s="134">
        <f t="shared" si="132"/>
        <v>40000</v>
      </c>
      <c r="K2849" s="135"/>
      <c r="L2849" s="148" t="str">
        <f t="shared" si="134"/>
        <v>مدين</v>
      </c>
      <c r="M2849" s="137" t="str">
        <f>IF(ISERROR(VLOOKUP(C2849,'[1]خريطة الحسابات'!_xlnm.Print_Area,4,FALSE))," ",(VLOOKUP(C2849,'[1]خريطة الحسابات'!_xlnm.Print_Area,4,FALSE)))</f>
        <v xml:space="preserve">أصول متداوله -النقدية ومافي حكمها </v>
      </c>
      <c r="N2849" s="138" t="str">
        <f>IF(ISERROR(VLOOKUP(C2849,'[1]خريطة الحسابات'!_xlnm.Print_Area,5,FALSE))," ",(VLOOKUP(C2849,'[1]خريطة الحسابات'!_xlnm.Print_Area,5,FALSE)))</f>
        <v>الاصول</v>
      </c>
      <c r="O2849" s="84" t="s">
        <v>2588</v>
      </c>
      <c r="P2849" s="84" t="s">
        <v>1327</v>
      </c>
    </row>
    <row r="2850" spans="1:16">
      <c r="A2850" s="151">
        <v>90</v>
      </c>
      <c r="B2850" s="131">
        <v>46138</v>
      </c>
      <c r="C2850" s="150">
        <v>20</v>
      </c>
      <c r="D2850" s="140" t="str">
        <f>IF(ISERROR(VLOOKUP(C2850,'[1]خريطة الحسابات'!_xlnm.Print_Area,3,FALSE))," ",(VLOOKUP(C2850,'[1]خريطة الحسابات'!_xlnm.Print_Area,3,FALSE)))</f>
        <v xml:space="preserve">الخزينة </v>
      </c>
      <c r="E2850" s="142"/>
      <c r="F2850" s="133">
        <v>40000</v>
      </c>
      <c r="G2850" s="133"/>
      <c r="H2850" s="134">
        <f t="shared" si="133"/>
        <v>40000</v>
      </c>
      <c r="I2850" s="134">
        <f t="shared" si="133"/>
        <v>0</v>
      </c>
      <c r="J2850" s="134">
        <f t="shared" si="132"/>
        <v>40000</v>
      </c>
      <c r="K2850" s="135"/>
      <c r="L2850" s="148" t="str">
        <f t="shared" si="134"/>
        <v>مدين</v>
      </c>
      <c r="M2850" s="137" t="str">
        <f>IF(ISERROR(VLOOKUP(C2850,'[1]خريطة الحسابات'!_xlnm.Print_Area,4,FALSE))," ",(VLOOKUP(C2850,'[1]خريطة الحسابات'!_xlnm.Print_Area,4,FALSE)))</f>
        <v xml:space="preserve">أصول متداوله -النقدية ومافي حكمها </v>
      </c>
      <c r="N2850" s="138" t="str">
        <f>IF(ISERROR(VLOOKUP(C2850,'[1]خريطة الحسابات'!_xlnm.Print_Area,5,FALSE))," ",(VLOOKUP(C2850,'[1]خريطة الحسابات'!_xlnm.Print_Area,5,FALSE)))</f>
        <v>الاصول</v>
      </c>
      <c r="O2850" s="84" t="s">
        <v>2589</v>
      </c>
      <c r="P2850" s="84" t="s">
        <v>1327</v>
      </c>
    </row>
    <row r="2851" spans="1:16">
      <c r="A2851" s="151">
        <v>90</v>
      </c>
      <c r="B2851" s="131">
        <v>46030</v>
      </c>
      <c r="C2851" s="150">
        <v>20</v>
      </c>
      <c r="D2851" s="140" t="str">
        <f>IF(ISERROR(VLOOKUP(C2851,'[1]خريطة الحسابات'!_xlnm.Print_Area,3,FALSE))," ",(VLOOKUP(C2851,'[1]خريطة الحسابات'!_xlnm.Print_Area,3,FALSE)))</f>
        <v xml:space="preserve">الخزينة </v>
      </c>
      <c r="E2851" s="142"/>
      <c r="F2851" s="133">
        <v>500000</v>
      </c>
      <c r="G2851" s="133"/>
      <c r="H2851" s="134">
        <f t="shared" si="133"/>
        <v>500000</v>
      </c>
      <c r="I2851" s="134">
        <f t="shared" si="133"/>
        <v>0</v>
      </c>
      <c r="J2851" s="134">
        <f t="shared" si="132"/>
        <v>500000</v>
      </c>
      <c r="K2851" s="135"/>
      <c r="L2851" s="148" t="str">
        <f t="shared" si="134"/>
        <v>مدين</v>
      </c>
      <c r="M2851" s="137" t="str">
        <f>IF(ISERROR(VLOOKUP(C2851,'[1]خريطة الحسابات'!_xlnm.Print_Area,4,FALSE))," ",(VLOOKUP(C2851,'[1]خريطة الحسابات'!_xlnm.Print_Area,4,FALSE)))</f>
        <v xml:space="preserve">أصول متداوله -النقدية ومافي حكمها </v>
      </c>
      <c r="N2851" s="138" t="str">
        <f>IF(ISERROR(VLOOKUP(C2851,'[1]خريطة الحسابات'!_xlnm.Print_Area,5,FALSE))," ",(VLOOKUP(C2851,'[1]خريطة الحسابات'!_xlnm.Print_Area,5,FALSE)))</f>
        <v>الاصول</v>
      </c>
      <c r="O2851" s="84" t="s">
        <v>2590</v>
      </c>
      <c r="P2851" s="84" t="s">
        <v>1290</v>
      </c>
    </row>
    <row r="2852" spans="1:16">
      <c r="A2852" s="151">
        <v>90</v>
      </c>
      <c r="B2852" s="131">
        <v>46048</v>
      </c>
      <c r="C2852" s="150">
        <v>20</v>
      </c>
      <c r="D2852" s="140" t="str">
        <f>IF(ISERROR(VLOOKUP(C2852,'[1]خريطة الحسابات'!_xlnm.Print_Area,3,FALSE))," ",(VLOOKUP(C2852,'[1]خريطة الحسابات'!_xlnm.Print_Area,3,FALSE)))</f>
        <v xml:space="preserve">الخزينة </v>
      </c>
      <c r="E2852" s="142"/>
      <c r="F2852" s="133">
        <v>33300</v>
      </c>
      <c r="G2852" s="133"/>
      <c r="H2852" s="134">
        <f t="shared" si="133"/>
        <v>33300</v>
      </c>
      <c r="I2852" s="134">
        <f t="shared" si="133"/>
        <v>0</v>
      </c>
      <c r="J2852" s="134">
        <f t="shared" si="132"/>
        <v>33300</v>
      </c>
      <c r="K2852" s="135"/>
      <c r="L2852" s="148" t="str">
        <f t="shared" si="134"/>
        <v>مدين</v>
      </c>
      <c r="M2852" s="137" t="str">
        <f>IF(ISERROR(VLOOKUP(C2852,'[1]خريطة الحسابات'!_xlnm.Print_Area,4,FALSE))," ",(VLOOKUP(C2852,'[1]خريطة الحسابات'!_xlnm.Print_Area,4,FALSE)))</f>
        <v xml:space="preserve">أصول متداوله -النقدية ومافي حكمها </v>
      </c>
      <c r="N2852" s="138" t="str">
        <f>IF(ISERROR(VLOOKUP(C2852,'[1]خريطة الحسابات'!_xlnm.Print_Area,5,FALSE))," ",(VLOOKUP(C2852,'[1]خريطة الحسابات'!_xlnm.Print_Area,5,FALSE)))</f>
        <v>الاصول</v>
      </c>
      <c r="O2852" s="84" t="s">
        <v>2591</v>
      </c>
      <c r="P2852" s="84" t="s">
        <v>1290</v>
      </c>
    </row>
    <row r="2853" spans="1:16">
      <c r="A2853" s="151">
        <v>90</v>
      </c>
      <c r="B2853" s="131">
        <v>46056</v>
      </c>
      <c r="C2853" s="150">
        <v>20</v>
      </c>
      <c r="D2853" s="140" t="str">
        <f>IF(ISERROR(VLOOKUP(C2853,'[1]خريطة الحسابات'!_xlnm.Print_Area,3,FALSE))," ",(VLOOKUP(C2853,'[1]خريطة الحسابات'!_xlnm.Print_Area,3,FALSE)))</f>
        <v xml:space="preserve">الخزينة </v>
      </c>
      <c r="E2853" s="142"/>
      <c r="F2853" s="133">
        <v>1600000</v>
      </c>
      <c r="G2853" s="133"/>
      <c r="H2853" s="134">
        <f t="shared" si="133"/>
        <v>1600000</v>
      </c>
      <c r="I2853" s="134">
        <f t="shared" si="133"/>
        <v>0</v>
      </c>
      <c r="J2853" s="134">
        <f t="shared" si="132"/>
        <v>1600000</v>
      </c>
      <c r="K2853" s="135"/>
      <c r="L2853" s="148" t="str">
        <f t="shared" si="134"/>
        <v>مدين</v>
      </c>
      <c r="M2853" s="137" t="str">
        <f>IF(ISERROR(VLOOKUP(C2853,'[1]خريطة الحسابات'!_xlnm.Print_Area,4,FALSE))," ",(VLOOKUP(C2853,'[1]خريطة الحسابات'!_xlnm.Print_Area,4,FALSE)))</f>
        <v xml:space="preserve">أصول متداوله -النقدية ومافي حكمها </v>
      </c>
      <c r="N2853" s="138" t="str">
        <f>IF(ISERROR(VLOOKUP(C2853,'[1]خريطة الحسابات'!_xlnm.Print_Area,5,FALSE))," ",(VLOOKUP(C2853,'[1]خريطة الحسابات'!_xlnm.Print_Area,5,FALSE)))</f>
        <v>الاصول</v>
      </c>
      <c r="O2853" s="84" t="s">
        <v>2591</v>
      </c>
      <c r="P2853" s="84" t="s">
        <v>1290</v>
      </c>
    </row>
    <row r="2854" spans="1:16">
      <c r="A2854" s="151">
        <v>90</v>
      </c>
      <c r="B2854" s="131">
        <v>46071</v>
      </c>
      <c r="C2854" s="150">
        <v>20</v>
      </c>
      <c r="D2854" s="140" t="str">
        <f>IF(ISERROR(VLOOKUP(C2854,'[1]خريطة الحسابات'!_xlnm.Print_Area,3,FALSE))," ",(VLOOKUP(C2854,'[1]خريطة الحسابات'!_xlnm.Print_Area,3,FALSE)))</f>
        <v xml:space="preserve">الخزينة </v>
      </c>
      <c r="E2854" s="142"/>
      <c r="F2854" s="133">
        <v>53000</v>
      </c>
      <c r="G2854" s="133"/>
      <c r="H2854" s="134">
        <f t="shared" si="133"/>
        <v>53000</v>
      </c>
      <c r="I2854" s="134">
        <f t="shared" si="133"/>
        <v>0</v>
      </c>
      <c r="J2854" s="134">
        <f t="shared" si="132"/>
        <v>53000</v>
      </c>
      <c r="K2854" s="135"/>
      <c r="L2854" s="148" t="str">
        <f t="shared" si="134"/>
        <v>مدين</v>
      </c>
      <c r="M2854" s="137" t="str">
        <f>IF(ISERROR(VLOOKUP(C2854,'[1]خريطة الحسابات'!_xlnm.Print_Area,4,FALSE))," ",(VLOOKUP(C2854,'[1]خريطة الحسابات'!_xlnm.Print_Area,4,FALSE)))</f>
        <v xml:space="preserve">أصول متداوله -النقدية ومافي حكمها </v>
      </c>
      <c r="N2854" s="138" t="str">
        <f>IF(ISERROR(VLOOKUP(C2854,'[1]خريطة الحسابات'!_xlnm.Print_Area,5,FALSE))," ",(VLOOKUP(C2854,'[1]خريطة الحسابات'!_xlnm.Print_Area,5,FALSE)))</f>
        <v>الاصول</v>
      </c>
      <c r="O2854" s="84" t="s">
        <v>2592</v>
      </c>
      <c r="P2854" s="84" t="s">
        <v>1290</v>
      </c>
    </row>
    <row r="2855" spans="1:16">
      <c r="A2855" s="151">
        <v>90</v>
      </c>
      <c r="B2855" s="131">
        <v>46089</v>
      </c>
      <c r="C2855" s="150">
        <v>20</v>
      </c>
      <c r="D2855" s="140" t="str">
        <f>IF(ISERROR(VLOOKUP(C2855,'[1]خريطة الحسابات'!_xlnm.Print_Area,3,FALSE))," ",(VLOOKUP(C2855,'[1]خريطة الحسابات'!_xlnm.Print_Area,3,FALSE)))</f>
        <v xml:space="preserve">الخزينة </v>
      </c>
      <c r="E2855" s="142"/>
      <c r="F2855" s="133">
        <v>500000</v>
      </c>
      <c r="G2855" s="133"/>
      <c r="H2855" s="134">
        <f t="shared" si="133"/>
        <v>500000</v>
      </c>
      <c r="I2855" s="134">
        <f t="shared" si="133"/>
        <v>0</v>
      </c>
      <c r="J2855" s="134">
        <f t="shared" si="132"/>
        <v>500000</v>
      </c>
      <c r="K2855" s="135"/>
      <c r="L2855" s="148" t="str">
        <f t="shared" si="134"/>
        <v>مدين</v>
      </c>
      <c r="M2855" s="137" t="str">
        <f>IF(ISERROR(VLOOKUP(C2855,'[1]خريطة الحسابات'!_xlnm.Print_Area,4,FALSE))," ",(VLOOKUP(C2855,'[1]خريطة الحسابات'!_xlnm.Print_Area,4,FALSE)))</f>
        <v xml:space="preserve">أصول متداوله -النقدية ومافي حكمها </v>
      </c>
      <c r="N2855" s="138" t="str">
        <f>IF(ISERROR(VLOOKUP(C2855,'[1]خريطة الحسابات'!_xlnm.Print_Area,5,FALSE))," ",(VLOOKUP(C2855,'[1]خريطة الحسابات'!_xlnm.Print_Area,5,FALSE)))</f>
        <v>الاصول</v>
      </c>
      <c r="O2855" s="84" t="s">
        <v>2593</v>
      </c>
      <c r="P2855" s="84" t="s">
        <v>1290</v>
      </c>
    </row>
    <row r="2856" spans="1:16">
      <c r="A2856" s="151">
        <v>90</v>
      </c>
      <c r="B2856" s="131">
        <v>46091</v>
      </c>
      <c r="C2856" s="150">
        <v>20</v>
      </c>
      <c r="D2856" s="140" t="str">
        <f>IF(ISERROR(VLOOKUP(C2856,'[1]خريطة الحسابات'!_xlnm.Print_Area,3,FALSE))," ",(VLOOKUP(C2856,'[1]خريطة الحسابات'!_xlnm.Print_Area,3,FALSE)))</f>
        <v xml:space="preserve">الخزينة </v>
      </c>
      <c r="E2856" s="142"/>
      <c r="F2856" s="133">
        <v>1000000</v>
      </c>
      <c r="G2856" s="133"/>
      <c r="H2856" s="134">
        <f t="shared" si="133"/>
        <v>1000000</v>
      </c>
      <c r="I2856" s="134">
        <f t="shared" si="133"/>
        <v>0</v>
      </c>
      <c r="J2856" s="134">
        <f t="shared" si="132"/>
        <v>1000000</v>
      </c>
      <c r="K2856" s="135"/>
      <c r="L2856" s="148" t="str">
        <f t="shared" si="134"/>
        <v>مدين</v>
      </c>
      <c r="M2856" s="137" t="str">
        <f>IF(ISERROR(VLOOKUP(C2856,'[1]خريطة الحسابات'!_xlnm.Print_Area,4,FALSE))," ",(VLOOKUP(C2856,'[1]خريطة الحسابات'!_xlnm.Print_Area,4,FALSE)))</f>
        <v xml:space="preserve">أصول متداوله -النقدية ومافي حكمها </v>
      </c>
      <c r="N2856" s="138" t="str">
        <f>IF(ISERROR(VLOOKUP(C2856,'[1]خريطة الحسابات'!_xlnm.Print_Area,5,FALSE))," ",(VLOOKUP(C2856,'[1]خريطة الحسابات'!_xlnm.Print_Area,5,FALSE)))</f>
        <v>الاصول</v>
      </c>
      <c r="O2856" s="84" t="s">
        <v>2593</v>
      </c>
      <c r="P2856" s="84" t="s">
        <v>1290</v>
      </c>
    </row>
    <row r="2857" spans="1:16">
      <c r="A2857" s="151">
        <v>90</v>
      </c>
      <c r="B2857" s="131">
        <v>46117</v>
      </c>
      <c r="C2857" s="150">
        <v>20</v>
      </c>
      <c r="D2857" s="140" t="str">
        <f>IF(ISERROR(VLOOKUP(C2857,'[1]خريطة الحسابات'!_xlnm.Print_Area,3,FALSE))," ",(VLOOKUP(C2857,'[1]خريطة الحسابات'!_xlnm.Print_Area,3,FALSE)))</f>
        <v xml:space="preserve">الخزينة </v>
      </c>
      <c r="E2857" s="142"/>
      <c r="F2857" s="133">
        <v>600000</v>
      </c>
      <c r="G2857" s="133"/>
      <c r="H2857" s="134">
        <f t="shared" si="133"/>
        <v>600000</v>
      </c>
      <c r="I2857" s="134">
        <f t="shared" si="133"/>
        <v>0</v>
      </c>
      <c r="J2857" s="134">
        <f t="shared" si="132"/>
        <v>600000</v>
      </c>
      <c r="K2857" s="135"/>
      <c r="L2857" s="148" t="str">
        <f t="shared" si="134"/>
        <v>مدين</v>
      </c>
      <c r="M2857" s="137" t="str">
        <f>IF(ISERROR(VLOOKUP(C2857,'[1]خريطة الحسابات'!_xlnm.Print_Area,4,FALSE))," ",(VLOOKUP(C2857,'[1]خريطة الحسابات'!_xlnm.Print_Area,4,FALSE)))</f>
        <v xml:space="preserve">أصول متداوله -النقدية ومافي حكمها </v>
      </c>
      <c r="N2857" s="138" t="str">
        <f>IF(ISERROR(VLOOKUP(C2857,'[1]خريطة الحسابات'!_xlnm.Print_Area,5,FALSE))," ",(VLOOKUP(C2857,'[1]خريطة الحسابات'!_xlnm.Print_Area,5,FALSE)))</f>
        <v>الاصول</v>
      </c>
      <c r="O2857" s="84" t="s">
        <v>2593</v>
      </c>
      <c r="P2857" s="84" t="s">
        <v>1290</v>
      </c>
    </row>
    <row r="2858" spans="1:16">
      <c r="A2858" s="151">
        <v>90</v>
      </c>
      <c r="B2858" s="131">
        <v>46134</v>
      </c>
      <c r="C2858" s="150">
        <v>20</v>
      </c>
      <c r="D2858" s="140" t="str">
        <f>IF(ISERROR(VLOOKUP(C2858,'[1]خريطة الحسابات'!_xlnm.Print_Area,3,FALSE))," ",(VLOOKUP(C2858,'[1]خريطة الحسابات'!_xlnm.Print_Area,3,FALSE)))</f>
        <v xml:space="preserve">الخزينة </v>
      </c>
      <c r="E2858" s="142"/>
      <c r="F2858" s="133">
        <v>600000</v>
      </c>
      <c r="G2858" s="133"/>
      <c r="H2858" s="134">
        <f t="shared" si="133"/>
        <v>600000</v>
      </c>
      <c r="I2858" s="134">
        <f t="shared" si="133"/>
        <v>0</v>
      </c>
      <c r="J2858" s="134">
        <f t="shared" si="132"/>
        <v>600000</v>
      </c>
      <c r="K2858" s="135"/>
      <c r="L2858" s="148" t="str">
        <f t="shared" si="134"/>
        <v>مدين</v>
      </c>
      <c r="M2858" s="137" t="str">
        <f>IF(ISERROR(VLOOKUP(C2858,'[1]خريطة الحسابات'!_xlnm.Print_Area,4,FALSE))," ",(VLOOKUP(C2858,'[1]خريطة الحسابات'!_xlnm.Print_Area,4,FALSE)))</f>
        <v xml:space="preserve">أصول متداوله -النقدية ومافي حكمها </v>
      </c>
      <c r="N2858" s="138" t="str">
        <f>IF(ISERROR(VLOOKUP(C2858,'[1]خريطة الحسابات'!_xlnm.Print_Area,5,FALSE))," ",(VLOOKUP(C2858,'[1]خريطة الحسابات'!_xlnm.Print_Area,5,FALSE)))</f>
        <v>الاصول</v>
      </c>
      <c r="O2858" s="84" t="s">
        <v>2593</v>
      </c>
      <c r="P2858" s="84" t="s">
        <v>1290</v>
      </c>
    </row>
    <row r="2859" spans="1:16">
      <c r="A2859" s="151">
        <v>90</v>
      </c>
      <c r="B2859" s="131">
        <v>46153</v>
      </c>
      <c r="C2859" s="150">
        <v>20</v>
      </c>
      <c r="D2859" s="140" t="str">
        <f>IF(ISERROR(VLOOKUP(C2859,'[1]خريطة الحسابات'!_xlnm.Print_Area,3,FALSE))," ",(VLOOKUP(C2859,'[1]خريطة الحسابات'!_xlnm.Print_Area,3,FALSE)))</f>
        <v xml:space="preserve">الخزينة </v>
      </c>
      <c r="E2859" s="142"/>
      <c r="F2859" s="133">
        <v>750000</v>
      </c>
      <c r="G2859" s="133"/>
      <c r="H2859" s="134">
        <f t="shared" si="133"/>
        <v>750000</v>
      </c>
      <c r="I2859" s="134">
        <f t="shared" si="133"/>
        <v>0</v>
      </c>
      <c r="J2859" s="134">
        <f t="shared" si="132"/>
        <v>750000</v>
      </c>
      <c r="K2859" s="135"/>
      <c r="L2859" s="148" t="str">
        <f t="shared" si="134"/>
        <v>مدين</v>
      </c>
      <c r="M2859" s="137" t="str">
        <f>IF(ISERROR(VLOOKUP(C2859,'[1]خريطة الحسابات'!_xlnm.Print_Area,4,FALSE))," ",(VLOOKUP(C2859,'[1]خريطة الحسابات'!_xlnm.Print_Area,4,FALSE)))</f>
        <v xml:space="preserve">أصول متداوله -النقدية ومافي حكمها </v>
      </c>
      <c r="N2859" s="138" t="str">
        <f>IF(ISERROR(VLOOKUP(C2859,'[1]خريطة الحسابات'!_xlnm.Print_Area,5,FALSE))," ",(VLOOKUP(C2859,'[1]خريطة الحسابات'!_xlnm.Print_Area,5,FALSE)))</f>
        <v>الاصول</v>
      </c>
      <c r="O2859" s="84" t="s">
        <v>2591</v>
      </c>
      <c r="P2859" s="84" t="s">
        <v>1290</v>
      </c>
    </row>
    <row r="2860" spans="1:16">
      <c r="A2860" s="151">
        <v>90</v>
      </c>
      <c r="B2860" s="131">
        <v>46163</v>
      </c>
      <c r="C2860" s="150">
        <v>20</v>
      </c>
      <c r="D2860" s="140" t="str">
        <f>IF(ISERROR(VLOOKUP(C2860,'[1]خريطة الحسابات'!_xlnm.Print_Area,3,FALSE))," ",(VLOOKUP(C2860,'[1]خريطة الحسابات'!_xlnm.Print_Area,3,FALSE)))</f>
        <v xml:space="preserve">الخزينة </v>
      </c>
      <c r="E2860" s="142"/>
      <c r="F2860" s="133">
        <v>600000</v>
      </c>
      <c r="G2860" s="133"/>
      <c r="H2860" s="134">
        <f t="shared" si="133"/>
        <v>600000</v>
      </c>
      <c r="I2860" s="134">
        <f t="shared" si="133"/>
        <v>0</v>
      </c>
      <c r="J2860" s="134">
        <f t="shared" si="132"/>
        <v>600000</v>
      </c>
      <c r="K2860" s="135"/>
      <c r="L2860" s="148" t="str">
        <f t="shared" si="134"/>
        <v>مدين</v>
      </c>
      <c r="M2860" s="137" t="str">
        <f>IF(ISERROR(VLOOKUP(C2860,'[1]خريطة الحسابات'!_xlnm.Print_Area,4,FALSE))," ",(VLOOKUP(C2860,'[1]خريطة الحسابات'!_xlnm.Print_Area,4,FALSE)))</f>
        <v xml:space="preserve">أصول متداوله -النقدية ومافي حكمها </v>
      </c>
      <c r="N2860" s="138" t="str">
        <f>IF(ISERROR(VLOOKUP(C2860,'[1]خريطة الحسابات'!_xlnm.Print_Area,5,FALSE))," ",(VLOOKUP(C2860,'[1]خريطة الحسابات'!_xlnm.Print_Area,5,FALSE)))</f>
        <v>الاصول</v>
      </c>
      <c r="O2860" s="84" t="s">
        <v>2593</v>
      </c>
      <c r="P2860" s="84" t="s">
        <v>1290</v>
      </c>
    </row>
    <row r="2861" spans="1:16">
      <c r="A2861" s="151">
        <v>90</v>
      </c>
      <c r="B2861" s="131">
        <v>46184</v>
      </c>
      <c r="C2861" s="150">
        <v>20</v>
      </c>
      <c r="D2861" s="140" t="str">
        <f>IF(ISERROR(VLOOKUP(C2861,'[1]خريطة الحسابات'!_xlnm.Print_Area,3,FALSE))," ",(VLOOKUP(C2861,'[1]خريطة الحسابات'!_xlnm.Print_Area,3,FALSE)))</f>
        <v xml:space="preserve">الخزينة </v>
      </c>
      <c r="E2861" s="142"/>
      <c r="F2861" s="133">
        <v>1000000</v>
      </c>
      <c r="G2861" s="133"/>
      <c r="H2861" s="134">
        <f t="shared" si="133"/>
        <v>1000000</v>
      </c>
      <c r="I2861" s="134">
        <f t="shared" si="133"/>
        <v>0</v>
      </c>
      <c r="J2861" s="134">
        <f t="shared" si="132"/>
        <v>1000000</v>
      </c>
      <c r="K2861" s="135"/>
      <c r="L2861" s="148" t="str">
        <f t="shared" si="134"/>
        <v>مدين</v>
      </c>
      <c r="M2861" s="137" t="str">
        <f>IF(ISERROR(VLOOKUP(C2861,'[1]خريطة الحسابات'!_xlnm.Print_Area,4,FALSE))," ",(VLOOKUP(C2861,'[1]خريطة الحسابات'!_xlnm.Print_Area,4,FALSE)))</f>
        <v xml:space="preserve">أصول متداوله -النقدية ومافي حكمها </v>
      </c>
      <c r="N2861" s="138" t="str">
        <f>IF(ISERROR(VLOOKUP(C2861,'[1]خريطة الحسابات'!_xlnm.Print_Area,5,FALSE))," ",(VLOOKUP(C2861,'[1]خريطة الحسابات'!_xlnm.Print_Area,5,FALSE)))</f>
        <v>الاصول</v>
      </c>
      <c r="O2861" s="84" t="s">
        <v>2593</v>
      </c>
      <c r="P2861" s="84" t="s">
        <v>1290</v>
      </c>
    </row>
    <row r="2862" spans="1:16">
      <c r="A2862" s="151">
        <v>90</v>
      </c>
      <c r="B2862" s="131">
        <v>46047</v>
      </c>
      <c r="C2862" s="150">
        <v>20</v>
      </c>
      <c r="D2862" s="140" t="str">
        <f>IF(ISERROR(VLOOKUP(C2862,'[1]خريطة الحسابات'!_xlnm.Print_Area,3,FALSE))," ",(VLOOKUP(C2862,'[1]خريطة الحسابات'!_xlnm.Print_Area,3,FALSE)))</f>
        <v xml:space="preserve">الخزينة </v>
      </c>
      <c r="E2862" s="142"/>
      <c r="F2862" s="133">
        <v>60000</v>
      </c>
      <c r="G2862" s="133"/>
      <c r="H2862" s="134">
        <f t="shared" si="133"/>
        <v>60000</v>
      </c>
      <c r="I2862" s="134">
        <f t="shared" si="133"/>
        <v>0</v>
      </c>
      <c r="J2862" s="134">
        <f t="shared" si="132"/>
        <v>60000</v>
      </c>
      <c r="K2862" s="135"/>
      <c r="L2862" s="148" t="str">
        <f t="shared" si="134"/>
        <v>مدين</v>
      </c>
      <c r="M2862" s="137" t="str">
        <f>IF(ISERROR(VLOOKUP(C2862,'[1]خريطة الحسابات'!_xlnm.Print_Area,4,FALSE))," ",(VLOOKUP(C2862,'[1]خريطة الحسابات'!_xlnm.Print_Area,4,FALSE)))</f>
        <v xml:space="preserve">أصول متداوله -النقدية ومافي حكمها </v>
      </c>
      <c r="N2862" s="138" t="str">
        <f>IF(ISERROR(VLOOKUP(C2862,'[1]خريطة الحسابات'!_xlnm.Print_Area,5,FALSE))," ",(VLOOKUP(C2862,'[1]خريطة الحسابات'!_xlnm.Print_Area,5,FALSE)))</f>
        <v>الاصول</v>
      </c>
      <c r="O2862" s="84" t="s">
        <v>2594</v>
      </c>
      <c r="P2862" s="84" t="s">
        <v>1315</v>
      </c>
    </row>
    <row r="2863" spans="1:16">
      <c r="A2863" s="151">
        <v>90</v>
      </c>
      <c r="B2863" s="131">
        <v>46049</v>
      </c>
      <c r="C2863" s="150">
        <v>20</v>
      </c>
      <c r="D2863" s="140" t="str">
        <f>IF(ISERROR(VLOOKUP(C2863,'[1]خريطة الحسابات'!_xlnm.Print_Area,3,FALSE))," ",(VLOOKUP(C2863,'[1]خريطة الحسابات'!_xlnm.Print_Area,3,FALSE)))</f>
        <v xml:space="preserve">الخزينة </v>
      </c>
      <c r="E2863" s="142"/>
      <c r="F2863" s="133">
        <v>60000</v>
      </c>
      <c r="G2863" s="133"/>
      <c r="H2863" s="134">
        <f t="shared" si="133"/>
        <v>60000</v>
      </c>
      <c r="I2863" s="134">
        <f t="shared" si="133"/>
        <v>0</v>
      </c>
      <c r="J2863" s="134">
        <f t="shared" si="132"/>
        <v>60000</v>
      </c>
      <c r="K2863" s="135"/>
      <c r="L2863" s="148" t="str">
        <f t="shared" si="134"/>
        <v>مدين</v>
      </c>
      <c r="M2863" s="137" t="str">
        <f>IF(ISERROR(VLOOKUP(C2863,'[1]خريطة الحسابات'!_xlnm.Print_Area,4,FALSE))," ",(VLOOKUP(C2863,'[1]خريطة الحسابات'!_xlnm.Print_Area,4,FALSE)))</f>
        <v xml:space="preserve">أصول متداوله -النقدية ومافي حكمها </v>
      </c>
      <c r="N2863" s="138" t="str">
        <f>IF(ISERROR(VLOOKUP(C2863,'[1]خريطة الحسابات'!_xlnm.Print_Area,5,FALSE))," ",(VLOOKUP(C2863,'[1]خريطة الحسابات'!_xlnm.Print_Area,5,FALSE)))</f>
        <v>الاصول</v>
      </c>
      <c r="O2863" s="84" t="s">
        <v>2595</v>
      </c>
      <c r="P2863" s="84" t="s">
        <v>1315</v>
      </c>
    </row>
    <row r="2864" spans="1:16">
      <c r="A2864" s="151">
        <v>90</v>
      </c>
      <c r="B2864" s="131">
        <v>46054</v>
      </c>
      <c r="C2864" s="150">
        <v>20</v>
      </c>
      <c r="D2864" s="140" t="str">
        <f>IF(ISERROR(VLOOKUP(C2864,'[1]خريطة الحسابات'!_xlnm.Print_Area,3,FALSE))," ",(VLOOKUP(C2864,'[1]خريطة الحسابات'!_xlnm.Print_Area,3,FALSE)))</f>
        <v xml:space="preserve">الخزينة </v>
      </c>
      <c r="E2864" s="142"/>
      <c r="F2864" s="133">
        <v>60000</v>
      </c>
      <c r="G2864" s="133"/>
      <c r="H2864" s="134">
        <f t="shared" si="133"/>
        <v>60000</v>
      </c>
      <c r="I2864" s="134">
        <f t="shared" si="133"/>
        <v>0</v>
      </c>
      <c r="J2864" s="134">
        <f t="shared" si="132"/>
        <v>60000</v>
      </c>
      <c r="K2864" s="135"/>
      <c r="L2864" s="148" t="str">
        <f t="shared" si="134"/>
        <v>مدين</v>
      </c>
      <c r="M2864" s="137" t="str">
        <f>IF(ISERROR(VLOOKUP(C2864,'[1]خريطة الحسابات'!_xlnm.Print_Area,4,FALSE))," ",(VLOOKUP(C2864,'[1]خريطة الحسابات'!_xlnm.Print_Area,4,FALSE)))</f>
        <v xml:space="preserve">أصول متداوله -النقدية ومافي حكمها </v>
      </c>
      <c r="N2864" s="138" t="str">
        <f>IF(ISERROR(VLOOKUP(C2864,'[1]خريطة الحسابات'!_xlnm.Print_Area,5,FALSE))," ",(VLOOKUP(C2864,'[1]خريطة الحسابات'!_xlnm.Print_Area,5,FALSE)))</f>
        <v>الاصول</v>
      </c>
      <c r="O2864" s="84" t="s">
        <v>2596</v>
      </c>
      <c r="P2864" s="84" t="s">
        <v>1315</v>
      </c>
    </row>
    <row r="2865" spans="1:16">
      <c r="A2865" s="151">
        <v>90</v>
      </c>
      <c r="B2865" s="131">
        <v>46055</v>
      </c>
      <c r="C2865" s="150">
        <v>20</v>
      </c>
      <c r="D2865" s="140" t="str">
        <f>IF(ISERROR(VLOOKUP(C2865,'[1]خريطة الحسابات'!_xlnm.Print_Area,3,FALSE))," ",(VLOOKUP(C2865,'[1]خريطة الحسابات'!_xlnm.Print_Area,3,FALSE)))</f>
        <v xml:space="preserve">الخزينة </v>
      </c>
      <c r="E2865" s="142"/>
      <c r="F2865" s="133">
        <v>92107</v>
      </c>
      <c r="G2865" s="133"/>
      <c r="H2865" s="134">
        <f t="shared" si="133"/>
        <v>92107</v>
      </c>
      <c r="I2865" s="134">
        <f t="shared" si="133"/>
        <v>0</v>
      </c>
      <c r="J2865" s="134">
        <f t="shared" si="132"/>
        <v>92107</v>
      </c>
      <c r="K2865" s="135"/>
      <c r="L2865" s="148" t="str">
        <f t="shared" si="134"/>
        <v>مدين</v>
      </c>
      <c r="M2865" s="137" t="str">
        <f>IF(ISERROR(VLOOKUP(C2865,'[1]خريطة الحسابات'!_xlnm.Print_Area,4,FALSE))," ",(VLOOKUP(C2865,'[1]خريطة الحسابات'!_xlnm.Print_Area,4,FALSE)))</f>
        <v xml:space="preserve">أصول متداوله -النقدية ومافي حكمها </v>
      </c>
      <c r="N2865" s="138" t="str">
        <f>IF(ISERROR(VLOOKUP(C2865,'[1]خريطة الحسابات'!_xlnm.Print_Area,5,FALSE))," ",(VLOOKUP(C2865,'[1]خريطة الحسابات'!_xlnm.Print_Area,5,FALSE)))</f>
        <v>الاصول</v>
      </c>
      <c r="O2865" s="84" t="s">
        <v>2597</v>
      </c>
      <c r="P2865" s="84" t="s">
        <v>1315</v>
      </c>
    </row>
    <row r="2866" spans="1:16">
      <c r="A2866" s="151">
        <v>90</v>
      </c>
      <c r="B2866" s="131">
        <v>46063</v>
      </c>
      <c r="C2866" s="150">
        <v>20</v>
      </c>
      <c r="D2866" s="140" t="str">
        <f>IF(ISERROR(VLOOKUP(C2866,'[1]خريطة الحسابات'!_xlnm.Print_Area,3,FALSE))," ",(VLOOKUP(C2866,'[1]خريطة الحسابات'!_xlnm.Print_Area,3,FALSE)))</f>
        <v xml:space="preserve">الخزينة </v>
      </c>
      <c r="E2866" s="142"/>
      <c r="F2866" s="133">
        <v>60000</v>
      </c>
      <c r="G2866" s="133"/>
      <c r="H2866" s="134">
        <f t="shared" si="133"/>
        <v>60000</v>
      </c>
      <c r="I2866" s="134">
        <f t="shared" si="133"/>
        <v>0</v>
      </c>
      <c r="J2866" s="134">
        <f t="shared" si="132"/>
        <v>60000</v>
      </c>
      <c r="K2866" s="135"/>
      <c r="L2866" s="148" t="str">
        <f t="shared" si="134"/>
        <v>مدين</v>
      </c>
      <c r="M2866" s="137" t="str">
        <f>IF(ISERROR(VLOOKUP(C2866,'[1]خريطة الحسابات'!_xlnm.Print_Area,4,FALSE))," ",(VLOOKUP(C2866,'[1]خريطة الحسابات'!_xlnm.Print_Area,4,FALSE)))</f>
        <v xml:space="preserve">أصول متداوله -النقدية ومافي حكمها </v>
      </c>
      <c r="N2866" s="138" t="str">
        <f>IF(ISERROR(VLOOKUP(C2866,'[1]خريطة الحسابات'!_xlnm.Print_Area,5,FALSE))," ",(VLOOKUP(C2866,'[1]خريطة الحسابات'!_xlnm.Print_Area,5,FALSE)))</f>
        <v>الاصول</v>
      </c>
      <c r="O2866" s="84" t="s">
        <v>2594</v>
      </c>
      <c r="P2866" s="84" t="s">
        <v>1315</v>
      </c>
    </row>
    <row r="2867" spans="1:16">
      <c r="A2867" s="151">
        <v>90</v>
      </c>
      <c r="B2867" s="131">
        <v>46067</v>
      </c>
      <c r="C2867" s="150">
        <v>20</v>
      </c>
      <c r="D2867" s="140" t="str">
        <f>IF(ISERROR(VLOOKUP(C2867,'[1]خريطة الحسابات'!_xlnm.Print_Area,3,FALSE))," ",(VLOOKUP(C2867,'[1]خريطة الحسابات'!_xlnm.Print_Area,3,FALSE)))</f>
        <v xml:space="preserve">الخزينة </v>
      </c>
      <c r="E2867" s="142"/>
      <c r="F2867" s="133">
        <v>60000</v>
      </c>
      <c r="G2867" s="133"/>
      <c r="H2867" s="134">
        <f t="shared" si="133"/>
        <v>60000</v>
      </c>
      <c r="I2867" s="134">
        <f t="shared" si="133"/>
        <v>0</v>
      </c>
      <c r="J2867" s="134">
        <f t="shared" si="132"/>
        <v>60000</v>
      </c>
      <c r="K2867" s="135"/>
      <c r="L2867" s="148" t="str">
        <f t="shared" si="134"/>
        <v>مدين</v>
      </c>
      <c r="M2867" s="137" t="str">
        <f>IF(ISERROR(VLOOKUP(C2867,'[1]خريطة الحسابات'!_xlnm.Print_Area,4,FALSE))," ",(VLOOKUP(C2867,'[1]خريطة الحسابات'!_xlnm.Print_Area,4,FALSE)))</f>
        <v xml:space="preserve">أصول متداوله -النقدية ومافي حكمها </v>
      </c>
      <c r="N2867" s="138" t="str">
        <f>IF(ISERROR(VLOOKUP(C2867,'[1]خريطة الحسابات'!_xlnm.Print_Area,5,FALSE))," ",(VLOOKUP(C2867,'[1]خريطة الحسابات'!_xlnm.Print_Area,5,FALSE)))</f>
        <v>الاصول</v>
      </c>
      <c r="O2867" s="84" t="s">
        <v>2598</v>
      </c>
      <c r="P2867" s="84" t="s">
        <v>1315</v>
      </c>
    </row>
    <row r="2868" spans="1:16">
      <c r="A2868" s="151">
        <v>90</v>
      </c>
      <c r="B2868" s="131">
        <v>46071</v>
      </c>
      <c r="C2868" s="150">
        <v>20</v>
      </c>
      <c r="D2868" s="140" t="str">
        <f>IF(ISERROR(VLOOKUP(C2868,'[1]خريطة الحسابات'!_xlnm.Print_Area,3,FALSE))," ",(VLOOKUP(C2868,'[1]خريطة الحسابات'!_xlnm.Print_Area,3,FALSE)))</f>
        <v xml:space="preserve">الخزينة </v>
      </c>
      <c r="E2868" s="142"/>
      <c r="F2868" s="133">
        <v>60500</v>
      </c>
      <c r="G2868" s="133"/>
      <c r="H2868" s="134">
        <f t="shared" si="133"/>
        <v>60500</v>
      </c>
      <c r="I2868" s="134">
        <f t="shared" si="133"/>
        <v>0</v>
      </c>
      <c r="J2868" s="134">
        <f t="shared" si="132"/>
        <v>60500</v>
      </c>
      <c r="K2868" s="135"/>
      <c r="L2868" s="148" t="str">
        <f t="shared" si="134"/>
        <v>مدين</v>
      </c>
      <c r="M2868" s="137" t="str">
        <f>IF(ISERROR(VLOOKUP(C2868,'[1]خريطة الحسابات'!_xlnm.Print_Area,4,FALSE))," ",(VLOOKUP(C2868,'[1]خريطة الحسابات'!_xlnm.Print_Area,4,FALSE)))</f>
        <v xml:space="preserve">أصول متداوله -النقدية ومافي حكمها </v>
      </c>
      <c r="N2868" s="138" t="str">
        <f>IF(ISERROR(VLOOKUP(C2868,'[1]خريطة الحسابات'!_xlnm.Print_Area,5,FALSE))," ",(VLOOKUP(C2868,'[1]خريطة الحسابات'!_xlnm.Print_Area,5,FALSE)))</f>
        <v>الاصول</v>
      </c>
      <c r="O2868" s="84" t="s">
        <v>2594</v>
      </c>
      <c r="P2868" s="84" t="s">
        <v>1315</v>
      </c>
    </row>
    <row r="2869" spans="1:16">
      <c r="A2869" s="151">
        <v>90</v>
      </c>
      <c r="B2869" s="131">
        <v>46071</v>
      </c>
      <c r="C2869" s="150">
        <v>20</v>
      </c>
      <c r="D2869" s="140" t="str">
        <f>IF(ISERROR(VLOOKUP(C2869,'[1]خريطة الحسابات'!_xlnm.Print_Area,3,FALSE))," ",(VLOOKUP(C2869,'[1]خريطة الحسابات'!_xlnm.Print_Area,3,FALSE)))</f>
        <v xml:space="preserve">الخزينة </v>
      </c>
      <c r="E2869" s="142"/>
      <c r="F2869" s="133">
        <v>125000</v>
      </c>
      <c r="G2869" s="133"/>
      <c r="H2869" s="134">
        <f t="shared" si="133"/>
        <v>125000</v>
      </c>
      <c r="I2869" s="134">
        <f t="shared" si="133"/>
        <v>0</v>
      </c>
      <c r="J2869" s="134">
        <f t="shared" si="132"/>
        <v>125000</v>
      </c>
      <c r="K2869" s="135"/>
      <c r="L2869" s="148" t="str">
        <f t="shared" si="134"/>
        <v>مدين</v>
      </c>
      <c r="M2869" s="137" t="str">
        <f>IF(ISERROR(VLOOKUP(C2869,'[1]خريطة الحسابات'!_xlnm.Print_Area,4,FALSE))," ",(VLOOKUP(C2869,'[1]خريطة الحسابات'!_xlnm.Print_Area,4,FALSE)))</f>
        <v xml:space="preserve">أصول متداوله -النقدية ومافي حكمها </v>
      </c>
      <c r="N2869" s="138" t="str">
        <f>IF(ISERROR(VLOOKUP(C2869,'[1]خريطة الحسابات'!_xlnm.Print_Area,5,FALSE))," ",(VLOOKUP(C2869,'[1]خريطة الحسابات'!_xlnm.Print_Area,5,FALSE)))</f>
        <v>الاصول</v>
      </c>
      <c r="O2869" s="84" t="s">
        <v>2594</v>
      </c>
      <c r="P2869" s="84" t="s">
        <v>1315</v>
      </c>
    </row>
    <row r="2870" spans="1:16">
      <c r="A2870" s="151">
        <v>90</v>
      </c>
      <c r="B2870" s="131">
        <v>46072</v>
      </c>
      <c r="C2870" s="150">
        <v>20</v>
      </c>
      <c r="D2870" s="140" t="str">
        <f>IF(ISERROR(VLOOKUP(C2870,'[1]خريطة الحسابات'!_xlnm.Print_Area,3,FALSE))," ",(VLOOKUP(C2870,'[1]خريطة الحسابات'!_xlnm.Print_Area,3,FALSE)))</f>
        <v xml:space="preserve">الخزينة </v>
      </c>
      <c r="E2870" s="142"/>
      <c r="F2870" s="133">
        <v>265000</v>
      </c>
      <c r="G2870" s="133"/>
      <c r="H2870" s="134">
        <f t="shared" si="133"/>
        <v>265000</v>
      </c>
      <c r="I2870" s="134">
        <f t="shared" si="133"/>
        <v>0</v>
      </c>
      <c r="J2870" s="134">
        <f t="shared" si="132"/>
        <v>265000</v>
      </c>
      <c r="K2870" s="135"/>
      <c r="L2870" s="148" t="str">
        <f t="shared" si="134"/>
        <v>مدين</v>
      </c>
      <c r="M2870" s="137" t="str">
        <f>IF(ISERROR(VLOOKUP(C2870,'[1]خريطة الحسابات'!_xlnm.Print_Area,4,FALSE))," ",(VLOOKUP(C2870,'[1]خريطة الحسابات'!_xlnm.Print_Area,4,FALSE)))</f>
        <v xml:space="preserve">أصول متداوله -النقدية ومافي حكمها </v>
      </c>
      <c r="N2870" s="138" t="str">
        <f>IF(ISERROR(VLOOKUP(C2870,'[1]خريطة الحسابات'!_xlnm.Print_Area,5,FALSE))," ",(VLOOKUP(C2870,'[1]خريطة الحسابات'!_xlnm.Print_Area,5,FALSE)))</f>
        <v>الاصول</v>
      </c>
      <c r="O2870" s="84" t="s">
        <v>2594</v>
      </c>
      <c r="P2870" s="84" t="s">
        <v>1315</v>
      </c>
    </row>
    <row r="2871" spans="1:16">
      <c r="A2871" s="151">
        <v>90</v>
      </c>
      <c r="B2871" s="131">
        <v>46091</v>
      </c>
      <c r="C2871" s="150">
        <v>20</v>
      </c>
      <c r="D2871" s="140" t="str">
        <f>IF(ISERROR(VLOOKUP(C2871,'[1]خريطة الحسابات'!_xlnm.Print_Area,3,FALSE))," ",(VLOOKUP(C2871,'[1]خريطة الحسابات'!_xlnm.Print_Area,3,FALSE)))</f>
        <v xml:space="preserve">الخزينة </v>
      </c>
      <c r="E2871" s="142"/>
      <c r="F2871" s="133">
        <v>300000</v>
      </c>
      <c r="G2871" s="133"/>
      <c r="H2871" s="134">
        <f t="shared" si="133"/>
        <v>300000</v>
      </c>
      <c r="I2871" s="134">
        <f t="shared" si="133"/>
        <v>0</v>
      </c>
      <c r="J2871" s="134">
        <f t="shared" si="132"/>
        <v>300000</v>
      </c>
      <c r="K2871" s="135"/>
      <c r="L2871" s="148" t="str">
        <f t="shared" si="134"/>
        <v>مدين</v>
      </c>
      <c r="M2871" s="137" t="str">
        <f>IF(ISERROR(VLOOKUP(C2871,'[1]خريطة الحسابات'!_xlnm.Print_Area,4,FALSE))," ",(VLOOKUP(C2871,'[1]خريطة الحسابات'!_xlnm.Print_Area,4,FALSE)))</f>
        <v xml:space="preserve">أصول متداوله -النقدية ومافي حكمها </v>
      </c>
      <c r="N2871" s="138" t="str">
        <f>IF(ISERROR(VLOOKUP(C2871,'[1]خريطة الحسابات'!_xlnm.Print_Area,5,FALSE))," ",(VLOOKUP(C2871,'[1]خريطة الحسابات'!_xlnm.Print_Area,5,FALSE)))</f>
        <v>الاصول</v>
      </c>
      <c r="O2871" s="84" t="s">
        <v>2594</v>
      </c>
      <c r="P2871" s="84" t="s">
        <v>1315</v>
      </c>
    </row>
    <row r="2872" spans="1:16">
      <c r="A2872" s="151">
        <v>90</v>
      </c>
      <c r="B2872" s="131">
        <v>46091</v>
      </c>
      <c r="C2872" s="150">
        <v>20</v>
      </c>
      <c r="D2872" s="140" t="str">
        <f>IF(ISERROR(VLOOKUP(C2872,'[1]خريطة الحسابات'!_xlnm.Print_Area,3,FALSE))," ",(VLOOKUP(C2872,'[1]خريطة الحسابات'!_xlnm.Print_Area,3,FALSE)))</f>
        <v xml:space="preserve">الخزينة </v>
      </c>
      <c r="E2872" s="142"/>
      <c r="F2872" s="133">
        <v>300000</v>
      </c>
      <c r="G2872" s="133"/>
      <c r="H2872" s="134">
        <f t="shared" si="133"/>
        <v>300000</v>
      </c>
      <c r="I2872" s="134">
        <f t="shared" si="133"/>
        <v>0</v>
      </c>
      <c r="J2872" s="134">
        <f t="shared" si="132"/>
        <v>300000</v>
      </c>
      <c r="K2872" s="135"/>
      <c r="L2872" s="148" t="str">
        <f t="shared" si="134"/>
        <v>مدين</v>
      </c>
      <c r="M2872" s="137" t="str">
        <f>IF(ISERROR(VLOOKUP(C2872,'[1]خريطة الحسابات'!_xlnm.Print_Area,4,FALSE))," ",(VLOOKUP(C2872,'[1]خريطة الحسابات'!_xlnm.Print_Area,4,FALSE)))</f>
        <v xml:space="preserve">أصول متداوله -النقدية ومافي حكمها </v>
      </c>
      <c r="N2872" s="138" t="str">
        <f>IF(ISERROR(VLOOKUP(C2872,'[1]خريطة الحسابات'!_xlnm.Print_Area,5,FALSE))," ",(VLOOKUP(C2872,'[1]خريطة الحسابات'!_xlnm.Print_Area,5,FALSE)))</f>
        <v>الاصول</v>
      </c>
      <c r="O2872" s="84" t="s">
        <v>2594</v>
      </c>
      <c r="P2872" s="84" t="s">
        <v>1315</v>
      </c>
    </row>
    <row r="2873" spans="1:16">
      <c r="A2873" s="151">
        <v>90</v>
      </c>
      <c r="B2873" s="131">
        <v>46092</v>
      </c>
      <c r="C2873" s="150">
        <v>20</v>
      </c>
      <c r="D2873" s="140" t="str">
        <f>IF(ISERROR(VLOOKUP(C2873,'[1]خريطة الحسابات'!_xlnm.Print_Area,3,FALSE))," ",(VLOOKUP(C2873,'[1]خريطة الحسابات'!_xlnm.Print_Area,3,FALSE)))</f>
        <v xml:space="preserve">الخزينة </v>
      </c>
      <c r="E2873" s="142"/>
      <c r="F2873" s="133">
        <v>250000</v>
      </c>
      <c r="G2873" s="133"/>
      <c r="H2873" s="134">
        <f t="shared" si="133"/>
        <v>250000</v>
      </c>
      <c r="I2873" s="134">
        <f t="shared" si="133"/>
        <v>0</v>
      </c>
      <c r="J2873" s="134">
        <f t="shared" si="132"/>
        <v>250000</v>
      </c>
      <c r="K2873" s="135"/>
      <c r="L2873" s="148" t="str">
        <f t="shared" si="134"/>
        <v>مدين</v>
      </c>
      <c r="M2873" s="137" t="str">
        <f>IF(ISERROR(VLOOKUP(C2873,'[1]خريطة الحسابات'!_xlnm.Print_Area,4,FALSE))," ",(VLOOKUP(C2873,'[1]خريطة الحسابات'!_xlnm.Print_Area,4,FALSE)))</f>
        <v xml:space="preserve">أصول متداوله -النقدية ومافي حكمها </v>
      </c>
      <c r="N2873" s="138" t="str">
        <f>IF(ISERROR(VLOOKUP(C2873,'[1]خريطة الحسابات'!_xlnm.Print_Area,5,FALSE))," ",(VLOOKUP(C2873,'[1]خريطة الحسابات'!_xlnm.Print_Area,5,FALSE)))</f>
        <v>الاصول</v>
      </c>
      <c r="O2873" s="84" t="s">
        <v>2594</v>
      </c>
      <c r="P2873" s="84" t="s">
        <v>1315</v>
      </c>
    </row>
    <row r="2874" spans="1:16">
      <c r="A2874" s="151">
        <v>90</v>
      </c>
      <c r="B2874" s="131">
        <v>46131</v>
      </c>
      <c r="C2874" s="150">
        <v>20</v>
      </c>
      <c r="D2874" s="140" t="str">
        <f>IF(ISERROR(VLOOKUP(C2874,'[1]خريطة الحسابات'!_xlnm.Print_Area,3,FALSE))," ",(VLOOKUP(C2874,'[1]خريطة الحسابات'!_xlnm.Print_Area,3,FALSE)))</f>
        <v xml:space="preserve">الخزينة </v>
      </c>
      <c r="E2874" s="142"/>
      <c r="F2874" s="133">
        <v>300000</v>
      </c>
      <c r="G2874" s="133"/>
      <c r="H2874" s="134">
        <f t="shared" si="133"/>
        <v>300000</v>
      </c>
      <c r="I2874" s="134">
        <f t="shared" si="133"/>
        <v>0</v>
      </c>
      <c r="J2874" s="134">
        <f t="shared" si="132"/>
        <v>300000</v>
      </c>
      <c r="K2874" s="135"/>
      <c r="L2874" s="148" t="str">
        <f t="shared" si="134"/>
        <v>مدين</v>
      </c>
      <c r="M2874" s="137" t="str">
        <f>IF(ISERROR(VLOOKUP(C2874,'[1]خريطة الحسابات'!_xlnm.Print_Area,4,FALSE))," ",(VLOOKUP(C2874,'[1]خريطة الحسابات'!_xlnm.Print_Area,4,FALSE)))</f>
        <v xml:space="preserve">أصول متداوله -النقدية ومافي حكمها </v>
      </c>
      <c r="N2874" s="138" t="str">
        <f>IF(ISERROR(VLOOKUP(C2874,'[1]خريطة الحسابات'!_xlnm.Print_Area,5,FALSE))," ",(VLOOKUP(C2874,'[1]خريطة الحسابات'!_xlnm.Print_Area,5,FALSE)))</f>
        <v>الاصول</v>
      </c>
      <c r="O2874" s="84" t="s">
        <v>2599</v>
      </c>
      <c r="P2874" s="84" t="s">
        <v>1315</v>
      </c>
    </row>
    <row r="2875" spans="1:16">
      <c r="A2875" s="151">
        <v>90</v>
      </c>
      <c r="B2875" s="131">
        <v>46132</v>
      </c>
      <c r="C2875" s="150">
        <v>20</v>
      </c>
      <c r="D2875" s="140" t="str">
        <f>IF(ISERROR(VLOOKUP(C2875,'[1]خريطة الحسابات'!_xlnm.Print_Area,3,FALSE))," ",(VLOOKUP(C2875,'[1]خريطة الحسابات'!_xlnm.Print_Area,3,FALSE)))</f>
        <v xml:space="preserve">الخزينة </v>
      </c>
      <c r="E2875" s="142"/>
      <c r="F2875" s="133">
        <v>200000</v>
      </c>
      <c r="G2875" s="133"/>
      <c r="H2875" s="134">
        <f t="shared" si="133"/>
        <v>200000</v>
      </c>
      <c r="I2875" s="134">
        <f t="shared" si="133"/>
        <v>0</v>
      </c>
      <c r="J2875" s="134">
        <f t="shared" si="132"/>
        <v>200000</v>
      </c>
      <c r="K2875" s="135"/>
      <c r="L2875" s="148" t="str">
        <f t="shared" si="134"/>
        <v>مدين</v>
      </c>
      <c r="M2875" s="137" t="str">
        <f>IF(ISERROR(VLOOKUP(C2875,'[1]خريطة الحسابات'!_xlnm.Print_Area,4,FALSE))," ",(VLOOKUP(C2875,'[1]خريطة الحسابات'!_xlnm.Print_Area,4,FALSE)))</f>
        <v xml:space="preserve">أصول متداوله -النقدية ومافي حكمها </v>
      </c>
      <c r="N2875" s="138" t="str">
        <f>IF(ISERROR(VLOOKUP(C2875,'[1]خريطة الحسابات'!_xlnm.Print_Area,5,FALSE))," ",(VLOOKUP(C2875,'[1]خريطة الحسابات'!_xlnm.Print_Area,5,FALSE)))</f>
        <v>الاصول</v>
      </c>
      <c r="O2875" s="84" t="s">
        <v>2600</v>
      </c>
      <c r="P2875" s="84" t="s">
        <v>1315</v>
      </c>
    </row>
    <row r="2876" spans="1:16">
      <c r="A2876" s="151">
        <v>90</v>
      </c>
      <c r="B2876" s="131">
        <v>46134</v>
      </c>
      <c r="C2876" s="150">
        <v>20</v>
      </c>
      <c r="D2876" s="140" t="str">
        <f>IF(ISERROR(VLOOKUP(C2876,'[1]خريطة الحسابات'!_xlnm.Print_Area,3,FALSE))," ",(VLOOKUP(C2876,'[1]خريطة الحسابات'!_xlnm.Print_Area,3,FALSE)))</f>
        <v xml:space="preserve">الخزينة </v>
      </c>
      <c r="E2876" s="142"/>
      <c r="F2876" s="133">
        <v>60000</v>
      </c>
      <c r="G2876" s="133"/>
      <c r="H2876" s="134">
        <f t="shared" si="133"/>
        <v>60000</v>
      </c>
      <c r="I2876" s="134">
        <f t="shared" si="133"/>
        <v>0</v>
      </c>
      <c r="J2876" s="134">
        <f t="shared" si="132"/>
        <v>60000</v>
      </c>
      <c r="K2876" s="135"/>
      <c r="L2876" s="148" t="str">
        <f t="shared" si="134"/>
        <v>مدين</v>
      </c>
      <c r="M2876" s="137" t="str">
        <f>IF(ISERROR(VLOOKUP(C2876,'[1]خريطة الحسابات'!_xlnm.Print_Area,4,FALSE))," ",(VLOOKUP(C2876,'[1]خريطة الحسابات'!_xlnm.Print_Area,4,FALSE)))</f>
        <v xml:space="preserve">أصول متداوله -النقدية ومافي حكمها </v>
      </c>
      <c r="N2876" s="138" t="str">
        <f>IF(ISERROR(VLOOKUP(C2876,'[1]خريطة الحسابات'!_xlnm.Print_Area,5,FALSE))," ",(VLOOKUP(C2876,'[1]خريطة الحسابات'!_xlnm.Print_Area,5,FALSE)))</f>
        <v>الاصول</v>
      </c>
      <c r="O2876" s="84" t="s">
        <v>2601</v>
      </c>
      <c r="P2876" s="84" t="s">
        <v>1315</v>
      </c>
    </row>
    <row r="2877" spans="1:16">
      <c r="A2877" s="151">
        <v>90</v>
      </c>
      <c r="B2877" s="131">
        <v>46139</v>
      </c>
      <c r="C2877" s="150">
        <v>20</v>
      </c>
      <c r="D2877" s="140" t="str">
        <f>IF(ISERROR(VLOOKUP(C2877,'[1]خريطة الحسابات'!_xlnm.Print_Area,3,FALSE))," ",(VLOOKUP(C2877,'[1]خريطة الحسابات'!_xlnm.Print_Area,3,FALSE)))</f>
        <v xml:space="preserve">الخزينة </v>
      </c>
      <c r="E2877" s="142"/>
      <c r="F2877" s="133">
        <v>100000</v>
      </c>
      <c r="G2877" s="133"/>
      <c r="H2877" s="134">
        <f t="shared" si="133"/>
        <v>100000</v>
      </c>
      <c r="I2877" s="134">
        <f t="shared" si="133"/>
        <v>0</v>
      </c>
      <c r="J2877" s="134">
        <f t="shared" si="132"/>
        <v>100000</v>
      </c>
      <c r="K2877" s="135"/>
      <c r="L2877" s="148" t="str">
        <f t="shared" si="134"/>
        <v>مدين</v>
      </c>
      <c r="M2877" s="137" t="str">
        <f>IF(ISERROR(VLOOKUP(C2877,'[1]خريطة الحسابات'!_xlnm.Print_Area,4,FALSE))," ",(VLOOKUP(C2877,'[1]خريطة الحسابات'!_xlnm.Print_Area,4,FALSE)))</f>
        <v xml:space="preserve">أصول متداوله -النقدية ومافي حكمها </v>
      </c>
      <c r="N2877" s="138" t="str">
        <f>IF(ISERROR(VLOOKUP(C2877,'[1]خريطة الحسابات'!_xlnm.Print_Area,5,FALSE))," ",(VLOOKUP(C2877,'[1]خريطة الحسابات'!_xlnm.Print_Area,5,FALSE)))</f>
        <v>الاصول</v>
      </c>
      <c r="O2877" s="84" t="s">
        <v>2599</v>
      </c>
      <c r="P2877" s="84" t="s">
        <v>1315</v>
      </c>
    </row>
    <row r="2878" spans="1:16">
      <c r="A2878" s="151">
        <v>90</v>
      </c>
      <c r="B2878" s="131">
        <v>46155</v>
      </c>
      <c r="C2878" s="150">
        <v>20</v>
      </c>
      <c r="D2878" s="140" t="str">
        <f>IF(ISERROR(VLOOKUP(C2878,'[1]خريطة الحسابات'!_xlnm.Print_Area,3,FALSE))," ",(VLOOKUP(C2878,'[1]خريطة الحسابات'!_xlnm.Print_Area,3,FALSE)))</f>
        <v xml:space="preserve">الخزينة </v>
      </c>
      <c r="E2878" s="142"/>
      <c r="F2878" s="133">
        <v>300000</v>
      </c>
      <c r="G2878" s="133"/>
      <c r="H2878" s="134">
        <f t="shared" si="133"/>
        <v>300000</v>
      </c>
      <c r="I2878" s="134">
        <f t="shared" si="133"/>
        <v>0</v>
      </c>
      <c r="J2878" s="134">
        <f t="shared" si="132"/>
        <v>300000</v>
      </c>
      <c r="K2878" s="135"/>
      <c r="L2878" s="148" t="str">
        <f t="shared" si="134"/>
        <v>مدين</v>
      </c>
      <c r="M2878" s="137" t="str">
        <f>IF(ISERROR(VLOOKUP(C2878,'[1]خريطة الحسابات'!_xlnm.Print_Area,4,FALSE))," ",(VLOOKUP(C2878,'[1]خريطة الحسابات'!_xlnm.Print_Area,4,FALSE)))</f>
        <v xml:space="preserve">أصول متداوله -النقدية ومافي حكمها </v>
      </c>
      <c r="N2878" s="138" t="str">
        <f>IF(ISERROR(VLOOKUP(C2878,'[1]خريطة الحسابات'!_xlnm.Print_Area,5,FALSE))," ",(VLOOKUP(C2878,'[1]خريطة الحسابات'!_xlnm.Print_Area,5,FALSE)))</f>
        <v>الاصول</v>
      </c>
      <c r="O2878" s="84" t="s">
        <v>2600</v>
      </c>
      <c r="P2878" s="84" t="s">
        <v>1315</v>
      </c>
    </row>
    <row r="2879" spans="1:16">
      <c r="A2879" s="151">
        <v>90</v>
      </c>
      <c r="B2879" s="131">
        <v>46114</v>
      </c>
      <c r="C2879" s="150">
        <v>20</v>
      </c>
      <c r="D2879" s="140" t="str">
        <f>IF(ISERROR(VLOOKUP(C2879,'[1]خريطة الحسابات'!_xlnm.Print_Area,3,FALSE))," ",(VLOOKUP(C2879,'[1]خريطة الحسابات'!_xlnm.Print_Area,3,FALSE)))</f>
        <v xml:space="preserve">الخزينة </v>
      </c>
      <c r="E2879" s="142"/>
      <c r="F2879" s="133">
        <v>200020</v>
      </c>
      <c r="G2879" s="133"/>
      <c r="H2879" s="134">
        <f t="shared" si="133"/>
        <v>200020</v>
      </c>
      <c r="I2879" s="134">
        <f t="shared" si="133"/>
        <v>0</v>
      </c>
      <c r="J2879" s="134">
        <f t="shared" si="132"/>
        <v>200020</v>
      </c>
      <c r="K2879" s="135"/>
      <c r="L2879" s="148" t="str">
        <f t="shared" si="134"/>
        <v>مدين</v>
      </c>
      <c r="M2879" s="137" t="str">
        <f>IF(ISERROR(VLOOKUP(C2879,'[1]خريطة الحسابات'!_xlnm.Print_Area,4,FALSE))," ",(VLOOKUP(C2879,'[1]خريطة الحسابات'!_xlnm.Print_Area,4,FALSE)))</f>
        <v xml:space="preserve">أصول متداوله -النقدية ومافي حكمها </v>
      </c>
      <c r="N2879" s="138" t="str">
        <f>IF(ISERROR(VLOOKUP(C2879,'[1]خريطة الحسابات'!_xlnm.Print_Area,5,FALSE))," ",(VLOOKUP(C2879,'[1]خريطة الحسابات'!_xlnm.Print_Area,5,FALSE)))</f>
        <v>الاصول</v>
      </c>
      <c r="O2879" s="84" t="s">
        <v>2602</v>
      </c>
      <c r="P2879" s="84" t="s">
        <v>1489</v>
      </c>
    </row>
    <row r="2880" spans="1:16">
      <c r="A2880" s="151">
        <v>90</v>
      </c>
      <c r="B2880" s="131">
        <v>46134</v>
      </c>
      <c r="C2880" s="150">
        <v>20</v>
      </c>
      <c r="D2880" s="140" t="str">
        <f>IF(ISERROR(VLOOKUP(C2880,'[1]خريطة الحسابات'!_xlnm.Print_Area,3,FALSE))," ",(VLOOKUP(C2880,'[1]خريطة الحسابات'!_xlnm.Print_Area,3,FALSE)))</f>
        <v xml:space="preserve">الخزينة </v>
      </c>
      <c r="E2880" s="142"/>
      <c r="F2880" s="133">
        <v>200000</v>
      </c>
      <c r="G2880" s="133"/>
      <c r="H2880" s="134">
        <f t="shared" si="133"/>
        <v>200000</v>
      </c>
      <c r="I2880" s="134">
        <f t="shared" si="133"/>
        <v>0</v>
      </c>
      <c r="J2880" s="134">
        <f t="shared" si="132"/>
        <v>200000</v>
      </c>
      <c r="K2880" s="135"/>
      <c r="L2880" s="148" t="str">
        <f t="shared" si="134"/>
        <v>مدين</v>
      </c>
      <c r="M2880" s="137" t="str">
        <f>IF(ISERROR(VLOOKUP(C2880,'[1]خريطة الحسابات'!_xlnm.Print_Area,4,FALSE))," ",(VLOOKUP(C2880,'[1]خريطة الحسابات'!_xlnm.Print_Area,4,FALSE)))</f>
        <v xml:space="preserve">أصول متداوله -النقدية ومافي حكمها </v>
      </c>
      <c r="N2880" s="138" t="str">
        <f>IF(ISERROR(VLOOKUP(C2880,'[1]خريطة الحسابات'!_xlnm.Print_Area,5,FALSE))," ",(VLOOKUP(C2880,'[1]خريطة الحسابات'!_xlnm.Print_Area,5,FALSE)))</f>
        <v>الاصول</v>
      </c>
      <c r="O2880" s="84" t="s">
        <v>2603</v>
      </c>
      <c r="P2880" s="84" t="s">
        <v>1489</v>
      </c>
    </row>
    <row r="2881" spans="1:16">
      <c r="A2881" s="151">
        <v>90</v>
      </c>
      <c r="B2881" s="131">
        <v>46174</v>
      </c>
      <c r="C2881" s="150">
        <v>20</v>
      </c>
      <c r="D2881" s="140" t="str">
        <f>IF(ISERROR(VLOOKUP(C2881,'[1]خريطة الحسابات'!_xlnm.Print_Area,3,FALSE))," ",(VLOOKUP(C2881,'[1]خريطة الحسابات'!_xlnm.Print_Area,3,FALSE)))</f>
        <v xml:space="preserve">الخزينة </v>
      </c>
      <c r="E2881" s="142"/>
      <c r="F2881" s="133">
        <v>87000</v>
      </c>
      <c r="G2881" s="133"/>
      <c r="H2881" s="134">
        <f t="shared" si="133"/>
        <v>87000</v>
      </c>
      <c r="I2881" s="134">
        <f t="shared" si="133"/>
        <v>0</v>
      </c>
      <c r="J2881" s="134">
        <f t="shared" si="132"/>
        <v>87000</v>
      </c>
      <c r="K2881" s="135"/>
      <c r="L2881" s="148" t="str">
        <f t="shared" si="134"/>
        <v>مدين</v>
      </c>
      <c r="M2881" s="137" t="str">
        <f>IF(ISERROR(VLOOKUP(C2881,'[1]خريطة الحسابات'!_xlnm.Print_Area,4,FALSE))," ",(VLOOKUP(C2881,'[1]خريطة الحسابات'!_xlnm.Print_Area,4,FALSE)))</f>
        <v xml:space="preserve">أصول متداوله -النقدية ومافي حكمها </v>
      </c>
      <c r="N2881" s="138" t="str">
        <f>IF(ISERROR(VLOOKUP(C2881,'[1]خريطة الحسابات'!_xlnm.Print_Area,5,FALSE))," ",(VLOOKUP(C2881,'[1]خريطة الحسابات'!_xlnm.Print_Area,5,FALSE)))</f>
        <v>الاصول</v>
      </c>
      <c r="O2881" s="84" t="s">
        <v>2604</v>
      </c>
      <c r="P2881" s="84" t="s">
        <v>1489</v>
      </c>
    </row>
    <row r="2882" spans="1:16">
      <c r="A2882" s="151">
        <v>90</v>
      </c>
      <c r="B2882" s="131">
        <v>46113</v>
      </c>
      <c r="C2882" s="150">
        <v>20</v>
      </c>
      <c r="D2882" s="140" t="str">
        <f>IF(ISERROR(VLOOKUP(C2882,'[1]خريطة الحسابات'!_xlnm.Print_Area,3,FALSE))," ",(VLOOKUP(C2882,'[1]خريطة الحسابات'!_xlnm.Print_Area,3,FALSE)))</f>
        <v xml:space="preserve">الخزينة </v>
      </c>
      <c r="E2882" s="142"/>
      <c r="F2882" s="133">
        <v>107113</v>
      </c>
      <c r="G2882" s="133"/>
      <c r="H2882" s="134">
        <f t="shared" si="133"/>
        <v>107113</v>
      </c>
      <c r="I2882" s="134">
        <f t="shared" si="133"/>
        <v>0</v>
      </c>
      <c r="J2882" s="134">
        <f t="shared" si="132"/>
        <v>107113</v>
      </c>
      <c r="K2882" s="135"/>
      <c r="L2882" s="148" t="str">
        <f t="shared" si="134"/>
        <v>مدين</v>
      </c>
      <c r="M2882" s="137" t="str">
        <f>IF(ISERROR(VLOOKUP(C2882,'[1]خريطة الحسابات'!_xlnm.Print_Area,4,FALSE))," ",(VLOOKUP(C2882,'[1]خريطة الحسابات'!_xlnm.Print_Area,4,FALSE)))</f>
        <v xml:space="preserve">أصول متداوله -النقدية ومافي حكمها </v>
      </c>
      <c r="N2882" s="138" t="str">
        <f>IF(ISERROR(VLOOKUP(C2882,'[1]خريطة الحسابات'!_xlnm.Print_Area,5,FALSE))," ",(VLOOKUP(C2882,'[1]خريطة الحسابات'!_xlnm.Print_Area,5,FALSE)))</f>
        <v>الاصول</v>
      </c>
      <c r="O2882" s="84" t="s">
        <v>2605</v>
      </c>
      <c r="P2882" s="84" t="s">
        <v>2606</v>
      </c>
    </row>
    <row r="2883" spans="1:16">
      <c r="A2883" s="151">
        <v>90</v>
      </c>
      <c r="B2883" s="131">
        <v>46068</v>
      </c>
      <c r="C2883" s="150">
        <v>20</v>
      </c>
      <c r="D2883" s="140" t="str">
        <f>IF(ISERROR(VLOOKUP(C2883,'[1]خريطة الحسابات'!_xlnm.Print_Area,3,FALSE))," ",(VLOOKUP(C2883,'[1]خريطة الحسابات'!_xlnm.Print_Area,3,FALSE)))</f>
        <v xml:space="preserve">الخزينة </v>
      </c>
      <c r="E2883" s="142"/>
      <c r="F2883" s="133">
        <v>15800</v>
      </c>
      <c r="G2883" s="133"/>
      <c r="H2883" s="134">
        <f t="shared" si="133"/>
        <v>15800</v>
      </c>
      <c r="I2883" s="134">
        <f t="shared" si="133"/>
        <v>0</v>
      </c>
      <c r="J2883" s="134">
        <f t="shared" si="132"/>
        <v>15800</v>
      </c>
      <c r="K2883" s="135"/>
      <c r="L2883" s="148" t="str">
        <f t="shared" si="134"/>
        <v>مدين</v>
      </c>
      <c r="M2883" s="137" t="str">
        <f>IF(ISERROR(VLOOKUP(C2883,'[1]خريطة الحسابات'!_xlnm.Print_Area,4,FALSE))," ",(VLOOKUP(C2883,'[1]خريطة الحسابات'!_xlnm.Print_Area,4,FALSE)))</f>
        <v xml:space="preserve">أصول متداوله -النقدية ومافي حكمها </v>
      </c>
      <c r="N2883" s="138" t="str">
        <f>IF(ISERROR(VLOOKUP(C2883,'[1]خريطة الحسابات'!_xlnm.Print_Area,5,FALSE))," ",(VLOOKUP(C2883,'[1]خريطة الحسابات'!_xlnm.Print_Area,5,FALSE)))</f>
        <v>الاصول</v>
      </c>
      <c r="O2883" s="84" t="s">
        <v>2607</v>
      </c>
      <c r="P2883" s="84" t="s">
        <v>1297</v>
      </c>
    </row>
    <row r="2884" spans="1:16">
      <c r="A2884" s="151">
        <v>90</v>
      </c>
      <c r="B2884" s="131">
        <v>46109</v>
      </c>
      <c r="C2884" s="150">
        <v>20</v>
      </c>
      <c r="D2884" s="140" t="str">
        <f>IF(ISERROR(VLOOKUP(C2884,'[1]خريطة الحسابات'!_xlnm.Print_Area,3,FALSE))," ",(VLOOKUP(C2884,'[1]خريطة الحسابات'!_xlnm.Print_Area,3,FALSE)))</f>
        <v xml:space="preserve">الخزينة </v>
      </c>
      <c r="E2884" s="142"/>
      <c r="F2884" s="133">
        <v>50000</v>
      </c>
      <c r="G2884" s="133"/>
      <c r="H2884" s="134">
        <f t="shared" si="133"/>
        <v>50000</v>
      </c>
      <c r="I2884" s="134">
        <f t="shared" si="133"/>
        <v>0</v>
      </c>
      <c r="J2884" s="134">
        <f t="shared" si="132"/>
        <v>50000</v>
      </c>
      <c r="K2884" s="135"/>
      <c r="L2884" s="148" t="str">
        <f t="shared" si="134"/>
        <v>مدين</v>
      </c>
      <c r="M2884" s="137" t="str">
        <f>IF(ISERROR(VLOOKUP(C2884,'[1]خريطة الحسابات'!_xlnm.Print_Area,4,FALSE))," ",(VLOOKUP(C2884,'[1]خريطة الحسابات'!_xlnm.Print_Area,4,FALSE)))</f>
        <v xml:space="preserve">أصول متداوله -النقدية ومافي حكمها </v>
      </c>
      <c r="N2884" s="138" t="str">
        <f>IF(ISERROR(VLOOKUP(C2884,'[1]خريطة الحسابات'!_xlnm.Print_Area,5,FALSE))," ",(VLOOKUP(C2884,'[1]خريطة الحسابات'!_xlnm.Print_Area,5,FALSE)))</f>
        <v>الاصول</v>
      </c>
      <c r="O2884" s="84" t="s">
        <v>2608</v>
      </c>
      <c r="P2884" s="84" t="s">
        <v>1297</v>
      </c>
    </row>
    <row r="2885" spans="1:16">
      <c r="A2885" s="151">
        <v>90</v>
      </c>
      <c r="B2885" s="131">
        <v>46176</v>
      </c>
      <c r="C2885" s="150">
        <v>20</v>
      </c>
      <c r="D2885" s="140" t="str">
        <f>IF(ISERROR(VLOOKUP(C2885,'[1]خريطة الحسابات'!_xlnm.Print_Area,3,FALSE))," ",(VLOOKUP(C2885,'[1]خريطة الحسابات'!_xlnm.Print_Area,3,FALSE)))</f>
        <v xml:space="preserve">الخزينة </v>
      </c>
      <c r="E2885" s="142"/>
      <c r="F2885" s="133">
        <v>36145</v>
      </c>
      <c r="G2885" s="133"/>
      <c r="H2885" s="134">
        <f t="shared" si="133"/>
        <v>36145</v>
      </c>
      <c r="I2885" s="134">
        <f t="shared" si="133"/>
        <v>0</v>
      </c>
      <c r="J2885" s="134">
        <f t="shared" si="132"/>
        <v>36145</v>
      </c>
      <c r="K2885" s="135"/>
      <c r="L2885" s="148" t="str">
        <f t="shared" si="134"/>
        <v>مدين</v>
      </c>
      <c r="M2885" s="137" t="str">
        <f>IF(ISERROR(VLOOKUP(C2885,'[1]خريطة الحسابات'!_xlnm.Print_Area,4,FALSE))," ",(VLOOKUP(C2885,'[1]خريطة الحسابات'!_xlnm.Print_Area,4,FALSE)))</f>
        <v xml:space="preserve">أصول متداوله -النقدية ومافي حكمها </v>
      </c>
      <c r="N2885" s="138" t="str">
        <f>IF(ISERROR(VLOOKUP(C2885,'[1]خريطة الحسابات'!_xlnm.Print_Area,5,FALSE))," ",(VLOOKUP(C2885,'[1]خريطة الحسابات'!_xlnm.Print_Area,5,FALSE)))</f>
        <v>الاصول</v>
      </c>
      <c r="O2885" s="84" t="s">
        <v>2609</v>
      </c>
      <c r="P2885" s="84" t="s">
        <v>1297</v>
      </c>
    </row>
    <row r="2886" spans="1:16">
      <c r="A2886" s="151">
        <v>90</v>
      </c>
      <c r="B2886" s="131">
        <v>46041</v>
      </c>
      <c r="C2886" s="150">
        <v>20</v>
      </c>
      <c r="D2886" s="140" t="str">
        <f>IF(ISERROR(VLOOKUP(C2886,'[1]خريطة الحسابات'!_xlnm.Print_Area,3,FALSE))," ",(VLOOKUP(C2886,'[1]خريطة الحسابات'!_xlnm.Print_Area,3,FALSE)))</f>
        <v xml:space="preserve">الخزينة </v>
      </c>
      <c r="E2886" s="142"/>
      <c r="F2886" s="133">
        <v>45000</v>
      </c>
      <c r="G2886" s="133"/>
      <c r="H2886" s="134">
        <f t="shared" si="133"/>
        <v>45000</v>
      </c>
      <c r="I2886" s="134">
        <f t="shared" si="133"/>
        <v>0</v>
      </c>
      <c r="J2886" s="134">
        <f t="shared" si="132"/>
        <v>45000</v>
      </c>
      <c r="K2886" s="135"/>
      <c r="L2886" s="148" t="str">
        <f t="shared" si="134"/>
        <v>مدين</v>
      </c>
      <c r="M2886" s="137" t="str">
        <f>IF(ISERROR(VLOOKUP(C2886,'[1]خريطة الحسابات'!_xlnm.Print_Area,4,FALSE))," ",(VLOOKUP(C2886,'[1]خريطة الحسابات'!_xlnm.Print_Area,4,FALSE)))</f>
        <v xml:space="preserve">أصول متداوله -النقدية ومافي حكمها </v>
      </c>
      <c r="N2886" s="138" t="str">
        <f>IF(ISERROR(VLOOKUP(C2886,'[1]خريطة الحسابات'!_xlnm.Print_Area,5,FALSE))," ",(VLOOKUP(C2886,'[1]خريطة الحسابات'!_xlnm.Print_Area,5,FALSE)))</f>
        <v>الاصول</v>
      </c>
      <c r="O2886" s="84" t="s">
        <v>2610</v>
      </c>
      <c r="P2886" s="84" t="s">
        <v>1405</v>
      </c>
    </row>
    <row r="2887" spans="1:16">
      <c r="A2887" s="151">
        <v>90</v>
      </c>
      <c r="B2887" s="131">
        <v>46036</v>
      </c>
      <c r="C2887" s="150">
        <v>20</v>
      </c>
      <c r="D2887" s="140" t="str">
        <f>IF(ISERROR(VLOOKUP(C2887,'[1]خريطة الحسابات'!_xlnm.Print_Area,3,FALSE))," ",(VLOOKUP(C2887,'[1]خريطة الحسابات'!_xlnm.Print_Area,3,FALSE)))</f>
        <v xml:space="preserve">الخزينة </v>
      </c>
      <c r="E2887" s="142"/>
      <c r="F2887" s="133">
        <v>28500</v>
      </c>
      <c r="G2887" s="133"/>
      <c r="H2887" s="134">
        <f t="shared" si="133"/>
        <v>28500</v>
      </c>
      <c r="I2887" s="134">
        <f t="shared" si="133"/>
        <v>0</v>
      </c>
      <c r="J2887" s="134">
        <f t="shared" si="132"/>
        <v>28500</v>
      </c>
      <c r="K2887" s="135"/>
      <c r="L2887" s="148" t="str">
        <f t="shared" si="134"/>
        <v>مدين</v>
      </c>
      <c r="M2887" s="137" t="str">
        <f>IF(ISERROR(VLOOKUP(C2887,'[1]خريطة الحسابات'!_xlnm.Print_Area,4,FALSE))," ",(VLOOKUP(C2887,'[1]خريطة الحسابات'!_xlnm.Print_Area,4,FALSE)))</f>
        <v xml:space="preserve">أصول متداوله -النقدية ومافي حكمها </v>
      </c>
      <c r="N2887" s="138" t="str">
        <f>IF(ISERROR(VLOOKUP(C2887,'[1]خريطة الحسابات'!_xlnm.Print_Area,5,FALSE))," ",(VLOOKUP(C2887,'[1]خريطة الحسابات'!_xlnm.Print_Area,5,FALSE)))</f>
        <v>الاصول</v>
      </c>
      <c r="O2887" s="84" t="s">
        <v>2611</v>
      </c>
      <c r="P2887" s="84" t="s">
        <v>1325</v>
      </c>
    </row>
    <row r="2888" spans="1:16">
      <c r="A2888" s="151">
        <v>90</v>
      </c>
      <c r="B2888" s="131">
        <v>46039</v>
      </c>
      <c r="C2888" s="150">
        <v>20</v>
      </c>
      <c r="D2888" s="140" t="str">
        <f>IF(ISERROR(VLOOKUP(C2888,'[1]خريطة الحسابات'!_xlnm.Print_Area,3,FALSE))," ",(VLOOKUP(C2888,'[1]خريطة الحسابات'!_xlnm.Print_Area,3,FALSE)))</f>
        <v xml:space="preserve">الخزينة </v>
      </c>
      <c r="E2888" s="142"/>
      <c r="F2888" s="133">
        <v>50000</v>
      </c>
      <c r="G2888" s="133"/>
      <c r="H2888" s="134">
        <f t="shared" si="133"/>
        <v>50000</v>
      </c>
      <c r="I2888" s="134">
        <f t="shared" si="133"/>
        <v>0</v>
      </c>
      <c r="J2888" s="134">
        <f t="shared" si="132"/>
        <v>50000</v>
      </c>
      <c r="K2888" s="135"/>
      <c r="L2888" s="148" t="str">
        <f t="shared" si="134"/>
        <v>مدين</v>
      </c>
      <c r="M2888" s="137" t="str">
        <f>IF(ISERROR(VLOOKUP(C2888,'[1]خريطة الحسابات'!_xlnm.Print_Area,4,FALSE))," ",(VLOOKUP(C2888,'[1]خريطة الحسابات'!_xlnm.Print_Area,4,FALSE)))</f>
        <v xml:space="preserve">أصول متداوله -النقدية ومافي حكمها </v>
      </c>
      <c r="N2888" s="138" t="str">
        <f>IF(ISERROR(VLOOKUP(C2888,'[1]خريطة الحسابات'!_xlnm.Print_Area,5,FALSE))," ",(VLOOKUP(C2888,'[1]خريطة الحسابات'!_xlnm.Print_Area,5,FALSE)))</f>
        <v>الاصول</v>
      </c>
      <c r="O2888" s="84" t="s">
        <v>2612</v>
      </c>
      <c r="P2888" s="84" t="s">
        <v>1325</v>
      </c>
    </row>
    <row r="2889" spans="1:16">
      <c r="A2889" s="151">
        <v>90</v>
      </c>
      <c r="B2889" s="131">
        <v>46044</v>
      </c>
      <c r="C2889" s="150">
        <v>20</v>
      </c>
      <c r="D2889" s="140" t="str">
        <f>IF(ISERROR(VLOOKUP(C2889,'[1]خريطة الحسابات'!_xlnm.Print_Area,3,FALSE))," ",(VLOOKUP(C2889,'[1]خريطة الحسابات'!_xlnm.Print_Area,3,FALSE)))</f>
        <v xml:space="preserve">الخزينة </v>
      </c>
      <c r="E2889" s="142"/>
      <c r="F2889" s="133">
        <v>40000</v>
      </c>
      <c r="G2889" s="133"/>
      <c r="H2889" s="134">
        <f t="shared" si="133"/>
        <v>40000</v>
      </c>
      <c r="I2889" s="134">
        <f t="shared" si="133"/>
        <v>0</v>
      </c>
      <c r="J2889" s="134">
        <f t="shared" si="132"/>
        <v>40000</v>
      </c>
      <c r="K2889" s="135"/>
      <c r="L2889" s="148" t="str">
        <f t="shared" si="134"/>
        <v>مدين</v>
      </c>
      <c r="M2889" s="137" t="str">
        <f>IF(ISERROR(VLOOKUP(C2889,'[1]خريطة الحسابات'!_xlnm.Print_Area,4,FALSE))," ",(VLOOKUP(C2889,'[1]خريطة الحسابات'!_xlnm.Print_Area,4,FALSE)))</f>
        <v xml:space="preserve">أصول متداوله -النقدية ومافي حكمها </v>
      </c>
      <c r="N2889" s="138" t="str">
        <f>IF(ISERROR(VLOOKUP(C2889,'[1]خريطة الحسابات'!_xlnm.Print_Area,5,FALSE))," ",(VLOOKUP(C2889,'[1]خريطة الحسابات'!_xlnm.Print_Area,5,FALSE)))</f>
        <v>الاصول</v>
      </c>
      <c r="O2889" s="84" t="s">
        <v>2613</v>
      </c>
      <c r="P2889" s="84" t="s">
        <v>1325</v>
      </c>
    </row>
    <row r="2890" spans="1:16">
      <c r="A2890" s="151">
        <v>90</v>
      </c>
      <c r="B2890" s="131">
        <v>46048</v>
      </c>
      <c r="C2890" s="150">
        <v>20</v>
      </c>
      <c r="D2890" s="140" t="str">
        <f>IF(ISERROR(VLOOKUP(C2890,'[1]خريطة الحسابات'!_xlnm.Print_Area,3,FALSE))," ",(VLOOKUP(C2890,'[1]خريطة الحسابات'!_xlnm.Print_Area,3,FALSE)))</f>
        <v xml:space="preserve">الخزينة </v>
      </c>
      <c r="E2890" s="142"/>
      <c r="F2890" s="133">
        <v>23000</v>
      </c>
      <c r="G2890" s="133"/>
      <c r="H2890" s="134">
        <f t="shared" si="133"/>
        <v>23000</v>
      </c>
      <c r="I2890" s="134">
        <f t="shared" si="133"/>
        <v>0</v>
      </c>
      <c r="J2890" s="134">
        <f t="shared" si="132"/>
        <v>23000</v>
      </c>
      <c r="K2890" s="135"/>
      <c r="L2890" s="148" t="str">
        <f t="shared" si="134"/>
        <v>مدين</v>
      </c>
      <c r="M2890" s="137" t="str">
        <f>IF(ISERROR(VLOOKUP(C2890,'[1]خريطة الحسابات'!_xlnm.Print_Area,4,FALSE))," ",(VLOOKUP(C2890,'[1]خريطة الحسابات'!_xlnm.Print_Area,4,FALSE)))</f>
        <v xml:space="preserve">أصول متداوله -النقدية ومافي حكمها </v>
      </c>
      <c r="N2890" s="138" t="str">
        <f>IF(ISERROR(VLOOKUP(C2890,'[1]خريطة الحسابات'!_xlnm.Print_Area,5,FALSE))," ",(VLOOKUP(C2890,'[1]خريطة الحسابات'!_xlnm.Print_Area,5,FALSE)))</f>
        <v>الاصول</v>
      </c>
      <c r="O2890" s="84" t="s">
        <v>2612</v>
      </c>
      <c r="P2890" s="84" t="s">
        <v>1325</v>
      </c>
    </row>
    <row r="2891" spans="1:16">
      <c r="A2891" s="151">
        <v>90</v>
      </c>
      <c r="B2891" s="131">
        <v>46049</v>
      </c>
      <c r="C2891" s="150">
        <v>20</v>
      </c>
      <c r="D2891" s="140" t="str">
        <f>IF(ISERROR(VLOOKUP(C2891,'[1]خريطة الحسابات'!_xlnm.Print_Area,3,FALSE))," ",(VLOOKUP(C2891,'[1]خريطة الحسابات'!_xlnm.Print_Area,3,FALSE)))</f>
        <v xml:space="preserve">الخزينة </v>
      </c>
      <c r="E2891" s="142"/>
      <c r="F2891" s="133">
        <v>25000</v>
      </c>
      <c r="G2891" s="133"/>
      <c r="H2891" s="134">
        <f t="shared" si="133"/>
        <v>25000</v>
      </c>
      <c r="I2891" s="134">
        <f t="shared" si="133"/>
        <v>0</v>
      </c>
      <c r="J2891" s="134">
        <f t="shared" si="132"/>
        <v>25000</v>
      </c>
      <c r="K2891" s="135"/>
      <c r="L2891" s="148" t="str">
        <f t="shared" si="134"/>
        <v>مدين</v>
      </c>
      <c r="M2891" s="137" t="str">
        <f>IF(ISERROR(VLOOKUP(C2891,'[1]خريطة الحسابات'!_xlnm.Print_Area,4,FALSE))," ",(VLOOKUP(C2891,'[1]خريطة الحسابات'!_xlnm.Print_Area,4,FALSE)))</f>
        <v xml:space="preserve">أصول متداوله -النقدية ومافي حكمها </v>
      </c>
      <c r="N2891" s="138" t="str">
        <f>IF(ISERROR(VLOOKUP(C2891,'[1]خريطة الحسابات'!_xlnm.Print_Area,5,FALSE))," ",(VLOOKUP(C2891,'[1]خريطة الحسابات'!_xlnm.Print_Area,5,FALSE)))</f>
        <v>الاصول</v>
      </c>
      <c r="O2891" s="84" t="s">
        <v>2612</v>
      </c>
      <c r="P2891" s="84" t="s">
        <v>1325</v>
      </c>
    </row>
    <row r="2892" spans="1:16">
      <c r="A2892" s="151">
        <v>90</v>
      </c>
      <c r="B2892" s="131">
        <v>46050</v>
      </c>
      <c r="C2892" s="150">
        <v>20</v>
      </c>
      <c r="D2892" s="140" t="str">
        <f>IF(ISERROR(VLOOKUP(C2892,'[1]خريطة الحسابات'!_xlnm.Print_Area,3,FALSE))," ",(VLOOKUP(C2892,'[1]خريطة الحسابات'!_xlnm.Print_Area,3,FALSE)))</f>
        <v xml:space="preserve">الخزينة </v>
      </c>
      <c r="E2892" s="142"/>
      <c r="F2892" s="133">
        <v>7000</v>
      </c>
      <c r="G2892" s="133"/>
      <c r="H2892" s="134">
        <f t="shared" si="133"/>
        <v>7000</v>
      </c>
      <c r="I2892" s="134">
        <f t="shared" si="133"/>
        <v>0</v>
      </c>
      <c r="J2892" s="134">
        <f t="shared" si="132"/>
        <v>7000</v>
      </c>
      <c r="K2892" s="135"/>
      <c r="L2892" s="148" t="str">
        <f t="shared" si="134"/>
        <v>مدين</v>
      </c>
      <c r="M2892" s="137" t="str">
        <f>IF(ISERROR(VLOOKUP(C2892,'[1]خريطة الحسابات'!_xlnm.Print_Area,4,FALSE))," ",(VLOOKUP(C2892,'[1]خريطة الحسابات'!_xlnm.Print_Area,4,FALSE)))</f>
        <v xml:space="preserve">أصول متداوله -النقدية ومافي حكمها </v>
      </c>
      <c r="N2892" s="138" t="str">
        <f>IF(ISERROR(VLOOKUP(C2892,'[1]خريطة الحسابات'!_xlnm.Print_Area,5,FALSE))," ",(VLOOKUP(C2892,'[1]خريطة الحسابات'!_xlnm.Print_Area,5,FALSE)))</f>
        <v>الاصول</v>
      </c>
      <c r="O2892" s="84" t="s">
        <v>2612</v>
      </c>
      <c r="P2892" s="84" t="s">
        <v>1325</v>
      </c>
    </row>
    <row r="2893" spans="1:16">
      <c r="A2893" s="151">
        <v>90</v>
      </c>
      <c r="B2893" s="131">
        <v>46082</v>
      </c>
      <c r="C2893" s="150">
        <v>20</v>
      </c>
      <c r="D2893" s="140" t="str">
        <f>IF(ISERROR(VLOOKUP(C2893,'[1]خريطة الحسابات'!_xlnm.Print_Area,3,FALSE))," ",(VLOOKUP(C2893,'[1]خريطة الحسابات'!_xlnm.Print_Area,3,FALSE)))</f>
        <v xml:space="preserve">الخزينة </v>
      </c>
      <c r="E2893" s="142"/>
      <c r="F2893" s="133">
        <v>60000</v>
      </c>
      <c r="G2893" s="133"/>
      <c r="H2893" s="134">
        <f t="shared" si="133"/>
        <v>60000</v>
      </c>
      <c r="I2893" s="134">
        <f t="shared" si="133"/>
        <v>0</v>
      </c>
      <c r="J2893" s="134">
        <f t="shared" si="132"/>
        <v>60000</v>
      </c>
      <c r="K2893" s="135"/>
      <c r="L2893" s="148" t="str">
        <f t="shared" si="134"/>
        <v>مدين</v>
      </c>
      <c r="M2893" s="137" t="str">
        <f>IF(ISERROR(VLOOKUP(C2893,'[1]خريطة الحسابات'!_xlnm.Print_Area,4,FALSE))," ",(VLOOKUP(C2893,'[1]خريطة الحسابات'!_xlnm.Print_Area,4,FALSE)))</f>
        <v xml:space="preserve">أصول متداوله -النقدية ومافي حكمها </v>
      </c>
      <c r="N2893" s="138" t="str">
        <f>IF(ISERROR(VLOOKUP(C2893,'[1]خريطة الحسابات'!_xlnm.Print_Area,5,FALSE))," ",(VLOOKUP(C2893,'[1]خريطة الحسابات'!_xlnm.Print_Area,5,FALSE)))</f>
        <v>الاصول</v>
      </c>
      <c r="O2893" s="84" t="s">
        <v>2614</v>
      </c>
      <c r="P2893" s="84" t="s">
        <v>1325</v>
      </c>
    </row>
    <row r="2894" spans="1:16">
      <c r="A2894" s="151">
        <v>90</v>
      </c>
      <c r="B2894" s="131">
        <v>46139</v>
      </c>
      <c r="C2894" s="150">
        <v>20</v>
      </c>
      <c r="D2894" s="140" t="str">
        <f>IF(ISERROR(VLOOKUP(C2894,'[1]خريطة الحسابات'!_xlnm.Print_Area,3,FALSE))," ",(VLOOKUP(C2894,'[1]خريطة الحسابات'!_xlnm.Print_Area,3,FALSE)))</f>
        <v xml:space="preserve">الخزينة </v>
      </c>
      <c r="E2894" s="142"/>
      <c r="F2894" s="133">
        <v>250000</v>
      </c>
      <c r="G2894" s="133"/>
      <c r="H2894" s="134">
        <f t="shared" si="133"/>
        <v>250000</v>
      </c>
      <c r="I2894" s="134">
        <f t="shared" si="133"/>
        <v>0</v>
      </c>
      <c r="J2894" s="134">
        <f t="shared" si="132"/>
        <v>250000</v>
      </c>
      <c r="K2894" s="135"/>
      <c r="L2894" s="148" t="str">
        <f t="shared" si="134"/>
        <v>مدين</v>
      </c>
      <c r="M2894" s="137" t="str">
        <f>IF(ISERROR(VLOOKUP(C2894,'[1]خريطة الحسابات'!_xlnm.Print_Area,4,FALSE))," ",(VLOOKUP(C2894,'[1]خريطة الحسابات'!_xlnm.Print_Area,4,FALSE)))</f>
        <v xml:space="preserve">أصول متداوله -النقدية ومافي حكمها </v>
      </c>
      <c r="N2894" s="138" t="str">
        <f>IF(ISERROR(VLOOKUP(C2894,'[1]خريطة الحسابات'!_xlnm.Print_Area,5,FALSE))," ",(VLOOKUP(C2894,'[1]خريطة الحسابات'!_xlnm.Print_Area,5,FALSE)))</f>
        <v>الاصول</v>
      </c>
      <c r="O2894" s="84" t="s">
        <v>2615</v>
      </c>
      <c r="P2894" s="84" t="s">
        <v>2476</v>
      </c>
    </row>
    <row r="2895" spans="1:16">
      <c r="A2895" s="151">
        <v>90</v>
      </c>
      <c r="B2895" s="131">
        <v>46092</v>
      </c>
      <c r="C2895" s="150">
        <v>20</v>
      </c>
      <c r="D2895" s="140" t="str">
        <f>IF(ISERROR(VLOOKUP(C2895,'[1]خريطة الحسابات'!_xlnm.Print_Area,3,FALSE))," ",(VLOOKUP(C2895,'[1]خريطة الحسابات'!_xlnm.Print_Area,3,FALSE)))</f>
        <v xml:space="preserve">الخزينة </v>
      </c>
      <c r="E2895" s="142"/>
      <c r="F2895" s="133">
        <v>241115</v>
      </c>
      <c r="G2895" s="133"/>
      <c r="H2895" s="134">
        <f t="shared" si="133"/>
        <v>241115</v>
      </c>
      <c r="I2895" s="134">
        <f t="shared" si="133"/>
        <v>0</v>
      </c>
      <c r="J2895" s="134">
        <f t="shared" si="132"/>
        <v>241115</v>
      </c>
      <c r="K2895" s="135"/>
      <c r="L2895" s="148" t="str">
        <f t="shared" si="134"/>
        <v>مدين</v>
      </c>
      <c r="M2895" s="137" t="str">
        <f>IF(ISERROR(VLOOKUP(C2895,'[1]خريطة الحسابات'!_xlnm.Print_Area,4,FALSE))," ",(VLOOKUP(C2895,'[1]خريطة الحسابات'!_xlnm.Print_Area,4,FALSE)))</f>
        <v xml:space="preserve">أصول متداوله -النقدية ومافي حكمها </v>
      </c>
      <c r="N2895" s="138" t="str">
        <f>IF(ISERROR(VLOOKUP(C2895,'[1]خريطة الحسابات'!_xlnm.Print_Area,5,FALSE))," ",(VLOOKUP(C2895,'[1]خريطة الحسابات'!_xlnm.Print_Area,5,FALSE)))</f>
        <v>الاصول</v>
      </c>
      <c r="O2895" s="84" t="s">
        <v>2616</v>
      </c>
      <c r="P2895" s="84" t="s">
        <v>1383</v>
      </c>
    </row>
    <row r="2896" spans="1:16">
      <c r="A2896" s="151">
        <v>90</v>
      </c>
      <c r="B2896" s="131">
        <v>46126</v>
      </c>
      <c r="C2896" s="150">
        <v>20</v>
      </c>
      <c r="D2896" s="140" t="str">
        <f>IF(ISERROR(VLOOKUP(C2896,'[1]خريطة الحسابات'!_xlnm.Print_Area,3,FALSE))," ",(VLOOKUP(C2896,'[1]خريطة الحسابات'!_xlnm.Print_Area,3,FALSE)))</f>
        <v xml:space="preserve">الخزينة </v>
      </c>
      <c r="E2896" s="142"/>
      <c r="F2896" s="133">
        <v>227110</v>
      </c>
      <c r="G2896" s="133"/>
      <c r="H2896" s="134">
        <f t="shared" si="133"/>
        <v>227110</v>
      </c>
      <c r="I2896" s="134">
        <f t="shared" si="133"/>
        <v>0</v>
      </c>
      <c r="J2896" s="134">
        <f t="shared" si="132"/>
        <v>227110</v>
      </c>
      <c r="K2896" s="135"/>
      <c r="L2896" s="148" t="str">
        <f t="shared" si="134"/>
        <v>مدين</v>
      </c>
      <c r="M2896" s="137" t="str">
        <f>IF(ISERROR(VLOOKUP(C2896,'[1]خريطة الحسابات'!_xlnm.Print_Area,4,FALSE))," ",(VLOOKUP(C2896,'[1]خريطة الحسابات'!_xlnm.Print_Area,4,FALSE)))</f>
        <v xml:space="preserve">أصول متداوله -النقدية ومافي حكمها </v>
      </c>
      <c r="N2896" s="138" t="str">
        <f>IF(ISERROR(VLOOKUP(C2896,'[1]خريطة الحسابات'!_xlnm.Print_Area,5,FALSE))," ",(VLOOKUP(C2896,'[1]خريطة الحسابات'!_xlnm.Print_Area,5,FALSE)))</f>
        <v>الاصول</v>
      </c>
      <c r="O2896" s="84" t="s">
        <v>2617</v>
      </c>
      <c r="P2896" s="84" t="s">
        <v>1383</v>
      </c>
    </row>
    <row r="2897" spans="1:16">
      <c r="A2897" s="151">
        <v>90</v>
      </c>
      <c r="B2897" s="131">
        <v>46158</v>
      </c>
      <c r="C2897" s="150">
        <v>20</v>
      </c>
      <c r="D2897" s="140" t="str">
        <f>IF(ISERROR(VLOOKUP(C2897,'[1]خريطة الحسابات'!_xlnm.Print_Area,3,FALSE))," ",(VLOOKUP(C2897,'[1]خريطة الحسابات'!_xlnm.Print_Area,3,FALSE)))</f>
        <v xml:space="preserve">الخزينة </v>
      </c>
      <c r="E2897" s="142"/>
      <c r="F2897" s="133">
        <v>83186</v>
      </c>
      <c r="G2897" s="133"/>
      <c r="H2897" s="134">
        <f t="shared" si="133"/>
        <v>83186</v>
      </c>
      <c r="I2897" s="134">
        <f t="shared" si="133"/>
        <v>0</v>
      </c>
      <c r="J2897" s="134">
        <f t="shared" si="132"/>
        <v>83186</v>
      </c>
      <c r="K2897" s="135"/>
      <c r="L2897" s="148" t="str">
        <f t="shared" si="134"/>
        <v>مدين</v>
      </c>
      <c r="M2897" s="137" t="str">
        <f>IF(ISERROR(VLOOKUP(C2897,'[1]خريطة الحسابات'!_xlnm.Print_Area,4,FALSE))," ",(VLOOKUP(C2897,'[1]خريطة الحسابات'!_xlnm.Print_Area,4,FALSE)))</f>
        <v xml:space="preserve">أصول متداوله -النقدية ومافي حكمها </v>
      </c>
      <c r="N2897" s="138" t="str">
        <f>IF(ISERROR(VLOOKUP(C2897,'[1]خريطة الحسابات'!_xlnm.Print_Area,5,FALSE))," ",(VLOOKUP(C2897,'[1]خريطة الحسابات'!_xlnm.Print_Area,5,FALSE)))</f>
        <v>الاصول</v>
      </c>
      <c r="O2897" s="84" t="s">
        <v>2618</v>
      </c>
      <c r="P2897" s="84" t="s">
        <v>1383</v>
      </c>
    </row>
    <row r="2898" spans="1:16">
      <c r="A2898" s="151">
        <v>90</v>
      </c>
      <c r="B2898" s="131">
        <v>46117</v>
      </c>
      <c r="C2898" s="150">
        <v>20</v>
      </c>
      <c r="D2898" s="140" t="str">
        <f>IF(ISERROR(VLOOKUP(C2898,'[1]خريطة الحسابات'!_xlnm.Print_Area,3,FALSE))," ",(VLOOKUP(C2898,'[1]خريطة الحسابات'!_xlnm.Print_Area,3,FALSE)))</f>
        <v xml:space="preserve">الخزينة </v>
      </c>
      <c r="E2898" s="142"/>
      <c r="F2898" s="133">
        <v>50000</v>
      </c>
      <c r="G2898" s="133"/>
      <c r="H2898" s="134">
        <f t="shared" si="133"/>
        <v>50000</v>
      </c>
      <c r="I2898" s="134">
        <f t="shared" si="133"/>
        <v>0</v>
      </c>
      <c r="J2898" s="134">
        <f t="shared" si="132"/>
        <v>50000</v>
      </c>
      <c r="K2898" s="135"/>
      <c r="L2898" s="148" t="str">
        <f t="shared" si="134"/>
        <v>مدين</v>
      </c>
      <c r="M2898" s="137" t="str">
        <f>IF(ISERROR(VLOOKUP(C2898,'[1]خريطة الحسابات'!_xlnm.Print_Area,4,FALSE))," ",(VLOOKUP(C2898,'[1]خريطة الحسابات'!_xlnm.Print_Area,4,FALSE)))</f>
        <v xml:space="preserve">أصول متداوله -النقدية ومافي حكمها </v>
      </c>
      <c r="N2898" s="138" t="str">
        <f>IF(ISERROR(VLOOKUP(C2898,'[1]خريطة الحسابات'!_xlnm.Print_Area,5,FALSE))," ",(VLOOKUP(C2898,'[1]خريطة الحسابات'!_xlnm.Print_Area,5,FALSE)))</f>
        <v>الاصول</v>
      </c>
      <c r="O2898" s="84" t="s">
        <v>2619</v>
      </c>
      <c r="P2898" s="84" t="s">
        <v>1415</v>
      </c>
    </row>
    <row r="2899" spans="1:16">
      <c r="A2899" s="151">
        <v>90</v>
      </c>
      <c r="B2899" s="131">
        <v>46055</v>
      </c>
      <c r="C2899" s="150">
        <v>20</v>
      </c>
      <c r="D2899" s="140" t="str">
        <f>IF(ISERROR(VLOOKUP(C2899,'[1]خريطة الحسابات'!_xlnm.Print_Area,3,FALSE))," ",(VLOOKUP(C2899,'[1]خريطة الحسابات'!_xlnm.Print_Area,3,FALSE)))</f>
        <v xml:space="preserve">الخزينة </v>
      </c>
      <c r="E2899" s="142"/>
      <c r="F2899" s="133">
        <v>100000</v>
      </c>
      <c r="G2899" s="133"/>
      <c r="H2899" s="134">
        <f t="shared" si="133"/>
        <v>100000</v>
      </c>
      <c r="I2899" s="134">
        <f t="shared" si="133"/>
        <v>0</v>
      </c>
      <c r="J2899" s="134">
        <f t="shared" si="132"/>
        <v>100000</v>
      </c>
      <c r="K2899" s="135"/>
      <c r="L2899" s="148" t="str">
        <f t="shared" si="134"/>
        <v>مدين</v>
      </c>
      <c r="M2899" s="137" t="str">
        <f>IF(ISERROR(VLOOKUP(C2899,'[1]خريطة الحسابات'!_xlnm.Print_Area,4,FALSE))," ",(VLOOKUP(C2899,'[1]خريطة الحسابات'!_xlnm.Print_Area,4,FALSE)))</f>
        <v xml:space="preserve">أصول متداوله -النقدية ومافي حكمها </v>
      </c>
      <c r="N2899" s="138" t="str">
        <f>IF(ISERROR(VLOOKUP(C2899,'[1]خريطة الحسابات'!_xlnm.Print_Area,5,FALSE))," ",(VLOOKUP(C2899,'[1]خريطة الحسابات'!_xlnm.Print_Area,5,FALSE)))</f>
        <v>الاصول</v>
      </c>
      <c r="O2899" s="84" t="s">
        <v>2620</v>
      </c>
      <c r="P2899" s="84" t="s">
        <v>1538</v>
      </c>
    </row>
    <row r="2900" spans="1:16">
      <c r="A2900" s="151">
        <v>90</v>
      </c>
      <c r="B2900" s="131">
        <v>46109</v>
      </c>
      <c r="C2900" s="150">
        <v>20</v>
      </c>
      <c r="D2900" s="140" t="str">
        <f>IF(ISERROR(VLOOKUP(C2900,'[1]خريطة الحسابات'!_xlnm.Print_Area,3,FALSE))," ",(VLOOKUP(C2900,'[1]خريطة الحسابات'!_xlnm.Print_Area,3,FALSE)))</f>
        <v xml:space="preserve">الخزينة </v>
      </c>
      <c r="E2900" s="142"/>
      <c r="F2900" s="133">
        <v>150000</v>
      </c>
      <c r="G2900" s="133"/>
      <c r="H2900" s="134">
        <f t="shared" si="133"/>
        <v>150000</v>
      </c>
      <c r="I2900" s="134">
        <f t="shared" si="133"/>
        <v>0</v>
      </c>
      <c r="J2900" s="134">
        <f t="shared" si="132"/>
        <v>150000</v>
      </c>
      <c r="K2900" s="135"/>
      <c r="L2900" s="148" t="str">
        <f t="shared" si="134"/>
        <v>مدين</v>
      </c>
      <c r="M2900" s="137" t="str">
        <f>IF(ISERROR(VLOOKUP(C2900,'[1]خريطة الحسابات'!_xlnm.Print_Area,4,FALSE))," ",(VLOOKUP(C2900,'[1]خريطة الحسابات'!_xlnm.Print_Area,4,FALSE)))</f>
        <v xml:space="preserve">أصول متداوله -النقدية ومافي حكمها </v>
      </c>
      <c r="N2900" s="138" t="str">
        <f>IF(ISERROR(VLOOKUP(C2900,'[1]خريطة الحسابات'!_xlnm.Print_Area,5,FALSE))," ",(VLOOKUP(C2900,'[1]خريطة الحسابات'!_xlnm.Print_Area,5,FALSE)))</f>
        <v>الاصول</v>
      </c>
      <c r="O2900" s="84" t="s">
        <v>2621</v>
      </c>
      <c r="P2900" s="84" t="s">
        <v>1317</v>
      </c>
    </row>
    <row r="2901" spans="1:16">
      <c r="A2901" s="151">
        <v>90</v>
      </c>
      <c r="B2901" s="131">
        <v>46131</v>
      </c>
      <c r="C2901" s="150">
        <v>20</v>
      </c>
      <c r="D2901" s="140" t="str">
        <f>IF(ISERROR(VLOOKUP(C2901,'[1]خريطة الحسابات'!_xlnm.Print_Area,3,FALSE))," ",(VLOOKUP(C2901,'[1]خريطة الحسابات'!_xlnm.Print_Area,3,FALSE)))</f>
        <v xml:space="preserve">الخزينة </v>
      </c>
      <c r="E2901" s="142"/>
      <c r="F2901" s="133">
        <v>366242</v>
      </c>
      <c r="G2901" s="133"/>
      <c r="H2901" s="134">
        <f t="shared" si="133"/>
        <v>366242</v>
      </c>
      <c r="I2901" s="134">
        <f t="shared" si="133"/>
        <v>0</v>
      </c>
      <c r="J2901" s="134">
        <f t="shared" si="132"/>
        <v>366242</v>
      </c>
      <c r="K2901" s="135"/>
      <c r="L2901" s="148" t="str">
        <f t="shared" si="134"/>
        <v>مدين</v>
      </c>
      <c r="M2901" s="137" t="str">
        <f>IF(ISERROR(VLOOKUP(C2901,'[1]خريطة الحسابات'!_xlnm.Print_Area,4,FALSE))," ",(VLOOKUP(C2901,'[1]خريطة الحسابات'!_xlnm.Print_Area,4,FALSE)))</f>
        <v xml:space="preserve">أصول متداوله -النقدية ومافي حكمها </v>
      </c>
      <c r="N2901" s="138" t="str">
        <f>IF(ISERROR(VLOOKUP(C2901,'[1]خريطة الحسابات'!_xlnm.Print_Area,5,FALSE))," ",(VLOOKUP(C2901,'[1]خريطة الحسابات'!_xlnm.Print_Area,5,FALSE)))</f>
        <v>الاصول</v>
      </c>
      <c r="O2901" s="84" t="s">
        <v>2621</v>
      </c>
      <c r="P2901" s="84" t="s">
        <v>1317</v>
      </c>
    </row>
    <row r="2902" spans="1:16">
      <c r="A2902" s="151">
        <v>90</v>
      </c>
      <c r="B2902" s="131">
        <v>46176</v>
      </c>
      <c r="C2902" s="150">
        <v>20</v>
      </c>
      <c r="D2902" s="140" t="str">
        <f>IF(ISERROR(VLOOKUP(C2902,'[1]خريطة الحسابات'!_xlnm.Print_Area,3,FALSE))," ",(VLOOKUP(C2902,'[1]خريطة الحسابات'!_xlnm.Print_Area,3,FALSE)))</f>
        <v xml:space="preserve">الخزينة </v>
      </c>
      <c r="E2902" s="142"/>
      <c r="F2902" s="133">
        <v>308000</v>
      </c>
      <c r="G2902" s="133"/>
      <c r="H2902" s="134">
        <f t="shared" si="133"/>
        <v>308000</v>
      </c>
      <c r="I2902" s="134">
        <f t="shared" si="133"/>
        <v>0</v>
      </c>
      <c r="J2902" s="134">
        <f t="shared" si="132"/>
        <v>308000</v>
      </c>
      <c r="K2902" s="135"/>
      <c r="L2902" s="148" t="str">
        <f t="shared" si="134"/>
        <v>مدين</v>
      </c>
      <c r="M2902" s="137" t="str">
        <f>IF(ISERROR(VLOOKUP(C2902,'[1]خريطة الحسابات'!_xlnm.Print_Area,4,FALSE))," ",(VLOOKUP(C2902,'[1]خريطة الحسابات'!_xlnm.Print_Area,4,FALSE)))</f>
        <v xml:space="preserve">أصول متداوله -النقدية ومافي حكمها </v>
      </c>
      <c r="N2902" s="138" t="str">
        <f>IF(ISERROR(VLOOKUP(C2902,'[1]خريطة الحسابات'!_xlnm.Print_Area,5,FALSE))," ",(VLOOKUP(C2902,'[1]خريطة الحسابات'!_xlnm.Print_Area,5,FALSE)))</f>
        <v>الاصول</v>
      </c>
      <c r="O2902" s="84" t="s">
        <v>2622</v>
      </c>
      <c r="P2902" s="84" t="s">
        <v>1317</v>
      </c>
    </row>
    <row r="2903" spans="1:16">
      <c r="A2903" s="151">
        <v>90</v>
      </c>
      <c r="B2903" s="131">
        <v>46089</v>
      </c>
      <c r="C2903" s="150">
        <v>20</v>
      </c>
      <c r="D2903" s="140" t="str">
        <f>IF(ISERROR(VLOOKUP(C2903,'[1]خريطة الحسابات'!_xlnm.Print_Area,3,FALSE))," ",(VLOOKUP(C2903,'[1]خريطة الحسابات'!_xlnm.Print_Area,3,FALSE)))</f>
        <v xml:space="preserve">الخزينة </v>
      </c>
      <c r="E2903" s="142"/>
      <c r="F2903" s="133">
        <v>50000</v>
      </c>
      <c r="G2903" s="133"/>
      <c r="H2903" s="134">
        <f t="shared" si="133"/>
        <v>50000</v>
      </c>
      <c r="I2903" s="134">
        <f t="shared" si="133"/>
        <v>0</v>
      </c>
      <c r="J2903" s="134">
        <f t="shared" si="132"/>
        <v>50000</v>
      </c>
      <c r="K2903" s="135"/>
      <c r="L2903" s="148" t="str">
        <f t="shared" si="134"/>
        <v>مدين</v>
      </c>
      <c r="M2903" s="137" t="str">
        <f>IF(ISERROR(VLOOKUP(C2903,'[1]خريطة الحسابات'!_xlnm.Print_Area,4,FALSE))," ",(VLOOKUP(C2903,'[1]خريطة الحسابات'!_xlnm.Print_Area,4,FALSE)))</f>
        <v xml:space="preserve">أصول متداوله -النقدية ومافي حكمها </v>
      </c>
      <c r="N2903" s="138" t="str">
        <f>IF(ISERROR(VLOOKUP(C2903,'[1]خريطة الحسابات'!_xlnm.Print_Area,5,FALSE))," ",(VLOOKUP(C2903,'[1]خريطة الحسابات'!_xlnm.Print_Area,5,FALSE)))</f>
        <v>الاصول</v>
      </c>
      <c r="O2903" s="84" t="s">
        <v>2623</v>
      </c>
      <c r="P2903" s="84" t="s">
        <v>1395</v>
      </c>
    </row>
    <row r="2904" spans="1:16">
      <c r="A2904" s="151">
        <v>90</v>
      </c>
      <c r="B2904" s="131">
        <v>46144</v>
      </c>
      <c r="C2904" s="150">
        <v>20</v>
      </c>
      <c r="D2904" s="140" t="str">
        <f>IF(ISERROR(VLOOKUP(C2904,'[1]خريطة الحسابات'!_xlnm.Print_Area,3,FALSE))," ",(VLOOKUP(C2904,'[1]خريطة الحسابات'!_xlnm.Print_Area,3,FALSE)))</f>
        <v xml:space="preserve">الخزينة </v>
      </c>
      <c r="E2904" s="142"/>
      <c r="F2904" s="133">
        <v>95000</v>
      </c>
      <c r="G2904" s="133"/>
      <c r="H2904" s="134">
        <f t="shared" si="133"/>
        <v>95000</v>
      </c>
      <c r="I2904" s="134">
        <f t="shared" si="133"/>
        <v>0</v>
      </c>
      <c r="J2904" s="134">
        <f t="shared" ref="J2904:J2967" si="135">H2904-I2904</f>
        <v>95000</v>
      </c>
      <c r="K2904" s="135"/>
      <c r="L2904" s="148" t="str">
        <f t="shared" si="134"/>
        <v>مدين</v>
      </c>
      <c r="M2904" s="137" t="str">
        <f>IF(ISERROR(VLOOKUP(C2904,'[1]خريطة الحسابات'!_xlnm.Print_Area,4,FALSE))," ",(VLOOKUP(C2904,'[1]خريطة الحسابات'!_xlnm.Print_Area,4,FALSE)))</f>
        <v xml:space="preserve">أصول متداوله -النقدية ومافي حكمها </v>
      </c>
      <c r="N2904" s="138" t="str">
        <f>IF(ISERROR(VLOOKUP(C2904,'[1]خريطة الحسابات'!_xlnm.Print_Area,5,FALSE))," ",(VLOOKUP(C2904,'[1]خريطة الحسابات'!_xlnm.Print_Area,5,FALSE)))</f>
        <v>الاصول</v>
      </c>
      <c r="O2904" s="84" t="s">
        <v>2624</v>
      </c>
      <c r="P2904" s="84" t="s">
        <v>1395</v>
      </c>
    </row>
    <row r="2905" spans="1:16">
      <c r="A2905" s="151">
        <v>90</v>
      </c>
      <c r="B2905" s="131">
        <v>46089</v>
      </c>
      <c r="C2905" s="150">
        <v>20</v>
      </c>
      <c r="D2905" s="140" t="str">
        <f>IF(ISERROR(VLOOKUP(C2905,'[1]خريطة الحسابات'!_xlnm.Print_Area,3,FALSE))," ",(VLOOKUP(C2905,'[1]خريطة الحسابات'!_xlnm.Print_Area,3,FALSE)))</f>
        <v xml:space="preserve">الخزينة </v>
      </c>
      <c r="E2905" s="142"/>
      <c r="F2905" s="133">
        <v>50000</v>
      </c>
      <c r="G2905" s="133"/>
      <c r="H2905" s="134">
        <f t="shared" ref="H2905:I2968" si="136">IF($E2905=2,F2905*3.465,F2905)</f>
        <v>50000</v>
      </c>
      <c r="I2905" s="134">
        <f t="shared" si="136"/>
        <v>0</v>
      </c>
      <c r="J2905" s="134">
        <f t="shared" si="135"/>
        <v>50000</v>
      </c>
      <c r="K2905" s="135"/>
      <c r="L2905" s="148" t="str">
        <f t="shared" si="134"/>
        <v>مدين</v>
      </c>
      <c r="M2905" s="137" t="str">
        <f>IF(ISERROR(VLOOKUP(C2905,'[1]خريطة الحسابات'!_xlnm.Print_Area,4,FALSE))," ",(VLOOKUP(C2905,'[1]خريطة الحسابات'!_xlnm.Print_Area,4,FALSE)))</f>
        <v xml:space="preserve">أصول متداوله -النقدية ومافي حكمها </v>
      </c>
      <c r="N2905" s="138" t="str">
        <f>IF(ISERROR(VLOOKUP(C2905,'[1]خريطة الحسابات'!_xlnm.Print_Area,5,FALSE))," ",(VLOOKUP(C2905,'[1]خريطة الحسابات'!_xlnm.Print_Area,5,FALSE)))</f>
        <v>الاصول</v>
      </c>
      <c r="O2905" s="84" t="s">
        <v>2625</v>
      </c>
      <c r="P2905" s="84" t="s">
        <v>1393</v>
      </c>
    </row>
    <row r="2906" spans="1:16">
      <c r="A2906" s="151">
        <v>90</v>
      </c>
      <c r="B2906" s="131">
        <v>46144</v>
      </c>
      <c r="C2906" s="150">
        <v>20</v>
      </c>
      <c r="D2906" s="140" t="str">
        <f>IF(ISERROR(VLOOKUP(C2906,'[1]خريطة الحسابات'!_xlnm.Print_Area,3,FALSE))," ",(VLOOKUP(C2906,'[1]خريطة الحسابات'!_xlnm.Print_Area,3,FALSE)))</f>
        <v xml:space="preserve">الخزينة </v>
      </c>
      <c r="E2906" s="142"/>
      <c r="F2906" s="133">
        <v>105000</v>
      </c>
      <c r="G2906" s="133"/>
      <c r="H2906" s="134">
        <f t="shared" si="136"/>
        <v>105000</v>
      </c>
      <c r="I2906" s="134">
        <f t="shared" si="136"/>
        <v>0</v>
      </c>
      <c r="J2906" s="134">
        <f t="shared" si="135"/>
        <v>105000</v>
      </c>
      <c r="K2906" s="135"/>
      <c r="L2906" s="148" t="str">
        <f t="shared" si="134"/>
        <v>مدين</v>
      </c>
      <c r="M2906" s="137" t="str">
        <f>IF(ISERROR(VLOOKUP(C2906,'[1]خريطة الحسابات'!_xlnm.Print_Area,4,FALSE))," ",(VLOOKUP(C2906,'[1]خريطة الحسابات'!_xlnm.Print_Area,4,FALSE)))</f>
        <v xml:space="preserve">أصول متداوله -النقدية ومافي حكمها </v>
      </c>
      <c r="N2906" s="138" t="str">
        <f>IF(ISERROR(VLOOKUP(C2906,'[1]خريطة الحسابات'!_xlnm.Print_Area,5,FALSE))," ",(VLOOKUP(C2906,'[1]خريطة الحسابات'!_xlnm.Print_Area,5,FALSE)))</f>
        <v>الاصول</v>
      </c>
      <c r="O2906" s="84" t="s">
        <v>2626</v>
      </c>
      <c r="P2906" s="84" t="s">
        <v>1393</v>
      </c>
    </row>
    <row r="2907" spans="1:16">
      <c r="A2907" s="151">
        <v>90</v>
      </c>
      <c r="B2907" s="131">
        <v>46174</v>
      </c>
      <c r="C2907" s="150">
        <v>20</v>
      </c>
      <c r="D2907" s="140" t="str">
        <f>IF(ISERROR(VLOOKUP(C2907,'[1]خريطة الحسابات'!_xlnm.Print_Area,3,FALSE))," ",(VLOOKUP(C2907,'[1]خريطة الحسابات'!_xlnm.Print_Area,3,FALSE)))</f>
        <v xml:space="preserve">الخزينة </v>
      </c>
      <c r="E2907" s="142"/>
      <c r="F2907" s="133">
        <v>50000</v>
      </c>
      <c r="G2907" s="133"/>
      <c r="H2907" s="134">
        <f t="shared" si="136"/>
        <v>50000</v>
      </c>
      <c r="I2907" s="134">
        <f t="shared" si="136"/>
        <v>0</v>
      </c>
      <c r="J2907" s="134">
        <f t="shared" si="135"/>
        <v>50000</v>
      </c>
      <c r="K2907" s="135"/>
      <c r="L2907" s="148" t="str">
        <f t="shared" ref="L2907:L2970" si="137">IF(J2907&lt;0,"دائن",IF(J2907&gt;0,"مدين",""))</f>
        <v>مدين</v>
      </c>
      <c r="M2907" s="137" t="str">
        <f>IF(ISERROR(VLOOKUP(C2907,'[1]خريطة الحسابات'!_xlnm.Print_Area,4,FALSE))," ",(VLOOKUP(C2907,'[1]خريطة الحسابات'!_xlnm.Print_Area,4,FALSE)))</f>
        <v xml:space="preserve">أصول متداوله -النقدية ومافي حكمها </v>
      </c>
      <c r="N2907" s="138" t="str">
        <f>IF(ISERROR(VLOOKUP(C2907,'[1]خريطة الحسابات'!_xlnm.Print_Area,5,FALSE))," ",(VLOOKUP(C2907,'[1]خريطة الحسابات'!_xlnm.Print_Area,5,FALSE)))</f>
        <v>الاصول</v>
      </c>
      <c r="O2907" s="84" t="s">
        <v>2627</v>
      </c>
      <c r="P2907" s="84" t="s">
        <v>1393</v>
      </c>
    </row>
    <row r="2908" spans="1:16">
      <c r="A2908" s="151">
        <v>90</v>
      </c>
      <c r="B2908" s="131">
        <v>46182</v>
      </c>
      <c r="C2908" s="150">
        <v>20</v>
      </c>
      <c r="D2908" s="140" t="str">
        <f>IF(ISERROR(VLOOKUP(C2908,'[1]خريطة الحسابات'!_xlnm.Print_Area,3,FALSE))," ",(VLOOKUP(C2908,'[1]خريطة الحسابات'!_xlnm.Print_Area,3,FALSE)))</f>
        <v xml:space="preserve">الخزينة </v>
      </c>
      <c r="E2908" s="142"/>
      <c r="F2908" s="133">
        <v>40000</v>
      </c>
      <c r="G2908" s="133"/>
      <c r="H2908" s="134">
        <f t="shared" si="136"/>
        <v>40000</v>
      </c>
      <c r="I2908" s="134">
        <f t="shared" si="136"/>
        <v>0</v>
      </c>
      <c r="J2908" s="134">
        <f t="shared" si="135"/>
        <v>40000</v>
      </c>
      <c r="K2908" s="135"/>
      <c r="L2908" s="148" t="str">
        <f t="shared" si="137"/>
        <v>مدين</v>
      </c>
      <c r="M2908" s="137" t="str">
        <f>IF(ISERROR(VLOOKUP(C2908,'[1]خريطة الحسابات'!_xlnm.Print_Area,4,FALSE))," ",(VLOOKUP(C2908,'[1]خريطة الحسابات'!_xlnm.Print_Area,4,FALSE)))</f>
        <v xml:space="preserve">أصول متداوله -النقدية ومافي حكمها </v>
      </c>
      <c r="N2908" s="138" t="str">
        <f>IF(ISERROR(VLOOKUP(C2908,'[1]خريطة الحسابات'!_xlnm.Print_Area,5,FALSE))," ",(VLOOKUP(C2908,'[1]خريطة الحسابات'!_xlnm.Print_Area,5,FALSE)))</f>
        <v>الاصول</v>
      </c>
      <c r="O2908" s="84" t="s">
        <v>2627</v>
      </c>
      <c r="P2908" s="84" t="s">
        <v>1393</v>
      </c>
    </row>
    <row r="2909" spans="1:16">
      <c r="A2909" s="151">
        <v>90</v>
      </c>
      <c r="B2909" s="131">
        <v>46124</v>
      </c>
      <c r="C2909" s="150" t="s">
        <v>999</v>
      </c>
      <c r="D2909" s="140" t="str">
        <f>IF(ISERROR(VLOOKUP(C2909,'[1]خريطة الحسابات'!_xlnm.Print_Area,3,FALSE))," ",(VLOOKUP(C2909,'[1]خريطة الحسابات'!_xlnm.Print_Area,3,FALSE)))</f>
        <v>عميل احمد زايد جرين 401</v>
      </c>
      <c r="E2909" s="142"/>
      <c r="F2909" s="133"/>
      <c r="G2909" s="133">
        <v>209000</v>
      </c>
      <c r="H2909" s="134">
        <f t="shared" si="136"/>
        <v>0</v>
      </c>
      <c r="I2909" s="134">
        <f t="shared" si="136"/>
        <v>209000</v>
      </c>
      <c r="J2909" s="134">
        <f t="shared" si="135"/>
        <v>-209000</v>
      </c>
      <c r="K2909" s="135"/>
      <c r="L2909" s="148" t="str">
        <f t="shared" si="137"/>
        <v>دائن</v>
      </c>
      <c r="M2909" s="137" t="str">
        <f>IF(ISERROR(VLOOKUP(C2909,'[1]خريطة الحسابات'!_xlnm.Print_Area,4,FALSE))," ",(VLOOKUP(C2909,'[1]خريطة الحسابات'!_xlnm.Print_Area,4,FALSE)))</f>
        <v>عملاء</v>
      </c>
      <c r="N2909" s="138" t="str">
        <f>IF(ISERROR(VLOOKUP(C2909,'[1]خريطة الحسابات'!_xlnm.Print_Area,5,FALSE))," ",(VLOOKUP(C2909,'[1]خريطة الحسابات'!_xlnm.Print_Area,5,FALSE)))</f>
        <v>المدينون والأرصدة المدينة الأخرى</v>
      </c>
      <c r="O2909" s="84" t="s">
        <v>2567</v>
      </c>
      <c r="P2909" s="84" t="s">
        <v>1345</v>
      </c>
    </row>
    <row r="2910" spans="1:16">
      <c r="A2910" s="151">
        <v>90</v>
      </c>
      <c r="B2910" s="131">
        <v>46144</v>
      </c>
      <c r="C2910" s="150" t="s">
        <v>999</v>
      </c>
      <c r="D2910" s="140" t="str">
        <f>IF(ISERROR(VLOOKUP(C2910,'[1]خريطة الحسابات'!_xlnm.Print_Area,3,FALSE))," ",(VLOOKUP(C2910,'[1]خريطة الحسابات'!_xlnm.Print_Area,3,FALSE)))</f>
        <v>عميل احمد زايد جرين 401</v>
      </c>
      <c r="E2910" s="142"/>
      <c r="F2910" s="133"/>
      <c r="G2910" s="133">
        <v>175000</v>
      </c>
      <c r="H2910" s="134">
        <f t="shared" si="136"/>
        <v>0</v>
      </c>
      <c r="I2910" s="134">
        <f t="shared" si="136"/>
        <v>175000</v>
      </c>
      <c r="J2910" s="134">
        <f t="shared" si="135"/>
        <v>-175000</v>
      </c>
      <c r="K2910" s="135"/>
      <c r="L2910" s="148" t="str">
        <f t="shared" si="137"/>
        <v>دائن</v>
      </c>
      <c r="M2910" s="137" t="str">
        <f>IF(ISERROR(VLOOKUP(C2910,'[1]خريطة الحسابات'!_xlnm.Print_Area,4,FALSE))," ",(VLOOKUP(C2910,'[1]خريطة الحسابات'!_xlnm.Print_Area,4,FALSE)))</f>
        <v>عملاء</v>
      </c>
      <c r="N2910" s="138" t="str">
        <f>IF(ISERROR(VLOOKUP(C2910,'[1]خريطة الحسابات'!_xlnm.Print_Area,5,FALSE))," ",(VLOOKUP(C2910,'[1]خريطة الحسابات'!_xlnm.Print_Area,5,FALSE)))</f>
        <v>المدينون والأرصدة المدينة الأخرى</v>
      </c>
      <c r="O2910" s="84" t="s">
        <v>2568</v>
      </c>
      <c r="P2910" s="84" t="s">
        <v>1345</v>
      </c>
    </row>
    <row r="2911" spans="1:16">
      <c r="A2911" s="151">
        <v>90</v>
      </c>
      <c r="B2911" s="131">
        <v>46155</v>
      </c>
      <c r="C2911" s="150" t="s">
        <v>999</v>
      </c>
      <c r="D2911" s="140" t="str">
        <f>IF(ISERROR(VLOOKUP(C2911,'[1]خريطة الحسابات'!_xlnm.Print_Area,3,FALSE))," ",(VLOOKUP(C2911,'[1]خريطة الحسابات'!_xlnm.Print_Area,3,FALSE)))</f>
        <v>عميل احمد زايد جرين 401</v>
      </c>
      <c r="E2911" s="142"/>
      <c r="F2911" s="133"/>
      <c r="G2911" s="133">
        <v>181100</v>
      </c>
      <c r="H2911" s="134">
        <f t="shared" si="136"/>
        <v>0</v>
      </c>
      <c r="I2911" s="134">
        <f t="shared" si="136"/>
        <v>181100</v>
      </c>
      <c r="J2911" s="134">
        <f t="shared" si="135"/>
        <v>-181100</v>
      </c>
      <c r="K2911" s="135"/>
      <c r="L2911" s="148" t="str">
        <f t="shared" si="137"/>
        <v>دائن</v>
      </c>
      <c r="M2911" s="137" t="str">
        <f>IF(ISERROR(VLOOKUP(C2911,'[1]خريطة الحسابات'!_xlnm.Print_Area,4,FALSE))," ",(VLOOKUP(C2911,'[1]خريطة الحسابات'!_xlnm.Print_Area,4,FALSE)))</f>
        <v>عملاء</v>
      </c>
      <c r="N2911" s="138" t="str">
        <f>IF(ISERROR(VLOOKUP(C2911,'[1]خريطة الحسابات'!_xlnm.Print_Area,5,FALSE))," ",(VLOOKUP(C2911,'[1]خريطة الحسابات'!_xlnm.Print_Area,5,FALSE)))</f>
        <v>المدينون والأرصدة المدينة الأخرى</v>
      </c>
      <c r="O2911" s="84" t="s">
        <v>2569</v>
      </c>
      <c r="P2911" s="84" t="s">
        <v>1345</v>
      </c>
    </row>
    <row r="2912" spans="1:16">
      <c r="A2912" s="151">
        <v>90</v>
      </c>
      <c r="B2912" s="131">
        <v>46061</v>
      </c>
      <c r="C2912" s="150" t="s">
        <v>979</v>
      </c>
      <c r="D2912" s="140" t="str">
        <f>IF(ISERROR(VLOOKUP(C2912,'[1]خريطة الحسابات'!_xlnm.Print_Area,3,FALSE))," ",(VLOOKUP(C2912,'[1]خريطة الحسابات'!_xlnm.Print_Area,3,FALSE)))</f>
        <v>عميل اشرف الشروق 372</v>
      </c>
      <c r="E2912" s="142"/>
      <c r="F2912" s="133"/>
      <c r="G2912" s="133">
        <v>62410</v>
      </c>
      <c r="H2912" s="134">
        <f t="shared" si="136"/>
        <v>0</v>
      </c>
      <c r="I2912" s="134">
        <f t="shared" si="136"/>
        <v>62410</v>
      </c>
      <c r="J2912" s="134">
        <f t="shared" si="135"/>
        <v>-62410</v>
      </c>
      <c r="K2912" s="135"/>
      <c r="L2912" s="148" t="str">
        <f t="shared" si="137"/>
        <v>دائن</v>
      </c>
      <c r="M2912" s="137" t="str">
        <f>IF(ISERROR(VLOOKUP(C2912,'[1]خريطة الحسابات'!_xlnm.Print_Area,4,FALSE))," ",(VLOOKUP(C2912,'[1]خريطة الحسابات'!_xlnm.Print_Area,4,FALSE)))</f>
        <v>عملاء</v>
      </c>
      <c r="N2912" s="138" t="str">
        <f>IF(ISERROR(VLOOKUP(C2912,'[1]خريطة الحسابات'!_xlnm.Print_Area,5,FALSE))," ",(VLOOKUP(C2912,'[1]خريطة الحسابات'!_xlnm.Print_Area,5,FALSE)))</f>
        <v>المدينون والأرصدة المدينة الأخرى</v>
      </c>
      <c r="O2912" s="84" t="s">
        <v>2570</v>
      </c>
      <c r="P2912" s="84" t="s">
        <v>1340</v>
      </c>
    </row>
    <row r="2913" spans="1:16">
      <c r="A2913" s="151">
        <v>90</v>
      </c>
      <c r="B2913" s="131">
        <v>46098</v>
      </c>
      <c r="C2913" s="150" t="s">
        <v>979</v>
      </c>
      <c r="D2913" s="140" t="str">
        <f>IF(ISERROR(VLOOKUP(C2913,'[1]خريطة الحسابات'!_xlnm.Print_Area,3,FALSE))," ",(VLOOKUP(C2913,'[1]خريطة الحسابات'!_xlnm.Print_Area,3,FALSE)))</f>
        <v>عميل اشرف الشروق 372</v>
      </c>
      <c r="E2913" s="142"/>
      <c r="F2913" s="133"/>
      <c r="G2913" s="133">
        <v>31818</v>
      </c>
      <c r="H2913" s="134">
        <f t="shared" si="136"/>
        <v>0</v>
      </c>
      <c r="I2913" s="134">
        <f t="shared" si="136"/>
        <v>31818</v>
      </c>
      <c r="J2913" s="134">
        <f t="shared" si="135"/>
        <v>-31818</v>
      </c>
      <c r="K2913" s="135"/>
      <c r="L2913" s="148" t="str">
        <f t="shared" si="137"/>
        <v>دائن</v>
      </c>
      <c r="M2913" s="137" t="str">
        <f>IF(ISERROR(VLOOKUP(C2913,'[1]خريطة الحسابات'!_xlnm.Print_Area,4,FALSE))," ",(VLOOKUP(C2913,'[1]خريطة الحسابات'!_xlnm.Print_Area,4,FALSE)))</f>
        <v>عملاء</v>
      </c>
      <c r="N2913" s="138" t="str">
        <f>IF(ISERROR(VLOOKUP(C2913,'[1]خريطة الحسابات'!_xlnm.Print_Area,5,FALSE))," ",(VLOOKUP(C2913,'[1]خريطة الحسابات'!_xlnm.Print_Area,5,FALSE)))</f>
        <v>المدينون والأرصدة المدينة الأخرى</v>
      </c>
      <c r="O2913" s="84" t="s">
        <v>2571</v>
      </c>
      <c r="P2913" s="84" t="s">
        <v>1340</v>
      </c>
    </row>
    <row r="2914" spans="1:16">
      <c r="A2914" s="151">
        <v>90</v>
      </c>
      <c r="B2914" s="131">
        <v>46126</v>
      </c>
      <c r="C2914" s="150" t="s">
        <v>979</v>
      </c>
      <c r="D2914" s="140" t="str">
        <f>IF(ISERROR(VLOOKUP(C2914,'[1]خريطة الحسابات'!_xlnm.Print_Area,3,FALSE))," ",(VLOOKUP(C2914,'[1]خريطة الحسابات'!_xlnm.Print_Area,3,FALSE)))</f>
        <v>عميل اشرف الشروق 372</v>
      </c>
      <c r="E2914" s="142"/>
      <c r="F2914" s="133"/>
      <c r="G2914" s="133">
        <v>68040</v>
      </c>
      <c r="H2914" s="134">
        <f t="shared" si="136"/>
        <v>0</v>
      </c>
      <c r="I2914" s="134">
        <f t="shared" si="136"/>
        <v>68040</v>
      </c>
      <c r="J2914" s="134">
        <f t="shared" si="135"/>
        <v>-68040</v>
      </c>
      <c r="K2914" s="135"/>
      <c r="L2914" s="148" t="str">
        <f t="shared" si="137"/>
        <v>دائن</v>
      </c>
      <c r="M2914" s="137" t="str">
        <f>IF(ISERROR(VLOOKUP(C2914,'[1]خريطة الحسابات'!_xlnm.Print_Area,4,FALSE))," ",(VLOOKUP(C2914,'[1]خريطة الحسابات'!_xlnm.Print_Area,4,FALSE)))</f>
        <v>عملاء</v>
      </c>
      <c r="N2914" s="138" t="str">
        <f>IF(ISERROR(VLOOKUP(C2914,'[1]خريطة الحسابات'!_xlnm.Print_Area,5,FALSE))," ",(VLOOKUP(C2914,'[1]خريطة الحسابات'!_xlnm.Print_Area,5,FALSE)))</f>
        <v>المدينون والأرصدة المدينة الأخرى</v>
      </c>
      <c r="O2914" s="84" t="s">
        <v>2572</v>
      </c>
      <c r="P2914" s="84" t="s">
        <v>1340</v>
      </c>
    </row>
    <row r="2915" spans="1:16">
      <c r="A2915" s="151">
        <v>90</v>
      </c>
      <c r="B2915" s="131">
        <v>46046</v>
      </c>
      <c r="C2915" s="150" t="s">
        <v>1001</v>
      </c>
      <c r="D2915" s="140" t="str">
        <f>IF(ISERROR(VLOOKUP(C2915,'[1]خريطة الحسابات'!_xlnm.Print_Area,3,FALSE))," ",(VLOOKUP(C2915,'[1]خريطة الحسابات'!_xlnm.Print_Area,3,FALSE)))</f>
        <v>عميل الاندلس 280</v>
      </c>
      <c r="E2915" s="142"/>
      <c r="F2915" s="133"/>
      <c r="G2915" s="133">
        <v>110000</v>
      </c>
      <c r="H2915" s="134">
        <f t="shared" si="136"/>
        <v>0</v>
      </c>
      <c r="I2915" s="134">
        <f t="shared" si="136"/>
        <v>110000</v>
      </c>
      <c r="J2915" s="134">
        <f t="shared" si="135"/>
        <v>-110000</v>
      </c>
      <c r="K2915" s="135"/>
      <c r="L2915" s="148" t="str">
        <f t="shared" si="137"/>
        <v>دائن</v>
      </c>
      <c r="M2915" s="137" t="str">
        <f>IF(ISERROR(VLOOKUP(C2915,'[1]خريطة الحسابات'!_xlnm.Print_Area,4,FALSE))," ",(VLOOKUP(C2915,'[1]خريطة الحسابات'!_xlnm.Print_Area,4,FALSE)))</f>
        <v>عملاء</v>
      </c>
      <c r="N2915" s="138" t="str">
        <f>IF(ISERROR(VLOOKUP(C2915,'[1]خريطة الحسابات'!_xlnm.Print_Area,5,FALSE))," ",(VLOOKUP(C2915,'[1]خريطة الحسابات'!_xlnm.Print_Area,5,FALSE)))</f>
        <v>المدينون والأرصدة المدينة الأخرى</v>
      </c>
      <c r="O2915" s="84" t="s">
        <v>2573</v>
      </c>
      <c r="P2915" s="84" t="s">
        <v>1310</v>
      </c>
    </row>
    <row r="2916" spans="1:16">
      <c r="A2916" s="151">
        <v>90</v>
      </c>
      <c r="B2916" s="131">
        <v>46034</v>
      </c>
      <c r="C2916" s="150" t="s">
        <v>1005</v>
      </c>
      <c r="D2916" s="140" t="str">
        <f>IF(ISERROR(VLOOKUP(C2916,'[1]خريطة الحسابات'!_xlnm.Print_Area,3,FALSE))," ",(VLOOKUP(C2916,'[1]خريطة الحسابات'!_xlnm.Print_Area,3,FALSE)))</f>
        <v>عميل الاندلس 364</v>
      </c>
      <c r="E2916" s="142"/>
      <c r="F2916" s="133"/>
      <c r="G2916" s="133">
        <v>300000</v>
      </c>
      <c r="H2916" s="134">
        <f t="shared" si="136"/>
        <v>0</v>
      </c>
      <c r="I2916" s="134">
        <f t="shared" si="136"/>
        <v>300000</v>
      </c>
      <c r="J2916" s="134">
        <f t="shared" si="135"/>
        <v>-300000</v>
      </c>
      <c r="K2916" s="135"/>
      <c r="L2916" s="148" t="str">
        <f t="shared" si="137"/>
        <v>دائن</v>
      </c>
      <c r="M2916" s="137" t="str">
        <f>IF(ISERROR(VLOOKUP(C2916,'[1]خريطة الحسابات'!_xlnm.Print_Area,4,FALSE))," ",(VLOOKUP(C2916,'[1]خريطة الحسابات'!_xlnm.Print_Area,4,FALSE)))</f>
        <v>عملاء</v>
      </c>
      <c r="N2916" s="138" t="str">
        <f>IF(ISERROR(VLOOKUP(C2916,'[1]خريطة الحسابات'!_xlnm.Print_Area,5,FALSE))," ",(VLOOKUP(C2916,'[1]خريطة الحسابات'!_xlnm.Print_Area,5,FALSE)))</f>
        <v>المدينون والأرصدة المدينة الأخرى</v>
      </c>
      <c r="O2916" s="84" t="s">
        <v>2574</v>
      </c>
      <c r="P2916" s="84" t="s">
        <v>1299</v>
      </c>
    </row>
    <row r="2917" spans="1:16">
      <c r="A2917" s="151">
        <v>90</v>
      </c>
      <c r="B2917" s="131">
        <v>46056</v>
      </c>
      <c r="C2917" s="150" t="s">
        <v>1005</v>
      </c>
      <c r="D2917" s="140" t="str">
        <f>IF(ISERROR(VLOOKUP(C2917,'[1]خريطة الحسابات'!_xlnm.Print_Area,3,FALSE))," ",(VLOOKUP(C2917,'[1]خريطة الحسابات'!_xlnm.Print_Area,3,FALSE)))</f>
        <v>عميل الاندلس 364</v>
      </c>
      <c r="E2917" s="142"/>
      <c r="F2917" s="133"/>
      <c r="G2917" s="133">
        <v>40000</v>
      </c>
      <c r="H2917" s="134">
        <f t="shared" si="136"/>
        <v>0</v>
      </c>
      <c r="I2917" s="134">
        <f t="shared" si="136"/>
        <v>40000</v>
      </c>
      <c r="J2917" s="134">
        <f t="shared" si="135"/>
        <v>-40000</v>
      </c>
      <c r="K2917" s="135"/>
      <c r="L2917" s="148" t="str">
        <f t="shared" si="137"/>
        <v>دائن</v>
      </c>
      <c r="M2917" s="137" t="str">
        <f>IF(ISERROR(VLOOKUP(C2917,'[1]خريطة الحسابات'!_xlnm.Print_Area,4,FALSE))," ",(VLOOKUP(C2917,'[1]خريطة الحسابات'!_xlnm.Print_Area,4,FALSE)))</f>
        <v>عملاء</v>
      </c>
      <c r="N2917" s="138" t="str">
        <f>IF(ISERROR(VLOOKUP(C2917,'[1]خريطة الحسابات'!_xlnm.Print_Area,5,FALSE))," ",(VLOOKUP(C2917,'[1]خريطة الحسابات'!_xlnm.Print_Area,5,FALSE)))</f>
        <v>المدينون والأرصدة المدينة الأخرى</v>
      </c>
      <c r="O2917" s="84" t="s">
        <v>2575</v>
      </c>
      <c r="P2917" s="84" t="s">
        <v>1299</v>
      </c>
    </row>
    <row r="2918" spans="1:16">
      <c r="A2918" s="151">
        <v>90</v>
      </c>
      <c r="B2918" s="131">
        <v>46064</v>
      </c>
      <c r="C2918" s="150" t="s">
        <v>1005</v>
      </c>
      <c r="D2918" s="140" t="str">
        <f>IF(ISERROR(VLOOKUP(C2918,'[1]خريطة الحسابات'!_xlnm.Print_Area,3,FALSE))," ",(VLOOKUP(C2918,'[1]خريطة الحسابات'!_xlnm.Print_Area,3,FALSE)))</f>
        <v>عميل الاندلس 364</v>
      </c>
      <c r="E2918" s="142"/>
      <c r="F2918" s="133"/>
      <c r="G2918" s="133">
        <v>40000</v>
      </c>
      <c r="H2918" s="134">
        <f t="shared" si="136"/>
        <v>0</v>
      </c>
      <c r="I2918" s="134">
        <f t="shared" si="136"/>
        <v>40000</v>
      </c>
      <c r="J2918" s="134">
        <f t="shared" si="135"/>
        <v>-40000</v>
      </c>
      <c r="K2918" s="135"/>
      <c r="L2918" s="148" t="str">
        <f t="shared" si="137"/>
        <v>دائن</v>
      </c>
      <c r="M2918" s="137" t="str">
        <f>IF(ISERROR(VLOOKUP(C2918,'[1]خريطة الحسابات'!_xlnm.Print_Area,4,FALSE))," ",(VLOOKUP(C2918,'[1]خريطة الحسابات'!_xlnm.Print_Area,4,FALSE)))</f>
        <v>عملاء</v>
      </c>
      <c r="N2918" s="138" t="str">
        <f>IF(ISERROR(VLOOKUP(C2918,'[1]خريطة الحسابات'!_xlnm.Print_Area,5,FALSE))," ",(VLOOKUP(C2918,'[1]خريطة الحسابات'!_xlnm.Print_Area,5,FALSE)))</f>
        <v>المدينون والأرصدة المدينة الأخرى</v>
      </c>
      <c r="O2918" s="84" t="s">
        <v>2574</v>
      </c>
      <c r="P2918" s="84" t="s">
        <v>1299</v>
      </c>
    </row>
    <row r="2919" spans="1:16">
      <c r="A2919" s="151">
        <v>90</v>
      </c>
      <c r="B2919" s="131">
        <v>46079</v>
      </c>
      <c r="C2919" s="150" t="s">
        <v>1005</v>
      </c>
      <c r="D2919" s="140" t="str">
        <f>IF(ISERROR(VLOOKUP(C2919,'[1]خريطة الحسابات'!_xlnm.Print_Area,3,FALSE))," ",(VLOOKUP(C2919,'[1]خريطة الحسابات'!_xlnm.Print_Area,3,FALSE)))</f>
        <v>عميل الاندلس 364</v>
      </c>
      <c r="E2919" s="142"/>
      <c r="F2919" s="133"/>
      <c r="G2919" s="133">
        <v>25000</v>
      </c>
      <c r="H2919" s="134">
        <f t="shared" si="136"/>
        <v>0</v>
      </c>
      <c r="I2919" s="134">
        <f t="shared" si="136"/>
        <v>25000</v>
      </c>
      <c r="J2919" s="134">
        <f t="shared" si="135"/>
        <v>-25000</v>
      </c>
      <c r="K2919" s="135"/>
      <c r="L2919" s="148" t="str">
        <f t="shared" si="137"/>
        <v>دائن</v>
      </c>
      <c r="M2919" s="137" t="str">
        <f>IF(ISERROR(VLOOKUP(C2919,'[1]خريطة الحسابات'!_xlnm.Print_Area,4,FALSE))," ",(VLOOKUP(C2919,'[1]خريطة الحسابات'!_xlnm.Print_Area,4,FALSE)))</f>
        <v>عملاء</v>
      </c>
      <c r="N2919" s="138" t="str">
        <f>IF(ISERROR(VLOOKUP(C2919,'[1]خريطة الحسابات'!_xlnm.Print_Area,5,FALSE))," ",(VLOOKUP(C2919,'[1]خريطة الحسابات'!_xlnm.Print_Area,5,FALSE)))</f>
        <v>المدينون والأرصدة المدينة الأخرى</v>
      </c>
      <c r="O2919" s="84" t="s">
        <v>2574</v>
      </c>
      <c r="P2919" s="84" t="s">
        <v>1299</v>
      </c>
    </row>
    <row r="2920" spans="1:16">
      <c r="A2920" s="151">
        <v>90</v>
      </c>
      <c r="B2920" s="131">
        <v>46055</v>
      </c>
      <c r="C2920" s="150" t="s">
        <v>1007</v>
      </c>
      <c r="D2920" s="140" t="str">
        <f>IF(ISERROR(VLOOKUP(C2920,'[1]خريطة الحسابات'!_xlnm.Print_Area,3,FALSE))," ",(VLOOKUP(C2920,'[1]خريطة الحسابات'!_xlnm.Print_Area,3,FALSE)))</f>
        <v>عميل الباتيو 235</v>
      </c>
      <c r="E2920" s="142"/>
      <c r="F2920" s="133"/>
      <c r="G2920" s="133">
        <v>50000</v>
      </c>
      <c r="H2920" s="134">
        <f t="shared" si="136"/>
        <v>0</v>
      </c>
      <c r="I2920" s="134">
        <f t="shared" si="136"/>
        <v>50000</v>
      </c>
      <c r="J2920" s="134">
        <f t="shared" si="135"/>
        <v>-50000</v>
      </c>
      <c r="K2920" s="135"/>
      <c r="L2920" s="148" t="str">
        <f t="shared" si="137"/>
        <v>دائن</v>
      </c>
      <c r="M2920" s="137" t="str">
        <f>IF(ISERROR(VLOOKUP(C2920,'[1]خريطة الحسابات'!_xlnm.Print_Area,4,FALSE))," ",(VLOOKUP(C2920,'[1]خريطة الحسابات'!_xlnm.Print_Area,4,FALSE)))</f>
        <v>عملاء</v>
      </c>
      <c r="N2920" s="138" t="str">
        <f>IF(ISERROR(VLOOKUP(C2920,'[1]خريطة الحسابات'!_xlnm.Print_Area,5,FALSE))," ",(VLOOKUP(C2920,'[1]خريطة الحسابات'!_xlnm.Print_Area,5,FALSE)))</f>
        <v>المدينون والأرصدة المدينة الأخرى</v>
      </c>
      <c r="O2920" s="84" t="s">
        <v>2576</v>
      </c>
      <c r="P2920" s="84" t="s">
        <v>1304</v>
      </c>
    </row>
    <row r="2921" spans="1:16">
      <c r="A2921" s="151">
        <v>90</v>
      </c>
      <c r="B2921" s="131">
        <v>46089</v>
      </c>
      <c r="C2921" s="150" t="s">
        <v>1007</v>
      </c>
      <c r="D2921" s="140" t="str">
        <f>IF(ISERROR(VLOOKUP(C2921,'[1]خريطة الحسابات'!_xlnm.Print_Area,3,FALSE))," ",(VLOOKUP(C2921,'[1]خريطة الحسابات'!_xlnm.Print_Area,3,FALSE)))</f>
        <v>عميل الباتيو 235</v>
      </c>
      <c r="E2921" s="142"/>
      <c r="F2921" s="133"/>
      <c r="G2921" s="133">
        <v>49000</v>
      </c>
      <c r="H2921" s="134">
        <f t="shared" si="136"/>
        <v>0</v>
      </c>
      <c r="I2921" s="134">
        <f t="shared" si="136"/>
        <v>49000</v>
      </c>
      <c r="J2921" s="134">
        <f t="shared" si="135"/>
        <v>-49000</v>
      </c>
      <c r="K2921" s="135"/>
      <c r="L2921" s="148" t="str">
        <f t="shared" si="137"/>
        <v>دائن</v>
      </c>
      <c r="M2921" s="137" t="str">
        <f>IF(ISERROR(VLOOKUP(C2921,'[1]خريطة الحسابات'!_xlnm.Print_Area,4,FALSE))," ",(VLOOKUP(C2921,'[1]خريطة الحسابات'!_xlnm.Print_Area,4,FALSE)))</f>
        <v>عملاء</v>
      </c>
      <c r="N2921" s="138" t="str">
        <f>IF(ISERROR(VLOOKUP(C2921,'[1]خريطة الحسابات'!_xlnm.Print_Area,5,FALSE))," ",(VLOOKUP(C2921,'[1]خريطة الحسابات'!_xlnm.Print_Area,5,FALSE)))</f>
        <v>المدينون والأرصدة المدينة الأخرى</v>
      </c>
      <c r="O2921" s="84" t="s">
        <v>2577</v>
      </c>
      <c r="P2921" s="84" t="s">
        <v>1304</v>
      </c>
    </row>
    <row r="2922" spans="1:16">
      <c r="A2922" s="151">
        <v>90</v>
      </c>
      <c r="B2922" s="131">
        <v>46099</v>
      </c>
      <c r="C2922" s="150" t="s">
        <v>1007</v>
      </c>
      <c r="D2922" s="140" t="str">
        <f>IF(ISERROR(VLOOKUP(C2922,'[1]خريطة الحسابات'!_xlnm.Print_Area,3,FALSE))," ",(VLOOKUP(C2922,'[1]خريطة الحسابات'!_xlnm.Print_Area,3,FALSE)))</f>
        <v>عميل الباتيو 235</v>
      </c>
      <c r="E2922" s="142"/>
      <c r="F2922" s="133"/>
      <c r="G2922" s="133">
        <v>60445</v>
      </c>
      <c r="H2922" s="134">
        <f t="shared" si="136"/>
        <v>0</v>
      </c>
      <c r="I2922" s="134">
        <f t="shared" si="136"/>
        <v>60445</v>
      </c>
      <c r="J2922" s="134">
        <f t="shared" si="135"/>
        <v>-60445</v>
      </c>
      <c r="K2922" s="135"/>
      <c r="L2922" s="148" t="str">
        <f t="shared" si="137"/>
        <v>دائن</v>
      </c>
      <c r="M2922" s="137" t="str">
        <f>IF(ISERROR(VLOOKUP(C2922,'[1]خريطة الحسابات'!_xlnm.Print_Area,4,FALSE))," ",(VLOOKUP(C2922,'[1]خريطة الحسابات'!_xlnm.Print_Area,4,FALSE)))</f>
        <v>عملاء</v>
      </c>
      <c r="N2922" s="138" t="str">
        <f>IF(ISERROR(VLOOKUP(C2922,'[1]خريطة الحسابات'!_xlnm.Print_Area,5,FALSE))," ",(VLOOKUP(C2922,'[1]خريطة الحسابات'!_xlnm.Print_Area,5,FALSE)))</f>
        <v>المدينون والأرصدة المدينة الأخرى</v>
      </c>
      <c r="O2922" s="84" t="s">
        <v>2578</v>
      </c>
      <c r="P2922" s="84" t="s">
        <v>1304</v>
      </c>
    </row>
    <row r="2923" spans="1:16">
      <c r="A2923" s="151">
        <v>90</v>
      </c>
      <c r="B2923" s="131">
        <v>46036</v>
      </c>
      <c r="C2923" s="150" t="s">
        <v>1011</v>
      </c>
      <c r="D2923" s="140" t="str">
        <f>IF(ISERROR(VLOOKUP(C2923,'[1]خريطة الحسابات'!_xlnm.Print_Area,3,FALSE))," ",(VLOOKUP(C2923,'[1]خريطة الحسابات'!_xlnm.Print_Area,3,FALSE)))</f>
        <v>عميل محمد العبور 306</v>
      </c>
      <c r="E2923" s="142"/>
      <c r="F2923" s="133"/>
      <c r="G2923" s="133">
        <v>200000</v>
      </c>
      <c r="H2923" s="134">
        <f t="shared" si="136"/>
        <v>0</v>
      </c>
      <c r="I2923" s="134">
        <f t="shared" si="136"/>
        <v>200000</v>
      </c>
      <c r="J2923" s="134">
        <f t="shared" si="135"/>
        <v>-200000</v>
      </c>
      <c r="K2923" s="135"/>
      <c r="L2923" s="148" t="str">
        <f t="shared" si="137"/>
        <v>دائن</v>
      </c>
      <c r="M2923" s="137" t="str">
        <f>IF(ISERROR(VLOOKUP(C2923,'[1]خريطة الحسابات'!_xlnm.Print_Area,4,FALSE))," ",(VLOOKUP(C2923,'[1]خريطة الحسابات'!_xlnm.Print_Area,4,FALSE)))</f>
        <v>عملاء</v>
      </c>
      <c r="N2923" s="138" t="str">
        <f>IF(ISERROR(VLOOKUP(C2923,'[1]خريطة الحسابات'!_xlnm.Print_Area,5,FALSE))," ",(VLOOKUP(C2923,'[1]خريطة الحسابات'!_xlnm.Print_Area,5,FALSE)))</f>
        <v>المدينون والأرصدة المدينة الأخرى</v>
      </c>
      <c r="O2923" s="84" t="s">
        <v>2579</v>
      </c>
      <c r="P2923" s="84" t="s">
        <v>1292</v>
      </c>
    </row>
    <row r="2924" spans="1:16">
      <c r="A2924" s="151">
        <v>90</v>
      </c>
      <c r="B2924" s="131">
        <v>46040</v>
      </c>
      <c r="C2924" s="150" t="s">
        <v>1011</v>
      </c>
      <c r="D2924" s="140" t="str">
        <f>IF(ISERROR(VLOOKUP(C2924,'[1]خريطة الحسابات'!_xlnm.Print_Area,3,FALSE))," ",(VLOOKUP(C2924,'[1]خريطة الحسابات'!_xlnm.Print_Area,3,FALSE)))</f>
        <v>عميل محمد العبور 306</v>
      </c>
      <c r="E2924" s="142"/>
      <c r="F2924" s="133"/>
      <c r="G2924" s="133">
        <v>500000</v>
      </c>
      <c r="H2924" s="134">
        <f t="shared" si="136"/>
        <v>0</v>
      </c>
      <c r="I2924" s="134">
        <f t="shared" si="136"/>
        <v>500000</v>
      </c>
      <c r="J2924" s="134">
        <f t="shared" si="135"/>
        <v>-500000</v>
      </c>
      <c r="K2924" s="135"/>
      <c r="L2924" s="148" t="str">
        <f t="shared" si="137"/>
        <v>دائن</v>
      </c>
      <c r="M2924" s="137" t="str">
        <f>IF(ISERROR(VLOOKUP(C2924,'[1]خريطة الحسابات'!_xlnm.Print_Area,4,FALSE))," ",(VLOOKUP(C2924,'[1]خريطة الحسابات'!_xlnm.Print_Area,4,FALSE)))</f>
        <v>عملاء</v>
      </c>
      <c r="N2924" s="138" t="str">
        <f>IF(ISERROR(VLOOKUP(C2924,'[1]خريطة الحسابات'!_xlnm.Print_Area,5,FALSE))," ",(VLOOKUP(C2924,'[1]خريطة الحسابات'!_xlnm.Print_Area,5,FALSE)))</f>
        <v>المدينون والأرصدة المدينة الأخرى</v>
      </c>
      <c r="O2924" s="84" t="s">
        <v>2580</v>
      </c>
      <c r="P2924" s="84" t="s">
        <v>1292</v>
      </c>
    </row>
    <row r="2925" spans="1:16">
      <c r="A2925" s="151">
        <v>90</v>
      </c>
      <c r="B2925" s="131">
        <v>46057</v>
      </c>
      <c r="C2925" s="150" t="s">
        <v>1011</v>
      </c>
      <c r="D2925" s="140" t="str">
        <f>IF(ISERROR(VLOOKUP(C2925,'[1]خريطة الحسابات'!_xlnm.Print_Area,3,FALSE))," ",(VLOOKUP(C2925,'[1]خريطة الحسابات'!_xlnm.Print_Area,3,FALSE)))</f>
        <v>عميل محمد العبور 306</v>
      </c>
      <c r="E2925" s="142"/>
      <c r="F2925" s="133"/>
      <c r="G2925" s="133">
        <v>500000</v>
      </c>
      <c r="H2925" s="134">
        <f t="shared" si="136"/>
        <v>0</v>
      </c>
      <c r="I2925" s="134">
        <f t="shared" si="136"/>
        <v>500000</v>
      </c>
      <c r="J2925" s="134">
        <f t="shared" si="135"/>
        <v>-500000</v>
      </c>
      <c r="K2925" s="135"/>
      <c r="L2925" s="148" t="str">
        <f t="shared" si="137"/>
        <v>دائن</v>
      </c>
      <c r="M2925" s="137" t="str">
        <f>IF(ISERROR(VLOOKUP(C2925,'[1]خريطة الحسابات'!_xlnm.Print_Area,4,FALSE))," ",(VLOOKUP(C2925,'[1]خريطة الحسابات'!_xlnm.Print_Area,4,FALSE)))</f>
        <v>عملاء</v>
      </c>
      <c r="N2925" s="138" t="str">
        <f>IF(ISERROR(VLOOKUP(C2925,'[1]خريطة الحسابات'!_xlnm.Print_Area,5,FALSE))," ",(VLOOKUP(C2925,'[1]خريطة الحسابات'!_xlnm.Print_Area,5,FALSE)))</f>
        <v>المدينون والأرصدة المدينة الأخرى</v>
      </c>
      <c r="O2925" s="84" t="s">
        <v>2580</v>
      </c>
      <c r="P2925" s="84" t="s">
        <v>1292</v>
      </c>
    </row>
    <row r="2926" spans="1:16">
      <c r="A2926" s="151">
        <v>90</v>
      </c>
      <c r="B2926" s="131">
        <v>46089</v>
      </c>
      <c r="C2926" s="150" t="s">
        <v>1011</v>
      </c>
      <c r="D2926" s="140" t="str">
        <f>IF(ISERROR(VLOOKUP(C2926,'[1]خريطة الحسابات'!_xlnm.Print_Area,3,FALSE))," ",(VLOOKUP(C2926,'[1]خريطة الحسابات'!_xlnm.Print_Area,3,FALSE)))</f>
        <v>عميل محمد العبور 306</v>
      </c>
      <c r="E2926" s="142"/>
      <c r="F2926" s="133"/>
      <c r="G2926" s="133">
        <v>500000</v>
      </c>
      <c r="H2926" s="134">
        <f t="shared" si="136"/>
        <v>0</v>
      </c>
      <c r="I2926" s="134">
        <f t="shared" si="136"/>
        <v>500000</v>
      </c>
      <c r="J2926" s="134">
        <f t="shared" si="135"/>
        <v>-500000</v>
      </c>
      <c r="K2926" s="135"/>
      <c r="L2926" s="148" t="str">
        <f t="shared" si="137"/>
        <v>دائن</v>
      </c>
      <c r="M2926" s="137" t="str">
        <f>IF(ISERROR(VLOOKUP(C2926,'[1]خريطة الحسابات'!_xlnm.Print_Area,4,FALSE))," ",(VLOOKUP(C2926,'[1]خريطة الحسابات'!_xlnm.Print_Area,4,FALSE)))</f>
        <v>عملاء</v>
      </c>
      <c r="N2926" s="138" t="str">
        <f>IF(ISERROR(VLOOKUP(C2926,'[1]خريطة الحسابات'!_xlnm.Print_Area,5,FALSE))," ",(VLOOKUP(C2926,'[1]خريطة الحسابات'!_xlnm.Print_Area,5,FALSE)))</f>
        <v>المدينون والأرصدة المدينة الأخرى</v>
      </c>
      <c r="O2926" s="84" t="s">
        <v>2581</v>
      </c>
      <c r="P2926" s="84" t="s">
        <v>1292</v>
      </c>
    </row>
    <row r="2927" spans="1:16">
      <c r="A2927" s="151">
        <v>90</v>
      </c>
      <c r="B2927" s="131">
        <v>46114</v>
      </c>
      <c r="C2927" s="150" t="s">
        <v>1011</v>
      </c>
      <c r="D2927" s="140" t="str">
        <f>IF(ISERROR(VLOOKUP(C2927,'[1]خريطة الحسابات'!_xlnm.Print_Area,3,FALSE))," ",(VLOOKUP(C2927,'[1]خريطة الحسابات'!_xlnm.Print_Area,3,FALSE)))</f>
        <v>عميل محمد العبور 306</v>
      </c>
      <c r="E2927" s="142"/>
      <c r="F2927" s="133"/>
      <c r="G2927" s="133">
        <v>400000</v>
      </c>
      <c r="H2927" s="134">
        <f t="shared" si="136"/>
        <v>0</v>
      </c>
      <c r="I2927" s="134">
        <f t="shared" si="136"/>
        <v>400000</v>
      </c>
      <c r="J2927" s="134">
        <f t="shared" si="135"/>
        <v>-400000</v>
      </c>
      <c r="K2927" s="135"/>
      <c r="L2927" s="148" t="str">
        <f t="shared" si="137"/>
        <v>دائن</v>
      </c>
      <c r="M2927" s="137" t="str">
        <f>IF(ISERROR(VLOOKUP(C2927,'[1]خريطة الحسابات'!_xlnm.Print_Area,4,FALSE))," ",(VLOOKUP(C2927,'[1]خريطة الحسابات'!_xlnm.Print_Area,4,FALSE)))</f>
        <v>عملاء</v>
      </c>
      <c r="N2927" s="138" t="str">
        <f>IF(ISERROR(VLOOKUP(C2927,'[1]خريطة الحسابات'!_xlnm.Print_Area,5,FALSE))," ",(VLOOKUP(C2927,'[1]خريطة الحسابات'!_xlnm.Print_Area,5,FALSE)))</f>
        <v>المدينون والأرصدة المدينة الأخرى</v>
      </c>
      <c r="O2927" s="84" t="s">
        <v>2582</v>
      </c>
      <c r="P2927" s="84" t="s">
        <v>1292</v>
      </c>
    </row>
    <row r="2928" spans="1:16">
      <c r="A2928" s="151">
        <v>90</v>
      </c>
      <c r="B2928" s="131">
        <v>46145</v>
      </c>
      <c r="C2928" s="150" t="s">
        <v>1011</v>
      </c>
      <c r="D2928" s="140" t="str">
        <f>IF(ISERROR(VLOOKUP(C2928,'[1]خريطة الحسابات'!_xlnm.Print_Area,3,FALSE))," ",(VLOOKUP(C2928,'[1]خريطة الحسابات'!_xlnm.Print_Area,3,FALSE)))</f>
        <v>عميل محمد العبور 306</v>
      </c>
      <c r="E2928" s="142"/>
      <c r="F2928" s="133"/>
      <c r="G2928" s="133">
        <v>500000</v>
      </c>
      <c r="H2928" s="134">
        <f t="shared" si="136"/>
        <v>0</v>
      </c>
      <c r="I2928" s="134">
        <f t="shared" si="136"/>
        <v>500000</v>
      </c>
      <c r="J2928" s="134">
        <f t="shared" si="135"/>
        <v>-500000</v>
      </c>
      <c r="K2928" s="135"/>
      <c r="L2928" s="148" t="str">
        <f t="shared" si="137"/>
        <v>دائن</v>
      </c>
      <c r="M2928" s="137" t="str">
        <f>IF(ISERROR(VLOOKUP(C2928,'[1]خريطة الحسابات'!_xlnm.Print_Area,4,FALSE))," ",(VLOOKUP(C2928,'[1]خريطة الحسابات'!_xlnm.Print_Area,4,FALSE)))</f>
        <v>عملاء</v>
      </c>
      <c r="N2928" s="138" t="str">
        <f>IF(ISERROR(VLOOKUP(C2928,'[1]خريطة الحسابات'!_xlnm.Print_Area,5,FALSE))," ",(VLOOKUP(C2928,'[1]خريطة الحسابات'!_xlnm.Print_Area,5,FALSE)))</f>
        <v>المدينون والأرصدة المدينة الأخرى</v>
      </c>
      <c r="O2928" s="84" t="s">
        <v>2583</v>
      </c>
      <c r="P2928" s="84" t="s">
        <v>1292</v>
      </c>
    </row>
    <row r="2929" spans="1:16">
      <c r="A2929" s="151">
        <v>90</v>
      </c>
      <c r="B2929" s="131">
        <v>46153</v>
      </c>
      <c r="C2929" s="150" t="s">
        <v>1011</v>
      </c>
      <c r="D2929" s="140" t="str">
        <f>IF(ISERROR(VLOOKUP(C2929,'[1]خريطة الحسابات'!_xlnm.Print_Area,3,FALSE))," ",(VLOOKUP(C2929,'[1]خريطة الحسابات'!_xlnm.Print_Area,3,FALSE)))</f>
        <v>عميل محمد العبور 306</v>
      </c>
      <c r="E2929" s="142"/>
      <c r="F2929" s="133"/>
      <c r="G2929" s="133">
        <v>500000</v>
      </c>
      <c r="H2929" s="134">
        <f t="shared" si="136"/>
        <v>0</v>
      </c>
      <c r="I2929" s="134">
        <f t="shared" si="136"/>
        <v>500000</v>
      </c>
      <c r="J2929" s="134">
        <f t="shared" si="135"/>
        <v>-500000</v>
      </c>
      <c r="K2929" s="135"/>
      <c r="L2929" s="148" t="str">
        <f t="shared" si="137"/>
        <v>دائن</v>
      </c>
      <c r="M2929" s="137" t="str">
        <f>IF(ISERROR(VLOOKUP(C2929,'[1]خريطة الحسابات'!_xlnm.Print_Area,4,FALSE))," ",(VLOOKUP(C2929,'[1]خريطة الحسابات'!_xlnm.Print_Area,4,FALSE)))</f>
        <v>عملاء</v>
      </c>
      <c r="N2929" s="138" t="str">
        <f>IF(ISERROR(VLOOKUP(C2929,'[1]خريطة الحسابات'!_xlnm.Print_Area,5,FALSE))," ",(VLOOKUP(C2929,'[1]خريطة الحسابات'!_xlnm.Print_Area,5,FALSE)))</f>
        <v>المدينون والأرصدة المدينة الأخرى</v>
      </c>
      <c r="O2929" s="84" t="s">
        <v>2583</v>
      </c>
      <c r="P2929" s="84" t="s">
        <v>1292</v>
      </c>
    </row>
    <row r="2930" spans="1:16">
      <c r="A2930" s="151">
        <v>90</v>
      </c>
      <c r="B2930" s="131">
        <v>46179</v>
      </c>
      <c r="C2930" s="150" t="s">
        <v>1011</v>
      </c>
      <c r="D2930" s="140" t="str">
        <f>IF(ISERROR(VLOOKUP(C2930,'[1]خريطة الحسابات'!_xlnm.Print_Area,3,FALSE))," ",(VLOOKUP(C2930,'[1]خريطة الحسابات'!_xlnm.Print_Area,3,FALSE)))</f>
        <v>عميل محمد العبور 306</v>
      </c>
      <c r="E2930" s="142"/>
      <c r="F2930" s="133"/>
      <c r="G2930" s="133">
        <v>500000</v>
      </c>
      <c r="H2930" s="134">
        <f t="shared" si="136"/>
        <v>0</v>
      </c>
      <c r="I2930" s="134">
        <f t="shared" si="136"/>
        <v>500000</v>
      </c>
      <c r="J2930" s="134">
        <f t="shared" si="135"/>
        <v>-500000</v>
      </c>
      <c r="K2930" s="135"/>
      <c r="L2930" s="148" t="str">
        <f t="shared" si="137"/>
        <v>دائن</v>
      </c>
      <c r="M2930" s="137" t="str">
        <f>IF(ISERROR(VLOOKUP(C2930,'[1]خريطة الحسابات'!_xlnm.Print_Area,4,FALSE))," ",(VLOOKUP(C2930,'[1]خريطة الحسابات'!_xlnm.Print_Area,4,FALSE)))</f>
        <v>عملاء</v>
      </c>
      <c r="N2930" s="138" t="str">
        <f>IF(ISERROR(VLOOKUP(C2930,'[1]خريطة الحسابات'!_xlnm.Print_Area,5,FALSE))," ",(VLOOKUP(C2930,'[1]خريطة الحسابات'!_xlnm.Print_Area,5,FALSE)))</f>
        <v>المدينون والأرصدة المدينة الأخرى</v>
      </c>
      <c r="O2930" s="84" t="s">
        <v>2580</v>
      </c>
      <c r="P2930" s="84" t="s">
        <v>1292</v>
      </c>
    </row>
    <row r="2931" spans="1:16">
      <c r="A2931" s="151">
        <v>90</v>
      </c>
      <c r="B2931" s="131">
        <v>46114</v>
      </c>
      <c r="C2931" s="150" t="s">
        <v>993</v>
      </c>
      <c r="D2931" s="140" t="str">
        <f>IF(ISERROR(VLOOKUP(C2931,'[1]خريطة الحسابات'!_xlnm.Print_Area,3,FALSE))," ",(VLOOKUP(C2931,'[1]خريطة الحسابات'!_xlnm.Print_Area,3,FALSE)))</f>
        <v>عميل عمرو القصر 380</v>
      </c>
      <c r="E2931" s="142"/>
      <c r="F2931" s="133"/>
      <c r="G2931" s="133">
        <v>100000</v>
      </c>
      <c r="H2931" s="134">
        <f t="shared" si="136"/>
        <v>0</v>
      </c>
      <c r="I2931" s="134">
        <f t="shared" si="136"/>
        <v>100000</v>
      </c>
      <c r="J2931" s="134">
        <f t="shared" si="135"/>
        <v>-100000</v>
      </c>
      <c r="K2931" s="135"/>
      <c r="L2931" s="148" t="str">
        <f t="shared" si="137"/>
        <v>دائن</v>
      </c>
      <c r="M2931" s="137" t="str">
        <f>IF(ISERROR(VLOOKUP(C2931,'[1]خريطة الحسابات'!_xlnm.Print_Area,4,FALSE))," ",(VLOOKUP(C2931,'[1]خريطة الحسابات'!_xlnm.Print_Area,4,FALSE)))</f>
        <v>عملاء</v>
      </c>
      <c r="N2931" s="138" t="str">
        <f>IF(ISERROR(VLOOKUP(C2931,'[1]خريطة الحسابات'!_xlnm.Print_Area,5,FALSE))," ",(VLOOKUP(C2931,'[1]خريطة الحسابات'!_xlnm.Print_Area,5,FALSE)))</f>
        <v>المدينون والأرصدة المدينة الأخرى</v>
      </c>
      <c r="O2931" s="84" t="s">
        <v>2584</v>
      </c>
      <c r="P2931" s="84" t="s">
        <v>1480</v>
      </c>
    </row>
    <row r="2932" spans="1:16">
      <c r="A2932" s="151">
        <v>90</v>
      </c>
      <c r="B2932" s="131">
        <v>46121</v>
      </c>
      <c r="C2932" s="150" t="s">
        <v>993</v>
      </c>
      <c r="D2932" s="140" t="str">
        <f>IF(ISERROR(VLOOKUP(C2932,'[1]خريطة الحسابات'!_xlnm.Print_Area,3,FALSE))," ",(VLOOKUP(C2932,'[1]خريطة الحسابات'!_xlnm.Print_Area,3,FALSE)))</f>
        <v>عميل عمرو القصر 380</v>
      </c>
      <c r="E2932" s="142"/>
      <c r="F2932" s="133"/>
      <c r="G2932" s="133">
        <v>50000</v>
      </c>
      <c r="H2932" s="134">
        <f t="shared" si="136"/>
        <v>0</v>
      </c>
      <c r="I2932" s="134">
        <f t="shared" si="136"/>
        <v>50000</v>
      </c>
      <c r="J2932" s="134">
        <f t="shared" si="135"/>
        <v>-50000</v>
      </c>
      <c r="K2932" s="135"/>
      <c r="L2932" s="148" t="str">
        <f t="shared" si="137"/>
        <v>دائن</v>
      </c>
      <c r="M2932" s="137" t="str">
        <f>IF(ISERROR(VLOOKUP(C2932,'[1]خريطة الحسابات'!_xlnm.Print_Area,4,FALSE))," ",(VLOOKUP(C2932,'[1]خريطة الحسابات'!_xlnm.Print_Area,4,FALSE)))</f>
        <v>عملاء</v>
      </c>
      <c r="N2932" s="138" t="str">
        <f>IF(ISERROR(VLOOKUP(C2932,'[1]خريطة الحسابات'!_xlnm.Print_Area,5,FALSE))," ",(VLOOKUP(C2932,'[1]خريطة الحسابات'!_xlnm.Print_Area,5,FALSE)))</f>
        <v>المدينون والأرصدة المدينة الأخرى</v>
      </c>
      <c r="O2932" s="84" t="s">
        <v>2584</v>
      </c>
      <c r="P2932" s="84" t="s">
        <v>1480</v>
      </c>
    </row>
    <row r="2933" spans="1:16">
      <c r="A2933" s="151">
        <v>90</v>
      </c>
      <c r="B2933" s="131">
        <v>46155</v>
      </c>
      <c r="C2933" s="150" t="s">
        <v>993</v>
      </c>
      <c r="D2933" s="140" t="str">
        <f>IF(ISERROR(VLOOKUP(C2933,'[1]خريطة الحسابات'!_xlnm.Print_Area,3,FALSE))," ",(VLOOKUP(C2933,'[1]خريطة الحسابات'!_xlnm.Print_Area,3,FALSE)))</f>
        <v>عميل عمرو القصر 380</v>
      </c>
      <c r="E2933" s="142"/>
      <c r="F2933" s="133"/>
      <c r="G2933" s="133">
        <v>30000</v>
      </c>
      <c r="H2933" s="134">
        <f t="shared" si="136"/>
        <v>0</v>
      </c>
      <c r="I2933" s="134">
        <f t="shared" si="136"/>
        <v>30000</v>
      </c>
      <c r="J2933" s="134">
        <f t="shared" si="135"/>
        <v>-30000</v>
      </c>
      <c r="K2933" s="135"/>
      <c r="L2933" s="148" t="str">
        <f t="shared" si="137"/>
        <v>دائن</v>
      </c>
      <c r="M2933" s="137" t="str">
        <f>IF(ISERROR(VLOOKUP(C2933,'[1]خريطة الحسابات'!_xlnm.Print_Area,4,FALSE))," ",(VLOOKUP(C2933,'[1]خريطة الحسابات'!_xlnm.Print_Area,4,FALSE)))</f>
        <v>عملاء</v>
      </c>
      <c r="N2933" s="138" t="str">
        <f>IF(ISERROR(VLOOKUP(C2933,'[1]خريطة الحسابات'!_xlnm.Print_Area,5,FALSE))," ",(VLOOKUP(C2933,'[1]خريطة الحسابات'!_xlnm.Print_Area,5,FALSE)))</f>
        <v>المدينون والأرصدة المدينة الأخرى</v>
      </c>
      <c r="O2933" s="84" t="s">
        <v>2585</v>
      </c>
      <c r="P2933" s="84" t="s">
        <v>1480</v>
      </c>
    </row>
    <row r="2934" spans="1:16">
      <c r="A2934" s="151">
        <v>90</v>
      </c>
      <c r="B2934" s="131">
        <v>46186</v>
      </c>
      <c r="C2934" s="150" t="s">
        <v>993</v>
      </c>
      <c r="D2934" s="140" t="str">
        <f>IF(ISERROR(VLOOKUP(C2934,'[1]خريطة الحسابات'!_xlnm.Print_Area,3,FALSE))," ",(VLOOKUP(C2934,'[1]خريطة الحسابات'!_xlnm.Print_Area,3,FALSE)))</f>
        <v>عميل عمرو القصر 380</v>
      </c>
      <c r="E2934" s="142"/>
      <c r="F2934" s="133"/>
      <c r="G2934" s="133">
        <v>100000</v>
      </c>
      <c r="H2934" s="134">
        <f t="shared" si="136"/>
        <v>0</v>
      </c>
      <c r="I2934" s="134">
        <f t="shared" si="136"/>
        <v>100000</v>
      </c>
      <c r="J2934" s="134">
        <f t="shared" si="135"/>
        <v>-100000</v>
      </c>
      <c r="K2934" s="135"/>
      <c r="L2934" s="148" t="str">
        <f t="shared" si="137"/>
        <v>دائن</v>
      </c>
      <c r="M2934" s="137" t="str">
        <f>IF(ISERROR(VLOOKUP(C2934,'[1]خريطة الحسابات'!_xlnm.Print_Area,4,FALSE))," ",(VLOOKUP(C2934,'[1]خريطة الحسابات'!_xlnm.Print_Area,4,FALSE)))</f>
        <v>عملاء</v>
      </c>
      <c r="N2934" s="138" t="str">
        <f>IF(ISERROR(VLOOKUP(C2934,'[1]خريطة الحسابات'!_xlnm.Print_Area,5,FALSE))," ",(VLOOKUP(C2934,'[1]خريطة الحسابات'!_xlnm.Print_Area,5,FALSE)))</f>
        <v>المدينون والأرصدة المدينة الأخرى</v>
      </c>
      <c r="O2934" s="84" t="s">
        <v>2584</v>
      </c>
      <c r="P2934" s="84" t="s">
        <v>1480</v>
      </c>
    </row>
    <row r="2935" spans="1:16">
      <c r="A2935" s="151">
        <v>90</v>
      </c>
      <c r="B2935" s="131">
        <v>46037</v>
      </c>
      <c r="C2935" s="150" t="s">
        <v>1013</v>
      </c>
      <c r="D2935" s="140" t="str">
        <f>IF(ISERROR(VLOOKUP(C2935,'[1]خريطة الحسابات'!_xlnm.Print_Area,3,FALSE))," ",(VLOOKUP(C2935,'[1]خريطة الحسابات'!_xlnm.Print_Area,3,FALSE)))</f>
        <v>عميل اللوتس 361</v>
      </c>
      <c r="E2935" s="142"/>
      <c r="F2935" s="133"/>
      <c r="G2935" s="133">
        <v>250000</v>
      </c>
      <c r="H2935" s="134">
        <f t="shared" si="136"/>
        <v>0</v>
      </c>
      <c r="I2935" s="134">
        <f t="shared" si="136"/>
        <v>250000</v>
      </c>
      <c r="J2935" s="134">
        <f t="shared" si="135"/>
        <v>-250000</v>
      </c>
      <c r="K2935" s="135"/>
      <c r="L2935" s="148" t="str">
        <f t="shared" si="137"/>
        <v>دائن</v>
      </c>
      <c r="M2935" s="137" t="str">
        <f>IF(ISERROR(VLOOKUP(C2935,'[1]خريطة الحسابات'!_xlnm.Print_Area,4,FALSE))," ",(VLOOKUP(C2935,'[1]خريطة الحسابات'!_xlnm.Print_Area,4,FALSE)))</f>
        <v>عملاء</v>
      </c>
      <c r="N2935" s="138" t="str">
        <f>IF(ISERROR(VLOOKUP(C2935,'[1]خريطة الحسابات'!_xlnm.Print_Area,5,FALSE))," ",(VLOOKUP(C2935,'[1]خريطة الحسابات'!_xlnm.Print_Area,5,FALSE)))</f>
        <v>المدينون والأرصدة المدينة الأخرى</v>
      </c>
      <c r="O2935" s="84" t="s">
        <v>2586</v>
      </c>
      <c r="P2935" s="84" t="s">
        <v>1295</v>
      </c>
    </row>
    <row r="2936" spans="1:16">
      <c r="A2936" s="151">
        <v>90</v>
      </c>
      <c r="B2936" s="131">
        <v>46081</v>
      </c>
      <c r="C2936" s="150" t="s">
        <v>1013</v>
      </c>
      <c r="D2936" s="140" t="str">
        <f>IF(ISERROR(VLOOKUP(C2936,'[1]خريطة الحسابات'!_xlnm.Print_Area,3,FALSE))," ",(VLOOKUP(C2936,'[1]خريطة الحسابات'!_xlnm.Print_Area,3,FALSE)))</f>
        <v>عميل اللوتس 361</v>
      </c>
      <c r="E2936" s="142"/>
      <c r="F2936" s="133"/>
      <c r="G2936" s="133">
        <v>115000</v>
      </c>
      <c r="H2936" s="134">
        <f t="shared" si="136"/>
        <v>0</v>
      </c>
      <c r="I2936" s="134">
        <f t="shared" si="136"/>
        <v>115000</v>
      </c>
      <c r="J2936" s="134">
        <f t="shared" si="135"/>
        <v>-115000</v>
      </c>
      <c r="K2936" s="135"/>
      <c r="L2936" s="148" t="str">
        <f t="shared" si="137"/>
        <v>دائن</v>
      </c>
      <c r="M2936" s="137" t="str">
        <f>IF(ISERROR(VLOOKUP(C2936,'[1]خريطة الحسابات'!_xlnm.Print_Area,4,FALSE))," ",(VLOOKUP(C2936,'[1]خريطة الحسابات'!_xlnm.Print_Area,4,FALSE)))</f>
        <v>عملاء</v>
      </c>
      <c r="N2936" s="138" t="str">
        <f>IF(ISERROR(VLOOKUP(C2936,'[1]خريطة الحسابات'!_xlnm.Print_Area,5,FALSE))," ",(VLOOKUP(C2936,'[1]خريطة الحسابات'!_xlnm.Print_Area,5,FALSE)))</f>
        <v>المدينون والأرصدة المدينة الأخرى</v>
      </c>
      <c r="O2936" s="84" t="s">
        <v>2587</v>
      </c>
      <c r="P2936" s="84" t="s">
        <v>1295</v>
      </c>
    </row>
    <row r="2937" spans="1:16">
      <c r="A2937" s="151">
        <v>90</v>
      </c>
      <c r="B2937" s="131">
        <v>46064</v>
      </c>
      <c r="C2937" s="150" t="s">
        <v>995</v>
      </c>
      <c r="D2937" s="140" t="str">
        <f>IF(ISERROR(VLOOKUP(C2937,'[1]خريطة الحسابات'!_xlnm.Print_Area,3,FALSE))," ",(VLOOKUP(C2937,'[1]خريطة الحسابات'!_xlnm.Print_Area,3,FALSE)))</f>
        <v>عميل بالم هيلز 345</v>
      </c>
      <c r="E2937" s="142"/>
      <c r="F2937" s="133"/>
      <c r="G2937" s="133">
        <v>40000</v>
      </c>
      <c r="H2937" s="134">
        <f t="shared" si="136"/>
        <v>0</v>
      </c>
      <c r="I2937" s="134">
        <f t="shared" si="136"/>
        <v>40000</v>
      </c>
      <c r="J2937" s="134">
        <f t="shared" si="135"/>
        <v>-40000</v>
      </c>
      <c r="K2937" s="135"/>
      <c r="L2937" s="148" t="str">
        <f t="shared" si="137"/>
        <v>دائن</v>
      </c>
      <c r="M2937" s="137" t="str">
        <f>IF(ISERROR(VLOOKUP(C2937,'[1]خريطة الحسابات'!_xlnm.Print_Area,4,FALSE))," ",(VLOOKUP(C2937,'[1]خريطة الحسابات'!_xlnm.Print_Area,4,FALSE)))</f>
        <v>عملاء</v>
      </c>
      <c r="N2937" s="138" t="str">
        <f>IF(ISERROR(VLOOKUP(C2937,'[1]خريطة الحسابات'!_xlnm.Print_Area,5,FALSE))," ",(VLOOKUP(C2937,'[1]خريطة الحسابات'!_xlnm.Print_Area,5,FALSE)))</f>
        <v>المدينون والأرصدة المدينة الأخرى</v>
      </c>
      <c r="O2937" s="84" t="s">
        <v>2588</v>
      </c>
      <c r="P2937" s="84" t="s">
        <v>1327</v>
      </c>
    </row>
    <row r="2938" spans="1:16">
      <c r="A2938" s="151">
        <v>90</v>
      </c>
      <c r="B2938" s="131">
        <v>46138</v>
      </c>
      <c r="C2938" s="150" t="s">
        <v>995</v>
      </c>
      <c r="D2938" s="140" t="str">
        <f>IF(ISERROR(VLOOKUP(C2938,'[1]خريطة الحسابات'!_xlnm.Print_Area,3,FALSE))," ",(VLOOKUP(C2938,'[1]خريطة الحسابات'!_xlnm.Print_Area,3,FALSE)))</f>
        <v>عميل بالم هيلز 345</v>
      </c>
      <c r="E2938" s="142"/>
      <c r="F2938" s="133"/>
      <c r="G2938" s="133">
        <v>40000</v>
      </c>
      <c r="H2938" s="134">
        <f t="shared" si="136"/>
        <v>0</v>
      </c>
      <c r="I2938" s="134">
        <f t="shared" si="136"/>
        <v>40000</v>
      </c>
      <c r="J2938" s="134">
        <f t="shared" si="135"/>
        <v>-40000</v>
      </c>
      <c r="K2938" s="135"/>
      <c r="L2938" s="148" t="str">
        <f t="shared" si="137"/>
        <v>دائن</v>
      </c>
      <c r="M2938" s="137" t="str">
        <f>IF(ISERROR(VLOOKUP(C2938,'[1]خريطة الحسابات'!_xlnm.Print_Area,4,FALSE))," ",(VLOOKUP(C2938,'[1]خريطة الحسابات'!_xlnm.Print_Area,4,FALSE)))</f>
        <v>عملاء</v>
      </c>
      <c r="N2938" s="138" t="str">
        <f>IF(ISERROR(VLOOKUP(C2938,'[1]خريطة الحسابات'!_xlnm.Print_Area,5,FALSE))," ",(VLOOKUP(C2938,'[1]خريطة الحسابات'!_xlnm.Print_Area,5,FALSE)))</f>
        <v>المدينون والأرصدة المدينة الأخرى</v>
      </c>
      <c r="O2938" s="84" t="s">
        <v>2589</v>
      </c>
      <c r="P2938" s="84" t="s">
        <v>1327</v>
      </c>
    </row>
    <row r="2939" spans="1:16">
      <c r="A2939" s="151">
        <v>90</v>
      </c>
      <c r="B2939" s="131">
        <v>46030</v>
      </c>
      <c r="C2939" s="150" t="s">
        <v>983</v>
      </c>
      <c r="D2939" s="140" t="str">
        <f>IF(ISERROR(VLOOKUP(C2939,'[1]خريطة الحسابات'!_xlnm.Print_Area,3,FALSE))," ",(VLOOKUP(C2939,'[1]خريطة الحسابات'!_xlnm.Print_Area,3,FALSE)))</f>
        <v>عميل سوديك 341</v>
      </c>
      <c r="E2939" s="142"/>
      <c r="F2939" s="133"/>
      <c r="G2939" s="133">
        <v>500000</v>
      </c>
      <c r="H2939" s="134">
        <f t="shared" si="136"/>
        <v>0</v>
      </c>
      <c r="I2939" s="134">
        <f t="shared" si="136"/>
        <v>500000</v>
      </c>
      <c r="J2939" s="134">
        <f t="shared" si="135"/>
        <v>-500000</v>
      </c>
      <c r="K2939" s="135"/>
      <c r="L2939" s="148" t="str">
        <f t="shared" si="137"/>
        <v>دائن</v>
      </c>
      <c r="M2939" s="137" t="str">
        <f>IF(ISERROR(VLOOKUP(C2939,'[1]خريطة الحسابات'!_xlnm.Print_Area,4,FALSE))," ",(VLOOKUP(C2939,'[1]خريطة الحسابات'!_xlnm.Print_Area,4,FALSE)))</f>
        <v>عملاء</v>
      </c>
      <c r="N2939" s="138" t="str">
        <f>IF(ISERROR(VLOOKUP(C2939,'[1]خريطة الحسابات'!_xlnm.Print_Area,5,FALSE))," ",(VLOOKUP(C2939,'[1]خريطة الحسابات'!_xlnm.Print_Area,5,FALSE)))</f>
        <v>المدينون والأرصدة المدينة الأخرى</v>
      </c>
      <c r="O2939" s="84" t="s">
        <v>2590</v>
      </c>
      <c r="P2939" s="84" t="s">
        <v>1290</v>
      </c>
    </row>
    <row r="2940" spans="1:16">
      <c r="A2940" s="151">
        <v>90</v>
      </c>
      <c r="B2940" s="131">
        <v>46048</v>
      </c>
      <c r="C2940" s="150" t="s">
        <v>983</v>
      </c>
      <c r="D2940" s="140" t="str">
        <f>IF(ISERROR(VLOOKUP(C2940,'[1]خريطة الحسابات'!_xlnm.Print_Area,3,FALSE))," ",(VLOOKUP(C2940,'[1]خريطة الحسابات'!_xlnm.Print_Area,3,FALSE)))</f>
        <v>عميل سوديك 341</v>
      </c>
      <c r="E2940" s="142"/>
      <c r="F2940" s="133"/>
      <c r="G2940" s="133">
        <v>33300</v>
      </c>
      <c r="H2940" s="134">
        <f t="shared" si="136"/>
        <v>0</v>
      </c>
      <c r="I2940" s="134">
        <f t="shared" si="136"/>
        <v>33300</v>
      </c>
      <c r="J2940" s="134">
        <f t="shared" si="135"/>
        <v>-33300</v>
      </c>
      <c r="K2940" s="135"/>
      <c r="L2940" s="148" t="str">
        <f t="shared" si="137"/>
        <v>دائن</v>
      </c>
      <c r="M2940" s="137" t="str">
        <f>IF(ISERROR(VLOOKUP(C2940,'[1]خريطة الحسابات'!_xlnm.Print_Area,4,FALSE))," ",(VLOOKUP(C2940,'[1]خريطة الحسابات'!_xlnm.Print_Area,4,FALSE)))</f>
        <v>عملاء</v>
      </c>
      <c r="N2940" s="138" t="str">
        <f>IF(ISERROR(VLOOKUP(C2940,'[1]خريطة الحسابات'!_xlnm.Print_Area,5,FALSE))," ",(VLOOKUP(C2940,'[1]خريطة الحسابات'!_xlnm.Print_Area,5,FALSE)))</f>
        <v>المدينون والأرصدة المدينة الأخرى</v>
      </c>
      <c r="O2940" s="84" t="s">
        <v>2591</v>
      </c>
      <c r="P2940" s="84" t="s">
        <v>1290</v>
      </c>
    </row>
    <row r="2941" spans="1:16">
      <c r="A2941" s="151">
        <v>90</v>
      </c>
      <c r="B2941" s="131">
        <v>46056</v>
      </c>
      <c r="C2941" s="150" t="s">
        <v>983</v>
      </c>
      <c r="D2941" s="140" t="str">
        <f>IF(ISERROR(VLOOKUP(C2941,'[1]خريطة الحسابات'!_xlnm.Print_Area,3,FALSE))," ",(VLOOKUP(C2941,'[1]خريطة الحسابات'!_xlnm.Print_Area,3,FALSE)))</f>
        <v>عميل سوديك 341</v>
      </c>
      <c r="E2941" s="142"/>
      <c r="F2941" s="133"/>
      <c r="G2941" s="133">
        <v>1600000</v>
      </c>
      <c r="H2941" s="134">
        <f t="shared" si="136"/>
        <v>0</v>
      </c>
      <c r="I2941" s="134">
        <f t="shared" si="136"/>
        <v>1600000</v>
      </c>
      <c r="J2941" s="134">
        <f t="shared" si="135"/>
        <v>-1600000</v>
      </c>
      <c r="K2941" s="135"/>
      <c r="L2941" s="148" t="str">
        <f t="shared" si="137"/>
        <v>دائن</v>
      </c>
      <c r="M2941" s="137" t="str">
        <f>IF(ISERROR(VLOOKUP(C2941,'[1]خريطة الحسابات'!_xlnm.Print_Area,4,FALSE))," ",(VLOOKUP(C2941,'[1]خريطة الحسابات'!_xlnm.Print_Area,4,FALSE)))</f>
        <v>عملاء</v>
      </c>
      <c r="N2941" s="138" t="str">
        <f>IF(ISERROR(VLOOKUP(C2941,'[1]خريطة الحسابات'!_xlnm.Print_Area,5,FALSE))," ",(VLOOKUP(C2941,'[1]خريطة الحسابات'!_xlnm.Print_Area,5,FALSE)))</f>
        <v>المدينون والأرصدة المدينة الأخرى</v>
      </c>
      <c r="O2941" s="84" t="s">
        <v>2591</v>
      </c>
      <c r="P2941" s="84" t="s">
        <v>1290</v>
      </c>
    </row>
    <row r="2942" spans="1:16">
      <c r="A2942" s="151">
        <v>90</v>
      </c>
      <c r="B2942" s="131">
        <v>46071</v>
      </c>
      <c r="C2942" s="150" t="s">
        <v>983</v>
      </c>
      <c r="D2942" s="140" t="str">
        <f>IF(ISERROR(VLOOKUP(C2942,'[1]خريطة الحسابات'!_xlnm.Print_Area,3,FALSE))," ",(VLOOKUP(C2942,'[1]خريطة الحسابات'!_xlnm.Print_Area,3,FALSE)))</f>
        <v>عميل سوديك 341</v>
      </c>
      <c r="E2942" s="142"/>
      <c r="F2942" s="133"/>
      <c r="G2942" s="133">
        <v>53000</v>
      </c>
      <c r="H2942" s="134">
        <f t="shared" si="136"/>
        <v>0</v>
      </c>
      <c r="I2942" s="134">
        <f t="shared" si="136"/>
        <v>53000</v>
      </c>
      <c r="J2942" s="134">
        <f t="shared" si="135"/>
        <v>-53000</v>
      </c>
      <c r="K2942" s="135"/>
      <c r="L2942" s="148" t="str">
        <f t="shared" si="137"/>
        <v>دائن</v>
      </c>
      <c r="M2942" s="137" t="str">
        <f>IF(ISERROR(VLOOKUP(C2942,'[1]خريطة الحسابات'!_xlnm.Print_Area,4,FALSE))," ",(VLOOKUP(C2942,'[1]خريطة الحسابات'!_xlnm.Print_Area,4,FALSE)))</f>
        <v>عملاء</v>
      </c>
      <c r="N2942" s="138" t="str">
        <f>IF(ISERROR(VLOOKUP(C2942,'[1]خريطة الحسابات'!_xlnm.Print_Area,5,FALSE))," ",(VLOOKUP(C2942,'[1]خريطة الحسابات'!_xlnm.Print_Area,5,FALSE)))</f>
        <v>المدينون والأرصدة المدينة الأخرى</v>
      </c>
      <c r="O2942" s="84" t="s">
        <v>2592</v>
      </c>
      <c r="P2942" s="84" t="s">
        <v>1290</v>
      </c>
    </row>
    <row r="2943" spans="1:16">
      <c r="A2943" s="151">
        <v>90</v>
      </c>
      <c r="B2943" s="131">
        <v>46089</v>
      </c>
      <c r="C2943" s="150" t="s">
        <v>983</v>
      </c>
      <c r="D2943" s="140" t="str">
        <f>IF(ISERROR(VLOOKUP(C2943,'[1]خريطة الحسابات'!_xlnm.Print_Area,3,FALSE))," ",(VLOOKUP(C2943,'[1]خريطة الحسابات'!_xlnm.Print_Area,3,FALSE)))</f>
        <v>عميل سوديك 341</v>
      </c>
      <c r="E2943" s="142"/>
      <c r="F2943" s="133"/>
      <c r="G2943" s="133">
        <v>500000</v>
      </c>
      <c r="H2943" s="134">
        <f t="shared" si="136"/>
        <v>0</v>
      </c>
      <c r="I2943" s="134">
        <f t="shared" si="136"/>
        <v>500000</v>
      </c>
      <c r="J2943" s="134">
        <f t="shared" si="135"/>
        <v>-500000</v>
      </c>
      <c r="K2943" s="135"/>
      <c r="L2943" s="148" t="str">
        <f t="shared" si="137"/>
        <v>دائن</v>
      </c>
      <c r="M2943" s="137" t="str">
        <f>IF(ISERROR(VLOOKUP(C2943,'[1]خريطة الحسابات'!_xlnm.Print_Area,4,FALSE))," ",(VLOOKUP(C2943,'[1]خريطة الحسابات'!_xlnm.Print_Area,4,FALSE)))</f>
        <v>عملاء</v>
      </c>
      <c r="N2943" s="138" t="str">
        <f>IF(ISERROR(VLOOKUP(C2943,'[1]خريطة الحسابات'!_xlnm.Print_Area,5,FALSE))," ",(VLOOKUP(C2943,'[1]خريطة الحسابات'!_xlnm.Print_Area,5,FALSE)))</f>
        <v>المدينون والأرصدة المدينة الأخرى</v>
      </c>
      <c r="O2943" s="84" t="s">
        <v>2593</v>
      </c>
      <c r="P2943" s="84" t="s">
        <v>1290</v>
      </c>
    </row>
    <row r="2944" spans="1:16">
      <c r="A2944" s="151">
        <v>90</v>
      </c>
      <c r="B2944" s="131">
        <v>46091</v>
      </c>
      <c r="C2944" s="150" t="s">
        <v>983</v>
      </c>
      <c r="D2944" s="140" t="str">
        <f>IF(ISERROR(VLOOKUP(C2944,'[1]خريطة الحسابات'!_xlnm.Print_Area,3,FALSE))," ",(VLOOKUP(C2944,'[1]خريطة الحسابات'!_xlnm.Print_Area,3,FALSE)))</f>
        <v>عميل سوديك 341</v>
      </c>
      <c r="E2944" s="142"/>
      <c r="F2944" s="133"/>
      <c r="G2944" s="133">
        <v>1000000</v>
      </c>
      <c r="H2944" s="134">
        <f t="shared" si="136"/>
        <v>0</v>
      </c>
      <c r="I2944" s="134">
        <f t="shared" si="136"/>
        <v>1000000</v>
      </c>
      <c r="J2944" s="134">
        <f t="shared" si="135"/>
        <v>-1000000</v>
      </c>
      <c r="K2944" s="135"/>
      <c r="L2944" s="148" t="str">
        <f t="shared" si="137"/>
        <v>دائن</v>
      </c>
      <c r="M2944" s="137" t="str">
        <f>IF(ISERROR(VLOOKUP(C2944,'[1]خريطة الحسابات'!_xlnm.Print_Area,4,FALSE))," ",(VLOOKUP(C2944,'[1]خريطة الحسابات'!_xlnm.Print_Area,4,FALSE)))</f>
        <v>عملاء</v>
      </c>
      <c r="N2944" s="138" t="str">
        <f>IF(ISERROR(VLOOKUP(C2944,'[1]خريطة الحسابات'!_xlnm.Print_Area,5,FALSE))," ",(VLOOKUP(C2944,'[1]خريطة الحسابات'!_xlnm.Print_Area,5,FALSE)))</f>
        <v>المدينون والأرصدة المدينة الأخرى</v>
      </c>
      <c r="O2944" s="84" t="s">
        <v>2593</v>
      </c>
      <c r="P2944" s="84" t="s">
        <v>1290</v>
      </c>
    </row>
    <row r="2945" spans="1:16">
      <c r="A2945" s="151">
        <v>90</v>
      </c>
      <c r="B2945" s="131">
        <v>46117</v>
      </c>
      <c r="C2945" s="150" t="s">
        <v>983</v>
      </c>
      <c r="D2945" s="140" t="str">
        <f>IF(ISERROR(VLOOKUP(C2945,'[1]خريطة الحسابات'!_xlnm.Print_Area,3,FALSE))," ",(VLOOKUP(C2945,'[1]خريطة الحسابات'!_xlnm.Print_Area,3,FALSE)))</f>
        <v>عميل سوديك 341</v>
      </c>
      <c r="E2945" s="142"/>
      <c r="F2945" s="133"/>
      <c r="G2945" s="133">
        <v>600000</v>
      </c>
      <c r="H2945" s="134">
        <f t="shared" si="136"/>
        <v>0</v>
      </c>
      <c r="I2945" s="134">
        <f t="shared" si="136"/>
        <v>600000</v>
      </c>
      <c r="J2945" s="134">
        <f t="shared" si="135"/>
        <v>-600000</v>
      </c>
      <c r="K2945" s="135"/>
      <c r="L2945" s="148" t="str">
        <f t="shared" si="137"/>
        <v>دائن</v>
      </c>
      <c r="M2945" s="137" t="str">
        <f>IF(ISERROR(VLOOKUP(C2945,'[1]خريطة الحسابات'!_xlnm.Print_Area,4,FALSE))," ",(VLOOKUP(C2945,'[1]خريطة الحسابات'!_xlnm.Print_Area,4,FALSE)))</f>
        <v>عملاء</v>
      </c>
      <c r="N2945" s="138" t="str">
        <f>IF(ISERROR(VLOOKUP(C2945,'[1]خريطة الحسابات'!_xlnm.Print_Area,5,FALSE))," ",(VLOOKUP(C2945,'[1]خريطة الحسابات'!_xlnm.Print_Area,5,FALSE)))</f>
        <v>المدينون والأرصدة المدينة الأخرى</v>
      </c>
      <c r="O2945" s="84" t="s">
        <v>2593</v>
      </c>
      <c r="P2945" s="84" t="s">
        <v>1290</v>
      </c>
    </row>
    <row r="2946" spans="1:16">
      <c r="A2946" s="151">
        <v>90</v>
      </c>
      <c r="B2946" s="131">
        <v>46134</v>
      </c>
      <c r="C2946" s="150" t="s">
        <v>983</v>
      </c>
      <c r="D2946" s="140" t="str">
        <f>IF(ISERROR(VLOOKUP(C2946,'[1]خريطة الحسابات'!_xlnm.Print_Area,3,FALSE))," ",(VLOOKUP(C2946,'[1]خريطة الحسابات'!_xlnm.Print_Area,3,FALSE)))</f>
        <v>عميل سوديك 341</v>
      </c>
      <c r="E2946" s="142"/>
      <c r="F2946" s="133"/>
      <c r="G2946" s="133">
        <v>600000</v>
      </c>
      <c r="H2946" s="134">
        <f t="shared" si="136"/>
        <v>0</v>
      </c>
      <c r="I2946" s="134">
        <f t="shared" si="136"/>
        <v>600000</v>
      </c>
      <c r="J2946" s="134">
        <f t="shared" si="135"/>
        <v>-600000</v>
      </c>
      <c r="K2946" s="135"/>
      <c r="L2946" s="148" t="str">
        <f t="shared" si="137"/>
        <v>دائن</v>
      </c>
      <c r="M2946" s="137" t="str">
        <f>IF(ISERROR(VLOOKUP(C2946,'[1]خريطة الحسابات'!_xlnm.Print_Area,4,FALSE))," ",(VLOOKUP(C2946,'[1]خريطة الحسابات'!_xlnm.Print_Area,4,FALSE)))</f>
        <v>عملاء</v>
      </c>
      <c r="N2946" s="138" t="str">
        <f>IF(ISERROR(VLOOKUP(C2946,'[1]خريطة الحسابات'!_xlnm.Print_Area,5,FALSE))," ",(VLOOKUP(C2946,'[1]خريطة الحسابات'!_xlnm.Print_Area,5,FALSE)))</f>
        <v>المدينون والأرصدة المدينة الأخرى</v>
      </c>
      <c r="O2946" s="84" t="s">
        <v>2593</v>
      </c>
      <c r="P2946" s="84" t="s">
        <v>1290</v>
      </c>
    </row>
    <row r="2947" spans="1:16">
      <c r="A2947" s="151">
        <v>90</v>
      </c>
      <c r="B2947" s="131">
        <v>46153</v>
      </c>
      <c r="C2947" s="150" t="s">
        <v>983</v>
      </c>
      <c r="D2947" s="140" t="str">
        <f>IF(ISERROR(VLOOKUP(C2947,'[1]خريطة الحسابات'!_xlnm.Print_Area,3,FALSE))," ",(VLOOKUP(C2947,'[1]خريطة الحسابات'!_xlnm.Print_Area,3,FALSE)))</f>
        <v>عميل سوديك 341</v>
      </c>
      <c r="E2947" s="142"/>
      <c r="F2947" s="133"/>
      <c r="G2947" s="133">
        <v>750000</v>
      </c>
      <c r="H2947" s="134">
        <f t="shared" si="136"/>
        <v>0</v>
      </c>
      <c r="I2947" s="134">
        <f t="shared" si="136"/>
        <v>750000</v>
      </c>
      <c r="J2947" s="134">
        <f t="shared" si="135"/>
        <v>-750000</v>
      </c>
      <c r="K2947" s="135"/>
      <c r="L2947" s="148" t="str">
        <f t="shared" si="137"/>
        <v>دائن</v>
      </c>
      <c r="M2947" s="137" t="str">
        <f>IF(ISERROR(VLOOKUP(C2947,'[1]خريطة الحسابات'!_xlnm.Print_Area,4,FALSE))," ",(VLOOKUP(C2947,'[1]خريطة الحسابات'!_xlnm.Print_Area,4,FALSE)))</f>
        <v>عملاء</v>
      </c>
      <c r="N2947" s="138" t="str">
        <f>IF(ISERROR(VLOOKUP(C2947,'[1]خريطة الحسابات'!_xlnm.Print_Area,5,FALSE))," ",(VLOOKUP(C2947,'[1]خريطة الحسابات'!_xlnm.Print_Area,5,FALSE)))</f>
        <v>المدينون والأرصدة المدينة الأخرى</v>
      </c>
      <c r="O2947" s="84" t="s">
        <v>2591</v>
      </c>
      <c r="P2947" s="84" t="s">
        <v>1290</v>
      </c>
    </row>
    <row r="2948" spans="1:16">
      <c r="A2948" s="151">
        <v>90</v>
      </c>
      <c r="B2948" s="131">
        <v>46163</v>
      </c>
      <c r="C2948" s="150" t="s">
        <v>983</v>
      </c>
      <c r="D2948" s="140" t="str">
        <f>IF(ISERROR(VLOOKUP(C2948,'[1]خريطة الحسابات'!_xlnm.Print_Area,3,FALSE))," ",(VLOOKUP(C2948,'[1]خريطة الحسابات'!_xlnm.Print_Area,3,FALSE)))</f>
        <v>عميل سوديك 341</v>
      </c>
      <c r="E2948" s="142"/>
      <c r="F2948" s="133"/>
      <c r="G2948" s="133">
        <v>600000</v>
      </c>
      <c r="H2948" s="134">
        <f t="shared" si="136"/>
        <v>0</v>
      </c>
      <c r="I2948" s="134">
        <f t="shared" si="136"/>
        <v>600000</v>
      </c>
      <c r="J2948" s="134">
        <f t="shared" si="135"/>
        <v>-600000</v>
      </c>
      <c r="K2948" s="135"/>
      <c r="L2948" s="148" t="str">
        <f t="shared" si="137"/>
        <v>دائن</v>
      </c>
      <c r="M2948" s="137" t="str">
        <f>IF(ISERROR(VLOOKUP(C2948,'[1]خريطة الحسابات'!_xlnm.Print_Area,4,FALSE))," ",(VLOOKUP(C2948,'[1]خريطة الحسابات'!_xlnm.Print_Area,4,FALSE)))</f>
        <v>عملاء</v>
      </c>
      <c r="N2948" s="138" t="str">
        <f>IF(ISERROR(VLOOKUP(C2948,'[1]خريطة الحسابات'!_xlnm.Print_Area,5,FALSE))," ",(VLOOKUP(C2948,'[1]خريطة الحسابات'!_xlnm.Print_Area,5,FALSE)))</f>
        <v>المدينون والأرصدة المدينة الأخرى</v>
      </c>
      <c r="O2948" s="84" t="s">
        <v>2593</v>
      </c>
      <c r="P2948" s="84" t="s">
        <v>1290</v>
      </c>
    </row>
    <row r="2949" spans="1:16">
      <c r="A2949" s="151">
        <v>90</v>
      </c>
      <c r="B2949" s="131">
        <v>46184</v>
      </c>
      <c r="C2949" s="150" t="s">
        <v>983</v>
      </c>
      <c r="D2949" s="140" t="str">
        <f>IF(ISERROR(VLOOKUP(C2949,'[1]خريطة الحسابات'!_xlnm.Print_Area,3,FALSE))," ",(VLOOKUP(C2949,'[1]خريطة الحسابات'!_xlnm.Print_Area,3,FALSE)))</f>
        <v>عميل سوديك 341</v>
      </c>
      <c r="E2949" s="142"/>
      <c r="F2949" s="133"/>
      <c r="G2949" s="133">
        <v>1000000</v>
      </c>
      <c r="H2949" s="134">
        <f t="shared" si="136"/>
        <v>0</v>
      </c>
      <c r="I2949" s="134">
        <f t="shared" si="136"/>
        <v>1000000</v>
      </c>
      <c r="J2949" s="134">
        <f t="shared" si="135"/>
        <v>-1000000</v>
      </c>
      <c r="K2949" s="135"/>
      <c r="L2949" s="148" t="str">
        <f t="shared" si="137"/>
        <v>دائن</v>
      </c>
      <c r="M2949" s="137" t="str">
        <f>IF(ISERROR(VLOOKUP(C2949,'[1]خريطة الحسابات'!_xlnm.Print_Area,4,FALSE))," ",(VLOOKUP(C2949,'[1]خريطة الحسابات'!_xlnm.Print_Area,4,FALSE)))</f>
        <v>عملاء</v>
      </c>
      <c r="N2949" s="138" t="str">
        <f>IF(ISERROR(VLOOKUP(C2949,'[1]خريطة الحسابات'!_xlnm.Print_Area,5,FALSE))," ",(VLOOKUP(C2949,'[1]خريطة الحسابات'!_xlnm.Print_Area,5,FALSE)))</f>
        <v>المدينون والأرصدة المدينة الأخرى</v>
      </c>
      <c r="O2949" s="84" t="s">
        <v>2593</v>
      </c>
      <c r="P2949" s="84" t="s">
        <v>1290</v>
      </c>
    </row>
    <row r="2950" spans="1:16">
      <c r="A2950" s="151">
        <v>90</v>
      </c>
      <c r="B2950" s="131">
        <v>46047</v>
      </c>
      <c r="C2950" s="150" t="s">
        <v>981</v>
      </c>
      <c r="D2950" s="140" t="str">
        <f>IF(ISERROR(VLOOKUP(C2950,'[1]خريطة الحسابات'!_xlnm.Print_Area,3,FALSE))," ",(VLOOKUP(C2950,'[1]خريطة الحسابات'!_xlnm.Print_Area,3,FALSE)))</f>
        <v>عميل الدقي 388</v>
      </c>
      <c r="E2950" s="142"/>
      <c r="F2950" s="133"/>
      <c r="G2950" s="133">
        <v>60000</v>
      </c>
      <c r="H2950" s="134">
        <f t="shared" si="136"/>
        <v>0</v>
      </c>
      <c r="I2950" s="134">
        <f t="shared" si="136"/>
        <v>60000</v>
      </c>
      <c r="J2950" s="134">
        <f t="shared" si="135"/>
        <v>-60000</v>
      </c>
      <c r="K2950" s="135"/>
      <c r="L2950" s="148" t="str">
        <f t="shared" si="137"/>
        <v>دائن</v>
      </c>
      <c r="M2950" s="137" t="str">
        <f>IF(ISERROR(VLOOKUP(C2950,'[1]خريطة الحسابات'!_xlnm.Print_Area,4,FALSE))," ",(VLOOKUP(C2950,'[1]خريطة الحسابات'!_xlnm.Print_Area,4,FALSE)))</f>
        <v>عملاء</v>
      </c>
      <c r="N2950" s="138" t="str">
        <f>IF(ISERROR(VLOOKUP(C2950,'[1]خريطة الحسابات'!_xlnm.Print_Area,5,FALSE))," ",(VLOOKUP(C2950,'[1]خريطة الحسابات'!_xlnm.Print_Area,5,FALSE)))</f>
        <v>المدينون والأرصدة المدينة الأخرى</v>
      </c>
      <c r="O2950" s="84" t="s">
        <v>2594</v>
      </c>
      <c r="P2950" s="84" t="s">
        <v>1315</v>
      </c>
    </row>
    <row r="2951" spans="1:16">
      <c r="A2951" s="151">
        <v>90</v>
      </c>
      <c r="B2951" s="131">
        <v>46049</v>
      </c>
      <c r="C2951" s="150" t="s">
        <v>981</v>
      </c>
      <c r="D2951" s="140" t="str">
        <f>IF(ISERROR(VLOOKUP(C2951,'[1]خريطة الحسابات'!_xlnm.Print_Area,3,FALSE))," ",(VLOOKUP(C2951,'[1]خريطة الحسابات'!_xlnm.Print_Area,3,FALSE)))</f>
        <v>عميل الدقي 388</v>
      </c>
      <c r="E2951" s="142"/>
      <c r="F2951" s="133"/>
      <c r="G2951" s="133">
        <v>60000</v>
      </c>
      <c r="H2951" s="134">
        <f t="shared" si="136"/>
        <v>0</v>
      </c>
      <c r="I2951" s="134">
        <f t="shared" si="136"/>
        <v>60000</v>
      </c>
      <c r="J2951" s="134">
        <f t="shared" si="135"/>
        <v>-60000</v>
      </c>
      <c r="K2951" s="135"/>
      <c r="L2951" s="148" t="str">
        <f t="shared" si="137"/>
        <v>دائن</v>
      </c>
      <c r="M2951" s="137" t="str">
        <f>IF(ISERROR(VLOOKUP(C2951,'[1]خريطة الحسابات'!_xlnm.Print_Area,4,FALSE))," ",(VLOOKUP(C2951,'[1]خريطة الحسابات'!_xlnm.Print_Area,4,FALSE)))</f>
        <v>عملاء</v>
      </c>
      <c r="N2951" s="138" t="str">
        <f>IF(ISERROR(VLOOKUP(C2951,'[1]خريطة الحسابات'!_xlnm.Print_Area,5,FALSE))," ",(VLOOKUP(C2951,'[1]خريطة الحسابات'!_xlnm.Print_Area,5,FALSE)))</f>
        <v>المدينون والأرصدة المدينة الأخرى</v>
      </c>
      <c r="O2951" s="84" t="s">
        <v>2595</v>
      </c>
      <c r="P2951" s="84" t="s">
        <v>1315</v>
      </c>
    </row>
    <row r="2952" spans="1:16">
      <c r="A2952" s="151">
        <v>90</v>
      </c>
      <c r="B2952" s="131">
        <v>46054</v>
      </c>
      <c r="C2952" s="150" t="s">
        <v>981</v>
      </c>
      <c r="D2952" s="140" t="str">
        <f>IF(ISERROR(VLOOKUP(C2952,'[1]خريطة الحسابات'!_xlnm.Print_Area,3,FALSE))," ",(VLOOKUP(C2952,'[1]خريطة الحسابات'!_xlnm.Print_Area,3,FALSE)))</f>
        <v>عميل الدقي 388</v>
      </c>
      <c r="E2952" s="142"/>
      <c r="F2952" s="133"/>
      <c r="G2952" s="133">
        <v>60000</v>
      </c>
      <c r="H2952" s="134">
        <f t="shared" si="136"/>
        <v>0</v>
      </c>
      <c r="I2952" s="134">
        <f t="shared" si="136"/>
        <v>60000</v>
      </c>
      <c r="J2952" s="134">
        <f t="shared" si="135"/>
        <v>-60000</v>
      </c>
      <c r="K2952" s="135"/>
      <c r="L2952" s="148" t="str">
        <f t="shared" si="137"/>
        <v>دائن</v>
      </c>
      <c r="M2952" s="137" t="str">
        <f>IF(ISERROR(VLOOKUP(C2952,'[1]خريطة الحسابات'!_xlnm.Print_Area,4,FALSE))," ",(VLOOKUP(C2952,'[1]خريطة الحسابات'!_xlnm.Print_Area,4,FALSE)))</f>
        <v>عملاء</v>
      </c>
      <c r="N2952" s="138" t="str">
        <f>IF(ISERROR(VLOOKUP(C2952,'[1]خريطة الحسابات'!_xlnm.Print_Area,5,FALSE))," ",(VLOOKUP(C2952,'[1]خريطة الحسابات'!_xlnm.Print_Area,5,FALSE)))</f>
        <v>المدينون والأرصدة المدينة الأخرى</v>
      </c>
      <c r="O2952" s="84" t="s">
        <v>2596</v>
      </c>
      <c r="P2952" s="84" t="s">
        <v>1315</v>
      </c>
    </row>
    <row r="2953" spans="1:16">
      <c r="A2953" s="151">
        <v>90</v>
      </c>
      <c r="B2953" s="131">
        <v>46055</v>
      </c>
      <c r="C2953" s="150" t="s">
        <v>981</v>
      </c>
      <c r="D2953" s="140" t="str">
        <f>IF(ISERROR(VLOOKUP(C2953,'[1]خريطة الحسابات'!_xlnm.Print_Area,3,FALSE))," ",(VLOOKUP(C2953,'[1]خريطة الحسابات'!_xlnm.Print_Area,3,FALSE)))</f>
        <v>عميل الدقي 388</v>
      </c>
      <c r="E2953" s="142"/>
      <c r="F2953" s="133"/>
      <c r="G2953" s="133">
        <v>92107</v>
      </c>
      <c r="H2953" s="134">
        <f t="shared" si="136"/>
        <v>0</v>
      </c>
      <c r="I2953" s="134">
        <f t="shared" si="136"/>
        <v>92107</v>
      </c>
      <c r="J2953" s="134">
        <f t="shared" si="135"/>
        <v>-92107</v>
      </c>
      <c r="K2953" s="135"/>
      <c r="L2953" s="148" t="str">
        <f t="shared" si="137"/>
        <v>دائن</v>
      </c>
      <c r="M2953" s="137" t="str">
        <f>IF(ISERROR(VLOOKUP(C2953,'[1]خريطة الحسابات'!_xlnm.Print_Area,4,FALSE))," ",(VLOOKUP(C2953,'[1]خريطة الحسابات'!_xlnm.Print_Area,4,FALSE)))</f>
        <v>عملاء</v>
      </c>
      <c r="N2953" s="138" t="str">
        <f>IF(ISERROR(VLOOKUP(C2953,'[1]خريطة الحسابات'!_xlnm.Print_Area,5,FALSE))," ",(VLOOKUP(C2953,'[1]خريطة الحسابات'!_xlnm.Print_Area,5,FALSE)))</f>
        <v>المدينون والأرصدة المدينة الأخرى</v>
      </c>
      <c r="O2953" s="84" t="s">
        <v>2597</v>
      </c>
      <c r="P2953" s="84" t="s">
        <v>1315</v>
      </c>
    </row>
    <row r="2954" spans="1:16">
      <c r="A2954" s="151">
        <v>90</v>
      </c>
      <c r="B2954" s="131">
        <v>46063</v>
      </c>
      <c r="C2954" s="150" t="s">
        <v>981</v>
      </c>
      <c r="D2954" s="140" t="str">
        <f>IF(ISERROR(VLOOKUP(C2954,'[1]خريطة الحسابات'!_xlnm.Print_Area,3,FALSE))," ",(VLOOKUP(C2954,'[1]خريطة الحسابات'!_xlnm.Print_Area,3,FALSE)))</f>
        <v>عميل الدقي 388</v>
      </c>
      <c r="E2954" s="142"/>
      <c r="F2954" s="133"/>
      <c r="G2954" s="133">
        <v>60000</v>
      </c>
      <c r="H2954" s="134">
        <f t="shared" si="136"/>
        <v>0</v>
      </c>
      <c r="I2954" s="134">
        <f t="shared" si="136"/>
        <v>60000</v>
      </c>
      <c r="J2954" s="134">
        <f t="shared" si="135"/>
        <v>-60000</v>
      </c>
      <c r="K2954" s="135"/>
      <c r="L2954" s="148" t="str">
        <f t="shared" si="137"/>
        <v>دائن</v>
      </c>
      <c r="M2954" s="137" t="str">
        <f>IF(ISERROR(VLOOKUP(C2954,'[1]خريطة الحسابات'!_xlnm.Print_Area,4,FALSE))," ",(VLOOKUP(C2954,'[1]خريطة الحسابات'!_xlnm.Print_Area,4,FALSE)))</f>
        <v>عملاء</v>
      </c>
      <c r="N2954" s="138" t="str">
        <f>IF(ISERROR(VLOOKUP(C2954,'[1]خريطة الحسابات'!_xlnm.Print_Area,5,FALSE))," ",(VLOOKUP(C2954,'[1]خريطة الحسابات'!_xlnm.Print_Area,5,FALSE)))</f>
        <v>المدينون والأرصدة المدينة الأخرى</v>
      </c>
      <c r="O2954" s="84" t="s">
        <v>2594</v>
      </c>
      <c r="P2954" s="84" t="s">
        <v>1315</v>
      </c>
    </row>
    <row r="2955" spans="1:16">
      <c r="A2955" s="151">
        <v>90</v>
      </c>
      <c r="B2955" s="131">
        <v>46067</v>
      </c>
      <c r="C2955" s="150" t="s">
        <v>981</v>
      </c>
      <c r="D2955" s="140" t="str">
        <f>IF(ISERROR(VLOOKUP(C2955,'[1]خريطة الحسابات'!_xlnm.Print_Area,3,FALSE))," ",(VLOOKUP(C2955,'[1]خريطة الحسابات'!_xlnm.Print_Area,3,FALSE)))</f>
        <v>عميل الدقي 388</v>
      </c>
      <c r="E2955" s="142"/>
      <c r="F2955" s="133"/>
      <c r="G2955" s="133">
        <v>60000</v>
      </c>
      <c r="H2955" s="134">
        <f t="shared" si="136"/>
        <v>0</v>
      </c>
      <c r="I2955" s="134">
        <f t="shared" si="136"/>
        <v>60000</v>
      </c>
      <c r="J2955" s="134">
        <f t="shared" si="135"/>
        <v>-60000</v>
      </c>
      <c r="K2955" s="135"/>
      <c r="L2955" s="148" t="str">
        <f t="shared" si="137"/>
        <v>دائن</v>
      </c>
      <c r="M2955" s="137" t="str">
        <f>IF(ISERROR(VLOOKUP(C2955,'[1]خريطة الحسابات'!_xlnm.Print_Area,4,FALSE))," ",(VLOOKUP(C2955,'[1]خريطة الحسابات'!_xlnm.Print_Area,4,FALSE)))</f>
        <v>عملاء</v>
      </c>
      <c r="N2955" s="138" t="str">
        <f>IF(ISERROR(VLOOKUP(C2955,'[1]خريطة الحسابات'!_xlnm.Print_Area,5,FALSE))," ",(VLOOKUP(C2955,'[1]خريطة الحسابات'!_xlnm.Print_Area,5,FALSE)))</f>
        <v>المدينون والأرصدة المدينة الأخرى</v>
      </c>
      <c r="O2955" s="84" t="s">
        <v>2598</v>
      </c>
      <c r="P2955" s="84" t="s">
        <v>1315</v>
      </c>
    </row>
    <row r="2956" spans="1:16">
      <c r="A2956" s="151">
        <v>90</v>
      </c>
      <c r="B2956" s="131">
        <v>46071</v>
      </c>
      <c r="C2956" s="150" t="s">
        <v>981</v>
      </c>
      <c r="D2956" s="140" t="str">
        <f>IF(ISERROR(VLOOKUP(C2956,'[1]خريطة الحسابات'!_xlnm.Print_Area,3,FALSE))," ",(VLOOKUP(C2956,'[1]خريطة الحسابات'!_xlnm.Print_Area,3,FALSE)))</f>
        <v>عميل الدقي 388</v>
      </c>
      <c r="E2956" s="142"/>
      <c r="F2956" s="133"/>
      <c r="G2956" s="133">
        <v>60500</v>
      </c>
      <c r="H2956" s="134">
        <f t="shared" si="136"/>
        <v>0</v>
      </c>
      <c r="I2956" s="134">
        <f t="shared" si="136"/>
        <v>60500</v>
      </c>
      <c r="J2956" s="134">
        <f t="shared" si="135"/>
        <v>-60500</v>
      </c>
      <c r="K2956" s="135"/>
      <c r="L2956" s="148" t="str">
        <f t="shared" si="137"/>
        <v>دائن</v>
      </c>
      <c r="M2956" s="137" t="str">
        <f>IF(ISERROR(VLOOKUP(C2956,'[1]خريطة الحسابات'!_xlnm.Print_Area,4,FALSE))," ",(VLOOKUP(C2956,'[1]خريطة الحسابات'!_xlnm.Print_Area,4,FALSE)))</f>
        <v>عملاء</v>
      </c>
      <c r="N2956" s="138" t="str">
        <f>IF(ISERROR(VLOOKUP(C2956,'[1]خريطة الحسابات'!_xlnm.Print_Area,5,FALSE))," ",(VLOOKUP(C2956,'[1]خريطة الحسابات'!_xlnm.Print_Area,5,FALSE)))</f>
        <v>المدينون والأرصدة المدينة الأخرى</v>
      </c>
      <c r="O2956" s="84" t="s">
        <v>2594</v>
      </c>
      <c r="P2956" s="84" t="s">
        <v>1315</v>
      </c>
    </row>
    <row r="2957" spans="1:16">
      <c r="A2957" s="151">
        <v>90</v>
      </c>
      <c r="B2957" s="131">
        <v>46071</v>
      </c>
      <c r="C2957" s="150" t="s">
        <v>981</v>
      </c>
      <c r="D2957" s="140" t="str">
        <f>IF(ISERROR(VLOOKUP(C2957,'[1]خريطة الحسابات'!_xlnm.Print_Area,3,FALSE))," ",(VLOOKUP(C2957,'[1]خريطة الحسابات'!_xlnm.Print_Area,3,FALSE)))</f>
        <v>عميل الدقي 388</v>
      </c>
      <c r="E2957" s="142"/>
      <c r="F2957" s="133"/>
      <c r="G2957" s="133">
        <v>125000</v>
      </c>
      <c r="H2957" s="134">
        <f t="shared" si="136"/>
        <v>0</v>
      </c>
      <c r="I2957" s="134">
        <f t="shared" si="136"/>
        <v>125000</v>
      </c>
      <c r="J2957" s="134">
        <f t="shared" si="135"/>
        <v>-125000</v>
      </c>
      <c r="K2957" s="135"/>
      <c r="L2957" s="148" t="str">
        <f t="shared" si="137"/>
        <v>دائن</v>
      </c>
      <c r="M2957" s="137" t="str">
        <f>IF(ISERROR(VLOOKUP(C2957,'[1]خريطة الحسابات'!_xlnm.Print_Area,4,FALSE))," ",(VLOOKUP(C2957,'[1]خريطة الحسابات'!_xlnm.Print_Area,4,FALSE)))</f>
        <v>عملاء</v>
      </c>
      <c r="N2957" s="138" t="str">
        <f>IF(ISERROR(VLOOKUP(C2957,'[1]خريطة الحسابات'!_xlnm.Print_Area,5,FALSE))," ",(VLOOKUP(C2957,'[1]خريطة الحسابات'!_xlnm.Print_Area,5,FALSE)))</f>
        <v>المدينون والأرصدة المدينة الأخرى</v>
      </c>
      <c r="O2957" s="84" t="s">
        <v>2594</v>
      </c>
      <c r="P2957" s="84" t="s">
        <v>1315</v>
      </c>
    </row>
    <row r="2958" spans="1:16">
      <c r="A2958" s="151">
        <v>90</v>
      </c>
      <c r="B2958" s="131">
        <v>46072</v>
      </c>
      <c r="C2958" s="150" t="s">
        <v>981</v>
      </c>
      <c r="D2958" s="140" t="str">
        <f>IF(ISERROR(VLOOKUP(C2958,'[1]خريطة الحسابات'!_xlnm.Print_Area,3,FALSE))," ",(VLOOKUP(C2958,'[1]خريطة الحسابات'!_xlnm.Print_Area,3,FALSE)))</f>
        <v>عميل الدقي 388</v>
      </c>
      <c r="E2958" s="142"/>
      <c r="F2958" s="133"/>
      <c r="G2958" s="133">
        <v>265000</v>
      </c>
      <c r="H2958" s="134">
        <f t="shared" si="136"/>
        <v>0</v>
      </c>
      <c r="I2958" s="134">
        <f t="shared" si="136"/>
        <v>265000</v>
      </c>
      <c r="J2958" s="134">
        <f t="shared" si="135"/>
        <v>-265000</v>
      </c>
      <c r="K2958" s="135"/>
      <c r="L2958" s="148" t="str">
        <f t="shared" si="137"/>
        <v>دائن</v>
      </c>
      <c r="M2958" s="137" t="str">
        <f>IF(ISERROR(VLOOKUP(C2958,'[1]خريطة الحسابات'!_xlnm.Print_Area,4,FALSE))," ",(VLOOKUP(C2958,'[1]خريطة الحسابات'!_xlnm.Print_Area,4,FALSE)))</f>
        <v>عملاء</v>
      </c>
      <c r="N2958" s="138" t="str">
        <f>IF(ISERROR(VLOOKUP(C2958,'[1]خريطة الحسابات'!_xlnm.Print_Area,5,FALSE))," ",(VLOOKUP(C2958,'[1]خريطة الحسابات'!_xlnm.Print_Area,5,FALSE)))</f>
        <v>المدينون والأرصدة المدينة الأخرى</v>
      </c>
      <c r="O2958" s="84" t="s">
        <v>2594</v>
      </c>
      <c r="P2958" s="84" t="s">
        <v>1315</v>
      </c>
    </row>
    <row r="2959" spans="1:16">
      <c r="A2959" s="151">
        <v>90</v>
      </c>
      <c r="B2959" s="131">
        <v>46091</v>
      </c>
      <c r="C2959" s="150" t="s">
        <v>981</v>
      </c>
      <c r="D2959" s="140" t="str">
        <f>IF(ISERROR(VLOOKUP(C2959,'[1]خريطة الحسابات'!_xlnm.Print_Area,3,FALSE))," ",(VLOOKUP(C2959,'[1]خريطة الحسابات'!_xlnm.Print_Area,3,FALSE)))</f>
        <v>عميل الدقي 388</v>
      </c>
      <c r="E2959" s="142"/>
      <c r="F2959" s="133"/>
      <c r="G2959" s="133">
        <v>300000</v>
      </c>
      <c r="H2959" s="134">
        <f t="shared" si="136"/>
        <v>0</v>
      </c>
      <c r="I2959" s="134">
        <f t="shared" si="136"/>
        <v>300000</v>
      </c>
      <c r="J2959" s="134">
        <f t="shared" si="135"/>
        <v>-300000</v>
      </c>
      <c r="K2959" s="135"/>
      <c r="L2959" s="148" t="str">
        <f t="shared" si="137"/>
        <v>دائن</v>
      </c>
      <c r="M2959" s="137" t="str">
        <f>IF(ISERROR(VLOOKUP(C2959,'[1]خريطة الحسابات'!_xlnm.Print_Area,4,FALSE))," ",(VLOOKUP(C2959,'[1]خريطة الحسابات'!_xlnm.Print_Area,4,FALSE)))</f>
        <v>عملاء</v>
      </c>
      <c r="N2959" s="138" t="str">
        <f>IF(ISERROR(VLOOKUP(C2959,'[1]خريطة الحسابات'!_xlnm.Print_Area,5,FALSE))," ",(VLOOKUP(C2959,'[1]خريطة الحسابات'!_xlnm.Print_Area,5,FALSE)))</f>
        <v>المدينون والأرصدة المدينة الأخرى</v>
      </c>
      <c r="O2959" s="84" t="s">
        <v>2594</v>
      </c>
      <c r="P2959" s="84" t="s">
        <v>1315</v>
      </c>
    </row>
    <row r="2960" spans="1:16">
      <c r="A2960" s="151">
        <v>90</v>
      </c>
      <c r="B2960" s="131">
        <v>46091</v>
      </c>
      <c r="C2960" s="150" t="s">
        <v>981</v>
      </c>
      <c r="D2960" s="140" t="str">
        <f>IF(ISERROR(VLOOKUP(C2960,'[1]خريطة الحسابات'!_xlnm.Print_Area,3,FALSE))," ",(VLOOKUP(C2960,'[1]خريطة الحسابات'!_xlnm.Print_Area,3,FALSE)))</f>
        <v>عميل الدقي 388</v>
      </c>
      <c r="E2960" s="142"/>
      <c r="F2960" s="133"/>
      <c r="G2960" s="133">
        <v>300000</v>
      </c>
      <c r="H2960" s="134">
        <f t="shared" si="136"/>
        <v>0</v>
      </c>
      <c r="I2960" s="134">
        <f t="shared" si="136"/>
        <v>300000</v>
      </c>
      <c r="J2960" s="134">
        <f t="shared" si="135"/>
        <v>-300000</v>
      </c>
      <c r="K2960" s="135"/>
      <c r="L2960" s="148" t="str">
        <f t="shared" si="137"/>
        <v>دائن</v>
      </c>
      <c r="M2960" s="137" t="str">
        <f>IF(ISERROR(VLOOKUP(C2960,'[1]خريطة الحسابات'!_xlnm.Print_Area,4,FALSE))," ",(VLOOKUP(C2960,'[1]خريطة الحسابات'!_xlnm.Print_Area,4,FALSE)))</f>
        <v>عملاء</v>
      </c>
      <c r="N2960" s="138" t="str">
        <f>IF(ISERROR(VLOOKUP(C2960,'[1]خريطة الحسابات'!_xlnm.Print_Area,5,FALSE))," ",(VLOOKUP(C2960,'[1]خريطة الحسابات'!_xlnm.Print_Area,5,FALSE)))</f>
        <v>المدينون والأرصدة المدينة الأخرى</v>
      </c>
      <c r="O2960" s="84" t="s">
        <v>2594</v>
      </c>
      <c r="P2960" s="84" t="s">
        <v>1315</v>
      </c>
    </row>
    <row r="2961" spans="1:16">
      <c r="A2961" s="151">
        <v>90</v>
      </c>
      <c r="B2961" s="131">
        <v>46092</v>
      </c>
      <c r="C2961" s="150" t="s">
        <v>981</v>
      </c>
      <c r="D2961" s="140" t="str">
        <f>IF(ISERROR(VLOOKUP(C2961,'[1]خريطة الحسابات'!_xlnm.Print_Area,3,FALSE))," ",(VLOOKUP(C2961,'[1]خريطة الحسابات'!_xlnm.Print_Area,3,FALSE)))</f>
        <v>عميل الدقي 388</v>
      </c>
      <c r="E2961" s="142"/>
      <c r="F2961" s="133"/>
      <c r="G2961" s="133">
        <v>250000</v>
      </c>
      <c r="H2961" s="134">
        <f t="shared" si="136"/>
        <v>0</v>
      </c>
      <c r="I2961" s="134">
        <f t="shared" si="136"/>
        <v>250000</v>
      </c>
      <c r="J2961" s="134">
        <f t="shared" si="135"/>
        <v>-250000</v>
      </c>
      <c r="K2961" s="135"/>
      <c r="L2961" s="148" t="str">
        <f t="shared" si="137"/>
        <v>دائن</v>
      </c>
      <c r="M2961" s="137" t="str">
        <f>IF(ISERROR(VLOOKUP(C2961,'[1]خريطة الحسابات'!_xlnm.Print_Area,4,FALSE))," ",(VLOOKUP(C2961,'[1]خريطة الحسابات'!_xlnm.Print_Area,4,FALSE)))</f>
        <v>عملاء</v>
      </c>
      <c r="N2961" s="138" t="str">
        <f>IF(ISERROR(VLOOKUP(C2961,'[1]خريطة الحسابات'!_xlnm.Print_Area,5,FALSE))," ",(VLOOKUP(C2961,'[1]خريطة الحسابات'!_xlnm.Print_Area,5,FALSE)))</f>
        <v>المدينون والأرصدة المدينة الأخرى</v>
      </c>
      <c r="O2961" s="84" t="s">
        <v>2594</v>
      </c>
      <c r="P2961" s="84" t="s">
        <v>1315</v>
      </c>
    </row>
    <row r="2962" spans="1:16">
      <c r="A2962" s="151">
        <v>90</v>
      </c>
      <c r="B2962" s="131">
        <v>46131</v>
      </c>
      <c r="C2962" s="150" t="s">
        <v>981</v>
      </c>
      <c r="D2962" s="140" t="str">
        <f>IF(ISERROR(VLOOKUP(C2962,'[1]خريطة الحسابات'!_xlnm.Print_Area,3,FALSE))," ",(VLOOKUP(C2962,'[1]خريطة الحسابات'!_xlnm.Print_Area,3,FALSE)))</f>
        <v>عميل الدقي 388</v>
      </c>
      <c r="E2962" s="142"/>
      <c r="F2962" s="133"/>
      <c r="G2962" s="133">
        <v>300000</v>
      </c>
      <c r="H2962" s="134">
        <f t="shared" si="136"/>
        <v>0</v>
      </c>
      <c r="I2962" s="134">
        <f t="shared" si="136"/>
        <v>300000</v>
      </c>
      <c r="J2962" s="134">
        <f t="shared" si="135"/>
        <v>-300000</v>
      </c>
      <c r="K2962" s="135"/>
      <c r="L2962" s="148" t="str">
        <f t="shared" si="137"/>
        <v>دائن</v>
      </c>
      <c r="M2962" s="137" t="str">
        <f>IF(ISERROR(VLOOKUP(C2962,'[1]خريطة الحسابات'!_xlnm.Print_Area,4,FALSE))," ",(VLOOKUP(C2962,'[1]خريطة الحسابات'!_xlnm.Print_Area,4,FALSE)))</f>
        <v>عملاء</v>
      </c>
      <c r="N2962" s="138" t="str">
        <f>IF(ISERROR(VLOOKUP(C2962,'[1]خريطة الحسابات'!_xlnm.Print_Area,5,FALSE))," ",(VLOOKUP(C2962,'[1]خريطة الحسابات'!_xlnm.Print_Area,5,FALSE)))</f>
        <v>المدينون والأرصدة المدينة الأخرى</v>
      </c>
      <c r="O2962" s="84" t="s">
        <v>2599</v>
      </c>
      <c r="P2962" s="84" t="s">
        <v>1315</v>
      </c>
    </row>
    <row r="2963" spans="1:16">
      <c r="A2963" s="151">
        <v>90</v>
      </c>
      <c r="B2963" s="131">
        <v>46132</v>
      </c>
      <c r="C2963" s="150" t="s">
        <v>981</v>
      </c>
      <c r="D2963" s="140" t="str">
        <f>IF(ISERROR(VLOOKUP(C2963,'[1]خريطة الحسابات'!_xlnm.Print_Area,3,FALSE))," ",(VLOOKUP(C2963,'[1]خريطة الحسابات'!_xlnm.Print_Area,3,FALSE)))</f>
        <v>عميل الدقي 388</v>
      </c>
      <c r="E2963" s="142"/>
      <c r="F2963" s="133"/>
      <c r="G2963" s="133">
        <v>200000</v>
      </c>
      <c r="H2963" s="134">
        <f t="shared" si="136"/>
        <v>0</v>
      </c>
      <c r="I2963" s="134">
        <f t="shared" si="136"/>
        <v>200000</v>
      </c>
      <c r="J2963" s="134">
        <f t="shared" si="135"/>
        <v>-200000</v>
      </c>
      <c r="K2963" s="135"/>
      <c r="L2963" s="148" t="str">
        <f t="shared" si="137"/>
        <v>دائن</v>
      </c>
      <c r="M2963" s="137" t="str">
        <f>IF(ISERROR(VLOOKUP(C2963,'[1]خريطة الحسابات'!_xlnm.Print_Area,4,FALSE))," ",(VLOOKUP(C2963,'[1]خريطة الحسابات'!_xlnm.Print_Area,4,FALSE)))</f>
        <v>عملاء</v>
      </c>
      <c r="N2963" s="138" t="str">
        <f>IF(ISERROR(VLOOKUP(C2963,'[1]خريطة الحسابات'!_xlnm.Print_Area,5,FALSE))," ",(VLOOKUP(C2963,'[1]خريطة الحسابات'!_xlnm.Print_Area,5,FALSE)))</f>
        <v>المدينون والأرصدة المدينة الأخرى</v>
      </c>
      <c r="O2963" s="84" t="s">
        <v>2600</v>
      </c>
      <c r="P2963" s="84" t="s">
        <v>1315</v>
      </c>
    </row>
    <row r="2964" spans="1:16">
      <c r="A2964" s="151">
        <v>90</v>
      </c>
      <c r="B2964" s="131">
        <v>46134</v>
      </c>
      <c r="C2964" s="150" t="s">
        <v>981</v>
      </c>
      <c r="D2964" s="140" t="str">
        <f>IF(ISERROR(VLOOKUP(C2964,'[1]خريطة الحسابات'!_xlnm.Print_Area,3,FALSE))," ",(VLOOKUP(C2964,'[1]خريطة الحسابات'!_xlnm.Print_Area,3,FALSE)))</f>
        <v>عميل الدقي 388</v>
      </c>
      <c r="E2964" s="142"/>
      <c r="F2964" s="133"/>
      <c r="G2964" s="133">
        <v>60000</v>
      </c>
      <c r="H2964" s="134">
        <f t="shared" si="136"/>
        <v>0</v>
      </c>
      <c r="I2964" s="134">
        <f t="shared" si="136"/>
        <v>60000</v>
      </c>
      <c r="J2964" s="134">
        <f t="shared" si="135"/>
        <v>-60000</v>
      </c>
      <c r="K2964" s="135"/>
      <c r="L2964" s="148" t="str">
        <f t="shared" si="137"/>
        <v>دائن</v>
      </c>
      <c r="M2964" s="137" t="str">
        <f>IF(ISERROR(VLOOKUP(C2964,'[1]خريطة الحسابات'!_xlnm.Print_Area,4,FALSE))," ",(VLOOKUP(C2964,'[1]خريطة الحسابات'!_xlnm.Print_Area,4,FALSE)))</f>
        <v>عملاء</v>
      </c>
      <c r="N2964" s="138" t="str">
        <f>IF(ISERROR(VLOOKUP(C2964,'[1]خريطة الحسابات'!_xlnm.Print_Area,5,FALSE))," ",(VLOOKUP(C2964,'[1]خريطة الحسابات'!_xlnm.Print_Area,5,FALSE)))</f>
        <v>المدينون والأرصدة المدينة الأخرى</v>
      </c>
      <c r="O2964" s="84" t="s">
        <v>2601</v>
      </c>
      <c r="P2964" s="84" t="s">
        <v>1315</v>
      </c>
    </row>
    <row r="2965" spans="1:16">
      <c r="A2965" s="151">
        <v>90</v>
      </c>
      <c r="B2965" s="131">
        <v>46139</v>
      </c>
      <c r="C2965" s="150" t="s">
        <v>981</v>
      </c>
      <c r="D2965" s="140" t="str">
        <f>IF(ISERROR(VLOOKUP(C2965,'[1]خريطة الحسابات'!_xlnm.Print_Area,3,FALSE))," ",(VLOOKUP(C2965,'[1]خريطة الحسابات'!_xlnm.Print_Area,3,FALSE)))</f>
        <v>عميل الدقي 388</v>
      </c>
      <c r="E2965" s="142"/>
      <c r="F2965" s="133"/>
      <c r="G2965" s="133">
        <v>100000</v>
      </c>
      <c r="H2965" s="134">
        <f t="shared" si="136"/>
        <v>0</v>
      </c>
      <c r="I2965" s="134">
        <f t="shared" si="136"/>
        <v>100000</v>
      </c>
      <c r="J2965" s="134">
        <f t="shared" si="135"/>
        <v>-100000</v>
      </c>
      <c r="K2965" s="135"/>
      <c r="L2965" s="148" t="str">
        <f t="shared" si="137"/>
        <v>دائن</v>
      </c>
      <c r="M2965" s="137" t="str">
        <f>IF(ISERROR(VLOOKUP(C2965,'[1]خريطة الحسابات'!_xlnm.Print_Area,4,FALSE))," ",(VLOOKUP(C2965,'[1]خريطة الحسابات'!_xlnm.Print_Area,4,FALSE)))</f>
        <v>عملاء</v>
      </c>
      <c r="N2965" s="138" t="str">
        <f>IF(ISERROR(VLOOKUP(C2965,'[1]خريطة الحسابات'!_xlnm.Print_Area,5,FALSE))," ",(VLOOKUP(C2965,'[1]خريطة الحسابات'!_xlnm.Print_Area,5,FALSE)))</f>
        <v>المدينون والأرصدة المدينة الأخرى</v>
      </c>
      <c r="O2965" s="84" t="s">
        <v>2599</v>
      </c>
      <c r="P2965" s="84" t="s">
        <v>1315</v>
      </c>
    </row>
    <row r="2966" spans="1:16">
      <c r="A2966" s="151">
        <v>90</v>
      </c>
      <c r="B2966" s="131">
        <v>46155</v>
      </c>
      <c r="C2966" s="150" t="s">
        <v>981</v>
      </c>
      <c r="D2966" s="140" t="str">
        <f>IF(ISERROR(VLOOKUP(C2966,'[1]خريطة الحسابات'!_xlnm.Print_Area,3,FALSE))," ",(VLOOKUP(C2966,'[1]خريطة الحسابات'!_xlnm.Print_Area,3,FALSE)))</f>
        <v>عميل الدقي 388</v>
      </c>
      <c r="E2966" s="142"/>
      <c r="F2966" s="133"/>
      <c r="G2966" s="133">
        <v>300000</v>
      </c>
      <c r="H2966" s="134">
        <f t="shared" si="136"/>
        <v>0</v>
      </c>
      <c r="I2966" s="134">
        <f t="shared" si="136"/>
        <v>300000</v>
      </c>
      <c r="J2966" s="134">
        <f t="shared" si="135"/>
        <v>-300000</v>
      </c>
      <c r="K2966" s="135"/>
      <c r="L2966" s="148" t="str">
        <f t="shared" si="137"/>
        <v>دائن</v>
      </c>
      <c r="M2966" s="137" t="str">
        <f>IF(ISERROR(VLOOKUP(C2966,'[1]خريطة الحسابات'!_xlnm.Print_Area,4,FALSE))," ",(VLOOKUP(C2966,'[1]خريطة الحسابات'!_xlnm.Print_Area,4,FALSE)))</f>
        <v>عملاء</v>
      </c>
      <c r="N2966" s="138" t="str">
        <f>IF(ISERROR(VLOOKUP(C2966,'[1]خريطة الحسابات'!_xlnm.Print_Area,5,FALSE))," ",(VLOOKUP(C2966,'[1]خريطة الحسابات'!_xlnm.Print_Area,5,FALSE)))</f>
        <v>المدينون والأرصدة المدينة الأخرى</v>
      </c>
      <c r="O2966" s="84" t="s">
        <v>2600</v>
      </c>
      <c r="P2966" s="84" t="s">
        <v>1315</v>
      </c>
    </row>
    <row r="2967" spans="1:16">
      <c r="A2967" s="151">
        <v>90</v>
      </c>
      <c r="B2967" s="131">
        <v>46114</v>
      </c>
      <c r="C2967" s="150" t="s">
        <v>997</v>
      </c>
      <c r="D2967" s="140" t="str">
        <f>IF(ISERROR(VLOOKUP(C2967,'[1]خريطة الحسابات'!_xlnm.Print_Area,3,FALSE))," ",(VLOOKUP(C2967,'[1]خريطة الحسابات'!_xlnm.Print_Area,3,FALSE)))</f>
        <v>عميل العشري وصال 398</v>
      </c>
      <c r="E2967" s="142"/>
      <c r="F2967" s="133"/>
      <c r="G2967" s="133">
        <v>200020</v>
      </c>
      <c r="H2967" s="134">
        <f t="shared" si="136"/>
        <v>0</v>
      </c>
      <c r="I2967" s="134">
        <f t="shared" si="136"/>
        <v>200020</v>
      </c>
      <c r="J2967" s="134">
        <f t="shared" si="135"/>
        <v>-200020</v>
      </c>
      <c r="K2967" s="135"/>
      <c r="L2967" s="148" t="str">
        <f t="shared" si="137"/>
        <v>دائن</v>
      </c>
      <c r="M2967" s="137" t="str">
        <f>IF(ISERROR(VLOOKUP(C2967,'[1]خريطة الحسابات'!_xlnm.Print_Area,4,FALSE))," ",(VLOOKUP(C2967,'[1]خريطة الحسابات'!_xlnm.Print_Area,4,FALSE)))</f>
        <v>عملاء</v>
      </c>
      <c r="N2967" s="138" t="str">
        <f>IF(ISERROR(VLOOKUP(C2967,'[1]خريطة الحسابات'!_xlnm.Print_Area,5,FALSE))," ",(VLOOKUP(C2967,'[1]خريطة الحسابات'!_xlnm.Print_Area,5,FALSE)))</f>
        <v>المدينون والأرصدة المدينة الأخرى</v>
      </c>
      <c r="O2967" s="84" t="s">
        <v>2602</v>
      </c>
      <c r="P2967" s="84" t="s">
        <v>1489</v>
      </c>
    </row>
    <row r="2968" spans="1:16">
      <c r="A2968" s="151">
        <v>90</v>
      </c>
      <c r="B2968" s="131">
        <v>46134</v>
      </c>
      <c r="C2968" s="150" t="s">
        <v>997</v>
      </c>
      <c r="D2968" s="140" t="str">
        <f>IF(ISERROR(VLOOKUP(C2968,'[1]خريطة الحسابات'!_xlnm.Print_Area,3,FALSE))," ",(VLOOKUP(C2968,'[1]خريطة الحسابات'!_xlnm.Print_Area,3,FALSE)))</f>
        <v>عميل العشري وصال 398</v>
      </c>
      <c r="E2968" s="142"/>
      <c r="F2968" s="133"/>
      <c r="G2968" s="133">
        <v>200000</v>
      </c>
      <c r="H2968" s="134">
        <f t="shared" si="136"/>
        <v>0</v>
      </c>
      <c r="I2968" s="134">
        <f t="shared" si="136"/>
        <v>200000</v>
      </c>
      <c r="J2968" s="134">
        <f t="shared" ref="J2968:J3031" si="138">H2968-I2968</f>
        <v>-200000</v>
      </c>
      <c r="K2968" s="135"/>
      <c r="L2968" s="148" t="str">
        <f t="shared" si="137"/>
        <v>دائن</v>
      </c>
      <c r="M2968" s="137" t="str">
        <f>IF(ISERROR(VLOOKUP(C2968,'[1]خريطة الحسابات'!_xlnm.Print_Area,4,FALSE))," ",(VLOOKUP(C2968,'[1]خريطة الحسابات'!_xlnm.Print_Area,4,FALSE)))</f>
        <v>عملاء</v>
      </c>
      <c r="N2968" s="138" t="str">
        <f>IF(ISERROR(VLOOKUP(C2968,'[1]خريطة الحسابات'!_xlnm.Print_Area,5,FALSE))," ",(VLOOKUP(C2968,'[1]خريطة الحسابات'!_xlnm.Print_Area,5,FALSE)))</f>
        <v>المدينون والأرصدة المدينة الأخرى</v>
      </c>
      <c r="O2968" s="84" t="s">
        <v>2603</v>
      </c>
      <c r="P2968" s="84" t="s">
        <v>1489</v>
      </c>
    </row>
    <row r="2969" spans="1:16">
      <c r="A2969" s="151">
        <v>90</v>
      </c>
      <c r="B2969" s="131">
        <v>46174</v>
      </c>
      <c r="C2969" s="150" t="s">
        <v>997</v>
      </c>
      <c r="D2969" s="140" t="str">
        <f>IF(ISERROR(VLOOKUP(C2969,'[1]خريطة الحسابات'!_xlnm.Print_Area,3,FALSE))," ",(VLOOKUP(C2969,'[1]خريطة الحسابات'!_xlnm.Print_Area,3,FALSE)))</f>
        <v>عميل العشري وصال 398</v>
      </c>
      <c r="E2969" s="142"/>
      <c r="F2969" s="133"/>
      <c r="G2969" s="133">
        <v>87000</v>
      </c>
      <c r="H2969" s="134">
        <f t="shared" ref="H2969:I3032" si="139">IF($E2969=2,F2969*3.465,F2969)</f>
        <v>0</v>
      </c>
      <c r="I2969" s="134">
        <f t="shared" si="139"/>
        <v>87000</v>
      </c>
      <c r="J2969" s="134">
        <f t="shared" si="138"/>
        <v>-87000</v>
      </c>
      <c r="K2969" s="135"/>
      <c r="L2969" s="148" t="str">
        <f t="shared" si="137"/>
        <v>دائن</v>
      </c>
      <c r="M2969" s="137" t="str">
        <f>IF(ISERROR(VLOOKUP(C2969,'[1]خريطة الحسابات'!_xlnm.Print_Area,4,FALSE))," ",(VLOOKUP(C2969,'[1]خريطة الحسابات'!_xlnm.Print_Area,4,FALSE)))</f>
        <v>عملاء</v>
      </c>
      <c r="N2969" s="138" t="str">
        <f>IF(ISERROR(VLOOKUP(C2969,'[1]خريطة الحسابات'!_xlnm.Print_Area,5,FALSE))," ",(VLOOKUP(C2969,'[1]خريطة الحسابات'!_xlnm.Print_Area,5,FALSE)))</f>
        <v>المدينون والأرصدة المدينة الأخرى</v>
      </c>
      <c r="O2969" s="84" t="s">
        <v>2604</v>
      </c>
      <c r="P2969" s="84" t="s">
        <v>1489</v>
      </c>
    </row>
    <row r="2970" spans="1:16">
      <c r="A2970" s="151">
        <v>90</v>
      </c>
      <c r="B2970" s="131">
        <v>46113</v>
      </c>
      <c r="C2970" s="150" t="s">
        <v>997</v>
      </c>
      <c r="D2970" s="140" t="str">
        <f>IF(ISERROR(VLOOKUP(C2970,'[1]خريطة الحسابات'!_xlnm.Print_Area,3,FALSE))," ",(VLOOKUP(C2970,'[1]خريطة الحسابات'!_xlnm.Print_Area,3,FALSE)))</f>
        <v>عميل العشري وصال 398</v>
      </c>
      <c r="E2970" s="142"/>
      <c r="F2970" s="133"/>
      <c r="G2970" s="133">
        <v>107113</v>
      </c>
      <c r="H2970" s="134">
        <f t="shared" si="139"/>
        <v>0</v>
      </c>
      <c r="I2970" s="134">
        <f t="shared" si="139"/>
        <v>107113</v>
      </c>
      <c r="J2970" s="134">
        <f t="shared" si="138"/>
        <v>-107113</v>
      </c>
      <c r="K2970" s="135"/>
      <c r="L2970" s="148" t="str">
        <f t="shared" si="137"/>
        <v>دائن</v>
      </c>
      <c r="M2970" s="137" t="str">
        <f>IF(ISERROR(VLOOKUP(C2970,'[1]خريطة الحسابات'!_xlnm.Print_Area,4,FALSE))," ",(VLOOKUP(C2970,'[1]خريطة الحسابات'!_xlnm.Print_Area,4,FALSE)))</f>
        <v>عملاء</v>
      </c>
      <c r="N2970" s="138" t="str">
        <f>IF(ISERROR(VLOOKUP(C2970,'[1]خريطة الحسابات'!_xlnm.Print_Area,5,FALSE))," ",(VLOOKUP(C2970,'[1]خريطة الحسابات'!_xlnm.Print_Area,5,FALSE)))</f>
        <v>المدينون والأرصدة المدينة الأخرى</v>
      </c>
      <c r="O2970" s="84" t="s">
        <v>2605</v>
      </c>
      <c r="P2970" s="84" t="s">
        <v>2606</v>
      </c>
    </row>
    <row r="2971" spans="1:16">
      <c r="A2971" s="151">
        <v>90</v>
      </c>
      <c r="B2971" s="131">
        <v>46068</v>
      </c>
      <c r="C2971" s="150" t="s">
        <v>985</v>
      </c>
      <c r="D2971" s="140" t="str">
        <f>IF(ISERROR(VLOOKUP(C2971,'[1]خريطة الحسابات'!_xlnm.Print_Area,3,FALSE))," ",(VLOOKUP(C2971,'[1]خريطة الحسابات'!_xlnm.Print_Area,3,FALSE)))</f>
        <v>عميل عمرو العبور 336</v>
      </c>
      <c r="E2971" s="142"/>
      <c r="F2971" s="133"/>
      <c r="G2971" s="133">
        <v>15800</v>
      </c>
      <c r="H2971" s="134">
        <f t="shared" si="139"/>
        <v>0</v>
      </c>
      <c r="I2971" s="134">
        <f t="shared" si="139"/>
        <v>15800</v>
      </c>
      <c r="J2971" s="134">
        <f t="shared" si="138"/>
        <v>-15800</v>
      </c>
      <c r="K2971" s="135"/>
      <c r="L2971" s="148" t="str">
        <f t="shared" ref="L2971:L3034" si="140">IF(J2971&lt;0,"دائن",IF(J2971&gt;0,"مدين",""))</f>
        <v>دائن</v>
      </c>
      <c r="M2971" s="137" t="str">
        <f>IF(ISERROR(VLOOKUP(C2971,'[1]خريطة الحسابات'!_xlnm.Print_Area,4,FALSE))," ",(VLOOKUP(C2971,'[1]خريطة الحسابات'!_xlnm.Print_Area,4,FALSE)))</f>
        <v>عملاء</v>
      </c>
      <c r="N2971" s="138" t="str">
        <f>IF(ISERROR(VLOOKUP(C2971,'[1]خريطة الحسابات'!_xlnm.Print_Area,5,FALSE))," ",(VLOOKUP(C2971,'[1]خريطة الحسابات'!_xlnm.Print_Area,5,FALSE)))</f>
        <v>المدينون والأرصدة المدينة الأخرى</v>
      </c>
      <c r="O2971" s="84" t="s">
        <v>2607</v>
      </c>
      <c r="P2971" s="84" t="s">
        <v>1297</v>
      </c>
    </row>
    <row r="2972" spans="1:16">
      <c r="A2972" s="151">
        <v>90</v>
      </c>
      <c r="B2972" s="131">
        <v>46109</v>
      </c>
      <c r="C2972" s="150" t="s">
        <v>985</v>
      </c>
      <c r="D2972" s="140" t="str">
        <f>IF(ISERROR(VLOOKUP(C2972,'[1]خريطة الحسابات'!_xlnm.Print_Area,3,FALSE))," ",(VLOOKUP(C2972,'[1]خريطة الحسابات'!_xlnm.Print_Area,3,FALSE)))</f>
        <v>عميل عمرو العبور 336</v>
      </c>
      <c r="E2972" s="142"/>
      <c r="F2972" s="133"/>
      <c r="G2972" s="133">
        <v>50000</v>
      </c>
      <c r="H2972" s="134">
        <f t="shared" si="139"/>
        <v>0</v>
      </c>
      <c r="I2972" s="134">
        <f t="shared" si="139"/>
        <v>50000</v>
      </c>
      <c r="J2972" s="134">
        <f t="shared" si="138"/>
        <v>-50000</v>
      </c>
      <c r="K2972" s="135"/>
      <c r="L2972" s="148" t="str">
        <f t="shared" si="140"/>
        <v>دائن</v>
      </c>
      <c r="M2972" s="137" t="str">
        <f>IF(ISERROR(VLOOKUP(C2972,'[1]خريطة الحسابات'!_xlnm.Print_Area,4,FALSE))," ",(VLOOKUP(C2972,'[1]خريطة الحسابات'!_xlnm.Print_Area,4,FALSE)))</f>
        <v>عملاء</v>
      </c>
      <c r="N2972" s="138" t="str">
        <f>IF(ISERROR(VLOOKUP(C2972,'[1]خريطة الحسابات'!_xlnm.Print_Area,5,FALSE))," ",(VLOOKUP(C2972,'[1]خريطة الحسابات'!_xlnm.Print_Area,5,FALSE)))</f>
        <v>المدينون والأرصدة المدينة الأخرى</v>
      </c>
      <c r="O2972" s="84" t="s">
        <v>2608</v>
      </c>
      <c r="P2972" s="84" t="s">
        <v>1297</v>
      </c>
    </row>
    <row r="2973" spans="1:16">
      <c r="A2973" s="151">
        <v>90</v>
      </c>
      <c r="B2973" s="131">
        <v>46176</v>
      </c>
      <c r="C2973" s="150" t="s">
        <v>985</v>
      </c>
      <c r="D2973" s="140" t="str">
        <f>IF(ISERROR(VLOOKUP(C2973,'[1]خريطة الحسابات'!_xlnm.Print_Area,3,FALSE))," ",(VLOOKUP(C2973,'[1]خريطة الحسابات'!_xlnm.Print_Area,3,FALSE)))</f>
        <v>عميل عمرو العبور 336</v>
      </c>
      <c r="E2973" s="142"/>
      <c r="F2973" s="133"/>
      <c r="G2973" s="133">
        <v>36145</v>
      </c>
      <c r="H2973" s="134">
        <f t="shared" si="139"/>
        <v>0</v>
      </c>
      <c r="I2973" s="134">
        <f t="shared" si="139"/>
        <v>36145</v>
      </c>
      <c r="J2973" s="134">
        <f t="shared" si="138"/>
        <v>-36145</v>
      </c>
      <c r="K2973" s="135"/>
      <c r="L2973" s="148" t="str">
        <f t="shared" si="140"/>
        <v>دائن</v>
      </c>
      <c r="M2973" s="137" t="str">
        <f>IF(ISERROR(VLOOKUP(C2973,'[1]خريطة الحسابات'!_xlnm.Print_Area,4,FALSE))," ",(VLOOKUP(C2973,'[1]خريطة الحسابات'!_xlnm.Print_Area,4,FALSE)))</f>
        <v>عملاء</v>
      </c>
      <c r="N2973" s="138" t="str">
        <f>IF(ISERROR(VLOOKUP(C2973,'[1]خريطة الحسابات'!_xlnm.Print_Area,5,FALSE))," ",(VLOOKUP(C2973,'[1]خريطة الحسابات'!_xlnm.Print_Area,5,FALSE)))</f>
        <v>المدينون والأرصدة المدينة الأخرى</v>
      </c>
      <c r="O2973" s="84" t="s">
        <v>2609</v>
      </c>
      <c r="P2973" s="84" t="s">
        <v>1297</v>
      </c>
    </row>
    <row r="2974" spans="1:16">
      <c r="A2974" s="151">
        <v>90</v>
      </c>
      <c r="B2974" s="131">
        <v>46041</v>
      </c>
      <c r="C2974" s="150" t="s">
        <v>1017</v>
      </c>
      <c r="D2974" s="140" t="str">
        <f>IF(ISERROR(VLOOKUP(C2974,'[1]خريطة الحسابات'!_xlnm.Print_Area,3,FALSE))," ",(VLOOKUP(C2974,'[1]خريطة الحسابات'!_xlnm.Print_Area,3,FALSE)))</f>
        <v>عميل كناريا 273</v>
      </c>
      <c r="E2974" s="142"/>
      <c r="F2974" s="133"/>
      <c r="G2974" s="133">
        <v>45000</v>
      </c>
      <c r="H2974" s="134">
        <f t="shared" si="139"/>
        <v>0</v>
      </c>
      <c r="I2974" s="134">
        <f t="shared" si="139"/>
        <v>45000</v>
      </c>
      <c r="J2974" s="134">
        <f t="shared" si="138"/>
        <v>-45000</v>
      </c>
      <c r="K2974" s="135"/>
      <c r="L2974" s="148" t="str">
        <f t="shared" si="140"/>
        <v>دائن</v>
      </c>
      <c r="M2974" s="137" t="str">
        <f>IF(ISERROR(VLOOKUP(C2974,'[1]خريطة الحسابات'!_xlnm.Print_Area,4,FALSE))," ",(VLOOKUP(C2974,'[1]خريطة الحسابات'!_xlnm.Print_Area,4,FALSE)))</f>
        <v>عملاء</v>
      </c>
      <c r="N2974" s="138" t="str">
        <f>IF(ISERROR(VLOOKUP(C2974,'[1]خريطة الحسابات'!_xlnm.Print_Area,5,FALSE))," ",(VLOOKUP(C2974,'[1]خريطة الحسابات'!_xlnm.Print_Area,5,FALSE)))</f>
        <v>المدينون والأرصدة المدينة الأخرى</v>
      </c>
      <c r="O2974" s="84" t="s">
        <v>2610</v>
      </c>
      <c r="P2974" s="84" t="s">
        <v>1405</v>
      </c>
    </row>
    <row r="2975" spans="1:16">
      <c r="A2975" s="151">
        <v>90</v>
      </c>
      <c r="B2975" s="131">
        <v>46036</v>
      </c>
      <c r="C2975" s="150" t="s">
        <v>1015</v>
      </c>
      <c r="D2975" s="140" t="str">
        <f>IF(ISERROR(VLOOKUP(C2975,'[1]خريطة الحسابات'!_xlnm.Print_Area,3,FALSE))," ",(VLOOKUP(C2975,'[1]خريطة الحسابات'!_xlnm.Print_Area,3,FALSE)))</f>
        <v>عميل شفيق مدينتي 350</v>
      </c>
      <c r="E2975" s="142"/>
      <c r="F2975" s="133"/>
      <c r="G2975" s="133">
        <v>28500</v>
      </c>
      <c r="H2975" s="134">
        <f t="shared" si="139"/>
        <v>0</v>
      </c>
      <c r="I2975" s="134">
        <f t="shared" si="139"/>
        <v>28500</v>
      </c>
      <c r="J2975" s="134">
        <f t="shared" si="138"/>
        <v>-28500</v>
      </c>
      <c r="K2975" s="135"/>
      <c r="L2975" s="148" t="str">
        <f t="shared" si="140"/>
        <v>دائن</v>
      </c>
      <c r="M2975" s="137" t="str">
        <f>IF(ISERROR(VLOOKUP(C2975,'[1]خريطة الحسابات'!_xlnm.Print_Area,4,FALSE))," ",(VLOOKUP(C2975,'[1]خريطة الحسابات'!_xlnm.Print_Area,4,FALSE)))</f>
        <v>عملاء</v>
      </c>
      <c r="N2975" s="138" t="str">
        <f>IF(ISERROR(VLOOKUP(C2975,'[1]خريطة الحسابات'!_xlnm.Print_Area,5,FALSE))," ",(VLOOKUP(C2975,'[1]خريطة الحسابات'!_xlnm.Print_Area,5,FALSE)))</f>
        <v>المدينون والأرصدة المدينة الأخرى</v>
      </c>
      <c r="O2975" s="84" t="s">
        <v>2611</v>
      </c>
      <c r="P2975" s="84" t="s">
        <v>1325</v>
      </c>
    </row>
    <row r="2976" spans="1:16">
      <c r="A2976" s="151">
        <v>90</v>
      </c>
      <c r="B2976" s="131">
        <v>46039</v>
      </c>
      <c r="C2976" s="150" t="s">
        <v>1015</v>
      </c>
      <c r="D2976" s="140" t="str">
        <f>IF(ISERROR(VLOOKUP(C2976,'[1]خريطة الحسابات'!_xlnm.Print_Area,3,FALSE))," ",(VLOOKUP(C2976,'[1]خريطة الحسابات'!_xlnm.Print_Area,3,FALSE)))</f>
        <v>عميل شفيق مدينتي 350</v>
      </c>
      <c r="E2976" s="142"/>
      <c r="F2976" s="133"/>
      <c r="G2976" s="133">
        <v>50000</v>
      </c>
      <c r="H2976" s="134">
        <f t="shared" si="139"/>
        <v>0</v>
      </c>
      <c r="I2976" s="134">
        <f t="shared" si="139"/>
        <v>50000</v>
      </c>
      <c r="J2976" s="134">
        <f t="shared" si="138"/>
        <v>-50000</v>
      </c>
      <c r="K2976" s="135"/>
      <c r="L2976" s="148" t="str">
        <f t="shared" si="140"/>
        <v>دائن</v>
      </c>
      <c r="M2976" s="137" t="str">
        <f>IF(ISERROR(VLOOKUP(C2976,'[1]خريطة الحسابات'!_xlnm.Print_Area,4,FALSE))," ",(VLOOKUP(C2976,'[1]خريطة الحسابات'!_xlnm.Print_Area,4,FALSE)))</f>
        <v>عملاء</v>
      </c>
      <c r="N2976" s="138" t="str">
        <f>IF(ISERROR(VLOOKUP(C2976,'[1]خريطة الحسابات'!_xlnm.Print_Area,5,FALSE))," ",(VLOOKUP(C2976,'[1]خريطة الحسابات'!_xlnm.Print_Area,5,FALSE)))</f>
        <v>المدينون والأرصدة المدينة الأخرى</v>
      </c>
      <c r="O2976" s="84" t="s">
        <v>2612</v>
      </c>
      <c r="P2976" s="84" t="s">
        <v>1325</v>
      </c>
    </row>
    <row r="2977" spans="1:16">
      <c r="A2977" s="151">
        <v>90</v>
      </c>
      <c r="B2977" s="131">
        <v>46044</v>
      </c>
      <c r="C2977" s="150" t="s">
        <v>1015</v>
      </c>
      <c r="D2977" s="140" t="str">
        <f>IF(ISERROR(VLOOKUP(C2977,'[1]خريطة الحسابات'!_xlnm.Print_Area,3,FALSE))," ",(VLOOKUP(C2977,'[1]خريطة الحسابات'!_xlnm.Print_Area,3,FALSE)))</f>
        <v>عميل شفيق مدينتي 350</v>
      </c>
      <c r="E2977" s="142"/>
      <c r="F2977" s="133"/>
      <c r="G2977" s="133">
        <v>40000</v>
      </c>
      <c r="H2977" s="134">
        <f t="shared" si="139"/>
        <v>0</v>
      </c>
      <c r="I2977" s="134">
        <f t="shared" si="139"/>
        <v>40000</v>
      </c>
      <c r="J2977" s="134">
        <f t="shared" si="138"/>
        <v>-40000</v>
      </c>
      <c r="K2977" s="135"/>
      <c r="L2977" s="148" t="str">
        <f t="shared" si="140"/>
        <v>دائن</v>
      </c>
      <c r="M2977" s="137" t="str">
        <f>IF(ISERROR(VLOOKUP(C2977,'[1]خريطة الحسابات'!_xlnm.Print_Area,4,FALSE))," ",(VLOOKUP(C2977,'[1]خريطة الحسابات'!_xlnm.Print_Area,4,FALSE)))</f>
        <v>عملاء</v>
      </c>
      <c r="N2977" s="138" t="str">
        <f>IF(ISERROR(VLOOKUP(C2977,'[1]خريطة الحسابات'!_xlnm.Print_Area,5,FALSE))," ",(VLOOKUP(C2977,'[1]خريطة الحسابات'!_xlnm.Print_Area,5,FALSE)))</f>
        <v>المدينون والأرصدة المدينة الأخرى</v>
      </c>
      <c r="O2977" s="84" t="s">
        <v>2613</v>
      </c>
      <c r="P2977" s="84" t="s">
        <v>1325</v>
      </c>
    </row>
    <row r="2978" spans="1:16">
      <c r="A2978" s="151">
        <v>90</v>
      </c>
      <c r="B2978" s="131">
        <v>46048</v>
      </c>
      <c r="C2978" s="150" t="s">
        <v>1015</v>
      </c>
      <c r="D2978" s="140" t="str">
        <f>IF(ISERROR(VLOOKUP(C2978,'[1]خريطة الحسابات'!_xlnm.Print_Area,3,FALSE))," ",(VLOOKUP(C2978,'[1]خريطة الحسابات'!_xlnm.Print_Area,3,FALSE)))</f>
        <v>عميل شفيق مدينتي 350</v>
      </c>
      <c r="E2978" s="142"/>
      <c r="F2978" s="133"/>
      <c r="G2978" s="133">
        <v>23000</v>
      </c>
      <c r="H2978" s="134">
        <f t="shared" si="139"/>
        <v>0</v>
      </c>
      <c r="I2978" s="134">
        <f t="shared" si="139"/>
        <v>23000</v>
      </c>
      <c r="J2978" s="134">
        <f t="shared" si="138"/>
        <v>-23000</v>
      </c>
      <c r="K2978" s="135"/>
      <c r="L2978" s="148" t="str">
        <f t="shared" si="140"/>
        <v>دائن</v>
      </c>
      <c r="M2978" s="137" t="str">
        <f>IF(ISERROR(VLOOKUP(C2978,'[1]خريطة الحسابات'!_xlnm.Print_Area,4,FALSE))," ",(VLOOKUP(C2978,'[1]خريطة الحسابات'!_xlnm.Print_Area,4,FALSE)))</f>
        <v>عملاء</v>
      </c>
      <c r="N2978" s="138" t="str">
        <f>IF(ISERROR(VLOOKUP(C2978,'[1]خريطة الحسابات'!_xlnm.Print_Area,5,FALSE))," ",(VLOOKUP(C2978,'[1]خريطة الحسابات'!_xlnm.Print_Area,5,FALSE)))</f>
        <v>المدينون والأرصدة المدينة الأخرى</v>
      </c>
      <c r="O2978" s="84" t="s">
        <v>2612</v>
      </c>
      <c r="P2978" s="84" t="s">
        <v>1325</v>
      </c>
    </row>
    <row r="2979" spans="1:16">
      <c r="A2979" s="151">
        <v>90</v>
      </c>
      <c r="B2979" s="131">
        <v>46049</v>
      </c>
      <c r="C2979" s="150" t="s">
        <v>1015</v>
      </c>
      <c r="D2979" s="140" t="str">
        <f>IF(ISERROR(VLOOKUP(C2979,'[1]خريطة الحسابات'!_xlnm.Print_Area,3,FALSE))," ",(VLOOKUP(C2979,'[1]خريطة الحسابات'!_xlnm.Print_Area,3,FALSE)))</f>
        <v>عميل شفيق مدينتي 350</v>
      </c>
      <c r="E2979" s="142"/>
      <c r="F2979" s="133"/>
      <c r="G2979" s="133">
        <v>25000</v>
      </c>
      <c r="H2979" s="134">
        <f t="shared" si="139"/>
        <v>0</v>
      </c>
      <c r="I2979" s="134">
        <f t="shared" si="139"/>
        <v>25000</v>
      </c>
      <c r="J2979" s="134">
        <f t="shared" si="138"/>
        <v>-25000</v>
      </c>
      <c r="K2979" s="135"/>
      <c r="L2979" s="148" t="str">
        <f t="shared" si="140"/>
        <v>دائن</v>
      </c>
      <c r="M2979" s="137" t="str">
        <f>IF(ISERROR(VLOOKUP(C2979,'[1]خريطة الحسابات'!_xlnm.Print_Area,4,FALSE))," ",(VLOOKUP(C2979,'[1]خريطة الحسابات'!_xlnm.Print_Area,4,FALSE)))</f>
        <v>عملاء</v>
      </c>
      <c r="N2979" s="138" t="str">
        <f>IF(ISERROR(VLOOKUP(C2979,'[1]خريطة الحسابات'!_xlnm.Print_Area,5,FALSE))," ",(VLOOKUP(C2979,'[1]خريطة الحسابات'!_xlnm.Print_Area,5,FALSE)))</f>
        <v>المدينون والأرصدة المدينة الأخرى</v>
      </c>
      <c r="O2979" s="84" t="s">
        <v>2612</v>
      </c>
      <c r="P2979" s="84" t="s">
        <v>1325</v>
      </c>
    </row>
    <row r="2980" spans="1:16">
      <c r="A2980" s="151">
        <v>90</v>
      </c>
      <c r="B2980" s="131">
        <v>46050</v>
      </c>
      <c r="C2980" s="150" t="s">
        <v>1015</v>
      </c>
      <c r="D2980" s="140" t="str">
        <f>IF(ISERROR(VLOOKUP(C2980,'[1]خريطة الحسابات'!_xlnm.Print_Area,3,FALSE))," ",(VLOOKUP(C2980,'[1]خريطة الحسابات'!_xlnm.Print_Area,3,FALSE)))</f>
        <v>عميل شفيق مدينتي 350</v>
      </c>
      <c r="E2980" s="142"/>
      <c r="F2980" s="133"/>
      <c r="G2980" s="133">
        <v>7000</v>
      </c>
      <c r="H2980" s="134">
        <f t="shared" si="139"/>
        <v>0</v>
      </c>
      <c r="I2980" s="134">
        <f t="shared" si="139"/>
        <v>7000</v>
      </c>
      <c r="J2980" s="134">
        <f t="shared" si="138"/>
        <v>-7000</v>
      </c>
      <c r="K2980" s="135"/>
      <c r="L2980" s="148" t="str">
        <f t="shared" si="140"/>
        <v>دائن</v>
      </c>
      <c r="M2980" s="137" t="str">
        <f>IF(ISERROR(VLOOKUP(C2980,'[1]خريطة الحسابات'!_xlnm.Print_Area,4,FALSE))," ",(VLOOKUP(C2980,'[1]خريطة الحسابات'!_xlnm.Print_Area,4,FALSE)))</f>
        <v>عملاء</v>
      </c>
      <c r="N2980" s="138" t="str">
        <f>IF(ISERROR(VLOOKUP(C2980,'[1]خريطة الحسابات'!_xlnm.Print_Area,5,FALSE))," ",(VLOOKUP(C2980,'[1]خريطة الحسابات'!_xlnm.Print_Area,5,FALSE)))</f>
        <v>المدينون والأرصدة المدينة الأخرى</v>
      </c>
      <c r="O2980" s="84" t="s">
        <v>2612</v>
      </c>
      <c r="P2980" s="84" t="s">
        <v>1325</v>
      </c>
    </row>
    <row r="2981" spans="1:16">
      <c r="A2981" s="151">
        <v>90</v>
      </c>
      <c r="B2981" s="131">
        <v>46082</v>
      </c>
      <c r="C2981" s="150" t="s">
        <v>1015</v>
      </c>
      <c r="D2981" s="140" t="str">
        <f>IF(ISERROR(VLOOKUP(C2981,'[1]خريطة الحسابات'!_xlnm.Print_Area,3,FALSE))," ",(VLOOKUP(C2981,'[1]خريطة الحسابات'!_xlnm.Print_Area,3,FALSE)))</f>
        <v>عميل شفيق مدينتي 350</v>
      </c>
      <c r="E2981" s="142"/>
      <c r="F2981" s="133"/>
      <c r="G2981" s="133">
        <v>60000</v>
      </c>
      <c r="H2981" s="134">
        <f t="shared" si="139"/>
        <v>0</v>
      </c>
      <c r="I2981" s="134">
        <f t="shared" si="139"/>
        <v>60000</v>
      </c>
      <c r="J2981" s="134">
        <f t="shared" si="138"/>
        <v>-60000</v>
      </c>
      <c r="K2981" s="135"/>
      <c r="L2981" s="148" t="str">
        <f t="shared" si="140"/>
        <v>دائن</v>
      </c>
      <c r="M2981" s="137" t="str">
        <f>IF(ISERROR(VLOOKUP(C2981,'[1]خريطة الحسابات'!_xlnm.Print_Area,4,FALSE))," ",(VLOOKUP(C2981,'[1]خريطة الحسابات'!_xlnm.Print_Area,4,FALSE)))</f>
        <v>عملاء</v>
      </c>
      <c r="N2981" s="138" t="str">
        <f>IF(ISERROR(VLOOKUP(C2981,'[1]خريطة الحسابات'!_xlnm.Print_Area,5,FALSE))," ",(VLOOKUP(C2981,'[1]خريطة الحسابات'!_xlnm.Print_Area,5,FALSE)))</f>
        <v>المدينون والأرصدة المدينة الأخرى</v>
      </c>
      <c r="O2981" s="84" t="s">
        <v>2614</v>
      </c>
      <c r="P2981" s="84" t="s">
        <v>1325</v>
      </c>
    </row>
    <row r="2982" spans="1:16">
      <c r="A2982" s="151">
        <v>90</v>
      </c>
      <c r="B2982" s="131">
        <v>46139</v>
      </c>
      <c r="C2982" s="150">
        <v>6031</v>
      </c>
      <c r="D2982" s="140" t="str">
        <f>IF(ISERROR(VLOOKUP(C2982,'[1]خريطة الحسابات'!_xlnm.Print_Area,3,FALSE))," ",(VLOOKUP(C2982,'[1]خريطة الحسابات'!_xlnm.Print_Area,3,FALSE)))</f>
        <v>عميل مشروع خاص هليوبوليس م ايه واحمد الميري</v>
      </c>
      <c r="E2982" s="142"/>
      <c r="F2982" s="133"/>
      <c r="G2982" s="133">
        <v>250000</v>
      </c>
      <c r="H2982" s="134">
        <f t="shared" si="139"/>
        <v>0</v>
      </c>
      <c r="I2982" s="134">
        <f t="shared" si="139"/>
        <v>250000</v>
      </c>
      <c r="J2982" s="134">
        <f t="shared" si="138"/>
        <v>-250000</v>
      </c>
      <c r="K2982" s="135"/>
      <c r="L2982" s="148" t="str">
        <f t="shared" si="140"/>
        <v>دائن</v>
      </c>
      <c r="M2982" s="137" t="str">
        <f>IF(ISERROR(VLOOKUP(C2982,'[1]خريطة الحسابات'!_xlnm.Print_Area,4,FALSE))," ",(VLOOKUP(C2982,'[1]خريطة الحسابات'!_xlnm.Print_Area,4,FALSE)))</f>
        <v>عملاء</v>
      </c>
      <c r="N2982" s="138" t="str">
        <f>IF(ISERROR(VLOOKUP(C2982,'[1]خريطة الحسابات'!_xlnm.Print_Area,5,FALSE))," ",(VLOOKUP(C2982,'[1]خريطة الحسابات'!_xlnm.Print_Area,5,FALSE)))</f>
        <v>المدينون والأرصدة المدينة الأخرى</v>
      </c>
      <c r="O2982" s="84" t="s">
        <v>2615</v>
      </c>
      <c r="P2982" s="84" t="s">
        <v>2476</v>
      </c>
    </row>
    <row r="2983" spans="1:16">
      <c r="A2983" s="151">
        <v>90</v>
      </c>
      <c r="B2983" s="131">
        <v>46092</v>
      </c>
      <c r="C2983" s="150" t="s">
        <v>991</v>
      </c>
      <c r="D2983" s="140" t="str">
        <f>IF(ISERROR(VLOOKUP(C2983,'[1]خريطة الحسابات'!_xlnm.Print_Area,3,FALSE))," ",(VLOOKUP(C2983,'[1]خريطة الحسابات'!_xlnm.Print_Area,3,FALSE)))</f>
        <v>عميل احمد معادي ديونز 318</v>
      </c>
      <c r="E2983" s="142"/>
      <c r="F2983" s="133"/>
      <c r="G2983" s="133">
        <v>241115</v>
      </c>
      <c r="H2983" s="134">
        <f t="shared" si="139"/>
        <v>0</v>
      </c>
      <c r="I2983" s="134">
        <f t="shared" si="139"/>
        <v>241115</v>
      </c>
      <c r="J2983" s="134">
        <f t="shared" si="138"/>
        <v>-241115</v>
      </c>
      <c r="K2983" s="135"/>
      <c r="L2983" s="148" t="str">
        <f t="shared" si="140"/>
        <v>دائن</v>
      </c>
      <c r="M2983" s="137" t="str">
        <f>IF(ISERROR(VLOOKUP(C2983,'[1]خريطة الحسابات'!_xlnm.Print_Area,4,FALSE))," ",(VLOOKUP(C2983,'[1]خريطة الحسابات'!_xlnm.Print_Area,4,FALSE)))</f>
        <v>عملاء</v>
      </c>
      <c r="N2983" s="138" t="str">
        <f>IF(ISERROR(VLOOKUP(C2983,'[1]خريطة الحسابات'!_xlnm.Print_Area,5,FALSE))," ",(VLOOKUP(C2983,'[1]خريطة الحسابات'!_xlnm.Print_Area,5,FALSE)))</f>
        <v>المدينون والأرصدة المدينة الأخرى</v>
      </c>
      <c r="O2983" s="84" t="s">
        <v>2616</v>
      </c>
      <c r="P2983" s="84" t="s">
        <v>1383</v>
      </c>
    </row>
    <row r="2984" spans="1:16">
      <c r="A2984" s="151">
        <v>90</v>
      </c>
      <c r="B2984" s="131">
        <v>46126</v>
      </c>
      <c r="C2984" s="150" t="s">
        <v>991</v>
      </c>
      <c r="D2984" s="140" t="str">
        <f>IF(ISERROR(VLOOKUP(C2984,'[1]خريطة الحسابات'!_xlnm.Print_Area,3,FALSE))," ",(VLOOKUP(C2984,'[1]خريطة الحسابات'!_xlnm.Print_Area,3,FALSE)))</f>
        <v>عميل احمد معادي ديونز 318</v>
      </c>
      <c r="E2984" s="142"/>
      <c r="F2984" s="133"/>
      <c r="G2984" s="133">
        <v>227110</v>
      </c>
      <c r="H2984" s="134">
        <f t="shared" si="139"/>
        <v>0</v>
      </c>
      <c r="I2984" s="134">
        <f t="shared" si="139"/>
        <v>227110</v>
      </c>
      <c r="J2984" s="134">
        <f t="shared" si="138"/>
        <v>-227110</v>
      </c>
      <c r="K2984" s="135"/>
      <c r="L2984" s="148" t="str">
        <f t="shared" si="140"/>
        <v>دائن</v>
      </c>
      <c r="M2984" s="137" t="str">
        <f>IF(ISERROR(VLOOKUP(C2984,'[1]خريطة الحسابات'!_xlnm.Print_Area,4,FALSE))," ",(VLOOKUP(C2984,'[1]خريطة الحسابات'!_xlnm.Print_Area,4,FALSE)))</f>
        <v>عملاء</v>
      </c>
      <c r="N2984" s="138" t="str">
        <f>IF(ISERROR(VLOOKUP(C2984,'[1]خريطة الحسابات'!_xlnm.Print_Area,5,FALSE))," ",(VLOOKUP(C2984,'[1]خريطة الحسابات'!_xlnm.Print_Area,5,FALSE)))</f>
        <v>المدينون والأرصدة المدينة الأخرى</v>
      </c>
      <c r="O2984" s="84" t="s">
        <v>2617</v>
      </c>
      <c r="P2984" s="84" t="s">
        <v>1383</v>
      </c>
    </row>
    <row r="2985" spans="1:16">
      <c r="A2985" s="151">
        <v>90</v>
      </c>
      <c r="B2985" s="131">
        <v>46158</v>
      </c>
      <c r="C2985" s="150" t="s">
        <v>991</v>
      </c>
      <c r="D2985" s="140" t="str">
        <f>IF(ISERROR(VLOOKUP(C2985,'[1]خريطة الحسابات'!_xlnm.Print_Area,3,FALSE))," ",(VLOOKUP(C2985,'[1]خريطة الحسابات'!_xlnm.Print_Area,3,FALSE)))</f>
        <v>عميل احمد معادي ديونز 318</v>
      </c>
      <c r="E2985" s="142"/>
      <c r="F2985" s="133"/>
      <c r="G2985" s="133">
        <v>83186</v>
      </c>
      <c r="H2985" s="134">
        <f t="shared" si="139"/>
        <v>0</v>
      </c>
      <c r="I2985" s="134">
        <f t="shared" si="139"/>
        <v>83186</v>
      </c>
      <c r="J2985" s="134">
        <f t="shared" si="138"/>
        <v>-83186</v>
      </c>
      <c r="K2985" s="135"/>
      <c r="L2985" s="148" t="str">
        <f t="shared" si="140"/>
        <v>دائن</v>
      </c>
      <c r="M2985" s="137" t="str">
        <f>IF(ISERROR(VLOOKUP(C2985,'[1]خريطة الحسابات'!_xlnm.Print_Area,4,FALSE))," ",(VLOOKUP(C2985,'[1]خريطة الحسابات'!_xlnm.Print_Area,4,FALSE)))</f>
        <v>عملاء</v>
      </c>
      <c r="N2985" s="138" t="str">
        <f>IF(ISERROR(VLOOKUP(C2985,'[1]خريطة الحسابات'!_xlnm.Print_Area,5,FALSE))," ",(VLOOKUP(C2985,'[1]خريطة الحسابات'!_xlnm.Print_Area,5,FALSE)))</f>
        <v>المدينون والأرصدة المدينة الأخرى</v>
      </c>
      <c r="O2985" s="84" t="s">
        <v>2618</v>
      </c>
      <c r="P2985" s="84" t="s">
        <v>1383</v>
      </c>
    </row>
    <row r="2986" spans="1:16">
      <c r="A2986" s="151">
        <v>90</v>
      </c>
      <c r="B2986" s="131">
        <v>46117</v>
      </c>
      <c r="C2986" s="150" t="s">
        <v>1020</v>
      </c>
      <c r="D2986" s="140" t="str">
        <f>IF(ISERROR(VLOOKUP(C2986,'[1]خريطة الحسابات'!_xlnm.Print_Area,3,FALSE))," ",(VLOOKUP(C2986,'[1]خريطة الحسابات'!_xlnm.Print_Area,3,FALSE)))</f>
        <v>عميل مشروع المعادي فيو 287</v>
      </c>
      <c r="E2986" s="142"/>
      <c r="F2986" s="133"/>
      <c r="G2986" s="133">
        <v>50000</v>
      </c>
      <c r="H2986" s="134">
        <f t="shared" si="139"/>
        <v>0</v>
      </c>
      <c r="I2986" s="134">
        <f t="shared" si="139"/>
        <v>50000</v>
      </c>
      <c r="J2986" s="134">
        <f t="shared" si="138"/>
        <v>-50000</v>
      </c>
      <c r="K2986" s="135"/>
      <c r="L2986" s="148" t="str">
        <f t="shared" si="140"/>
        <v>دائن</v>
      </c>
      <c r="M2986" s="137" t="str">
        <f>IF(ISERROR(VLOOKUP(C2986,'[1]خريطة الحسابات'!_xlnm.Print_Area,4,FALSE))," ",(VLOOKUP(C2986,'[1]خريطة الحسابات'!_xlnm.Print_Area,4,FALSE)))</f>
        <v>عملاء</v>
      </c>
      <c r="N2986" s="138" t="str">
        <f>IF(ISERROR(VLOOKUP(C2986,'[1]خريطة الحسابات'!_xlnm.Print_Area,5,FALSE))," ",(VLOOKUP(C2986,'[1]خريطة الحسابات'!_xlnm.Print_Area,5,FALSE)))</f>
        <v>المدينون والأرصدة المدينة الأخرى</v>
      </c>
      <c r="O2986" s="84" t="s">
        <v>2619</v>
      </c>
      <c r="P2986" s="84" t="s">
        <v>1415</v>
      </c>
    </row>
    <row r="2987" spans="1:16">
      <c r="A2987" s="151">
        <v>90</v>
      </c>
      <c r="B2987" s="131">
        <v>46055</v>
      </c>
      <c r="C2987" s="150">
        <v>6033</v>
      </c>
      <c r="D2987" s="140" t="str">
        <f>IF(ISERROR(VLOOKUP(C2987,'[1]خريطة الحسابات'!_xlnm.Print_Area,3,FALSE))," ",(VLOOKUP(C2987,'[1]خريطة الحسابات'!_xlnm.Print_Area,3,FALSE)))</f>
        <v xml:space="preserve">عميل نيو جيزة </v>
      </c>
      <c r="E2987" s="142"/>
      <c r="F2987" s="133"/>
      <c r="G2987" s="133">
        <v>100000</v>
      </c>
      <c r="H2987" s="134">
        <f t="shared" si="139"/>
        <v>0</v>
      </c>
      <c r="I2987" s="134">
        <f t="shared" si="139"/>
        <v>100000</v>
      </c>
      <c r="J2987" s="134">
        <f t="shared" si="138"/>
        <v>-100000</v>
      </c>
      <c r="K2987" s="135"/>
      <c r="L2987" s="148" t="str">
        <f t="shared" si="140"/>
        <v>دائن</v>
      </c>
      <c r="M2987" s="137" t="str">
        <f>IF(ISERROR(VLOOKUP(C2987,'[1]خريطة الحسابات'!_xlnm.Print_Area,4,FALSE))," ",(VLOOKUP(C2987,'[1]خريطة الحسابات'!_xlnm.Print_Area,4,FALSE)))</f>
        <v>عملاء</v>
      </c>
      <c r="N2987" s="138" t="str">
        <f>IF(ISERROR(VLOOKUP(C2987,'[1]خريطة الحسابات'!_xlnm.Print_Area,5,FALSE))," ",(VLOOKUP(C2987,'[1]خريطة الحسابات'!_xlnm.Print_Area,5,FALSE)))</f>
        <v>المدينون والأرصدة المدينة الأخرى</v>
      </c>
      <c r="O2987" s="84" t="s">
        <v>2620</v>
      </c>
      <c r="P2987" s="84" t="s">
        <v>1538</v>
      </c>
    </row>
    <row r="2988" spans="1:16">
      <c r="A2988" s="151">
        <v>90</v>
      </c>
      <c r="B2988" s="131">
        <v>46109</v>
      </c>
      <c r="C2988" s="150" t="s">
        <v>1003</v>
      </c>
      <c r="D2988" s="140" t="str">
        <f>IF(ISERROR(VLOOKUP(C2988,'[1]خريطة الحسابات'!_xlnm.Print_Area,3,FALSE))," ",(VLOOKUP(C2988,'[1]خريطة الحسابات'!_xlnm.Print_Area,3,FALSE)))</f>
        <v>عميل هاني العبور 365</v>
      </c>
      <c r="E2988" s="142"/>
      <c r="F2988" s="133"/>
      <c r="G2988" s="133">
        <v>150000</v>
      </c>
      <c r="H2988" s="134">
        <f t="shared" si="139"/>
        <v>0</v>
      </c>
      <c r="I2988" s="134">
        <f t="shared" si="139"/>
        <v>150000</v>
      </c>
      <c r="J2988" s="134">
        <f t="shared" si="138"/>
        <v>-150000</v>
      </c>
      <c r="K2988" s="135"/>
      <c r="L2988" s="148" t="str">
        <f t="shared" si="140"/>
        <v>دائن</v>
      </c>
      <c r="M2988" s="137" t="str">
        <f>IF(ISERROR(VLOOKUP(C2988,'[1]خريطة الحسابات'!_xlnm.Print_Area,4,FALSE))," ",(VLOOKUP(C2988,'[1]خريطة الحسابات'!_xlnm.Print_Area,4,FALSE)))</f>
        <v>عملاء</v>
      </c>
      <c r="N2988" s="138" t="str">
        <f>IF(ISERROR(VLOOKUP(C2988,'[1]خريطة الحسابات'!_xlnm.Print_Area,5,FALSE))," ",(VLOOKUP(C2988,'[1]خريطة الحسابات'!_xlnm.Print_Area,5,FALSE)))</f>
        <v>المدينون والأرصدة المدينة الأخرى</v>
      </c>
      <c r="O2988" s="84" t="s">
        <v>2621</v>
      </c>
      <c r="P2988" s="84" t="s">
        <v>1317</v>
      </c>
    </row>
    <row r="2989" spans="1:16">
      <c r="A2989" s="151">
        <v>90</v>
      </c>
      <c r="B2989" s="131">
        <v>46131</v>
      </c>
      <c r="C2989" s="150" t="s">
        <v>1003</v>
      </c>
      <c r="D2989" s="140" t="str">
        <f>IF(ISERROR(VLOOKUP(C2989,'[1]خريطة الحسابات'!_xlnm.Print_Area,3,FALSE))," ",(VLOOKUP(C2989,'[1]خريطة الحسابات'!_xlnm.Print_Area,3,FALSE)))</f>
        <v>عميل هاني العبور 365</v>
      </c>
      <c r="E2989" s="142"/>
      <c r="F2989" s="133"/>
      <c r="G2989" s="133">
        <v>366242</v>
      </c>
      <c r="H2989" s="134">
        <f t="shared" si="139"/>
        <v>0</v>
      </c>
      <c r="I2989" s="134">
        <f t="shared" si="139"/>
        <v>366242</v>
      </c>
      <c r="J2989" s="134">
        <f t="shared" si="138"/>
        <v>-366242</v>
      </c>
      <c r="K2989" s="135"/>
      <c r="L2989" s="148" t="str">
        <f t="shared" si="140"/>
        <v>دائن</v>
      </c>
      <c r="M2989" s="137" t="str">
        <f>IF(ISERROR(VLOOKUP(C2989,'[1]خريطة الحسابات'!_xlnm.Print_Area,4,FALSE))," ",(VLOOKUP(C2989,'[1]خريطة الحسابات'!_xlnm.Print_Area,4,FALSE)))</f>
        <v>عملاء</v>
      </c>
      <c r="N2989" s="138" t="str">
        <f>IF(ISERROR(VLOOKUP(C2989,'[1]خريطة الحسابات'!_xlnm.Print_Area,5,FALSE))," ",(VLOOKUP(C2989,'[1]خريطة الحسابات'!_xlnm.Print_Area,5,FALSE)))</f>
        <v>المدينون والأرصدة المدينة الأخرى</v>
      </c>
      <c r="O2989" s="84" t="s">
        <v>2621</v>
      </c>
      <c r="P2989" s="84" t="s">
        <v>1317</v>
      </c>
    </row>
    <row r="2990" spans="1:16">
      <c r="A2990" s="151">
        <v>90</v>
      </c>
      <c r="B2990" s="131">
        <v>46176</v>
      </c>
      <c r="C2990" s="150" t="s">
        <v>1003</v>
      </c>
      <c r="D2990" s="140" t="str">
        <f>IF(ISERROR(VLOOKUP(C2990,'[1]خريطة الحسابات'!_xlnm.Print_Area,3,FALSE))," ",(VLOOKUP(C2990,'[1]خريطة الحسابات'!_xlnm.Print_Area,3,FALSE)))</f>
        <v>عميل هاني العبور 365</v>
      </c>
      <c r="E2990" s="142"/>
      <c r="F2990" s="133"/>
      <c r="G2990" s="133">
        <v>308000</v>
      </c>
      <c r="H2990" s="134">
        <f t="shared" si="139"/>
        <v>0</v>
      </c>
      <c r="I2990" s="134">
        <f t="shared" si="139"/>
        <v>308000</v>
      </c>
      <c r="J2990" s="134">
        <f t="shared" si="138"/>
        <v>-308000</v>
      </c>
      <c r="K2990" s="135"/>
      <c r="L2990" s="148" t="str">
        <f t="shared" si="140"/>
        <v>دائن</v>
      </c>
      <c r="M2990" s="137" t="str">
        <f>IF(ISERROR(VLOOKUP(C2990,'[1]خريطة الحسابات'!_xlnm.Print_Area,4,FALSE))," ",(VLOOKUP(C2990,'[1]خريطة الحسابات'!_xlnm.Print_Area,4,FALSE)))</f>
        <v>عملاء</v>
      </c>
      <c r="N2990" s="138" t="str">
        <f>IF(ISERROR(VLOOKUP(C2990,'[1]خريطة الحسابات'!_xlnm.Print_Area,5,FALSE))," ",(VLOOKUP(C2990,'[1]خريطة الحسابات'!_xlnm.Print_Area,5,FALSE)))</f>
        <v>المدينون والأرصدة المدينة الأخرى</v>
      </c>
      <c r="O2990" s="84" t="s">
        <v>2622</v>
      </c>
      <c r="P2990" s="84" t="s">
        <v>1317</v>
      </c>
    </row>
    <row r="2991" spans="1:16">
      <c r="A2991" s="151">
        <v>90</v>
      </c>
      <c r="B2991" s="131">
        <v>46089</v>
      </c>
      <c r="C2991" s="150" t="s">
        <v>989</v>
      </c>
      <c r="D2991" s="140" t="str">
        <f>IF(ISERROR(VLOOKUP(C2991,'[1]خريطة الحسابات'!_xlnm.Print_Area,3,FALSE))," ",(VLOOKUP(C2991,'[1]خريطة الحسابات'!_xlnm.Print_Area,3,FALSE)))</f>
        <v>عميل هاني القرنفل 355</v>
      </c>
      <c r="E2991" s="142"/>
      <c r="F2991" s="133"/>
      <c r="G2991" s="133">
        <v>50000</v>
      </c>
      <c r="H2991" s="134">
        <f t="shared" si="139"/>
        <v>0</v>
      </c>
      <c r="I2991" s="134">
        <f t="shared" si="139"/>
        <v>50000</v>
      </c>
      <c r="J2991" s="134">
        <f t="shared" si="138"/>
        <v>-50000</v>
      </c>
      <c r="K2991" s="135"/>
      <c r="L2991" s="148" t="str">
        <f t="shared" si="140"/>
        <v>دائن</v>
      </c>
      <c r="M2991" s="137" t="str">
        <f>IF(ISERROR(VLOOKUP(C2991,'[1]خريطة الحسابات'!_xlnm.Print_Area,4,FALSE))," ",(VLOOKUP(C2991,'[1]خريطة الحسابات'!_xlnm.Print_Area,4,FALSE)))</f>
        <v>عملاء</v>
      </c>
      <c r="N2991" s="138" t="str">
        <f>IF(ISERROR(VLOOKUP(C2991,'[1]خريطة الحسابات'!_xlnm.Print_Area,5,FALSE))," ",(VLOOKUP(C2991,'[1]خريطة الحسابات'!_xlnm.Print_Area,5,FALSE)))</f>
        <v>المدينون والأرصدة المدينة الأخرى</v>
      </c>
      <c r="O2991" s="84" t="s">
        <v>2623</v>
      </c>
      <c r="P2991" s="84" t="s">
        <v>1395</v>
      </c>
    </row>
    <row r="2992" spans="1:16">
      <c r="A2992" s="151">
        <v>90</v>
      </c>
      <c r="B2992" s="131">
        <v>46144</v>
      </c>
      <c r="C2992" s="150" t="s">
        <v>989</v>
      </c>
      <c r="D2992" s="140" t="str">
        <f>IF(ISERROR(VLOOKUP(C2992,'[1]خريطة الحسابات'!_xlnm.Print_Area,3,FALSE))," ",(VLOOKUP(C2992,'[1]خريطة الحسابات'!_xlnm.Print_Area,3,FALSE)))</f>
        <v>عميل هاني القرنفل 355</v>
      </c>
      <c r="E2992" s="142"/>
      <c r="F2992" s="133"/>
      <c r="G2992" s="133">
        <v>95000</v>
      </c>
      <c r="H2992" s="134">
        <f t="shared" si="139"/>
        <v>0</v>
      </c>
      <c r="I2992" s="134">
        <f t="shared" si="139"/>
        <v>95000</v>
      </c>
      <c r="J2992" s="134">
        <f t="shared" si="138"/>
        <v>-95000</v>
      </c>
      <c r="K2992" s="135"/>
      <c r="L2992" s="148" t="str">
        <f t="shared" si="140"/>
        <v>دائن</v>
      </c>
      <c r="M2992" s="137" t="str">
        <f>IF(ISERROR(VLOOKUP(C2992,'[1]خريطة الحسابات'!_xlnm.Print_Area,4,FALSE))," ",(VLOOKUP(C2992,'[1]خريطة الحسابات'!_xlnm.Print_Area,4,FALSE)))</f>
        <v>عملاء</v>
      </c>
      <c r="N2992" s="138" t="str">
        <f>IF(ISERROR(VLOOKUP(C2992,'[1]خريطة الحسابات'!_xlnm.Print_Area,5,FALSE))," ",(VLOOKUP(C2992,'[1]خريطة الحسابات'!_xlnm.Print_Area,5,FALSE)))</f>
        <v>المدينون والأرصدة المدينة الأخرى</v>
      </c>
      <c r="O2992" s="84" t="s">
        <v>2624</v>
      </c>
      <c r="P2992" s="84" t="s">
        <v>1395</v>
      </c>
    </row>
    <row r="2993" spans="1:16">
      <c r="A2993" s="151">
        <v>90</v>
      </c>
      <c r="B2993" s="131">
        <v>46089</v>
      </c>
      <c r="C2993" s="150" t="s">
        <v>987</v>
      </c>
      <c r="D2993" s="140" t="str">
        <f>IF(ISERROR(VLOOKUP(C2993,'[1]خريطة الحسابات'!_xlnm.Print_Area,3,FALSE))," ",(VLOOKUP(C2993,'[1]خريطة الحسابات'!_xlnm.Print_Area,3,FALSE)))</f>
        <v>عميل ياسر القرنفل 354</v>
      </c>
      <c r="E2993" s="142"/>
      <c r="F2993" s="133"/>
      <c r="G2993" s="133">
        <v>50000</v>
      </c>
      <c r="H2993" s="134">
        <f t="shared" si="139"/>
        <v>0</v>
      </c>
      <c r="I2993" s="134">
        <f t="shared" si="139"/>
        <v>50000</v>
      </c>
      <c r="J2993" s="134">
        <f t="shared" si="138"/>
        <v>-50000</v>
      </c>
      <c r="K2993" s="135"/>
      <c r="L2993" s="148" t="str">
        <f t="shared" si="140"/>
        <v>دائن</v>
      </c>
      <c r="M2993" s="137" t="str">
        <f>IF(ISERROR(VLOOKUP(C2993,'[1]خريطة الحسابات'!_xlnm.Print_Area,4,FALSE))," ",(VLOOKUP(C2993,'[1]خريطة الحسابات'!_xlnm.Print_Area,4,FALSE)))</f>
        <v>عملاء</v>
      </c>
      <c r="N2993" s="138" t="str">
        <f>IF(ISERROR(VLOOKUP(C2993,'[1]خريطة الحسابات'!_xlnm.Print_Area,5,FALSE))," ",(VLOOKUP(C2993,'[1]خريطة الحسابات'!_xlnm.Print_Area,5,FALSE)))</f>
        <v>المدينون والأرصدة المدينة الأخرى</v>
      </c>
      <c r="O2993" s="84" t="s">
        <v>2625</v>
      </c>
      <c r="P2993" s="84" t="s">
        <v>1393</v>
      </c>
    </row>
    <row r="2994" spans="1:16">
      <c r="A2994" s="151">
        <v>90</v>
      </c>
      <c r="B2994" s="131">
        <v>46144</v>
      </c>
      <c r="C2994" s="150" t="s">
        <v>987</v>
      </c>
      <c r="D2994" s="140" t="str">
        <f>IF(ISERROR(VLOOKUP(C2994,'[1]خريطة الحسابات'!_xlnm.Print_Area,3,FALSE))," ",(VLOOKUP(C2994,'[1]خريطة الحسابات'!_xlnm.Print_Area,3,FALSE)))</f>
        <v>عميل ياسر القرنفل 354</v>
      </c>
      <c r="E2994" s="142"/>
      <c r="F2994" s="133"/>
      <c r="G2994" s="133">
        <v>105000</v>
      </c>
      <c r="H2994" s="134">
        <f t="shared" si="139"/>
        <v>0</v>
      </c>
      <c r="I2994" s="134">
        <f t="shared" si="139"/>
        <v>105000</v>
      </c>
      <c r="J2994" s="134">
        <f t="shared" si="138"/>
        <v>-105000</v>
      </c>
      <c r="K2994" s="135"/>
      <c r="L2994" s="148" t="str">
        <f t="shared" si="140"/>
        <v>دائن</v>
      </c>
      <c r="M2994" s="137" t="str">
        <f>IF(ISERROR(VLOOKUP(C2994,'[1]خريطة الحسابات'!_xlnm.Print_Area,4,FALSE))," ",(VLOOKUP(C2994,'[1]خريطة الحسابات'!_xlnm.Print_Area,4,FALSE)))</f>
        <v>عملاء</v>
      </c>
      <c r="N2994" s="138" t="str">
        <f>IF(ISERROR(VLOOKUP(C2994,'[1]خريطة الحسابات'!_xlnm.Print_Area,5,FALSE))," ",(VLOOKUP(C2994,'[1]خريطة الحسابات'!_xlnm.Print_Area,5,FALSE)))</f>
        <v>المدينون والأرصدة المدينة الأخرى</v>
      </c>
      <c r="O2994" s="84" t="s">
        <v>2626</v>
      </c>
      <c r="P2994" s="84" t="s">
        <v>1393</v>
      </c>
    </row>
    <row r="2995" spans="1:16">
      <c r="A2995" s="151">
        <v>90</v>
      </c>
      <c r="B2995" s="131">
        <v>46174</v>
      </c>
      <c r="C2995" s="150" t="s">
        <v>987</v>
      </c>
      <c r="D2995" s="140" t="str">
        <f>IF(ISERROR(VLOOKUP(C2995,'[1]خريطة الحسابات'!_xlnm.Print_Area,3,FALSE))," ",(VLOOKUP(C2995,'[1]خريطة الحسابات'!_xlnm.Print_Area,3,FALSE)))</f>
        <v>عميل ياسر القرنفل 354</v>
      </c>
      <c r="E2995" s="142"/>
      <c r="F2995" s="133"/>
      <c r="G2995" s="133">
        <v>50000</v>
      </c>
      <c r="H2995" s="134">
        <f t="shared" si="139"/>
        <v>0</v>
      </c>
      <c r="I2995" s="134">
        <f t="shared" si="139"/>
        <v>50000</v>
      </c>
      <c r="J2995" s="134">
        <f t="shared" si="138"/>
        <v>-50000</v>
      </c>
      <c r="K2995" s="135"/>
      <c r="L2995" s="148" t="str">
        <f t="shared" si="140"/>
        <v>دائن</v>
      </c>
      <c r="M2995" s="137" t="str">
        <f>IF(ISERROR(VLOOKUP(C2995,'[1]خريطة الحسابات'!_xlnm.Print_Area,4,FALSE))," ",(VLOOKUP(C2995,'[1]خريطة الحسابات'!_xlnm.Print_Area,4,FALSE)))</f>
        <v>عملاء</v>
      </c>
      <c r="N2995" s="138" t="str">
        <f>IF(ISERROR(VLOOKUP(C2995,'[1]خريطة الحسابات'!_xlnm.Print_Area,5,FALSE))," ",(VLOOKUP(C2995,'[1]خريطة الحسابات'!_xlnm.Print_Area,5,FALSE)))</f>
        <v>المدينون والأرصدة المدينة الأخرى</v>
      </c>
      <c r="O2995" s="84" t="s">
        <v>2627</v>
      </c>
      <c r="P2995" s="84" t="s">
        <v>1393</v>
      </c>
    </row>
    <row r="2996" spans="1:16">
      <c r="A2996" s="151">
        <v>90</v>
      </c>
      <c r="B2996" s="131">
        <v>46182</v>
      </c>
      <c r="C2996" s="150" t="s">
        <v>987</v>
      </c>
      <c r="D2996" s="140" t="str">
        <f>IF(ISERROR(VLOOKUP(C2996,'[1]خريطة الحسابات'!_xlnm.Print_Area,3,FALSE))," ",(VLOOKUP(C2996,'[1]خريطة الحسابات'!_xlnm.Print_Area,3,FALSE)))</f>
        <v>عميل ياسر القرنفل 354</v>
      </c>
      <c r="E2996" s="142"/>
      <c r="F2996" s="133"/>
      <c r="G2996" s="133">
        <v>40000</v>
      </c>
      <c r="H2996" s="134">
        <f t="shared" si="139"/>
        <v>0</v>
      </c>
      <c r="I2996" s="134">
        <f t="shared" si="139"/>
        <v>40000</v>
      </c>
      <c r="J2996" s="134">
        <f t="shared" si="138"/>
        <v>-40000</v>
      </c>
      <c r="K2996" s="135"/>
      <c r="L2996" s="148" t="str">
        <f t="shared" si="140"/>
        <v>دائن</v>
      </c>
      <c r="M2996" s="137" t="str">
        <f>IF(ISERROR(VLOOKUP(C2996,'[1]خريطة الحسابات'!_xlnm.Print_Area,4,FALSE))," ",(VLOOKUP(C2996,'[1]خريطة الحسابات'!_xlnm.Print_Area,4,FALSE)))</f>
        <v>عملاء</v>
      </c>
      <c r="N2996" s="138" t="str">
        <f>IF(ISERROR(VLOOKUP(C2996,'[1]خريطة الحسابات'!_xlnm.Print_Area,5,FALSE))," ",(VLOOKUP(C2996,'[1]خريطة الحسابات'!_xlnm.Print_Area,5,FALSE)))</f>
        <v>المدينون والأرصدة المدينة الأخرى</v>
      </c>
      <c r="O2996" s="84" t="s">
        <v>2627</v>
      </c>
      <c r="P2996" s="84" t="s">
        <v>1393</v>
      </c>
    </row>
    <row r="2997" spans="1:16">
      <c r="A2997" s="151">
        <v>91</v>
      </c>
      <c r="B2997" s="131">
        <v>46159</v>
      </c>
      <c r="C2997" s="150">
        <v>20</v>
      </c>
      <c r="D2997" s="140" t="str">
        <f>IF(ISERROR(VLOOKUP(C2997,'[1]خريطة الحسابات'!_xlnm.Print_Area,3,FALSE))," ",(VLOOKUP(C2997,'[1]خريطة الحسابات'!_xlnm.Print_Area,3,FALSE)))</f>
        <v xml:space="preserve">الخزينة </v>
      </c>
      <c r="E2997" s="142"/>
      <c r="F2997" s="133">
        <v>2500</v>
      </c>
      <c r="G2997" s="133"/>
      <c r="H2997" s="134">
        <f t="shared" si="139"/>
        <v>2500</v>
      </c>
      <c r="I2997" s="134">
        <f t="shared" si="139"/>
        <v>0</v>
      </c>
      <c r="J2997" s="134">
        <f t="shared" si="138"/>
        <v>2500</v>
      </c>
      <c r="K2997" s="135"/>
      <c r="L2997" s="148" t="str">
        <f t="shared" si="140"/>
        <v>مدين</v>
      </c>
      <c r="M2997" s="137" t="str">
        <f>IF(ISERROR(VLOOKUP(C2997,'[1]خريطة الحسابات'!_xlnm.Print_Area,4,FALSE))," ",(VLOOKUP(C2997,'[1]خريطة الحسابات'!_xlnm.Print_Area,4,FALSE)))</f>
        <v xml:space="preserve">أصول متداوله -النقدية ومافي حكمها </v>
      </c>
      <c r="N2997" s="138" t="str">
        <f>IF(ISERROR(VLOOKUP(C2997,'[1]خريطة الحسابات'!_xlnm.Print_Area,5,FALSE))," ",(VLOOKUP(C2997,'[1]خريطة الحسابات'!_xlnm.Print_Area,5,FALSE)))</f>
        <v>الاصول</v>
      </c>
      <c r="O2997" s="84" t="s">
        <v>2628</v>
      </c>
      <c r="P2997" s="84" t="s">
        <v>2471</v>
      </c>
    </row>
    <row r="2998" spans="1:16">
      <c r="A2998" s="151">
        <v>91</v>
      </c>
      <c r="B2998" s="131">
        <v>46047</v>
      </c>
      <c r="C2998" s="150">
        <v>20</v>
      </c>
      <c r="D2998" s="140" t="str">
        <f>IF(ISERROR(VLOOKUP(C2998,'[1]خريطة الحسابات'!_xlnm.Print_Area,3,FALSE))," ",(VLOOKUP(C2998,'[1]خريطة الحسابات'!_xlnm.Print_Area,3,FALSE)))</f>
        <v xml:space="preserve">الخزينة </v>
      </c>
      <c r="E2998" s="142"/>
      <c r="F2998" s="133">
        <v>2500</v>
      </c>
      <c r="G2998" s="133"/>
      <c r="H2998" s="134">
        <f t="shared" si="139"/>
        <v>2500</v>
      </c>
      <c r="I2998" s="134">
        <f t="shared" si="139"/>
        <v>0</v>
      </c>
      <c r="J2998" s="134">
        <f t="shared" si="138"/>
        <v>2500</v>
      </c>
      <c r="K2998" s="135"/>
      <c r="L2998" s="148" t="str">
        <f t="shared" si="140"/>
        <v>مدين</v>
      </c>
      <c r="M2998" s="137" t="str">
        <f>IF(ISERROR(VLOOKUP(C2998,'[1]خريطة الحسابات'!_xlnm.Print_Area,4,FALSE))," ",(VLOOKUP(C2998,'[1]خريطة الحسابات'!_xlnm.Print_Area,4,FALSE)))</f>
        <v xml:space="preserve">أصول متداوله -النقدية ومافي حكمها </v>
      </c>
      <c r="N2998" s="138" t="str">
        <f>IF(ISERROR(VLOOKUP(C2998,'[1]خريطة الحسابات'!_xlnm.Print_Area,5,FALSE))," ",(VLOOKUP(C2998,'[1]خريطة الحسابات'!_xlnm.Print_Area,5,FALSE)))</f>
        <v>الاصول</v>
      </c>
      <c r="O2998" s="84" t="s">
        <v>2629</v>
      </c>
      <c r="P2998" s="84" t="s">
        <v>2455</v>
      </c>
    </row>
    <row r="2999" spans="1:16">
      <c r="A2999" s="151">
        <v>91</v>
      </c>
      <c r="B2999" s="131">
        <v>46086</v>
      </c>
      <c r="C2999" s="150">
        <v>20</v>
      </c>
      <c r="D2999" s="140" t="str">
        <f>IF(ISERROR(VLOOKUP(C2999,'[1]خريطة الحسابات'!_xlnm.Print_Area,3,FALSE))," ",(VLOOKUP(C2999,'[1]خريطة الحسابات'!_xlnm.Print_Area,3,FALSE)))</f>
        <v xml:space="preserve">الخزينة </v>
      </c>
      <c r="E2999" s="142"/>
      <c r="F2999" s="133">
        <v>1500</v>
      </c>
      <c r="G2999" s="133"/>
      <c r="H2999" s="134">
        <f t="shared" si="139"/>
        <v>1500</v>
      </c>
      <c r="I2999" s="134">
        <f t="shared" si="139"/>
        <v>0</v>
      </c>
      <c r="J2999" s="134">
        <f t="shared" si="138"/>
        <v>1500</v>
      </c>
      <c r="K2999" s="135"/>
      <c r="L2999" s="148" t="str">
        <f t="shared" si="140"/>
        <v>مدين</v>
      </c>
      <c r="M2999" s="137" t="str">
        <f>IF(ISERROR(VLOOKUP(C2999,'[1]خريطة الحسابات'!_xlnm.Print_Area,4,FALSE))," ",(VLOOKUP(C2999,'[1]خريطة الحسابات'!_xlnm.Print_Area,4,FALSE)))</f>
        <v xml:space="preserve">أصول متداوله -النقدية ومافي حكمها </v>
      </c>
      <c r="N2999" s="138" t="str">
        <f>IF(ISERROR(VLOOKUP(C2999,'[1]خريطة الحسابات'!_xlnm.Print_Area,5,FALSE))," ",(VLOOKUP(C2999,'[1]خريطة الحسابات'!_xlnm.Print_Area,5,FALSE)))</f>
        <v>الاصول</v>
      </c>
      <c r="O2999" s="84" t="s">
        <v>2630</v>
      </c>
      <c r="P2999" s="84" t="s">
        <v>2631</v>
      </c>
    </row>
    <row r="3000" spans="1:16">
      <c r="A3000" s="151">
        <v>91</v>
      </c>
      <c r="B3000" s="131">
        <v>46161</v>
      </c>
      <c r="C3000" s="150">
        <v>20</v>
      </c>
      <c r="D3000" s="140" t="str">
        <f>IF(ISERROR(VLOOKUP(C3000,'[1]خريطة الحسابات'!_xlnm.Print_Area,3,FALSE))," ",(VLOOKUP(C3000,'[1]خريطة الحسابات'!_xlnm.Print_Area,3,FALSE)))</f>
        <v xml:space="preserve">الخزينة </v>
      </c>
      <c r="E3000" s="142"/>
      <c r="F3000" s="133">
        <v>2500</v>
      </c>
      <c r="G3000" s="133"/>
      <c r="H3000" s="134">
        <f t="shared" si="139"/>
        <v>2500</v>
      </c>
      <c r="I3000" s="134">
        <f t="shared" si="139"/>
        <v>0</v>
      </c>
      <c r="J3000" s="134">
        <f t="shared" si="138"/>
        <v>2500</v>
      </c>
      <c r="K3000" s="135"/>
      <c r="L3000" s="148" t="str">
        <f t="shared" si="140"/>
        <v>مدين</v>
      </c>
      <c r="M3000" s="137" t="str">
        <f>IF(ISERROR(VLOOKUP(C3000,'[1]خريطة الحسابات'!_xlnm.Print_Area,4,FALSE))," ",(VLOOKUP(C3000,'[1]خريطة الحسابات'!_xlnm.Print_Area,4,FALSE)))</f>
        <v xml:space="preserve">أصول متداوله -النقدية ومافي حكمها </v>
      </c>
      <c r="N3000" s="138" t="str">
        <f>IF(ISERROR(VLOOKUP(C3000,'[1]خريطة الحسابات'!_xlnm.Print_Area,5,FALSE))," ",(VLOOKUP(C3000,'[1]خريطة الحسابات'!_xlnm.Print_Area,5,FALSE)))</f>
        <v>الاصول</v>
      </c>
      <c r="O3000" s="84" t="s">
        <v>2632</v>
      </c>
      <c r="P3000" s="84" t="s">
        <v>2633</v>
      </c>
    </row>
    <row r="3001" spans="1:16">
      <c r="A3001" s="151">
        <v>91</v>
      </c>
      <c r="B3001" s="131">
        <v>46086</v>
      </c>
      <c r="C3001" s="150">
        <v>20</v>
      </c>
      <c r="D3001" s="140" t="str">
        <f>IF(ISERROR(VLOOKUP(C3001,'[1]خريطة الحسابات'!_xlnm.Print_Area,3,FALSE))," ",(VLOOKUP(C3001,'[1]خريطة الحسابات'!_xlnm.Print_Area,3,FALSE)))</f>
        <v xml:space="preserve">الخزينة </v>
      </c>
      <c r="E3001" s="142"/>
      <c r="F3001" s="133">
        <v>1000</v>
      </c>
      <c r="G3001" s="133"/>
      <c r="H3001" s="134">
        <f t="shared" si="139"/>
        <v>1000</v>
      </c>
      <c r="I3001" s="134">
        <f t="shared" si="139"/>
        <v>0</v>
      </c>
      <c r="J3001" s="134">
        <f t="shared" si="138"/>
        <v>1000</v>
      </c>
      <c r="K3001" s="135"/>
      <c r="L3001" s="148" t="str">
        <f t="shared" si="140"/>
        <v>مدين</v>
      </c>
      <c r="M3001" s="137" t="str">
        <f>IF(ISERROR(VLOOKUP(C3001,'[1]خريطة الحسابات'!_xlnm.Print_Area,4,FALSE))," ",(VLOOKUP(C3001,'[1]خريطة الحسابات'!_xlnm.Print_Area,4,FALSE)))</f>
        <v xml:space="preserve">أصول متداوله -النقدية ومافي حكمها </v>
      </c>
      <c r="N3001" s="138" t="str">
        <f>IF(ISERROR(VLOOKUP(C3001,'[1]خريطة الحسابات'!_xlnm.Print_Area,5,FALSE))," ",(VLOOKUP(C3001,'[1]خريطة الحسابات'!_xlnm.Print_Area,5,FALSE)))</f>
        <v>الاصول</v>
      </c>
      <c r="O3001" s="84" t="s">
        <v>2634</v>
      </c>
      <c r="P3001" s="84" t="s">
        <v>2491</v>
      </c>
    </row>
    <row r="3002" spans="1:16">
      <c r="A3002" s="151">
        <v>91</v>
      </c>
      <c r="B3002" s="131">
        <v>46174</v>
      </c>
      <c r="C3002" s="150">
        <v>20</v>
      </c>
      <c r="D3002" s="140" t="str">
        <f>IF(ISERROR(VLOOKUP(C3002,'[1]خريطة الحسابات'!_xlnm.Print_Area,3,FALSE))," ",(VLOOKUP(C3002,'[1]خريطة الحسابات'!_xlnm.Print_Area,3,FALSE)))</f>
        <v xml:space="preserve">الخزينة </v>
      </c>
      <c r="E3002" s="142"/>
      <c r="F3002" s="133">
        <v>4500</v>
      </c>
      <c r="G3002" s="133"/>
      <c r="H3002" s="134">
        <f t="shared" si="139"/>
        <v>4500</v>
      </c>
      <c r="I3002" s="134">
        <f t="shared" si="139"/>
        <v>0</v>
      </c>
      <c r="J3002" s="134">
        <f t="shared" si="138"/>
        <v>4500</v>
      </c>
      <c r="K3002" s="135"/>
      <c r="L3002" s="148" t="str">
        <f t="shared" si="140"/>
        <v>مدين</v>
      </c>
      <c r="M3002" s="137" t="str">
        <f>IF(ISERROR(VLOOKUP(C3002,'[1]خريطة الحسابات'!_xlnm.Print_Area,4,FALSE))," ",(VLOOKUP(C3002,'[1]خريطة الحسابات'!_xlnm.Print_Area,4,FALSE)))</f>
        <v xml:space="preserve">أصول متداوله -النقدية ومافي حكمها </v>
      </c>
      <c r="N3002" s="138" t="str">
        <f>IF(ISERROR(VLOOKUP(C3002,'[1]خريطة الحسابات'!_xlnm.Print_Area,5,FALSE))," ",(VLOOKUP(C3002,'[1]خريطة الحسابات'!_xlnm.Print_Area,5,FALSE)))</f>
        <v>الاصول</v>
      </c>
      <c r="O3002" s="84" t="s">
        <v>2635</v>
      </c>
      <c r="P3002" s="84" t="s">
        <v>2636</v>
      </c>
    </row>
    <row r="3003" spans="1:16">
      <c r="A3003" s="151">
        <v>91</v>
      </c>
      <c r="B3003" s="131">
        <v>46148</v>
      </c>
      <c r="C3003" s="150">
        <v>20</v>
      </c>
      <c r="D3003" s="140" t="str">
        <f>IF(ISERROR(VLOOKUP(C3003,'[1]خريطة الحسابات'!_xlnm.Print_Area,3,FALSE))," ",(VLOOKUP(C3003,'[1]خريطة الحسابات'!_xlnm.Print_Area,3,FALSE)))</f>
        <v xml:space="preserve">الخزينة </v>
      </c>
      <c r="E3003" s="142"/>
      <c r="F3003" s="133">
        <v>2500</v>
      </c>
      <c r="G3003" s="133"/>
      <c r="H3003" s="134">
        <f t="shared" si="139"/>
        <v>2500</v>
      </c>
      <c r="I3003" s="134">
        <f t="shared" si="139"/>
        <v>0</v>
      </c>
      <c r="J3003" s="134">
        <f t="shared" si="138"/>
        <v>2500</v>
      </c>
      <c r="K3003" s="135"/>
      <c r="L3003" s="148" t="str">
        <f t="shared" si="140"/>
        <v>مدين</v>
      </c>
      <c r="M3003" s="137" t="str">
        <f>IF(ISERROR(VLOOKUP(C3003,'[1]خريطة الحسابات'!_xlnm.Print_Area,4,FALSE))," ",(VLOOKUP(C3003,'[1]خريطة الحسابات'!_xlnm.Print_Area,4,FALSE)))</f>
        <v xml:space="preserve">أصول متداوله -النقدية ومافي حكمها </v>
      </c>
      <c r="N3003" s="138" t="str">
        <f>IF(ISERROR(VLOOKUP(C3003,'[1]خريطة الحسابات'!_xlnm.Print_Area,5,FALSE))," ",(VLOOKUP(C3003,'[1]خريطة الحسابات'!_xlnm.Print_Area,5,FALSE)))</f>
        <v>الاصول</v>
      </c>
      <c r="O3003" s="84" t="s">
        <v>2637</v>
      </c>
      <c r="P3003" s="84" t="s">
        <v>2061</v>
      </c>
    </row>
    <row r="3004" spans="1:16">
      <c r="A3004" s="151">
        <v>91</v>
      </c>
      <c r="B3004" s="131">
        <v>46151</v>
      </c>
      <c r="C3004" s="150">
        <v>20</v>
      </c>
      <c r="D3004" s="140" t="str">
        <f>IF(ISERROR(VLOOKUP(C3004,'[1]خريطة الحسابات'!_xlnm.Print_Area,3,FALSE))," ",(VLOOKUP(C3004,'[1]خريطة الحسابات'!_xlnm.Print_Area,3,FALSE)))</f>
        <v xml:space="preserve">الخزينة </v>
      </c>
      <c r="E3004" s="142"/>
      <c r="F3004" s="133">
        <v>5000</v>
      </c>
      <c r="G3004" s="133"/>
      <c r="H3004" s="134">
        <f t="shared" si="139"/>
        <v>5000</v>
      </c>
      <c r="I3004" s="134">
        <f t="shared" si="139"/>
        <v>0</v>
      </c>
      <c r="J3004" s="134">
        <f t="shared" si="138"/>
        <v>5000</v>
      </c>
      <c r="K3004" s="135"/>
      <c r="L3004" s="148" t="str">
        <f t="shared" si="140"/>
        <v>مدين</v>
      </c>
      <c r="M3004" s="137" t="str">
        <f>IF(ISERROR(VLOOKUP(C3004,'[1]خريطة الحسابات'!_xlnm.Print_Area,4,FALSE))," ",(VLOOKUP(C3004,'[1]خريطة الحسابات'!_xlnm.Print_Area,4,FALSE)))</f>
        <v xml:space="preserve">أصول متداوله -النقدية ومافي حكمها </v>
      </c>
      <c r="N3004" s="138" t="str">
        <f>IF(ISERROR(VLOOKUP(C3004,'[1]خريطة الحسابات'!_xlnm.Print_Area,5,FALSE))," ",(VLOOKUP(C3004,'[1]خريطة الحسابات'!_xlnm.Print_Area,5,FALSE)))</f>
        <v>الاصول</v>
      </c>
      <c r="O3004" s="84" t="s">
        <v>2638</v>
      </c>
      <c r="P3004" s="84" t="s">
        <v>2639</v>
      </c>
    </row>
    <row r="3005" spans="1:16">
      <c r="A3005" s="151">
        <v>91</v>
      </c>
      <c r="B3005" s="131">
        <v>46109</v>
      </c>
      <c r="C3005" s="150">
        <v>20</v>
      </c>
      <c r="D3005" s="140" t="str">
        <f>IF(ISERROR(VLOOKUP(C3005,'[1]خريطة الحسابات'!_xlnm.Print_Area,3,FALSE))," ",(VLOOKUP(C3005,'[1]خريطة الحسابات'!_xlnm.Print_Area,3,FALSE)))</f>
        <v xml:space="preserve">الخزينة </v>
      </c>
      <c r="E3005" s="142"/>
      <c r="F3005" s="133">
        <v>1000</v>
      </c>
      <c r="G3005" s="133"/>
      <c r="H3005" s="134">
        <f t="shared" si="139"/>
        <v>1000</v>
      </c>
      <c r="I3005" s="134">
        <f t="shared" si="139"/>
        <v>0</v>
      </c>
      <c r="J3005" s="134">
        <f t="shared" si="138"/>
        <v>1000</v>
      </c>
      <c r="K3005" s="135"/>
      <c r="L3005" s="148" t="str">
        <f t="shared" si="140"/>
        <v>مدين</v>
      </c>
      <c r="M3005" s="137" t="str">
        <f>IF(ISERROR(VLOOKUP(C3005,'[1]خريطة الحسابات'!_xlnm.Print_Area,4,FALSE))," ",(VLOOKUP(C3005,'[1]خريطة الحسابات'!_xlnm.Print_Area,4,FALSE)))</f>
        <v xml:space="preserve">أصول متداوله -النقدية ومافي حكمها </v>
      </c>
      <c r="N3005" s="138" t="str">
        <f>IF(ISERROR(VLOOKUP(C3005,'[1]خريطة الحسابات'!_xlnm.Print_Area,5,FALSE))," ",(VLOOKUP(C3005,'[1]خريطة الحسابات'!_xlnm.Print_Area,5,FALSE)))</f>
        <v>الاصول</v>
      </c>
      <c r="O3005" s="84" t="s">
        <v>2640</v>
      </c>
      <c r="P3005" s="84" t="s">
        <v>2459</v>
      </c>
    </row>
    <row r="3006" spans="1:16">
      <c r="A3006" s="151">
        <v>91</v>
      </c>
      <c r="B3006" s="131">
        <v>46117</v>
      </c>
      <c r="C3006" s="150">
        <v>20</v>
      </c>
      <c r="D3006" s="140" t="str">
        <f>IF(ISERROR(VLOOKUP(C3006,'[1]خريطة الحسابات'!_xlnm.Print_Area,3,FALSE))," ",(VLOOKUP(C3006,'[1]خريطة الحسابات'!_xlnm.Print_Area,3,FALSE)))</f>
        <v xml:space="preserve">الخزينة </v>
      </c>
      <c r="E3006" s="142"/>
      <c r="F3006" s="133">
        <v>1500</v>
      </c>
      <c r="G3006" s="133"/>
      <c r="H3006" s="134">
        <f t="shared" si="139"/>
        <v>1500</v>
      </c>
      <c r="I3006" s="134">
        <f t="shared" si="139"/>
        <v>0</v>
      </c>
      <c r="J3006" s="134">
        <f t="shared" si="138"/>
        <v>1500</v>
      </c>
      <c r="K3006" s="135"/>
      <c r="L3006" s="148" t="str">
        <f t="shared" si="140"/>
        <v>مدين</v>
      </c>
      <c r="M3006" s="137" t="str">
        <f>IF(ISERROR(VLOOKUP(C3006,'[1]خريطة الحسابات'!_xlnm.Print_Area,4,FALSE))," ",(VLOOKUP(C3006,'[1]خريطة الحسابات'!_xlnm.Print_Area,4,FALSE)))</f>
        <v xml:space="preserve">أصول متداوله -النقدية ومافي حكمها </v>
      </c>
      <c r="N3006" s="138" t="str">
        <f>IF(ISERROR(VLOOKUP(C3006,'[1]خريطة الحسابات'!_xlnm.Print_Area,5,FALSE))," ",(VLOOKUP(C3006,'[1]خريطة الحسابات'!_xlnm.Print_Area,5,FALSE)))</f>
        <v>الاصول</v>
      </c>
      <c r="O3006" s="84" t="s">
        <v>2632</v>
      </c>
      <c r="P3006" s="84" t="s">
        <v>2641</v>
      </c>
    </row>
    <row r="3007" spans="1:16">
      <c r="A3007" s="151">
        <v>91</v>
      </c>
      <c r="B3007" s="131">
        <v>46184</v>
      </c>
      <c r="C3007" s="150">
        <v>20</v>
      </c>
      <c r="D3007" s="140" t="str">
        <f>IF(ISERROR(VLOOKUP(C3007,'[1]خريطة الحسابات'!_xlnm.Print_Area,3,FALSE))," ",(VLOOKUP(C3007,'[1]خريطة الحسابات'!_xlnm.Print_Area,3,FALSE)))</f>
        <v xml:space="preserve">الخزينة </v>
      </c>
      <c r="E3007" s="142"/>
      <c r="F3007" s="133">
        <v>3500</v>
      </c>
      <c r="G3007" s="133"/>
      <c r="H3007" s="134">
        <f t="shared" si="139"/>
        <v>3500</v>
      </c>
      <c r="I3007" s="134">
        <f t="shared" si="139"/>
        <v>0</v>
      </c>
      <c r="J3007" s="134">
        <f t="shared" si="138"/>
        <v>3500</v>
      </c>
      <c r="K3007" s="135"/>
      <c r="L3007" s="148" t="str">
        <f t="shared" si="140"/>
        <v>مدين</v>
      </c>
      <c r="M3007" s="137" t="str">
        <f>IF(ISERROR(VLOOKUP(C3007,'[1]خريطة الحسابات'!_xlnm.Print_Area,4,FALSE))," ",(VLOOKUP(C3007,'[1]خريطة الحسابات'!_xlnm.Print_Area,4,FALSE)))</f>
        <v xml:space="preserve">أصول متداوله -النقدية ومافي حكمها </v>
      </c>
      <c r="N3007" s="138" t="str">
        <f>IF(ISERROR(VLOOKUP(C3007,'[1]خريطة الحسابات'!_xlnm.Print_Area,5,FALSE))," ",(VLOOKUP(C3007,'[1]خريطة الحسابات'!_xlnm.Print_Area,5,FALSE)))</f>
        <v>الاصول</v>
      </c>
      <c r="O3007" s="84" t="s">
        <v>2632</v>
      </c>
      <c r="P3007" s="84" t="s">
        <v>2642</v>
      </c>
    </row>
    <row r="3008" spans="1:16">
      <c r="A3008" s="151">
        <v>91</v>
      </c>
      <c r="B3008" s="131">
        <v>46051</v>
      </c>
      <c r="C3008" s="150">
        <v>20</v>
      </c>
      <c r="D3008" s="140" t="str">
        <f>IF(ISERROR(VLOOKUP(C3008,'[1]خريطة الحسابات'!_xlnm.Print_Area,3,FALSE))," ",(VLOOKUP(C3008,'[1]خريطة الحسابات'!_xlnm.Print_Area,3,FALSE)))</f>
        <v xml:space="preserve">الخزينة </v>
      </c>
      <c r="E3008" s="142"/>
      <c r="F3008" s="133">
        <v>1000</v>
      </c>
      <c r="G3008" s="133"/>
      <c r="H3008" s="134">
        <f t="shared" si="139"/>
        <v>1000</v>
      </c>
      <c r="I3008" s="134">
        <f t="shared" si="139"/>
        <v>0</v>
      </c>
      <c r="J3008" s="134">
        <f t="shared" si="138"/>
        <v>1000</v>
      </c>
      <c r="K3008" s="135"/>
      <c r="L3008" s="148" t="str">
        <f t="shared" si="140"/>
        <v>مدين</v>
      </c>
      <c r="M3008" s="137" t="str">
        <f>IF(ISERROR(VLOOKUP(C3008,'[1]خريطة الحسابات'!_xlnm.Print_Area,4,FALSE))," ",(VLOOKUP(C3008,'[1]خريطة الحسابات'!_xlnm.Print_Area,4,FALSE)))</f>
        <v xml:space="preserve">أصول متداوله -النقدية ومافي حكمها </v>
      </c>
      <c r="N3008" s="138" t="str">
        <f>IF(ISERROR(VLOOKUP(C3008,'[1]خريطة الحسابات'!_xlnm.Print_Area,5,FALSE))," ",(VLOOKUP(C3008,'[1]خريطة الحسابات'!_xlnm.Print_Area,5,FALSE)))</f>
        <v>الاصول</v>
      </c>
      <c r="O3008" s="84" t="s">
        <v>2643</v>
      </c>
      <c r="P3008" s="84" t="s">
        <v>2457</v>
      </c>
    </row>
    <row r="3009" spans="1:16">
      <c r="A3009" s="151">
        <v>91</v>
      </c>
      <c r="B3009" s="131">
        <v>46159</v>
      </c>
      <c r="C3009" s="150" t="s">
        <v>1135</v>
      </c>
      <c r="D3009" s="140" t="str">
        <f>IF(ISERROR(VLOOKUP(C3009,'[1]خريطة الحسابات'!_xlnm.Print_Area,3,FALSE))," ",(VLOOKUP(C3009,'[1]خريطة الحسابات'!_xlnm.Print_Area,3,FALSE)))</f>
        <v xml:space="preserve">ايراد معاينات </v>
      </c>
      <c r="E3009" s="142"/>
      <c r="F3009" s="133"/>
      <c r="G3009" s="133">
        <v>2500</v>
      </c>
      <c r="H3009" s="134">
        <f t="shared" si="139"/>
        <v>0</v>
      </c>
      <c r="I3009" s="134">
        <f t="shared" si="139"/>
        <v>2500</v>
      </c>
      <c r="J3009" s="134">
        <f t="shared" si="138"/>
        <v>-2500</v>
      </c>
      <c r="K3009" s="135"/>
      <c r="L3009" s="148" t="str">
        <f t="shared" si="140"/>
        <v>دائن</v>
      </c>
      <c r="M3009" s="137" t="str">
        <f>IF(ISERROR(VLOOKUP(C3009,'[1]خريطة الحسابات'!_xlnm.Print_Area,4,FALSE))," ",(VLOOKUP(C3009,'[1]خريطة الحسابات'!_xlnm.Print_Area,4,FALSE)))</f>
        <v xml:space="preserve">ايراد معاينات </v>
      </c>
      <c r="N3009" s="138" t="str">
        <f>IF(ISERROR(VLOOKUP(C3009,'[1]خريطة الحسابات'!_xlnm.Print_Area,5,FALSE))," ",(VLOOKUP(C3009,'[1]خريطة الحسابات'!_xlnm.Print_Area,5,FALSE)))</f>
        <v xml:space="preserve">الايرادات </v>
      </c>
      <c r="O3009" s="84" t="s">
        <v>2628</v>
      </c>
      <c r="P3009" s="84" t="s">
        <v>2471</v>
      </c>
    </row>
    <row r="3010" spans="1:16">
      <c r="A3010" s="151">
        <v>91</v>
      </c>
      <c r="B3010" s="131">
        <v>46047</v>
      </c>
      <c r="C3010" s="150" t="s">
        <v>1135</v>
      </c>
      <c r="D3010" s="140" t="str">
        <f>IF(ISERROR(VLOOKUP(C3010,'[1]خريطة الحسابات'!_xlnm.Print_Area,3,FALSE))," ",(VLOOKUP(C3010,'[1]خريطة الحسابات'!_xlnm.Print_Area,3,FALSE)))</f>
        <v xml:space="preserve">ايراد معاينات </v>
      </c>
      <c r="E3010" s="142"/>
      <c r="F3010" s="133"/>
      <c r="G3010" s="133">
        <v>2500</v>
      </c>
      <c r="H3010" s="134">
        <f t="shared" si="139"/>
        <v>0</v>
      </c>
      <c r="I3010" s="134">
        <f t="shared" si="139"/>
        <v>2500</v>
      </c>
      <c r="J3010" s="134">
        <f t="shared" si="138"/>
        <v>-2500</v>
      </c>
      <c r="K3010" s="135"/>
      <c r="L3010" s="148" t="str">
        <f t="shared" si="140"/>
        <v>دائن</v>
      </c>
      <c r="M3010" s="137" t="str">
        <f>IF(ISERROR(VLOOKUP(C3010,'[1]خريطة الحسابات'!_xlnm.Print_Area,4,FALSE))," ",(VLOOKUP(C3010,'[1]خريطة الحسابات'!_xlnm.Print_Area,4,FALSE)))</f>
        <v xml:space="preserve">ايراد معاينات </v>
      </c>
      <c r="N3010" s="138" t="str">
        <f>IF(ISERROR(VLOOKUP(C3010,'[1]خريطة الحسابات'!_xlnm.Print_Area,5,FALSE))," ",(VLOOKUP(C3010,'[1]خريطة الحسابات'!_xlnm.Print_Area,5,FALSE)))</f>
        <v xml:space="preserve">الايرادات </v>
      </c>
      <c r="O3010" s="84" t="s">
        <v>2629</v>
      </c>
      <c r="P3010" s="84" t="s">
        <v>2455</v>
      </c>
    </row>
    <row r="3011" spans="1:16">
      <c r="A3011" s="151">
        <v>91</v>
      </c>
      <c r="B3011" s="131">
        <v>46086</v>
      </c>
      <c r="C3011" s="150" t="s">
        <v>1135</v>
      </c>
      <c r="D3011" s="140" t="str">
        <f>IF(ISERROR(VLOOKUP(C3011,'[1]خريطة الحسابات'!_xlnm.Print_Area,3,FALSE))," ",(VLOOKUP(C3011,'[1]خريطة الحسابات'!_xlnm.Print_Area,3,FALSE)))</f>
        <v xml:space="preserve">ايراد معاينات </v>
      </c>
      <c r="E3011" s="142"/>
      <c r="F3011" s="133"/>
      <c r="G3011" s="133">
        <v>1500</v>
      </c>
      <c r="H3011" s="134">
        <f t="shared" si="139"/>
        <v>0</v>
      </c>
      <c r="I3011" s="134">
        <f t="shared" si="139"/>
        <v>1500</v>
      </c>
      <c r="J3011" s="134">
        <f t="shared" si="138"/>
        <v>-1500</v>
      </c>
      <c r="K3011" s="135"/>
      <c r="L3011" s="148" t="str">
        <f t="shared" si="140"/>
        <v>دائن</v>
      </c>
      <c r="M3011" s="137" t="str">
        <f>IF(ISERROR(VLOOKUP(C3011,'[1]خريطة الحسابات'!_xlnm.Print_Area,4,FALSE))," ",(VLOOKUP(C3011,'[1]خريطة الحسابات'!_xlnm.Print_Area,4,FALSE)))</f>
        <v xml:space="preserve">ايراد معاينات </v>
      </c>
      <c r="N3011" s="138" t="str">
        <f>IF(ISERROR(VLOOKUP(C3011,'[1]خريطة الحسابات'!_xlnm.Print_Area,5,FALSE))," ",(VLOOKUP(C3011,'[1]خريطة الحسابات'!_xlnm.Print_Area,5,FALSE)))</f>
        <v xml:space="preserve">الايرادات </v>
      </c>
      <c r="O3011" s="84" t="s">
        <v>2630</v>
      </c>
      <c r="P3011" s="84" t="s">
        <v>2631</v>
      </c>
    </row>
    <row r="3012" spans="1:16">
      <c r="A3012" s="151">
        <v>91</v>
      </c>
      <c r="B3012" s="131">
        <v>46161</v>
      </c>
      <c r="C3012" s="150" t="s">
        <v>1135</v>
      </c>
      <c r="D3012" s="140" t="str">
        <f>IF(ISERROR(VLOOKUP(C3012,'[1]خريطة الحسابات'!_xlnm.Print_Area,3,FALSE))," ",(VLOOKUP(C3012,'[1]خريطة الحسابات'!_xlnm.Print_Area,3,FALSE)))</f>
        <v xml:space="preserve">ايراد معاينات </v>
      </c>
      <c r="E3012" s="142"/>
      <c r="F3012" s="133"/>
      <c r="G3012" s="133">
        <v>2500</v>
      </c>
      <c r="H3012" s="134">
        <f t="shared" si="139"/>
        <v>0</v>
      </c>
      <c r="I3012" s="134">
        <f t="shared" si="139"/>
        <v>2500</v>
      </c>
      <c r="J3012" s="134">
        <f t="shared" si="138"/>
        <v>-2500</v>
      </c>
      <c r="K3012" s="135"/>
      <c r="L3012" s="148" t="str">
        <f t="shared" si="140"/>
        <v>دائن</v>
      </c>
      <c r="M3012" s="137" t="str">
        <f>IF(ISERROR(VLOOKUP(C3012,'[1]خريطة الحسابات'!_xlnm.Print_Area,4,FALSE))," ",(VLOOKUP(C3012,'[1]خريطة الحسابات'!_xlnm.Print_Area,4,FALSE)))</f>
        <v xml:space="preserve">ايراد معاينات </v>
      </c>
      <c r="N3012" s="138" t="str">
        <f>IF(ISERROR(VLOOKUP(C3012,'[1]خريطة الحسابات'!_xlnm.Print_Area,5,FALSE))," ",(VLOOKUP(C3012,'[1]خريطة الحسابات'!_xlnm.Print_Area,5,FALSE)))</f>
        <v xml:space="preserve">الايرادات </v>
      </c>
      <c r="O3012" s="84" t="s">
        <v>2632</v>
      </c>
      <c r="P3012" s="84" t="s">
        <v>2633</v>
      </c>
    </row>
    <row r="3013" spans="1:16">
      <c r="A3013" s="151">
        <v>91</v>
      </c>
      <c r="B3013" s="131">
        <v>46086</v>
      </c>
      <c r="C3013" s="150" t="s">
        <v>1135</v>
      </c>
      <c r="D3013" s="140" t="str">
        <f>IF(ISERROR(VLOOKUP(C3013,'[1]خريطة الحسابات'!_xlnm.Print_Area,3,FALSE))," ",(VLOOKUP(C3013,'[1]خريطة الحسابات'!_xlnm.Print_Area,3,FALSE)))</f>
        <v xml:space="preserve">ايراد معاينات </v>
      </c>
      <c r="E3013" s="142"/>
      <c r="F3013" s="133"/>
      <c r="G3013" s="133">
        <v>1000</v>
      </c>
      <c r="H3013" s="134">
        <f t="shared" si="139"/>
        <v>0</v>
      </c>
      <c r="I3013" s="134">
        <f t="shared" si="139"/>
        <v>1000</v>
      </c>
      <c r="J3013" s="134">
        <f t="shared" si="138"/>
        <v>-1000</v>
      </c>
      <c r="K3013" s="135"/>
      <c r="L3013" s="148" t="str">
        <f t="shared" si="140"/>
        <v>دائن</v>
      </c>
      <c r="M3013" s="137" t="str">
        <f>IF(ISERROR(VLOOKUP(C3013,'[1]خريطة الحسابات'!_xlnm.Print_Area,4,FALSE))," ",(VLOOKUP(C3013,'[1]خريطة الحسابات'!_xlnm.Print_Area,4,FALSE)))</f>
        <v xml:space="preserve">ايراد معاينات </v>
      </c>
      <c r="N3013" s="138" t="str">
        <f>IF(ISERROR(VLOOKUP(C3013,'[1]خريطة الحسابات'!_xlnm.Print_Area,5,FALSE))," ",(VLOOKUP(C3013,'[1]خريطة الحسابات'!_xlnm.Print_Area,5,FALSE)))</f>
        <v xml:space="preserve">الايرادات </v>
      </c>
      <c r="O3013" s="84" t="s">
        <v>2634</v>
      </c>
      <c r="P3013" s="84" t="s">
        <v>2491</v>
      </c>
    </row>
    <row r="3014" spans="1:16">
      <c r="A3014" s="151">
        <v>91</v>
      </c>
      <c r="B3014" s="131">
        <v>46174</v>
      </c>
      <c r="C3014" s="150" t="s">
        <v>1135</v>
      </c>
      <c r="D3014" s="140" t="str">
        <f>IF(ISERROR(VLOOKUP(C3014,'[1]خريطة الحسابات'!_xlnm.Print_Area,3,FALSE))," ",(VLOOKUP(C3014,'[1]خريطة الحسابات'!_xlnm.Print_Area,3,FALSE)))</f>
        <v xml:space="preserve">ايراد معاينات </v>
      </c>
      <c r="E3014" s="142"/>
      <c r="F3014" s="133"/>
      <c r="G3014" s="133">
        <v>4500</v>
      </c>
      <c r="H3014" s="134">
        <f t="shared" si="139"/>
        <v>0</v>
      </c>
      <c r="I3014" s="134">
        <f t="shared" si="139"/>
        <v>4500</v>
      </c>
      <c r="J3014" s="134">
        <f t="shared" si="138"/>
        <v>-4500</v>
      </c>
      <c r="K3014" s="135"/>
      <c r="L3014" s="148" t="str">
        <f t="shared" si="140"/>
        <v>دائن</v>
      </c>
      <c r="M3014" s="137" t="str">
        <f>IF(ISERROR(VLOOKUP(C3014,'[1]خريطة الحسابات'!_xlnm.Print_Area,4,FALSE))," ",(VLOOKUP(C3014,'[1]خريطة الحسابات'!_xlnm.Print_Area,4,FALSE)))</f>
        <v xml:space="preserve">ايراد معاينات </v>
      </c>
      <c r="N3014" s="138" t="str">
        <f>IF(ISERROR(VLOOKUP(C3014,'[1]خريطة الحسابات'!_xlnm.Print_Area,5,FALSE))," ",(VLOOKUP(C3014,'[1]خريطة الحسابات'!_xlnm.Print_Area,5,FALSE)))</f>
        <v xml:space="preserve">الايرادات </v>
      </c>
      <c r="O3014" s="84" t="s">
        <v>2635</v>
      </c>
      <c r="P3014" s="84" t="s">
        <v>2636</v>
      </c>
    </row>
    <row r="3015" spans="1:16">
      <c r="A3015" s="151">
        <v>91</v>
      </c>
      <c r="B3015" s="131">
        <v>46148</v>
      </c>
      <c r="C3015" s="150" t="s">
        <v>1135</v>
      </c>
      <c r="D3015" s="140" t="str">
        <f>IF(ISERROR(VLOOKUP(C3015,'[1]خريطة الحسابات'!_xlnm.Print_Area,3,FALSE))," ",(VLOOKUP(C3015,'[1]خريطة الحسابات'!_xlnm.Print_Area,3,FALSE)))</f>
        <v xml:space="preserve">ايراد معاينات </v>
      </c>
      <c r="E3015" s="142"/>
      <c r="F3015" s="133"/>
      <c r="G3015" s="133">
        <v>2500</v>
      </c>
      <c r="H3015" s="134">
        <f t="shared" si="139"/>
        <v>0</v>
      </c>
      <c r="I3015" s="134">
        <f t="shared" si="139"/>
        <v>2500</v>
      </c>
      <c r="J3015" s="134">
        <f t="shared" si="138"/>
        <v>-2500</v>
      </c>
      <c r="K3015" s="135"/>
      <c r="L3015" s="148" t="str">
        <f t="shared" si="140"/>
        <v>دائن</v>
      </c>
      <c r="M3015" s="137" t="str">
        <f>IF(ISERROR(VLOOKUP(C3015,'[1]خريطة الحسابات'!_xlnm.Print_Area,4,FALSE))," ",(VLOOKUP(C3015,'[1]خريطة الحسابات'!_xlnm.Print_Area,4,FALSE)))</f>
        <v xml:space="preserve">ايراد معاينات </v>
      </c>
      <c r="N3015" s="138" t="str">
        <f>IF(ISERROR(VLOOKUP(C3015,'[1]خريطة الحسابات'!_xlnm.Print_Area,5,FALSE))," ",(VLOOKUP(C3015,'[1]خريطة الحسابات'!_xlnm.Print_Area,5,FALSE)))</f>
        <v xml:space="preserve">الايرادات </v>
      </c>
      <c r="O3015" s="84" t="s">
        <v>2637</v>
      </c>
      <c r="P3015" s="84" t="s">
        <v>2061</v>
      </c>
    </row>
    <row r="3016" spans="1:16">
      <c r="A3016" s="151">
        <v>91</v>
      </c>
      <c r="B3016" s="131">
        <v>46151</v>
      </c>
      <c r="C3016" s="150" t="s">
        <v>1135</v>
      </c>
      <c r="D3016" s="140" t="str">
        <f>IF(ISERROR(VLOOKUP(C3016,'[1]خريطة الحسابات'!_xlnm.Print_Area,3,FALSE))," ",(VLOOKUP(C3016,'[1]خريطة الحسابات'!_xlnm.Print_Area,3,FALSE)))</f>
        <v xml:space="preserve">ايراد معاينات </v>
      </c>
      <c r="E3016" s="142"/>
      <c r="F3016" s="133"/>
      <c r="G3016" s="133">
        <v>5000</v>
      </c>
      <c r="H3016" s="134">
        <f t="shared" si="139"/>
        <v>0</v>
      </c>
      <c r="I3016" s="134">
        <f t="shared" si="139"/>
        <v>5000</v>
      </c>
      <c r="J3016" s="134">
        <f t="shared" si="138"/>
        <v>-5000</v>
      </c>
      <c r="K3016" s="135"/>
      <c r="L3016" s="148" t="str">
        <f t="shared" si="140"/>
        <v>دائن</v>
      </c>
      <c r="M3016" s="137" t="str">
        <f>IF(ISERROR(VLOOKUP(C3016,'[1]خريطة الحسابات'!_xlnm.Print_Area,4,FALSE))," ",(VLOOKUP(C3016,'[1]خريطة الحسابات'!_xlnm.Print_Area,4,FALSE)))</f>
        <v xml:space="preserve">ايراد معاينات </v>
      </c>
      <c r="N3016" s="138" t="str">
        <f>IF(ISERROR(VLOOKUP(C3016,'[1]خريطة الحسابات'!_xlnm.Print_Area,5,FALSE))," ",(VLOOKUP(C3016,'[1]خريطة الحسابات'!_xlnm.Print_Area,5,FALSE)))</f>
        <v xml:space="preserve">الايرادات </v>
      </c>
      <c r="O3016" s="84" t="s">
        <v>2638</v>
      </c>
      <c r="P3016" s="84" t="s">
        <v>2639</v>
      </c>
    </row>
    <row r="3017" spans="1:16">
      <c r="A3017" s="151">
        <v>91</v>
      </c>
      <c r="B3017" s="131">
        <v>46109</v>
      </c>
      <c r="C3017" s="150" t="s">
        <v>1135</v>
      </c>
      <c r="D3017" s="140" t="str">
        <f>IF(ISERROR(VLOOKUP(C3017,'[1]خريطة الحسابات'!_xlnm.Print_Area,3,FALSE))," ",(VLOOKUP(C3017,'[1]خريطة الحسابات'!_xlnm.Print_Area,3,FALSE)))</f>
        <v xml:space="preserve">ايراد معاينات </v>
      </c>
      <c r="E3017" s="142"/>
      <c r="F3017" s="133"/>
      <c r="G3017" s="133">
        <v>1000</v>
      </c>
      <c r="H3017" s="134">
        <f t="shared" si="139"/>
        <v>0</v>
      </c>
      <c r="I3017" s="134">
        <f t="shared" si="139"/>
        <v>1000</v>
      </c>
      <c r="J3017" s="134">
        <f t="shared" si="138"/>
        <v>-1000</v>
      </c>
      <c r="K3017" s="135"/>
      <c r="L3017" s="148" t="str">
        <f t="shared" si="140"/>
        <v>دائن</v>
      </c>
      <c r="M3017" s="137" t="str">
        <f>IF(ISERROR(VLOOKUP(C3017,'[1]خريطة الحسابات'!_xlnm.Print_Area,4,FALSE))," ",(VLOOKUP(C3017,'[1]خريطة الحسابات'!_xlnm.Print_Area,4,FALSE)))</f>
        <v xml:space="preserve">ايراد معاينات </v>
      </c>
      <c r="N3017" s="138" t="str">
        <f>IF(ISERROR(VLOOKUP(C3017,'[1]خريطة الحسابات'!_xlnm.Print_Area,5,FALSE))," ",(VLOOKUP(C3017,'[1]خريطة الحسابات'!_xlnm.Print_Area,5,FALSE)))</f>
        <v xml:space="preserve">الايرادات </v>
      </c>
      <c r="O3017" s="84" t="s">
        <v>2640</v>
      </c>
      <c r="P3017" s="84" t="s">
        <v>2459</v>
      </c>
    </row>
    <row r="3018" spans="1:16">
      <c r="A3018" s="151">
        <v>91</v>
      </c>
      <c r="B3018" s="131">
        <v>46117</v>
      </c>
      <c r="C3018" s="150" t="s">
        <v>1135</v>
      </c>
      <c r="D3018" s="140" t="str">
        <f>IF(ISERROR(VLOOKUP(C3018,'[1]خريطة الحسابات'!_xlnm.Print_Area,3,FALSE))," ",(VLOOKUP(C3018,'[1]خريطة الحسابات'!_xlnm.Print_Area,3,FALSE)))</f>
        <v xml:space="preserve">ايراد معاينات </v>
      </c>
      <c r="E3018" s="142"/>
      <c r="F3018" s="133"/>
      <c r="G3018" s="133">
        <v>1500</v>
      </c>
      <c r="H3018" s="134">
        <f t="shared" si="139"/>
        <v>0</v>
      </c>
      <c r="I3018" s="134">
        <f t="shared" si="139"/>
        <v>1500</v>
      </c>
      <c r="J3018" s="134">
        <f t="shared" si="138"/>
        <v>-1500</v>
      </c>
      <c r="K3018" s="135"/>
      <c r="L3018" s="148" t="str">
        <f t="shared" si="140"/>
        <v>دائن</v>
      </c>
      <c r="M3018" s="137" t="str">
        <f>IF(ISERROR(VLOOKUP(C3018,'[1]خريطة الحسابات'!_xlnm.Print_Area,4,FALSE))," ",(VLOOKUP(C3018,'[1]خريطة الحسابات'!_xlnm.Print_Area,4,FALSE)))</f>
        <v xml:space="preserve">ايراد معاينات </v>
      </c>
      <c r="N3018" s="138" t="str">
        <f>IF(ISERROR(VLOOKUP(C3018,'[1]خريطة الحسابات'!_xlnm.Print_Area,5,FALSE))," ",(VLOOKUP(C3018,'[1]خريطة الحسابات'!_xlnm.Print_Area,5,FALSE)))</f>
        <v xml:space="preserve">الايرادات </v>
      </c>
      <c r="O3018" s="84" t="s">
        <v>2632</v>
      </c>
      <c r="P3018" s="84" t="s">
        <v>2641</v>
      </c>
    </row>
    <row r="3019" spans="1:16">
      <c r="A3019" s="151">
        <v>91</v>
      </c>
      <c r="B3019" s="131">
        <v>46184</v>
      </c>
      <c r="C3019" s="150" t="s">
        <v>1135</v>
      </c>
      <c r="D3019" s="140" t="str">
        <f>IF(ISERROR(VLOOKUP(C3019,'[1]خريطة الحسابات'!_xlnm.Print_Area,3,FALSE))," ",(VLOOKUP(C3019,'[1]خريطة الحسابات'!_xlnm.Print_Area,3,FALSE)))</f>
        <v xml:space="preserve">ايراد معاينات </v>
      </c>
      <c r="E3019" s="142"/>
      <c r="F3019" s="133"/>
      <c r="G3019" s="133">
        <v>3500</v>
      </c>
      <c r="H3019" s="134">
        <f t="shared" si="139"/>
        <v>0</v>
      </c>
      <c r="I3019" s="134">
        <f t="shared" si="139"/>
        <v>3500</v>
      </c>
      <c r="J3019" s="134">
        <f t="shared" si="138"/>
        <v>-3500</v>
      </c>
      <c r="K3019" s="135"/>
      <c r="L3019" s="148" t="str">
        <f t="shared" si="140"/>
        <v>دائن</v>
      </c>
      <c r="M3019" s="137" t="str">
        <f>IF(ISERROR(VLOOKUP(C3019,'[1]خريطة الحسابات'!_xlnm.Print_Area,4,FALSE))," ",(VLOOKUP(C3019,'[1]خريطة الحسابات'!_xlnm.Print_Area,4,FALSE)))</f>
        <v xml:space="preserve">ايراد معاينات </v>
      </c>
      <c r="N3019" s="138" t="str">
        <f>IF(ISERROR(VLOOKUP(C3019,'[1]خريطة الحسابات'!_xlnm.Print_Area,5,FALSE))," ",(VLOOKUP(C3019,'[1]خريطة الحسابات'!_xlnm.Print_Area,5,FALSE)))</f>
        <v xml:space="preserve">الايرادات </v>
      </c>
      <c r="O3019" s="84" t="s">
        <v>2632</v>
      </c>
      <c r="P3019" s="84" t="s">
        <v>2642</v>
      </c>
    </row>
    <row r="3020" spans="1:16">
      <c r="A3020" s="151">
        <v>91</v>
      </c>
      <c r="B3020" s="131">
        <v>46051</v>
      </c>
      <c r="C3020" s="150" t="s">
        <v>1135</v>
      </c>
      <c r="D3020" s="140" t="str">
        <f>IF(ISERROR(VLOOKUP(C3020,'[1]خريطة الحسابات'!_xlnm.Print_Area,3,FALSE))," ",(VLOOKUP(C3020,'[1]خريطة الحسابات'!_xlnm.Print_Area,3,FALSE)))</f>
        <v xml:space="preserve">ايراد معاينات </v>
      </c>
      <c r="E3020" s="142"/>
      <c r="F3020" s="133"/>
      <c r="G3020" s="133">
        <v>1000</v>
      </c>
      <c r="H3020" s="134">
        <f t="shared" si="139"/>
        <v>0</v>
      </c>
      <c r="I3020" s="134">
        <f t="shared" si="139"/>
        <v>1000</v>
      </c>
      <c r="J3020" s="134">
        <f t="shared" si="138"/>
        <v>-1000</v>
      </c>
      <c r="K3020" s="135"/>
      <c r="L3020" s="148" t="str">
        <f t="shared" si="140"/>
        <v>دائن</v>
      </c>
      <c r="M3020" s="137" t="str">
        <f>IF(ISERROR(VLOOKUP(C3020,'[1]خريطة الحسابات'!_xlnm.Print_Area,4,FALSE))," ",(VLOOKUP(C3020,'[1]خريطة الحسابات'!_xlnm.Print_Area,4,FALSE)))</f>
        <v xml:space="preserve">ايراد معاينات </v>
      </c>
      <c r="N3020" s="138" t="str">
        <f>IF(ISERROR(VLOOKUP(C3020,'[1]خريطة الحسابات'!_xlnm.Print_Area,5,FALSE))," ",(VLOOKUP(C3020,'[1]خريطة الحسابات'!_xlnm.Print_Area,5,FALSE)))</f>
        <v xml:space="preserve">الايرادات </v>
      </c>
      <c r="O3020" s="84" t="s">
        <v>2643</v>
      </c>
      <c r="P3020" s="84" t="s">
        <v>2457</v>
      </c>
    </row>
    <row r="3021" spans="1:16">
      <c r="A3021" s="151">
        <v>92</v>
      </c>
      <c r="B3021" s="131">
        <v>46089</v>
      </c>
      <c r="C3021" s="150" t="s">
        <v>1001</v>
      </c>
      <c r="D3021" s="140" t="str">
        <f>IF(ISERROR(VLOOKUP(C3021,'[1]خريطة الحسابات'!_xlnm.Print_Area,3,FALSE))," ",(VLOOKUP(C3021,'[1]خريطة الحسابات'!_xlnm.Print_Area,3,FALSE)))</f>
        <v>عميل الاندلس 280</v>
      </c>
      <c r="E3021" s="142"/>
      <c r="F3021" s="133">
        <v>9800</v>
      </c>
      <c r="G3021" s="133"/>
      <c r="H3021" s="134">
        <f t="shared" si="139"/>
        <v>9800</v>
      </c>
      <c r="I3021" s="134">
        <f t="shared" si="139"/>
        <v>0</v>
      </c>
      <c r="J3021" s="134">
        <f t="shared" si="138"/>
        <v>9800</v>
      </c>
      <c r="K3021" s="135"/>
      <c r="L3021" s="148" t="str">
        <f t="shared" si="140"/>
        <v>مدين</v>
      </c>
      <c r="M3021" s="137" t="str">
        <f>IF(ISERROR(VLOOKUP(C3021,'[1]خريطة الحسابات'!_xlnm.Print_Area,4,FALSE))," ",(VLOOKUP(C3021,'[1]خريطة الحسابات'!_xlnm.Print_Area,4,FALSE)))</f>
        <v>عملاء</v>
      </c>
      <c r="N3021" s="138" t="str">
        <f>IF(ISERROR(VLOOKUP(C3021,'[1]خريطة الحسابات'!_xlnm.Print_Area,5,FALSE))," ",(VLOOKUP(C3021,'[1]خريطة الحسابات'!_xlnm.Print_Area,5,FALSE)))</f>
        <v>المدينون والأرصدة المدينة الأخرى</v>
      </c>
      <c r="O3021" s="84" t="s">
        <v>2644</v>
      </c>
      <c r="P3021" s="84" t="s">
        <v>1310</v>
      </c>
    </row>
    <row r="3022" spans="1:16">
      <c r="A3022" s="151">
        <v>92</v>
      </c>
      <c r="B3022" s="131">
        <v>46160</v>
      </c>
      <c r="C3022" s="150">
        <v>6034</v>
      </c>
      <c r="D3022" s="140" t="str">
        <f>IF(ISERROR(VLOOKUP(C3022,'[1]خريطة الحسابات'!_xlnm.Print_Area,3,FALSE))," ",(VLOOKUP(C3022,'[1]خريطة الحسابات'!_xlnm.Print_Area,3,FALSE)))</f>
        <v>عميل ايمن مدينتي</v>
      </c>
      <c r="E3022" s="142"/>
      <c r="F3022" s="133">
        <v>40000</v>
      </c>
      <c r="G3022" s="133"/>
      <c r="H3022" s="134">
        <f t="shared" si="139"/>
        <v>40000</v>
      </c>
      <c r="I3022" s="134">
        <f t="shared" si="139"/>
        <v>0</v>
      </c>
      <c r="J3022" s="134">
        <f t="shared" si="138"/>
        <v>40000</v>
      </c>
      <c r="K3022" s="135"/>
      <c r="L3022" s="148" t="str">
        <f t="shared" si="140"/>
        <v>مدين</v>
      </c>
      <c r="M3022" s="137" t="str">
        <f>IF(ISERROR(VLOOKUP(C3022,'[1]خريطة الحسابات'!_xlnm.Print_Area,4,FALSE))," ",(VLOOKUP(C3022,'[1]خريطة الحسابات'!_xlnm.Print_Area,4,FALSE)))</f>
        <v>عملاء</v>
      </c>
      <c r="N3022" s="138" t="str">
        <f>IF(ISERROR(VLOOKUP(C3022,'[1]خريطة الحسابات'!_xlnm.Print_Area,5,FALSE))," ",(VLOOKUP(C3022,'[1]خريطة الحسابات'!_xlnm.Print_Area,5,FALSE)))</f>
        <v>المدينون والأرصدة المدينة الأخرى</v>
      </c>
      <c r="O3022" s="84" t="s">
        <v>2645</v>
      </c>
      <c r="P3022" s="84" t="s">
        <v>2646</v>
      </c>
    </row>
    <row r="3023" spans="1:16">
      <c r="A3023" s="151">
        <v>92</v>
      </c>
      <c r="B3023" s="131">
        <v>46089</v>
      </c>
      <c r="C3023" s="150">
        <v>6035</v>
      </c>
      <c r="D3023" s="140" t="str">
        <f>IF(ISERROR(VLOOKUP(C3023,'[1]خريطة الحسابات'!_xlnm.Print_Area,3,FALSE))," ",(VLOOKUP(C3023,'[1]خريطة الحسابات'!_xlnm.Print_Area,3,FALSE)))</f>
        <v xml:space="preserve">عميل دجلة مني المجنونة </v>
      </c>
      <c r="E3023" s="142"/>
      <c r="F3023" s="133">
        <v>8808</v>
      </c>
      <c r="G3023" s="133"/>
      <c r="H3023" s="134">
        <f t="shared" si="139"/>
        <v>8808</v>
      </c>
      <c r="I3023" s="134">
        <f t="shared" si="139"/>
        <v>0</v>
      </c>
      <c r="J3023" s="134">
        <f t="shared" si="138"/>
        <v>8808</v>
      </c>
      <c r="K3023" s="135"/>
      <c r="L3023" s="148" t="str">
        <f t="shared" si="140"/>
        <v>مدين</v>
      </c>
      <c r="M3023" s="137" t="str">
        <f>IF(ISERROR(VLOOKUP(C3023,'[1]خريطة الحسابات'!_xlnm.Print_Area,4,FALSE))," ",(VLOOKUP(C3023,'[1]خريطة الحسابات'!_xlnm.Print_Area,4,FALSE)))</f>
        <v>عملاء</v>
      </c>
      <c r="N3023" s="138" t="str">
        <f>IF(ISERROR(VLOOKUP(C3023,'[1]خريطة الحسابات'!_xlnm.Print_Area,5,FALSE))," ",(VLOOKUP(C3023,'[1]خريطة الحسابات'!_xlnm.Print_Area,5,FALSE)))</f>
        <v>المدينون والأرصدة المدينة الأخرى</v>
      </c>
      <c r="O3023" s="84" t="s">
        <v>2647</v>
      </c>
      <c r="P3023" s="84" t="s">
        <v>2648</v>
      </c>
    </row>
    <row r="3024" spans="1:16">
      <c r="A3024" s="151">
        <v>92</v>
      </c>
      <c r="B3024" s="131">
        <v>46089</v>
      </c>
      <c r="C3024" s="150">
        <v>20</v>
      </c>
      <c r="D3024" s="140" t="str">
        <f>IF(ISERROR(VLOOKUP(C3024,'[1]خريطة الحسابات'!_xlnm.Print_Area,3,FALSE))," ",(VLOOKUP(C3024,'[1]خريطة الحسابات'!_xlnm.Print_Area,3,FALSE)))</f>
        <v xml:space="preserve">الخزينة </v>
      </c>
      <c r="E3024" s="142"/>
      <c r="F3024" s="133"/>
      <c r="G3024" s="133">
        <v>9800</v>
      </c>
      <c r="H3024" s="134">
        <f t="shared" si="139"/>
        <v>0</v>
      </c>
      <c r="I3024" s="134">
        <f t="shared" si="139"/>
        <v>9800</v>
      </c>
      <c r="J3024" s="134">
        <f t="shared" si="138"/>
        <v>-9800</v>
      </c>
      <c r="K3024" s="135"/>
      <c r="L3024" s="148" t="str">
        <f t="shared" si="140"/>
        <v>دائن</v>
      </c>
      <c r="M3024" s="137" t="str">
        <f>IF(ISERROR(VLOOKUP(C3024,'[1]خريطة الحسابات'!_xlnm.Print_Area,4,FALSE))," ",(VLOOKUP(C3024,'[1]خريطة الحسابات'!_xlnm.Print_Area,4,FALSE)))</f>
        <v xml:space="preserve">أصول متداوله -النقدية ومافي حكمها </v>
      </c>
      <c r="N3024" s="138" t="str">
        <f>IF(ISERROR(VLOOKUP(C3024,'[1]خريطة الحسابات'!_xlnm.Print_Area,5,FALSE))," ",(VLOOKUP(C3024,'[1]خريطة الحسابات'!_xlnm.Print_Area,5,FALSE)))</f>
        <v>الاصول</v>
      </c>
      <c r="O3024" s="84" t="s">
        <v>2644</v>
      </c>
      <c r="P3024" s="84" t="s">
        <v>1310</v>
      </c>
    </row>
    <row r="3025" spans="1:16">
      <c r="A3025" s="151">
        <v>92</v>
      </c>
      <c r="B3025" s="131">
        <v>46160</v>
      </c>
      <c r="C3025" s="150">
        <v>20</v>
      </c>
      <c r="D3025" s="140" t="str">
        <f>IF(ISERROR(VLOOKUP(C3025,'[1]خريطة الحسابات'!_xlnm.Print_Area,3,FALSE))," ",(VLOOKUP(C3025,'[1]خريطة الحسابات'!_xlnm.Print_Area,3,FALSE)))</f>
        <v xml:space="preserve">الخزينة </v>
      </c>
      <c r="E3025" s="142"/>
      <c r="F3025" s="133"/>
      <c r="G3025" s="133">
        <v>40000</v>
      </c>
      <c r="H3025" s="134">
        <f t="shared" si="139"/>
        <v>0</v>
      </c>
      <c r="I3025" s="134">
        <f t="shared" si="139"/>
        <v>40000</v>
      </c>
      <c r="J3025" s="134">
        <f t="shared" si="138"/>
        <v>-40000</v>
      </c>
      <c r="K3025" s="135"/>
      <c r="L3025" s="148" t="str">
        <f t="shared" si="140"/>
        <v>دائن</v>
      </c>
      <c r="M3025" s="137" t="str">
        <f>IF(ISERROR(VLOOKUP(C3025,'[1]خريطة الحسابات'!_xlnm.Print_Area,4,FALSE))," ",(VLOOKUP(C3025,'[1]خريطة الحسابات'!_xlnm.Print_Area,4,FALSE)))</f>
        <v xml:space="preserve">أصول متداوله -النقدية ومافي حكمها </v>
      </c>
      <c r="N3025" s="138" t="str">
        <f>IF(ISERROR(VLOOKUP(C3025,'[1]خريطة الحسابات'!_xlnm.Print_Area,5,FALSE))," ",(VLOOKUP(C3025,'[1]خريطة الحسابات'!_xlnm.Print_Area,5,FALSE)))</f>
        <v>الاصول</v>
      </c>
      <c r="O3025" s="84" t="s">
        <v>2645</v>
      </c>
      <c r="P3025" s="84" t="s">
        <v>2646</v>
      </c>
    </row>
    <row r="3026" spans="1:16">
      <c r="A3026" s="151">
        <v>92</v>
      </c>
      <c r="B3026" s="131">
        <v>46089</v>
      </c>
      <c r="C3026" s="150">
        <v>20</v>
      </c>
      <c r="D3026" s="140" t="str">
        <f>IF(ISERROR(VLOOKUP(C3026,'[1]خريطة الحسابات'!_xlnm.Print_Area,3,FALSE))," ",(VLOOKUP(C3026,'[1]خريطة الحسابات'!_xlnm.Print_Area,3,FALSE)))</f>
        <v xml:space="preserve">الخزينة </v>
      </c>
      <c r="E3026" s="142"/>
      <c r="F3026" s="133"/>
      <c r="G3026" s="133">
        <v>8808</v>
      </c>
      <c r="H3026" s="134">
        <f t="shared" si="139"/>
        <v>0</v>
      </c>
      <c r="I3026" s="134">
        <f t="shared" si="139"/>
        <v>8808</v>
      </c>
      <c r="J3026" s="134">
        <f t="shared" si="138"/>
        <v>-8808</v>
      </c>
      <c r="K3026" s="135"/>
      <c r="L3026" s="148" t="str">
        <f t="shared" si="140"/>
        <v>دائن</v>
      </c>
      <c r="M3026" s="137" t="str">
        <f>IF(ISERROR(VLOOKUP(C3026,'[1]خريطة الحسابات'!_xlnm.Print_Area,4,FALSE))," ",(VLOOKUP(C3026,'[1]خريطة الحسابات'!_xlnm.Print_Area,4,FALSE)))</f>
        <v xml:space="preserve">أصول متداوله -النقدية ومافي حكمها </v>
      </c>
      <c r="N3026" s="138" t="str">
        <f>IF(ISERROR(VLOOKUP(C3026,'[1]خريطة الحسابات'!_xlnm.Print_Area,5,FALSE))," ",(VLOOKUP(C3026,'[1]خريطة الحسابات'!_xlnm.Print_Area,5,FALSE)))</f>
        <v>الاصول</v>
      </c>
      <c r="O3026" s="84" t="s">
        <v>2647</v>
      </c>
      <c r="P3026" s="84" t="s">
        <v>2648</v>
      </c>
    </row>
    <row r="3027" spans="1:16">
      <c r="A3027" s="151">
        <v>93</v>
      </c>
      <c r="B3027" s="131">
        <v>46047</v>
      </c>
      <c r="C3027" s="150">
        <v>20</v>
      </c>
      <c r="D3027" s="140" t="str">
        <f>IF(ISERROR(VLOOKUP(C3027,'[1]خريطة الحسابات'!_xlnm.Print_Area,3,FALSE))," ",(VLOOKUP(C3027,'[1]خريطة الحسابات'!_xlnm.Print_Area,3,FALSE)))</f>
        <v xml:space="preserve">الخزينة </v>
      </c>
      <c r="E3027" s="142"/>
      <c r="F3027" s="133">
        <v>9715</v>
      </c>
      <c r="G3027" s="133"/>
      <c r="H3027" s="134">
        <f t="shared" si="139"/>
        <v>9715</v>
      </c>
      <c r="I3027" s="134">
        <f t="shared" si="139"/>
        <v>0</v>
      </c>
      <c r="J3027" s="134">
        <f t="shared" si="138"/>
        <v>9715</v>
      </c>
      <c r="K3027" s="135"/>
      <c r="L3027" s="148" t="str">
        <f t="shared" si="140"/>
        <v>مدين</v>
      </c>
      <c r="M3027" s="137" t="str">
        <f>IF(ISERROR(VLOOKUP(C3027,'[1]خريطة الحسابات'!_xlnm.Print_Area,4,FALSE))," ",(VLOOKUP(C3027,'[1]خريطة الحسابات'!_xlnm.Print_Area,4,FALSE)))</f>
        <v xml:space="preserve">أصول متداوله -النقدية ومافي حكمها </v>
      </c>
      <c r="N3027" s="138" t="str">
        <f>IF(ISERROR(VLOOKUP(C3027,'[1]خريطة الحسابات'!_xlnm.Print_Area,5,FALSE))," ",(VLOOKUP(C3027,'[1]خريطة الحسابات'!_xlnm.Print_Area,5,FALSE)))</f>
        <v>الاصول</v>
      </c>
      <c r="O3027" s="84" t="s">
        <v>2649</v>
      </c>
      <c r="P3027" s="84" t="s">
        <v>1139</v>
      </c>
    </row>
    <row r="3028" spans="1:16">
      <c r="A3028" s="151">
        <v>93</v>
      </c>
      <c r="B3028" s="131">
        <v>46047</v>
      </c>
      <c r="C3028" s="150" t="s">
        <v>1138</v>
      </c>
      <c r="D3028" s="140" t="str">
        <f>IF(ISERROR(VLOOKUP(C3028,'[1]خريطة الحسابات'!_xlnm.Print_Area,3,FALSE))," ",(VLOOKUP(C3028,'[1]خريطة الحسابات'!_xlnm.Print_Area,3,FALSE)))</f>
        <v xml:space="preserve">ايراد خامات </v>
      </c>
      <c r="E3028" s="142"/>
      <c r="F3028" s="133"/>
      <c r="G3028" s="133">
        <v>9715</v>
      </c>
      <c r="H3028" s="134">
        <f t="shared" si="139"/>
        <v>0</v>
      </c>
      <c r="I3028" s="134">
        <f t="shared" si="139"/>
        <v>9715</v>
      </c>
      <c r="J3028" s="134">
        <f t="shared" si="138"/>
        <v>-9715</v>
      </c>
      <c r="K3028" s="135"/>
      <c r="L3028" s="148" t="str">
        <f t="shared" si="140"/>
        <v>دائن</v>
      </c>
      <c r="M3028" s="137" t="str">
        <f>IF(ISERROR(VLOOKUP(C3028,'[1]خريطة الحسابات'!_xlnm.Print_Area,4,FALSE))," ",(VLOOKUP(C3028,'[1]خريطة الحسابات'!_xlnm.Print_Area,4,FALSE)))</f>
        <v xml:space="preserve">ايراد خامات </v>
      </c>
      <c r="N3028" s="138" t="str">
        <f>IF(ISERROR(VLOOKUP(C3028,'[1]خريطة الحسابات'!_xlnm.Print_Area,5,FALSE))," ",(VLOOKUP(C3028,'[1]خريطة الحسابات'!_xlnm.Print_Area,5,FALSE)))</f>
        <v xml:space="preserve">الايرادات </v>
      </c>
      <c r="O3028" s="84" t="s">
        <v>2649</v>
      </c>
      <c r="P3028" s="84" t="s">
        <v>1139</v>
      </c>
    </row>
    <row r="3029" spans="1:16">
      <c r="A3029" s="151">
        <v>94</v>
      </c>
      <c r="B3029" s="131">
        <v>46067</v>
      </c>
      <c r="C3029" s="150">
        <v>20</v>
      </c>
      <c r="D3029" s="140" t="str">
        <f>IF(ISERROR(VLOOKUP(C3029,'[1]خريطة الحسابات'!_xlnm.Print_Area,3,FALSE))," ",(VLOOKUP(C3029,'[1]خريطة الحسابات'!_xlnm.Print_Area,3,FALSE)))</f>
        <v xml:space="preserve">الخزينة </v>
      </c>
      <c r="E3029" s="142"/>
      <c r="F3029" s="133">
        <v>28000</v>
      </c>
      <c r="G3029" s="133"/>
      <c r="H3029" s="134">
        <f t="shared" si="139"/>
        <v>28000</v>
      </c>
      <c r="I3029" s="134">
        <f t="shared" si="139"/>
        <v>0</v>
      </c>
      <c r="J3029" s="134">
        <f t="shared" si="138"/>
        <v>28000</v>
      </c>
      <c r="K3029" s="135"/>
      <c r="L3029" s="148" t="str">
        <f t="shared" si="140"/>
        <v>مدين</v>
      </c>
      <c r="M3029" s="137" t="str">
        <f>IF(ISERROR(VLOOKUP(C3029,'[1]خريطة الحسابات'!_xlnm.Print_Area,4,FALSE))," ",(VLOOKUP(C3029,'[1]خريطة الحسابات'!_xlnm.Print_Area,4,FALSE)))</f>
        <v xml:space="preserve">أصول متداوله -النقدية ومافي حكمها </v>
      </c>
      <c r="N3029" s="138" t="str">
        <f>IF(ISERROR(VLOOKUP(C3029,'[1]خريطة الحسابات'!_xlnm.Print_Area,5,FALSE))," ",(VLOOKUP(C3029,'[1]خريطة الحسابات'!_xlnm.Print_Area,5,FALSE)))</f>
        <v>الاصول</v>
      </c>
      <c r="O3029" s="84" t="s">
        <v>2650</v>
      </c>
      <c r="P3029" s="84" t="s">
        <v>2489</v>
      </c>
    </row>
    <row r="3030" spans="1:16">
      <c r="A3030" s="151">
        <v>94</v>
      </c>
      <c r="B3030" s="131">
        <v>46082</v>
      </c>
      <c r="C3030" s="150">
        <v>20</v>
      </c>
      <c r="D3030" s="140" t="str">
        <f>IF(ISERROR(VLOOKUP(C3030,'[1]خريطة الحسابات'!_xlnm.Print_Area,3,FALSE))," ",(VLOOKUP(C3030,'[1]خريطة الحسابات'!_xlnm.Print_Area,3,FALSE)))</f>
        <v xml:space="preserve">الخزينة </v>
      </c>
      <c r="E3030" s="142"/>
      <c r="F3030" s="133">
        <v>13900</v>
      </c>
      <c r="G3030" s="133"/>
      <c r="H3030" s="134">
        <f t="shared" si="139"/>
        <v>13900</v>
      </c>
      <c r="I3030" s="134">
        <f t="shared" si="139"/>
        <v>0</v>
      </c>
      <c r="J3030" s="134">
        <f t="shared" si="138"/>
        <v>13900</v>
      </c>
      <c r="K3030" s="135"/>
      <c r="L3030" s="148" t="str">
        <f t="shared" si="140"/>
        <v>مدين</v>
      </c>
      <c r="M3030" s="137" t="str">
        <f>IF(ISERROR(VLOOKUP(C3030,'[1]خريطة الحسابات'!_xlnm.Print_Area,4,FALSE))," ",(VLOOKUP(C3030,'[1]خريطة الحسابات'!_xlnm.Print_Area,4,FALSE)))</f>
        <v xml:space="preserve">أصول متداوله -النقدية ومافي حكمها </v>
      </c>
      <c r="N3030" s="138" t="str">
        <f>IF(ISERROR(VLOOKUP(C3030,'[1]خريطة الحسابات'!_xlnm.Print_Area,5,FALSE))," ",(VLOOKUP(C3030,'[1]خريطة الحسابات'!_xlnm.Print_Area,5,FALSE)))</f>
        <v>الاصول</v>
      </c>
      <c r="O3030" s="84" t="s">
        <v>2651</v>
      </c>
      <c r="P3030" s="84" t="s">
        <v>1345</v>
      </c>
    </row>
    <row r="3031" spans="1:16">
      <c r="A3031" s="151">
        <v>94</v>
      </c>
      <c r="B3031" s="131">
        <v>46061</v>
      </c>
      <c r="C3031" s="150">
        <v>20</v>
      </c>
      <c r="D3031" s="140" t="str">
        <f>IF(ISERROR(VLOOKUP(C3031,'[1]خريطة الحسابات'!_xlnm.Print_Area,3,FALSE))," ",(VLOOKUP(C3031,'[1]خريطة الحسابات'!_xlnm.Print_Area,3,FALSE)))</f>
        <v xml:space="preserve">الخزينة </v>
      </c>
      <c r="E3031" s="142"/>
      <c r="F3031" s="133">
        <v>13700</v>
      </c>
      <c r="G3031" s="133"/>
      <c r="H3031" s="134">
        <f t="shared" si="139"/>
        <v>13700</v>
      </c>
      <c r="I3031" s="134">
        <f t="shared" si="139"/>
        <v>0</v>
      </c>
      <c r="J3031" s="134">
        <f t="shared" si="138"/>
        <v>13700</v>
      </c>
      <c r="K3031" s="135"/>
      <c r="L3031" s="148" t="str">
        <f t="shared" si="140"/>
        <v>مدين</v>
      </c>
      <c r="M3031" s="137" t="str">
        <f>IF(ISERROR(VLOOKUP(C3031,'[1]خريطة الحسابات'!_xlnm.Print_Area,4,FALSE))," ",(VLOOKUP(C3031,'[1]خريطة الحسابات'!_xlnm.Print_Area,4,FALSE)))</f>
        <v xml:space="preserve">أصول متداوله -النقدية ومافي حكمها </v>
      </c>
      <c r="N3031" s="138" t="str">
        <f>IF(ISERROR(VLOOKUP(C3031,'[1]خريطة الحسابات'!_xlnm.Print_Area,5,FALSE))," ",(VLOOKUP(C3031,'[1]خريطة الحسابات'!_xlnm.Print_Area,5,FALSE)))</f>
        <v>الاصول</v>
      </c>
      <c r="O3031" s="84" t="s">
        <v>2652</v>
      </c>
      <c r="P3031" s="84" t="s">
        <v>2653</v>
      </c>
    </row>
    <row r="3032" spans="1:16">
      <c r="A3032" s="151">
        <v>94</v>
      </c>
      <c r="B3032" s="131">
        <v>46168</v>
      </c>
      <c r="C3032" s="150">
        <v>20</v>
      </c>
      <c r="D3032" s="140" t="str">
        <f>IF(ISERROR(VLOOKUP(C3032,'[1]خريطة الحسابات'!_xlnm.Print_Area,3,FALSE))," ",(VLOOKUP(C3032,'[1]خريطة الحسابات'!_xlnm.Print_Area,3,FALSE)))</f>
        <v xml:space="preserve">الخزينة </v>
      </c>
      <c r="E3032" s="142"/>
      <c r="F3032" s="133">
        <v>13700</v>
      </c>
      <c r="G3032" s="133"/>
      <c r="H3032" s="134">
        <f t="shared" si="139"/>
        <v>13700</v>
      </c>
      <c r="I3032" s="134">
        <f t="shared" si="139"/>
        <v>0</v>
      </c>
      <c r="J3032" s="134">
        <f t="shared" ref="J3032:J3095" si="141">H3032-I3032</f>
        <v>13700</v>
      </c>
      <c r="K3032" s="135"/>
      <c r="L3032" s="148" t="str">
        <f t="shared" si="140"/>
        <v>مدين</v>
      </c>
      <c r="M3032" s="137" t="str">
        <f>IF(ISERROR(VLOOKUP(C3032,'[1]خريطة الحسابات'!_xlnm.Print_Area,4,FALSE))," ",(VLOOKUP(C3032,'[1]خريطة الحسابات'!_xlnm.Print_Area,4,FALSE)))</f>
        <v xml:space="preserve">أصول متداوله -النقدية ومافي حكمها </v>
      </c>
      <c r="N3032" s="138" t="str">
        <f>IF(ISERROR(VLOOKUP(C3032,'[1]خريطة الحسابات'!_xlnm.Print_Area,5,FALSE))," ",(VLOOKUP(C3032,'[1]خريطة الحسابات'!_xlnm.Print_Area,5,FALSE)))</f>
        <v>الاصول</v>
      </c>
      <c r="O3032" s="84" t="s">
        <v>2654</v>
      </c>
      <c r="P3032" s="84" t="s">
        <v>2653</v>
      </c>
    </row>
    <row r="3033" spans="1:16">
      <c r="A3033" s="151">
        <v>94</v>
      </c>
      <c r="B3033" s="131">
        <v>46028</v>
      </c>
      <c r="C3033" s="150">
        <v>20</v>
      </c>
      <c r="D3033" s="140" t="str">
        <f>IF(ISERROR(VLOOKUP(C3033,'[1]خريطة الحسابات'!_xlnm.Print_Area,3,FALSE))," ",(VLOOKUP(C3033,'[1]خريطة الحسابات'!_xlnm.Print_Area,3,FALSE)))</f>
        <v xml:space="preserve">الخزينة </v>
      </c>
      <c r="E3033" s="142"/>
      <c r="F3033" s="133">
        <v>40000</v>
      </c>
      <c r="G3033" s="133"/>
      <c r="H3033" s="134">
        <f t="shared" ref="H3033:I3096" si="142">IF($E3033=2,F3033*3.465,F3033)</f>
        <v>40000</v>
      </c>
      <c r="I3033" s="134">
        <f t="shared" si="142"/>
        <v>0</v>
      </c>
      <c r="J3033" s="134">
        <f t="shared" si="141"/>
        <v>40000</v>
      </c>
      <c r="K3033" s="135"/>
      <c r="L3033" s="148" t="str">
        <f t="shared" si="140"/>
        <v>مدين</v>
      </c>
      <c r="M3033" s="137" t="str">
        <f>IF(ISERROR(VLOOKUP(C3033,'[1]خريطة الحسابات'!_xlnm.Print_Area,4,FALSE))," ",(VLOOKUP(C3033,'[1]خريطة الحسابات'!_xlnm.Print_Area,4,FALSE)))</f>
        <v xml:space="preserve">أصول متداوله -النقدية ومافي حكمها </v>
      </c>
      <c r="N3033" s="138" t="str">
        <f>IF(ISERROR(VLOOKUP(C3033,'[1]خريطة الحسابات'!_xlnm.Print_Area,5,FALSE))," ",(VLOOKUP(C3033,'[1]خريطة الحسابات'!_xlnm.Print_Area,5,FALSE)))</f>
        <v>الاصول</v>
      </c>
      <c r="O3033" s="84" t="s">
        <v>2655</v>
      </c>
      <c r="P3033" s="84" t="s">
        <v>1480</v>
      </c>
    </row>
    <row r="3034" spans="1:16">
      <c r="A3034" s="151">
        <v>94</v>
      </c>
      <c r="B3034" s="131">
        <v>46089</v>
      </c>
      <c r="C3034" s="150">
        <v>20</v>
      </c>
      <c r="D3034" s="140" t="str">
        <f>IF(ISERROR(VLOOKUP(C3034,'[1]خريطة الحسابات'!_xlnm.Print_Area,3,FALSE))," ",(VLOOKUP(C3034,'[1]خريطة الحسابات'!_xlnm.Print_Area,3,FALSE)))</f>
        <v xml:space="preserve">الخزينة </v>
      </c>
      <c r="E3034" s="142"/>
      <c r="F3034" s="133">
        <v>30000</v>
      </c>
      <c r="G3034" s="133"/>
      <c r="H3034" s="134">
        <f t="shared" si="142"/>
        <v>30000</v>
      </c>
      <c r="I3034" s="134">
        <f t="shared" si="142"/>
        <v>0</v>
      </c>
      <c r="J3034" s="134">
        <f t="shared" si="141"/>
        <v>30000</v>
      </c>
      <c r="K3034" s="135"/>
      <c r="L3034" s="148" t="str">
        <f t="shared" si="140"/>
        <v>مدين</v>
      </c>
      <c r="M3034" s="137" t="str">
        <f>IF(ISERROR(VLOOKUP(C3034,'[1]خريطة الحسابات'!_xlnm.Print_Area,4,FALSE))," ",(VLOOKUP(C3034,'[1]خريطة الحسابات'!_xlnm.Print_Area,4,FALSE)))</f>
        <v xml:space="preserve">أصول متداوله -النقدية ومافي حكمها </v>
      </c>
      <c r="N3034" s="138" t="str">
        <f>IF(ISERROR(VLOOKUP(C3034,'[1]خريطة الحسابات'!_xlnm.Print_Area,5,FALSE))," ",(VLOOKUP(C3034,'[1]خريطة الحسابات'!_xlnm.Print_Area,5,FALSE)))</f>
        <v>الاصول</v>
      </c>
      <c r="O3034" s="84" t="s">
        <v>2656</v>
      </c>
      <c r="P3034" s="84" t="s">
        <v>1480</v>
      </c>
    </row>
    <row r="3035" spans="1:16">
      <c r="A3035" s="151">
        <v>94</v>
      </c>
      <c r="B3035" s="131">
        <v>46154</v>
      </c>
      <c r="C3035" s="150">
        <v>20</v>
      </c>
      <c r="D3035" s="140" t="str">
        <f>IF(ISERROR(VLOOKUP(C3035,'[1]خريطة الحسابات'!_xlnm.Print_Area,3,FALSE))," ",(VLOOKUP(C3035,'[1]خريطة الحسابات'!_xlnm.Print_Area,3,FALSE)))</f>
        <v xml:space="preserve">الخزينة </v>
      </c>
      <c r="E3035" s="142"/>
      <c r="F3035" s="133">
        <v>12500</v>
      </c>
      <c r="G3035" s="133"/>
      <c r="H3035" s="134">
        <f t="shared" si="142"/>
        <v>12500</v>
      </c>
      <c r="I3035" s="134">
        <f t="shared" si="142"/>
        <v>0</v>
      </c>
      <c r="J3035" s="134">
        <f t="shared" si="141"/>
        <v>12500</v>
      </c>
      <c r="K3035" s="135"/>
      <c r="L3035" s="148" t="str">
        <f t="shared" ref="L3035:L3098" si="143">IF(J3035&lt;0,"دائن",IF(J3035&gt;0,"مدين",""))</f>
        <v>مدين</v>
      </c>
      <c r="M3035" s="137" t="str">
        <f>IF(ISERROR(VLOOKUP(C3035,'[1]خريطة الحسابات'!_xlnm.Print_Area,4,FALSE))," ",(VLOOKUP(C3035,'[1]خريطة الحسابات'!_xlnm.Print_Area,4,FALSE)))</f>
        <v xml:space="preserve">أصول متداوله -النقدية ومافي حكمها </v>
      </c>
      <c r="N3035" s="138" t="str">
        <f>IF(ISERROR(VLOOKUP(C3035,'[1]خريطة الحسابات'!_xlnm.Print_Area,5,FALSE))," ",(VLOOKUP(C3035,'[1]خريطة الحسابات'!_xlnm.Print_Area,5,FALSE)))</f>
        <v>الاصول</v>
      </c>
      <c r="O3035" s="84" t="s">
        <v>2657</v>
      </c>
      <c r="P3035" s="84" t="s">
        <v>2658</v>
      </c>
    </row>
    <row r="3036" spans="1:16">
      <c r="A3036" s="151">
        <v>94</v>
      </c>
      <c r="B3036" s="131">
        <v>46097</v>
      </c>
      <c r="C3036" s="150">
        <v>20</v>
      </c>
      <c r="D3036" s="140" t="str">
        <f>IF(ISERROR(VLOOKUP(C3036,'[1]خريطة الحسابات'!_xlnm.Print_Area,3,FALSE))," ",(VLOOKUP(C3036,'[1]خريطة الحسابات'!_xlnm.Print_Area,3,FALSE)))</f>
        <v xml:space="preserve">الخزينة </v>
      </c>
      <c r="E3036" s="142"/>
      <c r="F3036" s="133">
        <v>15000</v>
      </c>
      <c r="G3036" s="133"/>
      <c r="H3036" s="134">
        <f t="shared" si="142"/>
        <v>15000</v>
      </c>
      <c r="I3036" s="134">
        <f t="shared" si="142"/>
        <v>0</v>
      </c>
      <c r="J3036" s="134">
        <f t="shared" si="141"/>
        <v>15000</v>
      </c>
      <c r="K3036" s="135"/>
      <c r="L3036" s="148" t="str">
        <f t="shared" si="143"/>
        <v>مدين</v>
      </c>
      <c r="M3036" s="137" t="str">
        <f>IF(ISERROR(VLOOKUP(C3036,'[1]خريطة الحسابات'!_xlnm.Print_Area,4,FALSE))," ",(VLOOKUP(C3036,'[1]خريطة الحسابات'!_xlnm.Print_Area,4,FALSE)))</f>
        <v xml:space="preserve">أصول متداوله -النقدية ومافي حكمها </v>
      </c>
      <c r="N3036" s="138" t="str">
        <f>IF(ISERROR(VLOOKUP(C3036,'[1]خريطة الحسابات'!_xlnm.Print_Area,5,FALSE))," ",(VLOOKUP(C3036,'[1]خريطة الحسابات'!_xlnm.Print_Area,5,FALSE)))</f>
        <v>الاصول</v>
      </c>
      <c r="O3036" s="84" t="s">
        <v>2659</v>
      </c>
      <c r="P3036" s="84" t="s">
        <v>2491</v>
      </c>
    </row>
    <row r="3037" spans="1:16">
      <c r="A3037" s="151">
        <v>94</v>
      </c>
      <c r="B3037" s="131">
        <v>46163</v>
      </c>
      <c r="C3037" s="150">
        <v>20</v>
      </c>
      <c r="D3037" s="140" t="str">
        <f>IF(ISERROR(VLOOKUP(C3037,'[1]خريطة الحسابات'!_xlnm.Print_Area,3,FALSE))," ",(VLOOKUP(C3037,'[1]خريطة الحسابات'!_xlnm.Print_Area,3,FALSE)))</f>
        <v xml:space="preserve">الخزينة </v>
      </c>
      <c r="E3037" s="142"/>
      <c r="F3037" s="133">
        <v>8760</v>
      </c>
      <c r="G3037" s="133"/>
      <c r="H3037" s="134">
        <f t="shared" si="142"/>
        <v>8760</v>
      </c>
      <c r="I3037" s="134">
        <f t="shared" si="142"/>
        <v>0</v>
      </c>
      <c r="J3037" s="134">
        <f t="shared" si="141"/>
        <v>8760</v>
      </c>
      <c r="K3037" s="135"/>
      <c r="L3037" s="148" t="str">
        <f t="shared" si="143"/>
        <v>مدين</v>
      </c>
      <c r="M3037" s="137" t="str">
        <f>IF(ISERROR(VLOOKUP(C3037,'[1]خريطة الحسابات'!_xlnm.Print_Area,4,FALSE))," ",(VLOOKUP(C3037,'[1]خريطة الحسابات'!_xlnm.Print_Area,4,FALSE)))</f>
        <v xml:space="preserve">أصول متداوله -النقدية ومافي حكمها </v>
      </c>
      <c r="N3037" s="138" t="str">
        <f>IF(ISERROR(VLOOKUP(C3037,'[1]خريطة الحسابات'!_xlnm.Print_Area,5,FALSE))," ",(VLOOKUP(C3037,'[1]خريطة الحسابات'!_xlnm.Print_Area,5,FALSE)))</f>
        <v>الاصول</v>
      </c>
      <c r="O3037" s="84" t="s">
        <v>2660</v>
      </c>
      <c r="P3037" s="84" t="s">
        <v>2491</v>
      </c>
    </row>
    <row r="3038" spans="1:16">
      <c r="A3038" s="151">
        <v>94</v>
      </c>
      <c r="B3038" s="131">
        <v>46028</v>
      </c>
      <c r="C3038" s="150">
        <v>20</v>
      </c>
      <c r="D3038" s="140" t="str">
        <f>IF(ISERROR(VLOOKUP(C3038,'[1]خريطة الحسابات'!_xlnm.Print_Area,3,FALSE))," ",(VLOOKUP(C3038,'[1]خريطة الحسابات'!_xlnm.Print_Area,3,FALSE)))</f>
        <v xml:space="preserve">الخزينة </v>
      </c>
      <c r="E3038" s="142"/>
      <c r="F3038" s="133">
        <v>19000</v>
      </c>
      <c r="G3038" s="133"/>
      <c r="H3038" s="134">
        <f t="shared" si="142"/>
        <v>19000</v>
      </c>
      <c r="I3038" s="134">
        <f t="shared" si="142"/>
        <v>0</v>
      </c>
      <c r="J3038" s="134">
        <f t="shared" si="141"/>
        <v>19000</v>
      </c>
      <c r="K3038" s="135"/>
      <c r="L3038" s="148" t="str">
        <f t="shared" si="143"/>
        <v>مدين</v>
      </c>
      <c r="M3038" s="137" t="str">
        <f>IF(ISERROR(VLOOKUP(C3038,'[1]خريطة الحسابات'!_xlnm.Print_Area,4,FALSE))," ",(VLOOKUP(C3038,'[1]خريطة الحسابات'!_xlnm.Print_Area,4,FALSE)))</f>
        <v xml:space="preserve">أصول متداوله -النقدية ومافي حكمها </v>
      </c>
      <c r="N3038" s="138" t="str">
        <f>IF(ISERROR(VLOOKUP(C3038,'[1]خريطة الحسابات'!_xlnm.Print_Area,5,FALSE))," ",(VLOOKUP(C3038,'[1]خريطة الحسابات'!_xlnm.Print_Area,5,FALSE)))</f>
        <v>الاصول</v>
      </c>
      <c r="O3038" s="84" t="s">
        <v>2661</v>
      </c>
      <c r="P3038" s="84" t="s">
        <v>1315</v>
      </c>
    </row>
    <row r="3039" spans="1:16">
      <c r="A3039" s="151">
        <v>94</v>
      </c>
      <c r="B3039" s="131">
        <v>46064</v>
      </c>
      <c r="C3039" s="150">
        <v>20</v>
      </c>
      <c r="D3039" s="140" t="str">
        <f>IF(ISERROR(VLOOKUP(C3039,'[1]خريطة الحسابات'!_xlnm.Print_Area,3,FALSE))," ",(VLOOKUP(C3039,'[1]خريطة الحسابات'!_xlnm.Print_Area,3,FALSE)))</f>
        <v xml:space="preserve">الخزينة </v>
      </c>
      <c r="E3039" s="142"/>
      <c r="F3039" s="133">
        <v>17500</v>
      </c>
      <c r="G3039" s="133"/>
      <c r="H3039" s="134">
        <f t="shared" si="142"/>
        <v>17500</v>
      </c>
      <c r="I3039" s="134">
        <f t="shared" si="142"/>
        <v>0</v>
      </c>
      <c r="J3039" s="134">
        <f t="shared" si="141"/>
        <v>17500</v>
      </c>
      <c r="K3039" s="135"/>
      <c r="L3039" s="148" t="str">
        <f t="shared" si="143"/>
        <v>مدين</v>
      </c>
      <c r="M3039" s="137" t="str">
        <f>IF(ISERROR(VLOOKUP(C3039,'[1]خريطة الحسابات'!_xlnm.Print_Area,4,FALSE))," ",(VLOOKUP(C3039,'[1]خريطة الحسابات'!_xlnm.Print_Area,4,FALSE)))</f>
        <v xml:space="preserve">أصول متداوله -النقدية ومافي حكمها </v>
      </c>
      <c r="N3039" s="138" t="str">
        <f>IF(ISERROR(VLOOKUP(C3039,'[1]خريطة الحسابات'!_xlnm.Print_Area,5,FALSE))," ",(VLOOKUP(C3039,'[1]خريطة الحسابات'!_xlnm.Print_Area,5,FALSE)))</f>
        <v>الاصول</v>
      </c>
      <c r="O3039" s="84" t="s">
        <v>2662</v>
      </c>
      <c r="P3039" s="84" t="s">
        <v>1489</v>
      </c>
    </row>
    <row r="3040" spans="1:16">
      <c r="A3040" s="151">
        <v>94</v>
      </c>
      <c r="B3040" s="131">
        <v>46047</v>
      </c>
      <c r="C3040" s="150">
        <v>20</v>
      </c>
      <c r="D3040" s="140" t="str">
        <f>IF(ISERROR(VLOOKUP(C3040,'[1]خريطة الحسابات'!_xlnm.Print_Area,3,FALSE))," ",(VLOOKUP(C3040,'[1]خريطة الحسابات'!_xlnm.Print_Area,3,FALSE)))</f>
        <v xml:space="preserve">الخزينة </v>
      </c>
      <c r="E3040" s="142"/>
      <c r="F3040" s="133">
        <v>12500</v>
      </c>
      <c r="G3040" s="133"/>
      <c r="H3040" s="134">
        <f t="shared" si="142"/>
        <v>12500</v>
      </c>
      <c r="I3040" s="134">
        <f t="shared" si="142"/>
        <v>0</v>
      </c>
      <c r="J3040" s="134">
        <f t="shared" si="141"/>
        <v>12500</v>
      </c>
      <c r="K3040" s="135"/>
      <c r="L3040" s="148" t="str">
        <f t="shared" si="143"/>
        <v>مدين</v>
      </c>
      <c r="M3040" s="137" t="str">
        <f>IF(ISERROR(VLOOKUP(C3040,'[1]خريطة الحسابات'!_xlnm.Print_Area,4,FALSE))," ",(VLOOKUP(C3040,'[1]خريطة الحسابات'!_xlnm.Print_Area,4,FALSE)))</f>
        <v xml:space="preserve">أصول متداوله -النقدية ومافي حكمها </v>
      </c>
      <c r="N3040" s="138" t="str">
        <f>IF(ISERROR(VLOOKUP(C3040,'[1]خريطة الحسابات'!_xlnm.Print_Area,5,FALSE))," ",(VLOOKUP(C3040,'[1]خريطة الحسابات'!_xlnm.Print_Area,5,FALSE)))</f>
        <v>الاصول</v>
      </c>
      <c r="O3040" s="84" t="s">
        <v>2663</v>
      </c>
      <c r="P3040" s="84" t="s">
        <v>1383</v>
      </c>
    </row>
    <row r="3041" spans="1:16">
      <c r="A3041" s="151">
        <v>94</v>
      </c>
      <c r="B3041" s="131">
        <v>46118</v>
      </c>
      <c r="C3041" s="150">
        <v>20</v>
      </c>
      <c r="D3041" s="140" t="str">
        <f>IF(ISERROR(VLOOKUP(C3041,'[1]خريطة الحسابات'!_xlnm.Print_Area,3,FALSE))," ",(VLOOKUP(C3041,'[1]خريطة الحسابات'!_xlnm.Print_Area,3,FALSE)))</f>
        <v xml:space="preserve">الخزينة </v>
      </c>
      <c r="E3041" s="142"/>
      <c r="F3041" s="133">
        <v>12500</v>
      </c>
      <c r="G3041" s="133"/>
      <c r="H3041" s="134">
        <f t="shared" si="142"/>
        <v>12500</v>
      </c>
      <c r="I3041" s="134">
        <f t="shared" si="142"/>
        <v>0</v>
      </c>
      <c r="J3041" s="134">
        <f t="shared" si="141"/>
        <v>12500</v>
      </c>
      <c r="K3041" s="135"/>
      <c r="L3041" s="148" t="str">
        <f t="shared" si="143"/>
        <v>مدين</v>
      </c>
      <c r="M3041" s="137" t="str">
        <f>IF(ISERROR(VLOOKUP(C3041,'[1]خريطة الحسابات'!_xlnm.Print_Area,4,FALSE))," ",(VLOOKUP(C3041,'[1]خريطة الحسابات'!_xlnm.Print_Area,4,FALSE)))</f>
        <v xml:space="preserve">أصول متداوله -النقدية ومافي حكمها </v>
      </c>
      <c r="N3041" s="138" t="str">
        <f>IF(ISERROR(VLOOKUP(C3041,'[1]خريطة الحسابات'!_xlnm.Print_Area,5,FALSE))," ",(VLOOKUP(C3041,'[1]خريطة الحسابات'!_xlnm.Print_Area,5,FALSE)))</f>
        <v>الاصول</v>
      </c>
      <c r="O3041" s="84" t="s">
        <v>2664</v>
      </c>
      <c r="P3041" s="84" t="s">
        <v>1383</v>
      </c>
    </row>
    <row r="3042" spans="1:16">
      <c r="A3042" s="151">
        <v>94</v>
      </c>
      <c r="B3042" s="131">
        <v>46063</v>
      </c>
      <c r="C3042" s="150">
        <v>20</v>
      </c>
      <c r="D3042" s="140" t="str">
        <f>IF(ISERROR(VLOOKUP(C3042,'[1]خريطة الحسابات'!_xlnm.Print_Area,3,FALSE))," ",(VLOOKUP(C3042,'[1]خريطة الحسابات'!_xlnm.Print_Area,3,FALSE)))</f>
        <v xml:space="preserve">الخزينة </v>
      </c>
      <c r="E3042" s="142"/>
      <c r="F3042" s="133">
        <v>19500</v>
      </c>
      <c r="G3042" s="133"/>
      <c r="H3042" s="134">
        <f t="shared" si="142"/>
        <v>19500</v>
      </c>
      <c r="I3042" s="134">
        <f t="shared" si="142"/>
        <v>0</v>
      </c>
      <c r="J3042" s="134">
        <f t="shared" si="141"/>
        <v>19500</v>
      </c>
      <c r="K3042" s="135"/>
      <c r="L3042" s="148" t="str">
        <f t="shared" si="143"/>
        <v>مدين</v>
      </c>
      <c r="M3042" s="137" t="str">
        <f>IF(ISERROR(VLOOKUP(C3042,'[1]خريطة الحسابات'!_xlnm.Print_Area,4,FALSE))," ",(VLOOKUP(C3042,'[1]خريطة الحسابات'!_xlnm.Print_Area,4,FALSE)))</f>
        <v xml:space="preserve">أصول متداوله -النقدية ومافي حكمها </v>
      </c>
      <c r="N3042" s="138" t="str">
        <f>IF(ISERROR(VLOOKUP(C3042,'[1]خريطة الحسابات'!_xlnm.Print_Area,5,FALSE))," ",(VLOOKUP(C3042,'[1]خريطة الحسابات'!_xlnm.Print_Area,5,FALSE)))</f>
        <v>الاصول</v>
      </c>
      <c r="O3042" s="84" t="s">
        <v>2665</v>
      </c>
      <c r="P3042" s="84" t="s">
        <v>1317</v>
      </c>
    </row>
    <row r="3043" spans="1:16">
      <c r="A3043" s="151">
        <v>94</v>
      </c>
      <c r="B3043" s="131">
        <v>46067</v>
      </c>
      <c r="C3043" s="150" t="s">
        <v>1067</v>
      </c>
      <c r="D3043" s="140" t="str">
        <f>IF(ISERROR(VLOOKUP(C3043,'[1]خريطة الحسابات'!_xlnm.Print_Area,3,FALSE))," ",(VLOOKUP(C3043,'[1]خريطة الحسابات'!_xlnm.Print_Area,3,FALSE)))</f>
        <v>عميل ثري دي احمد الدقي 404</v>
      </c>
      <c r="E3043" s="142"/>
      <c r="F3043" s="133"/>
      <c r="G3043" s="133">
        <v>28000</v>
      </c>
      <c r="H3043" s="134">
        <f t="shared" si="142"/>
        <v>0</v>
      </c>
      <c r="I3043" s="134">
        <f t="shared" si="142"/>
        <v>28000</v>
      </c>
      <c r="J3043" s="134">
        <f t="shared" si="141"/>
        <v>-28000</v>
      </c>
      <c r="K3043" s="135"/>
      <c r="L3043" s="148" t="str">
        <f t="shared" si="143"/>
        <v>دائن</v>
      </c>
      <c r="M3043" s="137" t="str">
        <f>IF(ISERROR(VLOOKUP(C3043,'[1]خريطة الحسابات'!_xlnm.Print_Area,4,FALSE))," ",(VLOOKUP(C3043,'[1]خريطة الحسابات'!_xlnm.Print_Area,4,FALSE)))</f>
        <v>عملاء الثري دي</v>
      </c>
      <c r="N3043" s="138" t="str">
        <f>IF(ISERROR(VLOOKUP(C3043,'[1]خريطة الحسابات'!_xlnm.Print_Area,5,FALSE))," ",(VLOOKUP(C3043,'[1]خريطة الحسابات'!_xlnm.Print_Area,5,FALSE)))</f>
        <v>المدينون والأرصدة المدينة الأخرى</v>
      </c>
      <c r="O3043" s="84" t="s">
        <v>2650</v>
      </c>
      <c r="P3043" s="84" t="s">
        <v>2489</v>
      </c>
    </row>
    <row r="3044" spans="1:16">
      <c r="A3044" s="151">
        <v>94</v>
      </c>
      <c r="B3044" s="131">
        <v>46082</v>
      </c>
      <c r="C3044" s="150" t="s">
        <v>1046</v>
      </c>
      <c r="D3044" s="140" t="str">
        <f>IF(ISERROR(VLOOKUP(C3044,'[1]خريطة الحسابات'!_xlnm.Print_Area,3,FALSE))," ",(VLOOKUP(C3044,'[1]خريطة الحسابات'!_xlnm.Print_Area,3,FALSE)))</f>
        <v>عميل ثري دي احمد زايد جرين 401</v>
      </c>
      <c r="E3044" s="142"/>
      <c r="F3044" s="133"/>
      <c r="G3044" s="133">
        <v>13900</v>
      </c>
      <c r="H3044" s="134">
        <f t="shared" si="142"/>
        <v>0</v>
      </c>
      <c r="I3044" s="134">
        <f t="shared" si="142"/>
        <v>13900</v>
      </c>
      <c r="J3044" s="134">
        <f t="shared" si="141"/>
        <v>-13900</v>
      </c>
      <c r="K3044" s="135"/>
      <c r="L3044" s="148" t="str">
        <f t="shared" si="143"/>
        <v>دائن</v>
      </c>
      <c r="M3044" s="137" t="str">
        <f>IF(ISERROR(VLOOKUP(C3044,'[1]خريطة الحسابات'!_xlnm.Print_Area,4,FALSE))," ",(VLOOKUP(C3044,'[1]خريطة الحسابات'!_xlnm.Print_Area,4,FALSE)))</f>
        <v>عملاء الثري دي</v>
      </c>
      <c r="N3044" s="138" t="str">
        <f>IF(ISERROR(VLOOKUP(C3044,'[1]خريطة الحسابات'!_xlnm.Print_Area,5,FALSE))," ",(VLOOKUP(C3044,'[1]خريطة الحسابات'!_xlnm.Print_Area,5,FALSE)))</f>
        <v>المدينون والأرصدة المدينة الأخرى</v>
      </c>
      <c r="O3044" s="84" t="s">
        <v>2651</v>
      </c>
      <c r="P3044" s="84" t="s">
        <v>1345</v>
      </c>
    </row>
    <row r="3045" spans="1:16">
      <c r="A3045" s="151">
        <v>94</v>
      </c>
      <c r="B3045" s="131">
        <v>46061</v>
      </c>
      <c r="C3045" s="150" t="s">
        <v>1069</v>
      </c>
      <c r="D3045" s="140" t="str">
        <f>IF(ISERROR(VLOOKUP(C3045,'[1]خريطة الحسابات'!_xlnm.Print_Area,3,FALSE))," ",(VLOOKUP(C3045,'[1]خريطة الحسابات'!_xlnm.Print_Area,3,FALSE)))</f>
        <v>عميل ثري دي الاندلس 288</v>
      </c>
      <c r="E3045" s="142"/>
      <c r="F3045" s="133"/>
      <c r="G3045" s="133">
        <v>13700</v>
      </c>
      <c r="H3045" s="134">
        <f t="shared" si="142"/>
        <v>0</v>
      </c>
      <c r="I3045" s="134">
        <f t="shared" si="142"/>
        <v>13700</v>
      </c>
      <c r="J3045" s="134">
        <f t="shared" si="141"/>
        <v>-13700</v>
      </c>
      <c r="K3045" s="135"/>
      <c r="L3045" s="148" t="str">
        <f t="shared" si="143"/>
        <v>دائن</v>
      </c>
      <c r="M3045" s="137" t="str">
        <f>IF(ISERROR(VLOOKUP(C3045,'[1]خريطة الحسابات'!_xlnm.Print_Area,4,FALSE))," ",(VLOOKUP(C3045,'[1]خريطة الحسابات'!_xlnm.Print_Area,4,FALSE)))</f>
        <v>عملاء الثري دي</v>
      </c>
      <c r="N3045" s="138" t="str">
        <f>IF(ISERROR(VLOOKUP(C3045,'[1]خريطة الحسابات'!_xlnm.Print_Area,5,FALSE))," ",(VLOOKUP(C3045,'[1]خريطة الحسابات'!_xlnm.Print_Area,5,FALSE)))</f>
        <v>المدينون والأرصدة المدينة الأخرى</v>
      </c>
      <c r="O3045" s="84" t="s">
        <v>2652</v>
      </c>
      <c r="P3045" s="84" t="s">
        <v>2653</v>
      </c>
    </row>
    <row r="3046" spans="1:16">
      <c r="A3046" s="151">
        <v>94</v>
      </c>
      <c r="B3046" s="131">
        <v>46168</v>
      </c>
      <c r="C3046" s="150" t="s">
        <v>1069</v>
      </c>
      <c r="D3046" s="140" t="str">
        <f>IF(ISERROR(VLOOKUP(C3046,'[1]خريطة الحسابات'!_xlnm.Print_Area,3,FALSE))," ",(VLOOKUP(C3046,'[1]خريطة الحسابات'!_xlnm.Print_Area,3,FALSE)))</f>
        <v>عميل ثري دي الاندلس 288</v>
      </c>
      <c r="E3046" s="142"/>
      <c r="F3046" s="133"/>
      <c r="G3046" s="133">
        <v>13700</v>
      </c>
      <c r="H3046" s="134">
        <f t="shared" si="142"/>
        <v>0</v>
      </c>
      <c r="I3046" s="134">
        <f t="shared" si="142"/>
        <v>13700</v>
      </c>
      <c r="J3046" s="134">
        <f t="shared" si="141"/>
        <v>-13700</v>
      </c>
      <c r="K3046" s="135"/>
      <c r="L3046" s="148" t="str">
        <f t="shared" si="143"/>
        <v>دائن</v>
      </c>
      <c r="M3046" s="137" t="str">
        <f>IF(ISERROR(VLOOKUP(C3046,'[1]خريطة الحسابات'!_xlnm.Print_Area,4,FALSE))," ",(VLOOKUP(C3046,'[1]خريطة الحسابات'!_xlnm.Print_Area,4,FALSE)))</f>
        <v>عملاء الثري دي</v>
      </c>
      <c r="N3046" s="138" t="str">
        <f>IF(ISERROR(VLOOKUP(C3046,'[1]خريطة الحسابات'!_xlnm.Print_Area,5,FALSE))," ",(VLOOKUP(C3046,'[1]خريطة الحسابات'!_xlnm.Print_Area,5,FALSE)))</f>
        <v>المدينون والأرصدة المدينة الأخرى</v>
      </c>
      <c r="O3046" s="84" t="s">
        <v>2654</v>
      </c>
      <c r="P3046" s="84" t="s">
        <v>2653</v>
      </c>
    </row>
    <row r="3047" spans="1:16">
      <c r="A3047" s="151">
        <v>94</v>
      </c>
      <c r="B3047" s="131">
        <v>46028</v>
      </c>
      <c r="C3047" s="150" t="s">
        <v>1040</v>
      </c>
      <c r="D3047" s="140" t="str">
        <f>IF(ISERROR(VLOOKUP(C3047,'[1]خريطة الحسابات'!_xlnm.Print_Area,3,FALSE))," ",(VLOOKUP(C3047,'[1]خريطة الحسابات'!_xlnm.Print_Area,3,FALSE)))</f>
        <v>عميل ثري دي عمرو القصر 380</v>
      </c>
      <c r="E3047" s="142"/>
      <c r="F3047" s="133"/>
      <c r="G3047" s="133">
        <v>40000</v>
      </c>
      <c r="H3047" s="134">
        <f t="shared" si="142"/>
        <v>0</v>
      </c>
      <c r="I3047" s="134">
        <f t="shared" si="142"/>
        <v>40000</v>
      </c>
      <c r="J3047" s="134">
        <f t="shared" si="141"/>
        <v>-40000</v>
      </c>
      <c r="K3047" s="135"/>
      <c r="L3047" s="148" t="str">
        <f t="shared" si="143"/>
        <v>دائن</v>
      </c>
      <c r="M3047" s="137" t="str">
        <f>IF(ISERROR(VLOOKUP(C3047,'[1]خريطة الحسابات'!_xlnm.Print_Area,4,FALSE))," ",(VLOOKUP(C3047,'[1]خريطة الحسابات'!_xlnm.Print_Area,4,FALSE)))</f>
        <v>عملاء الثري دي</v>
      </c>
      <c r="N3047" s="138" t="str">
        <f>IF(ISERROR(VLOOKUP(C3047,'[1]خريطة الحسابات'!_xlnm.Print_Area,5,FALSE))," ",(VLOOKUP(C3047,'[1]خريطة الحسابات'!_xlnm.Print_Area,5,FALSE)))</f>
        <v>المدينون والأرصدة المدينة الأخرى</v>
      </c>
      <c r="O3047" s="84" t="s">
        <v>2655</v>
      </c>
      <c r="P3047" s="84" t="s">
        <v>1480</v>
      </c>
    </row>
    <row r="3048" spans="1:16">
      <c r="A3048" s="151">
        <v>94</v>
      </c>
      <c r="B3048" s="131">
        <v>46089</v>
      </c>
      <c r="C3048" s="150" t="s">
        <v>1040</v>
      </c>
      <c r="D3048" s="140" t="str">
        <f>IF(ISERROR(VLOOKUP(C3048,'[1]خريطة الحسابات'!_xlnm.Print_Area,3,FALSE))," ",(VLOOKUP(C3048,'[1]خريطة الحسابات'!_xlnm.Print_Area,3,FALSE)))</f>
        <v>عميل ثري دي عمرو القصر 380</v>
      </c>
      <c r="E3048" s="142"/>
      <c r="F3048" s="133"/>
      <c r="G3048" s="133">
        <v>30000</v>
      </c>
      <c r="H3048" s="134">
        <f t="shared" si="142"/>
        <v>0</v>
      </c>
      <c r="I3048" s="134">
        <f t="shared" si="142"/>
        <v>30000</v>
      </c>
      <c r="J3048" s="134">
        <f t="shared" si="141"/>
        <v>-30000</v>
      </c>
      <c r="K3048" s="135"/>
      <c r="L3048" s="148" t="str">
        <f t="shared" si="143"/>
        <v>دائن</v>
      </c>
      <c r="M3048" s="137" t="str">
        <f>IF(ISERROR(VLOOKUP(C3048,'[1]خريطة الحسابات'!_xlnm.Print_Area,4,FALSE))," ",(VLOOKUP(C3048,'[1]خريطة الحسابات'!_xlnm.Print_Area,4,FALSE)))</f>
        <v>عملاء الثري دي</v>
      </c>
      <c r="N3048" s="138" t="str">
        <f>IF(ISERROR(VLOOKUP(C3048,'[1]خريطة الحسابات'!_xlnm.Print_Area,5,FALSE))," ",(VLOOKUP(C3048,'[1]خريطة الحسابات'!_xlnm.Print_Area,5,FALSE)))</f>
        <v>المدينون والأرصدة المدينة الأخرى</v>
      </c>
      <c r="O3048" s="84" t="s">
        <v>2656</v>
      </c>
      <c r="P3048" s="84" t="s">
        <v>1480</v>
      </c>
    </row>
    <row r="3049" spans="1:16">
      <c r="A3049" s="151">
        <v>94</v>
      </c>
      <c r="B3049" s="131">
        <v>46154</v>
      </c>
      <c r="C3049" s="156">
        <v>6041</v>
      </c>
      <c r="D3049" s="140" t="str">
        <f>IF(ISERROR(VLOOKUP(C3049,'[1]خريطة الحسابات'!_xlnm.Print_Area,3,FALSE))," ",(VLOOKUP(C3049,'[1]خريطة الحسابات'!_xlnm.Print_Area,3,FALSE)))</f>
        <v>عميل ثري دي جراندا</v>
      </c>
      <c r="E3049" s="142"/>
      <c r="F3049" s="133"/>
      <c r="G3049" s="133">
        <v>12500</v>
      </c>
      <c r="H3049" s="134">
        <f t="shared" si="142"/>
        <v>0</v>
      </c>
      <c r="I3049" s="134">
        <f t="shared" si="142"/>
        <v>12500</v>
      </c>
      <c r="J3049" s="134">
        <f t="shared" si="141"/>
        <v>-12500</v>
      </c>
      <c r="K3049" s="135"/>
      <c r="L3049" s="148" t="str">
        <f t="shared" si="143"/>
        <v>دائن</v>
      </c>
      <c r="M3049" s="137" t="str">
        <f>IF(ISERROR(VLOOKUP(C3049,'[1]خريطة الحسابات'!_xlnm.Print_Area,4,FALSE))," ",(VLOOKUP(C3049,'[1]خريطة الحسابات'!_xlnm.Print_Area,4,FALSE)))</f>
        <v>عملاء الثري دي</v>
      </c>
      <c r="N3049" s="138" t="str">
        <f>IF(ISERROR(VLOOKUP(C3049,'[1]خريطة الحسابات'!_xlnm.Print_Area,5,FALSE))," ",(VLOOKUP(C3049,'[1]خريطة الحسابات'!_xlnm.Print_Area,5,FALSE)))</f>
        <v>المدينون والأرصدة المدينة الأخرى</v>
      </c>
      <c r="O3049" s="84" t="s">
        <v>2657</v>
      </c>
      <c r="P3049" s="84" t="s">
        <v>2658</v>
      </c>
    </row>
    <row r="3050" spans="1:16">
      <c r="A3050" s="151">
        <v>94</v>
      </c>
      <c r="B3050" s="131">
        <v>46097</v>
      </c>
      <c r="C3050" s="150" t="s">
        <v>1072</v>
      </c>
      <c r="D3050" s="140" t="str">
        <f>IF(ISERROR(VLOOKUP(C3050,'[1]خريطة الحسابات'!_xlnm.Print_Area,3,FALSE))," ",(VLOOKUP(C3050,'[1]خريطة الحسابات'!_xlnm.Print_Area,3,FALSE)))</f>
        <v>عميل ثري دي ديستراكت 408</v>
      </c>
      <c r="E3050" s="142"/>
      <c r="F3050" s="133"/>
      <c r="G3050" s="133">
        <v>15000</v>
      </c>
      <c r="H3050" s="134">
        <f t="shared" si="142"/>
        <v>0</v>
      </c>
      <c r="I3050" s="134">
        <f t="shared" si="142"/>
        <v>15000</v>
      </c>
      <c r="J3050" s="134">
        <f t="shared" si="141"/>
        <v>-15000</v>
      </c>
      <c r="K3050" s="135"/>
      <c r="L3050" s="148" t="str">
        <f t="shared" si="143"/>
        <v>دائن</v>
      </c>
      <c r="M3050" s="137" t="str">
        <f>IF(ISERROR(VLOOKUP(C3050,'[1]خريطة الحسابات'!_xlnm.Print_Area,4,FALSE))," ",(VLOOKUP(C3050,'[1]خريطة الحسابات'!_xlnm.Print_Area,4,FALSE)))</f>
        <v>عملاء الثري دي</v>
      </c>
      <c r="N3050" s="138" t="str">
        <f>IF(ISERROR(VLOOKUP(C3050,'[1]خريطة الحسابات'!_xlnm.Print_Area,5,FALSE))," ",(VLOOKUP(C3050,'[1]خريطة الحسابات'!_xlnm.Print_Area,5,FALSE)))</f>
        <v>المدينون والأرصدة المدينة الأخرى</v>
      </c>
      <c r="O3050" s="84" t="s">
        <v>2659</v>
      </c>
      <c r="P3050" s="84" t="s">
        <v>2491</v>
      </c>
    </row>
    <row r="3051" spans="1:16">
      <c r="A3051" s="151">
        <v>94</v>
      </c>
      <c r="B3051" s="131">
        <v>46163</v>
      </c>
      <c r="C3051" s="150" t="s">
        <v>1072</v>
      </c>
      <c r="D3051" s="140" t="str">
        <f>IF(ISERROR(VLOOKUP(C3051,'[1]خريطة الحسابات'!_xlnm.Print_Area,3,FALSE))," ",(VLOOKUP(C3051,'[1]خريطة الحسابات'!_xlnm.Print_Area,3,FALSE)))</f>
        <v>عميل ثري دي ديستراكت 408</v>
      </c>
      <c r="E3051" s="142"/>
      <c r="F3051" s="133"/>
      <c r="G3051" s="133">
        <v>8760</v>
      </c>
      <c r="H3051" s="134">
        <f t="shared" si="142"/>
        <v>0</v>
      </c>
      <c r="I3051" s="134">
        <f t="shared" si="142"/>
        <v>8760</v>
      </c>
      <c r="J3051" s="134">
        <f t="shared" si="141"/>
        <v>-8760</v>
      </c>
      <c r="K3051" s="135"/>
      <c r="L3051" s="148" t="str">
        <f t="shared" si="143"/>
        <v>دائن</v>
      </c>
      <c r="M3051" s="137" t="str">
        <f>IF(ISERROR(VLOOKUP(C3051,'[1]خريطة الحسابات'!_xlnm.Print_Area,4,FALSE))," ",(VLOOKUP(C3051,'[1]خريطة الحسابات'!_xlnm.Print_Area,4,FALSE)))</f>
        <v>عملاء الثري دي</v>
      </c>
      <c r="N3051" s="138" t="str">
        <f>IF(ISERROR(VLOOKUP(C3051,'[1]خريطة الحسابات'!_xlnm.Print_Area,5,FALSE))," ",(VLOOKUP(C3051,'[1]خريطة الحسابات'!_xlnm.Print_Area,5,FALSE)))</f>
        <v>المدينون والأرصدة المدينة الأخرى</v>
      </c>
      <c r="O3051" s="84" t="s">
        <v>2660</v>
      </c>
      <c r="P3051" s="84" t="s">
        <v>2491</v>
      </c>
    </row>
    <row r="3052" spans="1:16">
      <c r="A3052" s="151">
        <v>94</v>
      </c>
      <c r="B3052" s="131">
        <v>46028</v>
      </c>
      <c r="C3052" s="150" t="s">
        <v>1028</v>
      </c>
      <c r="D3052" s="140" t="str">
        <f>IF(ISERROR(VLOOKUP(C3052,'[1]خريطة الحسابات'!_xlnm.Print_Area,3,FALSE))," ",(VLOOKUP(C3052,'[1]خريطة الحسابات'!_xlnm.Print_Area,3,FALSE)))</f>
        <v>عميل ثري دي الدقي 388</v>
      </c>
      <c r="E3052" s="142"/>
      <c r="F3052" s="133"/>
      <c r="G3052" s="133">
        <v>19000</v>
      </c>
      <c r="H3052" s="134">
        <f t="shared" si="142"/>
        <v>0</v>
      </c>
      <c r="I3052" s="134">
        <f t="shared" si="142"/>
        <v>19000</v>
      </c>
      <c r="J3052" s="134">
        <f t="shared" si="141"/>
        <v>-19000</v>
      </c>
      <c r="K3052" s="135"/>
      <c r="L3052" s="148" t="str">
        <f t="shared" si="143"/>
        <v>دائن</v>
      </c>
      <c r="M3052" s="137" t="str">
        <f>IF(ISERROR(VLOOKUP(C3052,'[1]خريطة الحسابات'!_xlnm.Print_Area,4,FALSE))," ",(VLOOKUP(C3052,'[1]خريطة الحسابات'!_xlnm.Print_Area,4,FALSE)))</f>
        <v>عملاء الثري دي</v>
      </c>
      <c r="N3052" s="138" t="str">
        <f>IF(ISERROR(VLOOKUP(C3052,'[1]خريطة الحسابات'!_xlnm.Print_Area,5,FALSE))," ",(VLOOKUP(C3052,'[1]خريطة الحسابات'!_xlnm.Print_Area,5,FALSE)))</f>
        <v>المدينون والأرصدة المدينة الأخرى</v>
      </c>
      <c r="O3052" s="84" t="s">
        <v>2661</v>
      </c>
      <c r="P3052" s="84" t="s">
        <v>1315</v>
      </c>
    </row>
    <row r="3053" spans="1:16">
      <c r="A3053" s="151">
        <v>94</v>
      </c>
      <c r="B3053" s="131">
        <v>46064</v>
      </c>
      <c r="C3053" s="150" t="s">
        <v>1044</v>
      </c>
      <c r="D3053" s="140" t="str">
        <f>IF(ISERROR(VLOOKUP(C3053,'[1]خريطة الحسابات'!_xlnm.Print_Area,3,FALSE))," ",(VLOOKUP(C3053,'[1]خريطة الحسابات'!_xlnm.Print_Area,3,FALSE)))</f>
        <v>عميل ثري دي العشري وصال 398</v>
      </c>
      <c r="E3053" s="142"/>
      <c r="F3053" s="133"/>
      <c r="G3053" s="133">
        <v>17500</v>
      </c>
      <c r="H3053" s="134">
        <f t="shared" si="142"/>
        <v>0</v>
      </c>
      <c r="I3053" s="134">
        <f t="shared" si="142"/>
        <v>17500</v>
      </c>
      <c r="J3053" s="134">
        <f t="shared" si="141"/>
        <v>-17500</v>
      </c>
      <c r="K3053" s="135"/>
      <c r="L3053" s="148" t="str">
        <f t="shared" si="143"/>
        <v>دائن</v>
      </c>
      <c r="M3053" s="137" t="str">
        <f>IF(ISERROR(VLOOKUP(C3053,'[1]خريطة الحسابات'!_xlnm.Print_Area,4,FALSE))," ",(VLOOKUP(C3053,'[1]خريطة الحسابات'!_xlnm.Print_Area,4,FALSE)))</f>
        <v>عملاء الثري دي</v>
      </c>
      <c r="N3053" s="138" t="str">
        <f>IF(ISERROR(VLOOKUP(C3053,'[1]خريطة الحسابات'!_xlnm.Print_Area,5,FALSE))," ",(VLOOKUP(C3053,'[1]خريطة الحسابات'!_xlnm.Print_Area,5,FALSE)))</f>
        <v>المدينون والأرصدة المدينة الأخرى</v>
      </c>
      <c r="O3053" s="84" t="s">
        <v>2662</v>
      </c>
      <c r="P3053" s="84" t="s">
        <v>1489</v>
      </c>
    </row>
    <row r="3054" spans="1:16">
      <c r="A3054" s="151">
        <v>94</v>
      </c>
      <c r="B3054" s="131">
        <v>46047</v>
      </c>
      <c r="C3054" s="150" t="s">
        <v>1038</v>
      </c>
      <c r="D3054" s="140" t="str">
        <f>IF(ISERROR(VLOOKUP(C3054,'[1]خريطة الحسابات'!_xlnm.Print_Area,3,FALSE))," ",(VLOOKUP(C3054,'[1]خريطة الحسابات'!_xlnm.Print_Area,3,FALSE)))</f>
        <v>عميل ثري دي احمد معادي ديونز 318</v>
      </c>
      <c r="E3054" s="142"/>
      <c r="F3054" s="133"/>
      <c r="G3054" s="133">
        <v>12500</v>
      </c>
      <c r="H3054" s="134">
        <f t="shared" si="142"/>
        <v>0</v>
      </c>
      <c r="I3054" s="134">
        <f t="shared" si="142"/>
        <v>12500</v>
      </c>
      <c r="J3054" s="134">
        <f t="shared" si="141"/>
        <v>-12500</v>
      </c>
      <c r="K3054" s="135"/>
      <c r="L3054" s="148" t="str">
        <f t="shared" si="143"/>
        <v>دائن</v>
      </c>
      <c r="M3054" s="137" t="str">
        <f>IF(ISERROR(VLOOKUP(C3054,'[1]خريطة الحسابات'!_xlnm.Print_Area,4,FALSE))," ",(VLOOKUP(C3054,'[1]خريطة الحسابات'!_xlnm.Print_Area,4,FALSE)))</f>
        <v>عملاء الثري دي</v>
      </c>
      <c r="N3054" s="138" t="str">
        <f>IF(ISERROR(VLOOKUP(C3054,'[1]خريطة الحسابات'!_xlnm.Print_Area,5,FALSE))," ",(VLOOKUP(C3054,'[1]خريطة الحسابات'!_xlnm.Print_Area,5,FALSE)))</f>
        <v>المدينون والأرصدة المدينة الأخرى</v>
      </c>
      <c r="O3054" s="84" t="s">
        <v>2663</v>
      </c>
      <c r="P3054" s="84" t="s">
        <v>1383</v>
      </c>
    </row>
    <row r="3055" spans="1:16">
      <c r="A3055" s="151">
        <v>94</v>
      </c>
      <c r="B3055" s="131">
        <v>46118</v>
      </c>
      <c r="C3055" s="150" t="s">
        <v>1038</v>
      </c>
      <c r="D3055" s="140" t="str">
        <f>IF(ISERROR(VLOOKUP(C3055,'[1]خريطة الحسابات'!_xlnm.Print_Area,3,FALSE))," ",(VLOOKUP(C3055,'[1]خريطة الحسابات'!_xlnm.Print_Area,3,FALSE)))</f>
        <v>عميل ثري دي احمد معادي ديونز 318</v>
      </c>
      <c r="E3055" s="142"/>
      <c r="F3055" s="133"/>
      <c r="G3055" s="133">
        <v>12500</v>
      </c>
      <c r="H3055" s="134">
        <f t="shared" si="142"/>
        <v>0</v>
      </c>
      <c r="I3055" s="134">
        <f t="shared" si="142"/>
        <v>12500</v>
      </c>
      <c r="J3055" s="134">
        <f t="shared" si="141"/>
        <v>-12500</v>
      </c>
      <c r="K3055" s="135"/>
      <c r="L3055" s="148" t="str">
        <f t="shared" si="143"/>
        <v>دائن</v>
      </c>
      <c r="M3055" s="137" t="str">
        <f>IF(ISERROR(VLOOKUP(C3055,'[1]خريطة الحسابات'!_xlnm.Print_Area,4,FALSE))," ",(VLOOKUP(C3055,'[1]خريطة الحسابات'!_xlnm.Print_Area,4,FALSE)))</f>
        <v>عملاء الثري دي</v>
      </c>
      <c r="N3055" s="138" t="str">
        <f>IF(ISERROR(VLOOKUP(C3055,'[1]خريطة الحسابات'!_xlnm.Print_Area,5,FALSE))," ",(VLOOKUP(C3055,'[1]خريطة الحسابات'!_xlnm.Print_Area,5,FALSE)))</f>
        <v>المدينون والأرصدة المدينة الأخرى</v>
      </c>
      <c r="O3055" s="84" t="s">
        <v>2664</v>
      </c>
      <c r="P3055" s="84" t="s">
        <v>1383</v>
      </c>
    </row>
    <row r="3056" spans="1:16">
      <c r="A3056" s="151">
        <v>94</v>
      </c>
      <c r="B3056" s="131">
        <v>46063</v>
      </c>
      <c r="C3056" s="150" t="s">
        <v>1050</v>
      </c>
      <c r="D3056" s="140" t="str">
        <f>IF(ISERROR(VLOOKUP(C3056,'[1]خريطة الحسابات'!_xlnm.Print_Area,3,FALSE))," ",(VLOOKUP(C3056,'[1]خريطة الحسابات'!_xlnm.Print_Area,3,FALSE)))</f>
        <v>عميل ثري دي هاني العبور 365</v>
      </c>
      <c r="E3056" s="142"/>
      <c r="F3056" s="133"/>
      <c r="G3056" s="133">
        <v>19500</v>
      </c>
      <c r="H3056" s="134">
        <f t="shared" si="142"/>
        <v>0</v>
      </c>
      <c r="I3056" s="134">
        <f t="shared" si="142"/>
        <v>19500</v>
      </c>
      <c r="J3056" s="134">
        <f t="shared" si="141"/>
        <v>-19500</v>
      </c>
      <c r="K3056" s="135"/>
      <c r="L3056" s="148" t="str">
        <f t="shared" si="143"/>
        <v>دائن</v>
      </c>
      <c r="M3056" s="137" t="str">
        <f>IF(ISERROR(VLOOKUP(C3056,'[1]خريطة الحسابات'!_xlnm.Print_Area,4,FALSE))," ",(VLOOKUP(C3056,'[1]خريطة الحسابات'!_xlnm.Print_Area,4,FALSE)))</f>
        <v>عملاء الثري دي</v>
      </c>
      <c r="N3056" s="138" t="str">
        <f>IF(ISERROR(VLOOKUP(C3056,'[1]خريطة الحسابات'!_xlnm.Print_Area,5,FALSE))," ",(VLOOKUP(C3056,'[1]خريطة الحسابات'!_xlnm.Print_Area,5,FALSE)))</f>
        <v>المدينون والأرصدة المدينة الأخرى</v>
      </c>
      <c r="O3056" s="84" t="s">
        <v>2665</v>
      </c>
      <c r="P3056" s="84" t="s">
        <v>1317</v>
      </c>
    </row>
    <row r="3057" spans="1:16">
      <c r="A3057" s="151">
        <v>95</v>
      </c>
      <c r="B3057" s="131">
        <v>46174</v>
      </c>
      <c r="C3057" s="150" t="s">
        <v>1078</v>
      </c>
      <c r="D3057" s="140" t="str">
        <f>IF(ISERROR(VLOOKUP(C3057,'[1]خريطة الحسابات'!_xlnm.Print_Area,3,FALSE))," ",(VLOOKUP(C3057,'[1]خريطة الحسابات'!_xlnm.Print_Area,3,FALSE)))</f>
        <v>عهدة سامح مشتريات</v>
      </c>
      <c r="E3057" s="142"/>
      <c r="F3057" s="133">
        <v>3312</v>
      </c>
      <c r="G3057" s="133"/>
      <c r="H3057" s="134">
        <f t="shared" si="142"/>
        <v>3312</v>
      </c>
      <c r="I3057" s="134">
        <f t="shared" si="142"/>
        <v>0</v>
      </c>
      <c r="J3057" s="134">
        <f t="shared" si="141"/>
        <v>3312</v>
      </c>
      <c r="K3057" s="135"/>
      <c r="L3057" s="148" t="str">
        <f t="shared" si="143"/>
        <v>مدين</v>
      </c>
      <c r="M3057" s="137" t="str">
        <f>IF(ISERROR(VLOOKUP(C3057,'[1]خريطة الحسابات'!_xlnm.Print_Area,4,FALSE))," ",(VLOOKUP(C3057,'[1]خريطة الحسابات'!_xlnm.Print_Area,4,FALSE)))</f>
        <v>عهد</v>
      </c>
      <c r="N3057" s="138" t="str">
        <f>IF(ISERROR(VLOOKUP(C3057,'[1]خريطة الحسابات'!_xlnm.Print_Area,5,FALSE))," ",(VLOOKUP(C3057,'[1]خريطة الحسابات'!_xlnm.Print_Area,5,FALSE)))</f>
        <v>المدينون والأرصدة المدينة الأخرى</v>
      </c>
      <c r="O3057" s="84" t="s">
        <v>2666</v>
      </c>
      <c r="P3057" s="84" t="s">
        <v>1342</v>
      </c>
    </row>
    <row r="3058" spans="1:16">
      <c r="A3058" s="151">
        <v>95</v>
      </c>
      <c r="B3058" s="131">
        <v>46174</v>
      </c>
      <c r="C3058" s="150">
        <v>20</v>
      </c>
      <c r="D3058" s="140" t="str">
        <f>IF(ISERROR(VLOOKUP(C3058,'[1]خريطة الحسابات'!_xlnm.Print_Area,3,FALSE))," ",(VLOOKUP(C3058,'[1]خريطة الحسابات'!_xlnm.Print_Area,3,FALSE)))</f>
        <v xml:space="preserve">الخزينة </v>
      </c>
      <c r="E3058" s="142"/>
      <c r="F3058" s="133"/>
      <c r="G3058" s="133">
        <v>3312</v>
      </c>
      <c r="H3058" s="134">
        <f t="shared" si="142"/>
        <v>0</v>
      </c>
      <c r="I3058" s="134">
        <f t="shared" si="142"/>
        <v>3312</v>
      </c>
      <c r="J3058" s="134">
        <f t="shared" si="141"/>
        <v>-3312</v>
      </c>
      <c r="K3058" s="135"/>
      <c r="L3058" s="148" t="str">
        <f t="shared" si="143"/>
        <v>دائن</v>
      </c>
      <c r="M3058" s="137" t="str">
        <f>IF(ISERROR(VLOOKUP(C3058,'[1]خريطة الحسابات'!_xlnm.Print_Area,4,FALSE))," ",(VLOOKUP(C3058,'[1]خريطة الحسابات'!_xlnm.Print_Area,4,FALSE)))</f>
        <v xml:space="preserve">أصول متداوله -النقدية ومافي حكمها </v>
      </c>
      <c r="N3058" s="138" t="str">
        <f>IF(ISERROR(VLOOKUP(C3058,'[1]خريطة الحسابات'!_xlnm.Print_Area,5,FALSE))," ",(VLOOKUP(C3058,'[1]خريطة الحسابات'!_xlnm.Print_Area,5,FALSE)))</f>
        <v>الاصول</v>
      </c>
      <c r="O3058" s="84" t="s">
        <v>2666</v>
      </c>
      <c r="P3058" s="84" t="s">
        <v>1342</v>
      </c>
    </row>
    <row r="3059" spans="1:16">
      <c r="A3059" s="151">
        <v>96</v>
      </c>
      <c r="B3059" s="131">
        <v>46190</v>
      </c>
      <c r="C3059" s="150">
        <v>4069</v>
      </c>
      <c r="D3059" s="140" t="str">
        <f>IF(ISERROR(VLOOKUP(C3059,'[1]خريطة الحسابات'!_xlnm.Print_Area,3,FALSE))," ",(VLOOKUP(C3059,'[1]خريطة الحسابات'!_xlnm.Print_Area,3,FALSE)))</f>
        <v xml:space="preserve">الامل احمد سعيد </v>
      </c>
      <c r="E3059" s="142"/>
      <c r="F3059" s="133">
        <v>10000</v>
      </c>
      <c r="G3059" s="133"/>
      <c r="H3059" s="134">
        <f t="shared" si="142"/>
        <v>10000</v>
      </c>
      <c r="I3059" s="134">
        <f t="shared" si="142"/>
        <v>0</v>
      </c>
      <c r="J3059" s="134">
        <f t="shared" si="141"/>
        <v>10000</v>
      </c>
      <c r="K3059" s="135"/>
      <c r="L3059" s="148" t="str">
        <f t="shared" si="143"/>
        <v>مدين</v>
      </c>
      <c r="M3059" s="137" t="str">
        <f>IF(ISERROR(VLOOKUP(C3059,'[1]خريطة الحسابات'!_xlnm.Print_Area,4,FALSE))," ",(VLOOKUP(C3059,'[1]خريطة الحسابات'!_xlnm.Print_Area,4,FALSE)))</f>
        <v>موردين</v>
      </c>
      <c r="N3059" s="138" t="str">
        <f>IF(ISERROR(VLOOKUP(C3059,'[1]خريطة الحسابات'!_xlnm.Print_Area,5,FALSE))," ",(VLOOKUP(C3059,'[1]خريطة الحسابات'!_xlnm.Print_Area,5,FALSE)))</f>
        <v xml:space="preserve">الدائنون والأرصدة الدائنة الأخرى </v>
      </c>
      <c r="O3059" s="84" t="s">
        <v>2667</v>
      </c>
      <c r="P3059" s="84" t="s">
        <v>1345</v>
      </c>
    </row>
    <row r="3060" spans="1:16">
      <c r="A3060" s="151">
        <v>96</v>
      </c>
      <c r="B3060" s="131">
        <v>46190</v>
      </c>
      <c r="C3060" s="150">
        <v>4014</v>
      </c>
      <c r="D3060" s="140" t="str">
        <f>IF(ISERROR(VLOOKUP(C3060,'[1]خريطة الحسابات'!_xlnm.Print_Area,3,FALSE))," ",(VLOOKUP(C3060,'[1]خريطة الحسابات'!_xlnm.Print_Area,3,FALSE)))</f>
        <v>محمد السباك</v>
      </c>
      <c r="E3060" s="142"/>
      <c r="F3060" s="133">
        <v>14000</v>
      </c>
      <c r="G3060" s="133"/>
      <c r="H3060" s="134">
        <f t="shared" si="142"/>
        <v>14000</v>
      </c>
      <c r="I3060" s="134">
        <f t="shared" si="142"/>
        <v>0</v>
      </c>
      <c r="J3060" s="134">
        <f t="shared" si="141"/>
        <v>14000</v>
      </c>
      <c r="K3060" s="135"/>
      <c r="L3060" s="148" t="str">
        <f t="shared" si="143"/>
        <v>مدين</v>
      </c>
      <c r="M3060" s="137" t="str">
        <f>IF(ISERROR(VLOOKUP(C3060,'[1]خريطة الحسابات'!_xlnm.Print_Area,4,FALSE))," ",(VLOOKUP(C3060,'[1]خريطة الحسابات'!_xlnm.Print_Area,4,FALSE)))</f>
        <v xml:space="preserve">مقاولين </v>
      </c>
      <c r="N3060" s="138" t="str">
        <f>IF(ISERROR(VLOOKUP(C3060,'[1]خريطة الحسابات'!_xlnm.Print_Area,5,FALSE))," ",(VLOOKUP(C3060,'[1]خريطة الحسابات'!_xlnm.Print_Area,5,FALSE)))</f>
        <v xml:space="preserve">الدائنون والأرصدة الدائنة الأخرى </v>
      </c>
      <c r="O3060" s="84" t="s">
        <v>2668</v>
      </c>
      <c r="P3060" s="84" t="s">
        <v>1345</v>
      </c>
    </row>
    <row r="3061" spans="1:16">
      <c r="A3061" s="151">
        <v>96</v>
      </c>
      <c r="B3061" s="131">
        <v>46190</v>
      </c>
      <c r="C3061" s="150" t="s">
        <v>815</v>
      </c>
      <c r="D3061" s="140" t="str">
        <f>IF(ISERROR(VLOOKUP(C3061,'[1]خريطة الحسابات'!_xlnm.Print_Area,3,FALSE))," ",(VLOOKUP(C3061,'[1]خريطة الحسابات'!_xlnm.Print_Area,3,FALSE)))</f>
        <v>خامات ومصنعية بند السباكة والصحي</v>
      </c>
      <c r="E3061" s="142"/>
      <c r="F3061" s="133">
        <v>3726</v>
      </c>
      <c r="G3061" s="133"/>
      <c r="H3061" s="134">
        <f t="shared" si="142"/>
        <v>3726</v>
      </c>
      <c r="I3061" s="134">
        <f t="shared" si="142"/>
        <v>0</v>
      </c>
      <c r="J3061" s="134">
        <f t="shared" si="141"/>
        <v>3726</v>
      </c>
      <c r="K3061" s="135"/>
      <c r="L3061" s="148" t="str">
        <f t="shared" si="143"/>
        <v>مدين</v>
      </c>
      <c r="M3061" s="137" t="str">
        <f>IF(ISERROR(VLOOKUP(C3061,'[1]خريطة الحسابات'!_xlnm.Print_Area,4,FALSE))," ",(VLOOKUP(C3061,'[1]خريطة الحسابات'!_xlnm.Print_Area,4,FALSE)))</f>
        <v>تكاليف مشروع احمد زايد 401</v>
      </c>
      <c r="N3061" s="138" t="str">
        <f>IF(ISERROR(VLOOKUP(C3061,'[1]خريطة الحسابات'!_xlnm.Print_Area,5,FALSE))," ",(VLOOKUP(C3061,'[1]خريطة الحسابات'!_xlnm.Print_Area,5,FALSE)))</f>
        <v xml:space="preserve">تكاليف العمليات </v>
      </c>
      <c r="O3061" s="84" t="s">
        <v>2669</v>
      </c>
      <c r="P3061" s="84" t="s">
        <v>1345</v>
      </c>
    </row>
    <row r="3062" spans="1:16">
      <c r="A3062" s="151">
        <v>96</v>
      </c>
      <c r="B3062" s="131">
        <v>46190</v>
      </c>
      <c r="C3062" s="150" t="s">
        <v>806</v>
      </c>
      <c r="D3062" s="140" t="str">
        <f>IF(ISERROR(VLOOKUP(C3062,'[1]خريطة الحسابات'!_xlnm.Print_Area,3,FALSE))," ",(VLOOKUP(C3062,'[1]خريطة الحسابات'!_xlnm.Print_Area,3,FALSE)))</f>
        <v>اعمال التكسير والهدم والنظافة</v>
      </c>
      <c r="E3062" s="142"/>
      <c r="F3062" s="133">
        <v>500</v>
      </c>
      <c r="G3062" s="133"/>
      <c r="H3062" s="134">
        <f t="shared" si="142"/>
        <v>500</v>
      </c>
      <c r="I3062" s="134">
        <f t="shared" si="142"/>
        <v>0</v>
      </c>
      <c r="J3062" s="134">
        <f t="shared" si="141"/>
        <v>500</v>
      </c>
      <c r="K3062" s="135"/>
      <c r="L3062" s="148" t="str">
        <f t="shared" si="143"/>
        <v>مدين</v>
      </c>
      <c r="M3062" s="137" t="str">
        <f>IF(ISERROR(VLOOKUP(C3062,'[1]خريطة الحسابات'!_xlnm.Print_Area,4,FALSE))," ",(VLOOKUP(C3062,'[1]خريطة الحسابات'!_xlnm.Print_Area,4,FALSE)))</f>
        <v>تكاليف مشروع احمد زايد 401</v>
      </c>
      <c r="N3062" s="138" t="str">
        <f>IF(ISERROR(VLOOKUP(C3062,'[1]خريطة الحسابات'!_xlnm.Print_Area,5,FALSE))," ",(VLOOKUP(C3062,'[1]خريطة الحسابات'!_xlnm.Print_Area,5,FALSE)))</f>
        <v xml:space="preserve">تكاليف العمليات </v>
      </c>
      <c r="O3062" s="84" t="s">
        <v>2670</v>
      </c>
      <c r="P3062" s="84" t="s">
        <v>1345</v>
      </c>
    </row>
    <row r="3063" spans="1:16">
      <c r="A3063" s="151">
        <v>96</v>
      </c>
      <c r="B3063" s="131">
        <v>46193</v>
      </c>
      <c r="C3063" s="150" t="s">
        <v>823</v>
      </c>
      <c r="D3063" s="140" t="str">
        <f>IF(ISERROR(VLOOKUP(C3063,'[1]خريطة الحسابات'!_xlnm.Print_Area,3,FALSE))," ",(VLOOKUP(C3063,'[1]خريطة الحسابات'!_xlnm.Print_Area,3,FALSE)))</f>
        <v>خامات ومصنعية أعمال العزل</v>
      </c>
      <c r="E3063" s="142"/>
      <c r="F3063" s="133">
        <v>3870</v>
      </c>
      <c r="G3063" s="133"/>
      <c r="H3063" s="134">
        <f t="shared" si="142"/>
        <v>3870</v>
      </c>
      <c r="I3063" s="134">
        <f t="shared" si="142"/>
        <v>0</v>
      </c>
      <c r="J3063" s="134">
        <f t="shared" si="141"/>
        <v>3870</v>
      </c>
      <c r="K3063" s="135"/>
      <c r="L3063" s="148" t="str">
        <f t="shared" si="143"/>
        <v>مدين</v>
      </c>
      <c r="M3063" s="137" t="str">
        <f>IF(ISERROR(VLOOKUP(C3063,'[1]خريطة الحسابات'!_xlnm.Print_Area,4,FALSE))," ",(VLOOKUP(C3063,'[1]خريطة الحسابات'!_xlnm.Print_Area,4,FALSE)))</f>
        <v>تكاليف مشروع احمد زايد 401</v>
      </c>
      <c r="N3063" s="138" t="str">
        <f>IF(ISERROR(VLOOKUP(C3063,'[1]خريطة الحسابات'!_xlnm.Print_Area,5,FALSE))," ",(VLOOKUP(C3063,'[1]خريطة الحسابات'!_xlnm.Print_Area,5,FALSE)))</f>
        <v xml:space="preserve">تكاليف العمليات </v>
      </c>
      <c r="O3063" s="84" t="s">
        <v>2671</v>
      </c>
      <c r="P3063" s="84" t="s">
        <v>1345</v>
      </c>
    </row>
    <row r="3064" spans="1:16">
      <c r="A3064" s="151">
        <v>96</v>
      </c>
      <c r="B3064" s="131">
        <v>46188</v>
      </c>
      <c r="C3064" s="150">
        <v>4062</v>
      </c>
      <c r="D3064" s="140" t="str">
        <f>IF(ISERROR(VLOOKUP(C3064,'[1]خريطة الحسابات'!_xlnm.Print_Area,3,FALSE))," ",(VLOOKUP(C3064,'[1]خريطة الحسابات'!_xlnm.Print_Area,3,FALSE)))</f>
        <v>جنرال للتكيفيات جيسيك</v>
      </c>
      <c r="E3064" s="142"/>
      <c r="F3064" s="133">
        <v>70000</v>
      </c>
      <c r="G3064" s="133"/>
      <c r="H3064" s="134">
        <f t="shared" si="142"/>
        <v>70000</v>
      </c>
      <c r="I3064" s="134">
        <f t="shared" si="142"/>
        <v>0</v>
      </c>
      <c r="J3064" s="134">
        <f t="shared" si="141"/>
        <v>70000</v>
      </c>
      <c r="K3064" s="135"/>
      <c r="L3064" s="148" t="str">
        <f t="shared" si="143"/>
        <v>مدين</v>
      </c>
      <c r="M3064" s="137" t="str">
        <f>IF(ISERROR(VLOOKUP(C3064,'[1]خريطة الحسابات'!_xlnm.Print_Area,4,FALSE))," ",(VLOOKUP(C3064,'[1]خريطة الحسابات'!_xlnm.Print_Area,4,FALSE)))</f>
        <v>موردين</v>
      </c>
      <c r="N3064" s="138" t="str">
        <f>IF(ISERROR(VLOOKUP(C3064,'[1]خريطة الحسابات'!_xlnm.Print_Area,5,FALSE))," ",(VLOOKUP(C3064,'[1]خريطة الحسابات'!_xlnm.Print_Area,5,FALSE)))</f>
        <v xml:space="preserve">الدائنون والأرصدة الدائنة الأخرى </v>
      </c>
      <c r="O3064" s="84" t="s">
        <v>2672</v>
      </c>
      <c r="P3064" s="84" t="s">
        <v>1480</v>
      </c>
    </row>
    <row r="3065" spans="1:16">
      <c r="A3065" s="151">
        <v>96</v>
      </c>
      <c r="B3065" s="131">
        <v>46190</v>
      </c>
      <c r="C3065" s="150" t="s">
        <v>747</v>
      </c>
      <c r="D3065" s="140" t="str">
        <f>IF(ISERROR(VLOOKUP(C3065,'[1]خريطة الحسابات'!_xlnm.Print_Area,3,FALSE))," ",(VLOOKUP(C3065,'[1]خريطة الحسابات'!_xlnm.Print_Area,3,FALSE)))</f>
        <v>خامات ومصنعية أعمال النجارة والأبواب</v>
      </c>
      <c r="E3065" s="142"/>
      <c r="F3065" s="133">
        <v>1800</v>
      </c>
      <c r="G3065" s="133"/>
      <c r="H3065" s="134">
        <f t="shared" si="142"/>
        <v>1800</v>
      </c>
      <c r="I3065" s="134">
        <f t="shared" si="142"/>
        <v>0</v>
      </c>
      <c r="J3065" s="134">
        <f t="shared" si="141"/>
        <v>1800</v>
      </c>
      <c r="K3065" s="135"/>
      <c r="L3065" s="148" t="str">
        <f t="shared" si="143"/>
        <v>مدين</v>
      </c>
      <c r="M3065" s="137" t="str">
        <f>IF(ISERROR(VLOOKUP(C3065,'[1]خريطة الحسابات'!_xlnm.Print_Area,4,FALSE))," ",(VLOOKUP(C3065,'[1]خريطة الحسابات'!_xlnm.Print_Area,4,FALSE)))</f>
        <v>تكاليف مشروع القصر 380</v>
      </c>
      <c r="N3065" s="138" t="str">
        <f>IF(ISERROR(VLOOKUP(C3065,'[1]خريطة الحسابات'!_xlnm.Print_Area,5,FALSE))," ",(VLOOKUP(C3065,'[1]خريطة الحسابات'!_xlnm.Print_Area,5,FALSE)))</f>
        <v xml:space="preserve">تكاليف العمليات </v>
      </c>
      <c r="O3065" s="84" t="s">
        <v>2673</v>
      </c>
      <c r="P3065" s="84" t="s">
        <v>1480</v>
      </c>
    </row>
    <row r="3066" spans="1:16">
      <c r="A3066" s="151">
        <v>96</v>
      </c>
      <c r="B3066" s="131">
        <v>46188</v>
      </c>
      <c r="C3066" s="150" t="s">
        <v>29</v>
      </c>
      <c r="D3066" s="140" t="str">
        <f>IF(ISERROR(VLOOKUP(C3066,'[1]خريطة الحسابات'!_xlnm.Print_Area,3,FALSE))," ",(VLOOKUP(C3066,'[1]خريطة الحسابات'!_xlnm.Print_Area,3,FALSE)))</f>
        <v>الايجار</v>
      </c>
      <c r="E3066" s="142"/>
      <c r="F3066" s="133">
        <v>4755</v>
      </c>
      <c r="G3066" s="133"/>
      <c r="H3066" s="134">
        <f t="shared" si="142"/>
        <v>4755</v>
      </c>
      <c r="I3066" s="134">
        <f t="shared" si="142"/>
        <v>0</v>
      </c>
      <c r="J3066" s="134">
        <f t="shared" si="141"/>
        <v>4755</v>
      </c>
      <c r="K3066" s="135"/>
      <c r="L3066" s="148" t="str">
        <f t="shared" si="143"/>
        <v>مدين</v>
      </c>
      <c r="M3066" s="137" t="str">
        <f>IF(ISERROR(VLOOKUP(C3066,'[1]خريطة الحسابات'!_xlnm.Print_Area,4,FALSE))," ",(VLOOKUP(C3066,'[1]خريطة الحسابات'!_xlnm.Print_Area,4,FALSE)))</f>
        <v xml:space="preserve">تكاليف ادارية وعمومية </v>
      </c>
      <c r="N3066" s="138" t="str">
        <f>IF(ISERROR(VLOOKUP(C3066,'[1]خريطة الحسابات'!_xlnm.Print_Area,5,FALSE))," ",(VLOOKUP(C3066,'[1]خريطة الحسابات'!_xlnm.Print_Area,5,FALSE)))</f>
        <v xml:space="preserve">مصروفات </v>
      </c>
      <c r="O3066" s="84" t="s">
        <v>2522</v>
      </c>
      <c r="P3066" s="84" t="s">
        <v>2523</v>
      </c>
    </row>
    <row r="3067" spans="1:16">
      <c r="A3067" s="151">
        <v>96</v>
      </c>
      <c r="B3067" s="131">
        <v>46188</v>
      </c>
      <c r="C3067" s="150">
        <v>5100</v>
      </c>
      <c r="D3067" s="140" t="str">
        <f>IF(ISERROR(VLOOKUP(C3067,'[1]خريطة الحسابات'!_xlnm.Print_Area,3,FALSE))," ",(VLOOKUP(C3067,'[1]خريطة الحسابات'!_xlnm.Print_Area,3,FALSE)))</f>
        <v>تكاليف مشروع رأس الحكمة</v>
      </c>
      <c r="E3067" s="142"/>
      <c r="F3067" s="133">
        <v>8008</v>
      </c>
      <c r="G3067" s="133"/>
      <c r="H3067" s="134">
        <f t="shared" si="142"/>
        <v>8008</v>
      </c>
      <c r="I3067" s="134">
        <f t="shared" si="142"/>
        <v>0</v>
      </c>
      <c r="J3067" s="134">
        <f t="shared" si="141"/>
        <v>8008</v>
      </c>
      <c r="K3067" s="135"/>
      <c r="L3067" s="148" t="str">
        <f t="shared" si="143"/>
        <v>مدين</v>
      </c>
      <c r="M3067" s="137" t="str">
        <f>IF(ISERROR(VLOOKUP(C3067,'[1]خريطة الحسابات'!_xlnm.Print_Area,4,FALSE))," ",(VLOOKUP(C3067,'[1]خريطة الحسابات'!_xlnm.Print_Area,4,FALSE)))</f>
        <v>تكاليف مشروع رأس الحكمة</v>
      </c>
      <c r="N3067" s="138" t="str">
        <f>IF(ISERROR(VLOOKUP(C3067,'[1]خريطة الحسابات'!_xlnm.Print_Area,5,FALSE))," ",(VLOOKUP(C3067,'[1]خريطة الحسابات'!_xlnm.Print_Area,5,FALSE)))</f>
        <v xml:space="preserve">تكاليف العمليات </v>
      </c>
      <c r="O3067" s="84" t="s">
        <v>2674</v>
      </c>
      <c r="P3067" s="84" t="s">
        <v>1964</v>
      </c>
    </row>
    <row r="3068" spans="1:16">
      <c r="A3068" s="151">
        <v>96</v>
      </c>
      <c r="B3068" s="131">
        <v>46188</v>
      </c>
      <c r="C3068" s="150">
        <v>5100</v>
      </c>
      <c r="D3068" s="140" t="str">
        <f>IF(ISERROR(VLOOKUP(C3068,'[1]خريطة الحسابات'!_xlnm.Print_Area,3,FALSE))," ",(VLOOKUP(C3068,'[1]خريطة الحسابات'!_xlnm.Print_Area,3,FALSE)))</f>
        <v>تكاليف مشروع رأس الحكمة</v>
      </c>
      <c r="E3068" s="142"/>
      <c r="F3068" s="133">
        <v>2000</v>
      </c>
      <c r="G3068" s="133"/>
      <c r="H3068" s="134">
        <f t="shared" si="142"/>
        <v>2000</v>
      </c>
      <c r="I3068" s="134">
        <f t="shared" si="142"/>
        <v>0</v>
      </c>
      <c r="J3068" s="134">
        <f t="shared" si="141"/>
        <v>2000</v>
      </c>
      <c r="K3068" s="135"/>
      <c r="L3068" s="148" t="str">
        <f t="shared" si="143"/>
        <v>مدين</v>
      </c>
      <c r="M3068" s="137" t="str">
        <f>IF(ISERROR(VLOOKUP(C3068,'[1]خريطة الحسابات'!_xlnm.Print_Area,4,FALSE))," ",(VLOOKUP(C3068,'[1]خريطة الحسابات'!_xlnm.Print_Area,4,FALSE)))</f>
        <v>تكاليف مشروع رأس الحكمة</v>
      </c>
      <c r="N3068" s="138" t="str">
        <f>IF(ISERROR(VLOOKUP(C3068,'[1]خريطة الحسابات'!_xlnm.Print_Area,5,FALSE))," ",(VLOOKUP(C3068,'[1]خريطة الحسابات'!_xlnm.Print_Area,5,FALSE)))</f>
        <v xml:space="preserve">تكاليف العمليات </v>
      </c>
      <c r="O3068" s="84" t="s">
        <v>2675</v>
      </c>
      <c r="P3068" s="84" t="s">
        <v>1964</v>
      </c>
    </row>
    <row r="3069" spans="1:16">
      <c r="A3069" s="151">
        <v>96</v>
      </c>
      <c r="B3069" s="131">
        <v>46188</v>
      </c>
      <c r="C3069" s="150">
        <v>5100</v>
      </c>
      <c r="D3069" s="140" t="str">
        <f>IF(ISERROR(VLOOKUP(C3069,'[1]خريطة الحسابات'!_xlnm.Print_Area,3,FALSE))," ",(VLOOKUP(C3069,'[1]خريطة الحسابات'!_xlnm.Print_Area,3,FALSE)))</f>
        <v>تكاليف مشروع رأس الحكمة</v>
      </c>
      <c r="E3069" s="142"/>
      <c r="F3069" s="133">
        <v>8000</v>
      </c>
      <c r="G3069" s="133"/>
      <c r="H3069" s="134">
        <f t="shared" si="142"/>
        <v>8000</v>
      </c>
      <c r="I3069" s="134">
        <f t="shared" si="142"/>
        <v>0</v>
      </c>
      <c r="J3069" s="134">
        <f t="shared" si="141"/>
        <v>8000</v>
      </c>
      <c r="K3069" s="135"/>
      <c r="L3069" s="148" t="str">
        <f t="shared" si="143"/>
        <v>مدين</v>
      </c>
      <c r="M3069" s="137" t="str">
        <f>IF(ISERROR(VLOOKUP(C3069,'[1]خريطة الحسابات'!_xlnm.Print_Area,4,FALSE))," ",(VLOOKUP(C3069,'[1]خريطة الحسابات'!_xlnm.Print_Area,4,FALSE)))</f>
        <v>تكاليف مشروع رأس الحكمة</v>
      </c>
      <c r="N3069" s="138" t="str">
        <f>IF(ISERROR(VLOOKUP(C3069,'[1]خريطة الحسابات'!_xlnm.Print_Area,5,FALSE))," ",(VLOOKUP(C3069,'[1]خريطة الحسابات'!_xlnm.Print_Area,5,FALSE)))</f>
        <v xml:space="preserve">تكاليف العمليات </v>
      </c>
      <c r="O3069" s="84" t="s">
        <v>2676</v>
      </c>
      <c r="P3069" s="84" t="s">
        <v>1964</v>
      </c>
    </row>
    <row r="3070" spans="1:16">
      <c r="A3070" s="151">
        <v>96</v>
      </c>
      <c r="B3070" s="131">
        <v>46188</v>
      </c>
      <c r="C3070" s="150">
        <v>5100</v>
      </c>
      <c r="D3070" s="140" t="str">
        <f>IF(ISERROR(VLOOKUP(C3070,'[1]خريطة الحسابات'!_xlnm.Print_Area,3,FALSE))," ",(VLOOKUP(C3070,'[1]خريطة الحسابات'!_xlnm.Print_Area,3,FALSE)))</f>
        <v>تكاليف مشروع رأس الحكمة</v>
      </c>
      <c r="E3070" s="142"/>
      <c r="F3070" s="133">
        <v>1000</v>
      </c>
      <c r="G3070" s="133"/>
      <c r="H3070" s="134">
        <f t="shared" si="142"/>
        <v>1000</v>
      </c>
      <c r="I3070" s="134">
        <f t="shared" si="142"/>
        <v>0</v>
      </c>
      <c r="J3070" s="134">
        <f t="shared" si="141"/>
        <v>1000</v>
      </c>
      <c r="K3070" s="135"/>
      <c r="L3070" s="148" t="str">
        <f t="shared" si="143"/>
        <v>مدين</v>
      </c>
      <c r="M3070" s="137" t="str">
        <f>IF(ISERROR(VLOOKUP(C3070,'[1]خريطة الحسابات'!_xlnm.Print_Area,4,FALSE))," ",(VLOOKUP(C3070,'[1]خريطة الحسابات'!_xlnm.Print_Area,4,FALSE)))</f>
        <v>تكاليف مشروع رأس الحكمة</v>
      </c>
      <c r="N3070" s="138" t="str">
        <f>IF(ISERROR(VLOOKUP(C3070,'[1]خريطة الحسابات'!_xlnm.Print_Area,5,FALSE))," ",(VLOOKUP(C3070,'[1]خريطة الحسابات'!_xlnm.Print_Area,5,FALSE)))</f>
        <v xml:space="preserve">تكاليف العمليات </v>
      </c>
      <c r="O3070" s="84" t="s">
        <v>2677</v>
      </c>
      <c r="P3070" s="84" t="s">
        <v>1964</v>
      </c>
    </row>
    <row r="3071" spans="1:16">
      <c r="A3071" s="151">
        <v>96</v>
      </c>
      <c r="B3071" s="131">
        <v>46188</v>
      </c>
      <c r="C3071" s="150">
        <v>5100</v>
      </c>
      <c r="D3071" s="140" t="str">
        <f>IF(ISERROR(VLOOKUP(C3071,'[1]خريطة الحسابات'!_xlnm.Print_Area,3,FALSE))," ",(VLOOKUP(C3071,'[1]خريطة الحسابات'!_xlnm.Print_Area,3,FALSE)))</f>
        <v>تكاليف مشروع رأس الحكمة</v>
      </c>
      <c r="E3071" s="142"/>
      <c r="F3071" s="133">
        <v>970</v>
      </c>
      <c r="G3071" s="133"/>
      <c r="H3071" s="134">
        <f t="shared" si="142"/>
        <v>970</v>
      </c>
      <c r="I3071" s="134">
        <f t="shared" si="142"/>
        <v>0</v>
      </c>
      <c r="J3071" s="134">
        <f t="shared" si="141"/>
        <v>970</v>
      </c>
      <c r="K3071" s="135"/>
      <c r="L3071" s="148" t="str">
        <f t="shared" si="143"/>
        <v>مدين</v>
      </c>
      <c r="M3071" s="137" t="str">
        <f>IF(ISERROR(VLOOKUP(C3071,'[1]خريطة الحسابات'!_xlnm.Print_Area,4,FALSE))," ",(VLOOKUP(C3071,'[1]خريطة الحسابات'!_xlnm.Print_Area,4,FALSE)))</f>
        <v>تكاليف مشروع رأس الحكمة</v>
      </c>
      <c r="N3071" s="138" t="str">
        <f>IF(ISERROR(VLOOKUP(C3071,'[1]خريطة الحسابات'!_xlnm.Print_Area,5,FALSE))," ",(VLOOKUP(C3071,'[1]خريطة الحسابات'!_xlnm.Print_Area,5,FALSE)))</f>
        <v xml:space="preserve">تكاليف العمليات </v>
      </c>
      <c r="O3071" s="84" t="s">
        <v>2678</v>
      </c>
      <c r="P3071" s="84" t="s">
        <v>1964</v>
      </c>
    </row>
    <row r="3072" spans="1:16">
      <c r="A3072" s="151">
        <v>96</v>
      </c>
      <c r="B3072" s="131">
        <v>46188</v>
      </c>
      <c r="C3072" s="150">
        <v>5100</v>
      </c>
      <c r="D3072" s="140" t="str">
        <f>IF(ISERROR(VLOOKUP(C3072,'[1]خريطة الحسابات'!_xlnm.Print_Area,3,FALSE))," ",(VLOOKUP(C3072,'[1]خريطة الحسابات'!_xlnm.Print_Area,3,FALSE)))</f>
        <v>تكاليف مشروع رأس الحكمة</v>
      </c>
      <c r="E3072" s="142"/>
      <c r="F3072" s="133">
        <v>150</v>
      </c>
      <c r="G3072" s="133"/>
      <c r="H3072" s="134">
        <f t="shared" si="142"/>
        <v>150</v>
      </c>
      <c r="I3072" s="134">
        <f t="shared" si="142"/>
        <v>0</v>
      </c>
      <c r="J3072" s="134">
        <f t="shared" si="141"/>
        <v>150</v>
      </c>
      <c r="K3072" s="135"/>
      <c r="L3072" s="148" t="str">
        <f t="shared" si="143"/>
        <v>مدين</v>
      </c>
      <c r="M3072" s="137" t="str">
        <f>IF(ISERROR(VLOOKUP(C3072,'[1]خريطة الحسابات'!_xlnm.Print_Area,4,FALSE))," ",(VLOOKUP(C3072,'[1]خريطة الحسابات'!_xlnm.Print_Area,4,FALSE)))</f>
        <v>تكاليف مشروع رأس الحكمة</v>
      </c>
      <c r="N3072" s="138" t="str">
        <f>IF(ISERROR(VLOOKUP(C3072,'[1]خريطة الحسابات'!_xlnm.Print_Area,5,FALSE))," ",(VLOOKUP(C3072,'[1]خريطة الحسابات'!_xlnm.Print_Area,5,FALSE)))</f>
        <v xml:space="preserve">تكاليف العمليات </v>
      </c>
      <c r="O3072" s="84" t="s">
        <v>2679</v>
      </c>
      <c r="P3072" s="84" t="s">
        <v>1964</v>
      </c>
    </row>
    <row r="3073" spans="1:16">
      <c r="A3073" s="151">
        <v>96</v>
      </c>
      <c r="B3073" s="131">
        <v>46188</v>
      </c>
      <c r="C3073" s="150">
        <v>5100</v>
      </c>
      <c r="D3073" s="140" t="str">
        <f>IF(ISERROR(VLOOKUP(C3073,'[1]خريطة الحسابات'!_xlnm.Print_Area,3,FALSE))," ",(VLOOKUP(C3073,'[1]خريطة الحسابات'!_xlnm.Print_Area,3,FALSE)))</f>
        <v>تكاليف مشروع رأس الحكمة</v>
      </c>
      <c r="E3073" s="142"/>
      <c r="F3073" s="133">
        <v>1140</v>
      </c>
      <c r="G3073" s="133"/>
      <c r="H3073" s="134">
        <f t="shared" si="142"/>
        <v>1140</v>
      </c>
      <c r="I3073" s="134">
        <f t="shared" si="142"/>
        <v>0</v>
      </c>
      <c r="J3073" s="134">
        <f t="shared" si="141"/>
        <v>1140</v>
      </c>
      <c r="K3073" s="135"/>
      <c r="L3073" s="148" t="str">
        <f t="shared" si="143"/>
        <v>مدين</v>
      </c>
      <c r="M3073" s="137" t="str">
        <f>IF(ISERROR(VLOOKUP(C3073,'[1]خريطة الحسابات'!_xlnm.Print_Area,4,FALSE))," ",(VLOOKUP(C3073,'[1]خريطة الحسابات'!_xlnm.Print_Area,4,FALSE)))</f>
        <v>تكاليف مشروع رأس الحكمة</v>
      </c>
      <c r="N3073" s="138" t="str">
        <f>IF(ISERROR(VLOOKUP(C3073,'[1]خريطة الحسابات'!_xlnm.Print_Area,5,FALSE))," ",(VLOOKUP(C3073,'[1]خريطة الحسابات'!_xlnm.Print_Area,5,FALSE)))</f>
        <v xml:space="preserve">تكاليف العمليات </v>
      </c>
      <c r="O3073" s="84" t="s">
        <v>2680</v>
      </c>
      <c r="P3073" s="84" t="s">
        <v>1964</v>
      </c>
    </row>
    <row r="3074" spans="1:16">
      <c r="A3074" s="151">
        <v>96</v>
      </c>
      <c r="B3074" s="131">
        <v>46188</v>
      </c>
      <c r="C3074" s="150">
        <v>5100</v>
      </c>
      <c r="D3074" s="140" t="str">
        <f>IF(ISERROR(VLOOKUP(C3074,'[1]خريطة الحسابات'!_xlnm.Print_Area,3,FALSE))," ",(VLOOKUP(C3074,'[1]خريطة الحسابات'!_xlnm.Print_Area,3,FALSE)))</f>
        <v>تكاليف مشروع رأس الحكمة</v>
      </c>
      <c r="E3074" s="142"/>
      <c r="F3074" s="133">
        <v>100</v>
      </c>
      <c r="G3074" s="133"/>
      <c r="H3074" s="134">
        <f t="shared" si="142"/>
        <v>100</v>
      </c>
      <c r="I3074" s="134">
        <f t="shared" si="142"/>
        <v>0</v>
      </c>
      <c r="J3074" s="134">
        <f t="shared" si="141"/>
        <v>100</v>
      </c>
      <c r="K3074" s="135"/>
      <c r="L3074" s="148" t="str">
        <f t="shared" si="143"/>
        <v>مدين</v>
      </c>
      <c r="M3074" s="137" t="str">
        <f>IF(ISERROR(VLOOKUP(C3074,'[1]خريطة الحسابات'!_xlnm.Print_Area,4,FALSE))," ",(VLOOKUP(C3074,'[1]خريطة الحسابات'!_xlnm.Print_Area,4,FALSE)))</f>
        <v>تكاليف مشروع رأس الحكمة</v>
      </c>
      <c r="N3074" s="138" t="str">
        <f>IF(ISERROR(VLOOKUP(C3074,'[1]خريطة الحسابات'!_xlnm.Print_Area,5,FALSE))," ",(VLOOKUP(C3074,'[1]خريطة الحسابات'!_xlnm.Print_Area,5,FALSE)))</f>
        <v xml:space="preserve">تكاليف العمليات </v>
      </c>
      <c r="O3074" s="84" t="s">
        <v>2681</v>
      </c>
      <c r="P3074" s="84" t="s">
        <v>1964</v>
      </c>
    </row>
    <row r="3075" spans="1:16">
      <c r="A3075" s="151">
        <v>96</v>
      </c>
      <c r="B3075" s="131">
        <v>46188</v>
      </c>
      <c r="C3075" s="150">
        <v>5100</v>
      </c>
      <c r="D3075" s="140" t="str">
        <f>IF(ISERROR(VLOOKUP(C3075,'[1]خريطة الحسابات'!_xlnm.Print_Area,3,FALSE))," ",(VLOOKUP(C3075,'[1]خريطة الحسابات'!_xlnm.Print_Area,3,FALSE)))</f>
        <v>تكاليف مشروع رأس الحكمة</v>
      </c>
      <c r="E3075" s="142"/>
      <c r="F3075" s="133">
        <v>600</v>
      </c>
      <c r="G3075" s="133"/>
      <c r="H3075" s="134">
        <f t="shared" si="142"/>
        <v>600</v>
      </c>
      <c r="I3075" s="134">
        <f t="shared" si="142"/>
        <v>0</v>
      </c>
      <c r="J3075" s="134">
        <f t="shared" si="141"/>
        <v>600</v>
      </c>
      <c r="K3075" s="135"/>
      <c r="L3075" s="148" t="str">
        <f t="shared" si="143"/>
        <v>مدين</v>
      </c>
      <c r="M3075" s="137" t="str">
        <f>IF(ISERROR(VLOOKUP(C3075,'[1]خريطة الحسابات'!_xlnm.Print_Area,4,FALSE))," ",(VLOOKUP(C3075,'[1]خريطة الحسابات'!_xlnm.Print_Area,4,FALSE)))</f>
        <v>تكاليف مشروع رأس الحكمة</v>
      </c>
      <c r="N3075" s="138" t="str">
        <f>IF(ISERROR(VLOOKUP(C3075,'[1]خريطة الحسابات'!_xlnm.Print_Area,5,FALSE))," ",(VLOOKUP(C3075,'[1]خريطة الحسابات'!_xlnm.Print_Area,5,FALSE)))</f>
        <v xml:space="preserve">تكاليف العمليات </v>
      </c>
      <c r="O3075" s="84" t="s">
        <v>2682</v>
      </c>
      <c r="P3075" s="84" t="s">
        <v>1964</v>
      </c>
    </row>
    <row r="3076" spans="1:16">
      <c r="A3076" s="151">
        <v>96</v>
      </c>
      <c r="B3076" s="131">
        <v>46188</v>
      </c>
      <c r="C3076" s="150">
        <v>5100</v>
      </c>
      <c r="D3076" s="140" t="str">
        <f>IF(ISERROR(VLOOKUP(C3076,'[1]خريطة الحسابات'!_xlnm.Print_Area,3,FALSE))," ",(VLOOKUP(C3076,'[1]خريطة الحسابات'!_xlnm.Print_Area,3,FALSE)))</f>
        <v>تكاليف مشروع رأس الحكمة</v>
      </c>
      <c r="E3076" s="142"/>
      <c r="F3076" s="133">
        <v>1890</v>
      </c>
      <c r="G3076" s="133"/>
      <c r="H3076" s="134">
        <f t="shared" si="142"/>
        <v>1890</v>
      </c>
      <c r="I3076" s="134">
        <f t="shared" si="142"/>
        <v>0</v>
      </c>
      <c r="J3076" s="134">
        <f t="shared" si="141"/>
        <v>1890</v>
      </c>
      <c r="K3076" s="135"/>
      <c r="L3076" s="148" t="str">
        <f t="shared" si="143"/>
        <v>مدين</v>
      </c>
      <c r="M3076" s="137" t="str">
        <f>IF(ISERROR(VLOOKUP(C3076,'[1]خريطة الحسابات'!_xlnm.Print_Area,4,FALSE))," ",(VLOOKUP(C3076,'[1]خريطة الحسابات'!_xlnm.Print_Area,4,FALSE)))</f>
        <v>تكاليف مشروع رأس الحكمة</v>
      </c>
      <c r="N3076" s="138" t="str">
        <f>IF(ISERROR(VLOOKUP(C3076,'[1]خريطة الحسابات'!_xlnm.Print_Area,5,FALSE))," ",(VLOOKUP(C3076,'[1]خريطة الحسابات'!_xlnm.Print_Area,5,FALSE)))</f>
        <v xml:space="preserve">تكاليف العمليات </v>
      </c>
      <c r="O3076" s="84" t="s">
        <v>2683</v>
      </c>
      <c r="P3076" s="84" t="s">
        <v>1964</v>
      </c>
    </row>
    <row r="3077" spans="1:16">
      <c r="A3077" s="151">
        <v>96</v>
      </c>
      <c r="B3077" s="131">
        <v>46188</v>
      </c>
      <c r="C3077" s="150">
        <v>5100</v>
      </c>
      <c r="D3077" s="140" t="str">
        <f>IF(ISERROR(VLOOKUP(C3077,'[1]خريطة الحسابات'!_xlnm.Print_Area,3,FALSE))," ",(VLOOKUP(C3077,'[1]خريطة الحسابات'!_xlnm.Print_Area,3,FALSE)))</f>
        <v>تكاليف مشروع رأس الحكمة</v>
      </c>
      <c r="E3077" s="142"/>
      <c r="F3077" s="133">
        <v>1360</v>
      </c>
      <c r="G3077" s="133"/>
      <c r="H3077" s="134">
        <f t="shared" si="142"/>
        <v>1360</v>
      </c>
      <c r="I3077" s="134">
        <f t="shared" si="142"/>
        <v>0</v>
      </c>
      <c r="J3077" s="134">
        <f t="shared" si="141"/>
        <v>1360</v>
      </c>
      <c r="K3077" s="135"/>
      <c r="L3077" s="148" t="str">
        <f t="shared" si="143"/>
        <v>مدين</v>
      </c>
      <c r="M3077" s="137" t="str">
        <f>IF(ISERROR(VLOOKUP(C3077,'[1]خريطة الحسابات'!_xlnm.Print_Area,4,FALSE))," ",(VLOOKUP(C3077,'[1]خريطة الحسابات'!_xlnm.Print_Area,4,FALSE)))</f>
        <v>تكاليف مشروع رأس الحكمة</v>
      </c>
      <c r="N3077" s="138" t="str">
        <f>IF(ISERROR(VLOOKUP(C3077,'[1]خريطة الحسابات'!_xlnm.Print_Area,5,FALSE))," ",(VLOOKUP(C3077,'[1]خريطة الحسابات'!_xlnm.Print_Area,5,FALSE)))</f>
        <v xml:space="preserve">تكاليف العمليات </v>
      </c>
      <c r="O3077" s="84" t="s">
        <v>2684</v>
      </c>
      <c r="P3077" s="84" t="s">
        <v>1964</v>
      </c>
    </row>
    <row r="3078" spans="1:16">
      <c r="A3078" s="151">
        <v>96</v>
      </c>
      <c r="B3078" s="131">
        <v>46188</v>
      </c>
      <c r="C3078" s="150">
        <v>5100</v>
      </c>
      <c r="D3078" s="140" t="str">
        <f>IF(ISERROR(VLOOKUP(C3078,'[1]خريطة الحسابات'!_xlnm.Print_Area,3,FALSE))," ",(VLOOKUP(C3078,'[1]خريطة الحسابات'!_xlnm.Print_Area,3,FALSE)))</f>
        <v>تكاليف مشروع رأس الحكمة</v>
      </c>
      <c r="E3078" s="142"/>
      <c r="F3078" s="133">
        <v>340</v>
      </c>
      <c r="G3078" s="133"/>
      <c r="H3078" s="134">
        <f t="shared" si="142"/>
        <v>340</v>
      </c>
      <c r="I3078" s="134">
        <f t="shared" si="142"/>
        <v>0</v>
      </c>
      <c r="J3078" s="134">
        <f t="shared" si="141"/>
        <v>340</v>
      </c>
      <c r="K3078" s="135"/>
      <c r="L3078" s="148" t="str">
        <f t="shared" si="143"/>
        <v>مدين</v>
      </c>
      <c r="M3078" s="137" t="str">
        <f>IF(ISERROR(VLOOKUP(C3078,'[1]خريطة الحسابات'!_xlnm.Print_Area,4,FALSE))," ",(VLOOKUP(C3078,'[1]خريطة الحسابات'!_xlnm.Print_Area,4,FALSE)))</f>
        <v>تكاليف مشروع رأس الحكمة</v>
      </c>
      <c r="N3078" s="138" t="str">
        <f>IF(ISERROR(VLOOKUP(C3078,'[1]خريطة الحسابات'!_xlnm.Print_Area,5,FALSE))," ",(VLOOKUP(C3078,'[1]خريطة الحسابات'!_xlnm.Print_Area,5,FALSE)))</f>
        <v xml:space="preserve">تكاليف العمليات </v>
      </c>
      <c r="O3078" s="84" t="s">
        <v>2685</v>
      </c>
      <c r="P3078" s="84" t="s">
        <v>1964</v>
      </c>
    </row>
    <row r="3079" spans="1:16">
      <c r="A3079" s="151">
        <v>96</v>
      </c>
      <c r="B3079" s="131">
        <v>46189</v>
      </c>
      <c r="C3079" s="150" t="s">
        <v>33</v>
      </c>
      <c r="D3079" s="140" t="str">
        <f>IF(ISERROR(VLOOKUP(C3079,'[1]خريطة الحسابات'!_xlnm.Print_Area,3,FALSE))," ",(VLOOKUP(C3079,'[1]خريطة الحسابات'!_xlnm.Print_Area,3,FALSE)))</f>
        <v>مرتبات</v>
      </c>
      <c r="E3079" s="142"/>
      <c r="F3079" s="133">
        <v>55000</v>
      </c>
      <c r="G3079" s="133"/>
      <c r="H3079" s="134">
        <f t="shared" si="142"/>
        <v>55000</v>
      </c>
      <c r="I3079" s="134">
        <f t="shared" si="142"/>
        <v>0</v>
      </c>
      <c r="J3079" s="134">
        <f t="shared" si="141"/>
        <v>55000</v>
      </c>
      <c r="K3079" s="135"/>
      <c r="L3079" s="148" t="str">
        <f t="shared" si="143"/>
        <v>مدين</v>
      </c>
      <c r="M3079" s="137" t="str">
        <f>IF(ISERROR(VLOOKUP(C3079,'[1]خريطة الحسابات'!_xlnm.Print_Area,4,FALSE))," ",(VLOOKUP(C3079,'[1]خريطة الحسابات'!_xlnm.Print_Area,4,FALSE)))</f>
        <v xml:space="preserve">تكاليف ادارية وعمومية </v>
      </c>
      <c r="N3079" s="138" t="str">
        <f>IF(ISERROR(VLOOKUP(C3079,'[1]خريطة الحسابات'!_xlnm.Print_Area,5,FALSE))," ",(VLOOKUP(C3079,'[1]خريطة الحسابات'!_xlnm.Print_Area,5,FALSE)))</f>
        <v xml:space="preserve">مصروفات </v>
      </c>
      <c r="O3079" s="84" t="s">
        <v>2686</v>
      </c>
      <c r="P3079" s="84" t="s">
        <v>1759</v>
      </c>
    </row>
    <row r="3080" spans="1:16">
      <c r="A3080" s="151">
        <v>96</v>
      </c>
      <c r="B3080" s="131">
        <v>46193</v>
      </c>
      <c r="C3080" s="150" t="s">
        <v>1086</v>
      </c>
      <c r="D3080" s="140" t="str">
        <f>IF(ISERROR(VLOOKUP(C3080,'[1]خريطة الحسابات'!_xlnm.Print_Area,3,FALSE))," ",(VLOOKUP(C3080,'[1]خريطة الحسابات'!_xlnm.Print_Area,3,FALSE)))</f>
        <v>سلفة منير بوفيه</v>
      </c>
      <c r="E3080" s="142"/>
      <c r="F3080" s="133">
        <v>500</v>
      </c>
      <c r="G3080" s="133"/>
      <c r="H3080" s="134">
        <f t="shared" si="142"/>
        <v>500</v>
      </c>
      <c r="I3080" s="134">
        <f t="shared" si="142"/>
        <v>0</v>
      </c>
      <c r="J3080" s="134">
        <f t="shared" si="141"/>
        <v>500</v>
      </c>
      <c r="K3080" s="135"/>
      <c r="L3080" s="148" t="str">
        <f t="shared" si="143"/>
        <v>مدين</v>
      </c>
      <c r="M3080" s="137" t="str">
        <f>IF(ISERROR(VLOOKUP(C3080,'[1]خريطة الحسابات'!_xlnm.Print_Area,4,FALSE))," ",(VLOOKUP(C3080,'[1]خريطة الحسابات'!_xlnm.Print_Area,4,FALSE)))</f>
        <v>سلف</v>
      </c>
      <c r="N3080" s="138" t="str">
        <f>IF(ISERROR(VLOOKUP(C3080,'[1]خريطة الحسابات'!_xlnm.Print_Area,5,FALSE))," ",(VLOOKUP(C3080,'[1]خريطة الحسابات'!_xlnm.Print_Area,5,FALSE)))</f>
        <v>المدينون والأرصدة المدينة الأخرى</v>
      </c>
      <c r="O3080" s="84" t="s">
        <v>1798</v>
      </c>
      <c r="P3080" s="84" t="s">
        <v>1759</v>
      </c>
    </row>
    <row r="3081" spans="1:16">
      <c r="A3081" s="151">
        <v>96</v>
      </c>
      <c r="B3081" s="131">
        <v>46193</v>
      </c>
      <c r="C3081" s="150" t="s">
        <v>1090</v>
      </c>
      <c r="D3081" s="140" t="str">
        <f>IF(ISERROR(VLOOKUP(C3081,'[1]خريطة الحسابات'!_xlnm.Print_Area,3,FALSE))," ",(VLOOKUP(C3081,'[1]خريطة الحسابات'!_xlnm.Print_Area,3,FALSE)))</f>
        <v>سلفة عبدالرحمن</v>
      </c>
      <c r="E3081" s="142"/>
      <c r="F3081" s="133">
        <v>1000</v>
      </c>
      <c r="G3081" s="133"/>
      <c r="H3081" s="134">
        <f t="shared" si="142"/>
        <v>1000</v>
      </c>
      <c r="I3081" s="134">
        <f t="shared" si="142"/>
        <v>0</v>
      </c>
      <c r="J3081" s="134">
        <f t="shared" si="141"/>
        <v>1000</v>
      </c>
      <c r="K3081" s="135"/>
      <c r="L3081" s="148" t="str">
        <f t="shared" si="143"/>
        <v>مدين</v>
      </c>
      <c r="M3081" s="137" t="str">
        <f>IF(ISERROR(VLOOKUP(C3081,'[1]خريطة الحسابات'!_xlnm.Print_Area,4,FALSE))," ",(VLOOKUP(C3081,'[1]خريطة الحسابات'!_xlnm.Print_Area,4,FALSE)))</f>
        <v>سلف</v>
      </c>
      <c r="N3081" s="138" t="str">
        <f>IF(ISERROR(VLOOKUP(C3081,'[1]خريطة الحسابات'!_xlnm.Print_Area,5,FALSE))," ",(VLOOKUP(C3081,'[1]خريطة الحسابات'!_xlnm.Print_Area,5,FALSE)))</f>
        <v>المدينون والأرصدة المدينة الأخرى</v>
      </c>
      <c r="O3081" s="84" t="s">
        <v>2687</v>
      </c>
      <c r="P3081" s="84" t="s">
        <v>1759</v>
      </c>
    </row>
    <row r="3082" spans="1:16">
      <c r="A3082" s="151">
        <v>96</v>
      </c>
      <c r="B3082" s="131">
        <v>46188</v>
      </c>
      <c r="C3082" s="150" t="s">
        <v>79</v>
      </c>
      <c r="D3082" s="140" t="str">
        <f>IF(ISERROR(VLOOKUP(C3082,'[1]خريطة الحسابات'!_xlnm.Print_Area,3,FALSE))," ",(VLOOKUP(C3082,'[1]خريطة الحسابات'!_xlnm.Print_Area,3,FALSE)))</f>
        <v xml:space="preserve">اعمال انزال ونقل الراتش ونقل المخلفات </v>
      </c>
      <c r="E3082" s="142"/>
      <c r="F3082" s="133">
        <v>2300</v>
      </c>
      <c r="G3082" s="133"/>
      <c r="H3082" s="134">
        <f t="shared" si="142"/>
        <v>2300</v>
      </c>
      <c r="I3082" s="134">
        <f t="shared" si="142"/>
        <v>0</v>
      </c>
      <c r="J3082" s="134">
        <f t="shared" si="141"/>
        <v>2300</v>
      </c>
      <c r="K3082" s="135"/>
      <c r="L3082" s="148" t="str">
        <f t="shared" si="143"/>
        <v>مدين</v>
      </c>
      <c r="M3082" s="137" t="str">
        <f>IF(ISERROR(VLOOKUP(C3082,'[1]خريطة الحسابات'!_xlnm.Print_Area,4,FALSE))," ",(VLOOKUP(C3082,'[1]خريطة الحسابات'!_xlnm.Print_Area,4,FALSE)))</f>
        <v>تكاليف مشروع سوديك  341</v>
      </c>
      <c r="N3082" s="138" t="str">
        <f>IF(ISERROR(VLOOKUP(C3082,'[1]خريطة الحسابات'!_xlnm.Print_Area,5,FALSE))," ",(VLOOKUP(C3082,'[1]خريطة الحسابات'!_xlnm.Print_Area,5,FALSE)))</f>
        <v xml:space="preserve">تكاليف العمليات </v>
      </c>
      <c r="O3082" s="84" t="s">
        <v>2688</v>
      </c>
      <c r="P3082" s="84" t="s">
        <v>1290</v>
      </c>
    </row>
    <row r="3083" spans="1:16">
      <c r="A3083" s="151">
        <v>96</v>
      </c>
      <c r="B3083" s="131">
        <v>46189</v>
      </c>
      <c r="C3083" s="150">
        <v>4040</v>
      </c>
      <c r="D3083" s="140" t="str">
        <f>IF(ISERROR(VLOOKUP(C3083,'[1]خريطة الحسابات'!_xlnm.Print_Area,3,FALSE))," ",(VLOOKUP(C3083,'[1]خريطة الحسابات'!_xlnm.Print_Area,3,FALSE)))</f>
        <v>حسان luxery</v>
      </c>
      <c r="E3083" s="142"/>
      <c r="F3083" s="133">
        <v>100000</v>
      </c>
      <c r="G3083" s="133"/>
      <c r="H3083" s="134">
        <f t="shared" si="142"/>
        <v>100000</v>
      </c>
      <c r="I3083" s="134">
        <f t="shared" si="142"/>
        <v>0</v>
      </c>
      <c r="J3083" s="134">
        <f t="shared" si="141"/>
        <v>100000</v>
      </c>
      <c r="K3083" s="135"/>
      <c r="L3083" s="148" t="str">
        <f t="shared" si="143"/>
        <v>مدين</v>
      </c>
      <c r="M3083" s="137" t="str">
        <f>IF(ISERROR(VLOOKUP(C3083,'[1]خريطة الحسابات'!_xlnm.Print_Area,4,FALSE))," ",(VLOOKUP(C3083,'[1]خريطة الحسابات'!_xlnm.Print_Area,4,FALSE)))</f>
        <v xml:space="preserve">مقاولين </v>
      </c>
      <c r="N3083" s="138" t="str">
        <f>IF(ISERROR(VLOOKUP(C3083,'[1]خريطة الحسابات'!_xlnm.Print_Area,5,FALSE))," ",(VLOOKUP(C3083,'[1]خريطة الحسابات'!_xlnm.Print_Area,5,FALSE)))</f>
        <v xml:space="preserve">الدائنون والأرصدة الدائنة الأخرى </v>
      </c>
      <c r="O3083" s="84" t="s">
        <v>2689</v>
      </c>
      <c r="P3083" s="84" t="s">
        <v>1290</v>
      </c>
    </row>
    <row r="3084" spans="1:16">
      <c r="A3084" s="151">
        <v>96</v>
      </c>
      <c r="B3084" s="131">
        <v>46189</v>
      </c>
      <c r="C3084" s="150" t="s">
        <v>89</v>
      </c>
      <c r="D3084" s="140" t="str">
        <f>IF(ISERROR(VLOOKUP(C3084,'[1]خريطة الحسابات'!_xlnm.Print_Area,3,FALSE))," ",(VLOOKUP(C3084,'[1]خريطة الحسابات'!_xlnm.Print_Area,3,FALSE)))</f>
        <v>خامات ومصنعية أعمال السيراميك</v>
      </c>
      <c r="E3084" s="142"/>
      <c r="F3084" s="133">
        <v>565</v>
      </c>
      <c r="G3084" s="133"/>
      <c r="H3084" s="134">
        <f t="shared" si="142"/>
        <v>565</v>
      </c>
      <c r="I3084" s="134">
        <f t="shared" si="142"/>
        <v>0</v>
      </c>
      <c r="J3084" s="134">
        <f t="shared" si="141"/>
        <v>565</v>
      </c>
      <c r="K3084" s="135"/>
      <c r="L3084" s="148" t="str">
        <f t="shared" si="143"/>
        <v>مدين</v>
      </c>
      <c r="M3084" s="137" t="str">
        <f>IF(ISERROR(VLOOKUP(C3084,'[1]خريطة الحسابات'!_xlnm.Print_Area,4,FALSE))," ",(VLOOKUP(C3084,'[1]خريطة الحسابات'!_xlnm.Print_Area,4,FALSE)))</f>
        <v>تكاليف مشروع سوديك  341</v>
      </c>
      <c r="N3084" s="138" t="str">
        <f>IF(ISERROR(VLOOKUP(C3084,'[1]خريطة الحسابات'!_xlnm.Print_Area,5,FALSE))," ",(VLOOKUP(C3084,'[1]خريطة الحسابات'!_xlnm.Print_Area,5,FALSE)))</f>
        <v xml:space="preserve">تكاليف العمليات </v>
      </c>
      <c r="O3084" s="84" t="s">
        <v>2690</v>
      </c>
      <c r="P3084" s="84" t="s">
        <v>1290</v>
      </c>
    </row>
    <row r="3085" spans="1:16">
      <c r="A3085" s="151">
        <v>96</v>
      </c>
      <c r="B3085" s="131">
        <v>46189</v>
      </c>
      <c r="C3085" s="150" t="s">
        <v>131</v>
      </c>
      <c r="D3085" s="140" t="str">
        <f>IF(ISERROR(VLOOKUP(C3085,'[1]خريطة الحسابات'!_xlnm.Print_Area,3,FALSE))," ",(VLOOKUP(C3085,'[1]خريطة الحسابات'!_xlnm.Print_Area,3,FALSE)))</f>
        <v>انتقالات اخري</v>
      </c>
      <c r="E3085" s="142"/>
      <c r="F3085" s="133">
        <v>1500</v>
      </c>
      <c r="G3085" s="133"/>
      <c r="H3085" s="134">
        <f t="shared" si="142"/>
        <v>1500</v>
      </c>
      <c r="I3085" s="134">
        <f t="shared" si="142"/>
        <v>0</v>
      </c>
      <c r="J3085" s="134">
        <f t="shared" si="141"/>
        <v>1500</v>
      </c>
      <c r="K3085" s="135"/>
      <c r="L3085" s="148" t="str">
        <f t="shared" si="143"/>
        <v>مدين</v>
      </c>
      <c r="M3085" s="137" t="str">
        <f>IF(ISERROR(VLOOKUP(C3085,'[1]خريطة الحسابات'!_xlnm.Print_Area,4,FALSE))," ",(VLOOKUP(C3085,'[1]خريطة الحسابات'!_xlnm.Print_Area,4,FALSE)))</f>
        <v>تكاليف مشروع سوديك  341</v>
      </c>
      <c r="N3085" s="138" t="str">
        <f>IF(ISERROR(VLOOKUP(C3085,'[1]خريطة الحسابات'!_xlnm.Print_Area,5,FALSE))," ",(VLOOKUP(C3085,'[1]خريطة الحسابات'!_xlnm.Print_Area,5,FALSE)))</f>
        <v xml:space="preserve">تكاليف العمليات </v>
      </c>
      <c r="O3085" s="84" t="s">
        <v>2691</v>
      </c>
      <c r="P3085" s="84" t="s">
        <v>1290</v>
      </c>
    </row>
    <row r="3086" spans="1:16">
      <c r="A3086" s="151">
        <v>96</v>
      </c>
      <c r="B3086" s="131">
        <v>46189</v>
      </c>
      <c r="C3086" s="150" t="s">
        <v>127</v>
      </c>
      <c r="D3086" s="140" t="str">
        <f>IF(ISERROR(VLOOKUP(C3086,'[1]خريطة الحسابات'!_xlnm.Print_Area,3,FALSE))," ",(VLOOKUP(C3086,'[1]خريطة الحسابات'!_xlnm.Print_Area,3,FALSE)))</f>
        <v>رسوم وتصاريح المشروع واكراميات</v>
      </c>
      <c r="E3086" s="142"/>
      <c r="F3086" s="133">
        <v>200</v>
      </c>
      <c r="G3086" s="133"/>
      <c r="H3086" s="134">
        <f t="shared" si="142"/>
        <v>200</v>
      </c>
      <c r="I3086" s="134">
        <f t="shared" si="142"/>
        <v>0</v>
      </c>
      <c r="J3086" s="134">
        <f t="shared" si="141"/>
        <v>200</v>
      </c>
      <c r="K3086" s="135"/>
      <c r="L3086" s="148" t="str">
        <f t="shared" si="143"/>
        <v>مدين</v>
      </c>
      <c r="M3086" s="137" t="str">
        <f>IF(ISERROR(VLOOKUP(C3086,'[1]خريطة الحسابات'!_xlnm.Print_Area,4,FALSE))," ",(VLOOKUP(C3086,'[1]خريطة الحسابات'!_xlnm.Print_Area,4,FALSE)))</f>
        <v>تكاليف مشروع سوديك  341</v>
      </c>
      <c r="N3086" s="138" t="str">
        <f>IF(ISERROR(VLOOKUP(C3086,'[1]خريطة الحسابات'!_xlnm.Print_Area,5,FALSE))," ",(VLOOKUP(C3086,'[1]خريطة الحسابات'!_xlnm.Print_Area,5,FALSE)))</f>
        <v xml:space="preserve">تكاليف العمليات </v>
      </c>
      <c r="O3086" s="84" t="s">
        <v>2692</v>
      </c>
      <c r="P3086" s="84" t="s">
        <v>1290</v>
      </c>
    </row>
    <row r="3087" spans="1:16">
      <c r="A3087" s="151">
        <v>96</v>
      </c>
      <c r="B3087" s="131">
        <v>46189</v>
      </c>
      <c r="C3087" s="150">
        <v>4018</v>
      </c>
      <c r="D3087" s="140" t="str">
        <f>IF(ISERROR(VLOOKUP(C3087,'[1]خريطة الحسابات'!_xlnm.Print_Area,3,FALSE))," ",(VLOOKUP(C3087,'[1]خريطة الحسابات'!_xlnm.Print_Area,3,FALSE)))</f>
        <v>احمد كيريتال</v>
      </c>
      <c r="E3087" s="142"/>
      <c r="F3087" s="133">
        <v>12000</v>
      </c>
      <c r="G3087" s="133"/>
      <c r="H3087" s="134">
        <f t="shared" si="142"/>
        <v>12000</v>
      </c>
      <c r="I3087" s="134">
        <f t="shared" si="142"/>
        <v>0</v>
      </c>
      <c r="J3087" s="134">
        <f t="shared" si="141"/>
        <v>12000</v>
      </c>
      <c r="K3087" s="135"/>
      <c r="L3087" s="148" t="str">
        <f t="shared" si="143"/>
        <v>مدين</v>
      </c>
      <c r="M3087" s="137" t="str">
        <f>IF(ISERROR(VLOOKUP(C3087,'[1]خريطة الحسابات'!_xlnm.Print_Area,4,FALSE))," ",(VLOOKUP(C3087,'[1]خريطة الحسابات'!_xlnm.Print_Area,4,FALSE)))</f>
        <v xml:space="preserve">مقاولين </v>
      </c>
      <c r="N3087" s="138" t="str">
        <f>IF(ISERROR(VLOOKUP(C3087,'[1]خريطة الحسابات'!_xlnm.Print_Area,5,FALSE))," ",(VLOOKUP(C3087,'[1]خريطة الحسابات'!_xlnm.Print_Area,5,FALSE)))</f>
        <v xml:space="preserve">الدائنون والأرصدة الدائنة الأخرى </v>
      </c>
      <c r="O3087" s="84" t="s">
        <v>2693</v>
      </c>
      <c r="P3087" s="84" t="s">
        <v>1290</v>
      </c>
    </row>
    <row r="3088" spans="1:16">
      <c r="A3088" s="151">
        <v>96</v>
      </c>
      <c r="B3088" s="131">
        <v>46189</v>
      </c>
      <c r="C3088" s="150" t="s">
        <v>117</v>
      </c>
      <c r="D3088" s="140" t="str">
        <f>IF(ISERROR(VLOOKUP(C3088,'[1]خريطة الحسابات'!_xlnm.Print_Area,3,FALSE))," ",(VLOOKUP(C3088,'[1]خريطة الحسابات'!_xlnm.Print_Area,3,FALSE)))</f>
        <v>خامات ومصنعية أعمال اللاند سكيب</v>
      </c>
      <c r="E3088" s="142"/>
      <c r="F3088" s="133">
        <v>5630</v>
      </c>
      <c r="G3088" s="133"/>
      <c r="H3088" s="134">
        <f t="shared" si="142"/>
        <v>5630</v>
      </c>
      <c r="I3088" s="134">
        <f t="shared" si="142"/>
        <v>0</v>
      </c>
      <c r="J3088" s="134">
        <f t="shared" si="141"/>
        <v>5630</v>
      </c>
      <c r="K3088" s="135"/>
      <c r="L3088" s="148" t="str">
        <f t="shared" si="143"/>
        <v>مدين</v>
      </c>
      <c r="M3088" s="137" t="str">
        <f>IF(ISERROR(VLOOKUP(C3088,'[1]خريطة الحسابات'!_xlnm.Print_Area,4,FALSE))," ",(VLOOKUP(C3088,'[1]خريطة الحسابات'!_xlnm.Print_Area,4,FALSE)))</f>
        <v>تكاليف مشروع سوديك  341</v>
      </c>
      <c r="N3088" s="138" t="str">
        <f>IF(ISERROR(VLOOKUP(C3088,'[1]خريطة الحسابات'!_xlnm.Print_Area,5,FALSE))," ",(VLOOKUP(C3088,'[1]خريطة الحسابات'!_xlnm.Print_Area,5,FALSE)))</f>
        <v xml:space="preserve">تكاليف العمليات </v>
      </c>
      <c r="O3088" s="84" t="s">
        <v>2694</v>
      </c>
      <c r="P3088" s="84" t="s">
        <v>1290</v>
      </c>
    </row>
    <row r="3089" spans="1:16">
      <c r="A3089" s="151">
        <v>96</v>
      </c>
      <c r="B3089" s="131">
        <v>46190</v>
      </c>
      <c r="C3089" s="150" t="s">
        <v>93</v>
      </c>
      <c r="D3089" s="140" t="str">
        <f>IF(ISERROR(VLOOKUP(C3089,'[1]خريطة الحسابات'!_xlnm.Print_Area,3,FALSE))," ",(VLOOKUP(C3089,'[1]خريطة الحسابات'!_xlnm.Print_Area,3,FALSE)))</f>
        <v>خامات ومصنعية بند الكهرباء</v>
      </c>
      <c r="E3089" s="142"/>
      <c r="F3089" s="133">
        <v>5650</v>
      </c>
      <c r="G3089" s="133"/>
      <c r="H3089" s="134">
        <f t="shared" si="142"/>
        <v>5650</v>
      </c>
      <c r="I3089" s="134">
        <f t="shared" si="142"/>
        <v>0</v>
      </c>
      <c r="J3089" s="134">
        <f t="shared" si="141"/>
        <v>5650</v>
      </c>
      <c r="K3089" s="135"/>
      <c r="L3089" s="148" t="str">
        <f t="shared" si="143"/>
        <v>مدين</v>
      </c>
      <c r="M3089" s="137" t="str">
        <f>IF(ISERROR(VLOOKUP(C3089,'[1]خريطة الحسابات'!_xlnm.Print_Area,4,FALSE))," ",(VLOOKUP(C3089,'[1]خريطة الحسابات'!_xlnm.Print_Area,4,FALSE)))</f>
        <v>تكاليف مشروع سوديك  341</v>
      </c>
      <c r="N3089" s="138" t="str">
        <f>IF(ISERROR(VLOOKUP(C3089,'[1]خريطة الحسابات'!_xlnm.Print_Area,5,FALSE))," ",(VLOOKUP(C3089,'[1]خريطة الحسابات'!_xlnm.Print_Area,5,FALSE)))</f>
        <v xml:space="preserve">تكاليف العمليات </v>
      </c>
      <c r="O3089" s="84" t="s">
        <v>2695</v>
      </c>
      <c r="P3089" s="84" t="s">
        <v>1290</v>
      </c>
    </row>
    <row r="3090" spans="1:16">
      <c r="A3090" s="151">
        <v>96</v>
      </c>
      <c r="B3090" s="131">
        <v>46190</v>
      </c>
      <c r="C3090" s="150" t="s">
        <v>93</v>
      </c>
      <c r="D3090" s="140" t="str">
        <f>IF(ISERROR(VLOOKUP(C3090,'[1]خريطة الحسابات'!_xlnm.Print_Area,3,FALSE))," ",(VLOOKUP(C3090,'[1]خريطة الحسابات'!_xlnm.Print_Area,3,FALSE)))</f>
        <v>خامات ومصنعية بند الكهرباء</v>
      </c>
      <c r="E3090" s="142"/>
      <c r="F3090" s="133">
        <v>1500</v>
      </c>
      <c r="G3090" s="133"/>
      <c r="H3090" s="134">
        <f t="shared" si="142"/>
        <v>1500</v>
      </c>
      <c r="I3090" s="134">
        <f t="shared" si="142"/>
        <v>0</v>
      </c>
      <c r="J3090" s="134">
        <f t="shared" si="141"/>
        <v>1500</v>
      </c>
      <c r="K3090" s="135"/>
      <c r="L3090" s="148" t="str">
        <f t="shared" si="143"/>
        <v>مدين</v>
      </c>
      <c r="M3090" s="137" t="str">
        <f>IF(ISERROR(VLOOKUP(C3090,'[1]خريطة الحسابات'!_xlnm.Print_Area,4,FALSE))," ",(VLOOKUP(C3090,'[1]خريطة الحسابات'!_xlnm.Print_Area,4,FALSE)))</f>
        <v>تكاليف مشروع سوديك  341</v>
      </c>
      <c r="N3090" s="138" t="str">
        <f>IF(ISERROR(VLOOKUP(C3090,'[1]خريطة الحسابات'!_xlnm.Print_Area,5,FALSE))," ",(VLOOKUP(C3090,'[1]خريطة الحسابات'!_xlnm.Print_Area,5,FALSE)))</f>
        <v xml:space="preserve">تكاليف العمليات </v>
      </c>
      <c r="O3090" s="84" t="s">
        <v>2695</v>
      </c>
      <c r="P3090" s="84" t="s">
        <v>1290</v>
      </c>
    </row>
    <row r="3091" spans="1:16">
      <c r="A3091" s="151">
        <v>96</v>
      </c>
      <c r="B3091" s="131">
        <v>46190</v>
      </c>
      <c r="C3091" s="150">
        <v>4012</v>
      </c>
      <c r="D3091" s="140" t="str">
        <f>IF(ISERROR(VLOOKUP(C3091,'[1]خريطة الحسابات'!_xlnm.Print_Area,3,FALSE))," ",(VLOOKUP(C3091,'[1]خريطة الحسابات'!_xlnm.Print_Area,3,FALSE)))</f>
        <v>عمرو ريحان</v>
      </c>
      <c r="E3091" s="142"/>
      <c r="F3091" s="133">
        <v>7330</v>
      </c>
      <c r="G3091" s="133"/>
      <c r="H3091" s="134">
        <f t="shared" si="142"/>
        <v>7330</v>
      </c>
      <c r="I3091" s="134">
        <f t="shared" si="142"/>
        <v>0</v>
      </c>
      <c r="J3091" s="134">
        <f t="shared" si="141"/>
        <v>7330</v>
      </c>
      <c r="K3091" s="135"/>
      <c r="L3091" s="148" t="str">
        <f t="shared" si="143"/>
        <v>مدين</v>
      </c>
      <c r="M3091" s="137" t="str">
        <f>IF(ISERROR(VLOOKUP(C3091,'[1]خريطة الحسابات'!_xlnm.Print_Area,4,FALSE))," ",(VLOOKUP(C3091,'[1]خريطة الحسابات'!_xlnm.Print_Area,4,FALSE)))</f>
        <v xml:space="preserve">مقاولين </v>
      </c>
      <c r="N3091" s="138" t="str">
        <f>IF(ISERROR(VLOOKUP(C3091,'[1]خريطة الحسابات'!_xlnm.Print_Area,5,FALSE))," ",(VLOOKUP(C3091,'[1]خريطة الحسابات'!_xlnm.Print_Area,5,FALSE)))</f>
        <v xml:space="preserve">الدائنون والأرصدة الدائنة الأخرى </v>
      </c>
      <c r="O3091" s="84" t="s">
        <v>2696</v>
      </c>
      <c r="P3091" s="84" t="s">
        <v>1290</v>
      </c>
    </row>
    <row r="3092" spans="1:16">
      <c r="A3092" s="151">
        <v>96</v>
      </c>
      <c r="B3092" s="131">
        <v>46190</v>
      </c>
      <c r="C3092" s="150">
        <v>4012</v>
      </c>
      <c r="D3092" s="140" t="str">
        <f>IF(ISERROR(VLOOKUP(C3092,'[1]خريطة الحسابات'!_xlnm.Print_Area,3,FALSE))," ",(VLOOKUP(C3092,'[1]خريطة الحسابات'!_xlnm.Print_Area,3,FALSE)))</f>
        <v>عمرو ريحان</v>
      </c>
      <c r="E3092" s="142"/>
      <c r="F3092" s="133">
        <v>2385</v>
      </c>
      <c r="G3092" s="133"/>
      <c r="H3092" s="134">
        <f t="shared" si="142"/>
        <v>2385</v>
      </c>
      <c r="I3092" s="134">
        <f t="shared" si="142"/>
        <v>0</v>
      </c>
      <c r="J3092" s="134">
        <f t="shared" si="141"/>
        <v>2385</v>
      </c>
      <c r="K3092" s="135"/>
      <c r="L3092" s="148" t="str">
        <f t="shared" si="143"/>
        <v>مدين</v>
      </c>
      <c r="M3092" s="137" t="str">
        <f>IF(ISERROR(VLOOKUP(C3092,'[1]خريطة الحسابات'!_xlnm.Print_Area,4,FALSE))," ",(VLOOKUP(C3092,'[1]خريطة الحسابات'!_xlnm.Print_Area,4,FALSE)))</f>
        <v xml:space="preserve">مقاولين </v>
      </c>
      <c r="N3092" s="138" t="str">
        <f>IF(ISERROR(VLOOKUP(C3092,'[1]خريطة الحسابات'!_xlnm.Print_Area,5,FALSE))," ",(VLOOKUP(C3092,'[1]خريطة الحسابات'!_xlnm.Print_Area,5,FALSE)))</f>
        <v xml:space="preserve">الدائنون والأرصدة الدائنة الأخرى </v>
      </c>
      <c r="O3092" s="84" t="s">
        <v>2697</v>
      </c>
      <c r="P3092" s="84" t="s">
        <v>1290</v>
      </c>
    </row>
    <row r="3093" spans="1:16">
      <c r="A3093" s="151">
        <v>96</v>
      </c>
      <c r="B3093" s="131">
        <v>46190</v>
      </c>
      <c r="C3093" s="150" t="s">
        <v>79</v>
      </c>
      <c r="D3093" s="140" t="str">
        <f>IF(ISERROR(VLOOKUP(C3093,'[1]خريطة الحسابات'!_xlnm.Print_Area,3,FALSE))," ",(VLOOKUP(C3093,'[1]خريطة الحسابات'!_xlnm.Print_Area,3,FALSE)))</f>
        <v xml:space="preserve">اعمال انزال ونقل الراتش ونقل المخلفات </v>
      </c>
      <c r="E3093" s="142"/>
      <c r="F3093" s="133">
        <v>1300</v>
      </c>
      <c r="G3093" s="133"/>
      <c r="H3093" s="134">
        <f t="shared" si="142"/>
        <v>1300</v>
      </c>
      <c r="I3093" s="134">
        <f t="shared" si="142"/>
        <v>0</v>
      </c>
      <c r="J3093" s="134">
        <f t="shared" si="141"/>
        <v>1300</v>
      </c>
      <c r="K3093" s="135"/>
      <c r="L3093" s="148" t="str">
        <f t="shared" si="143"/>
        <v>مدين</v>
      </c>
      <c r="M3093" s="137" t="str">
        <f>IF(ISERROR(VLOOKUP(C3093,'[1]خريطة الحسابات'!_xlnm.Print_Area,4,FALSE))," ",(VLOOKUP(C3093,'[1]خريطة الحسابات'!_xlnm.Print_Area,4,FALSE)))</f>
        <v>تكاليف مشروع سوديك  341</v>
      </c>
      <c r="N3093" s="138" t="str">
        <f>IF(ISERROR(VLOOKUP(C3093,'[1]خريطة الحسابات'!_xlnm.Print_Area,5,FALSE))," ",(VLOOKUP(C3093,'[1]خريطة الحسابات'!_xlnm.Print_Area,5,FALSE)))</f>
        <v xml:space="preserve">تكاليف العمليات </v>
      </c>
      <c r="O3093" s="84" t="s">
        <v>2698</v>
      </c>
      <c r="P3093" s="84" t="s">
        <v>1290</v>
      </c>
    </row>
    <row r="3094" spans="1:16">
      <c r="A3094" s="151">
        <v>96</v>
      </c>
      <c r="B3094" s="131">
        <v>46193</v>
      </c>
      <c r="C3094" s="150">
        <v>4058</v>
      </c>
      <c r="D3094" s="140" t="str">
        <f>IF(ISERROR(VLOOKUP(C3094,'[1]خريطة الحسابات'!_xlnm.Print_Area,3,FALSE))," ",(VLOOKUP(C3094,'[1]خريطة الحسابات'!_xlnm.Print_Area,3,FALSE)))</f>
        <v>شريف تنجيد</v>
      </c>
      <c r="E3094" s="142"/>
      <c r="F3094" s="133">
        <v>26000</v>
      </c>
      <c r="G3094" s="133"/>
      <c r="H3094" s="134">
        <f t="shared" si="142"/>
        <v>26000</v>
      </c>
      <c r="I3094" s="134">
        <f t="shared" si="142"/>
        <v>0</v>
      </c>
      <c r="J3094" s="134">
        <f t="shared" si="141"/>
        <v>26000</v>
      </c>
      <c r="K3094" s="135"/>
      <c r="L3094" s="148" t="str">
        <f t="shared" si="143"/>
        <v>مدين</v>
      </c>
      <c r="M3094" s="137" t="str">
        <f>IF(ISERROR(VLOOKUP(C3094,'[1]خريطة الحسابات'!_xlnm.Print_Area,4,FALSE))," ",(VLOOKUP(C3094,'[1]خريطة الحسابات'!_xlnm.Print_Area,4,FALSE)))</f>
        <v>موردين</v>
      </c>
      <c r="N3094" s="138" t="str">
        <f>IF(ISERROR(VLOOKUP(C3094,'[1]خريطة الحسابات'!_xlnm.Print_Area,5,FALSE))," ",(VLOOKUP(C3094,'[1]خريطة الحسابات'!_xlnm.Print_Area,5,FALSE)))</f>
        <v xml:space="preserve">الدائنون والأرصدة الدائنة الأخرى </v>
      </c>
      <c r="O3094" s="84" t="s">
        <v>1448</v>
      </c>
      <c r="P3094" s="84" t="s">
        <v>1290</v>
      </c>
    </row>
    <row r="3095" spans="1:16">
      <c r="A3095" s="151">
        <v>96</v>
      </c>
      <c r="B3095" s="131">
        <v>46194</v>
      </c>
      <c r="C3095" s="150" t="s">
        <v>79</v>
      </c>
      <c r="D3095" s="140" t="str">
        <f>IF(ISERROR(VLOOKUP(C3095,'[1]خريطة الحسابات'!_xlnm.Print_Area,3,FALSE))," ",(VLOOKUP(C3095,'[1]خريطة الحسابات'!_xlnm.Print_Area,3,FALSE)))</f>
        <v xml:space="preserve">اعمال انزال ونقل الراتش ونقل المخلفات </v>
      </c>
      <c r="E3095" s="142"/>
      <c r="F3095" s="133">
        <v>3055</v>
      </c>
      <c r="G3095" s="133"/>
      <c r="H3095" s="134">
        <f t="shared" si="142"/>
        <v>3055</v>
      </c>
      <c r="I3095" s="134">
        <f t="shared" si="142"/>
        <v>0</v>
      </c>
      <c r="J3095" s="134">
        <f t="shared" si="141"/>
        <v>3055</v>
      </c>
      <c r="K3095" s="135"/>
      <c r="L3095" s="148" t="str">
        <f t="shared" si="143"/>
        <v>مدين</v>
      </c>
      <c r="M3095" s="137" t="str">
        <f>IF(ISERROR(VLOOKUP(C3095,'[1]خريطة الحسابات'!_xlnm.Print_Area,4,FALSE))," ",(VLOOKUP(C3095,'[1]خريطة الحسابات'!_xlnm.Print_Area,4,FALSE)))</f>
        <v>تكاليف مشروع سوديك  341</v>
      </c>
      <c r="N3095" s="138" t="str">
        <f>IF(ISERROR(VLOOKUP(C3095,'[1]خريطة الحسابات'!_xlnm.Print_Area,5,FALSE))," ",(VLOOKUP(C3095,'[1]خريطة الحسابات'!_xlnm.Print_Area,5,FALSE)))</f>
        <v xml:space="preserve">تكاليف العمليات </v>
      </c>
      <c r="O3095" s="84" t="s">
        <v>2699</v>
      </c>
      <c r="P3095" s="84" t="s">
        <v>1290</v>
      </c>
    </row>
    <row r="3096" spans="1:16">
      <c r="A3096" s="151">
        <v>96</v>
      </c>
      <c r="B3096" s="131">
        <v>46190</v>
      </c>
      <c r="C3096" s="150" t="s">
        <v>776</v>
      </c>
      <c r="D3096" s="140" t="str">
        <f>IF(ISERROR(VLOOKUP(C3096,'[1]خريطة الحسابات'!_xlnm.Print_Area,3,FALSE))," ",(VLOOKUP(C3096,'[1]خريطة الحسابات'!_xlnm.Print_Area,3,FALSE)))</f>
        <v>خامات ومصنعية أعمال الدهانات</v>
      </c>
      <c r="E3096" s="142"/>
      <c r="F3096" s="133">
        <v>1730</v>
      </c>
      <c r="G3096" s="133"/>
      <c r="H3096" s="134">
        <f t="shared" si="142"/>
        <v>1730</v>
      </c>
      <c r="I3096" s="134">
        <f t="shared" si="142"/>
        <v>0</v>
      </c>
      <c r="J3096" s="134">
        <f t="shared" ref="J3096:J3159" si="144">H3096-I3096</f>
        <v>1730</v>
      </c>
      <c r="K3096" s="135"/>
      <c r="L3096" s="148" t="str">
        <f t="shared" si="143"/>
        <v>مدين</v>
      </c>
      <c r="M3096" s="137" t="str">
        <f>IF(ISERROR(VLOOKUP(C3096,'[1]خريطة الحسابات'!_xlnm.Print_Area,4,FALSE))," ",(VLOOKUP(C3096,'[1]خريطة الحسابات'!_xlnm.Print_Area,4,FALSE)))</f>
        <v>388 تكاليف مشروع الدقي</v>
      </c>
      <c r="N3096" s="138" t="str">
        <f>IF(ISERROR(VLOOKUP(C3096,'[1]خريطة الحسابات'!_xlnm.Print_Area,5,FALSE))," ",(VLOOKUP(C3096,'[1]خريطة الحسابات'!_xlnm.Print_Area,5,FALSE)))</f>
        <v xml:space="preserve">تكاليف العمليات </v>
      </c>
      <c r="O3096" s="84" t="s">
        <v>2700</v>
      </c>
      <c r="P3096" s="84" t="s">
        <v>1315</v>
      </c>
    </row>
    <row r="3097" spans="1:16">
      <c r="A3097" s="151">
        <v>96</v>
      </c>
      <c r="B3097" s="131">
        <v>46190</v>
      </c>
      <c r="C3097" s="150" t="s">
        <v>776</v>
      </c>
      <c r="D3097" s="140" t="str">
        <f>IF(ISERROR(VLOOKUP(C3097,'[1]خريطة الحسابات'!_xlnm.Print_Area,3,FALSE))," ",(VLOOKUP(C3097,'[1]خريطة الحسابات'!_xlnm.Print_Area,3,FALSE)))</f>
        <v>خامات ومصنعية أعمال الدهانات</v>
      </c>
      <c r="E3097" s="142"/>
      <c r="F3097" s="133">
        <v>300</v>
      </c>
      <c r="G3097" s="133"/>
      <c r="H3097" s="134">
        <f t="shared" ref="H3097:I3160" si="145">IF($E3097=2,F3097*3.465,F3097)</f>
        <v>300</v>
      </c>
      <c r="I3097" s="134">
        <f t="shared" si="145"/>
        <v>0</v>
      </c>
      <c r="J3097" s="134">
        <f t="shared" si="144"/>
        <v>300</v>
      </c>
      <c r="K3097" s="135"/>
      <c r="L3097" s="148" t="str">
        <f t="shared" si="143"/>
        <v>مدين</v>
      </c>
      <c r="M3097" s="137" t="str">
        <f>IF(ISERROR(VLOOKUP(C3097,'[1]خريطة الحسابات'!_xlnm.Print_Area,4,FALSE))," ",(VLOOKUP(C3097,'[1]خريطة الحسابات'!_xlnm.Print_Area,4,FALSE)))</f>
        <v>388 تكاليف مشروع الدقي</v>
      </c>
      <c r="N3097" s="138" t="str">
        <f>IF(ISERROR(VLOOKUP(C3097,'[1]خريطة الحسابات'!_xlnm.Print_Area,5,FALSE))," ",(VLOOKUP(C3097,'[1]خريطة الحسابات'!_xlnm.Print_Area,5,FALSE)))</f>
        <v xml:space="preserve">تكاليف العمليات </v>
      </c>
      <c r="O3097" s="84" t="s">
        <v>2701</v>
      </c>
      <c r="P3097" s="84" t="s">
        <v>1315</v>
      </c>
    </row>
    <row r="3098" spans="1:16">
      <c r="A3098" s="151">
        <v>96</v>
      </c>
      <c r="B3098" s="131">
        <v>46190</v>
      </c>
      <c r="C3098" s="150">
        <v>4022</v>
      </c>
      <c r="D3098" s="140" t="str">
        <f>IF(ISERROR(VLOOKUP(C3098,'[1]خريطة الحسابات'!_xlnm.Print_Area,3,FALSE))," ",(VLOOKUP(C3098,'[1]خريطة الحسابات'!_xlnm.Print_Area,3,FALSE)))</f>
        <v>عمرو النقاش</v>
      </c>
      <c r="E3098" s="142"/>
      <c r="F3098" s="133">
        <v>4540</v>
      </c>
      <c r="G3098" s="133"/>
      <c r="H3098" s="134">
        <f t="shared" si="145"/>
        <v>4540</v>
      </c>
      <c r="I3098" s="134">
        <f t="shared" si="145"/>
        <v>0</v>
      </c>
      <c r="J3098" s="134">
        <f t="shared" si="144"/>
        <v>4540</v>
      </c>
      <c r="K3098" s="135"/>
      <c r="L3098" s="148" t="str">
        <f t="shared" si="143"/>
        <v>مدين</v>
      </c>
      <c r="M3098" s="137" t="str">
        <f>IF(ISERROR(VLOOKUP(C3098,'[1]خريطة الحسابات'!_xlnm.Print_Area,4,FALSE))," ",(VLOOKUP(C3098,'[1]خريطة الحسابات'!_xlnm.Print_Area,4,FALSE)))</f>
        <v xml:space="preserve">مقاولين </v>
      </c>
      <c r="N3098" s="138" t="str">
        <f>IF(ISERROR(VLOOKUP(C3098,'[1]خريطة الحسابات'!_xlnm.Print_Area,5,FALSE))," ",(VLOOKUP(C3098,'[1]خريطة الحسابات'!_xlnm.Print_Area,5,FALSE)))</f>
        <v xml:space="preserve">الدائنون والأرصدة الدائنة الأخرى </v>
      </c>
      <c r="O3098" s="84" t="s">
        <v>2702</v>
      </c>
      <c r="P3098" s="84" t="s">
        <v>1315</v>
      </c>
    </row>
    <row r="3099" spans="1:16">
      <c r="A3099" s="151">
        <v>96</v>
      </c>
      <c r="B3099" s="131">
        <v>46190</v>
      </c>
      <c r="C3099" s="150" t="s">
        <v>776</v>
      </c>
      <c r="D3099" s="140" t="str">
        <f>IF(ISERROR(VLOOKUP(C3099,'[1]خريطة الحسابات'!_xlnm.Print_Area,3,FALSE))," ",(VLOOKUP(C3099,'[1]خريطة الحسابات'!_xlnm.Print_Area,3,FALSE)))</f>
        <v>خامات ومصنعية أعمال الدهانات</v>
      </c>
      <c r="E3099" s="142"/>
      <c r="F3099" s="133">
        <v>740</v>
      </c>
      <c r="G3099" s="133"/>
      <c r="H3099" s="134">
        <f t="shared" si="145"/>
        <v>740</v>
      </c>
      <c r="I3099" s="134">
        <f t="shared" si="145"/>
        <v>0</v>
      </c>
      <c r="J3099" s="134">
        <f t="shared" si="144"/>
        <v>740</v>
      </c>
      <c r="K3099" s="135"/>
      <c r="L3099" s="148" t="str">
        <f t="shared" ref="L3099:L3162" si="146">IF(J3099&lt;0,"دائن",IF(J3099&gt;0,"مدين",""))</f>
        <v>مدين</v>
      </c>
      <c r="M3099" s="137" t="str">
        <f>IF(ISERROR(VLOOKUP(C3099,'[1]خريطة الحسابات'!_xlnm.Print_Area,4,FALSE))," ",(VLOOKUP(C3099,'[1]خريطة الحسابات'!_xlnm.Print_Area,4,FALSE)))</f>
        <v>388 تكاليف مشروع الدقي</v>
      </c>
      <c r="N3099" s="138" t="str">
        <f>IF(ISERROR(VLOOKUP(C3099,'[1]خريطة الحسابات'!_xlnm.Print_Area,5,FALSE))," ",(VLOOKUP(C3099,'[1]خريطة الحسابات'!_xlnm.Print_Area,5,FALSE)))</f>
        <v xml:space="preserve">تكاليف العمليات </v>
      </c>
      <c r="O3099" s="84" t="s">
        <v>2703</v>
      </c>
      <c r="P3099" s="84" t="s">
        <v>1315</v>
      </c>
    </row>
    <row r="3100" spans="1:16">
      <c r="A3100" s="151">
        <v>96</v>
      </c>
      <c r="B3100" s="131">
        <v>46190</v>
      </c>
      <c r="C3100" s="150">
        <v>4013</v>
      </c>
      <c r="D3100" s="140" t="str">
        <f>IF(ISERROR(VLOOKUP(C3100,'[1]خريطة الحسابات'!_xlnm.Print_Area,3,FALSE))," ",(VLOOKUP(C3100,'[1]خريطة الحسابات'!_xlnm.Print_Area,3,FALSE)))</f>
        <v>محمد السيد كهربائي مقاول</v>
      </c>
      <c r="E3100" s="142"/>
      <c r="F3100" s="133">
        <v>10010</v>
      </c>
      <c r="G3100" s="133"/>
      <c r="H3100" s="134">
        <f t="shared" si="145"/>
        <v>10010</v>
      </c>
      <c r="I3100" s="134">
        <f t="shared" si="145"/>
        <v>0</v>
      </c>
      <c r="J3100" s="134">
        <f t="shared" si="144"/>
        <v>10010</v>
      </c>
      <c r="K3100" s="135"/>
      <c r="L3100" s="148" t="str">
        <f t="shared" si="146"/>
        <v>مدين</v>
      </c>
      <c r="M3100" s="137" t="str">
        <f>IF(ISERROR(VLOOKUP(C3100,'[1]خريطة الحسابات'!_xlnm.Print_Area,4,FALSE))," ",(VLOOKUP(C3100,'[1]خريطة الحسابات'!_xlnm.Print_Area,4,FALSE)))</f>
        <v xml:space="preserve">مقاولين </v>
      </c>
      <c r="N3100" s="138" t="str">
        <f>IF(ISERROR(VLOOKUP(C3100,'[1]خريطة الحسابات'!_xlnm.Print_Area,5,FALSE))," ",(VLOOKUP(C3100,'[1]خريطة الحسابات'!_xlnm.Print_Area,5,FALSE)))</f>
        <v xml:space="preserve">الدائنون والأرصدة الدائنة الأخرى </v>
      </c>
      <c r="O3100" s="84" t="s">
        <v>2704</v>
      </c>
      <c r="P3100" s="84" t="s">
        <v>1315</v>
      </c>
    </row>
    <row r="3101" spans="1:16">
      <c r="A3101" s="151">
        <v>96</v>
      </c>
      <c r="B3101" s="131">
        <v>46193</v>
      </c>
      <c r="C3101" s="150">
        <v>4058</v>
      </c>
      <c r="D3101" s="140" t="str">
        <f>IF(ISERROR(VLOOKUP(C3101,'[1]خريطة الحسابات'!_xlnm.Print_Area,3,FALSE))," ",(VLOOKUP(C3101,'[1]خريطة الحسابات'!_xlnm.Print_Area,3,FALSE)))</f>
        <v>شريف تنجيد</v>
      </c>
      <c r="E3101" s="142"/>
      <c r="F3101" s="133">
        <v>9000</v>
      </c>
      <c r="G3101" s="133"/>
      <c r="H3101" s="134">
        <f t="shared" si="145"/>
        <v>9000</v>
      </c>
      <c r="I3101" s="134">
        <f t="shared" si="145"/>
        <v>0</v>
      </c>
      <c r="J3101" s="134">
        <f t="shared" si="144"/>
        <v>9000</v>
      </c>
      <c r="K3101" s="135"/>
      <c r="L3101" s="148" t="str">
        <f t="shared" si="146"/>
        <v>مدين</v>
      </c>
      <c r="M3101" s="137" t="str">
        <f>IF(ISERROR(VLOOKUP(C3101,'[1]خريطة الحسابات'!_xlnm.Print_Area,4,FALSE))," ",(VLOOKUP(C3101,'[1]خريطة الحسابات'!_xlnm.Print_Area,4,FALSE)))</f>
        <v>موردين</v>
      </c>
      <c r="N3101" s="138" t="str">
        <f>IF(ISERROR(VLOOKUP(C3101,'[1]خريطة الحسابات'!_xlnm.Print_Area,5,FALSE))," ",(VLOOKUP(C3101,'[1]خريطة الحسابات'!_xlnm.Print_Area,5,FALSE)))</f>
        <v xml:space="preserve">الدائنون والأرصدة الدائنة الأخرى </v>
      </c>
      <c r="O3101" s="84" t="s">
        <v>2705</v>
      </c>
      <c r="P3101" s="84" t="s">
        <v>1315</v>
      </c>
    </row>
    <row r="3102" spans="1:16">
      <c r="A3102" s="151">
        <v>96</v>
      </c>
      <c r="B3102" s="131">
        <v>46190</v>
      </c>
      <c r="C3102" s="150" t="s">
        <v>912</v>
      </c>
      <c r="D3102" s="140" t="str">
        <f>IF(ISERROR(VLOOKUP(C3102,'[1]خريطة الحسابات'!_xlnm.Print_Area,3,FALSE))," ",(VLOOKUP(C3102,'[1]خريطة الحسابات'!_xlnm.Print_Area,3,FALSE)))</f>
        <v>اعمال التكسير والهدم والنظافة</v>
      </c>
      <c r="E3102" s="142"/>
      <c r="F3102" s="133">
        <v>380</v>
      </c>
      <c r="G3102" s="133"/>
      <c r="H3102" s="134">
        <f t="shared" si="145"/>
        <v>380</v>
      </c>
      <c r="I3102" s="134">
        <f t="shared" si="145"/>
        <v>0</v>
      </c>
      <c r="J3102" s="134">
        <f t="shared" si="144"/>
        <v>380</v>
      </c>
      <c r="K3102" s="135"/>
      <c r="L3102" s="148" t="str">
        <f t="shared" si="146"/>
        <v>مدين</v>
      </c>
      <c r="M3102" s="137" t="str">
        <f>IF(ISERROR(VLOOKUP(C3102,'[1]خريطة الحسابات'!_xlnm.Print_Area,4,FALSE))," ",(VLOOKUP(C3102,'[1]خريطة الحسابات'!_xlnm.Print_Area,4,FALSE)))</f>
        <v>تكاليف مشروع وصال العشري 398</v>
      </c>
      <c r="N3102" s="138" t="str">
        <f>IF(ISERROR(VLOOKUP(C3102,'[1]خريطة الحسابات'!_xlnm.Print_Area,5,FALSE))," ",(VLOOKUP(C3102,'[1]خريطة الحسابات'!_xlnm.Print_Area,5,FALSE)))</f>
        <v xml:space="preserve">تكاليف العمليات </v>
      </c>
      <c r="O3102" s="84" t="s">
        <v>2706</v>
      </c>
      <c r="P3102" s="84" t="s">
        <v>1489</v>
      </c>
    </row>
    <row r="3103" spans="1:16">
      <c r="A3103" s="151">
        <v>96</v>
      </c>
      <c r="B3103" s="131">
        <v>46190</v>
      </c>
      <c r="C3103" s="150" t="s">
        <v>912</v>
      </c>
      <c r="D3103" s="140" t="str">
        <f>IF(ISERROR(VLOOKUP(C3103,'[1]خريطة الحسابات'!_xlnm.Print_Area,3,FALSE))," ",(VLOOKUP(C3103,'[1]خريطة الحسابات'!_xlnm.Print_Area,3,FALSE)))</f>
        <v>اعمال التكسير والهدم والنظافة</v>
      </c>
      <c r="E3103" s="142"/>
      <c r="F3103" s="133">
        <v>750</v>
      </c>
      <c r="G3103" s="133"/>
      <c r="H3103" s="134">
        <f t="shared" si="145"/>
        <v>750</v>
      </c>
      <c r="I3103" s="134">
        <f t="shared" si="145"/>
        <v>0</v>
      </c>
      <c r="J3103" s="134">
        <f t="shared" si="144"/>
        <v>750</v>
      </c>
      <c r="K3103" s="135"/>
      <c r="L3103" s="148" t="str">
        <f t="shared" si="146"/>
        <v>مدين</v>
      </c>
      <c r="M3103" s="137" t="str">
        <f>IF(ISERROR(VLOOKUP(C3103,'[1]خريطة الحسابات'!_xlnm.Print_Area,4,FALSE))," ",(VLOOKUP(C3103,'[1]خريطة الحسابات'!_xlnm.Print_Area,4,FALSE)))</f>
        <v>تكاليف مشروع وصال العشري 398</v>
      </c>
      <c r="N3103" s="138" t="str">
        <f>IF(ISERROR(VLOOKUP(C3103,'[1]خريطة الحسابات'!_xlnm.Print_Area,5,FALSE))," ",(VLOOKUP(C3103,'[1]خريطة الحسابات'!_xlnm.Print_Area,5,FALSE)))</f>
        <v xml:space="preserve">تكاليف العمليات </v>
      </c>
      <c r="O3103" s="84" t="s">
        <v>2707</v>
      </c>
      <c r="P3103" s="84" t="s">
        <v>1489</v>
      </c>
    </row>
    <row r="3104" spans="1:16">
      <c r="A3104" s="151">
        <v>96</v>
      </c>
      <c r="B3104" s="131">
        <v>46189</v>
      </c>
      <c r="C3104" s="150" t="s">
        <v>1078</v>
      </c>
      <c r="D3104" s="140" t="str">
        <f>IF(ISERROR(VLOOKUP(C3104,'[1]خريطة الحسابات'!_xlnm.Print_Area,3,FALSE))," ",(VLOOKUP(C3104,'[1]خريطة الحسابات'!_xlnm.Print_Area,3,FALSE)))</f>
        <v>عهدة سامح مشتريات</v>
      </c>
      <c r="E3104" s="142"/>
      <c r="F3104" s="133">
        <v>39285</v>
      </c>
      <c r="G3104" s="133"/>
      <c r="H3104" s="134">
        <f t="shared" si="145"/>
        <v>39285</v>
      </c>
      <c r="I3104" s="134">
        <f t="shared" si="145"/>
        <v>0</v>
      </c>
      <c r="J3104" s="134">
        <f t="shared" si="144"/>
        <v>39285</v>
      </c>
      <c r="K3104" s="135"/>
      <c r="L3104" s="148" t="str">
        <f t="shared" si="146"/>
        <v>مدين</v>
      </c>
      <c r="M3104" s="137" t="str">
        <f>IF(ISERROR(VLOOKUP(C3104,'[1]خريطة الحسابات'!_xlnm.Print_Area,4,FALSE))," ",(VLOOKUP(C3104,'[1]خريطة الحسابات'!_xlnm.Print_Area,4,FALSE)))</f>
        <v>عهد</v>
      </c>
      <c r="N3104" s="138" t="str">
        <f>IF(ISERROR(VLOOKUP(C3104,'[1]خريطة الحسابات'!_xlnm.Print_Area,5,FALSE))," ",(VLOOKUP(C3104,'[1]خريطة الحسابات'!_xlnm.Print_Area,5,FALSE)))</f>
        <v>المدينون والأرصدة المدينة الأخرى</v>
      </c>
      <c r="O3104" s="84" t="s">
        <v>2708</v>
      </c>
      <c r="P3104" s="84" t="s">
        <v>1077</v>
      </c>
    </row>
    <row r="3105" spans="1:16">
      <c r="A3105" s="151">
        <v>96</v>
      </c>
      <c r="B3105" s="131">
        <v>46188</v>
      </c>
      <c r="C3105" s="150" t="s">
        <v>65</v>
      </c>
      <c r="D3105" s="140" t="str">
        <f>IF(ISERROR(VLOOKUP(C3105,'[1]خريطة الحسابات'!_xlnm.Print_Area,3,FALSE))," ",(VLOOKUP(C3105,'[1]خريطة الحسابات'!_xlnm.Print_Area,3,FALSE)))</f>
        <v>تكاليف تسويق</v>
      </c>
      <c r="E3105" s="142"/>
      <c r="F3105" s="133">
        <v>17715</v>
      </c>
      <c r="G3105" s="133"/>
      <c r="H3105" s="134">
        <f t="shared" si="145"/>
        <v>17715</v>
      </c>
      <c r="I3105" s="134">
        <f t="shared" si="145"/>
        <v>0</v>
      </c>
      <c r="J3105" s="134">
        <f t="shared" si="144"/>
        <v>17715</v>
      </c>
      <c r="K3105" s="135"/>
      <c r="L3105" s="148" t="str">
        <f t="shared" si="146"/>
        <v>مدين</v>
      </c>
      <c r="M3105" s="137" t="str">
        <f>IF(ISERROR(VLOOKUP(C3105,'[1]خريطة الحسابات'!_xlnm.Print_Area,4,FALSE))," ",(VLOOKUP(C3105,'[1]خريطة الحسابات'!_xlnm.Print_Area,4,FALSE)))</f>
        <v xml:space="preserve">تكاليف ادارية وعمومية </v>
      </c>
      <c r="N3105" s="138" t="str">
        <f>IF(ISERROR(VLOOKUP(C3105,'[1]خريطة الحسابات'!_xlnm.Print_Area,5,FALSE))," ",(VLOOKUP(C3105,'[1]خريطة الحسابات'!_xlnm.Print_Area,5,FALSE)))</f>
        <v xml:space="preserve">مصروفات </v>
      </c>
      <c r="O3105" s="84" t="s">
        <v>2551</v>
      </c>
      <c r="P3105" s="84" t="s">
        <v>2550</v>
      </c>
    </row>
    <row r="3106" spans="1:16">
      <c r="A3106" s="151">
        <v>96</v>
      </c>
      <c r="B3106" s="131">
        <v>46189</v>
      </c>
      <c r="C3106" s="150" t="s">
        <v>65</v>
      </c>
      <c r="D3106" s="140" t="str">
        <f>IF(ISERROR(VLOOKUP(C3106,'[1]خريطة الحسابات'!_xlnm.Print_Area,3,FALSE))," ",(VLOOKUP(C3106,'[1]خريطة الحسابات'!_xlnm.Print_Area,3,FALSE)))</f>
        <v>تكاليف تسويق</v>
      </c>
      <c r="E3106" s="142"/>
      <c r="F3106" s="133">
        <v>15000</v>
      </c>
      <c r="G3106" s="133"/>
      <c r="H3106" s="134">
        <f t="shared" si="145"/>
        <v>15000</v>
      </c>
      <c r="I3106" s="134">
        <f t="shared" si="145"/>
        <v>0</v>
      </c>
      <c r="J3106" s="134">
        <f t="shared" si="144"/>
        <v>15000</v>
      </c>
      <c r="K3106" s="135"/>
      <c r="L3106" s="148" t="str">
        <f t="shared" si="146"/>
        <v>مدين</v>
      </c>
      <c r="M3106" s="137" t="str">
        <f>IF(ISERROR(VLOOKUP(C3106,'[1]خريطة الحسابات'!_xlnm.Print_Area,4,FALSE))," ",(VLOOKUP(C3106,'[1]خريطة الحسابات'!_xlnm.Print_Area,4,FALSE)))</f>
        <v xml:space="preserve">تكاليف ادارية وعمومية </v>
      </c>
      <c r="N3106" s="138" t="str">
        <f>IF(ISERROR(VLOOKUP(C3106,'[1]خريطة الحسابات'!_xlnm.Print_Area,5,FALSE))," ",(VLOOKUP(C3106,'[1]خريطة الحسابات'!_xlnm.Print_Area,5,FALSE)))</f>
        <v xml:space="preserve">مصروفات </v>
      </c>
      <c r="O3106" s="84" t="s">
        <v>2709</v>
      </c>
      <c r="P3106" s="84" t="s">
        <v>2550</v>
      </c>
    </row>
    <row r="3107" spans="1:16" ht="15.6">
      <c r="A3107" s="151">
        <v>96</v>
      </c>
      <c r="B3107" s="131">
        <v>46188</v>
      </c>
      <c r="C3107" s="35" t="s">
        <v>41</v>
      </c>
      <c r="D3107" s="140" t="str">
        <f>IF(ISERROR(VLOOKUP(C3107,'[1]خريطة الحسابات'!_xlnm.Print_Area,3,FALSE))," ",(VLOOKUP(C3107,'[1]خريطة الحسابات'!_xlnm.Print_Area,3,FALSE)))</f>
        <v>نظافه و بوفيه</v>
      </c>
      <c r="E3107" s="142"/>
      <c r="F3107" s="133">
        <v>225</v>
      </c>
      <c r="G3107" s="133"/>
      <c r="H3107" s="134">
        <f t="shared" si="145"/>
        <v>225</v>
      </c>
      <c r="I3107" s="134">
        <f t="shared" si="145"/>
        <v>0</v>
      </c>
      <c r="J3107" s="134">
        <f t="shared" si="144"/>
        <v>225</v>
      </c>
      <c r="K3107" s="135"/>
      <c r="L3107" s="148" t="str">
        <f t="shared" si="146"/>
        <v>مدين</v>
      </c>
      <c r="M3107" s="137" t="str">
        <f>IF(ISERROR(VLOOKUP(C3107,'[1]خريطة الحسابات'!_xlnm.Print_Area,4,FALSE))," ",(VLOOKUP(C3107,'[1]خريطة الحسابات'!_xlnm.Print_Area,4,FALSE)))</f>
        <v xml:space="preserve">تكاليف ادارية وعمومية </v>
      </c>
      <c r="N3107" s="138" t="str">
        <f>IF(ISERROR(VLOOKUP(C3107,'[1]خريطة الحسابات'!_xlnm.Print_Area,5,FALSE))," ",(VLOOKUP(C3107,'[1]خريطة الحسابات'!_xlnm.Print_Area,5,FALSE)))</f>
        <v xml:space="preserve">مصروفات </v>
      </c>
      <c r="O3107" s="84" t="s">
        <v>2710</v>
      </c>
      <c r="P3107" s="84" t="s">
        <v>1664</v>
      </c>
    </row>
    <row r="3108" spans="1:16" ht="15.6">
      <c r="A3108" s="151">
        <v>96</v>
      </c>
      <c r="B3108" s="131">
        <v>46193</v>
      </c>
      <c r="C3108" s="35" t="s">
        <v>41</v>
      </c>
      <c r="D3108" s="140" t="str">
        <f>IF(ISERROR(VLOOKUP(C3108,'[1]خريطة الحسابات'!_xlnm.Print_Area,3,FALSE))," ",(VLOOKUP(C3108,'[1]خريطة الحسابات'!_xlnm.Print_Area,3,FALSE)))</f>
        <v>نظافه و بوفيه</v>
      </c>
      <c r="E3108" s="142"/>
      <c r="F3108" s="133">
        <v>925</v>
      </c>
      <c r="G3108" s="133"/>
      <c r="H3108" s="134">
        <f t="shared" si="145"/>
        <v>925</v>
      </c>
      <c r="I3108" s="134">
        <f t="shared" si="145"/>
        <v>0</v>
      </c>
      <c r="J3108" s="134">
        <f t="shared" si="144"/>
        <v>925</v>
      </c>
      <c r="K3108" s="135"/>
      <c r="L3108" s="148" t="str">
        <f t="shared" si="146"/>
        <v>مدين</v>
      </c>
      <c r="M3108" s="137" t="str">
        <f>IF(ISERROR(VLOOKUP(C3108,'[1]خريطة الحسابات'!_xlnm.Print_Area,4,FALSE))," ",(VLOOKUP(C3108,'[1]خريطة الحسابات'!_xlnm.Print_Area,4,FALSE)))</f>
        <v xml:space="preserve">تكاليف ادارية وعمومية </v>
      </c>
      <c r="N3108" s="138" t="str">
        <f>IF(ISERROR(VLOOKUP(C3108,'[1]خريطة الحسابات'!_xlnm.Print_Area,5,FALSE))," ",(VLOOKUP(C3108,'[1]خريطة الحسابات'!_xlnm.Print_Area,5,FALSE)))</f>
        <v xml:space="preserve">مصروفات </v>
      </c>
      <c r="O3108" s="84" t="s">
        <v>2711</v>
      </c>
      <c r="P3108" s="84" t="s">
        <v>1664</v>
      </c>
    </row>
    <row r="3109" spans="1:16">
      <c r="A3109" s="151">
        <v>96</v>
      </c>
      <c r="B3109" s="131">
        <v>46193</v>
      </c>
      <c r="C3109" s="150" t="s">
        <v>31</v>
      </c>
      <c r="D3109" s="140" t="str">
        <f>IF(ISERROR(VLOOKUP(C3109,'[1]خريطة الحسابات'!_xlnm.Print_Area,3,FALSE))," ",(VLOOKUP(C3109,'[1]خريطة الحسابات'!_xlnm.Print_Area,3,FALSE)))</f>
        <v>كهرباء ومياه وغاز وانترنت وموبيل مرافق</v>
      </c>
      <c r="E3109" s="142"/>
      <c r="F3109" s="133">
        <v>2405</v>
      </c>
      <c r="G3109" s="133"/>
      <c r="H3109" s="134">
        <f t="shared" si="145"/>
        <v>2405</v>
      </c>
      <c r="I3109" s="134">
        <f t="shared" si="145"/>
        <v>0</v>
      </c>
      <c r="J3109" s="134">
        <f t="shared" si="144"/>
        <v>2405</v>
      </c>
      <c r="K3109" s="135"/>
      <c r="L3109" s="148" t="str">
        <f t="shared" si="146"/>
        <v>مدين</v>
      </c>
      <c r="M3109" s="137" t="str">
        <f>IF(ISERROR(VLOOKUP(C3109,'[1]خريطة الحسابات'!_xlnm.Print_Area,4,FALSE))," ",(VLOOKUP(C3109,'[1]خريطة الحسابات'!_xlnm.Print_Area,4,FALSE)))</f>
        <v xml:space="preserve">تكاليف ادارية وعمومية </v>
      </c>
      <c r="N3109" s="138" t="str">
        <f>IF(ISERROR(VLOOKUP(C3109,'[1]خريطة الحسابات'!_xlnm.Print_Area,5,FALSE))," ",(VLOOKUP(C3109,'[1]خريطة الحسابات'!_xlnm.Print_Area,5,FALSE)))</f>
        <v xml:space="preserve">مصروفات </v>
      </c>
      <c r="O3109" s="84" t="s">
        <v>2712</v>
      </c>
      <c r="P3109" s="84" t="s">
        <v>2530</v>
      </c>
    </row>
    <row r="3110" spans="1:16">
      <c r="A3110" s="151">
        <v>96</v>
      </c>
      <c r="B3110" s="131">
        <v>46188</v>
      </c>
      <c r="C3110" s="150">
        <v>4055</v>
      </c>
      <c r="D3110" s="140" t="str">
        <f>IF(ISERROR(VLOOKUP(C3110,'[1]خريطة الحسابات'!_xlnm.Print_Area,3,FALSE))," ",(VLOOKUP(C3110,'[1]خريطة الحسابات'!_xlnm.Print_Area,3,FALSE)))</f>
        <v>بيت الخامة</v>
      </c>
      <c r="E3110" s="142"/>
      <c r="F3110" s="133">
        <v>13000</v>
      </c>
      <c r="G3110" s="133"/>
      <c r="H3110" s="134">
        <f t="shared" si="145"/>
        <v>13000</v>
      </c>
      <c r="I3110" s="134">
        <f t="shared" si="145"/>
        <v>0</v>
      </c>
      <c r="J3110" s="134">
        <f t="shared" si="144"/>
        <v>13000</v>
      </c>
      <c r="K3110" s="135"/>
      <c r="L3110" s="148" t="str">
        <f t="shared" si="146"/>
        <v>مدين</v>
      </c>
      <c r="M3110" s="137" t="str">
        <f>IF(ISERROR(VLOOKUP(C3110,'[1]خريطة الحسابات'!_xlnm.Print_Area,4,FALSE))," ",(VLOOKUP(C3110,'[1]خريطة الحسابات'!_xlnm.Print_Area,4,FALSE)))</f>
        <v>موردين</v>
      </c>
      <c r="N3110" s="138" t="str">
        <f>IF(ISERROR(VLOOKUP(C3110,'[1]خريطة الحسابات'!_xlnm.Print_Area,5,FALSE))," ",(VLOOKUP(C3110,'[1]خريطة الحسابات'!_xlnm.Print_Area,5,FALSE)))</f>
        <v xml:space="preserve">الدائنون والأرصدة الدائنة الأخرى </v>
      </c>
      <c r="O3110" s="84" t="s">
        <v>2713</v>
      </c>
      <c r="P3110" s="84" t="s">
        <v>1383</v>
      </c>
    </row>
    <row r="3111" spans="1:16">
      <c r="A3111" s="151">
        <v>96</v>
      </c>
      <c r="B3111" s="131">
        <v>46190</v>
      </c>
      <c r="C3111" s="150" t="s">
        <v>353</v>
      </c>
      <c r="D3111" s="140" t="str">
        <f>IF(ISERROR(VLOOKUP(C3111,'[1]خريطة الحسابات'!_xlnm.Print_Area,3,FALSE))," ",(VLOOKUP(C3111,'[1]خريطة الحسابات'!_xlnm.Print_Area,3,FALSE)))</f>
        <v>خامات ومصنعية أعمال المباني</v>
      </c>
      <c r="E3111" s="142"/>
      <c r="F3111" s="133">
        <v>1700</v>
      </c>
      <c r="G3111" s="133"/>
      <c r="H3111" s="134">
        <f t="shared" si="145"/>
        <v>1700</v>
      </c>
      <c r="I3111" s="134">
        <f t="shared" si="145"/>
        <v>0</v>
      </c>
      <c r="J3111" s="134">
        <f t="shared" si="144"/>
        <v>1700</v>
      </c>
      <c r="K3111" s="135"/>
      <c r="L3111" s="148" t="str">
        <f t="shared" si="146"/>
        <v>مدين</v>
      </c>
      <c r="M3111" s="137" t="str">
        <f>IF(ISERROR(VLOOKUP(C3111,'[1]خريطة الحسابات'!_xlnm.Print_Area,4,FALSE))," ",(VLOOKUP(C3111,'[1]خريطة الحسابات'!_xlnm.Print_Area,4,FALSE)))</f>
        <v>318 تكاليف مشروع  المعادي ديونز</v>
      </c>
      <c r="N3111" s="138" t="str">
        <f>IF(ISERROR(VLOOKUP(C3111,'[1]خريطة الحسابات'!_xlnm.Print_Area,5,FALSE))," ",(VLOOKUP(C3111,'[1]خريطة الحسابات'!_xlnm.Print_Area,5,FALSE)))</f>
        <v xml:space="preserve">تكاليف العمليات </v>
      </c>
      <c r="O3111" s="84" t="s">
        <v>2714</v>
      </c>
      <c r="P3111" s="84" t="s">
        <v>1383</v>
      </c>
    </row>
    <row r="3112" spans="1:16">
      <c r="A3112" s="151">
        <v>96</v>
      </c>
      <c r="B3112" s="131">
        <v>46194</v>
      </c>
      <c r="C3112" s="150" t="s">
        <v>378</v>
      </c>
      <c r="D3112" s="140" t="str">
        <f>IF(ISERROR(VLOOKUP(C3112,'[1]خريطة الحسابات'!_xlnm.Print_Area,3,FALSE))," ",(VLOOKUP(C3112,'[1]خريطة الحسابات'!_xlnm.Print_Area,3,FALSE)))</f>
        <v>انتقالات اخري</v>
      </c>
      <c r="E3112" s="142"/>
      <c r="F3112" s="133">
        <v>430</v>
      </c>
      <c r="G3112" s="133"/>
      <c r="H3112" s="134">
        <f t="shared" si="145"/>
        <v>430</v>
      </c>
      <c r="I3112" s="134">
        <f t="shared" si="145"/>
        <v>0</v>
      </c>
      <c r="J3112" s="134">
        <f t="shared" si="144"/>
        <v>430</v>
      </c>
      <c r="K3112" s="135"/>
      <c r="L3112" s="148" t="str">
        <f t="shared" si="146"/>
        <v>مدين</v>
      </c>
      <c r="M3112" s="137" t="str">
        <f>IF(ISERROR(VLOOKUP(C3112,'[1]خريطة الحسابات'!_xlnm.Print_Area,4,FALSE))," ",(VLOOKUP(C3112,'[1]خريطة الحسابات'!_xlnm.Print_Area,4,FALSE)))</f>
        <v>318 تكاليف مشروع  المعادي ديونز</v>
      </c>
      <c r="N3112" s="138" t="str">
        <f>IF(ISERROR(VLOOKUP(C3112,'[1]خريطة الحسابات'!_xlnm.Print_Area,5,FALSE))," ",(VLOOKUP(C3112,'[1]خريطة الحسابات'!_xlnm.Print_Area,5,FALSE)))</f>
        <v xml:space="preserve">تكاليف العمليات </v>
      </c>
      <c r="O3112" s="84" t="s">
        <v>2715</v>
      </c>
      <c r="P3112" s="84" t="s">
        <v>1383</v>
      </c>
    </row>
    <row r="3113" spans="1:16">
      <c r="A3113" s="151">
        <v>96</v>
      </c>
      <c r="B3113" s="131">
        <v>46189</v>
      </c>
      <c r="C3113" s="150">
        <v>4033</v>
      </c>
      <c r="D3113" s="140" t="str">
        <f>IF(ISERROR(VLOOKUP(C3113,'[1]خريطة الحسابات'!_xlnm.Print_Area,3,FALSE))," ",(VLOOKUP(C3113,'[1]خريطة الحسابات'!_xlnm.Print_Area,3,FALSE)))</f>
        <v>كريم النجار</v>
      </c>
      <c r="E3113" s="142"/>
      <c r="F3113" s="133">
        <v>15015</v>
      </c>
      <c r="G3113" s="133"/>
      <c r="H3113" s="134">
        <f t="shared" si="145"/>
        <v>15015</v>
      </c>
      <c r="I3113" s="134">
        <f t="shared" si="145"/>
        <v>0</v>
      </c>
      <c r="J3113" s="134">
        <f t="shared" si="144"/>
        <v>15015</v>
      </c>
      <c r="K3113" s="135"/>
      <c r="L3113" s="148" t="str">
        <f t="shared" si="146"/>
        <v>مدين</v>
      </c>
      <c r="M3113" s="137" t="str">
        <f>IF(ISERROR(VLOOKUP(C3113,'[1]خريطة الحسابات'!_xlnm.Print_Area,4,FALSE))," ",(VLOOKUP(C3113,'[1]خريطة الحسابات'!_xlnm.Print_Area,4,FALSE)))</f>
        <v xml:space="preserve">مقاولين </v>
      </c>
      <c r="N3113" s="138" t="str">
        <f>IF(ISERROR(VLOOKUP(C3113,'[1]خريطة الحسابات'!_xlnm.Print_Area,5,FALSE))," ",(VLOOKUP(C3113,'[1]خريطة الحسابات'!_xlnm.Print_Area,5,FALSE)))</f>
        <v xml:space="preserve">الدائنون والأرصدة الدائنة الأخرى </v>
      </c>
      <c r="O3113" s="84" t="s">
        <v>2716</v>
      </c>
      <c r="P3113" s="84" t="s">
        <v>1342</v>
      </c>
    </row>
    <row r="3114" spans="1:16">
      <c r="A3114" s="151">
        <v>96</v>
      </c>
      <c r="B3114" s="131">
        <v>46190</v>
      </c>
      <c r="C3114" s="54">
        <v>4056</v>
      </c>
      <c r="D3114" s="140" t="str">
        <f>IF(ISERROR(VLOOKUP(C3114,'[1]خريطة الحسابات'!_xlnm.Print_Area,3,FALSE))," ",(VLOOKUP(C3114,'[1]خريطة الحسابات'!_xlnm.Print_Area,3,FALSE)))</f>
        <v>القبيصي</v>
      </c>
      <c r="E3114" s="142"/>
      <c r="F3114" s="133">
        <v>10000</v>
      </c>
      <c r="G3114" s="133"/>
      <c r="H3114" s="134">
        <f t="shared" si="145"/>
        <v>10000</v>
      </c>
      <c r="I3114" s="134">
        <f t="shared" si="145"/>
        <v>0</v>
      </c>
      <c r="J3114" s="134">
        <f t="shared" si="144"/>
        <v>10000</v>
      </c>
      <c r="K3114" s="135"/>
      <c r="L3114" s="148" t="str">
        <f t="shared" si="146"/>
        <v>مدين</v>
      </c>
      <c r="M3114" s="137" t="str">
        <f>IF(ISERROR(VLOOKUP(C3114,'[1]خريطة الحسابات'!_xlnm.Print_Area,4,FALSE))," ",(VLOOKUP(C3114,'[1]خريطة الحسابات'!_xlnm.Print_Area,4,FALSE)))</f>
        <v>موردين</v>
      </c>
      <c r="N3114" s="138" t="str">
        <f>IF(ISERROR(VLOOKUP(C3114,'[1]خريطة الحسابات'!_xlnm.Print_Area,5,FALSE))," ",(VLOOKUP(C3114,'[1]خريطة الحسابات'!_xlnm.Print_Area,5,FALSE)))</f>
        <v xml:space="preserve">الدائنون والأرصدة الدائنة الأخرى </v>
      </c>
      <c r="O3114" s="84" t="s">
        <v>2717</v>
      </c>
      <c r="P3114" s="84" t="s">
        <v>1342</v>
      </c>
    </row>
    <row r="3115" spans="1:16">
      <c r="A3115" s="151">
        <v>96</v>
      </c>
      <c r="B3115" s="131">
        <v>46190</v>
      </c>
      <c r="C3115" s="150">
        <v>4053</v>
      </c>
      <c r="D3115" s="140" t="str">
        <f>IF(ISERROR(VLOOKUP(C3115,'[1]خريطة الحسابات'!_xlnm.Print_Area,3,FALSE))," ",(VLOOKUP(C3115,'[1]خريطة الحسابات'!_xlnm.Print_Area,3,FALSE)))</f>
        <v>الامل صحي</v>
      </c>
      <c r="E3115" s="142"/>
      <c r="F3115" s="133">
        <v>10000</v>
      </c>
      <c r="G3115" s="133"/>
      <c r="H3115" s="134">
        <f t="shared" si="145"/>
        <v>10000</v>
      </c>
      <c r="I3115" s="134">
        <f t="shared" si="145"/>
        <v>0</v>
      </c>
      <c r="J3115" s="134">
        <f t="shared" si="144"/>
        <v>10000</v>
      </c>
      <c r="K3115" s="135"/>
      <c r="L3115" s="148" t="str">
        <f t="shared" si="146"/>
        <v>مدين</v>
      </c>
      <c r="M3115" s="137" t="str">
        <f>IF(ISERROR(VLOOKUP(C3115,'[1]خريطة الحسابات'!_xlnm.Print_Area,4,FALSE))," ",(VLOOKUP(C3115,'[1]خريطة الحسابات'!_xlnm.Print_Area,4,FALSE)))</f>
        <v>موردين</v>
      </c>
      <c r="N3115" s="138" t="str">
        <f>IF(ISERROR(VLOOKUP(C3115,'[1]خريطة الحسابات'!_xlnm.Print_Area,5,FALSE))," ",(VLOOKUP(C3115,'[1]خريطة الحسابات'!_xlnm.Print_Area,5,FALSE)))</f>
        <v xml:space="preserve">الدائنون والأرصدة الدائنة الأخرى </v>
      </c>
      <c r="O3115" s="84" t="s">
        <v>2667</v>
      </c>
      <c r="P3115" s="84" t="s">
        <v>1342</v>
      </c>
    </row>
    <row r="3116" spans="1:16">
      <c r="A3116" s="151">
        <v>96</v>
      </c>
      <c r="B3116" s="131">
        <v>46190</v>
      </c>
      <c r="C3116" s="150">
        <v>4019</v>
      </c>
      <c r="D3116" s="140" t="str">
        <f>IF(ISERROR(VLOOKUP(C3116,'[1]خريطة الحسابات'!_xlnm.Print_Area,3,FALSE))," ",(VLOOKUP(C3116,'[1]خريطة الحسابات'!_xlnm.Print_Area,3,FALSE)))</f>
        <v>هاني السباك</v>
      </c>
      <c r="E3116" s="142"/>
      <c r="F3116" s="133">
        <v>20020</v>
      </c>
      <c r="G3116" s="133"/>
      <c r="H3116" s="134">
        <f t="shared" si="145"/>
        <v>20020</v>
      </c>
      <c r="I3116" s="134">
        <f t="shared" si="145"/>
        <v>0</v>
      </c>
      <c r="J3116" s="134">
        <f t="shared" si="144"/>
        <v>20020</v>
      </c>
      <c r="K3116" s="135"/>
      <c r="L3116" s="148" t="str">
        <f t="shared" si="146"/>
        <v>مدين</v>
      </c>
      <c r="M3116" s="137" t="str">
        <f>IF(ISERROR(VLOOKUP(C3116,'[1]خريطة الحسابات'!_xlnm.Print_Area,4,FALSE))," ",(VLOOKUP(C3116,'[1]خريطة الحسابات'!_xlnm.Print_Area,4,FALSE)))</f>
        <v xml:space="preserve">مقاولين </v>
      </c>
      <c r="N3116" s="138" t="str">
        <f>IF(ISERROR(VLOOKUP(C3116,'[1]خريطة الحسابات'!_xlnm.Print_Area,5,FALSE))," ",(VLOOKUP(C3116,'[1]خريطة الحسابات'!_xlnm.Print_Area,5,FALSE)))</f>
        <v xml:space="preserve">الدائنون والأرصدة الدائنة الأخرى </v>
      </c>
      <c r="O3116" s="84" t="s">
        <v>2718</v>
      </c>
      <c r="P3116" s="84" t="s">
        <v>1317</v>
      </c>
    </row>
    <row r="3117" spans="1:16">
      <c r="A3117" s="151">
        <v>96</v>
      </c>
      <c r="B3117" s="131">
        <v>46190</v>
      </c>
      <c r="C3117" s="150" t="s">
        <v>674</v>
      </c>
      <c r="D3117" s="140" t="str">
        <f>IF(ISERROR(VLOOKUP(C3117,'[1]خريطة الحسابات'!_xlnm.Print_Area,3,FALSE))," ",(VLOOKUP(C3117,'[1]خريطة الحسابات'!_xlnm.Print_Area,3,FALSE)))</f>
        <v>خامات ومصنعية بند الكهرباء</v>
      </c>
      <c r="E3117" s="142"/>
      <c r="F3117" s="133">
        <v>1000</v>
      </c>
      <c r="G3117" s="133"/>
      <c r="H3117" s="134">
        <f t="shared" si="145"/>
        <v>1000</v>
      </c>
      <c r="I3117" s="134">
        <f t="shared" si="145"/>
        <v>0</v>
      </c>
      <c r="J3117" s="134">
        <f t="shared" si="144"/>
        <v>1000</v>
      </c>
      <c r="K3117" s="135"/>
      <c r="L3117" s="148" t="str">
        <f t="shared" si="146"/>
        <v>مدين</v>
      </c>
      <c r="M3117" s="137" t="str">
        <f>IF(ISERROR(VLOOKUP(C3117,'[1]خريطة الحسابات'!_xlnm.Print_Area,4,FALSE))," ",(VLOOKUP(C3117,'[1]خريطة الحسابات'!_xlnm.Print_Area,4,FALSE)))</f>
        <v>تكاليف مشروع هاني العبور 365</v>
      </c>
      <c r="N3117" s="138" t="str">
        <f>IF(ISERROR(VLOOKUP(C3117,'[1]خريطة الحسابات'!_xlnm.Print_Area,5,FALSE))," ",(VLOOKUP(C3117,'[1]خريطة الحسابات'!_xlnm.Print_Area,5,FALSE)))</f>
        <v xml:space="preserve">تكاليف العمليات </v>
      </c>
      <c r="O3117" s="84" t="s">
        <v>2719</v>
      </c>
      <c r="P3117" s="84" t="s">
        <v>1317</v>
      </c>
    </row>
    <row r="3118" spans="1:16">
      <c r="A3118" s="151">
        <v>96</v>
      </c>
      <c r="B3118" s="131">
        <v>46193</v>
      </c>
      <c r="C3118" s="150" t="s">
        <v>667</v>
      </c>
      <c r="D3118" s="140" t="str">
        <f>IF(ISERROR(VLOOKUP(C3118,'[1]خريطة الحسابات'!_xlnm.Print_Area,3,FALSE))," ",(VLOOKUP(C3118,'[1]خريطة الحسابات'!_xlnm.Print_Area,3,FALSE)))</f>
        <v xml:space="preserve">اعمال انزال ونقل الراتش ونقل المخلفات </v>
      </c>
      <c r="E3118" s="142"/>
      <c r="F3118" s="133">
        <v>5005</v>
      </c>
      <c r="G3118" s="133"/>
      <c r="H3118" s="134">
        <f t="shared" si="145"/>
        <v>5005</v>
      </c>
      <c r="I3118" s="134">
        <f t="shared" si="145"/>
        <v>0</v>
      </c>
      <c r="J3118" s="134">
        <f t="shared" si="144"/>
        <v>5005</v>
      </c>
      <c r="K3118" s="135"/>
      <c r="L3118" s="148" t="str">
        <f t="shared" si="146"/>
        <v>مدين</v>
      </c>
      <c r="M3118" s="137" t="str">
        <f>IF(ISERROR(VLOOKUP(C3118,'[1]خريطة الحسابات'!_xlnm.Print_Area,4,FALSE))," ",(VLOOKUP(C3118,'[1]خريطة الحسابات'!_xlnm.Print_Area,4,FALSE)))</f>
        <v>تكاليف مشروع هاني العبور 365</v>
      </c>
      <c r="N3118" s="138" t="str">
        <f>IF(ISERROR(VLOOKUP(C3118,'[1]خريطة الحسابات'!_xlnm.Print_Area,5,FALSE))," ",(VLOOKUP(C3118,'[1]خريطة الحسابات'!_xlnm.Print_Area,5,FALSE)))</f>
        <v xml:space="preserve">تكاليف العمليات </v>
      </c>
      <c r="O3118" s="84" t="s">
        <v>2720</v>
      </c>
      <c r="P3118" s="84" t="s">
        <v>1317</v>
      </c>
    </row>
    <row r="3119" spans="1:16">
      <c r="A3119" s="151">
        <v>96</v>
      </c>
      <c r="B3119" s="131">
        <v>46190</v>
      </c>
      <c r="C3119" s="150" t="s">
        <v>527</v>
      </c>
      <c r="D3119" s="140" t="str">
        <f>IF(ISERROR(VLOOKUP(C3119,'[1]خريطة الحسابات'!_xlnm.Print_Area,3,FALSE))," ",(VLOOKUP(C3119,'[1]خريطة الحسابات'!_xlnm.Print_Area,3,FALSE)))</f>
        <v xml:space="preserve">اعمال انزال ونقل الراتش ونقل المخلفات </v>
      </c>
      <c r="E3119" s="142"/>
      <c r="F3119" s="133">
        <v>2500</v>
      </c>
      <c r="G3119" s="133"/>
      <c r="H3119" s="134">
        <f t="shared" si="145"/>
        <v>2500</v>
      </c>
      <c r="I3119" s="134">
        <f t="shared" si="145"/>
        <v>0</v>
      </c>
      <c r="J3119" s="134">
        <f t="shared" si="144"/>
        <v>2500</v>
      </c>
      <c r="K3119" s="135"/>
      <c r="L3119" s="148" t="str">
        <f t="shared" si="146"/>
        <v>مدين</v>
      </c>
      <c r="M3119" s="137" t="str">
        <f>IF(ISERROR(VLOOKUP(C3119,'[1]خريطة الحسابات'!_xlnm.Print_Area,4,FALSE))," ",(VLOOKUP(C3119,'[1]خريطة الحسابات'!_xlnm.Print_Area,4,FALSE)))</f>
        <v>تكاليف مشروع هاني القرنفل 355</v>
      </c>
      <c r="N3119" s="138" t="str">
        <f>IF(ISERROR(VLOOKUP(C3119,'[1]خريطة الحسابات'!_xlnm.Print_Area,5,FALSE))," ",(VLOOKUP(C3119,'[1]خريطة الحسابات'!_xlnm.Print_Area,5,FALSE)))</f>
        <v xml:space="preserve">تكاليف العمليات </v>
      </c>
      <c r="O3119" s="84" t="s">
        <v>2721</v>
      </c>
      <c r="P3119" s="84" t="s">
        <v>1395</v>
      </c>
    </row>
    <row r="3120" spans="1:16">
      <c r="A3120" s="151">
        <v>96</v>
      </c>
      <c r="B3120" s="131">
        <v>46190</v>
      </c>
      <c r="C3120" s="54">
        <v>4039</v>
      </c>
      <c r="D3120" s="140" t="str">
        <f>IF(ISERROR(VLOOKUP(C3120,'[1]خريطة الحسابات'!_xlnm.Print_Area,3,FALSE))," ",(VLOOKUP(C3120,'[1]خريطة الحسابات'!_xlnm.Print_Area,3,FALSE)))</f>
        <v>سباك القرنفل</v>
      </c>
      <c r="E3120" s="142"/>
      <c r="F3120" s="133">
        <v>5843</v>
      </c>
      <c r="G3120" s="133"/>
      <c r="H3120" s="134">
        <f t="shared" si="145"/>
        <v>5843</v>
      </c>
      <c r="I3120" s="134">
        <f t="shared" si="145"/>
        <v>0</v>
      </c>
      <c r="J3120" s="134">
        <f t="shared" si="144"/>
        <v>5843</v>
      </c>
      <c r="K3120" s="135"/>
      <c r="L3120" s="148" t="str">
        <f t="shared" si="146"/>
        <v>مدين</v>
      </c>
      <c r="M3120" s="137" t="str">
        <f>IF(ISERROR(VLOOKUP(C3120,'[1]خريطة الحسابات'!_xlnm.Print_Area,4,FALSE))," ",(VLOOKUP(C3120,'[1]خريطة الحسابات'!_xlnm.Print_Area,4,FALSE)))</f>
        <v xml:space="preserve">مقاولين </v>
      </c>
      <c r="N3120" s="138" t="str">
        <f>IF(ISERROR(VLOOKUP(C3120,'[1]خريطة الحسابات'!_xlnm.Print_Area,5,FALSE))," ",(VLOOKUP(C3120,'[1]خريطة الحسابات'!_xlnm.Print_Area,5,FALSE)))</f>
        <v xml:space="preserve">الدائنون والأرصدة الدائنة الأخرى </v>
      </c>
      <c r="O3120" s="84" t="s">
        <v>2722</v>
      </c>
      <c r="P3120" s="84" t="s">
        <v>1393</v>
      </c>
    </row>
    <row r="3121" spans="1:16">
      <c r="A3121" s="151">
        <v>96</v>
      </c>
      <c r="B3121" s="131">
        <v>46190</v>
      </c>
      <c r="C3121" s="150" t="s">
        <v>493</v>
      </c>
      <c r="D3121" s="140" t="str">
        <f>IF(ISERROR(VLOOKUP(C3121,'[1]خريطة الحسابات'!_xlnm.Print_Area,3,FALSE))," ",(VLOOKUP(C3121,'[1]خريطة الحسابات'!_xlnm.Print_Area,3,FALSE)))</f>
        <v>خامات ومصنعية أعمال المباني</v>
      </c>
      <c r="E3121" s="142"/>
      <c r="F3121" s="133">
        <v>2950</v>
      </c>
      <c r="G3121" s="133"/>
      <c r="H3121" s="134">
        <f t="shared" si="145"/>
        <v>2950</v>
      </c>
      <c r="I3121" s="134">
        <f t="shared" si="145"/>
        <v>0</v>
      </c>
      <c r="J3121" s="134">
        <f t="shared" si="144"/>
        <v>2950</v>
      </c>
      <c r="K3121" s="135"/>
      <c r="L3121" s="148" t="str">
        <f t="shared" si="146"/>
        <v>مدين</v>
      </c>
      <c r="M3121" s="137" t="str">
        <f>IF(ISERROR(VLOOKUP(C3121,'[1]خريطة الحسابات'!_xlnm.Print_Area,4,FALSE))," ",(VLOOKUP(C3121,'[1]خريطة الحسابات'!_xlnm.Print_Area,4,FALSE)))</f>
        <v>تكاليف مشروع ياسر القرنفل 354</v>
      </c>
      <c r="N3121" s="138" t="str">
        <f>IF(ISERROR(VLOOKUP(C3121,'[1]خريطة الحسابات'!_xlnm.Print_Area,5,FALSE))," ",(VLOOKUP(C3121,'[1]خريطة الحسابات'!_xlnm.Print_Area,5,FALSE)))</f>
        <v xml:space="preserve">تكاليف العمليات </v>
      </c>
      <c r="O3121" s="84" t="s">
        <v>2723</v>
      </c>
      <c r="P3121" s="84" t="s">
        <v>1393</v>
      </c>
    </row>
    <row r="3122" spans="1:16">
      <c r="A3122" s="151">
        <v>96</v>
      </c>
      <c r="B3122" s="131">
        <v>46190</v>
      </c>
      <c r="C3122" s="150" t="s">
        <v>492</v>
      </c>
      <c r="D3122" s="140" t="str">
        <f>IF(ISERROR(VLOOKUP(C3122,'[1]خريطة الحسابات'!_xlnm.Print_Area,3,FALSE))," ",(VLOOKUP(C3122,'[1]خريطة الحسابات'!_xlnm.Print_Area,3,FALSE)))</f>
        <v xml:space="preserve">اعمال انزال ونقل الراتش ونقل المخلفات </v>
      </c>
      <c r="E3122" s="142"/>
      <c r="F3122" s="133">
        <v>4000</v>
      </c>
      <c r="G3122" s="133"/>
      <c r="H3122" s="134">
        <f t="shared" si="145"/>
        <v>4000</v>
      </c>
      <c r="I3122" s="134">
        <f t="shared" si="145"/>
        <v>0</v>
      </c>
      <c r="J3122" s="134">
        <f t="shared" si="144"/>
        <v>4000</v>
      </c>
      <c r="K3122" s="135"/>
      <c r="L3122" s="148" t="str">
        <f t="shared" si="146"/>
        <v>مدين</v>
      </c>
      <c r="M3122" s="137" t="str">
        <f>IF(ISERROR(VLOOKUP(C3122,'[1]خريطة الحسابات'!_xlnm.Print_Area,4,FALSE))," ",(VLOOKUP(C3122,'[1]خريطة الحسابات'!_xlnm.Print_Area,4,FALSE)))</f>
        <v>تكاليف مشروع ياسر القرنفل 354</v>
      </c>
      <c r="N3122" s="138" t="str">
        <f>IF(ISERROR(VLOOKUP(C3122,'[1]خريطة الحسابات'!_xlnm.Print_Area,5,FALSE))," ",(VLOOKUP(C3122,'[1]خريطة الحسابات'!_xlnm.Print_Area,5,FALSE)))</f>
        <v xml:space="preserve">تكاليف العمليات </v>
      </c>
      <c r="O3122" s="84" t="s">
        <v>2724</v>
      </c>
      <c r="P3122" s="84" t="s">
        <v>1393</v>
      </c>
    </row>
    <row r="3123" spans="1:16">
      <c r="A3123" s="151">
        <v>96</v>
      </c>
      <c r="B3123" s="131">
        <v>46190</v>
      </c>
      <c r="C3123" s="150" t="s">
        <v>493</v>
      </c>
      <c r="D3123" s="140" t="str">
        <f>IF(ISERROR(VLOOKUP(C3123,'[1]خريطة الحسابات'!_xlnm.Print_Area,3,FALSE))," ",(VLOOKUP(C3123,'[1]خريطة الحسابات'!_xlnm.Print_Area,3,FALSE)))</f>
        <v>خامات ومصنعية أعمال المباني</v>
      </c>
      <c r="E3123" s="142"/>
      <c r="F3123" s="133">
        <v>2400</v>
      </c>
      <c r="G3123" s="133"/>
      <c r="H3123" s="134">
        <f t="shared" si="145"/>
        <v>2400</v>
      </c>
      <c r="I3123" s="134">
        <f t="shared" si="145"/>
        <v>0</v>
      </c>
      <c r="J3123" s="134">
        <f t="shared" si="144"/>
        <v>2400</v>
      </c>
      <c r="K3123" s="135"/>
      <c r="L3123" s="148" t="str">
        <f t="shared" si="146"/>
        <v>مدين</v>
      </c>
      <c r="M3123" s="137" t="str">
        <f>IF(ISERROR(VLOOKUP(C3123,'[1]خريطة الحسابات'!_xlnm.Print_Area,4,FALSE))," ",(VLOOKUP(C3123,'[1]خريطة الحسابات'!_xlnm.Print_Area,4,FALSE)))</f>
        <v>تكاليف مشروع ياسر القرنفل 354</v>
      </c>
      <c r="N3123" s="138" t="str">
        <f>IF(ISERROR(VLOOKUP(C3123,'[1]خريطة الحسابات'!_xlnm.Print_Area,5,FALSE))," ",(VLOOKUP(C3123,'[1]خريطة الحسابات'!_xlnm.Print_Area,5,FALSE)))</f>
        <v xml:space="preserve">تكاليف العمليات </v>
      </c>
      <c r="O3123" s="84" t="s">
        <v>2725</v>
      </c>
      <c r="P3123" s="84" t="s">
        <v>1393</v>
      </c>
    </row>
    <row r="3124" spans="1:16">
      <c r="A3124" s="151">
        <v>96</v>
      </c>
      <c r="B3124" s="131">
        <v>46190</v>
      </c>
      <c r="C3124" s="150" t="s">
        <v>492</v>
      </c>
      <c r="D3124" s="140" t="str">
        <f>IF(ISERROR(VLOOKUP(C3124,'[1]خريطة الحسابات'!_xlnm.Print_Area,3,FALSE))," ",(VLOOKUP(C3124,'[1]خريطة الحسابات'!_xlnm.Print_Area,3,FALSE)))</f>
        <v xml:space="preserve">اعمال انزال ونقل الراتش ونقل المخلفات </v>
      </c>
      <c r="E3124" s="142"/>
      <c r="F3124" s="133">
        <v>400</v>
      </c>
      <c r="G3124" s="133"/>
      <c r="H3124" s="134">
        <f t="shared" si="145"/>
        <v>400</v>
      </c>
      <c r="I3124" s="134">
        <f t="shared" si="145"/>
        <v>0</v>
      </c>
      <c r="J3124" s="134">
        <f t="shared" si="144"/>
        <v>400</v>
      </c>
      <c r="K3124" s="135"/>
      <c r="L3124" s="148" t="str">
        <f t="shared" si="146"/>
        <v>مدين</v>
      </c>
      <c r="M3124" s="137" t="str">
        <f>IF(ISERROR(VLOOKUP(C3124,'[1]خريطة الحسابات'!_xlnm.Print_Area,4,FALSE))," ",(VLOOKUP(C3124,'[1]خريطة الحسابات'!_xlnm.Print_Area,4,FALSE)))</f>
        <v>تكاليف مشروع ياسر القرنفل 354</v>
      </c>
      <c r="N3124" s="138" t="str">
        <f>IF(ISERROR(VLOOKUP(C3124,'[1]خريطة الحسابات'!_xlnm.Print_Area,5,FALSE))," ",(VLOOKUP(C3124,'[1]خريطة الحسابات'!_xlnm.Print_Area,5,FALSE)))</f>
        <v xml:space="preserve">تكاليف العمليات </v>
      </c>
      <c r="O3124" s="84" t="s">
        <v>2726</v>
      </c>
      <c r="P3124" s="84" t="s">
        <v>1393</v>
      </c>
    </row>
    <row r="3125" spans="1:16">
      <c r="A3125" s="151">
        <v>96</v>
      </c>
      <c r="B3125" s="131">
        <v>46193</v>
      </c>
      <c r="C3125" s="150">
        <v>20</v>
      </c>
      <c r="D3125" s="140" t="str">
        <f>IF(ISERROR(VLOOKUP(C3125,'[1]خريطة الحسابات'!_xlnm.Print_Area,3,FALSE))," ",(VLOOKUP(C3125,'[1]خريطة الحسابات'!_xlnm.Print_Area,3,FALSE)))</f>
        <v xml:space="preserve">الخزينة </v>
      </c>
      <c r="E3125" s="142"/>
      <c r="F3125" s="133">
        <v>25000</v>
      </c>
      <c r="G3125" s="133"/>
      <c r="H3125" s="134">
        <f t="shared" si="145"/>
        <v>25000</v>
      </c>
      <c r="I3125" s="134">
        <f t="shared" si="145"/>
        <v>0</v>
      </c>
      <c r="J3125" s="134">
        <f t="shared" si="144"/>
        <v>25000</v>
      </c>
      <c r="K3125" s="135"/>
      <c r="L3125" s="148" t="str">
        <f t="shared" si="146"/>
        <v>مدين</v>
      </c>
      <c r="M3125" s="137" t="str">
        <f>IF(ISERROR(VLOOKUP(C3125,'[1]خريطة الحسابات'!_xlnm.Print_Area,4,FALSE))," ",(VLOOKUP(C3125,'[1]خريطة الحسابات'!_xlnm.Print_Area,4,FALSE)))</f>
        <v xml:space="preserve">أصول متداوله -النقدية ومافي حكمها </v>
      </c>
      <c r="N3125" s="138" t="str">
        <f>IF(ISERROR(VLOOKUP(C3125,'[1]خريطة الحسابات'!_xlnm.Print_Area,5,FALSE))," ",(VLOOKUP(C3125,'[1]خريطة الحسابات'!_xlnm.Print_Area,5,FALSE)))</f>
        <v>الاصول</v>
      </c>
      <c r="O3125" s="84" t="s">
        <v>2627</v>
      </c>
      <c r="P3125" s="84" t="s">
        <v>1393</v>
      </c>
    </row>
    <row r="3126" spans="1:16">
      <c r="A3126" s="151">
        <v>96</v>
      </c>
      <c r="B3126" s="131">
        <v>46194</v>
      </c>
      <c r="C3126" s="150">
        <v>20</v>
      </c>
      <c r="D3126" s="140" t="str">
        <f>IF(ISERROR(VLOOKUP(C3126,'[1]خريطة الحسابات'!_xlnm.Print_Area,3,FALSE))," ",(VLOOKUP(C3126,'[1]خريطة الحسابات'!_xlnm.Print_Area,3,FALSE)))</f>
        <v xml:space="preserve">الخزينة </v>
      </c>
      <c r="E3126" s="142"/>
      <c r="F3126" s="133">
        <v>25000</v>
      </c>
      <c r="G3126" s="133"/>
      <c r="H3126" s="134">
        <f t="shared" si="145"/>
        <v>25000</v>
      </c>
      <c r="I3126" s="134">
        <f t="shared" si="145"/>
        <v>0</v>
      </c>
      <c r="J3126" s="134">
        <f t="shared" si="144"/>
        <v>25000</v>
      </c>
      <c r="K3126" s="135"/>
      <c r="L3126" s="148" t="str">
        <f t="shared" si="146"/>
        <v>مدين</v>
      </c>
      <c r="M3126" s="137" t="str">
        <f>IF(ISERROR(VLOOKUP(C3126,'[1]خريطة الحسابات'!_xlnm.Print_Area,4,FALSE))," ",(VLOOKUP(C3126,'[1]خريطة الحسابات'!_xlnm.Print_Area,4,FALSE)))</f>
        <v xml:space="preserve">أصول متداوله -النقدية ومافي حكمها </v>
      </c>
      <c r="N3126" s="138" t="str">
        <f>IF(ISERROR(VLOOKUP(C3126,'[1]خريطة الحسابات'!_xlnm.Print_Area,5,FALSE))," ",(VLOOKUP(C3126,'[1]خريطة الحسابات'!_xlnm.Print_Area,5,FALSE)))</f>
        <v>الاصول</v>
      </c>
      <c r="O3126" s="84" t="s">
        <v>2627</v>
      </c>
      <c r="P3126" s="84" t="s">
        <v>1393</v>
      </c>
    </row>
    <row r="3127" spans="1:16">
      <c r="A3127" s="151">
        <v>96</v>
      </c>
      <c r="B3127" s="131">
        <v>46190</v>
      </c>
      <c r="C3127" s="150">
        <v>20</v>
      </c>
      <c r="D3127" s="140" t="str">
        <f>IF(ISERROR(VLOOKUP(C3127,'[1]خريطة الحسابات'!_xlnm.Print_Area,3,FALSE))," ",(VLOOKUP(C3127,'[1]خريطة الحسابات'!_xlnm.Print_Area,3,FALSE)))</f>
        <v xml:space="preserve">الخزينة </v>
      </c>
      <c r="E3127" s="142"/>
      <c r="F3127" s="133"/>
      <c r="G3127" s="133">
        <v>10000</v>
      </c>
      <c r="H3127" s="134">
        <f t="shared" si="145"/>
        <v>0</v>
      </c>
      <c r="I3127" s="134">
        <f t="shared" si="145"/>
        <v>10000</v>
      </c>
      <c r="J3127" s="134">
        <f t="shared" si="144"/>
        <v>-10000</v>
      </c>
      <c r="K3127" s="135"/>
      <c r="L3127" s="148" t="str">
        <f t="shared" si="146"/>
        <v>دائن</v>
      </c>
      <c r="M3127" s="137" t="str">
        <f>IF(ISERROR(VLOOKUP(C3127,'[1]خريطة الحسابات'!_xlnm.Print_Area,4,FALSE))," ",(VLOOKUP(C3127,'[1]خريطة الحسابات'!_xlnm.Print_Area,4,FALSE)))</f>
        <v xml:space="preserve">أصول متداوله -النقدية ومافي حكمها </v>
      </c>
      <c r="N3127" s="138" t="str">
        <f>IF(ISERROR(VLOOKUP(C3127,'[1]خريطة الحسابات'!_xlnm.Print_Area,5,FALSE))," ",(VLOOKUP(C3127,'[1]خريطة الحسابات'!_xlnm.Print_Area,5,FALSE)))</f>
        <v>الاصول</v>
      </c>
      <c r="O3127" s="84" t="s">
        <v>2667</v>
      </c>
      <c r="P3127" s="84" t="s">
        <v>1345</v>
      </c>
    </row>
    <row r="3128" spans="1:16">
      <c r="A3128" s="151">
        <v>96</v>
      </c>
      <c r="B3128" s="131">
        <v>46190</v>
      </c>
      <c r="C3128" s="150">
        <v>20</v>
      </c>
      <c r="D3128" s="140" t="str">
        <f>IF(ISERROR(VLOOKUP(C3128,'[1]خريطة الحسابات'!_xlnm.Print_Area,3,FALSE))," ",(VLOOKUP(C3128,'[1]خريطة الحسابات'!_xlnm.Print_Area,3,FALSE)))</f>
        <v xml:space="preserve">الخزينة </v>
      </c>
      <c r="E3128" s="142"/>
      <c r="F3128" s="133"/>
      <c r="G3128" s="133">
        <v>14000</v>
      </c>
      <c r="H3128" s="134">
        <f t="shared" si="145"/>
        <v>0</v>
      </c>
      <c r="I3128" s="134">
        <f t="shared" si="145"/>
        <v>14000</v>
      </c>
      <c r="J3128" s="134">
        <f t="shared" si="144"/>
        <v>-14000</v>
      </c>
      <c r="K3128" s="135"/>
      <c r="L3128" s="148" t="str">
        <f t="shared" si="146"/>
        <v>دائن</v>
      </c>
      <c r="M3128" s="137" t="str">
        <f>IF(ISERROR(VLOOKUP(C3128,'[1]خريطة الحسابات'!_xlnm.Print_Area,4,FALSE))," ",(VLOOKUP(C3128,'[1]خريطة الحسابات'!_xlnm.Print_Area,4,FALSE)))</f>
        <v xml:space="preserve">أصول متداوله -النقدية ومافي حكمها </v>
      </c>
      <c r="N3128" s="138" t="str">
        <f>IF(ISERROR(VLOOKUP(C3128,'[1]خريطة الحسابات'!_xlnm.Print_Area,5,FALSE))," ",(VLOOKUP(C3128,'[1]خريطة الحسابات'!_xlnm.Print_Area,5,FALSE)))</f>
        <v>الاصول</v>
      </c>
      <c r="O3128" s="84" t="s">
        <v>2668</v>
      </c>
      <c r="P3128" s="84" t="s">
        <v>1345</v>
      </c>
    </row>
    <row r="3129" spans="1:16">
      <c r="A3129" s="151">
        <v>96</v>
      </c>
      <c r="B3129" s="131">
        <v>46190</v>
      </c>
      <c r="C3129" s="150">
        <v>20</v>
      </c>
      <c r="D3129" s="140" t="str">
        <f>IF(ISERROR(VLOOKUP(C3129,'[1]خريطة الحسابات'!_xlnm.Print_Area,3,FALSE))," ",(VLOOKUP(C3129,'[1]خريطة الحسابات'!_xlnm.Print_Area,3,FALSE)))</f>
        <v xml:space="preserve">الخزينة </v>
      </c>
      <c r="E3129" s="142"/>
      <c r="F3129" s="133"/>
      <c r="G3129" s="133">
        <v>3726</v>
      </c>
      <c r="H3129" s="134">
        <f t="shared" si="145"/>
        <v>0</v>
      </c>
      <c r="I3129" s="134">
        <f t="shared" si="145"/>
        <v>3726</v>
      </c>
      <c r="J3129" s="134">
        <f t="shared" si="144"/>
        <v>-3726</v>
      </c>
      <c r="K3129" s="135"/>
      <c r="L3129" s="148" t="str">
        <f t="shared" si="146"/>
        <v>دائن</v>
      </c>
      <c r="M3129" s="137" t="str">
        <f>IF(ISERROR(VLOOKUP(C3129,'[1]خريطة الحسابات'!_xlnm.Print_Area,4,FALSE))," ",(VLOOKUP(C3129,'[1]خريطة الحسابات'!_xlnm.Print_Area,4,FALSE)))</f>
        <v xml:space="preserve">أصول متداوله -النقدية ومافي حكمها </v>
      </c>
      <c r="N3129" s="138" t="str">
        <f>IF(ISERROR(VLOOKUP(C3129,'[1]خريطة الحسابات'!_xlnm.Print_Area,5,FALSE))," ",(VLOOKUP(C3129,'[1]خريطة الحسابات'!_xlnm.Print_Area,5,FALSE)))</f>
        <v>الاصول</v>
      </c>
      <c r="O3129" s="84" t="s">
        <v>2669</v>
      </c>
      <c r="P3129" s="84" t="s">
        <v>1345</v>
      </c>
    </row>
    <row r="3130" spans="1:16">
      <c r="A3130" s="151">
        <v>96</v>
      </c>
      <c r="B3130" s="131">
        <v>46190</v>
      </c>
      <c r="C3130" s="150">
        <v>20</v>
      </c>
      <c r="D3130" s="140" t="str">
        <f>IF(ISERROR(VLOOKUP(C3130,'[1]خريطة الحسابات'!_xlnm.Print_Area,3,FALSE))," ",(VLOOKUP(C3130,'[1]خريطة الحسابات'!_xlnm.Print_Area,3,FALSE)))</f>
        <v xml:space="preserve">الخزينة </v>
      </c>
      <c r="E3130" s="142"/>
      <c r="F3130" s="133"/>
      <c r="G3130" s="133">
        <v>500</v>
      </c>
      <c r="H3130" s="134">
        <f t="shared" si="145"/>
        <v>0</v>
      </c>
      <c r="I3130" s="134">
        <f t="shared" si="145"/>
        <v>500</v>
      </c>
      <c r="J3130" s="134">
        <f t="shared" si="144"/>
        <v>-500</v>
      </c>
      <c r="K3130" s="135"/>
      <c r="L3130" s="148" t="str">
        <f t="shared" si="146"/>
        <v>دائن</v>
      </c>
      <c r="M3130" s="137" t="str">
        <f>IF(ISERROR(VLOOKUP(C3130,'[1]خريطة الحسابات'!_xlnm.Print_Area,4,FALSE))," ",(VLOOKUP(C3130,'[1]خريطة الحسابات'!_xlnm.Print_Area,4,FALSE)))</f>
        <v xml:space="preserve">أصول متداوله -النقدية ومافي حكمها </v>
      </c>
      <c r="N3130" s="138" t="str">
        <f>IF(ISERROR(VLOOKUP(C3130,'[1]خريطة الحسابات'!_xlnm.Print_Area,5,FALSE))," ",(VLOOKUP(C3130,'[1]خريطة الحسابات'!_xlnm.Print_Area,5,FALSE)))</f>
        <v>الاصول</v>
      </c>
      <c r="O3130" s="84" t="s">
        <v>2670</v>
      </c>
      <c r="P3130" s="84" t="s">
        <v>1345</v>
      </c>
    </row>
    <row r="3131" spans="1:16">
      <c r="A3131" s="151">
        <v>96</v>
      </c>
      <c r="B3131" s="131">
        <v>46193</v>
      </c>
      <c r="C3131" s="150">
        <v>20</v>
      </c>
      <c r="D3131" s="140" t="str">
        <f>IF(ISERROR(VLOOKUP(C3131,'[1]خريطة الحسابات'!_xlnm.Print_Area,3,FALSE))," ",(VLOOKUP(C3131,'[1]خريطة الحسابات'!_xlnm.Print_Area,3,FALSE)))</f>
        <v xml:space="preserve">الخزينة </v>
      </c>
      <c r="E3131" s="142"/>
      <c r="F3131" s="133"/>
      <c r="G3131" s="133">
        <v>3870</v>
      </c>
      <c r="H3131" s="134">
        <f t="shared" si="145"/>
        <v>0</v>
      </c>
      <c r="I3131" s="134">
        <f t="shared" si="145"/>
        <v>3870</v>
      </c>
      <c r="J3131" s="134">
        <f t="shared" si="144"/>
        <v>-3870</v>
      </c>
      <c r="K3131" s="135"/>
      <c r="L3131" s="148" t="str">
        <f t="shared" si="146"/>
        <v>دائن</v>
      </c>
      <c r="M3131" s="137" t="str">
        <f>IF(ISERROR(VLOOKUP(C3131,'[1]خريطة الحسابات'!_xlnm.Print_Area,4,FALSE))," ",(VLOOKUP(C3131,'[1]خريطة الحسابات'!_xlnm.Print_Area,4,FALSE)))</f>
        <v xml:space="preserve">أصول متداوله -النقدية ومافي حكمها </v>
      </c>
      <c r="N3131" s="138" t="str">
        <f>IF(ISERROR(VLOOKUP(C3131,'[1]خريطة الحسابات'!_xlnm.Print_Area,5,FALSE))," ",(VLOOKUP(C3131,'[1]خريطة الحسابات'!_xlnm.Print_Area,5,FALSE)))</f>
        <v>الاصول</v>
      </c>
      <c r="O3131" s="84" t="s">
        <v>2671</v>
      </c>
      <c r="P3131" s="84" t="s">
        <v>1345</v>
      </c>
    </row>
    <row r="3132" spans="1:16">
      <c r="A3132" s="151">
        <v>96</v>
      </c>
      <c r="B3132" s="131">
        <v>46188</v>
      </c>
      <c r="C3132" s="150">
        <v>20</v>
      </c>
      <c r="D3132" s="140" t="str">
        <f>IF(ISERROR(VLOOKUP(C3132,'[1]خريطة الحسابات'!_xlnm.Print_Area,3,FALSE))," ",(VLOOKUP(C3132,'[1]خريطة الحسابات'!_xlnm.Print_Area,3,FALSE)))</f>
        <v xml:space="preserve">الخزينة </v>
      </c>
      <c r="E3132" s="142"/>
      <c r="F3132" s="133"/>
      <c r="G3132" s="133">
        <v>70000</v>
      </c>
      <c r="H3132" s="134">
        <f t="shared" si="145"/>
        <v>0</v>
      </c>
      <c r="I3132" s="134">
        <f t="shared" si="145"/>
        <v>70000</v>
      </c>
      <c r="J3132" s="134">
        <f t="shared" si="144"/>
        <v>-70000</v>
      </c>
      <c r="K3132" s="135"/>
      <c r="L3132" s="148" t="str">
        <f t="shared" si="146"/>
        <v>دائن</v>
      </c>
      <c r="M3132" s="137" t="str">
        <f>IF(ISERROR(VLOOKUP(C3132,'[1]خريطة الحسابات'!_xlnm.Print_Area,4,FALSE))," ",(VLOOKUP(C3132,'[1]خريطة الحسابات'!_xlnm.Print_Area,4,FALSE)))</f>
        <v xml:space="preserve">أصول متداوله -النقدية ومافي حكمها </v>
      </c>
      <c r="N3132" s="138" t="str">
        <f>IF(ISERROR(VLOOKUP(C3132,'[1]خريطة الحسابات'!_xlnm.Print_Area,5,FALSE))," ",(VLOOKUP(C3132,'[1]خريطة الحسابات'!_xlnm.Print_Area,5,FALSE)))</f>
        <v>الاصول</v>
      </c>
      <c r="O3132" s="84" t="s">
        <v>2672</v>
      </c>
      <c r="P3132" s="84" t="s">
        <v>1480</v>
      </c>
    </row>
    <row r="3133" spans="1:16">
      <c r="A3133" s="151">
        <v>96</v>
      </c>
      <c r="B3133" s="131">
        <v>46190</v>
      </c>
      <c r="C3133" s="150">
        <v>20</v>
      </c>
      <c r="D3133" s="140" t="str">
        <f>IF(ISERROR(VLOOKUP(C3133,'[1]خريطة الحسابات'!_xlnm.Print_Area,3,FALSE))," ",(VLOOKUP(C3133,'[1]خريطة الحسابات'!_xlnm.Print_Area,3,FALSE)))</f>
        <v xml:space="preserve">الخزينة </v>
      </c>
      <c r="E3133" s="142"/>
      <c r="F3133" s="133"/>
      <c r="G3133" s="133">
        <v>1800</v>
      </c>
      <c r="H3133" s="134">
        <f t="shared" si="145"/>
        <v>0</v>
      </c>
      <c r="I3133" s="134">
        <f t="shared" si="145"/>
        <v>1800</v>
      </c>
      <c r="J3133" s="134">
        <f t="shared" si="144"/>
        <v>-1800</v>
      </c>
      <c r="K3133" s="135"/>
      <c r="L3133" s="148" t="str">
        <f t="shared" si="146"/>
        <v>دائن</v>
      </c>
      <c r="M3133" s="137" t="str">
        <f>IF(ISERROR(VLOOKUP(C3133,'[1]خريطة الحسابات'!_xlnm.Print_Area,4,FALSE))," ",(VLOOKUP(C3133,'[1]خريطة الحسابات'!_xlnm.Print_Area,4,FALSE)))</f>
        <v xml:space="preserve">أصول متداوله -النقدية ومافي حكمها </v>
      </c>
      <c r="N3133" s="138" t="str">
        <f>IF(ISERROR(VLOOKUP(C3133,'[1]خريطة الحسابات'!_xlnm.Print_Area,5,FALSE))," ",(VLOOKUP(C3133,'[1]خريطة الحسابات'!_xlnm.Print_Area,5,FALSE)))</f>
        <v>الاصول</v>
      </c>
      <c r="O3133" s="84" t="s">
        <v>2673</v>
      </c>
      <c r="P3133" s="84" t="s">
        <v>1480</v>
      </c>
    </row>
    <row r="3134" spans="1:16">
      <c r="A3134" s="151">
        <v>96</v>
      </c>
      <c r="B3134" s="131">
        <v>46188</v>
      </c>
      <c r="C3134" s="150">
        <v>20</v>
      </c>
      <c r="D3134" s="140" t="str">
        <f>IF(ISERROR(VLOOKUP(C3134,'[1]خريطة الحسابات'!_xlnm.Print_Area,3,FALSE))," ",(VLOOKUP(C3134,'[1]خريطة الحسابات'!_xlnm.Print_Area,3,FALSE)))</f>
        <v xml:space="preserve">الخزينة </v>
      </c>
      <c r="E3134" s="142"/>
      <c r="F3134" s="133"/>
      <c r="G3134" s="133">
        <v>4755</v>
      </c>
      <c r="H3134" s="134">
        <f t="shared" si="145"/>
        <v>0</v>
      </c>
      <c r="I3134" s="134">
        <f t="shared" si="145"/>
        <v>4755</v>
      </c>
      <c r="J3134" s="134">
        <f t="shared" si="144"/>
        <v>-4755</v>
      </c>
      <c r="K3134" s="135"/>
      <c r="L3134" s="148" t="str">
        <f t="shared" si="146"/>
        <v>دائن</v>
      </c>
      <c r="M3134" s="137" t="str">
        <f>IF(ISERROR(VLOOKUP(C3134,'[1]خريطة الحسابات'!_xlnm.Print_Area,4,FALSE))," ",(VLOOKUP(C3134,'[1]خريطة الحسابات'!_xlnm.Print_Area,4,FALSE)))</f>
        <v xml:space="preserve">أصول متداوله -النقدية ومافي حكمها </v>
      </c>
      <c r="N3134" s="138" t="str">
        <f>IF(ISERROR(VLOOKUP(C3134,'[1]خريطة الحسابات'!_xlnm.Print_Area,5,FALSE))," ",(VLOOKUP(C3134,'[1]خريطة الحسابات'!_xlnm.Print_Area,5,FALSE)))</f>
        <v>الاصول</v>
      </c>
      <c r="O3134" s="84" t="s">
        <v>2522</v>
      </c>
      <c r="P3134" s="84" t="s">
        <v>2523</v>
      </c>
    </row>
    <row r="3135" spans="1:16">
      <c r="A3135" s="151">
        <v>96</v>
      </c>
      <c r="B3135" s="131">
        <v>46188</v>
      </c>
      <c r="C3135" s="150">
        <v>20</v>
      </c>
      <c r="D3135" s="140" t="str">
        <f>IF(ISERROR(VLOOKUP(C3135,'[1]خريطة الحسابات'!_xlnm.Print_Area,3,FALSE))," ",(VLOOKUP(C3135,'[1]خريطة الحسابات'!_xlnm.Print_Area,3,FALSE)))</f>
        <v xml:space="preserve">الخزينة </v>
      </c>
      <c r="E3135" s="142"/>
      <c r="F3135" s="133"/>
      <c r="G3135" s="133">
        <v>8008</v>
      </c>
      <c r="H3135" s="134">
        <f t="shared" si="145"/>
        <v>0</v>
      </c>
      <c r="I3135" s="134">
        <f t="shared" si="145"/>
        <v>8008</v>
      </c>
      <c r="J3135" s="134">
        <f t="shared" si="144"/>
        <v>-8008</v>
      </c>
      <c r="K3135" s="135"/>
      <c r="L3135" s="148" t="str">
        <f t="shared" si="146"/>
        <v>دائن</v>
      </c>
      <c r="M3135" s="137" t="str">
        <f>IF(ISERROR(VLOOKUP(C3135,'[1]خريطة الحسابات'!_xlnm.Print_Area,4,FALSE))," ",(VLOOKUP(C3135,'[1]خريطة الحسابات'!_xlnm.Print_Area,4,FALSE)))</f>
        <v xml:space="preserve">أصول متداوله -النقدية ومافي حكمها </v>
      </c>
      <c r="N3135" s="138" t="str">
        <f>IF(ISERROR(VLOOKUP(C3135,'[1]خريطة الحسابات'!_xlnm.Print_Area,5,FALSE))," ",(VLOOKUP(C3135,'[1]خريطة الحسابات'!_xlnm.Print_Area,5,FALSE)))</f>
        <v>الاصول</v>
      </c>
      <c r="O3135" s="84" t="s">
        <v>2674</v>
      </c>
      <c r="P3135" s="84" t="s">
        <v>1964</v>
      </c>
    </row>
    <row r="3136" spans="1:16">
      <c r="A3136" s="151">
        <v>96</v>
      </c>
      <c r="B3136" s="131">
        <v>46188</v>
      </c>
      <c r="C3136" s="150">
        <v>20</v>
      </c>
      <c r="D3136" s="140" t="str">
        <f>IF(ISERROR(VLOOKUP(C3136,'[1]خريطة الحسابات'!_xlnm.Print_Area,3,FALSE))," ",(VLOOKUP(C3136,'[1]خريطة الحسابات'!_xlnm.Print_Area,3,FALSE)))</f>
        <v xml:space="preserve">الخزينة </v>
      </c>
      <c r="E3136" s="142"/>
      <c r="F3136" s="133"/>
      <c r="G3136" s="133">
        <v>2000</v>
      </c>
      <c r="H3136" s="134">
        <f t="shared" si="145"/>
        <v>0</v>
      </c>
      <c r="I3136" s="134">
        <f t="shared" si="145"/>
        <v>2000</v>
      </c>
      <c r="J3136" s="134">
        <f t="shared" si="144"/>
        <v>-2000</v>
      </c>
      <c r="K3136" s="135"/>
      <c r="L3136" s="148" t="str">
        <f t="shared" si="146"/>
        <v>دائن</v>
      </c>
      <c r="M3136" s="137" t="str">
        <f>IF(ISERROR(VLOOKUP(C3136,'[1]خريطة الحسابات'!_xlnm.Print_Area,4,FALSE))," ",(VLOOKUP(C3136,'[1]خريطة الحسابات'!_xlnm.Print_Area,4,FALSE)))</f>
        <v xml:space="preserve">أصول متداوله -النقدية ومافي حكمها </v>
      </c>
      <c r="N3136" s="138" t="str">
        <f>IF(ISERROR(VLOOKUP(C3136,'[1]خريطة الحسابات'!_xlnm.Print_Area,5,FALSE))," ",(VLOOKUP(C3136,'[1]خريطة الحسابات'!_xlnm.Print_Area,5,FALSE)))</f>
        <v>الاصول</v>
      </c>
      <c r="O3136" s="84" t="s">
        <v>2675</v>
      </c>
      <c r="P3136" s="84" t="s">
        <v>1964</v>
      </c>
    </row>
    <row r="3137" spans="1:16">
      <c r="A3137" s="151">
        <v>96</v>
      </c>
      <c r="B3137" s="131">
        <v>46188</v>
      </c>
      <c r="C3137" s="150">
        <v>20</v>
      </c>
      <c r="D3137" s="140" t="str">
        <f>IF(ISERROR(VLOOKUP(C3137,'[1]خريطة الحسابات'!_xlnm.Print_Area,3,FALSE))," ",(VLOOKUP(C3137,'[1]خريطة الحسابات'!_xlnm.Print_Area,3,FALSE)))</f>
        <v xml:space="preserve">الخزينة </v>
      </c>
      <c r="E3137" s="142"/>
      <c r="F3137" s="133"/>
      <c r="G3137" s="133">
        <v>8000</v>
      </c>
      <c r="H3137" s="134">
        <f t="shared" si="145"/>
        <v>0</v>
      </c>
      <c r="I3137" s="134">
        <f t="shared" si="145"/>
        <v>8000</v>
      </c>
      <c r="J3137" s="134">
        <f t="shared" si="144"/>
        <v>-8000</v>
      </c>
      <c r="K3137" s="135"/>
      <c r="L3137" s="148" t="str">
        <f t="shared" si="146"/>
        <v>دائن</v>
      </c>
      <c r="M3137" s="137" t="str">
        <f>IF(ISERROR(VLOOKUP(C3137,'[1]خريطة الحسابات'!_xlnm.Print_Area,4,FALSE))," ",(VLOOKUP(C3137,'[1]خريطة الحسابات'!_xlnm.Print_Area,4,FALSE)))</f>
        <v xml:space="preserve">أصول متداوله -النقدية ومافي حكمها </v>
      </c>
      <c r="N3137" s="138" t="str">
        <f>IF(ISERROR(VLOOKUP(C3137,'[1]خريطة الحسابات'!_xlnm.Print_Area,5,FALSE))," ",(VLOOKUP(C3137,'[1]خريطة الحسابات'!_xlnm.Print_Area,5,FALSE)))</f>
        <v>الاصول</v>
      </c>
      <c r="O3137" s="84" t="s">
        <v>2676</v>
      </c>
      <c r="P3137" s="84" t="s">
        <v>1964</v>
      </c>
    </row>
    <row r="3138" spans="1:16">
      <c r="A3138" s="151">
        <v>96</v>
      </c>
      <c r="B3138" s="131">
        <v>46188</v>
      </c>
      <c r="C3138" s="150">
        <v>20</v>
      </c>
      <c r="D3138" s="140" t="str">
        <f>IF(ISERROR(VLOOKUP(C3138,'[1]خريطة الحسابات'!_xlnm.Print_Area,3,FALSE))," ",(VLOOKUP(C3138,'[1]خريطة الحسابات'!_xlnm.Print_Area,3,FALSE)))</f>
        <v xml:space="preserve">الخزينة </v>
      </c>
      <c r="E3138" s="142"/>
      <c r="F3138" s="133"/>
      <c r="G3138" s="133">
        <v>1000</v>
      </c>
      <c r="H3138" s="134">
        <f t="shared" si="145"/>
        <v>0</v>
      </c>
      <c r="I3138" s="134">
        <f t="shared" si="145"/>
        <v>1000</v>
      </c>
      <c r="J3138" s="134">
        <f t="shared" si="144"/>
        <v>-1000</v>
      </c>
      <c r="K3138" s="135"/>
      <c r="L3138" s="148" t="str">
        <f t="shared" si="146"/>
        <v>دائن</v>
      </c>
      <c r="M3138" s="137" t="str">
        <f>IF(ISERROR(VLOOKUP(C3138,'[1]خريطة الحسابات'!_xlnm.Print_Area,4,FALSE))," ",(VLOOKUP(C3138,'[1]خريطة الحسابات'!_xlnm.Print_Area,4,FALSE)))</f>
        <v xml:space="preserve">أصول متداوله -النقدية ومافي حكمها </v>
      </c>
      <c r="N3138" s="138" t="str">
        <f>IF(ISERROR(VLOOKUP(C3138,'[1]خريطة الحسابات'!_xlnm.Print_Area,5,FALSE))," ",(VLOOKUP(C3138,'[1]خريطة الحسابات'!_xlnm.Print_Area,5,FALSE)))</f>
        <v>الاصول</v>
      </c>
      <c r="O3138" s="84" t="s">
        <v>2677</v>
      </c>
      <c r="P3138" s="84" t="s">
        <v>1964</v>
      </c>
    </row>
    <row r="3139" spans="1:16">
      <c r="A3139" s="151">
        <v>96</v>
      </c>
      <c r="B3139" s="131">
        <v>46188</v>
      </c>
      <c r="C3139" s="150">
        <v>20</v>
      </c>
      <c r="D3139" s="140" t="str">
        <f>IF(ISERROR(VLOOKUP(C3139,'[1]خريطة الحسابات'!_xlnm.Print_Area,3,FALSE))," ",(VLOOKUP(C3139,'[1]خريطة الحسابات'!_xlnm.Print_Area,3,FALSE)))</f>
        <v xml:space="preserve">الخزينة </v>
      </c>
      <c r="E3139" s="142"/>
      <c r="F3139" s="133"/>
      <c r="G3139" s="133">
        <v>970</v>
      </c>
      <c r="H3139" s="134">
        <f t="shared" si="145"/>
        <v>0</v>
      </c>
      <c r="I3139" s="134">
        <f t="shared" si="145"/>
        <v>970</v>
      </c>
      <c r="J3139" s="134">
        <f t="shared" si="144"/>
        <v>-970</v>
      </c>
      <c r="K3139" s="135"/>
      <c r="L3139" s="148" t="str">
        <f t="shared" si="146"/>
        <v>دائن</v>
      </c>
      <c r="M3139" s="137" t="str">
        <f>IF(ISERROR(VLOOKUP(C3139,'[1]خريطة الحسابات'!_xlnm.Print_Area,4,FALSE))," ",(VLOOKUP(C3139,'[1]خريطة الحسابات'!_xlnm.Print_Area,4,FALSE)))</f>
        <v xml:space="preserve">أصول متداوله -النقدية ومافي حكمها </v>
      </c>
      <c r="N3139" s="138" t="str">
        <f>IF(ISERROR(VLOOKUP(C3139,'[1]خريطة الحسابات'!_xlnm.Print_Area,5,FALSE))," ",(VLOOKUP(C3139,'[1]خريطة الحسابات'!_xlnm.Print_Area,5,FALSE)))</f>
        <v>الاصول</v>
      </c>
      <c r="O3139" s="84" t="s">
        <v>2678</v>
      </c>
      <c r="P3139" s="84" t="s">
        <v>1964</v>
      </c>
    </row>
    <row r="3140" spans="1:16">
      <c r="A3140" s="151">
        <v>96</v>
      </c>
      <c r="B3140" s="131">
        <v>46188</v>
      </c>
      <c r="C3140" s="150">
        <v>20</v>
      </c>
      <c r="D3140" s="140" t="str">
        <f>IF(ISERROR(VLOOKUP(C3140,'[1]خريطة الحسابات'!_xlnm.Print_Area,3,FALSE))," ",(VLOOKUP(C3140,'[1]خريطة الحسابات'!_xlnm.Print_Area,3,FALSE)))</f>
        <v xml:space="preserve">الخزينة </v>
      </c>
      <c r="E3140" s="142"/>
      <c r="F3140" s="133"/>
      <c r="G3140" s="133">
        <v>150</v>
      </c>
      <c r="H3140" s="134">
        <f t="shared" si="145"/>
        <v>0</v>
      </c>
      <c r="I3140" s="134">
        <f t="shared" si="145"/>
        <v>150</v>
      </c>
      <c r="J3140" s="134">
        <f t="shared" si="144"/>
        <v>-150</v>
      </c>
      <c r="K3140" s="135"/>
      <c r="L3140" s="148" t="str">
        <f t="shared" si="146"/>
        <v>دائن</v>
      </c>
      <c r="M3140" s="137" t="str">
        <f>IF(ISERROR(VLOOKUP(C3140,'[1]خريطة الحسابات'!_xlnm.Print_Area,4,FALSE))," ",(VLOOKUP(C3140,'[1]خريطة الحسابات'!_xlnm.Print_Area,4,FALSE)))</f>
        <v xml:space="preserve">أصول متداوله -النقدية ومافي حكمها </v>
      </c>
      <c r="N3140" s="138" t="str">
        <f>IF(ISERROR(VLOOKUP(C3140,'[1]خريطة الحسابات'!_xlnm.Print_Area,5,FALSE))," ",(VLOOKUP(C3140,'[1]خريطة الحسابات'!_xlnm.Print_Area,5,FALSE)))</f>
        <v>الاصول</v>
      </c>
      <c r="O3140" s="84" t="s">
        <v>2679</v>
      </c>
      <c r="P3140" s="84" t="s">
        <v>1964</v>
      </c>
    </row>
    <row r="3141" spans="1:16">
      <c r="A3141" s="151">
        <v>96</v>
      </c>
      <c r="B3141" s="131">
        <v>46188</v>
      </c>
      <c r="C3141" s="150">
        <v>20</v>
      </c>
      <c r="D3141" s="140" t="str">
        <f>IF(ISERROR(VLOOKUP(C3141,'[1]خريطة الحسابات'!_xlnm.Print_Area,3,FALSE))," ",(VLOOKUP(C3141,'[1]خريطة الحسابات'!_xlnm.Print_Area,3,FALSE)))</f>
        <v xml:space="preserve">الخزينة </v>
      </c>
      <c r="E3141" s="142"/>
      <c r="F3141" s="133"/>
      <c r="G3141" s="133">
        <v>1140</v>
      </c>
      <c r="H3141" s="134">
        <f t="shared" si="145"/>
        <v>0</v>
      </c>
      <c r="I3141" s="134">
        <f t="shared" si="145"/>
        <v>1140</v>
      </c>
      <c r="J3141" s="134">
        <f t="shared" si="144"/>
        <v>-1140</v>
      </c>
      <c r="K3141" s="135"/>
      <c r="L3141" s="148" t="str">
        <f t="shared" si="146"/>
        <v>دائن</v>
      </c>
      <c r="M3141" s="137" t="str">
        <f>IF(ISERROR(VLOOKUP(C3141,'[1]خريطة الحسابات'!_xlnm.Print_Area,4,FALSE))," ",(VLOOKUP(C3141,'[1]خريطة الحسابات'!_xlnm.Print_Area,4,FALSE)))</f>
        <v xml:space="preserve">أصول متداوله -النقدية ومافي حكمها </v>
      </c>
      <c r="N3141" s="138" t="str">
        <f>IF(ISERROR(VLOOKUP(C3141,'[1]خريطة الحسابات'!_xlnm.Print_Area,5,FALSE))," ",(VLOOKUP(C3141,'[1]خريطة الحسابات'!_xlnm.Print_Area,5,FALSE)))</f>
        <v>الاصول</v>
      </c>
      <c r="O3141" s="84" t="s">
        <v>2680</v>
      </c>
      <c r="P3141" s="84" t="s">
        <v>1964</v>
      </c>
    </row>
    <row r="3142" spans="1:16">
      <c r="A3142" s="151">
        <v>96</v>
      </c>
      <c r="B3142" s="131">
        <v>46188</v>
      </c>
      <c r="C3142" s="150">
        <v>20</v>
      </c>
      <c r="D3142" s="140" t="str">
        <f>IF(ISERROR(VLOOKUP(C3142,'[1]خريطة الحسابات'!_xlnm.Print_Area,3,FALSE))," ",(VLOOKUP(C3142,'[1]خريطة الحسابات'!_xlnm.Print_Area,3,FALSE)))</f>
        <v xml:space="preserve">الخزينة </v>
      </c>
      <c r="E3142" s="142"/>
      <c r="F3142" s="133"/>
      <c r="G3142" s="133">
        <v>100</v>
      </c>
      <c r="H3142" s="134">
        <f t="shared" si="145"/>
        <v>0</v>
      </c>
      <c r="I3142" s="134">
        <f t="shared" si="145"/>
        <v>100</v>
      </c>
      <c r="J3142" s="134">
        <f t="shared" si="144"/>
        <v>-100</v>
      </c>
      <c r="K3142" s="135"/>
      <c r="L3142" s="148" t="str">
        <f t="shared" si="146"/>
        <v>دائن</v>
      </c>
      <c r="M3142" s="137" t="str">
        <f>IF(ISERROR(VLOOKUP(C3142,'[1]خريطة الحسابات'!_xlnm.Print_Area,4,FALSE))," ",(VLOOKUP(C3142,'[1]خريطة الحسابات'!_xlnm.Print_Area,4,FALSE)))</f>
        <v xml:space="preserve">أصول متداوله -النقدية ومافي حكمها </v>
      </c>
      <c r="N3142" s="138" t="str">
        <f>IF(ISERROR(VLOOKUP(C3142,'[1]خريطة الحسابات'!_xlnm.Print_Area,5,FALSE))," ",(VLOOKUP(C3142,'[1]خريطة الحسابات'!_xlnm.Print_Area,5,FALSE)))</f>
        <v>الاصول</v>
      </c>
      <c r="O3142" s="84" t="s">
        <v>2681</v>
      </c>
      <c r="P3142" s="84" t="s">
        <v>1964</v>
      </c>
    </row>
    <row r="3143" spans="1:16">
      <c r="A3143" s="151">
        <v>96</v>
      </c>
      <c r="B3143" s="131">
        <v>46188</v>
      </c>
      <c r="C3143" s="150">
        <v>20</v>
      </c>
      <c r="D3143" s="140" t="str">
        <f>IF(ISERROR(VLOOKUP(C3143,'[1]خريطة الحسابات'!_xlnm.Print_Area,3,FALSE))," ",(VLOOKUP(C3143,'[1]خريطة الحسابات'!_xlnm.Print_Area,3,FALSE)))</f>
        <v xml:space="preserve">الخزينة </v>
      </c>
      <c r="E3143" s="142"/>
      <c r="F3143" s="133"/>
      <c r="G3143" s="133">
        <v>600</v>
      </c>
      <c r="H3143" s="134">
        <f t="shared" si="145"/>
        <v>0</v>
      </c>
      <c r="I3143" s="134">
        <f t="shared" si="145"/>
        <v>600</v>
      </c>
      <c r="J3143" s="134">
        <f t="shared" si="144"/>
        <v>-600</v>
      </c>
      <c r="K3143" s="135"/>
      <c r="L3143" s="148" t="str">
        <f t="shared" si="146"/>
        <v>دائن</v>
      </c>
      <c r="M3143" s="137" t="str">
        <f>IF(ISERROR(VLOOKUP(C3143,'[1]خريطة الحسابات'!_xlnm.Print_Area,4,FALSE))," ",(VLOOKUP(C3143,'[1]خريطة الحسابات'!_xlnm.Print_Area,4,FALSE)))</f>
        <v xml:space="preserve">أصول متداوله -النقدية ومافي حكمها </v>
      </c>
      <c r="N3143" s="138" t="str">
        <f>IF(ISERROR(VLOOKUP(C3143,'[1]خريطة الحسابات'!_xlnm.Print_Area,5,FALSE))," ",(VLOOKUP(C3143,'[1]خريطة الحسابات'!_xlnm.Print_Area,5,FALSE)))</f>
        <v>الاصول</v>
      </c>
      <c r="O3143" s="84" t="s">
        <v>2682</v>
      </c>
      <c r="P3143" s="84" t="s">
        <v>1964</v>
      </c>
    </row>
    <row r="3144" spans="1:16">
      <c r="A3144" s="151">
        <v>96</v>
      </c>
      <c r="B3144" s="131">
        <v>46188</v>
      </c>
      <c r="C3144" s="150">
        <v>20</v>
      </c>
      <c r="D3144" s="140" t="str">
        <f>IF(ISERROR(VLOOKUP(C3144,'[1]خريطة الحسابات'!_xlnm.Print_Area,3,FALSE))," ",(VLOOKUP(C3144,'[1]خريطة الحسابات'!_xlnm.Print_Area,3,FALSE)))</f>
        <v xml:space="preserve">الخزينة </v>
      </c>
      <c r="E3144" s="142"/>
      <c r="F3144" s="133"/>
      <c r="G3144" s="133">
        <v>1890</v>
      </c>
      <c r="H3144" s="134">
        <f t="shared" si="145"/>
        <v>0</v>
      </c>
      <c r="I3144" s="134">
        <f t="shared" si="145"/>
        <v>1890</v>
      </c>
      <c r="J3144" s="134">
        <f t="shared" si="144"/>
        <v>-1890</v>
      </c>
      <c r="K3144" s="135"/>
      <c r="L3144" s="148" t="str">
        <f t="shared" si="146"/>
        <v>دائن</v>
      </c>
      <c r="M3144" s="137" t="str">
        <f>IF(ISERROR(VLOOKUP(C3144,'[1]خريطة الحسابات'!_xlnm.Print_Area,4,FALSE))," ",(VLOOKUP(C3144,'[1]خريطة الحسابات'!_xlnm.Print_Area,4,FALSE)))</f>
        <v xml:space="preserve">أصول متداوله -النقدية ومافي حكمها </v>
      </c>
      <c r="N3144" s="138" t="str">
        <f>IF(ISERROR(VLOOKUP(C3144,'[1]خريطة الحسابات'!_xlnm.Print_Area,5,FALSE))," ",(VLOOKUP(C3144,'[1]خريطة الحسابات'!_xlnm.Print_Area,5,FALSE)))</f>
        <v>الاصول</v>
      </c>
      <c r="O3144" s="84" t="s">
        <v>2683</v>
      </c>
      <c r="P3144" s="84" t="s">
        <v>1964</v>
      </c>
    </row>
    <row r="3145" spans="1:16">
      <c r="A3145" s="151">
        <v>96</v>
      </c>
      <c r="B3145" s="131">
        <v>46188</v>
      </c>
      <c r="C3145" s="150">
        <v>20</v>
      </c>
      <c r="D3145" s="140" t="str">
        <f>IF(ISERROR(VLOOKUP(C3145,'[1]خريطة الحسابات'!_xlnm.Print_Area,3,FALSE))," ",(VLOOKUP(C3145,'[1]خريطة الحسابات'!_xlnm.Print_Area,3,FALSE)))</f>
        <v xml:space="preserve">الخزينة </v>
      </c>
      <c r="E3145" s="142"/>
      <c r="F3145" s="133"/>
      <c r="G3145" s="133">
        <v>1360</v>
      </c>
      <c r="H3145" s="134">
        <f t="shared" si="145"/>
        <v>0</v>
      </c>
      <c r="I3145" s="134">
        <f t="shared" si="145"/>
        <v>1360</v>
      </c>
      <c r="J3145" s="134">
        <f t="shared" si="144"/>
        <v>-1360</v>
      </c>
      <c r="K3145" s="135"/>
      <c r="L3145" s="148" t="str">
        <f t="shared" si="146"/>
        <v>دائن</v>
      </c>
      <c r="M3145" s="137" t="str">
        <f>IF(ISERROR(VLOOKUP(C3145,'[1]خريطة الحسابات'!_xlnm.Print_Area,4,FALSE))," ",(VLOOKUP(C3145,'[1]خريطة الحسابات'!_xlnm.Print_Area,4,FALSE)))</f>
        <v xml:space="preserve">أصول متداوله -النقدية ومافي حكمها </v>
      </c>
      <c r="N3145" s="138" t="str">
        <f>IF(ISERROR(VLOOKUP(C3145,'[1]خريطة الحسابات'!_xlnm.Print_Area,5,FALSE))," ",(VLOOKUP(C3145,'[1]خريطة الحسابات'!_xlnm.Print_Area,5,FALSE)))</f>
        <v>الاصول</v>
      </c>
      <c r="O3145" s="84" t="s">
        <v>2684</v>
      </c>
      <c r="P3145" s="84" t="s">
        <v>1964</v>
      </c>
    </row>
    <row r="3146" spans="1:16">
      <c r="A3146" s="151">
        <v>96</v>
      </c>
      <c r="B3146" s="131">
        <v>46188</v>
      </c>
      <c r="C3146" s="150">
        <v>20</v>
      </c>
      <c r="D3146" s="140" t="str">
        <f>IF(ISERROR(VLOOKUP(C3146,'[1]خريطة الحسابات'!_xlnm.Print_Area,3,FALSE))," ",(VLOOKUP(C3146,'[1]خريطة الحسابات'!_xlnm.Print_Area,3,FALSE)))</f>
        <v xml:space="preserve">الخزينة </v>
      </c>
      <c r="E3146" s="142"/>
      <c r="F3146" s="133"/>
      <c r="G3146" s="133">
        <v>340</v>
      </c>
      <c r="H3146" s="134">
        <f t="shared" si="145"/>
        <v>0</v>
      </c>
      <c r="I3146" s="134">
        <f t="shared" si="145"/>
        <v>340</v>
      </c>
      <c r="J3146" s="134">
        <f t="shared" si="144"/>
        <v>-340</v>
      </c>
      <c r="K3146" s="135"/>
      <c r="L3146" s="148" t="str">
        <f t="shared" si="146"/>
        <v>دائن</v>
      </c>
      <c r="M3146" s="137" t="str">
        <f>IF(ISERROR(VLOOKUP(C3146,'[1]خريطة الحسابات'!_xlnm.Print_Area,4,FALSE))," ",(VLOOKUP(C3146,'[1]خريطة الحسابات'!_xlnm.Print_Area,4,FALSE)))</f>
        <v xml:space="preserve">أصول متداوله -النقدية ومافي حكمها </v>
      </c>
      <c r="N3146" s="138" t="str">
        <f>IF(ISERROR(VLOOKUP(C3146,'[1]خريطة الحسابات'!_xlnm.Print_Area,5,FALSE))," ",(VLOOKUP(C3146,'[1]خريطة الحسابات'!_xlnm.Print_Area,5,FALSE)))</f>
        <v>الاصول</v>
      </c>
      <c r="O3146" s="84" t="s">
        <v>2685</v>
      </c>
      <c r="P3146" s="84" t="s">
        <v>1964</v>
      </c>
    </row>
    <row r="3147" spans="1:16">
      <c r="A3147" s="151">
        <v>96</v>
      </c>
      <c r="B3147" s="131">
        <v>46189</v>
      </c>
      <c r="C3147" s="150">
        <v>20</v>
      </c>
      <c r="D3147" s="140" t="str">
        <f>IF(ISERROR(VLOOKUP(C3147,'[1]خريطة الحسابات'!_xlnm.Print_Area,3,FALSE))," ",(VLOOKUP(C3147,'[1]خريطة الحسابات'!_xlnm.Print_Area,3,FALSE)))</f>
        <v xml:space="preserve">الخزينة </v>
      </c>
      <c r="E3147" s="142"/>
      <c r="F3147" s="133"/>
      <c r="G3147" s="133">
        <v>55000</v>
      </c>
      <c r="H3147" s="134">
        <f t="shared" si="145"/>
        <v>0</v>
      </c>
      <c r="I3147" s="134">
        <f t="shared" si="145"/>
        <v>55000</v>
      </c>
      <c r="J3147" s="134">
        <f t="shared" si="144"/>
        <v>-55000</v>
      </c>
      <c r="K3147" s="135"/>
      <c r="L3147" s="148" t="str">
        <f t="shared" si="146"/>
        <v>دائن</v>
      </c>
      <c r="M3147" s="137" t="str">
        <f>IF(ISERROR(VLOOKUP(C3147,'[1]خريطة الحسابات'!_xlnm.Print_Area,4,FALSE))," ",(VLOOKUP(C3147,'[1]خريطة الحسابات'!_xlnm.Print_Area,4,FALSE)))</f>
        <v xml:space="preserve">أصول متداوله -النقدية ومافي حكمها </v>
      </c>
      <c r="N3147" s="138" t="str">
        <f>IF(ISERROR(VLOOKUP(C3147,'[1]خريطة الحسابات'!_xlnm.Print_Area,5,FALSE))," ",(VLOOKUP(C3147,'[1]خريطة الحسابات'!_xlnm.Print_Area,5,FALSE)))</f>
        <v>الاصول</v>
      </c>
      <c r="O3147" s="84" t="s">
        <v>2686</v>
      </c>
      <c r="P3147" s="84" t="s">
        <v>1759</v>
      </c>
    </row>
    <row r="3148" spans="1:16">
      <c r="A3148" s="151">
        <v>96</v>
      </c>
      <c r="B3148" s="131">
        <v>46193</v>
      </c>
      <c r="C3148" s="150">
        <v>20</v>
      </c>
      <c r="D3148" s="140" t="str">
        <f>IF(ISERROR(VLOOKUP(C3148,'[1]خريطة الحسابات'!_xlnm.Print_Area,3,FALSE))," ",(VLOOKUP(C3148,'[1]خريطة الحسابات'!_xlnm.Print_Area,3,FALSE)))</f>
        <v xml:space="preserve">الخزينة </v>
      </c>
      <c r="E3148" s="142"/>
      <c r="F3148" s="133"/>
      <c r="G3148" s="133">
        <v>500</v>
      </c>
      <c r="H3148" s="134">
        <f t="shared" si="145"/>
        <v>0</v>
      </c>
      <c r="I3148" s="134">
        <f t="shared" si="145"/>
        <v>500</v>
      </c>
      <c r="J3148" s="134">
        <f t="shared" si="144"/>
        <v>-500</v>
      </c>
      <c r="K3148" s="135"/>
      <c r="L3148" s="148" t="str">
        <f t="shared" si="146"/>
        <v>دائن</v>
      </c>
      <c r="M3148" s="137" t="str">
        <f>IF(ISERROR(VLOOKUP(C3148,'[1]خريطة الحسابات'!_xlnm.Print_Area,4,FALSE))," ",(VLOOKUP(C3148,'[1]خريطة الحسابات'!_xlnm.Print_Area,4,FALSE)))</f>
        <v xml:space="preserve">أصول متداوله -النقدية ومافي حكمها </v>
      </c>
      <c r="N3148" s="138" t="str">
        <f>IF(ISERROR(VLOOKUP(C3148,'[1]خريطة الحسابات'!_xlnm.Print_Area,5,FALSE))," ",(VLOOKUP(C3148,'[1]خريطة الحسابات'!_xlnm.Print_Area,5,FALSE)))</f>
        <v>الاصول</v>
      </c>
      <c r="O3148" s="84" t="s">
        <v>1798</v>
      </c>
      <c r="P3148" s="84" t="s">
        <v>1759</v>
      </c>
    </row>
    <row r="3149" spans="1:16">
      <c r="A3149" s="151">
        <v>96</v>
      </c>
      <c r="B3149" s="131">
        <v>46193</v>
      </c>
      <c r="C3149" s="150">
        <v>20</v>
      </c>
      <c r="D3149" s="140" t="str">
        <f>IF(ISERROR(VLOOKUP(C3149,'[1]خريطة الحسابات'!_xlnm.Print_Area,3,FALSE))," ",(VLOOKUP(C3149,'[1]خريطة الحسابات'!_xlnm.Print_Area,3,FALSE)))</f>
        <v xml:space="preserve">الخزينة </v>
      </c>
      <c r="E3149" s="142"/>
      <c r="F3149" s="133"/>
      <c r="G3149" s="133">
        <v>1000</v>
      </c>
      <c r="H3149" s="134">
        <f t="shared" si="145"/>
        <v>0</v>
      </c>
      <c r="I3149" s="134">
        <f t="shared" si="145"/>
        <v>1000</v>
      </c>
      <c r="J3149" s="134">
        <f t="shared" si="144"/>
        <v>-1000</v>
      </c>
      <c r="K3149" s="135"/>
      <c r="L3149" s="148" t="str">
        <f t="shared" si="146"/>
        <v>دائن</v>
      </c>
      <c r="M3149" s="137" t="str">
        <f>IF(ISERROR(VLOOKUP(C3149,'[1]خريطة الحسابات'!_xlnm.Print_Area,4,FALSE))," ",(VLOOKUP(C3149,'[1]خريطة الحسابات'!_xlnm.Print_Area,4,FALSE)))</f>
        <v xml:space="preserve">أصول متداوله -النقدية ومافي حكمها </v>
      </c>
      <c r="N3149" s="138" t="str">
        <f>IF(ISERROR(VLOOKUP(C3149,'[1]خريطة الحسابات'!_xlnm.Print_Area,5,FALSE))," ",(VLOOKUP(C3149,'[1]خريطة الحسابات'!_xlnm.Print_Area,5,FALSE)))</f>
        <v>الاصول</v>
      </c>
      <c r="O3149" s="84" t="s">
        <v>2687</v>
      </c>
      <c r="P3149" s="84" t="s">
        <v>1759</v>
      </c>
    </row>
    <row r="3150" spans="1:16">
      <c r="A3150" s="151">
        <v>96</v>
      </c>
      <c r="B3150" s="131">
        <v>46188</v>
      </c>
      <c r="C3150" s="150">
        <v>20</v>
      </c>
      <c r="D3150" s="140" t="str">
        <f>IF(ISERROR(VLOOKUP(C3150,'[1]خريطة الحسابات'!_xlnm.Print_Area,3,FALSE))," ",(VLOOKUP(C3150,'[1]خريطة الحسابات'!_xlnm.Print_Area,3,FALSE)))</f>
        <v xml:space="preserve">الخزينة </v>
      </c>
      <c r="E3150" s="142"/>
      <c r="F3150" s="133"/>
      <c r="G3150" s="133">
        <v>2300</v>
      </c>
      <c r="H3150" s="134">
        <f t="shared" si="145"/>
        <v>0</v>
      </c>
      <c r="I3150" s="134">
        <f t="shared" si="145"/>
        <v>2300</v>
      </c>
      <c r="J3150" s="134">
        <f t="shared" si="144"/>
        <v>-2300</v>
      </c>
      <c r="K3150" s="135"/>
      <c r="L3150" s="148" t="str">
        <f t="shared" si="146"/>
        <v>دائن</v>
      </c>
      <c r="M3150" s="137" t="str">
        <f>IF(ISERROR(VLOOKUP(C3150,'[1]خريطة الحسابات'!_xlnm.Print_Area,4,FALSE))," ",(VLOOKUP(C3150,'[1]خريطة الحسابات'!_xlnm.Print_Area,4,FALSE)))</f>
        <v xml:space="preserve">أصول متداوله -النقدية ومافي حكمها </v>
      </c>
      <c r="N3150" s="138" t="str">
        <f>IF(ISERROR(VLOOKUP(C3150,'[1]خريطة الحسابات'!_xlnm.Print_Area,5,FALSE))," ",(VLOOKUP(C3150,'[1]خريطة الحسابات'!_xlnm.Print_Area,5,FALSE)))</f>
        <v>الاصول</v>
      </c>
      <c r="O3150" s="84" t="s">
        <v>2688</v>
      </c>
      <c r="P3150" s="84" t="s">
        <v>1290</v>
      </c>
    </row>
    <row r="3151" spans="1:16">
      <c r="A3151" s="151">
        <v>96</v>
      </c>
      <c r="B3151" s="131">
        <v>46189</v>
      </c>
      <c r="C3151" s="150">
        <v>20</v>
      </c>
      <c r="D3151" s="140" t="str">
        <f>IF(ISERROR(VLOOKUP(C3151,'[1]خريطة الحسابات'!_xlnm.Print_Area,3,FALSE))," ",(VLOOKUP(C3151,'[1]خريطة الحسابات'!_xlnm.Print_Area,3,FALSE)))</f>
        <v xml:space="preserve">الخزينة </v>
      </c>
      <c r="E3151" s="142"/>
      <c r="F3151" s="133"/>
      <c r="G3151" s="133">
        <v>100000</v>
      </c>
      <c r="H3151" s="134">
        <f t="shared" si="145"/>
        <v>0</v>
      </c>
      <c r="I3151" s="134">
        <f t="shared" si="145"/>
        <v>100000</v>
      </c>
      <c r="J3151" s="134">
        <f t="shared" si="144"/>
        <v>-100000</v>
      </c>
      <c r="K3151" s="135"/>
      <c r="L3151" s="148" t="str">
        <f t="shared" si="146"/>
        <v>دائن</v>
      </c>
      <c r="M3151" s="137" t="str">
        <f>IF(ISERROR(VLOOKUP(C3151,'[1]خريطة الحسابات'!_xlnm.Print_Area,4,FALSE))," ",(VLOOKUP(C3151,'[1]خريطة الحسابات'!_xlnm.Print_Area,4,FALSE)))</f>
        <v xml:space="preserve">أصول متداوله -النقدية ومافي حكمها </v>
      </c>
      <c r="N3151" s="138" t="str">
        <f>IF(ISERROR(VLOOKUP(C3151,'[1]خريطة الحسابات'!_xlnm.Print_Area,5,FALSE))," ",(VLOOKUP(C3151,'[1]خريطة الحسابات'!_xlnm.Print_Area,5,FALSE)))</f>
        <v>الاصول</v>
      </c>
      <c r="O3151" s="84" t="s">
        <v>2689</v>
      </c>
      <c r="P3151" s="84" t="s">
        <v>1290</v>
      </c>
    </row>
    <row r="3152" spans="1:16">
      <c r="A3152" s="151">
        <v>96</v>
      </c>
      <c r="B3152" s="131">
        <v>46189</v>
      </c>
      <c r="C3152" s="150">
        <v>20</v>
      </c>
      <c r="D3152" s="140" t="str">
        <f>IF(ISERROR(VLOOKUP(C3152,'[1]خريطة الحسابات'!_xlnm.Print_Area,3,FALSE))," ",(VLOOKUP(C3152,'[1]خريطة الحسابات'!_xlnm.Print_Area,3,FALSE)))</f>
        <v xml:space="preserve">الخزينة </v>
      </c>
      <c r="E3152" s="142"/>
      <c r="F3152" s="133"/>
      <c r="G3152" s="133">
        <v>565</v>
      </c>
      <c r="H3152" s="134">
        <f t="shared" si="145"/>
        <v>0</v>
      </c>
      <c r="I3152" s="134">
        <f t="shared" si="145"/>
        <v>565</v>
      </c>
      <c r="J3152" s="134">
        <f t="shared" si="144"/>
        <v>-565</v>
      </c>
      <c r="K3152" s="135"/>
      <c r="L3152" s="148" t="str">
        <f t="shared" si="146"/>
        <v>دائن</v>
      </c>
      <c r="M3152" s="137" t="str">
        <f>IF(ISERROR(VLOOKUP(C3152,'[1]خريطة الحسابات'!_xlnm.Print_Area,4,FALSE))," ",(VLOOKUP(C3152,'[1]خريطة الحسابات'!_xlnm.Print_Area,4,FALSE)))</f>
        <v xml:space="preserve">أصول متداوله -النقدية ومافي حكمها </v>
      </c>
      <c r="N3152" s="138" t="str">
        <f>IF(ISERROR(VLOOKUP(C3152,'[1]خريطة الحسابات'!_xlnm.Print_Area,5,FALSE))," ",(VLOOKUP(C3152,'[1]خريطة الحسابات'!_xlnm.Print_Area,5,FALSE)))</f>
        <v>الاصول</v>
      </c>
      <c r="O3152" s="84" t="s">
        <v>2690</v>
      </c>
      <c r="P3152" s="84" t="s">
        <v>1290</v>
      </c>
    </row>
    <row r="3153" spans="1:16">
      <c r="A3153" s="151">
        <v>96</v>
      </c>
      <c r="B3153" s="131">
        <v>46189</v>
      </c>
      <c r="C3153" s="150">
        <v>20</v>
      </c>
      <c r="D3153" s="140" t="str">
        <f>IF(ISERROR(VLOOKUP(C3153,'[1]خريطة الحسابات'!_xlnm.Print_Area,3,FALSE))," ",(VLOOKUP(C3153,'[1]خريطة الحسابات'!_xlnm.Print_Area,3,FALSE)))</f>
        <v xml:space="preserve">الخزينة </v>
      </c>
      <c r="E3153" s="142"/>
      <c r="F3153" s="133"/>
      <c r="G3153" s="133">
        <v>1500</v>
      </c>
      <c r="H3153" s="134">
        <f t="shared" si="145"/>
        <v>0</v>
      </c>
      <c r="I3153" s="134">
        <f t="shared" si="145"/>
        <v>1500</v>
      </c>
      <c r="J3153" s="134">
        <f t="shared" si="144"/>
        <v>-1500</v>
      </c>
      <c r="K3153" s="135"/>
      <c r="L3153" s="148" t="str">
        <f t="shared" si="146"/>
        <v>دائن</v>
      </c>
      <c r="M3153" s="137" t="str">
        <f>IF(ISERROR(VLOOKUP(C3153,'[1]خريطة الحسابات'!_xlnm.Print_Area,4,FALSE))," ",(VLOOKUP(C3153,'[1]خريطة الحسابات'!_xlnm.Print_Area,4,FALSE)))</f>
        <v xml:space="preserve">أصول متداوله -النقدية ومافي حكمها </v>
      </c>
      <c r="N3153" s="138" t="str">
        <f>IF(ISERROR(VLOOKUP(C3153,'[1]خريطة الحسابات'!_xlnm.Print_Area,5,FALSE))," ",(VLOOKUP(C3153,'[1]خريطة الحسابات'!_xlnm.Print_Area,5,FALSE)))</f>
        <v>الاصول</v>
      </c>
      <c r="O3153" s="84" t="s">
        <v>2691</v>
      </c>
      <c r="P3153" s="84" t="s">
        <v>1290</v>
      </c>
    </row>
    <row r="3154" spans="1:16">
      <c r="A3154" s="151">
        <v>96</v>
      </c>
      <c r="B3154" s="131">
        <v>46189</v>
      </c>
      <c r="C3154" s="150">
        <v>20</v>
      </c>
      <c r="D3154" s="140" t="str">
        <f>IF(ISERROR(VLOOKUP(C3154,'[1]خريطة الحسابات'!_xlnm.Print_Area,3,FALSE))," ",(VLOOKUP(C3154,'[1]خريطة الحسابات'!_xlnm.Print_Area,3,FALSE)))</f>
        <v xml:space="preserve">الخزينة </v>
      </c>
      <c r="E3154" s="142"/>
      <c r="F3154" s="133"/>
      <c r="G3154" s="133">
        <v>200</v>
      </c>
      <c r="H3154" s="134">
        <f t="shared" si="145"/>
        <v>0</v>
      </c>
      <c r="I3154" s="134">
        <f t="shared" si="145"/>
        <v>200</v>
      </c>
      <c r="J3154" s="134">
        <f t="shared" si="144"/>
        <v>-200</v>
      </c>
      <c r="K3154" s="135"/>
      <c r="L3154" s="148" t="str">
        <f t="shared" si="146"/>
        <v>دائن</v>
      </c>
      <c r="M3154" s="137" t="str">
        <f>IF(ISERROR(VLOOKUP(C3154,'[1]خريطة الحسابات'!_xlnm.Print_Area,4,FALSE))," ",(VLOOKUP(C3154,'[1]خريطة الحسابات'!_xlnm.Print_Area,4,FALSE)))</f>
        <v xml:space="preserve">أصول متداوله -النقدية ومافي حكمها </v>
      </c>
      <c r="N3154" s="138" t="str">
        <f>IF(ISERROR(VLOOKUP(C3154,'[1]خريطة الحسابات'!_xlnm.Print_Area,5,FALSE))," ",(VLOOKUP(C3154,'[1]خريطة الحسابات'!_xlnm.Print_Area,5,FALSE)))</f>
        <v>الاصول</v>
      </c>
      <c r="O3154" s="84" t="s">
        <v>2692</v>
      </c>
      <c r="P3154" s="84" t="s">
        <v>1290</v>
      </c>
    </row>
    <row r="3155" spans="1:16">
      <c r="A3155" s="151">
        <v>96</v>
      </c>
      <c r="B3155" s="131">
        <v>46189</v>
      </c>
      <c r="C3155" s="150">
        <v>20</v>
      </c>
      <c r="D3155" s="140" t="str">
        <f>IF(ISERROR(VLOOKUP(C3155,'[1]خريطة الحسابات'!_xlnm.Print_Area,3,FALSE))," ",(VLOOKUP(C3155,'[1]خريطة الحسابات'!_xlnm.Print_Area,3,FALSE)))</f>
        <v xml:space="preserve">الخزينة </v>
      </c>
      <c r="E3155" s="142"/>
      <c r="F3155" s="133"/>
      <c r="G3155" s="133">
        <v>12000</v>
      </c>
      <c r="H3155" s="134">
        <f t="shared" si="145"/>
        <v>0</v>
      </c>
      <c r="I3155" s="134">
        <f t="shared" si="145"/>
        <v>12000</v>
      </c>
      <c r="J3155" s="134">
        <f t="shared" si="144"/>
        <v>-12000</v>
      </c>
      <c r="K3155" s="135"/>
      <c r="L3155" s="148" t="str">
        <f t="shared" si="146"/>
        <v>دائن</v>
      </c>
      <c r="M3155" s="137" t="str">
        <f>IF(ISERROR(VLOOKUP(C3155,'[1]خريطة الحسابات'!_xlnm.Print_Area,4,FALSE))," ",(VLOOKUP(C3155,'[1]خريطة الحسابات'!_xlnm.Print_Area,4,FALSE)))</f>
        <v xml:space="preserve">أصول متداوله -النقدية ومافي حكمها </v>
      </c>
      <c r="N3155" s="138" t="str">
        <f>IF(ISERROR(VLOOKUP(C3155,'[1]خريطة الحسابات'!_xlnm.Print_Area,5,FALSE))," ",(VLOOKUP(C3155,'[1]خريطة الحسابات'!_xlnm.Print_Area,5,FALSE)))</f>
        <v>الاصول</v>
      </c>
      <c r="O3155" s="84" t="s">
        <v>2693</v>
      </c>
      <c r="P3155" s="84" t="s">
        <v>1290</v>
      </c>
    </row>
    <row r="3156" spans="1:16">
      <c r="A3156" s="151">
        <v>96</v>
      </c>
      <c r="B3156" s="131">
        <v>46189</v>
      </c>
      <c r="C3156" s="150">
        <v>20</v>
      </c>
      <c r="D3156" s="140" t="str">
        <f>IF(ISERROR(VLOOKUP(C3156,'[1]خريطة الحسابات'!_xlnm.Print_Area,3,FALSE))," ",(VLOOKUP(C3156,'[1]خريطة الحسابات'!_xlnm.Print_Area,3,FALSE)))</f>
        <v xml:space="preserve">الخزينة </v>
      </c>
      <c r="E3156" s="142"/>
      <c r="F3156" s="133"/>
      <c r="G3156" s="133">
        <v>5630</v>
      </c>
      <c r="H3156" s="134">
        <f t="shared" si="145"/>
        <v>0</v>
      </c>
      <c r="I3156" s="134">
        <f t="shared" si="145"/>
        <v>5630</v>
      </c>
      <c r="J3156" s="134">
        <f t="shared" si="144"/>
        <v>-5630</v>
      </c>
      <c r="K3156" s="135"/>
      <c r="L3156" s="148" t="str">
        <f t="shared" si="146"/>
        <v>دائن</v>
      </c>
      <c r="M3156" s="137" t="str">
        <f>IF(ISERROR(VLOOKUP(C3156,'[1]خريطة الحسابات'!_xlnm.Print_Area,4,FALSE))," ",(VLOOKUP(C3156,'[1]خريطة الحسابات'!_xlnm.Print_Area,4,FALSE)))</f>
        <v xml:space="preserve">أصول متداوله -النقدية ومافي حكمها </v>
      </c>
      <c r="N3156" s="138" t="str">
        <f>IF(ISERROR(VLOOKUP(C3156,'[1]خريطة الحسابات'!_xlnm.Print_Area,5,FALSE))," ",(VLOOKUP(C3156,'[1]خريطة الحسابات'!_xlnm.Print_Area,5,FALSE)))</f>
        <v>الاصول</v>
      </c>
      <c r="O3156" s="84" t="s">
        <v>2694</v>
      </c>
      <c r="P3156" s="84" t="s">
        <v>1290</v>
      </c>
    </row>
    <row r="3157" spans="1:16">
      <c r="A3157" s="151">
        <v>96</v>
      </c>
      <c r="B3157" s="131">
        <v>46190</v>
      </c>
      <c r="C3157" s="150">
        <v>20</v>
      </c>
      <c r="D3157" s="140" t="str">
        <f>IF(ISERROR(VLOOKUP(C3157,'[1]خريطة الحسابات'!_xlnm.Print_Area,3,FALSE))," ",(VLOOKUP(C3157,'[1]خريطة الحسابات'!_xlnm.Print_Area,3,FALSE)))</f>
        <v xml:space="preserve">الخزينة </v>
      </c>
      <c r="E3157" s="142"/>
      <c r="F3157" s="133"/>
      <c r="G3157" s="133">
        <v>5650</v>
      </c>
      <c r="H3157" s="134">
        <f t="shared" si="145"/>
        <v>0</v>
      </c>
      <c r="I3157" s="134">
        <f t="shared" si="145"/>
        <v>5650</v>
      </c>
      <c r="J3157" s="134">
        <f t="shared" si="144"/>
        <v>-5650</v>
      </c>
      <c r="K3157" s="135"/>
      <c r="L3157" s="148" t="str">
        <f t="shared" si="146"/>
        <v>دائن</v>
      </c>
      <c r="M3157" s="137" t="str">
        <f>IF(ISERROR(VLOOKUP(C3157,'[1]خريطة الحسابات'!_xlnm.Print_Area,4,FALSE))," ",(VLOOKUP(C3157,'[1]خريطة الحسابات'!_xlnm.Print_Area,4,FALSE)))</f>
        <v xml:space="preserve">أصول متداوله -النقدية ومافي حكمها </v>
      </c>
      <c r="N3157" s="138" t="str">
        <f>IF(ISERROR(VLOOKUP(C3157,'[1]خريطة الحسابات'!_xlnm.Print_Area,5,FALSE))," ",(VLOOKUP(C3157,'[1]خريطة الحسابات'!_xlnm.Print_Area,5,FALSE)))</f>
        <v>الاصول</v>
      </c>
      <c r="O3157" s="84" t="s">
        <v>2695</v>
      </c>
      <c r="P3157" s="84" t="s">
        <v>1290</v>
      </c>
    </row>
    <row r="3158" spans="1:16">
      <c r="A3158" s="151">
        <v>96</v>
      </c>
      <c r="B3158" s="131">
        <v>46190</v>
      </c>
      <c r="C3158" s="150">
        <v>20</v>
      </c>
      <c r="D3158" s="140" t="str">
        <f>IF(ISERROR(VLOOKUP(C3158,'[1]خريطة الحسابات'!_xlnm.Print_Area,3,FALSE))," ",(VLOOKUP(C3158,'[1]خريطة الحسابات'!_xlnm.Print_Area,3,FALSE)))</f>
        <v xml:space="preserve">الخزينة </v>
      </c>
      <c r="E3158" s="142"/>
      <c r="F3158" s="133"/>
      <c r="G3158" s="133">
        <v>1500</v>
      </c>
      <c r="H3158" s="134">
        <f t="shared" si="145"/>
        <v>0</v>
      </c>
      <c r="I3158" s="134">
        <f t="shared" si="145"/>
        <v>1500</v>
      </c>
      <c r="J3158" s="134">
        <f t="shared" si="144"/>
        <v>-1500</v>
      </c>
      <c r="K3158" s="135"/>
      <c r="L3158" s="148" t="str">
        <f t="shared" si="146"/>
        <v>دائن</v>
      </c>
      <c r="M3158" s="137" t="str">
        <f>IF(ISERROR(VLOOKUP(C3158,'[1]خريطة الحسابات'!_xlnm.Print_Area,4,FALSE))," ",(VLOOKUP(C3158,'[1]خريطة الحسابات'!_xlnm.Print_Area,4,FALSE)))</f>
        <v xml:space="preserve">أصول متداوله -النقدية ومافي حكمها </v>
      </c>
      <c r="N3158" s="138" t="str">
        <f>IF(ISERROR(VLOOKUP(C3158,'[1]خريطة الحسابات'!_xlnm.Print_Area,5,FALSE))," ",(VLOOKUP(C3158,'[1]خريطة الحسابات'!_xlnm.Print_Area,5,FALSE)))</f>
        <v>الاصول</v>
      </c>
      <c r="O3158" s="84" t="s">
        <v>2695</v>
      </c>
      <c r="P3158" s="84" t="s">
        <v>1290</v>
      </c>
    </row>
    <row r="3159" spans="1:16">
      <c r="A3159" s="151">
        <v>96</v>
      </c>
      <c r="B3159" s="131">
        <v>46190</v>
      </c>
      <c r="C3159" s="150">
        <v>20</v>
      </c>
      <c r="D3159" s="140" t="str">
        <f>IF(ISERROR(VLOOKUP(C3159,'[1]خريطة الحسابات'!_xlnm.Print_Area,3,FALSE))," ",(VLOOKUP(C3159,'[1]خريطة الحسابات'!_xlnm.Print_Area,3,FALSE)))</f>
        <v xml:space="preserve">الخزينة </v>
      </c>
      <c r="E3159" s="142"/>
      <c r="F3159" s="133"/>
      <c r="G3159" s="133">
        <v>7330</v>
      </c>
      <c r="H3159" s="134">
        <f t="shared" si="145"/>
        <v>0</v>
      </c>
      <c r="I3159" s="134">
        <f t="shared" si="145"/>
        <v>7330</v>
      </c>
      <c r="J3159" s="134">
        <f t="shared" si="144"/>
        <v>-7330</v>
      </c>
      <c r="K3159" s="135"/>
      <c r="L3159" s="148" t="str">
        <f t="shared" si="146"/>
        <v>دائن</v>
      </c>
      <c r="M3159" s="137" t="str">
        <f>IF(ISERROR(VLOOKUP(C3159,'[1]خريطة الحسابات'!_xlnm.Print_Area,4,FALSE))," ",(VLOOKUP(C3159,'[1]خريطة الحسابات'!_xlnm.Print_Area,4,FALSE)))</f>
        <v xml:space="preserve">أصول متداوله -النقدية ومافي حكمها </v>
      </c>
      <c r="N3159" s="138" t="str">
        <f>IF(ISERROR(VLOOKUP(C3159,'[1]خريطة الحسابات'!_xlnm.Print_Area,5,FALSE))," ",(VLOOKUP(C3159,'[1]خريطة الحسابات'!_xlnm.Print_Area,5,FALSE)))</f>
        <v>الاصول</v>
      </c>
      <c r="O3159" s="84" t="s">
        <v>2696</v>
      </c>
      <c r="P3159" s="84" t="s">
        <v>1290</v>
      </c>
    </row>
    <row r="3160" spans="1:16">
      <c r="A3160" s="151">
        <v>96</v>
      </c>
      <c r="B3160" s="131">
        <v>46190</v>
      </c>
      <c r="C3160" s="150">
        <v>20</v>
      </c>
      <c r="D3160" s="140" t="str">
        <f>IF(ISERROR(VLOOKUP(C3160,'[1]خريطة الحسابات'!_xlnm.Print_Area,3,FALSE))," ",(VLOOKUP(C3160,'[1]خريطة الحسابات'!_xlnm.Print_Area,3,FALSE)))</f>
        <v xml:space="preserve">الخزينة </v>
      </c>
      <c r="E3160" s="142"/>
      <c r="F3160" s="133"/>
      <c r="G3160" s="133">
        <v>2385</v>
      </c>
      <c r="H3160" s="134">
        <f t="shared" si="145"/>
        <v>0</v>
      </c>
      <c r="I3160" s="134">
        <f t="shared" si="145"/>
        <v>2385</v>
      </c>
      <c r="J3160" s="134">
        <f t="shared" ref="J3160:J3223" si="147">H3160-I3160</f>
        <v>-2385</v>
      </c>
      <c r="K3160" s="135"/>
      <c r="L3160" s="148" t="str">
        <f t="shared" si="146"/>
        <v>دائن</v>
      </c>
      <c r="M3160" s="137" t="str">
        <f>IF(ISERROR(VLOOKUP(C3160,'[1]خريطة الحسابات'!_xlnm.Print_Area,4,FALSE))," ",(VLOOKUP(C3160,'[1]خريطة الحسابات'!_xlnm.Print_Area,4,FALSE)))</f>
        <v xml:space="preserve">أصول متداوله -النقدية ومافي حكمها </v>
      </c>
      <c r="N3160" s="138" t="str">
        <f>IF(ISERROR(VLOOKUP(C3160,'[1]خريطة الحسابات'!_xlnm.Print_Area,5,FALSE))," ",(VLOOKUP(C3160,'[1]خريطة الحسابات'!_xlnm.Print_Area,5,FALSE)))</f>
        <v>الاصول</v>
      </c>
      <c r="O3160" s="84" t="s">
        <v>2697</v>
      </c>
      <c r="P3160" s="84" t="s">
        <v>1290</v>
      </c>
    </row>
    <row r="3161" spans="1:16">
      <c r="A3161" s="151">
        <v>96</v>
      </c>
      <c r="B3161" s="131">
        <v>46190</v>
      </c>
      <c r="C3161" s="150">
        <v>20</v>
      </c>
      <c r="D3161" s="140" t="str">
        <f>IF(ISERROR(VLOOKUP(C3161,'[1]خريطة الحسابات'!_xlnm.Print_Area,3,FALSE))," ",(VLOOKUP(C3161,'[1]خريطة الحسابات'!_xlnm.Print_Area,3,FALSE)))</f>
        <v xml:space="preserve">الخزينة </v>
      </c>
      <c r="E3161" s="142"/>
      <c r="F3161" s="133"/>
      <c r="G3161" s="133">
        <v>1300</v>
      </c>
      <c r="H3161" s="134">
        <f t="shared" ref="H3161:I3224" si="148">IF($E3161=2,F3161*3.465,F3161)</f>
        <v>0</v>
      </c>
      <c r="I3161" s="134">
        <f t="shared" si="148"/>
        <v>1300</v>
      </c>
      <c r="J3161" s="134">
        <f t="shared" si="147"/>
        <v>-1300</v>
      </c>
      <c r="K3161" s="135"/>
      <c r="L3161" s="148" t="str">
        <f t="shared" si="146"/>
        <v>دائن</v>
      </c>
      <c r="M3161" s="137" t="str">
        <f>IF(ISERROR(VLOOKUP(C3161,'[1]خريطة الحسابات'!_xlnm.Print_Area,4,FALSE))," ",(VLOOKUP(C3161,'[1]خريطة الحسابات'!_xlnm.Print_Area,4,FALSE)))</f>
        <v xml:space="preserve">أصول متداوله -النقدية ومافي حكمها </v>
      </c>
      <c r="N3161" s="138" t="str">
        <f>IF(ISERROR(VLOOKUP(C3161,'[1]خريطة الحسابات'!_xlnm.Print_Area,5,FALSE))," ",(VLOOKUP(C3161,'[1]خريطة الحسابات'!_xlnm.Print_Area,5,FALSE)))</f>
        <v>الاصول</v>
      </c>
      <c r="O3161" s="84" t="s">
        <v>2698</v>
      </c>
      <c r="P3161" s="84" t="s">
        <v>1290</v>
      </c>
    </row>
    <row r="3162" spans="1:16">
      <c r="A3162" s="151">
        <v>96</v>
      </c>
      <c r="B3162" s="131">
        <v>46193</v>
      </c>
      <c r="C3162" s="150">
        <v>20</v>
      </c>
      <c r="D3162" s="140" t="str">
        <f>IF(ISERROR(VLOOKUP(C3162,'[1]خريطة الحسابات'!_xlnm.Print_Area,3,FALSE))," ",(VLOOKUP(C3162,'[1]خريطة الحسابات'!_xlnm.Print_Area,3,FALSE)))</f>
        <v xml:space="preserve">الخزينة </v>
      </c>
      <c r="E3162" s="142"/>
      <c r="F3162" s="133"/>
      <c r="G3162" s="133">
        <v>26000</v>
      </c>
      <c r="H3162" s="134">
        <f t="shared" si="148"/>
        <v>0</v>
      </c>
      <c r="I3162" s="134">
        <f t="shared" si="148"/>
        <v>26000</v>
      </c>
      <c r="J3162" s="134">
        <f t="shared" si="147"/>
        <v>-26000</v>
      </c>
      <c r="K3162" s="135"/>
      <c r="L3162" s="148" t="str">
        <f t="shared" si="146"/>
        <v>دائن</v>
      </c>
      <c r="M3162" s="137" t="str">
        <f>IF(ISERROR(VLOOKUP(C3162,'[1]خريطة الحسابات'!_xlnm.Print_Area,4,FALSE))," ",(VLOOKUP(C3162,'[1]خريطة الحسابات'!_xlnm.Print_Area,4,FALSE)))</f>
        <v xml:space="preserve">أصول متداوله -النقدية ومافي حكمها </v>
      </c>
      <c r="N3162" s="138" t="str">
        <f>IF(ISERROR(VLOOKUP(C3162,'[1]خريطة الحسابات'!_xlnm.Print_Area,5,FALSE))," ",(VLOOKUP(C3162,'[1]خريطة الحسابات'!_xlnm.Print_Area,5,FALSE)))</f>
        <v>الاصول</v>
      </c>
      <c r="O3162" s="84" t="s">
        <v>1448</v>
      </c>
      <c r="P3162" s="84" t="s">
        <v>1290</v>
      </c>
    </row>
    <row r="3163" spans="1:16">
      <c r="A3163" s="151">
        <v>96</v>
      </c>
      <c r="B3163" s="131">
        <v>46194</v>
      </c>
      <c r="C3163" s="150">
        <v>20</v>
      </c>
      <c r="D3163" s="140" t="str">
        <f>IF(ISERROR(VLOOKUP(C3163,'[1]خريطة الحسابات'!_xlnm.Print_Area,3,FALSE))," ",(VLOOKUP(C3163,'[1]خريطة الحسابات'!_xlnm.Print_Area,3,FALSE)))</f>
        <v xml:space="preserve">الخزينة </v>
      </c>
      <c r="E3163" s="142"/>
      <c r="F3163" s="133"/>
      <c r="G3163" s="133">
        <v>3055</v>
      </c>
      <c r="H3163" s="134">
        <f t="shared" si="148"/>
        <v>0</v>
      </c>
      <c r="I3163" s="134">
        <f t="shared" si="148"/>
        <v>3055</v>
      </c>
      <c r="J3163" s="134">
        <f t="shared" si="147"/>
        <v>-3055</v>
      </c>
      <c r="K3163" s="135"/>
      <c r="L3163" s="148" t="str">
        <f t="shared" ref="L3163:L3226" si="149">IF(J3163&lt;0,"دائن",IF(J3163&gt;0,"مدين",""))</f>
        <v>دائن</v>
      </c>
      <c r="M3163" s="137" t="str">
        <f>IF(ISERROR(VLOOKUP(C3163,'[1]خريطة الحسابات'!_xlnm.Print_Area,4,FALSE))," ",(VLOOKUP(C3163,'[1]خريطة الحسابات'!_xlnm.Print_Area,4,FALSE)))</f>
        <v xml:space="preserve">أصول متداوله -النقدية ومافي حكمها </v>
      </c>
      <c r="N3163" s="138" t="str">
        <f>IF(ISERROR(VLOOKUP(C3163,'[1]خريطة الحسابات'!_xlnm.Print_Area,5,FALSE))," ",(VLOOKUP(C3163,'[1]خريطة الحسابات'!_xlnm.Print_Area,5,FALSE)))</f>
        <v>الاصول</v>
      </c>
      <c r="O3163" s="84" t="s">
        <v>2699</v>
      </c>
      <c r="P3163" s="84" t="s">
        <v>1290</v>
      </c>
    </row>
    <row r="3164" spans="1:16">
      <c r="A3164" s="151">
        <v>96</v>
      </c>
      <c r="B3164" s="131">
        <v>46190</v>
      </c>
      <c r="C3164" s="150">
        <v>20</v>
      </c>
      <c r="D3164" s="140" t="str">
        <f>IF(ISERROR(VLOOKUP(C3164,'[1]خريطة الحسابات'!_xlnm.Print_Area,3,FALSE))," ",(VLOOKUP(C3164,'[1]خريطة الحسابات'!_xlnm.Print_Area,3,FALSE)))</f>
        <v xml:space="preserve">الخزينة </v>
      </c>
      <c r="E3164" s="142"/>
      <c r="F3164" s="133"/>
      <c r="G3164" s="133">
        <v>1730</v>
      </c>
      <c r="H3164" s="134">
        <f t="shared" si="148"/>
        <v>0</v>
      </c>
      <c r="I3164" s="134">
        <f t="shared" si="148"/>
        <v>1730</v>
      </c>
      <c r="J3164" s="134">
        <f t="shared" si="147"/>
        <v>-1730</v>
      </c>
      <c r="K3164" s="135"/>
      <c r="L3164" s="148" t="str">
        <f t="shared" si="149"/>
        <v>دائن</v>
      </c>
      <c r="M3164" s="137" t="str">
        <f>IF(ISERROR(VLOOKUP(C3164,'[1]خريطة الحسابات'!_xlnm.Print_Area,4,FALSE))," ",(VLOOKUP(C3164,'[1]خريطة الحسابات'!_xlnm.Print_Area,4,FALSE)))</f>
        <v xml:space="preserve">أصول متداوله -النقدية ومافي حكمها </v>
      </c>
      <c r="N3164" s="138" t="str">
        <f>IF(ISERROR(VLOOKUP(C3164,'[1]خريطة الحسابات'!_xlnm.Print_Area,5,FALSE))," ",(VLOOKUP(C3164,'[1]خريطة الحسابات'!_xlnm.Print_Area,5,FALSE)))</f>
        <v>الاصول</v>
      </c>
      <c r="O3164" s="84" t="s">
        <v>2700</v>
      </c>
      <c r="P3164" s="84" t="s">
        <v>1315</v>
      </c>
    </row>
    <row r="3165" spans="1:16">
      <c r="A3165" s="151">
        <v>96</v>
      </c>
      <c r="B3165" s="131">
        <v>46190</v>
      </c>
      <c r="C3165" s="150">
        <v>20</v>
      </c>
      <c r="D3165" s="140" t="str">
        <f>IF(ISERROR(VLOOKUP(C3165,'[1]خريطة الحسابات'!_xlnm.Print_Area,3,FALSE))," ",(VLOOKUP(C3165,'[1]خريطة الحسابات'!_xlnm.Print_Area,3,FALSE)))</f>
        <v xml:space="preserve">الخزينة </v>
      </c>
      <c r="E3165" s="142"/>
      <c r="F3165" s="133"/>
      <c r="G3165" s="133">
        <v>300</v>
      </c>
      <c r="H3165" s="134">
        <f t="shared" si="148"/>
        <v>0</v>
      </c>
      <c r="I3165" s="134">
        <f t="shared" si="148"/>
        <v>300</v>
      </c>
      <c r="J3165" s="134">
        <f t="shared" si="147"/>
        <v>-300</v>
      </c>
      <c r="K3165" s="135"/>
      <c r="L3165" s="148" t="str">
        <f t="shared" si="149"/>
        <v>دائن</v>
      </c>
      <c r="M3165" s="137" t="str">
        <f>IF(ISERROR(VLOOKUP(C3165,'[1]خريطة الحسابات'!_xlnm.Print_Area,4,FALSE))," ",(VLOOKUP(C3165,'[1]خريطة الحسابات'!_xlnm.Print_Area,4,FALSE)))</f>
        <v xml:space="preserve">أصول متداوله -النقدية ومافي حكمها </v>
      </c>
      <c r="N3165" s="138" t="str">
        <f>IF(ISERROR(VLOOKUP(C3165,'[1]خريطة الحسابات'!_xlnm.Print_Area,5,FALSE))," ",(VLOOKUP(C3165,'[1]خريطة الحسابات'!_xlnm.Print_Area,5,FALSE)))</f>
        <v>الاصول</v>
      </c>
      <c r="O3165" s="84" t="s">
        <v>2701</v>
      </c>
      <c r="P3165" s="84" t="s">
        <v>1315</v>
      </c>
    </row>
    <row r="3166" spans="1:16">
      <c r="A3166" s="151">
        <v>96</v>
      </c>
      <c r="B3166" s="131">
        <v>46190</v>
      </c>
      <c r="C3166" s="150">
        <v>20</v>
      </c>
      <c r="D3166" s="140" t="str">
        <f>IF(ISERROR(VLOOKUP(C3166,'[1]خريطة الحسابات'!_xlnm.Print_Area,3,FALSE))," ",(VLOOKUP(C3166,'[1]خريطة الحسابات'!_xlnm.Print_Area,3,FALSE)))</f>
        <v xml:space="preserve">الخزينة </v>
      </c>
      <c r="E3166" s="142"/>
      <c r="F3166" s="133"/>
      <c r="G3166" s="133">
        <v>4540</v>
      </c>
      <c r="H3166" s="134">
        <f t="shared" si="148"/>
        <v>0</v>
      </c>
      <c r="I3166" s="134">
        <f t="shared" si="148"/>
        <v>4540</v>
      </c>
      <c r="J3166" s="134">
        <f t="shared" si="147"/>
        <v>-4540</v>
      </c>
      <c r="K3166" s="135"/>
      <c r="L3166" s="148" t="str">
        <f t="shared" si="149"/>
        <v>دائن</v>
      </c>
      <c r="M3166" s="137" t="str">
        <f>IF(ISERROR(VLOOKUP(C3166,'[1]خريطة الحسابات'!_xlnm.Print_Area,4,FALSE))," ",(VLOOKUP(C3166,'[1]خريطة الحسابات'!_xlnm.Print_Area,4,FALSE)))</f>
        <v xml:space="preserve">أصول متداوله -النقدية ومافي حكمها </v>
      </c>
      <c r="N3166" s="138" t="str">
        <f>IF(ISERROR(VLOOKUP(C3166,'[1]خريطة الحسابات'!_xlnm.Print_Area,5,FALSE))," ",(VLOOKUP(C3166,'[1]خريطة الحسابات'!_xlnm.Print_Area,5,FALSE)))</f>
        <v>الاصول</v>
      </c>
      <c r="O3166" s="84" t="s">
        <v>2702</v>
      </c>
      <c r="P3166" s="84" t="s">
        <v>1315</v>
      </c>
    </row>
    <row r="3167" spans="1:16">
      <c r="A3167" s="151">
        <v>96</v>
      </c>
      <c r="B3167" s="131">
        <v>46190</v>
      </c>
      <c r="C3167" s="150">
        <v>20</v>
      </c>
      <c r="D3167" s="140" t="str">
        <f>IF(ISERROR(VLOOKUP(C3167,'[1]خريطة الحسابات'!_xlnm.Print_Area,3,FALSE))," ",(VLOOKUP(C3167,'[1]خريطة الحسابات'!_xlnm.Print_Area,3,FALSE)))</f>
        <v xml:space="preserve">الخزينة </v>
      </c>
      <c r="E3167" s="142"/>
      <c r="F3167" s="133"/>
      <c r="G3167" s="133">
        <v>740</v>
      </c>
      <c r="H3167" s="134">
        <f t="shared" si="148"/>
        <v>0</v>
      </c>
      <c r="I3167" s="134">
        <f t="shared" si="148"/>
        <v>740</v>
      </c>
      <c r="J3167" s="134">
        <f t="shared" si="147"/>
        <v>-740</v>
      </c>
      <c r="K3167" s="135"/>
      <c r="L3167" s="148" t="str">
        <f t="shared" si="149"/>
        <v>دائن</v>
      </c>
      <c r="M3167" s="137" t="str">
        <f>IF(ISERROR(VLOOKUP(C3167,'[1]خريطة الحسابات'!_xlnm.Print_Area,4,FALSE))," ",(VLOOKUP(C3167,'[1]خريطة الحسابات'!_xlnm.Print_Area,4,FALSE)))</f>
        <v xml:space="preserve">أصول متداوله -النقدية ومافي حكمها </v>
      </c>
      <c r="N3167" s="138" t="str">
        <f>IF(ISERROR(VLOOKUP(C3167,'[1]خريطة الحسابات'!_xlnm.Print_Area,5,FALSE))," ",(VLOOKUP(C3167,'[1]خريطة الحسابات'!_xlnm.Print_Area,5,FALSE)))</f>
        <v>الاصول</v>
      </c>
      <c r="O3167" s="84" t="s">
        <v>2703</v>
      </c>
      <c r="P3167" s="84" t="s">
        <v>1315</v>
      </c>
    </row>
    <row r="3168" spans="1:16">
      <c r="A3168" s="151">
        <v>96</v>
      </c>
      <c r="B3168" s="131">
        <v>46190</v>
      </c>
      <c r="C3168" s="150">
        <v>20</v>
      </c>
      <c r="D3168" s="140" t="str">
        <f>IF(ISERROR(VLOOKUP(C3168,'[1]خريطة الحسابات'!_xlnm.Print_Area,3,FALSE))," ",(VLOOKUP(C3168,'[1]خريطة الحسابات'!_xlnm.Print_Area,3,FALSE)))</f>
        <v xml:space="preserve">الخزينة </v>
      </c>
      <c r="E3168" s="142"/>
      <c r="F3168" s="133"/>
      <c r="G3168" s="133">
        <v>10010</v>
      </c>
      <c r="H3168" s="134">
        <f t="shared" si="148"/>
        <v>0</v>
      </c>
      <c r="I3168" s="134">
        <f t="shared" si="148"/>
        <v>10010</v>
      </c>
      <c r="J3168" s="134">
        <f t="shared" si="147"/>
        <v>-10010</v>
      </c>
      <c r="K3168" s="135"/>
      <c r="L3168" s="148" t="str">
        <f t="shared" si="149"/>
        <v>دائن</v>
      </c>
      <c r="M3168" s="137" t="str">
        <f>IF(ISERROR(VLOOKUP(C3168,'[1]خريطة الحسابات'!_xlnm.Print_Area,4,FALSE))," ",(VLOOKUP(C3168,'[1]خريطة الحسابات'!_xlnm.Print_Area,4,FALSE)))</f>
        <v xml:space="preserve">أصول متداوله -النقدية ومافي حكمها </v>
      </c>
      <c r="N3168" s="138" t="str">
        <f>IF(ISERROR(VLOOKUP(C3168,'[1]خريطة الحسابات'!_xlnm.Print_Area,5,FALSE))," ",(VLOOKUP(C3168,'[1]خريطة الحسابات'!_xlnm.Print_Area,5,FALSE)))</f>
        <v>الاصول</v>
      </c>
      <c r="O3168" s="84" t="s">
        <v>2704</v>
      </c>
      <c r="P3168" s="84" t="s">
        <v>1315</v>
      </c>
    </row>
    <row r="3169" spans="1:16">
      <c r="A3169" s="151">
        <v>96</v>
      </c>
      <c r="B3169" s="131">
        <v>46193</v>
      </c>
      <c r="C3169" s="150">
        <v>20</v>
      </c>
      <c r="D3169" s="140" t="str">
        <f>IF(ISERROR(VLOOKUP(C3169,'[1]خريطة الحسابات'!_xlnm.Print_Area,3,FALSE))," ",(VLOOKUP(C3169,'[1]خريطة الحسابات'!_xlnm.Print_Area,3,FALSE)))</f>
        <v xml:space="preserve">الخزينة </v>
      </c>
      <c r="E3169" s="142"/>
      <c r="F3169" s="133"/>
      <c r="G3169" s="133">
        <v>9000</v>
      </c>
      <c r="H3169" s="134">
        <f t="shared" si="148"/>
        <v>0</v>
      </c>
      <c r="I3169" s="134">
        <f t="shared" si="148"/>
        <v>9000</v>
      </c>
      <c r="J3169" s="134">
        <f t="shared" si="147"/>
        <v>-9000</v>
      </c>
      <c r="K3169" s="135"/>
      <c r="L3169" s="148" t="str">
        <f t="shared" si="149"/>
        <v>دائن</v>
      </c>
      <c r="M3169" s="137" t="str">
        <f>IF(ISERROR(VLOOKUP(C3169,'[1]خريطة الحسابات'!_xlnm.Print_Area,4,FALSE))," ",(VLOOKUP(C3169,'[1]خريطة الحسابات'!_xlnm.Print_Area,4,FALSE)))</f>
        <v xml:space="preserve">أصول متداوله -النقدية ومافي حكمها </v>
      </c>
      <c r="N3169" s="138" t="str">
        <f>IF(ISERROR(VLOOKUP(C3169,'[1]خريطة الحسابات'!_xlnm.Print_Area,5,FALSE))," ",(VLOOKUP(C3169,'[1]خريطة الحسابات'!_xlnm.Print_Area,5,FALSE)))</f>
        <v>الاصول</v>
      </c>
      <c r="O3169" s="84" t="s">
        <v>2705</v>
      </c>
      <c r="P3169" s="84" t="s">
        <v>1315</v>
      </c>
    </row>
    <row r="3170" spans="1:16">
      <c r="A3170" s="151">
        <v>96</v>
      </c>
      <c r="B3170" s="131">
        <v>46190</v>
      </c>
      <c r="C3170" s="150">
        <v>20</v>
      </c>
      <c r="D3170" s="140" t="str">
        <f>IF(ISERROR(VLOOKUP(C3170,'[1]خريطة الحسابات'!_xlnm.Print_Area,3,FALSE))," ",(VLOOKUP(C3170,'[1]خريطة الحسابات'!_xlnm.Print_Area,3,FALSE)))</f>
        <v xml:space="preserve">الخزينة </v>
      </c>
      <c r="E3170" s="142"/>
      <c r="F3170" s="133"/>
      <c r="G3170" s="133">
        <v>380</v>
      </c>
      <c r="H3170" s="134">
        <f t="shared" si="148"/>
        <v>0</v>
      </c>
      <c r="I3170" s="134">
        <f t="shared" si="148"/>
        <v>380</v>
      </c>
      <c r="J3170" s="134">
        <f t="shared" si="147"/>
        <v>-380</v>
      </c>
      <c r="K3170" s="135"/>
      <c r="L3170" s="148" t="str">
        <f t="shared" si="149"/>
        <v>دائن</v>
      </c>
      <c r="M3170" s="137" t="str">
        <f>IF(ISERROR(VLOOKUP(C3170,'[1]خريطة الحسابات'!_xlnm.Print_Area,4,FALSE))," ",(VLOOKUP(C3170,'[1]خريطة الحسابات'!_xlnm.Print_Area,4,FALSE)))</f>
        <v xml:space="preserve">أصول متداوله -النقدية ومافي حكمها </v>
      </c>
      <c r="N3170" s="138" t="str">
        <f>IF(ISERROR(VLOOKUP(C3170,'[1]خريطة الحسابات'!_xlnm.Print_Area,5,FALSE))," ",(VLOOKUP(C3170,'[1]خريطة الحسابات'!_xlnm.Print_Area,5,FALSE)))</f>
        <v>الاصول</v>
      </c>
      <c r="O3170" s="84" t="s">
        <v>2706</v>
      </c>
      <c r="P3170" s="84" t="s">
        <v>1489</v>
      </c>
    </row>
    <row r="3171" spans="1:16">
      <c r="A3171" s="151">
        <v>96</v>
      </c>
      <c r="B3171" s="131">
        <v>46190</v>
      </c>
      <c r="C3171" s="150">
        <v>20</v>
      </c>
      <c r="D3171" s="140" t="str">
        <f>IF(ISERROR(VLOOKUP(C3171,'[1]خريطة الحسابات'!_xlnm.Print_Area,3,FALSE))," ",(VLOOKUP(C3171,'[1]خريطة الحسابات'!_xlnm.Print_Area,3,FALSE)))</f>
        <v xml:space="preserve">الخزينة </v>
      </c>
      <c r="E3171" s="142"/>
      <c r="F3171" s="133"/>
      <c r="G3171" s="133">
        <v>750</v>
      </c>
      <c r="H3171" s="134">
        <f t="shared" si="148"/>
        <v>0</v>
      </c>
      <c r="I3171" s="134">
        <f t="shared" si="148"/>
        <v>750</v>
      </c>
      <c r="J3171" s="134">
        <f t="shared" si="147"/>
        <v>-750</v>
      </c>
      <c r="K3171" s="135"/>
      <c r="L3171" s="148" t="str">
        <f t="shared" si="149"/>
        <v>دائن</v>
      </c>
      <c r="M3171" s="137" t="str">
        <f>IF(ISERROR(VLOOKUP(C3171,'[1]خريطة الحسابات'!_xlnm.Print_Area,4,FALSE))," ",(VLOOKUP(C3171,'[1]خريطة الحسابات'!_xlnm.Print_Area,4,FALSE)))</f>
        <v xml:space="preserve">أصول متداوله -النقدية ومافي حكمها </v>
      </c>
      <c r="N3171" s="138" t="str">
        <f>IF(ISERROR(VLOOKUP(C3171,'[1]خريطة الحسابات'!_xlnm.Print_Area,5,FALSE))," ",(VLOOKUP(C3171,'[1]خريطة الحسابات'!_xlnm.Print_Area,5,FALSE)))</f>
        <v>الاصول</v>
      </c>
      <c r="O3171" s="84" t="s">
        <v>2707</v>
      </c>
      <c r="P3171" s="84" t="s">
        <v>1489</v>
      </c>
    </row>
    <row r="3172" spans="1:16">
      <c r="A3172" s="151">
        <v>96</v>
      </c>
      <c r="B3172" s="131">
        <v>46189</v>
      </c>
      <c r="C3172" s="150">
        <v>20</v>
      </c>
      <c r="D3172" s="140" t="str">
        <f>IF(ISERROR(VLOOKUP(C3172,'[1]خريطة الحسابات'!_xlnm.Print_Area,3,FALSE))," ",(VLOOKUP(C3172,'[1]خريطة الحسابات'!_xlnm.Print_Area,3,FALSE)))</f>
        <v xml:space="preserve">الخزينة </v>
      </c>
      <c r="E3172" s="142"/>
      <c r="F3172" s="133"/>
      <c r="G3172" s="133">
        <v>39285</v>
      </c>
      <c r="H3172" s="134">
        <f t="shared" si="148"/>
        <v>0</v>
      </c>
      <c r="I3172" s="134">
        <f t="shared" si="148"/>
        <v>39285</v>
      </c>
      <c r="J3172" s="134">
        <f t="shared" si="147"/>
        <v>-39285</v>
      </c>
      <c r="K3172" s="135"/>
      <c r="L3172" s="148" t="str">
        <f t="shared" si="149"/>
        <v>دائن</v>
      </c>
      <c r="M3172" s="137" t="str">
        <f>IF(ISERROR(VLOOKUP(C3172,'[1]خريطة الحسابات'!_xlnm.Print_Area,4,FALSE))," ",(VLOOKUP(C3172,'[1]خريطة الحسابات'!_xlnm.Print_Area,4,FALSE)))</f>
        <v xml:space="preserve">أصول متداوله -النقدية ومافي حكمها </v>
      </c>
      <c r="N3172" s="138" t="str">
        <f>IF(ISERROR(VLOOKUP(C3172,'[1]خريطة الحسابات'!_xlnm.Print_Area,5,FALSE))," ",(VLOOKUP(C3172,'[1]خريطة الحسابات'!_xlnm.Print_Area,5,FALSE)))</f>
        <v>الاصول</v>
      </c>
      <c r="O3172" s="84" t="s">
        <v>2708</v>
      </c>
      <c r="P3172" s="84" t="s">
        <v>1077</v>
      </c>
    </row>
    <row r="3173" spans="1:16">
      <c r="A3173" s="151">
        <v>96</v>
      </c>
      <c r="B3173" s="131">
        <v>46188</v>
      </c>
      <c r="C3173" s="150">
        <v>20</v>
      </c>
      <c r="D3173" s="140" t="str">
        <f>IF(ISERROR(VLOOKUP(C3173,'[1]خريطة الحسابات'!_xlnm.Print_Area,3,FALSE))," ",(VLOOKUP(C3173,'[1]خريطة الحسابات'!_xlnm.Print_Area,3,FALSE)))</f>
        <v xml:space="preserve">الخزينة </v>
      </c>
      <c r="E3173" s="142"/>
      <c r="F3173" s="133"/>
      <c r="G3173" s="133">
        <v>17715</v>
      </c>
      <c r="H3173" s="134">
        <f t="shared" si="148"/>
        <v>0</v>
      </c>
      <c r="I3173" s="134">
        <f t="shared" si="148"/>
        <v>17715</v>
      </c>
      <c r="J3173" s="134">
        <f t="shared" si="147"/>
        <v>-17715</v>
      </c>
      <c r="K3173" s="135"/>
      <c r="L3173" s="148" t="str">
        <f t="shared" si="149"/>
        <v>دائن</v>
      </c>
      <c r="M3173" s="137" t="str">
        <f>IF(ISERROR(VLOOKUP(C3173,'[1]خريطة الحسابات'!_xlnm.Print_Area,4,FALSE))," ",(VLOOKUP(C3173,'[1]خريطة الحسابات'!_xlnm.Print_Area,4,FALSE)))</f>
        <v xml:space="preserve">أصول متداوله -النقدية ومافي حكمها </v>
      </c>
      <c r="N3173" s="138" t="str">
        <f>IF(ISERROR(VLOOKUP(C3173,'[1]خريطة الحسابات'!_xlnm.Print_Area,5,FALSE))," ",(VLOOKUP(C3173,'[1]خريطة الحسابات'!_xlnm.Print_Area,5,FALSE)))</f>
        <v>الاصول</v>
      </c>
      <c r="O3173" s="84" t="s">
        <v>2551</v>
      </c>
      <c r="P3173" s="84" t="s">
        <v>2550</v>
      </c>
    </row>
    <row r="3174" spans="1:16">
      <c r="A3174" s="151">
        <v>96</v>
      </c>
      <c r="B3174" s="131">
        <v>46189</v>
      </c>
      <c r="C3174" s="150">
        <v>20</v>
      </c>
      <c r="D3174" s="140" t="str">
        <f>IF(ISERROR(VLOOKUP(C3174,'[1]خريطة الحسابات'!_xlnm.Print_Area,3,FALSE))," ",(VLOOKUP(C3174,'[1]خريطة الحسابات'!_xlnm.Print_Area,3,FALSE)))</f>
        <v xml:space="preserve">الخزينة </v>
      </c>
      <c r="E3174" s="142"/>
      <c r="F3174" s="133"/>
      <c r="G3174" s="133">
        <v>15000</v>
      </c>
      <c r="H3174" s="134">
        <f t="shared" si="148"/>
        <v>0</v>
      </c>
      <c r="I3174" s="134">
        <f t="shared" si="148"/>
        <v>15000</v>
      </c>
      <c r="J3174" s="134">
        <f t="shared" si="147"/>
        <v>-15000</v>
      </c>
      <c r="K3174" s="135"/>
      <c r="L3174" s="148" t="str">
        <f t="shared" si="149"/>
        <v>دائن</v>
      </c>
      <c r="M3174" s="137" t="str">
        <f>IF(ISERROR(VLOOKUP(C3174,'[1]خريطة الحسابات'!_xlnm.Print_Area,4,FALSE))," ",(VLOOKUP(C3174,'[1]خريطة الحسابات'!_xlnm.Print_Area,4,FALSE)))</f>
        <v xml:space="preserve">أصول متداوله -النقدية ومافي حكمها </v>
      </c>
      <c r="N3174" s="138" t="str">
        <f>IF(ISERROR(VLOOKUP(C3174,'[1]خريطة الحسابات'!_xlnm.Print_Area,5,FALSE))," ",(VLOOKUP(C3174,'[1]خريطة الحسابات'!_xlnm.Print_Area,5,FALSE)))</f>
        <v>الاصول</v>
      </c>
      <c r="O3174" s="84" t="s">
        <v>2709</v>
      </c>
      <c r="P3174" s="84" t="s">
        <v>2550</v>
      </c>
    </row>
    <row r="3175" spans="1:16">
      <c r="A3175" s="151">
        <v>96</v>
      </c>
      <c r="B3175" s="131">
        <v>46188</v>
      </c>
      <c r="C3175" s="150">
        <v>20</v>
      </c>
      <c r="D3175" s="140" t="str">
        <f>IF(ISERROR(VLOOKUP(C3175,'[1]خريطة الحسابات'!_xlnm.Print_Area,3,FALSE))," ",(VLOOKUP(C3175,'[1]خريطة الحسابات'!_xlnm.Print_Area,3,FALSE)))</f>
        <v xml:space="preserve">الخزينة </v>
      </c>
      <c r="E3175" s="142"/>
      <c r="F3175" s="133"/>
      <c r="G3175" s="133">
        <v>225</v>
      </c>
      <c r="H3175" s="134">
        <f t="shared" si="148"/>
        <v>0</v>
      </c>
      <c r="I3175" s="134">
        <f t="shared" si="148"/>
        <v>225</v>
      </c>
      <c r="J3175" s="134">
        <f t="shared" si="147"/>
        <v>-225</v>
      </c>
      <c r="K3175" s="135"/>
      <c r="L3175" s="148" t="str">
        <f t="shared" si="149"/>
        <v>دائن</v>
      </c>
      <c r="M3175" s="137" t="str">
        <f>IF(ISERROR(VLOOKUP(C3175,'[1]خريطة الحسابات'!_xlnm.Print_Area,4,FALSE))," ",(VLOOKUP(C3175,'[1]خريطة الحسابات'!_xlnm.Print_Area,4,FALSE)))</f>
        <v xml:space="preserve">أصول متداوله -النقدية ومافي حكمها </v>
      </c>
      <c r="N3175" s="138" t="str">
        <f>IF(ISERROR(VLOOKUP(C3175,'[1]خريطة الحسابات'!_xlnm.Print_Area,5,FALSE))," ",(VLOOKUP(C3175,'[1]خريطة الحسابات'!_xlnm.Print_Area,5,FALSE)))</f>
        <v>الاصول</v>
      </c>
      <c r="O3175" s="84" t="s">
        <v>2710</v>
      </c>
      <c r="P3175" s="84" t="s">
        <v>1664</v>
      </c>
    </row>
    <row r="3176" spans="1:16">
      <c r="A3176" s="151">
        <v>96</v>
      </c>
      <c r="B3176" s="131">
        <v>46193</v>
      </c>
      <c r="C3176" s="150">
        <v>20</v>
      </c>
      <c r="D3176" s="140" t="str">
        <f>IF(ISERROR(VLOOKUP(C3176,'[1]خريطة الحسابات'!_xlnm.Print_Area,3,FALSE))," ",(VLOOKUP(C3176,'[1]خريطة الحسابات'!_xlnm.Print_Area,3,FALSE)))</f>
        <v xml:space="preserve">الخزينة </v>
      </c>
      <c r="E3176" s="142"/>
      <c r="F3176" s="133"/>
      <c r="G3176" s="133">
        <v>925</v>
      </c>
      <c r="H3176" s="134">
        <f t="shared" si="148"/>
        <v>0</v>
      </c>
      <c r="I3176" s="134">
        <f t="shared" si="148"/>
        <v>925</v>
      </c>
      <c r="J3176" s="134">
        <f t="shared" si="147"/>
        <v>-925</v>
      </c>
      <c r="K3176" s="135"/>
      <c r="L3176" s="148" t="str">
        <f t="shared" si="149"/>
        <v>دائن</v>
      </c>
      <c r="M3176" s="137" t="str">
        <f>IF(ISERROR(VLOOKUP(C3176,'[1]خريطة الحسابات'!_xlnm.Print_Area,4,FALSE))," ",(VLOOKUP(C3176,'[1]خريطة الحسابات'!_xlnm.Print_Area,4,FALSE)))</f>
        <v xml:space="preserve">أصول متداوله -النقدية ومافي حكمها </v>
      </c>
      <c r="N3176" s="138" t="str">
        <f>IF(ISERROR(VLOOKUP(C3176,'[1]خريطة الحسابات'!_xlnm.Print_Area,5,FALSE))," ",(VLOOKUP(C3176,'[1]خريطة الحسابات'!_xlnm.Print_Area,5,FALSE)))</f>
        <v>الاصول</v>
      </c>
      <c r="O3176" s="84" t="s">
        <v>2711</v>
      </c>
      <c r="P3176" s="84" t="s">
        <v>1664</v>
      </c>
    </row>
    <row r="3177" spans="1:16">
      <c r="A3177" s="151">
        <v>96</v>
      </c>
      <c r="B3177" s="131">
        <v>46193</v>
      </c>
      <c r="C3177" s="150">
        <v>20</v>
      </c>
      <c r="D3177" s="140" t="str">
        <f>IF(ISERROR(VLOOKUP(C3177,'[1]خريطة الحسابات'!_xlnm.Print_Area,3,FALSE))," ",(VLOOKUP(C3177,'[1]خريطة الحسابات'!_xlnm.Print_Area,3,FALSE)))</f>
        <v xml:space="preserve">الخزينة </v>
      </c>
      <c r="E3177" s="142"/>
      <c r="F3177" s="133"/>
      <c r="G3177" s="133">
        <v>2405</v>
      </c>
      <c r="H3177" s="134">
        <f t="shared" si="148"/>
        <v>0</v>
      </c>
      <c r="I3177" s="134">
        <f t="shared" si="148"/>
        <v>2405</v>
      </c>
      <c r="J3177" s="134">
        <f t="shared" si="147"/>
        <v>-2405</v>
      </c>
      <c r="K3177" s="135"/>
      <c r="L3177" s="148" t="str">
        <f t="shared" si="149"/>
        <v>دائن</v>
      </c>
      <c r="M3177" s="137" t="str">
        <f>IF(ISERROR(VLOOKUP(C3177,'[1]خريطة الحسابات'!_xlnm.Print_Area,4,FALSE))," ",(VLOOKUP(C3177,'[1]خريطة الحسابات'!_xlnm.Print_Area,4,FALSE)))</f>
        <v xml:space="preserve">أصول متداوله -النقدية ومافي حكمها </v>
      </c>
      <c r="N3177" s="138" t="str">
        <f>IF(ISERROR(VLOOKUP(C3177,'[1]خريطة الحسابات'!_xlnm.Print_Area,5,FALSE))," ",(VLOOKUP(C3177,'[1]خريطة الحسابات'!_xlnm.Print_Area,5,FALSE)))</f>
        <v>الاصول</v>
      </c>
      <c r="O3177" s="84" t="s">
        <v>2712</v>
      </c>
      <c r="P3177" s="84" t="s">
        <v>2530</v>
      </c>
    </row>
    <row r="3178" spans="1:16">
      <c r="A3178" s="151">
        <v>96</v>
      </c>
      <c r="B3178" s="131">
        <v>46188</v>
      </c>
      <c r="C3178" s="150">
        <v>20</v>
      </c>
      <c r="D3178" s="140" t="str">
        <f>IF(ISERROR(VLOOKUP(C3178,'[1]خريطة الحسابات'!_xlnm.Print_Area,3,FALSE))," ",(VLOOKUP(C3178,'[1]خريطة الحسابات'!_xlnm.Print_Area,3,FALSE)))</f>
        <v xml:space="preserve">الخزينة </v>
      </c>
      <c r="E3178" s="142"/>
      <c r="F3178" s="133"/>
      <c r="G3178" s="133">
        <v>13000</v>
      </c>
      <c r="H3178" s="134">
        <f t="shared" si="148"/>
        <v>0</v>
      </c>
      <c r="I3178" s="134">
        <f t="shared" si="148"/>
        <v>13000</v>
      </c>
      <c r="J3178" s="134">
        <f t="shared" si="147"/>
        <v>-13000</v>
      </c>
      <c r="K3178" s="135"/>
      <c r="L3178" s="148" t="str">
        <f t="shared" si="149"/>
        <v>دائن</v>
      </c>
      <c r="M3178" s="137" t="str">
        <f>IF(ISERROR(VLOOKUP(C3178,'[1]خريطة الحسابات'!_xlnm.Print_Area,4,FALSE))," ",(VLOOKUP(C3178,'[1]خريطة الحسابات'!_xlnm.Print_Area,4,FALSE)))</f>
        <v xml:space="preserve">أصول متداوله -النقدية ومافي حكمها </v>
      </c>
      <c r="N3178" s="138" t="str">
        <f>IF(ISERROR(VLOOKUP(C3178,'[1]خريطة الحسابات'!_xlnm.Print_Area,5,FALSE))," ",(VLOOKUP(C3178,'[1]خريطة الحسابات'!_xlnm.Print_Area,5,FALSE)))</f>
        <v>الاصول</v>
      </c>
      <c r="O3178" s="84" t="s">
        <v>2713</v>
      </c>
      <c r="P3178" s="84" t="s">
        <v>1383</v>
      </c>
    </row>
    <row r="3179" spans="1:16">
      <c r="A3179" s="151">
        <v>96</v>
      </c>
      <c r="B3179" s="131">
        <v>46190</v>
      </c>
      <c r="C3179" s="150">
        <v>20</v>
      </c>
      <c r="D3179" s="140" t="str">
        <f>IF(ISERROR(VLOOKUP(C3179,'[1]خريطة الحسابات'!_xlnm.Print_Area,3,FALSE))," ",(VLOOKUP(C3179,'[1]خريطة الحسابات'!_xlnm.Print_Area,3,FALSE)))</f>
        <v xml:space="preserve">الخزينة </v>
      </c>
      <c r="E3179" s="142"/>
      <c r="F3179" s="133"/>
      <c r="G3179" s="133">
        <v>1700</v>
      </c>
      <c r="H3179" s="134">
        <f t="shared" si="148"/>
        <v>0</v>
      </c>
      <c r="I3179" s="134">
        <f t="shared" si="148"/>
        <v>1700</v>
      </c>
      <c r="J3179" s="134">
        <f t="shared" si="147"/>
        <v>-1700</v>
      </c>
      <c r="K3179" s="135"/>
      <c r="L3179" s="148" t="str">
        <f t="shared" si="149"/>
        <v>دائن</v>
      </c>
      <c r="M3179" s="137" t="str">
        <f>IF(ISERROR(VLOOKUP(C3179,'[1]خريطة الحسابات'!_xlnm.Print_Area,4,FALSE))," ",(VLOOKUP(C3179,'[1]خريطة الحسابات'!_xlnm.Print_Area,4,FALSE)))</f>
        <v xml:space="preserve">أصول متداوله -النقدية ومافي حكمها </v>
      </c>
      <c r="N3179" s="138" t="str">
        <f>IF(ISERROR(VLOOKUP(C3179,'[1]خريطة الحسابات'!_xlnm.Print_Area,5,FALSE))," ",(VLOOKUP(C3179,'[1]خريطة الحسابات'!_xlnm.Print_Area,5,FALSE)))</f>
        <v>الاصول</v>
      </c>
      <c r="O3179" s="84" t="s">
        <v>2714</v>
      </c>
      <c r="P3179" s="84" t="s">
        <v>1383</v>
      </c>
    </row>
    <row r="3180" spans="1:16">
      <c r="A3180" s="151">
        <v>96</v>
      </c>
      <c r="B3180" s="131">
        <v>46194</v>
      </c>
      <c r="C3180" s="150">
        <v>20</v>
      </c>
      <c r="D3180" s="140" t="str">
        <f>IF(ISERROR(VLOOKUP(C3180,'[1]خريطة الحسابات'!_xlnm.Print_Area,3,FALSE))," ",(VLOOKUP(C3180,'[1]خريطة الحسابات'!_xlnm.Print_Area,3,FALSE)))</f>
        <v xml:space="preserve">الخزينة </v>
      </c>
      <c r="E3180" s="142"/>
      <c r="F3180" s="133"/>
      <c r="G3180" s="133">
        <v>430</v>
      </c>
      <c r="H3180" s="134">
        <f t="shared" si="148"/>
        <v>0</v>
      </c>
      <c r="I3180" s="134">
        <f t="shared" si="148"/>
        <v>430</v>
      </c>
      <c r="J3180" s="134">
        <f t="shared" si="147"/>
        <v>-430</v>
      </c>
      <c r="K3180" s="135"/>
      <c r="L3180" s="148" t="str">
        <f t="shared" si="149"/>
        <v>دائن</v>
      </c>
      <c r="M3180" s="137" t="str">
        <f>IF(ISERROR(VLOOKUP(C3180,'[1]خريطة الحسابات'!_xlnm.Print_Area,4,FALSE))," ",(VLOOKUP(C3180,'[1]خريطة الحسابات'!_xlnm.Print_Area,4,FALSE)))</f>
        <v xml:space="preserve">أصول متداوله -النقدية ومافي حكمها </v>
      </c>
      <c r="N3180" s="138" t="str">
        <f>IF(ISERROR(VLOOKUP(C3180,'[1]خريطة الحسابات'!_xlnm.Print_Area,5,FALSE))," ",(VLOOKUP(C3180,'[1]خريطة الحسابات'!_xlnm.Print_Area,5,FALSE)))</f>
        <v>الاصول</v>
      </c>
      <c r="O3180" s="84" t="s">
        <v>2715</v>
      </c>
      <c r="P3180" s="84" t="s">
        <v>1383</v>
      </c>
    </row>
    <row r="3181" spans="1:16">
      <c r="A3181" s="151">
        <v>96</v>
      </c>
      <c r="B3181" s="131">
        <v>46189</v>
      </c>
      <c r="C3181" s="150">
        <v>20</v>
      </c>
      <c r="D3181" s="140" t="str">
        <f>IF(ISERROR(VLOOKUP(C3181,'[1]خريطة الحسابات'!_xlnm.Print_Area,3,FALSE))," ",(VLOOKUP(C3181,'[1]خريطة الحسابات'!_xlnm.Print_Area,3,FALSE)))</f>
        <v xml:space="preserve">الخزينة </v>
      </c>
      <c r="E3181" s="142"/>
      <c r="F3181" s="133"/>
      <c r="G3181" s="133">
        <v>15015</v>
      </c>
      <c r="H3181" s="134">
        <f t="shared" si="148"/>
        <v>0</v>
      </c>
      <c r="I3181" s="134">
        <f t="shared" si="148"/>
        <v>15015</v>
      </c>
      <c r="J3181" s="134">
        <f t="shared" si="147"/>
        <v>-15015</v>
      </c>
      <c r="K3181" s="135"/>
      <c r="L3181" s="148" t="str">
        <f t="shared" si="149"/>
        <v>دائن</v>
      </c>
      <c r="M3181" s="137" t="str">
        <f>IF(ISERROR(VLOOKUP(C3181,'[1]خريطة الحسابات'!_xlnm.Print_Area,4,FALSE))," ",(VLOOKUP(C3181,'[1]خريطة الحسابات'!_xlnm.Print_Area,4,FALSE)))</f>
        <v xml:space="preserve">أصول متداوله -النقدية ومافي حكمها </v>
      </c>
      <c r="N3181" s="138" t="str">
        <f>IF(ISERROR(VLOOKUP(C3181,'[1]خريطة الحسابات'!_xlnm.Print_Area,5,FALSE))," ",(VLOOKUP(C3181,'[1]خريطة الحسابات'!_xlnm.Print_Area,5,FALSE)))</f>
        <v>الاصول</v>
      </c>
      <c r="O3181" s="84" t="s">
        <v>2716</v>
      </c>
      <c r="P3181" s="84" t="s">
        <v>1342</v>
      </c>
    </row>
    <row r="3182" spans="1:16">
      <c r="A3182" s="151">
        <v>96</v>
      </c>
      <c r="B3182" s="131">
        <v>46190</v>
      </c>
      <c r="C3182" s="150">
        <v>20</v>
      </c>
      <c r="D3182" s="140" t="str">
        <f>IF(ISERROR(VLOOKUP(C3182,'[1]خريطة الحسابات'!_xlnm.Print_Area,3,FALSE))," ",(VLOOKUP(C3182,'[1]خريطة الحسابات'!_xlnm.Print_Area,3,FALSE)))</f>
        <v xml:space="preserve">الخزينة </v>
      </c>
      <c r="E3182" s="142"/>
      <c r="F3182" s="133"/>
      <c r="G3182" s="133">
        <v>10000</v>
      </c>
      <c r="H3182" s="134">
        <f t="shared" si="148"/>
        <v>0</v>
      </c>
      <c r="I3182" s="134">
        <f t="shared" si="148"/>
        <v>10000</v>
      </c>
      <c r="J3182" s="134">
        <f t="shared" si="147"/>
        <v>-10000</v>
      </c>
      <c r="K3182" s="135"/>
      <c r="L3182" s="148" t="str">
        <f t="shared" si="149"/>
        <v>دائن</v>
      </c>
      <c r="M3182" s="137" t="str">
        <f>IF(ISERROR(VLOOKUP(C3182,'[1]خريطة الحسابات'!_xlnm.Print_Area,4,FALSE))," ",(VLOOKUP(C3182,'[1]خريطة الحسابات'!_xlnm.Print_Area,4,FALSE)))</f>
        <v xml:space="preserve">أصول متداوله -النقدية ومافي حكمها </v>
      </c>
      <c r="N3182" s="138" t="str">
        <f>IF(ISERROR(VLOOKUP(C3182,'[1]خريطة الحسابات'!_xlnm.Print_Area,5,FALSE))," ",(VLOOKUP(C3182,'[1]خريطة الحسابات'!_xlnm.Print_Area,5,FALSE)))</f>
        <v>الاصول</v>
      </c>
      <c r="O3182" s="84" t="s">
        <v>2717</v>
      </c>
      <c r="P3182" s="84" t="s">
        <v>1342</v>
      </c>
    </row>
    <row r="3183" spans="1:16">
      <c r="A3183" s="151">
        <v>96</v>
      </c>
      <c r="B3183" s="131">
        <v>46190</v>
      </c>
      <c r="C3183" s="150">
        <v>20</v>
      </c>
      <c r="D3183" s="140" t="str">
        <f>IF(ISERROR(VLOOKUP(C3183,'[1]خريطة الحسابات'!_xlnm.Print_Area,3,FALSE))," ",(VLOOKUP(C3183,'[1]خريطة الحسابات'!_xlnm.Print_Area,3,FALSE)))</f>
        <v xml:space="preserve">الخزينة </v>
      </c>
      <c r="E3183" s="142"/>
      <c r="F3183" s="133"/>
      <c r="G3183" s="133">
        <v>10000</v>
      </c>
      <c r="H3183" s="134">
        <f t="shared" si="148"/>
        <v>0</v>
      </c>
      <c r="I3183" s="134">
        <f t="shared" si="148"/>
        <v>10000</v>
      </c>
      <c r="J3183" s="134">
        <f t="shared" si="147"/>
        <v>-10000</v>
      </c>
      <c r="K3183" s="135"/>
      <c r="L3183" s="148" t="str">
        <f t="shared" si="149"/>
        <v>دائن</v>
      </c>
      <c r="M3183" s="137" t="str">
        <f>IF(ISERROR(VLOOKUP(C3183,'[1]خريطة الحسابات'!_xlnm.Print_Area,4,FALSE))," ",(VLOOKUP(C3183,'[1]خريطة الحسابات'!_xlnm.Print_Area,4,FALSE)))</f>
        <v xml:space="preserve">أصول متداوله -النقدية ومافي حكمها </v>
      </c>
      <c r="N3183" s="138" t="str">
        <f>IF(ISERROR(VLOOKUP(C3183,'[1]خريطة الحسابات'!_xlnm.Print_Area,5,FALSE))," ",(VLOOKUP(C3183,'[1]خريطة الحسابات'!_xlnm.Print_Area,5,FALSE)))</f>
        <v>الاصول</v>
      </c>
      <c r="O3183" s="84" t="s">
        <v>2667</v>
      </c>
      <c r="P3183" s="84" t="s">
        <v>1342</v>
      </c>
    </row>
    <row r="3184" spans="1:16">
      <c r="A3184" s="151">
        <v>96</v>
      </c>
      <c r="B3184" s="131">
        <v>46190</v>
      </c>
      <c r="C3184" s="150">
        <v>20</v>
      </c>
      <c r="D3184" s="140" t="str">
        <f>IF(ISERROR(VLOOKUP(C3184,'[1]خريطة الحسابات'!_xlnm.Print_Area,3,FALSE))," ",(VLOOKUP(C3184,'[1]خريطة الحسابات'!_xlnm.Print_Area,3,FALSE)))</f>
        <v xml:space="preserve">الخزينة </v>
      </c>
      <c r="E3184" s="142"/>
      <c r="F3184" s="133"/>
      <c r="G3184" s="133">
        <v>20020</v>
      </c>
      <c r="H3184" s="134">
        <f t="shared" si="148"/>
        <v>0</v>
      </c>
      <c r="I3184" s="134">
        <f t="shared" si="148"/>
        <v>20020</v>
      </c>
      <c r="J3184" s="134">
        <f t="shared" si="147"/>
        <v>-20020</v>
      </c>
      <c r="K3184" s="135"/>
      <c r="L3184" s="148" t="str">
        <f t="shared" si="149"/>
        <v>دائن</v>
      </c>
      <c r="M3184" s="137" t="str">
        <f>IF(ISERROR(VLOOKUP(C3184,'[1]خريطة الحسابات'!_xlnm.Print_Area,4,FALSE))," ",(VLOOKUP(C3184,'[1]خريطة الحسابات'!_xlnm.Print_Area,4,FALSE)))</f>
        <v xml:space="preserve">أصول متداوله -النقدية ومافي حكمها </v>
      </c>
      <c r="N3184" s="138" t="str">
        <f>IF(ISERROR(VLOOKUP(C3184,'[1]خريطة الحسابات'!_xlnm.Print_Area,5,FALSE))," ",(VLOOKUP(C3184,'[1]خريطة الحسابات'!_xlnm.Print_Area,5,FALSE)))</f>
        <v>الاصول</v>
      </c>
      <c r="O3184" s="84" t="s">
        <v>2718</v>
      </c>
      <c r="P3184" s="84" t="s">
        <v>1317</v>
      </c>
    </row>
    <row r="3185" spans="1:16">
      <c r="A3185" s="151">
        <v>96</v>
      </c>
      <c r="B3185" s="131">
        <v>46190</v>
      </c>
      <c r="C3185" s="150">
        <v>20</v>
      </c>
      <c r="D3185" s="140" t="str">
        <f>IF(ISERROR(VLOOKUP(C3185,'[1]خريطة الحسابات'!_xlnm.Print_Area,3,FALSE))," ",(VLOOKUP(C3185,'[1]خريطة الحسابات'!_xlnm.Print_Area,3,FALSE)))</f>
        <v xml:space="preserve">الخزينة </v>
      </c>
      <c r="E3185" s="142"/>
      <c r="F3185" s="133"/>
      <c r="G3185" s="133">
        <v>1000</v>
      </c>
      <c r="H3185" s="134">
        <f t="shared" si="148"/>
        <v>0</v>
      </c>
      <c r="I3185" s="134">
        <f t="shared" si="148"/>
        <v>1000</v>
      </c>
      <c r="J3185" s="134">
        <f t="shared" si="147"/>
        <v>-1000</v>
      </c>
      <c r="K3185" s="135"/>
      <c r="L3185" s="148" t="str">
        <f t="shared" si="149"/>
        <v>دائن</v>
      </c>
      <c r="M3185" s="137" t="str">
        <f>IF(ISERROR(VLOOKUP(C3185,'[1]خريطة الحسابات'!_xlnm.Print_Area,4,FALSE))," ",(VLOOKUP(C3185,'[1]خريطة الحسابات'!_xlnm.Print_Area,4,FALSE)))</f>
        <v xml:space="preserve">أصول متداوله -النقدية ومافي حكمها </v>
      </c>
      <c r="N3185" s="138" t="str">
        <f>IF(ISERROR(VLOOKUP(C3185,'[1]خريطة الحسابات'!_xlnm.Print_Area,5,FALSE))," ",(VLOOKUP(C3185,'[1]خريطة الحسابات'!_xlnm.Print_Area,5,FALSE)))</f>
        <v>الاصول</v>
      </c>
      <c r="O3185" s="84" t="s">
        <v>2719</v>
      </c>
      <c r="P3185" s="84" t="s">
        <v>1317</v>
      </c>
    </row>
    <row r="3186" spans="1:16">
      <c r="A3186" s="151">
        <v>96</v>
      </c>
      <c r="B3186" s="131">
        <v>46193</v>
      </c>
      <c r="C3186" s="150">
        <v>20</v>
      </c>
      <c r="D3186" s="140" t="str">
        <f>IF(ISERROR(VLOOKUP(C3186,'[1]خريطة الحسابات'!_xlnm.Print_Area,3,FALSE))," ",(VLOOKUP(C3186,'[1]خريطة الحسابات'!_xlnm.Print_Area,3,FALSE)))</f>
        <v xml:space="preserve">الخزينة </v>
      </c>
      <c r="E3186" s="142"/>
      <c r="F3186" s="133"/>
      <c r="G3186" s="133">
        <v>5005</v>
      </c>
      <c r="H3186" s="134">
        <f t="shared" si="148"/>
        <v>0</v>
      </c>
      <c r="I3186" s="134">
        <f t="shared" si="148"/>
        <v>5005</v>
      </c>
      <c r="J3186" s="134">
        <f t="shared" si="147"/>
        <v>-5005</v>
      </c>
      <c r="K3186" s="135"/>
      <c r="L3186" s="148" t="str">
        <f t="shared" si="149"/>
        <v>دائن</v>
      </c>
      <c r="M3186" s="137" t="str">
        <f>IF(ISERROR(VLOOKUP(C3186,'[1]خريطة الحسابات'!_xlnm.Print_Area,4,FALSE))," ",(VLOOKUP(C3186,'[1]خريطة الحسابات'!_xlnm.Print_Area,4,FALSE)))</f>
        <v xml:space="preserve">أصول متداوله -النقدية ومافي حكمها </v>
      </c>
      <c r="N3186" s="138" t="str">
        <f>IF(ISERROR(VLOOKUP(C3186,'[1]خريطة الحسابات'!_xlnm.Print_Area,5,FALSE))," ",(VLOOKUP(C3186,'[1]خريطة الحسابات'!_xlnm.Print_Area,5,FALSE)))</f>
        <v>الاصول</v>
      </c>
      <c r="O3186" s="84" t="s">
        <v>2720</v>
      </c>
      <c r="P3186" s="84" t="s">
        <v>1317</v>
      </c>
    </row>
    <row r="3187" spans="1:16">
      <c r="A3187" s="151">
        <v>96</v>
      </c>
      <c r="B3187" s="131">
        <v>46190</v>
      </c>
      <c r="C3187" s="150">
        <v>20</v>
      </c>
      <c r="D3187" s="140" t="str">
        <f>IF(ISERROR(VLOOKUP(C3187,'[1]خريطة الحسابات'!_xlnm.Print_Area,3,FALSE))," ",(VLOOKUP(C3187,'[1]خريطة الحسابات'!_xlnm.Print_Area,3,FALSE)))</f>
        <v xml:space="preserve">الخزينة </v>
      </c>
      <c r="E3187" s="142"/>
      <c r="F3187" s="133"/>
      <c r="G3187" s="133">
        <v>2500</v>
      </c>
      <c r="H3187" s="134">
        <f t="shared" si="148"/>
        <v>0</v>
      </c>
      <c r="I3187" s="134">
        <f t="shared" si="148"/>
        <v>2500</v>
      </c>
      <c r="J3187" s="134">
        <f t="shared" si="147"/>
        <v>-2500</v>
      </c>
      <c r="K3187" s="135"/>
      <c r="L3187" s="148" t="str">
        <f t="shared" si="149"/>
        <v>دائن</v>
      </c>
      <c r="M3187" s="137" t="str">
        <f>IF(ISERROR(VLOOKUP(C3187,'[1]خريطة الحسابات'!_xlnm.Print_Area,4,FALSE))," ",(VLOOKUP(C3187,'[1]خريطة الحسابات'!_xlnm.Print_Area,4,FALSE)))</f>
        <v xml:space="preserve">أصول متداوله -النقدية ومافي حكمها </v>
      </c>
      <c r="N3187" s="138" t="str">
        <f>IF(ISERROR(VLOOKUP(C3187,'[1]خريطة الحسابات'!_xlnm.Print_Area,5,FALSE))," ",(VLOOKUP(C3187,'[1]خريطة الحسابات'!_xlnm.Print_Area,5,FALSE)))</f>
        <v>الاصول</v>
      </c>
      <c r="O3187" s="84" t="s">
        <v>2721</v>
      </c>
      <c r="P3187" s="84" t="s">
        <v>1395</v>
      </c>
    </row>
    <row r="3188" spans="1:16">
      <c r="A3188" s="151">
        <v>96</v>
      </c>
      <c r="B3188" s="131">
        <v>46190</v>
      </c>
      <c r="C3188" s="150">
        <v>20</v>
      </c>
      <c r="D3188" s="140" t="str">
        <f>IF(ISERROR(VLOOKUP(C3188,'[1]خريطة الحسابات'!_xlnm.Print_Area,3,FALSE))," ",(VLOOKUP(C3188,'[1]خريطة الحسابات'!_xlnm.Print_Area,3,FALSE)))</f>
        <v xml:space="preserve">الخزينة </v>
      </c>
      <c r="E3188" s="142"/>
      <c r="F3188" s="133"/>
      <c r="G3188" s="133">
        <v>5843</v>
      </c>
      <c r="H3188" s="134">
        <f t="shared" si="148"/>
        <v>0</v>
      </c>
      <c r="I3188" s="134">
        <f t="shared" si="148"/>
        <v>5843</v>
      </c>
      <c r="J3188" s="134">
        <f t="shared" si="147"/>
        <v>-5843</v>
      </c>
      <c r="K3188" s="135"/>
      <c r="L3188" s="148" t="str">
        <f t="shared" si="149"/>
        <v>دائن</v>
      </c>
      <c r="M3188" s="137" t="str">
        <f>IF(ISERROR(VLOOKUP(C3188,'[1]خريطة الحسابات'!_xlnm.Print_Area,4,FALSE))," ",(VLOOKUP(C3188,'[1]خريطة الحسابات'!_xlnm.Print_Area,4,FALSE)))</f>
        <v xml:space="preserve">أصول متداوله -النقدية ومافي حكمها </v>
      </c>
      <c r="N3188" s="138" t="str">
        <f>IF(ISERROR(VLOOKUP(C3188,'[1]خريطة الحسابات'!_xlnm.Print_Area,5,FALSE))," ",(VLOOKUP(C3188,'[1]خريطة الحسابات'!_xlnm.Print_Area,5,FALSE)))</f>
        <v>الاصول</v>
      </c>
      <c r="O3188" s="84" t="s">
        <v>2722</v>
      </c>
      <c r="P3188" s="84" t="s">
        <v>1393</v>
      </c>
    </row>
    <row r="3189" spans="1:16">
      <c r="A3189" s="151">
        <v>96</v>
      </c>
      <c r="B3189" s="131">
        <v>46190</v>
      </c>
      <c r="C3189" s="150">
        <v>20</v>
      </c>
      <c r="D3189" s="140" t="str">
        <f>IF(ISERROR(VLOOKUP(C3189,'[1]خريطة الحسابات'!_xlnm.Print_Area,3,FALSE))," ",(VLOOKUP(C3189,'[1]خريطة الحسابات'!_xlnm.Print_Area,3,FALSE)))</f>
        <v xml:space="preserve">الخزينة </v>
      </c>
      <c r="E3189" s="142"/>
      <c r="F3189" s="133"/>
      <c r="G3189" s="133">
        <v>2950</v>
      </c>
      <c r="H3189" s="134">
        <f t="shared" si="148"/>
        <v>0</v>
      </c>
      <c r="I3189" s="134">
        <f t="shared" si="148"/>
        <v>2950</v>
      </c>
      <c r="J3189" s="134">
        <f t="shared" si="147"/>
        <v>-2950</v>
      </c>
      <c r="K3189" s="135"/>
      <c r="L3189" s="148" t="str">
        <f t="shared" si="149"/>
        <v>دائن</v>
      </c>
      <c r="M3189" s="137" t="str">
        <f>IF(ISERROR(VLOOKUP(C3189,'[1]خريطة الحسابات'!_xlnm.Print_Area,4,FALSE))," ",(VLOOKUP(C3189,'[1]خريطة الحسابات'!_xlnm.Print_Area,4,FALSE)))</f>
        <v xml:space="preserve">أصول متداوله -النقدية ومافي حكمها </v>
      </c>
      <c r="N3189" s="138" t="str">
        <f>IF(ISERROR(VLOOKUP(C3189,'[1]خريطة الحسابات'!_xlnm.Print_Area,5,FALSE))," ",(VLOOKUP(C3189,'[1]خريطة الحسابات'!_xlnm.Print_Area,5,FALSE)))</f>
        <v>الاصول</v>
      </c>
      <c r="O3189" s="84" t="s">
        <v>2723</v>
      </c>
      <c r="P3189" s="84" t="s">
        <v>1393</v>
      </c>
    </row>
    <row r="3190" spans="1:16">
      <c r="A3190" s="151">
        <v>96</v>
      </c>
      <c r="B3190" s="131">
        <v>46190</v>
      </c>
      <c r="C3190" s="150">
        <v>20</v>
      </c>
      <c r="D3190" s="140" t="str">
        <f>IF(ISERROR(VLOOKUP(C3190,'[1]خريطة الحسابات'!_xlnm.Print_Area,3,FALSE))," ",(VLOOKUP(C3190,'[1]خريطة الحسابات'!_xlnm.Print_Area,3,FALSE)))</f>
        <v xml:space="preserve">الخزينة </v>
      </c>
      <c r="E3190" s="142"/>
      <c r="F3190" s="133"/>
      <c r="G3190" s="133">
        <v>4000</v>
      </c>
      <c r="H3190" s="134">
        <f t="shared" si="148"/>
        <v>0</v>
      </c>
      <c r="I3190" s="134">
        <f t="shared" si="148"/>
        <v>4000</v>
      </c>
      <c r="J3190" s="134">
        <f t="shared" si="147"/>
        <v>-4000</v>
      </c>
      <c r="K3190" s="135"/>
      <c r="L3190" s="148" t="str">
        <f t="shared" si="149"/>
        <v>دائن</v>
      </c>
      <c r="M3190" s="137" t="str">
        <f>IF(ISERROR(VLOOKUP(C3190,'[1]خريطة الحسابات'!_xlnm.Print_Area,4,FALSE))," ",(VLOOKUP(C3190,'[1]خريطة الحسابات'!_xlnm.Print_Area,4,FALSE)))</f>
        <v xml:space="preserve">أصول متداوله -النقدية ومافي حكمها </v>
      </c>
      <c r="N3190" s="138" t="str">
        <f>IF(ISERROR(VLOOKUP(C3190,'[1]خريطة الحسابات'!_xlnm.Print_Area,5,FALSE))," ",(VLOOKUP(C3190,'[1]خريطة الحسابات'!_xlnm.Print_Area,5,FALSE)))</f>
        <v>الاصول</v>
      </c>
      <c r="O3190" s="84" t="s">
        <v>2724</v>
      </c>
      <c r="P3190" s="84" t="s">
        <v>1393</v>
      </c>
    </row>
    <row r="3191" spans="1:16">
      <c r="A3191" s="151">
        <v>96</v>
      </c>
      <c r="B3191" s="131">
        <v>46190</v>
      </c>
      <c r="C3191" s="150">
        <v>20</v>
      </c>
      <c r="D3191" s="140" t="str">
        <f>IF(ISERROR(VLOOKUP(C3191,'[1]خريطة الحسابات'!_xlnm.Print_Area,3,FALSE))," ",(VLOOKUP(C3191,'[1]خريطة الحسابات'!_xlnm.Print_Area,3,FALSE)))</f>
        <v xml:space="preserve">الخزينة </v>
      </c>
      <c r="E3191" s="142"/>
      <c r="F3191" s="133"/>
      <c r="G3191" s="133">
        <v>2400</v>
      </c>
      <c r="H3191" s="134">
        <f t="shared" si="148"/>
        <v>0</v>
      </c>
      <c r="I3191" s="134">
        <f t="shared" si="148"/>
        <v>2400</v>
      </c>
      <c r="J3191" s="134">
        <f t="shared" si="147"/>
        <v>-2400</v>
      </c>
      <c r="K3191" s="135"/>
      <c r="L3191" s="148" t="str">
        <f t="shared" si="149"/>
        <v>دائن</v>
      </c>
      <c r="M3191" s="137" t="str">
        <f>IF(ISERROR(VLOOKUP(C3191,'[1]خريطة الحسابات'!_xlnm.Print_Area,4,FALSE))," ",(VLOOKUP(C3191,'[1]خريطة الحسابات'!_xlnm.Print_Area,4,FALSE)))</f>
        <v xml:space="preserve">أصول متداوله -النقدية ومافي حكمها </v>
      </c>
      <c r="N3191" s="138" t="str">
        <f>IF(ISERROR(VLOOKUP(C3191,'[1]خريطة الحسابات'!_xlnm.Print_Area,5,FALSE))," ",(VLOOKUP(C3191,'[1]خريطة الحسابات'!_xlnm.Print_Area,5,FALSE)))</f>
        <v>الاصول</v>
      </c>
      <c r="O3191" s="84" t="s">
        <v>2725</v>
      </c>
      <c r="P3191" s="84" t="s">
        <v>1393</v>
      </c>
    </row>
    <row r="3192" spans="1:16">
      <c r="A3192" s="151">
        <v>96</v>
      </c>
      <c r="B3192" s="131">
        <v>46190</v>
      </c>
      <c r="C3192" s="150">
        <v>20</v>
      </c>
      <c r="D3192" s="140" t="str">
        <f>IF(ISERROR(VLOOKUP(C3192,'[1]خريطة الحسابات'!_xlnm.Print_Area,3,FALSE))," ",(VLOOKUP(C3192,'[1]خريطة الحسابات'!_xlnm.Print_Area,3,FALSE)))</f>
        <v xml:space="preserve">الخزينة </v>
      </c>
      <c r="E3192" s="142"/>
      <c r="F3192" s="133"/>
      <c r="G3192" s="133">
        <v>400</v>
      </c>
      <c r="H3192" s="134">
        <f t="shared" si="148"/>
        <v>0</v>
      </c>
      <c r="I3192" s="134">
        <f t="shared" si="148"/>
        <v>400</v>
      </c>
      <c r="J3192" s="134">
        <f t="shared" si="147"/>
        <v>-400</v>
      </c>
      <c r="K3192" s="135"/>
      <c r="L3192" s="148" t="str">
        <f t="shared" si="149"/>
        <v>دائن</v>
      </c>
      <c r="M3192" s="137" t="str">
        <f>IF(ISERROR(VLOOKUP(C3192,'[1]خريطة الحسابات'!_xlnm.Print_Area,4,FALSE))," ",(VLOOKUP(C3192,'[1]خريطة الحسابات'!_xlnm.Print_Area,4,FALSE)))</f>
        <v xml:space="preserve">أصول متداوله -النقدية ومافي حكمها </v>
      </c>
      <c r="N3192" s="138" t="str">
        <f>IF(ISERROR(VLOOKUP(C3192,'[1]خريطة الحسابات'!_xlnm.Print_Area,5,FALSE))," ",(VLOOKUP(C3192,'[1]خريطة الحسابات'!_xlnm.Print_Area,5,FALSE)))</f>
        <v>الاصول</v>
      </c>
      <c r="O3192" s="84" t="s">
        <v>2726</v>
      </c>
      <c r="P3192" s="84" t="s">
        <v>1393</v>
      </c>
    </row>
    <row r="3193" spans="1:16">
      <c r="A3193" s="151">
        <v>96</v>
      </c>
      <c r="B3193" s="131">
        <v>46193</v>
      </c>
      <c r="C3193" s="150" t="s">
        <v>987</v>
      </c>
      <c r="D3193" s="140" t="str">
        <f>IF(ISERROR(VLOOKUP(C3193,'[1]خريطة الحسابات'!_xlnm.Print_Area,3,FALSE))," ",(VLOOKUP(C3193,'[1]خريطة الحسابات'!_xlnm.Print_Area,3,FALSE)))</f>
        <v>عميل ياسر القرنفل 354</v>
      </c>
      <c r="E3193" s="142"/>
      <c r="F3193" s="133"/>
      <c r="G3193" s="133">
        <v>25000</v>
      </c>
      <c r="H3193" s="134">
        <f t="shared" si="148"/>
        <v>0</v>
      </c>
      <c r="I3193" s="134">
        <f t="shared" si="148"/>
        <v>25000</v>
      </c>
      <c r="J3193" s="134">
        <f t="shared" si="147"/>
        <v>-25000</v>
      </c>
      <c r="K3193" s="135"/>
      <c r="L3193" s="148" t="str">
        <f t="shared" si="149"/>
        <v>دائن</v>
      </c>
      <c r="M3193" s="137" t="str">
        <f>IF(ISERROR(VLOOKUP(C3193,'[1]خريطة الحسابات'!_xlnm.Print_Area,4,FALSE))," ",(VLOOKUP(C3193,'[1]خريطة الحسابات'!_xlnm.Print_Area,4,FALSE)))</f>
        <v>عملاء</v>
      </c>
      <c r="N3193" s="138" t="str">
        <f>IF(ISERROR(VLOOKUP(C3193,'[1]خريطة الحسابات'!_xlnm.Print_Area,5,FALSE))," ",(VLOOKUP(C3193,'[1]خريطة الحسابات'!_xlnm.Print_Area,5,FALSE)))</f>
        <v>المدينون والأرصدة المدينة الأخرى</v>
      </c>
      <c r="O3193" s="84" t="s">
        <v>2627</v>
      </c>
      <c r="P3193" s="84" t="s">
        <v>1393</v>
      </c>
    </row>
    <row r="3194" spans="1:16">
      <c r="A3194" s="151">
        <v>96</v>
      </c>
      <c r="B3194" s="131">
        <v>46194</v>
      </c>
      <c r="C3194" s="150" t="s">
        <v>987</v>
      </c>
      <c r="D3194" s="140" t="str">
        <f>IF(ISERROR(VLOOKUP(C3194,'[1]خريطة الحسابات'!_xlnm.Print_Area,3,FALSE))," ",(VLOOKUP(C3194,'[1]خريطة الحسابات'!_xlnm.Print_Area,3,FALSE)))</f>
        <v>عميل ياسر القرنفل 354</v>
      </c>
      <c r="E3194" s="142"/>
      <c r="F3194" s="133"/>
      <c r="G3194" s="133">
        <v>25000</v>
      </c>
      <c r="H3194" s="134">
        <f t="shared" si="148"/>
        <v>0</v>
      </c>
      <c r="I3194" s="134">
        <f t="shared" si="148"/>
        <v>25000</v>
      </c>
      <c r="J3194" s="134">
        <f t="shared" si="147"/>
        <v>-25000</v>
      </c>
      <c r="K3194" s="135"/>
      <c r="L3194" s="148" t="str">
        <f t="shared" si="149"/>
        <v>دائن</v>
      </c>
      <c r="M3194" s="137" t="str">
        <f>IF(ISERROR(VLOOKUP(C3194,'[1]خريطة الحسابات'!_xlnm.Print_Area,4,FALSE))," ",(VLOOKUP(C3194,'[1]خريطة الحسابات'!_xlnm.Print_Area,4,FALSE)))</f>
        <v>عملاء</v>
      </c>
      <c r="N3194" s="138" t="str">
        <f>IF(ISERROR(VLOOKUP(C3194,'[1]خريطة الحسابات'!_xlnm.Print_Area,5,FALSE))," ",(VLOOKUP(C3194,'[1]خريطة الحسابات'!_xlnm.Print_Area,5,FALSE)))</f>
        <v>المدينون والأرصدة المدينة الأخرى</v>
      </c>
      <c r="O3194" s="84" t="s">
        <v>2627</v>
      </c>
      <c r="P3194" s="84" t="s">
        <v>1393</v>
      </c>
    </row>
    <row r="3195" spans="1:16" ht="15.6">
      <c r="A3195" s="151">
        <v>97</v>
      </c>
      <c r="B3195" s="157">
        <v>46188</v>
      </c>
      <c r="C3195" s="150">
        <v>20</v>
      </c>
      <c r="D3195" s="140" t="str">
        <f>IF(ISERROR(VLOOKUP(C3195,'[1]خريطة الحسابات'!_xlnm.Print_Area,3,FALSE))," ",(VLOOKUP(C3195,'[1]خريطة الحسابات'!_xlnm.Print_Area,3,FALSE)))</f>
        <v xml:space="preserve">الخزينة </v>
      </c>
      <c r="E3195" s="142"/>
      <c r="F3195" s="133">
        <v>5000</v>
      </c>
      <c r="G3195" s="133"/>
      <c r="H3195" s="134">
        <f t="shared" si="148"/>
        <v>5000</v>
      </c>
      <c r="I3195" s="134">
        <f t="shared" si="148"/>
        <v>0</v>
      </c>
      <c r="J3195" s="134">
        <f t="shared" si="147"/>
        <v>5000</v>
      </c>
      <c r="K3195" s="135"/>
      <c r="L3195" s="148" t="str">
        <f t="shared" si="149"/>
        <v>مدين</v>
      </c>
      <c r="M3195" s="137" t="str">
        <f>IF(ISERROR(VLOOKUP(C3195,'[1]خريطة الحسابات'!_xlnm.Print_Area,4,FALSE))," ",(VLOOKUP(C3195,'[1]خريطة الحسابات'!_xlnm.Print_Area,4,FALSE)))</f>
        <v xml:space="preserve">أصول متداوله -النقدية ومافي حكمها </v>
      </c>
      <c r="N3195" s="138" t="str">
        <f>IF(ISERROR(VLOOKUP(C3195,'[1]خريطة الحسابات'!_xlnm.Print_Area,5,FALSE))," ",(VLOOKUP(C3195,'[1]خريطة الحسابات'!_xlnm.Print_Area,5,FALSE)))</f>
        <v>الاصول</v>
      </c>
      <c r="O3195" s="129" t="s">
        <v>2727</v>
      </c>
      <c r="P3195" s="128" t="s">
        <v>2728</v>
      </c>
    </row>
    <row r="3196" spans="1:16" ht="15.6">
      <c r="A3196" s="151">
        <v>97</v>
      </c>
      <c r="B3196" s="157">
        <v>46189</v>
      </c>
      <c r="C3196" s="150">
        <v>20</v>
      </c>
      <c r="D3196" s="140" t="str">
        <f>IF(ISERROR(VLOOKUP(C3196,'[1]خريطة الحسابات'!_xlnm.Print_Area,3,FALSE))," ",(VLOOKUP(C3196,'[1]خريطة الحسابات'!_xlnm.Print_Area,3,FALSE)))</f>
        <v xml:space="preserve">الخزينة </v>
      </c>
      <c r="E3196" s="142"/>
      <c r="F3196" s="133">
        <v>3000</v>
      </c>
      <c r="G3196" s="133"/>
      <c r="H3196" s="134">
        <f t="shared" si="148"/>
        <v>3000</v>
      </c>
      <c r="I3196" s="134">
        <f t="shared" si="148"/>
        <v>0</v>
      </c>
      <c r="J3196" s="134">
        <f t="shared" si="147"/>
        <v>3000</v>
      </c>
      <c r="K3196" s="135"/>
      <c r="L3196" s="148" t="str">
        <f t="shared" si="149"/>
        <v>مدين</v>
      </c>
      <c r="M3196" s="137" t="str">
        <f>IF(ISERROR(VLOOKUP(C3196,'[1]خريطة الحسابات'!_xlnm.Print_Area,4,FALSE))," ",(VLOOKUP(C3196,'[1]خريطة الحسابات'!_xlnm.Print_Area,4,FALSE)))</f>
        <v xml:space="preserve">أصول متداوله -النقدية ومافي حكمها </v>
      </c>
      <c r="N3196" s="138" t="str">
        <f>IF(ISERROR(VLOOKUP(C3196,'[1]خريطة الحسابات'!_xlnm.Print_Area,5,FALSE))," ",(VLOOKUP(C3196,'[1]خريطة الحسابات'!_xlnm.Print_Area,5,FALSE)))</f>
        <v>الاصول</v>
      </c>
      <c r="O3196" s="129" t="s">
        <v>2729</v>
      </c>
      <c r="P3196" s="128" t="s">
        <v>2728</v>
      </c>
    </row>
    <row r="3197" spans="1:16" ht="15.6">
      <c r="A3197" s="151">
        <v>97</v>
      </c>
      <c r="B3197" s="157">
        <v>46188</v>
      </c>
      <c r="C3197" s="150" t="s">
        <v>1078</v>
      </c>
      <c r="D3197" s="140" t="str">
        <f>IF(ISERROR(VLOOKUP(C3197,'[1]خريطة الحسابات'!_xlnm.Print_Area,3,FALSE))," ",(VLOOKUP(C3197,'[1]خريطة الحسابات'!_xlnm.Print_Area,3,FALSE)))</f>
        <v>عهدة سامح مشتريات</v>
      </c>
      <c r="E3197" s="142"/>
      <c r="F3197" s="133"/>
      <c r="G3197" s="133">
        <v>5000</v>
      </c>
      <c r="H3197" s="134">
        <f t="shared" si="148"/>
        <v>0</v>
      </c>
      <c r="I3197" s="134">
        <f t="shared" si="148"/>
        <v>5000</v>
      </c>
      <c r="J3197" s="134">
        <f t="shared" si="147"/>
        <v>-5000</v>
      </c>
      <c r="K3197" s="135"/>
      <c r="L3197" s="148" t="str">
        <f t="shared" si="149"/>
        <v>دائن</v>
      </c>
      <c r="M3197" s="137" t="str">
        <f>IF(ISERROR(VLOOKUP(C3197,'[1]خريطة الحسابات'!_xlnm.Print_Area,4,FALSE))," ",(VLOOKUP(C3197,'[1]خريطة الحسابات'!_xlnm.Print_Area,4,FALSE)))</f>
        <v>عهد</v>
      </c>
      <c r="N3197" s="138" t="str">
        <f>IF(ISERROR(VLOOKUP(C3197,'[1]خريطة الحسابات'!_xlnm.Print_Area,5,FALSE))," ",(VLOOKUP(C3197,'[1]خريطة الحسابات'!_xlnm.Print_Area,5,FALSE)))</f>
        <v>المدينون والأرصدة المدينة الأخرى</v>
      </c>
      <c r="O3197" s="129" t="s">
        <v>2727</v>
      </c>
      <c r="P3197" s="128" t="s">
        <v>2728</v>
      </c>
    </row>
    <row r="3198" spans="1:16" ht="15.6">
      <c r="A3198" s="151">
        <v>97</v>
      </c>
      <c r="B3198" s="157">
        <v>46189</v>
      </c>
      <c r="C3198" s="150" t="s">
        <v>1078</v>
      </c>
      <c r="D3198" s="140" t="str">
        <f>IF(ISERROR(VLOOKUP(C3198,'[1]خريطة الحسابات'!_xlnm.Print_Area,3,FALSE))," ",(VLOOKUP(C3198,'[1]خريطة الحسابات'!_xlnm.Print_Area,3,FALSE)))</f>
        <v>عهدة سامح مشتريات</v>
      </c>
      <c r="E3198" s="142"/>
      <c r="F3198" s="133"/>
      <c r="G3198" s="133">
        <v>3000</v>
      </c>
      <c r="H3198" s="134">
        <f t="shared" si="148"/>
        <v>0</v>
      </c>
      <c r="I3198" s="134">
        <f t="shared" si="148"/>
        <v>3000</v>
      </c>
      <c r="J3198" s="134">
        <f t="shared" si="147"/>
        <v>-3000</v>
      </c>
      <c r="K3198" s="135"/>
      <c r="L3198" s="148" t="str">
        <f t="shared" si="149"/>
        <v>دائن</v>
      </c>
      <c r="M3198" s="137" t="str">
        <f>IF(ISERROR(VLOOKUP(C3198,'[1]خريطة الحسابات'!_xlnm.Print_Area,4,FALSE))," ",(VLOOKUP(C3198,'[1]خريطة الحسابات'!_xlnm.Print_Area,4,FALSE)))</f>
        <v>عهد</v>
      </c>
      <c r="N3198" s="138" t="str">
        <f>IF(ISERROR(VLOOKUP(C3198,'[1]خريطة الحسابات'!_xlnm.Print_Area,5,FALSE))," ",(VLOOKUP(C3198,'[1]خريطة الحسابات'!_xlnm.Print_Area,5,FALSE)))</f>
        <v>المدينون والأرصدة المدينة الأخرى</v>
      </c>
      <c r="O3198" s="129" t="s">
        <v>2729</v>
      </c>
      <c r="P3198" s="128" t="s">
        <v>2728</v>
      </c>
    </row>
    <row r="3199" spans="1:16">
      <c r="A3199" s="151">
        <v>98</v>
      </c>
      <c r="B3199" s="131">
        <v>46065</v>
      </c>
      <c r="C3199" s="150" t="s">
        <v>184</v>
      </c>
      <c r="D3199" s="140" t="str">
        <f>IF(ISERROR(VLOOKUP(C3199,'[1]خريطة الحسابات'!_xlnm.Print_Area,3,FALSE))," ",(VLOOKUP(C3199,'[1]خريطة الحسابات'!_xlnm.Print_Area,3,FALSE)))</f>
        <v>خامات ومصنعية بند الكهرباء</v>
      </c>
      <c r="E3199" s="142"/>
      <c r="F3199" s="133">
        <v>6597</v>
      </c>
      <c r="G3199" s="133"/>
      <c r="H3199" s="134">
        <f t="shared" si="148"/>
        <v>6597</v>
      </c>
      <c r="I3199" s="134">
        <f t="shared" si="148"/>
        <v>0</v>
      </c>
      <c r="J3199" s="134">
        <f t="shared" si="147"/>
        <v>6597</v>
      </c>
      <c r="K3199" s="135"/>
      <c r="L3199" s="148" t="str">
        <f t="shared" si="149"/>
        <v>مدين</v>
      </c>
      <c r="M3199" s="137" t="str">
        <f>IF(ISERROR(VLOOKUP(C3199,'[1]خريطة الحسابات'!_xlnm.Print_Area,4,FALSE))," ",(VLOOKUP(C3199,'[1]خريطة الحسابات'!_xlnm.Print_Area,4,FALSE)))</f>
        <v>تكاليف مشروع الباتيو 235</v>
      </c>
      <c r="N3199" s="138" t="str">
        <f>IF(ISERROR(VLOOKUP(C3199,'[1]خريطة الحسابات'!_xlnm.Print_Area,5,FALSE))," ",(VLOOKUP(C3199,'[1]خريطة الحسابات'!_xlnm.Print_Area,5,FALSE)))</f>
        <v xml:space="preserve">تكاليف العمليات </v>
      </c>
      <c r="O3199" s="84" t="s">
        <v>1611</v>
      </c>
      <c r="P3199" s="84" t="s">
        <v>1304</v>
      </c>
    </row>
    <row r="3200" spans="1:16">
      <c r="A3200" s="151">
        <v>98</v>
      </c>
      <c r="B3200" s="131">
        <v>46065</v>
      </c>
      <c r="C3200" s="150">
        <v>4049</v>
      </c>
      <c r="D3200" s="140" t="str">
        <f>IF(ISERROR(VLOOKUP(C3200,'[1]خريطة الحسابات'!_xlnm.Print_Area,3,FALSE))," ",(VLOOKUP(C3200,'[1]خريطة الحسابات'!_xlnm.Print_Area,3,FALSE)))</f>
        <v>محمد السيد توريدات كهرباء</v>
      </c>
      <c r="E3200" s="142"/>
      <c r="F3200" s="133"/>
      <c r="G3200" s="133">
        <v>6597</v>
      </c>
      <c r="H3200" s="134">
        <f t="shared" si="148"/>
        <v>0</v>
      </c>
      <c r="I3200" s="134">
        <f t="shared" si="148"/>
        <v>6597</v>
      </c>
      <c r="J3200" s="134">
        <f t="shared" si="147"/>
        <v>-6597</v>
      </c>
      <c r="K3200" s="135"/>
      <c r="L3200" s="148" t="str">
        <f t="shared" si="149"/>
        <v>دائن</v>
      </c>
      <c r="M3200" s="137" t="str">
        <f>IF(ISERROR(VLOOKUP(C3200,'[1]خريطة الحسابات'!_xlnm.Print_Area,4,FALSE))," ",(VLOOKUP(C3200,'[1]خريطة الحسابات'!_xlnm.Print_Area,4,FALSE)))</f>
        <v>موردين</v>
      </c>
      <c r="N3200" s="138" t="str">
        <f>IF(ISERROR(VLOOKUP(C3200,'[1]خريطة الحسابات'!_xlnm.Print_Area,5,FALSE))," ",(VLOOKUP(C3200,'[1]خريطة الحسابات'!_xlnm.Print_Area,5,FALSE)))</f>
        <v xml:space="preserve">الدائنون والأرصدة الدائنة الأخرى </v>
      </c>
      <c r="O3200" s="84" t="s">
        <v>1611</v>
      </c>
      <c r="P3200" s="84" t="s">
        <v>1304</v>
      </c>
    </row>
    <row r="3201" spans="1:16">
      <c r="A3201" s="151">
        <v>99</v>
      </c>
      <c r="B3201" s="131">
        <v>46065</v>
      </c>
      <c r="C3201" s="150" t="s">
        <v>779</v>
      </c>
      <c r="D3201" s="140" t="str">
        <f>IF(ISERROR(VLOOKUP(C3201,'[1]خريطة الحسابات'!_xlnm.Print_Area,3,FALSE))," ",(VLOOKUP(C3201,'[1]خريطة الحسابات'!_xlnm.Print_Area,3,FALSE)))</f>
        <v>خامات ومصنعية بند الكهرباء</v>
      </c>
      <c r="E3201" s="142"/>
      <c r="F3201" s="133">
        <v>915</v>
      </c>
      <c r="G3201" s="133"/>
      <c r="H3201" s="134">
        <f t="shared" si="148"/>
        <v>915</v>
      </c>
      <c r="I3201" s="134">
        <f t="shared" si="148"/>
        <v>0</v>
      </c>
      <c r="J3201" s="134">
        <f t="shared" si="147"/>
        <v>915</v>
      </c>
      <c r="K3201" s="135"/>
      <c r="L3201" s="148" t="str">
        <f t="shared" si="149"/>
        <v>مدين</v>
      </c>
      <c r="M3201" s="137" t="str">
        <f>IF(ISERROR(VLOOKUP(C3201,'[1]خريطة الحسابات'!_xlnm.Print_Area,4,FALSE))," ",(VLOOKUP(C3201,'[1]خريطة الحسابات'!_xlnm.Print_Area,4,FALSE)))</f>
        <v>388 تكاليف مشروع الدقي</v>
      </c>
      <c r="N3201" s="138" t="str">
        <f>IF(ISERROR(VLOOKUP(C3201,'[1]خريطة الحسابات'!_xlnm.Print_Area,5,FALSE))," ",(VLOOKUP(C3201,'[1]خريطة الحسابات'!_xlnm.Print_Area,5,FALSE)))</f>
        <v xml:space="preserve">تكاليف العمليات </v>
      </c>
      <c r="O3201" s="158" t="s">
        <v>1612</v>
      </c>
      <c r="P3201" s="159" t="s">
        <v>1315</v>
      </c>
    </row>
    <row r="3202" spans="1:16">
      <c r="A3202" s="151">
        <v>99</v>
      </c>
      <c r="B3202" s="131">
        <v>46065</v>
      </c>
      <c r="C3202" s="150">
        <v>4049</v>
      </c>
      <c r="D3202" s="140" t="str">
        <f>IF(ISERROR(VLOOKUP(C3202,'[1]خريطة الحسابات'!_xlnm.Print_Area,3,FALSE))," ",(VLOOKUP(C3202,'[1]خريطة الحسابات'!_xlnm.Print_Area,3,FALSE)))</f>
        <v>محمد السيد توريدات كهرباء</v>
      </c>
      <c r="E3202" s="142"/>
      <c r="F3202" s="133"/>
      <c r="G3202" s="133">
        <v>915</v>
      </c>
      <c r="H3202" s="134">
        <f t="shared" si="148"/>
        <v>0</v>
      </c>
      <c r="I3202" s="134">
        <f t="shared" si="148"/>
        <v>915</v>
      </c>
      <c r="J3202" s="134">
        <f t="shared" si="147"/>
        <v>-915</v>
      </c>
      <c r="K3202" s="135"/>
      <c r="L3202" s="148" t="str">
        <f t="shared" si="149"/>
        <v>دائن</v>
      </c>
      <c r="M3202" s="137" t="str">
        <f>IF(ISERROR(VLOOKUP(C3202,'[1]خريطة الحسابات'!_xlnm.Print_Area,4,FALSE))," ",(VLOOKUP(C3202,'[1]خريطة الحسابات'!_xlnm.Print_Area,4,FALSE)))</f>
        <v>موردين</v>
      </c>
      <c r="N3202" s="138" t="str">
        <f>IF(ISERROR(VLOOKUP(C3202,'[1]خريطة الحسابات'!_xlnm.Print_Area,5,FALSE))," ",(VLOOKUP(C3202,'[1]خريطة الحسابات'!_xlnm.Print_Area,5,FALSE)))</f>
        <v xml:space="preserve">الدائنون والأرصدة الدائنة الأخرى </v>
      </c>
      <c r="O3202" s="158" t="s">
        <v>1612</v>
      </c>
      <c r="P3202" s="159" t="s">
        <v>1315</v>
      </c>
    </row>
    <row r="3203" spans="1:16">
      <c r="A3203" s="151">
        <v>100</v>
      </c>
      <c r="B3203" s="131">
        <v>46054</v>
      </c>
      <c r="C3203" s="150" t="s">
        <v>639</v>
      </c>
      <c r="D3203" s="140" t="str">
        <f>IF(ISERROR(VLOOKUP(C3203,'[1]خريطة الحسابات'!_xlnm.Print_Area,3,FALSE))," ",(VLOOKUP(C3203,'[1]خريطة الحسابات'!_xlnm.Print_Area,3,FALSE)))</f>
        <v>خامات ومصنعية بند الكهرباء</v>
      </c>
      <c r="E3203" s="142"/>
      <c r="F3203" s="133">
        <v>20000</v>
      </c>
      <c r="G3203" s="133"/>
      <c r="H3203" s="134">
        <f t="shared" si="148"/>
        <v>20000</v>
      </c>
      <c r="I3203" s="134">
        <f t="shared" si="148"/>
        <v>0</v>
      </c>
      <c r="J3203" s="134">
        <f t="shared" si="147"/>
        <v>20000</v>
      </c>
      <c r="K3203" s="135"/>
      <c r="L3203" s="148" t="str">
        <f t="shared" si="149"/>
        <v>مدين</v>
      </c>
      <c r="M3203" s="137" t="str">
        <f>IF(ISERROR(VLOOKUP(C3203,'[1]خريطة الحسابات'!_xlnm.Print_Area,4,FALSE))," ",(VLOOKUP(C3203,'[1]خريطة الحسابات'!_xlnm.Print_Area,4,FALSE)))</f>
        <v>تكاليف مشروع الاندلس 364</v>
      </c>
      <c r="N3203" s="138" t="str">
        <f>IF(ISERROR(VLOOKUP(C3203,'[1]خريطة الحسابات'!_xlnm.Print_Area,5,FALSE))," ",(VLOOKUP(C3203,'[1]خريطة الحسابات'!_xlnm.Print_Area,5,FALSE)))</f>
        <v xml:space="preserve">تكاليف العمليات </v>
      </c>
      <c r="O3203" s="84" t="s">
        <v>2730</v>
      </c>
      <c r="P3203" s="159" t="s">
        <v>1299</v>
      </c>
    </row>
    <row r="3204" spans="1:16">
      <c r="A3204" s="151">
        <v>100</v>
      </c>
      <c r="B3204" s="131">
        <v>46054</v>
      </c>
      <c r="C3204" s="150">
        <v>4013</v>
      </c>
      <c r="D3204" s="140" t="str">
        <f>IF(ISERROR(VLOOKUP(C3204,'[1]خريطة الحسابات'!_xlnm.Print_Area,3,FALSE))," ",(VLOOKUP(C3204,'[1]خريطة الحسابات'!_xlnm.Print_Area,3,FALSE)))</f>
        <v>محمد السيد كهربائي مقاول</v>
      </c>
      <c r="E3204" s="142"/>
      <c r="F3204" s="133"/>
      <c r="G3204" s="133">
        <v>20000</v>
      </c>
      <c r="H3204" s="134">
        <f t="shared" si="148"/>
        <v>0</v>
      </c>
      <c r="I3204" s="134">
        <f t="shared" si="148"/>
        <v>20000</v>
      </c>
      <c r="J3204" s="134">
        <f t="shared" si="147"/>
        <v>-20000</v>
      </c>
      <c r="K3204" s="135"/>
      <c r="L3204" s="148" t="str">
        <f t="shared" si="149"/>
        <v>دائن</v>
      </c>
      <c r="M3204" s="137" t="str">
        <f>IF(ISERROR(VLOOKUP(C3204,'[1]خريطة الحسابات'!_xlnm.Print_Area,4,FALSE))," ",(VLOOKUP(C3204,'[1]خريطة الحسابات'!_xlnm.Print_Area,4,FALSE)))</f>
        <v xml:space="preserve">مقاولين </v>
      </c>
      <c r="N3204" s="138" t="str">
        <f>IF(ISERROR(VLOOKUP(C3204,'[1]خريطة الحسابات'!_xlnm.Print_Area,5,FALSE))," ",(VLOOKUP(C3204,'[1]خريطة الحسابات'!_xlnm.Print_Area,5,FALSE)))</f>
        <v xml:space="preserve">الدائنون والأرصدة الدائنة الأخرى </v>
      </c>
      <c r="O3204" s="84" t="s">
        <v>2730</v>
      </c>
      <c r="P3204" s="159" t="s">
        <v>1299</v>
      </c>
    </row>
    <row r="3205" spans="1:16">
      <c r="A3205" s="151">
        <v>101</v>
      </c>
      <c r="B3205" s="131">
        <v>46073</v>
      </c>
      <c r="C3205" s="150" t="s">
        <v>324</v>
      </c>
      <c r="D3205" s="140" t="str">
        <f>IF(ISERROR(VLOOKUP(C3205,'[1]خريطة الحسابات'!_xlnm.Print_Area,3,FALSE))," ",(VLOOKUP(C3205,'[1]خريطة الحسابات'!_xlnm.Print_Area,3,FALSE)))</f>
        <v>خامات ومصنعية بند الكهرباء</v>
      </c>
      <c r="E3205" s="142"/>
      <c r="F3205" s="133">
        <v>48000</v>
      </c>
      <c r="G3205" s="133"/>
      <c r="H3205" s="134">
        <f t="shared" si="148"/>
        <v>48000</v>
      </c>
      <c r="I3205" s="134">
        <f t="shared" si="148"/>
        <v>0</v>
      </c>
      <c r="J3205" s="134">
        <f t="shared" si="147"/>
        <v>48000</v>
      </c>
      <c r="K3205" s="135"/>
      <c r="L3205" s="148" t="str">
        <f t="shared" si="149"/>
        <v>مدين</v>
      </c>
      <c r="M3205" s="137" t="str">
        <f>IF(ISERROR(VLOOKUP(C3205,'[1]خريطة الحسابات'!_xlnm.Print_Area,4,FALSE))," ",(VLOOKUP(C3205,'[1]خريطة الحسابات'!_xlnm.Print_Area,4,FALSE)))</f>
        <v>تكاليف مشروع العبور 306</v>
      </c>
      <c r="N3205" s="138" t="str">
        <f>IF(ISERROR(VLOOKUP(C3205,'[1]خريطة الحسابات'!_xlnm.Print_Area,5,FALSE))," ",(VLOOKUP(C3205,'[1]خريطة الحسابات'!_xlnm.Print_Area,5,FALSE)))</f>
        <v xml:space="preserve">تكاليف العمليات </v>
      </c>
      <c r="O3205" s="84" t="s">
        <v>2731</v>
      </c>
      <c r="P3205" s="159" t="s">
        <v>1292</v>
      </c>
    </row>
    <row r="3206" spans="1:16">
      <c r="A3206" s="151">
        <v>101</v>
      </c>
      <c r="B3206" s="131">
        <v>46073</v>
      </c>
      <c r="C3206" s="150">
        <v>4013</v>
      </c>
      <c r="D3206" s="140" t="str">
        <f>IF(ISERROR(VLOOKUP(C3206,'[1]خريطة الحسابات'!_xlnm.Print_Area,3,FALSE))," ",(VLOOKUP(C3206,'[1]خريطة الحسابات'!_xlnm.Print_Area,3,FALSE)))</f>
        <v>محمد السيد كهربائي مقاول</v>
      </c>
      <c r="E3206" s="142"/>
      <c r="F3206" s="133"/>
      <c r="G3206" s="133">
        <v>48000</v>
      </c>
      <c r="H3206" s="134">
        <f t="shared" si="148"/>
        <v>0</v>
      </c>
      <c r="I3206" s="134">
        <f t="shared" si="148"/>
        <v>48000</v>
      </c>
      <c r="J3206" s="134">
        <f t="shared" si="147"/>
        <v>-48000</v>
      </c>
      <c r="K3206" s="135"/>
      <c r="L3206" s="148" t="str">
        <f t="shared" si="149"/>
        <v>دائن</v>
      </c>
      <c r="M3206" s="137" t="str">
        <f>IF(ISERROR(VLOOKUP(C3206,'[1]خريطة الحسابات'!_xlnm.Print_Area,4,FALSE))," ",(VLOOKUP(C3206,'[1]خريطة الحسابات'!_xlnm.Print_Area,4,FALSE)))</f>
        <v xml:space="preserve">مقاولين </v>
      </c>
      <c r="N3206" s="138" t="str">
        <f>IF(ISERROR(VLOOKUP(C3206,'[1]خريطة الحسابات'!_xlnm.Print_Area,5,FALSE))," ",(VLOOKUP(C3206,'[1]خريطة الحسابات'!_xlnm.Print_Area,5,FALSE)))</f>
        <v xml:space="preserve">الدائنون والأرصدة الدائنة الأخرى </v>
      </c>
      <c r="O3206" s="84" t="s">
        <v>2731</v>
      </c>
      <c r="P3206" s="159" t="s">
        <v>1292</v>
      </c>
    </row>
    <row r="3207" spans="1:16">
      <c r="A3207" s="151">
        <v>102</v>
      </c>
      <c r="B3207" s="131">
        <v>46088</v>
      </c>
      <c r="C3207" s="150" t="s">
        <v>779</v>
      </c>
      <c r="D3207" s="140" t="str">
        <f>IF(ISERROR(VLOOKUP(C3207,'[1]خريطة الحسابات'!_xlnm.Print_Area,3,FALSE))," ",(VLOOKUP(C3207,'[1]خريطة الحسابات'!_xlnm.Print_Area,3,FALSE)))</f>
        <v>خامات ومصنعية بند الكهرباء</v>
      </c>
      <c r="E3207" s="142"/>
      <c r="F3207" s="133">
        <v>45000</v>
      </c>
      <c r="G3207" s="133"/>
      <c r="H3207" s="134">
        <f t="shared" si="148"/>
        <v>45000</v>
      </c>
      <c r="I3207" s="134">
        <f t="shared" si="148"/>
        <v>0</v>
      </c>
      <c r="J3207" s="134">
        <f t="shared" si="147"/>
        <v>45000</v>
      </c>
      <c r="K3207" s="135"/>
      <c r="L3207" s="148" t="str">
        <f t="shared" si="149"/>
        <v>مدين</v>
      </c>
      <c r="M3207" s="137" t="str">
        <f>IF(ISERROR(VLOOKUP(C3207,'[1]خريطة الحسابات'!_xlnm.Print_Area,4,FALSE))," ",(VLOOKUP(C3207,'[1]خريطة الحسابات'!_xlnm.Print_Area,4,FALSE)))</f>
        <v>388 تكاليف مشروع الدقي</v>
      </c>
      <c r="N3207" s="138" t="str">
        <f>IF(ISERROR(VLOOKUP(C3207,'[1]خريطة الحسابات'!_xlnm.Print_Area,5,FALSE))," ",(VLOOKUP(C3207,'[1]خريطة الحسابات'!_xlnm.Print_Area,5,FALSE)))</f>
        <v xml:space="preserve">تكاليف العمليات </v>
      </c>
      <c r="O3207" s="84" t="s">
        <v>2732</v>
      </c>
      <c r="P3207" s="159" t="s">
        <v>1315</v>
      </c>
    </row>
    <row r="3208" spans="1:16">
      <c r="A3208" s="151">
        <v>102</v>
      </c>
      <c r="B3208" s="131">
        <v>46119</v>
      </c>
      <c r="C3208" s="150" t="s">
        <v>779</v>
      </c>
      <c r="D3208" s="140" t="str">
        <f>IF(ISERROR(VLOOKUP(C3208,'[1]خريطة الحسابات'!_xlnm.Print_Area,3,FALSE))," ",(VLOOKUP(C3208,'[1]خريطة الحسابات'!_xlnm.Print_Area,3,FALSE)))</f>
        <v>خامات ومصنعية بند الكهرباء</v>
      </c>
      <c r="E3208" s="142"/>
      <c r="F3208" s="133">
        <v>17000</v>
      </c>
      <c r="G3208" s="133"/>
      <c r="H3208" s="134">
        <f t="shared" si="148"/>
        <v>17000</v>
      </c>
      <c r="I3208" s="134">
        <f t="shared" si="148"/>
        <v>0</v>
      </c>
      <c r="J3208" s="134">
        <f t="shared" si="147"/>
        <v>17000</v>
      </c>
      <c r="K3208" s="135"/>
      <c r="L3208" s="148" t="str">
        <f t="shared" si="149"/>
        <v>مدين</v>
      </c>
      <c r="M3208" s="137" t="str">
        <f>IF(ISERROR(VLOOKUP(C3208,'[1]خريطة الحسابات'!_xlnm.Print_Area,4,FALSE))," ",(VLOOKUP(C3208,'[1]خريطة الحسابات'!_xlnm.Print_Area,4,FALSE)))</f>
        <v>388 تكاليف مشروع الدقي</v>
      </c>
      <c r="N3208" s="138" t="str">
        <f>IF(ISERROR(VLOOKUP(C3208,'[1]خريطة الحسابات'!_xlnm.Print_Area,5,FALSE))," ",(VLOOKUP(C3208,'[1]خريطة الحسابات'!_xlnm.Print_Area,5,FALSE)))</f>
        <v xml:space="preserve">تكاليف العمليات </v>
      </c>
      <c r="O3208" s="84" t="s">
        <v>2733</v>
      </c>
      <c r="P3208" s="159" t="s">
        <v>1315</v>
      </c>
    </row>
    <row r="3209" spans="1:16">
      <c r="A3209" s="151">
        <v>102</v>
      </c>
      <c r="B3209" s="131">
        <v>46142</v>
      </c>
      <c r="C3209" s="150" t="s">
        <v>779</v>
      </c>
      <c r="D3209" s="140" t="str">
        <f>IF(ISERROR(VLOOKUP(C3209,'[1]خريطة الحسابات'!_xlnm.Print_Area,3,FALSE))," ",(VLOOKUP(C3209,'[1]خريطة الحسابات'!_xlnm.Print_Area,3,FALSE)))</f>
        <v>خامات ومصنعية بند الكهرباء</v>
      </c>
      <c r="E3209" s="142"/>
      <c r="F3209" s="133">
        <v>10000</v>
      </c>
      <c r="G3209" s="133"/>
      <c r="H3209" s="134">
        <f t="shared" si="148"/>
        <v>10000</v>
      </c>
      <c r="I3209" s="134">
        <f t="shared" si="148"/>
        <v>0</v>
      </c>
      <c r="J3209" s="134">
        <f t="shared" si="147"/>
        <v>10000</v>
      </c>
      <c r="K3209" s="135"/>
      <c r="L3209" s="148" t="str">
        <f t="shared" si="149"/>
        <v>مدين</v>
      </c>
      <c r="M3209" s="137" t="str">
        <f>IF(ISERROR(VLOOKUP(C3209,'[1]خريطة الحسابات'!_xlnm.Print_Area,4,FALSE))," ",(VLOOKUP(C3209,'[1]خريطة الحسابات'!_xlnm.Print_Area,4,FALSE)))</f>
        <v>388 تكاليف مشروع الدقي</v>
      </c>
      <c r="N3209" s="138" t="str">
        <f>IF(ISERROR(VLOOKUP(C3209,'[1]خريطة الحسابات'!_xlnm.Print_Area,5,FALSE))," ",(VLOOKUP(C3209,'[1]خريطة الحسابات'!_xlnm.Print_Area,5,FALSE)))</f>
        <v xml:space="preserve">تكاليف العمليات </v>
      </c>
      <c r="O3209" s="84" t="s">
        <v>2734</v>
      </c>
      <c r="P3209" s="159" t="s">
        <v>1315</v>
      </c>
    </row>
    <row r="3210" spans="1:16">
      <c r="A3210" s="151">
        <v>102</v>
      </c>
      <c r="B3210" s="131">
        <v>46157</v>
      </c>
      <c r="C3210" s="150" t="s">
        <v>779</v>
      </c>
      <c r="D3210" s="140" t="str">
        <f>IF(ISERROR(VLOOKUP(C3210,'[1]خريطة الحسابات'!_xlnm.Print_Area,3,FALSE))," ",(VLOOKUP(C3210,'[1]خريطة الحسابات'!_xlnm.Print_Area,3,FALSE)))</f>
        <v>خامات ومصنعية بند الكهرباء</v>
      </c>
      <c r="E3210" s="142"/>
      <c r="F3210" s="133">
        <v>6000</v>
      </c>
      <c r="G3210" s="133"/>
      <c r="H3210" s="134">
        <f t="shared" si="148"/>
        <v>6000</v>
      </c>
      <c r="I3210" s="134">
        <f t="shared" si="148"/>
        <v>0</v>
      </c>
      <c r="J3210" s="134">
        <f t="shared" si="147"/>
        <v>6000</v>
      </c>
      <c r="K3210" s="135"/>
      <c r="L3210" s="148" t="str">
        <f t="shared" si="149"/>
        <v>مدين</v>
      </c>
      <c r="M3210" s="137" t="str">
        <f>IF(ISERROR(VLOOKUP(C3210,'[1]خريطة الحسابات'!_xlnm.Print_Area,4,FALSE))," ",(VLOOKUP(C3210,'[1]خريطة الحسابات'!_xlnm.Print_Area,4,FALSE)))</f>
        <v>388 تكاليف مشروع الدقي</v>
      </c>
      <c r="N3210" s="138" t="str">
        <f>IF(ISERROR(VLOOKUP(C3210,'[1]خريطة الحسابات'!_xlnm.Print_Area,5,FALSE))," ",(VLOOKUP(C3210,'[1]خريطة الحسابات'!_xlnm.Print_Area,5,FALSE)))</f>
        <v xml:space="preserve">تكاليف العمليات </v>
      </c>
      <c r="O3210" s="84" t="s">
        <v>2735</v>
      </c>
      <c r="P3210" s="159" t="s">
        <v>1315</v>
      </c>
    </row>
    <row r="3211" spans="1:16">
      <c r="A3211" s="151">
        <v>102</v>
      </c>
      <c r="B3211" s="131">
        <v>46088</v>
      </c>
      <c r="C3211" s="150">
        <v>4013</v>
      </c>
      <c r="D3211" s="140" t="str">
        <f>IF(ISERROR(VLOOKUP(C3211,'[1]خريطة الحسابات'!_xlnm.Print_Area,3,FALSE))," ",(VLOOKUP(C3211,'[1]خريطة الحسابات'!_xlnm.Print_Area,3,FALSE)))</f>
        <v>محمد السيد كهربائي مقاول</v>
      </c>
      <c r="E3211" s="142"/>
      <c r="F3211" s="133"/>
      <c r="G3211" s="133">
        <v>45000</v>
      </c>
      <c r="H3211" s="134">
        <f t="shared" si="148"/>
        <v>0</v>
      </c>
      <c r="I3211" s="134">
        <f t="shared" si="148"/>
        <v>45000</v>
      </c>
      <c r="J3211" s="134">
        <f t="shared" si="147"/>
        <v>-45000</v>
      </c>
      <c r="K3211" s="135"/>
      <c r="L3211" s="148" t="str">
        <f t="shared" si="149"/>
        <v>دائن</v>
      </c>
      <c r="M3211" s="137" t="str">
        <f>IF(ISERROR(VLOOKUP(C3211,'[1]خريطة الحسابات'!_xlnm.Print_Area,4,FALSE))," ",(VLOOKUP(C3211,'[1]خريطة الحسابات'!_xlnm.Print_Area,4,FALSE)))</f>
        <v xml:space="preserve">مقاولين </v>
      </c>
      <c r="N3211" s="138" t="str">
        <f>IF(ISERROR(VLOOKUP(C3211,'[1]خريطة الحسابات'!_xlnm.Print_Area,5,FALSE))," ",(VLOOKUP(C3211,'[1]خريطة الحسابات'!_xlnm.Print_Area,5,FALSE)))</f>
        <v xml:space="preserve">الدائنون والأرصدة الدائنة الأخرى </v>
      </c>
      <c r="O3211" s="84" t="s">
        <v>2732</v>
      </c>
      <c r="P3211" s="159" t="s">
        <v>1315</v>
      </c>
    </row>
    <row r="3212" spans="1:16">
      <c r="A3212" s="151">
        <v>102</v>
      </c>
      <c r="B3212" s="131">
        <v>46119</v>
      </c>
      <c r="C3212" s="150">
        <v>4013</v>
      </c>
      <c r="D3212" s="140" t="str">
        <f>IF(ISERROR(VLOOKUP(C3212,'[1]خريطة الحسابات'!_xlnm.Print_Area,3,FALSE))," ",(VLOOKUP(C3212,'[1]خريطة الحسابات'!_xlnm.Print_Area,3,FALSE)))</f>
        <v>محمد السيد كهربائي مقاول</v>
      </c>
      <c r="E3212" s="142"/>
      <c r="F3212" s="133"/>
      <c r="G3212" s="133">
        <v>17000</v>
      </c>
      <c r="H3212" s="134">
        <f t="shared" si="148"/>
        <v>0</v>
      </c>
      <c r="I3212" s="134">
        <f t="shared" si="148"/>
        <v>17000</v>
      </c>
      <c r="J3212" s="134">
        <f t="shared" si="147"/>
        <v>-17000</v>
      </c>
      <c r="K3212" s="135"/>
      <c r="L3212" s="148" t="str">
        <f t="shared" si="149"/>
        <v>دائن</v>
      </c>
      <c r="M3212" s="137" t="str">
        <f>IF(ISERROR(VLOOKUP(C3212,'[1]خريطة الحسابات'!_xlnm.Print_Area,4,FALSE))," ",(VLOOKUP(C3212,'[1]خريطة الحسابات'!_xlnm.Print_Area,4,FALSE)))</f>
        <v xml:space="preserve">مقاولين </v>
      </c>
      <c r="N3212" s="138" t="str">
        <f>IF(ISERROR(VLOOKUP(C3212,'[1]خريطة الحسابات'!_xlnm.Print_Area,5,FALSE))," ",(VLOOKUP(C3212,'[1]خريطة الحسابات'!_xlnm.Print_Area,5,FALSE)))</f>
        <v xml:space="preserve">الدائنون والأرصدة الدائنة الأخرى </v>
      </c>
      <c r="O3212" s="84" t="s">
        <v>2733</v>
      </c>
      <c r="P3212" s="159" t="s">
        <v>1315</v>
      </c>
    </row>
    <row r="3213" spans="1:16">
      <c r="A3213" s="151">
        <v>102</v>
      </c>
      <c r="B3213" s="131">
        <v>46142</v>
      </c>
      <c r="C3213" s="150">
        <v>4013</v>
      </c>
      <c r="D3213" s="140" t="str">
        <f>IF(ISERROR(VLOOKUP(C3213,'[1]خريطة الحسابات'!_xlnm.Print_Area,3,FALSE))," ",(VLOOKUP(C3213,'[1]خريطة الحسابات'!_xlnm.Print_Area,3,FALSE)))</f>
        <v>محمد السيد كهربائي مقاول</v>
      </c>
      <c r="E3213" s="142"/>
      <c r="F3213" s="133"/>
      <c r="G3213" s="133">
        <v>10000</v>
      </c>
      <c r="H3213" s="134">
        <f t="shared" si="148"/>
        <v>0</v>
      </c>
      <c r="I3213" s="134">
        <f t="shared" si="148"/>
        <v>10000</v>
      </c>
      <c r="J3213" s="134">
        <f t="shared" si="147"/>
        <v>-10000</v>
      </c>
      <c r="K3213" s="135"/>
      <c r="L3213" s="148" t="str">
        <f t="shared" si="149"/>
        <v>دائن</v>
      </c>
      <c r="M3213" s="137" t="str">
        <f>IF(ISERROR(VLOOKUP(C3213,'[1]خريطة الحسابات'!_xlnm.Print_Area,4,FALSE))," ",(VLOOKUP(C3213,'[1]خريطة الحسابات'!_xlnm.Print_Area,4,FALSE)))</f>
        <v xml:space="preserve">مقاولين </v>
      </c>
      <c r="N3213" s="138" t="str">
        <f>IF(ISERROR(VLOOKUP(C3213,'[1]خريطة الحسابات'!_xlnm.Print_Area,5,FALSE))," ",(VLOOKUP(C3213,'[1]خريطة الحسابات'!_xlnm.Print_Area,5,FALSE)))</f>
        <v xml:space="preserve">الدائنون والأرصدة الدائنة الأخرى </v>
      </c>
      <c r="O3213" s="84" t="s">
        <v>2734</v>
      </c>
      <c r="P3213" s="159" t="s">
        <v>1315</v>
      </c>
    </row>
    <row r="3214" spans="1:16">
      <c r="A3214" s="151">
        <v>102</v>
      </c>
      <c r="B3214" s="131">
        <v>46157</v>
      </c>
      <c r="C3214" s="150">
        <v>4013</v>
      </c>
      <c r="D3214" s="140" t="str">
        <f>IF(ISERROR(VLOOKUP(C3214,'[1]خريطة الحسابات'!_xlnm.Print_Area,3,FALSE))," ",(VLOOKUP(C3214,'[1]خريطة الحسابات'!_xlnm.Print_Area,3,FALSE)))</f>
        <v>محمد السيد كهربائي مقاول</v>
      </c>
      <c r="E3214" s="142"/>
      <c r="F3214" s="133"/>
      <c r="G3214" s="133">
        <v>6000</v>
      </c>
      <c r="H3214" s="134">
        <f t="shared" si="148"/>
        <v>0</v>
      </c>
      <c r="I3214" s="134">
        <f t="shared" si="148"/>
        <v>6000</v>
      </c>
      <c r="J3214" s="134">
        <f t="shared" si="147"/>
        <v>-6000</v>
      </c>
      <c r="K3214" s="135"/>
      <c r="L3214" s="148" t="str">
        <f t="shared" si="149"/>
        <v>دائن</v>
      </c>
      <c r="M3214" s="137" t="str">
        <f>IF(ISERROR(VLOOKUP(C3214,'[1]خريطة الحسابات'!_xlnm.Print_Area,4,FALSE))," ",(VLOOKUP(C3214,'[1]خريطة الحسابات'!_xlnm.Print_Area,4,FALSE)))</f>
        <v xml:space="preserve">مقاولين </v>
      </c>
      <c r="N3214" s="138" t="str">
        <f>IF(ISERROR(VLOOKUP(C3214,'[1]خريطة الحسابات'!_xlnm.Print_Area,5,FALSE))," ",(VLOOKUP(C3214,'[1]خريطة الحسابات'!_xlnm.Print_Area,5,FALSE)))</f>
        <v xml:space="preserve">الدائنون والأرصدة الدائنة الأخرى </v>
      </c>
      <c r="O3214" s="84" t="s">
        <v>2735</v>
      </c>
      <c r="P3214" s="159" t="s">
        <v>1315</v>
      </c>
    </row>
    <row r="3215" spans="1:16">
      <c r="A3215" s="151">
        <v>103</v>
      </c>
      <c r="B3215" s="131">
        <v>46091</v>
      </c>
      <c r="C3215" s="150" t="s">
        <v>394</v>
      </c>
      <c r="D3215" s="140" t="str">
        <f>IF(ISERROR(VLOOKUP(C3215,'[1]خريطة الحسابات'!_xlnm.Print_Area,3,FALSE))," ",(VLOOKUP(C3215,'[1]خريطة الحسابات'!_xlnm.Print_Area,3,FALSE)))</f>
        <v>خامات ومصنعية بند الكهرباء</v>
      </c>
      <c r="E3215" s="142"/>
      <c r="F3215" s="133">
        <v>3500</v>
      </c>
      <c r="G3215" s="133"/>
      <c r="H3215" s="134">
        <f t="shared" si="148"/>
        <v>3500</v>
      </c>
      <c r="I3215" s="134">
        <f t="shared" si="148"/>
        <v>0</v>
      </c>
      <c r="J3215" s="134">
        <f t="shared" si="147"/>
        <v>3500</v>
      </c>
      <c r="K3215" s="135"/>
      <c r="L3215" s="148" t="str">
        <f t="shared" si="149"/>
        <v>مدين</v>
      </c>
      <c r="M3215" s="137" t="str">
        <f>IF(ISERROR(VLOOKUP(C3215,'[1]خريطة الحسابات'!_xlnm.Print_Area,4,FALSE))," ",(VLOOKUP(C3215,'[1]خريطة الحسابات'!_xlnm.Print_Area,4,FALSE)))</f>
        <v>تكاليف مشروع عمرو العبور 336</v>
      </c>
      <c r="N3215" s="138" t="str">
        <f>IF(ISERROR(VLOOKUP(C3215,'[1]خريطة الحسابات'!_xlnm.Print_Area,5,FALSE))," ",(VLOOKUP(C3215,'[1]خريطة الحسابات'!_xlnm.Print_Area,5,FALSE)))</f>
        <v xml:space="preserve">تكاليف العمليات </v>
      </c>
      <c r="O3215" s="84" t="s">
        <v>2736</v>
      </c>
      <c r="P3215" s="159" t="s">
        <v>1297</v>
      </c>
    </row>
    <row r="3216" spans="1:16">
      <c r="A3216" s="151">
        <v>103</v>
      </c>
      <c r="B3216" s="131">
        <v>46091</v>
      </c>
      <c r="C3216" s="150">
        <v>4013</v>
      </c>
      <c r="D3216" s="140" t="str">
        <f>IF(ISERROR(VLOOKUP(C3216,'[1]خريطة الحسابات'!_xlnm.Print_Area,3,FALSE))," ",(VLOOKUP(C3216,'[1]خريطة الحسابات'!_xlnm.Print_Area,3,FALSE)))</f>
        <v>محمد السيد كهربائي مقاول</v>
      </c>
      <c r="E3216" s="142"/>
      <c r="F3216" s="133"/>
      <c r="G3216" s="133">
        <v>3500</v>
      </c>
      <c r="H3216" s="134">
        <f t="shared" si="148"/>
        <v>0</v>
      </c>
      <c r="I3216" s="134">
        <f t="shared" si="148"/>
        <v>3500</v>
      </c>
      <c r="J3216" s="134">
        <f t="shared" si="147"/>
        <v>-3500</v>
      </c>
      <c r="K3216" s="135"/>
      <c r="L3216" s="148" t="str">
        <f t="shared" si="149"/>
        <v>دائن</v>
      </c>
      <c r="M3216" s="137" t="str">
        <f>IF(ISERROR(VLOOKUP(C3216,'[1]خريطة الحسابات'!_xlnm.Print_Area,4,FALSE))," ",(VLOOKUP(C3216,'[1]خريطة الحسابات'!_xlnm.Print_Area,4,FALSE)))</f>
        <v xml:space="preserve">مقاولين </v>
      </c>
      <c r="N3216" s="138" t="str">
        <f>IF(ISERROR(VLOOKUP(C3216,'[1]خريطة الحسابات'!_xlnm.Print_Area,5,FALSE))," ",(VLOOKUP(C3216,'[1]خريطة الحسابات'!_xlnm.Print_Area,5,FALSE)))</f>
        <v xml:space="preserve">الدائنون والأرصدة الدائنة الأخرى </v>
      </c>
      <c r="O3216" s="84" t="s">
        <v>2736</v>
      </c>
      <c r="P3216" s="159" t="s">
        <v>1297</v>
      </c>
    </row>
    <row r="3217" spans="1:16">
      <c r="A3217" s="151">
        <v>104</v>
      </c>
      <c r="B3217" s="131">
        <v>46147</v>
      </c>
      <c r="C3217" s="150" t="s">
        <v>359</v>
      </c>
      <c r="D3217" s="140" t="str">
        <f>IF(ISERROR(VLOOKUP(C3217,'[1]خريطة الحسابات'!_xlnm.Print_Area,3,FALSE))," ",(VLOOKUP(C3217,'[1]خريطة الحسابات'!_xlnm.Print_Area,3,FALSE)))</f>
        <v>خامات ومصنعية بند الكهرباء</v>
      </c>
      <c r="E3217" s="142"/>
      <c r="F3217" s="133">
        <v>70000</v>
      </c>
      <c r="G3217" s="133"/>
      <c r="H3217" s="134">
        <f t="shared" si="148"/>
        <v>70000</v>
      </c>
      <c r="I3217" s="134">
        <f t="shared" si="148"/>
        <v>0</v>
      </c>
      <c r="J3217" s="134">
        <f t="shared" si="147"/>
        <v>70000</v>
      </c>
      <c r="K3217" s="135"/>
      <c r="L3217" s="148" t="str">
        <f t="shared" si="149"/>
        <v>مدين</v>
      </c>
      <c r="M3217" s="137" t="str">
        <f>IF(ISERROR(VLOOKUP(C3217,'[1]خريطة الحسابات'!_xlnm.Print_Area,4,FALSE))," ",(VLOOKUP(C3217,'[1]خريطة الحسابات'!_xlnm.Print_Area,4,FALSE)))</f>
        <v>318 تكاليف مشروع  المعادي ديونز</v>
      </c>
      <c r="N3217" s="138" t="str">
        <f>IF(ISERROR(VLOOKUP(C3217,'[1]خريطة الحسابات'!_xlnm.Print_Area,5,FALSE))," ",(VLOOKUP(C3217,'[1]خريطة الحسابات'!_xlnm.Print_Area,5,FALSE)))</f>
        <v xml:space="preserve">تكاليف العمليات </v>
      </c>
      <c r="O3217" s="84" t="s">
        <v>2737</v>
      </c>
      <c r="P3217" s="159" t="s">
        <v>1383</v>
      </c>
    </row>
    <row r="3218" spans="1:16">
      <c r="A3218" s="151">
        <v>104</v>
      </c>
      <c r="B3218" s="131">
        <v>46147</v>
      </c>
      <c r="C3218" s="150">
        <v>4013</v>
      </c>
      <c r="D3218" s="140" t="str">
        <f>IF(ISERROR(VLOOKUP(C3218,'[1]خريطة الحسابات'!_xlnm.Print_Area,3,FALSE))," ",(VLOOKUP(C3218,'[1]خريطة الحسابات'!_xlnm.Print_Area,3,FALSE)))</f>
        <v>محمد السيد كهربائي مقاول</v>
      </c>
      <c r="E3218" s="142"/>
      <c r="F3218" s="133"/>
      <c r="G3218" s="133">
        <v>70000</v>
      </c>
      <c r="H3218" s="134">
        <f t="shared" si="148"/>
        <v>0</v>
      </c>
      <c r="I3218" s="134">
        <f t="shared" si="148"/>
        <v>70000</v>
      </c>
      <c r="J3218" s="134">
        <f t="shared" si="147"/>
        <v>-70000</v>
      </c>
      <c r="K3218" s="135"/>
      <c r="L3218" s="148" t="str">
        <f t="shared" si="149"/>
        <v>دائن</v>
      </c>
      <c r="M3218" s="137" t="str">
        <f>IF(ISERROR(VLOOKUP(C3218,'[1]خريطة الحسابات'!_xlnm.Print_Area,4,FALSE))," ",(VLOOKUP(C3218,'[1]خريطة الحسابات'!_xlnm.Print_Area,4,FALSE)))</f>
        <v xml:space="preserve">مقاولين </v>
      </c>
      <c r="N3218" s="138" t="str">
        <f>IF(ISERROR(VLOOKUP(C3218,'[1]خريطة الحسابات'!_xlnm.Print_Area,5,FALSE))," ",(VLOOKUP(C3218,'[1]خريطة الحسابات'!_xlnm.Print_Area,5,FALSE)))</f>
        <v xml:space="preserve">الدائنون والأرصدة الدائنة الأخرى </v>
      </c>
      <c r="O3218" s="84" t="s">
        <v>2737</v>
      </c>
      <c r="P3218" s="159" t="s">
        <v>1383</v>
      </c>
    </row>
    <row r="3219" spans="1:16">
      <c r="A3219" s="151">
        <v>105</v>
      </c>
      <c r="B3219" s="131">
        <v>46194</v>
      </c>
      <c r="C3219" s="150">
        <v>4047</v>
      </c>
      <c r="D3219" s="140" t="str">
        <f>IF(ISERROR(VLOOKUP(C3219,'[1]خريطة الحسابات'!_xlnm.Print_Area,3,FALSE))," ",(VLOOKUP(C3219,'[1]خريطة الحسابات'!_xlnm.Print_Area,3,FALSE)))</f>
        <v>مقاول الفيوتك 306</v>
      </c>
      <c r="E3219" s="142"/>
      <c r="F3219" s="133">
        <v>10000</v>
      </c>
      <c r="G3219" s="133"/>
      <c r="H3219" s="134">
        <f t="shared" si="148"/>
        <v>10000</v>
      </c>
      <c r="I3219" s="134">
        <f t="shared" si="148"/>
        <v>0</v>
      </c>
      <c r="J3219" s="134">
        <f t="shared" si="147"/>
        <v>10000</v>
      </c>
      <c r="K3219" s="135"/>
      <c r="L3219" s="148" t="str">
        <f t="shared" si="149"/>
        <v>مدين</v>
      </c>
      <c r="M3219" s="137" t="str">
        <f>IF(ISERROR(VLOOKUP(C3219,'[1]خريطة الحسابات'!_xlnm.Print_Area,4,FALSE))," ",(VLOOKUP(C3219,'[1]خريطة الحسابات'!_xlnm.Print_Area,4,FALSE)))</f>
        <v xml:space="preserve">مقاولين </v>
      </c>
      <c r="N3219" s="138" t="str">
        <f>IF(ISERROR(VLOOKUP(C3219,'[1]خريطة الحسابات'!_xlnm.Print_Area,5,FALSE))," ",(VLOOKUP(C3219,'[1]خريطة الحسابات'!_xlnm.Print_Area,5,FALSE)))</f>
        <v xml:space="preserve">الدائنون والأرصدة الدائنة الأخرى </v>
      </c>
      <c r="O3219" s="84" t="s">
        <v>2738</v>
      </c>
      <c r="P3219" s="159" t="s">
        <v>1292</v>
      </c>
    </row>
    <row r="3220" spans="1:16">
      <c r="A3220" s="151">
        <v>105</v>
      </c>
      <c r="B3220" s="131">
        <v>46194</v>
      </c>
      <c r="C3220" s="150">
        <v>20</v>
      </c>
      <c r="D3220" s="140" t="str">
        <f>IF(ISERROR(VLOOKUP(C3220,'[1]خريطة الحسابات'!_xlnm.Print_Area,3,FALSE))," ",(VLOOKUP(C3220,'[1]خريطة الحسابات'!_xlnm.Print_Area,3,FALSE)))</f>
        <v xml:space="preserve">الخزينة </v>
      </c>
      <c r="E3220" s="142"/>
      <c r="F3220" s="133"/>
      <c r="G3220" s="133">
        <v>10000</v>
      </c>
      <c r="H3220" s="134">
        <f t="shared" si="148"/>
        <v>0</v>
      </c>
      <c r="I3220" s="134">
        <f t="shared" si="148"/>
        <v>10000</v>
      </c>
      <c r="J3220" s="134">
        <f t="shared" si="147"/>
        <v>-10000</v>
      </c>
      <c r="K3220" s="135"/>
      <c r="L3220" s="148" t="str">
        <f t="shared" si="149"/>
        <v>دائن</v>
      </c>
      <c r="M3220" s="137" t="str">
        <f>IF(ISERROR(VLOOKUP(C3220,'[1]خريطة الحسابات'!_xlnm.Print_Area,4,FALSE))," ",(VLOOKUP(C3220,'[1]خريطة الحسابات'!_xlnm.Print_Area,4,FALSE)))</f>
        <v xml:space="preserve">أصول متداوله -النقدية ومافي حكمها </v>
      </c>
      <c r="N3220" s="138" t="str">
        <f>IF(ISERROR(VLOOKUP(C3220,'[1]خريطة الحسابات'!_xlnm.Print_Area,5,FALSE))," ",(VLOOKUP(C3220,'[1]خريطة الحسابات'!_xlnm.Print_Area,5,FALSE)))</f>
        <v>الاصول</v>
      </c>
      <c r="O3220" s="84" t="s">
        <v>2738</v>
      </c>
      <c r="P3220" s="159" t="s">
        <v>1292</v>
      </c>
    </row>
    <row r="3221" spans="1:16">
      <c r="A3221" s="151">
        <v>106</v>
      </c>
      <c r="B3221" s="131">
        <v>46194</v>
      </c>
      <c r="C3221" s="150">
        <v>4037</v>
      </c>
      <c r="D3221" s="140" t="str">
        <f>IF(ISERROR(VLOOKUP(C3221,'[1]خريطة الحسابات'!_xlnm.Print_Area,3,FALSE))," ",(VLOOKUP(C3221,'[1]خريطة الحسابات'!_xlnm.Print_Area,3,FALSE)))</f>
        <v>محمود الجبس</v>
      </c>
      <c r="E3221" s="142"/>
      <c r="F3221" s="133">
        <v>20000</v>
      </c>
      <c r="G3221" s="133"/>
      <c r="H3221" s="134">
        <f t="shared" si="148"/>
        <v>20000</v>
      </c>
      <c r="I3221" s="134">
        <f t="shared" si="148"/>
        <v>0</v>
      </c>
      <c r="J3221" s="134">
        <f t="shared" si="147"/>
        <v>20000</v>
      </c>
      <c r="K3221" s="135"/>
      <c r="L3221" s="148" t="str">
        <f t="shared" si="149"/>
        <v>مدين</v>
      </c>
      <c r="M3221" s="137" t="str">
        <f>IF(ISERROR(VLOOKUP(C3221,'[1]خريطة الحسابات'!_xlnm.Print_Area,4,FALSE))," ",(VLOOKUP(C3221,'[1]خريطة الحسابات'!_xlnm.Print_Area,4,FALSE)))</f>
        <v xml:space="preserve">مقاولين </v>
      </c>
      <c r="N3221" s="138" t="str">
        <f>IF(ISERROR(VLOOKUP(C3221,'[1]خريطة الحسابات'!_xlnm.Print_Area,5,FALSE))," ",(VLOOKUP(C3221,'[1]خريطة الحسابات'!_xlnm.Print_Area,5,FALSE)))</f>
        <v xml:space="preserve">الدائنون والأرصدة الدائنة الأخرى </v>
      </c>
      <c r="O3221" s="84" t="s">
        <v>2739</v>
      </c>
      <c r="P3221" s="84" t="s">
        <v>1342</v>
      </c>
    </row>
    <row r="3222" spans="1:16">
      <c r="A3222" s="151">
        <v>106</v>
      </c>
      <c r="B3222" s="131">
        <v>46194</v>
      </c>
      <c r="C3222" s="150">
        <v>20</v>
      </c>
      <c r="D3222" s="140" t="str">
        <f>IF(ISERROR(VLOOKUP(C3222,'[1]خريطة الحسابات'!_xlnm.Print_Area,3,FALSE))," ",(VLOOKUP(C3222,'[1]خريطة الحسابات'!_xlnm.Print_Area,3,FALSE)))</f>
        <v xml:space="preserve">الخزينة </v>
      </c>
      <c r="E3222" s="142"/>
      <c r="F3222" s="133"/>
      <c r="G3222" s="133">
        <v>20000</v>
      </c>
      <c r="H3222" s="134">
        <f t="shared" si="148"/>
        <v>0</v>
      </c>
      <c r="I3222" s="134">
        <f t="shared" si="148"/>
        <v>20000</v>
      </c>
      <c r="J3222" s="134">
        <f t="shared" si="147"/>
        <v>-20000</v>
      </c>
      <c r="K3222" s="135"/>
      <c r="L3222" s="148" t="str">
        <f t="shared" si="149"/>
        <v>دائن</v>
      </c>
      <c r="M3222" s="137" t="str">
        <f>IF(ISERROR(VLOOKUP(C3222,'[1]خريطة الحسابات'!_xlnm.Print_Area,4,FALSE))," ",(VLOOKUP(C3222,'[1]خريطة الحسابات'!_xlnm.Print_Area,4,FALSE)))</f>
        <v xml:space="preserve">أصول متداوله -النقدية ومافي حكمها </v>
      </c>
      <c r="N3222" s="138" t="str">
        <f>IF(ISERROR(VLOOKUP(C3222,'[1]خريطة الحسابات'!_xlnm.Print_Area,5,FALSE))," ",(VLOOKUP(C3222,'[1]خريطة الحسابات'!_xlnm.Print_Area,5,FALSE)))</f>
        <v>الاصول</v>
      </c>
      <c r="O3222" s="84" t="s">
        <v>2739</v>
      </c>
      <c r="P3222" s="84" t="s">
        <v>1342</v>
      </c>
    </row>
    <row r="3223" spans="1:16">
      <c r="A3223" s="151">
        <v>107</v>
      </c>
      <c r="B3223" s="131">
        <v>46194</v>
      </c>
      <c r="C3223" s="150" t="s">
        <v>41</v>
      </c>
      <c r="D3223" s="140" t="str">
        <f>IF(ISERROR(VLOOKUP(C3223,'[1]خريطة الحسابات'!_xlnm.Print_Area,3,FALSE))," ",(VLOOKUP(C3223,'[1]خريطة الحسابات'!_xlnm.Print_Area,3,FALSE)))</f>
        <v>نظافه و بوفيه</v>
      </c>
      <c r="E3223" s="142"/>
      <c r="F3223" s="133">
        <v>35</v>
      </c>
      <c r="G3223" s="133"/>
      <c r="H3223" s="134">
        <f t="shared" si="148"/>
        <v>35</v>
      </c>
      <c r="I3223" s="134">
        <f t="shared" si="148"/>
        <v>0</v>
      </c>
      <c r="J3223" s="134">
        <f t="shared" si="147"/>
        <v>35</v>
      </c>
      <c r="K3223" s="135"/>
      <c r="L3223" s="148" t="str">
        <f t="shared" si="149"/>
        <v>مدين</v>
      </c>
      <c r="M3223" s="137" t="str">
        <f>IF(ISERROR(VLOOKUP(C3223,'[1]خريطة الحسابات'!_xlnm.Print_Area,4,FALSE))," ",(VLOOKUP(C3223,'[1]خريطة الحسابات'!_xlnm.Print_Area,4,FALSE)))</f>
        <v xml:space="preserve">تكاليف ادارية وعمومية </v>
      </c>
      <c r="N3223" s="138" t="str">
        <f>IF(ISERROR(VLOOKUP(C3223,'[1]خريطة الحسابات'!_xlnm.Print_Area,5,FALSE))," ",(VLOOKUP(C3223,'[1]خريطة الحسابات'!_xlnm.Print_Area,5,FALSE)))</f>
        <v xml:space="preserve">مصروفات </v>
      </c>
      <c r="O3223" s="84" t="s">
        <v>2740</v>
      </c>
      <c r="P3223" s="84" t="s">
        <v>1664</v>
      </c>
    </row>
    <row r="3224" spans="1:16">
      <c r="A3224" s="151">
        <v>107</v>
      </c>
      <c r="B3224" s="131">
        <v>46194</v>
      </c>
      <c r="C3224" s="150">
        <v>20</v>
      </c>
      <c r="D3224" s="140" t="str">
        <f>IF(ISERROR(VLOOKUP(C3224,'[1]خريطة الحسابات'!_xlnm.Print_Area,3,FALSE))," ",(VLOOKUP(C3224,'[1]خريطة الحسابات'!_xlnm.Print_Area,3,FALSE)))</f>
        <v xml:space="preserve">الخزينة </v>
      </c>
      <c r="E3224" s="142"/>
      <c r="F3224" s="133"/>
      <c r="G3224" s="133">
        <v>35</v>
      </c>
      <c r="H3224" s="134">
        <f t="shared" si="148"/>
        <v>0</v>
      </c>
      <c r="I3224" s="134">
        <f t="shared" si="148"/>
        <v>35</v>
      </c>
      <c r="J3224" s="134">
        <f t="shared" ref="J3224:J3230" si="150">H3224-I3224</f>
        <v>-35</v>
      </c>
      <c r="K3224" s="135"/>
      <c r="L3224" s="148" t="str">
        <f t="shared" si="149"/>
        <v>دائن</v>
      </c>
      <c r="M3224" s="137" t="str">
        <f>IF(ISERROR(VLOOKUP(C3224,'[1]خريطة الحسابات'!_xlnm.Print_Area,4,FALSE))," ",(VLOOKUP(C3224,'[1]خريطة الحسابات'!_xlnm.Print_Area,4,FALSE)))</f>
        <v xml:space="preserve">أصول متداوله -النقدية ومافي حكمها </v>
      </c>
      <c r="N3224" s="138" t="str">
        <f>IF(ISERROR(VLOOKUP(C3224,'[1]خريطة الحسابات'!_xlnm.Print_Area,5,FALSE))," ",(VLOOKUP(C3224,'[1]خريطة الحسابات'!_xlnm.Print_Area,5,FALSE)))</f>
        <v>الاصول</v>
      </c>
      <c r="O3224" s="84" t="s">
        <v>2740</v>
      </c>
      <c r="P3224" s="84" t="s">
        <v>1664</v>
      </c>
    </row>
    <row r="3225" spans="1:16">
      <c r="A3225" s="151">
        <v>108</v>
      </c>
      <c r="B3225" s="131">
        <v>46194</v>
      </c>
      <c r="C3225" s="150">
        <v>4019</v>
      </c>
      <c r="D3225" s="140" t="str">
        <f>IF(ISERROR(VLOOKUP(C3225,'[1]خريطة الحسابات'!_xlnm.Print_Area,3,FALSE))," ",(VLOOKUP(C3225,'[1]خريطة الحسابات'!_xlnm.Print_Area,3,FALSE)))</f>
        <v>هاني السباك</v>
      </c>
      <c r="E3225" s="142"/>
      <c r="F3225" s="133">
        <v>20020</v>
      </c>
      <c r="G3225" s="133"/>
      <c r="H3225" s="134">
        <f t="shared" ref="H3225:I3230" si="151">IF($E3225=2,F3225*3.465,F3225)</f>
        <v>20020</v>
      </c>
      <c r="I3225" s="134">
        <f t="shared" si="151"/>
        <v>0</v>
      </c>
      <c r="J3225" s="134">
        <f t="shared" si="150"/>
        <v>20020</v>
      </c>
      <c r="K3225" s="135"/>
      <c r="L3225" s="148" t="str">
        <f t="shared" si="149"/>
        <v>مدين</v>
      </c>
      <c r="M3225" s="137" t="str">
        <f>IF(ISERROR(VLOOKUP(C3225,'[1]خريطة الحسابات'!_xlnm.Print_Area,4,FALSE))," ",(VLOOKUP(C3225,'[1]خريطة الحسابات'!_xlnm.Print_Area,4,FALSE)))</f>
        <v xml:space="preserve">مقاولين </v>
      </c>
      <c r="N3225" s="138" t="str">
        <f>IF(ISERROR(VLOOKUP(C3225,'[1]خريطة الحسابات'!_xlnm.Print_Area,5,FALSE))," ",(VLOOKUP(C3225,'[1]خريطة الحسابات'!_xlnm.Print_Area,5,FALSE)))</f>
        <v xml:space="preserve">الدائنون والأرصدة الدائنة الأخرى </v>
      </c>
      <c r="O3225" s="84" t="s">
        <v>2741</v>
      </c>
      <c r="P3225" s="84" t="s">
        <v>2742</v>
      </c>
    </row>
    <row r="3226" spans="1:16">
      <c r="A3226" s="151">
        <v>108</v>
      </c>
      <c r="B3226" s="131">
        <v>46194</v>
      </c>
      <c r="C3226" s="150">
        <v>20</v>
      </c>
      <c r="D3226" s="140" t="str">
        <f>IF(ISERROR(VLOOKUP(C3226,'[1]خريطة الحسابات'!_xlnm.Print_Area,3,FALSE))," ",(VLOOKUP(C3226,'[1]خريطة الحسابات'!_xlnm.Print_Area,3,FALSE)))</f>
        <v xml:space="preserve">الخزينة </v>
      </c>
      <c r="E3226" s="142"/>
      <c r="F3226" s="133"/>
      <c r="G3226" s="133">
        <v>20020</v>
      </c>
      <c r="H3226" s="134">
        <f t="shared" si="151"/>
        <v>0</v>
      </c>
      <c r="I3226" s="134">
        <f t="shared" si="151"/>
        <v>20020</v>
      </c>
      <c r="J3226" s="134">
        <f t="shared" si="150"/>
        <v>-20020</v>
      </c>
      <c r="K3226" s="135"/>
      <c r="L3226" s="148" t="str">
        <f t="shared" si="149"/>
        <v>دائن</v>
      </c>
      <c r="M3226" s="137" t="str">
        <f>IF(ISERROR(VLOOKUP(C3226,'[1]خريطة الحسابات'!_xlnm.Print_Area,4,FALSE))," ",(VLOOKUP(C3226,'[1]خريطة الحسابات'!_xlnm.Print_Area,4,FALSE)))</f>
        <v xml:space="preserve">أصول متداوله -النقدية ومافي حكمها </v>
      </c>
      <c r="N3226" s="138" t="str">
        <f>IF(ISERROR(VLOOKUP(C3226,'[1]خريطة الحسابات'!_xlnm.Print_Area,5,FALSE))," ",(VLOOKUP(C3226,'[1]خريطة الحسابات'!_xlnm.Print_Area,5,FALSE)))</f>
        <v>الاصول</v>
      </c>
      <c r="O3226" s="84" t="s">
        <v>2741</v>
      </c>
      <c r="P3226" s="84" t="s">
        <v>2742</v>
      </c>
    </row>
    <row r="3227" spans="1:16">
      <c r="A3227" s="151">
        <v>109</v>
      </c>
      <c r="B3227" s="131">
        <v>46194</v>
      </c>
      <c r="C3227" s="150" t="s">
        <v>41</v>
      </c>
      <c r="D3227" s="140" t="str">
        <f>IF(ISERROR(VLOOKUP(C3227,'[1]خريطة الحسابات'!_xlnm.Print_Area,3,FALSE))," ",(VLOOKUP(C3227,'[1]خريطة الحسابات'!_xlnm.Print_Area,3,FALSE)))</f>
        <v>نظافه و بوفيه</v>
      </c>
      <c r="E3227" s="142"/>
      <c r="F3227" s="133">
        <v>850</v>
      </c>
      <c r="G3227" s="133"/>
      <c r="H3227" s="134">
        <f t="shared" si="151"/>
        <v>850</v>
      </c>
      <c r="I3227" s="134">
        <f t="shared" si="151"/>
        <v>0</v>
      </c>
      <c r="J3227" s="134">
        <f t="shared" si="150"/>
        <v>850</v>
      </c>
      <c r="K3227" s="135"/>
      <c r="L3227" s="148" t="str">
        <f t="shared" ref="L3227:L3230" si="152">IF(J3227&lt;0,"دائن",IF(J3227&gt;0,"مدين",""))</f>
        <v>مدين</v>
      </c>
      <c r="M3227" s="137" t="str">
        <f>IF(ISERROR(VLOOKUP(C3227,'[1]خريطة الحسابات'!_xlnm.Print_Area,4,FALSE))," ",(VLOOKUP(C3227,'[1]خريطة الحسابات'!_xlnm.Print_Area,4,FALSE)))</f>
        <v xml:space="preserve">تكاليف ادارية وعمومية </v>
      </c>
      <c r="N3227" s="138" t="str">
        <f>IF(ISERROR(VLOOKUP(C3227,'[1]خريطة الحسابات'!_xlnm.Print_Area,5,FALSE))," ",(VLOOKUP(C3227,'[1]خريطة الحسابات'!_xlnm.Print_Area,5,FALSE)))</f>
        <v xml:space="preserve">مصروفات </v>
      </c>
      <c r="O3227" s="84" t="s">
        <v>2743</v>
      </c>
      <c r="P3227" s="84" t="s">
        <v>1664</v>
      </c>
    </row>
    <row r="3228" spans="1:16">
      <c r="A3228" s="151">
        <v>109</v>
      </c>
      <c r="B3228" s="131">
        <v>46194</v>
      </c>
      <c r="C3228" s="150">
        <v>20</v>
      </c>
      <c r="D3228" s="140" t="str">
        <f>IF(ISERROR(VLOOKUP(C3228,'[1]خريطة الحسابات'!_xlnm.Print_Area,3,FALSE))," ",(VLOOKUP(C3228,'[1]خريطة الحسابات'!_xlnm.Print_Area,3,FALSE)))</f>
        <v xml:space="preserve">الخزينة </v>
      </c>
      <c r="E3228" s="142"/>
      <c r="F3228" s="133"/>
      <c r="G3228" s="133">
        <v>850</v>
      </c>
      <c r="H3228" s="134">
        <f t="shared" si="151"/>
        <v>0</v>
      </c>
      <c r="I3228" s="134">
        <f t="shared" si="151"/>
        <v>850</v>
      </c>
      <c r="J3228" s="134">
        <f t="shared" si="150"/>
        <v>-850</v>
      </c>
      <c r="K3228" s="135"/>
      <c r="L3228" s="148" t="str">
        <f t="shared" si="152"/>
        <v>دائن</v>
      </c>
      <c r="M3228" s="137" t="str">
        <f>IF(ISERROR(VLOOKUP(C3228,'[1]خريطة الحسابات'!_xlnm.Print_Area,4,FALSE))," ",(VLOOKUP(C3228,'[1]خريطة الحسابات'!_xlnm.Print_Area,4,FALSE)))</f>
        <v xml:space="preserve">أصول متداوله -النقدية ومافي حكمها </v>
      </c>
      <c r="N3228" s="138" t="str">
        <f>IF(ISERROR(VLOOKUP(C3228,'[1]خريطة الحسابات'!_xlnm.Print_Area,5,FALSE))," ",(VLOOKUP(C3228,'[1]خريطة الحسابات'!_xlnm.Print_Area,5,FALSE)))</f>
        <v>الاصول</v>
      </c>
      <c r="O3228" s="84" t="s">
        <v>2743</v>
      </c>
      <c r="P3228" s="84" t="s">
        <v>1664</v>
      </c>
    </row>
    <row r="3229" spans="1:16">
      <c r="A3229" s="151">
        <v>110</v>
      </c>
      <c r="B3229" s="131">
        <v>46197</v>
      </c>
      <c r="C3229" s="150" t="s">
        <v>324</v>
      </c>
      <c r="D3229" s="140" t="str">
        <f>IF(ISERROR(VLOOKUP(C3229,'[1]خريطة الحسابات'!_xlnm.Print_Area,3,FALSE))," ",(VLOOKUP(C3229,'[1]خريطة الحسابات'!_xlnm.Print_Area,3,FALSE)))</f>
        <v>خامات ومصنعية بند الكهرباء</v>
      </c>
      <c r="E3229" s="142"/>
      <c r="F3229" s="133">
        <v>46500</v>
      </c>
      <c r="G3229" s="133"/>
      <c r="H3229" s="134">
        <f t="shared" si="151"/>
        <v>46500</v>
      </c>
      <c r="I3229" s="134">
        <f t="shared" si="151"/>
        <v>0</v>
      </c>
      <c r="J3229" s="134">
        <f t="shared" si="150"/>
        <v>46500</v>
      </c>
      <c r="K3229" s="135"/>
      <c r="L3229" s="148" t="str">
        <f t="shared" si="152"/>
        <v>مدين</v>
      </c>
      <c r="M3229" s="137" t="str">
        <f>IF(ISERROR(VLOOKUP(C3229,'[1]خريطة الحسابات'!_xlnm.Print_Area,4,FALSE))," ",(VLOOKUP(C3229,'[1]خريطة الحسابات'!_xlnm.Print_Area,4,FALSE)))</f>
        <v>تكاليف مشروع العبور 306</v>
      </c>
      <c r="N3229" s="138" t="str">
        <f>IF(ISERROR(VLOOKUP(C3229,'[1]خريطة الحسابات'!_xlnm.Print_Area,5,FALSE))," ",(VLOOKUP(C3229,'[1]خريطة الحسابات'!_xlnm.Print_Area,5,FALSE)))</f>
        <v xml:space="preserve">تكاليف العمليات </v>
      </c>
      <c r="O3229" s="84" t="s">
        <v>2744</v>
      </c>
      <c r="P3229" s="84" t="s">
        <v>1292</v>
      </c>
    </row>
    <row r="3230" spans="1:16">
      <c r="A3230" s="151">
        <v>110</v>
      </c>
      <c r="B3230" s="131">
        <v>46197</v>
      </c>
      <c r="C3230" s="150">
        <v>4048</v>
      </c>
      <c r="D3230" s="140" t="str">
        <f>IF(ISERROR(VLOOKUP(C3230,'[1]خريطة الحسابات'!_xlnm.Print_Area,3,FALSE))," ",(VLOOKUP(C3230,'[1]خريطة الحسابات'!_xlnm.Print_Area,3,FALSE)))</f>
        <v xml:space="preserve">حسن الكهرباء </v>
      </c>
      <c r="E3230" s="142"/>
      <c r="F3230" s="133"/>
      <c r="G3230" s="133">
        <v>46500</v>
      </c>
      <c r="H3230" s="134">
        <f t="shared" si="151"/>
        <v>0</v>
      </c>
      <c r="I3230" s="134">
        <f t="shared" si="151"/>
        <v>46500</v>
      </c>
      <c r="J3230" s="134">
        <f t="shared" si="150"/>
        <v>-46500</v>
      </c>
      <c r="K3230" s="135"/>
      <c r="L3230" s="148" t="str">
        <f t="shared" si="152"/>
        <v>دائن</v>
      </c>
      <c r="M3230" s="137" t="str">
        <f>IF(ISERROR(VLOOKUP(C3230,'[1]خريطة الحسابات'!_xlnm.Print_Area,4,FALSE))," ",(VLOOKUP(C3230,'[1]خريطة الحسابات'!_xlnm.Print_Area,4,FALSE)))</f>
        <v xml:space="preserve">مقاولين </v>
      </c>
      <c r="N3230" s="138" t="str">
        <f>IF(ISERROR(VLOOKUP(C3230,'[1]خريطة الحسابات'!_xlnm.Print_Area,5,FALSE))," ",(VLOOKUP(C3230,'[1]خريطة الحسابات'!_xlnm.Print_Area,5,FALSE)))</f>
        <v xml:space="preserve">الدائنون والأرصدة الدائنة الأخرى </v>
      </c>
      <c r="O3230" s="84" t="s">
        <v>2744</v>
      </c>
      <c r="P3230" s="84" t="s">
        <v>1292</v>
      </c>
    </row>
  </sheetData>
  <mergeCells count="2">
    <mergeCell ref="A1:G1"/>
    <mergeCell ref="H1:J1"/>
  </mergeCells>
  <conditionalFormatting sqref="A1">
    <cfRule type="cellIs" dxfId="6" priority="6" stopIfTrue="1" operator="notBetween">
      <formula>$N$1</formula>
      <formula>$O$1</formula>
    </cfRule>
  </conditionalFormatting>
  <conditionalFormatting sqref="K2953:K2997 K1918:K1919 K2734:K2735">
    <cfRule type="cellIs" dxfId="5" priority="7" stopIfTrue="1" operator="notEqual">
      <formula>K1920</formula>
    </cfRule>
  </conditionalFormatting>
  <conditionalFormatting sqref="K2954:K2957">
    <cfRule type="cellIs" dxfId="4" priority="4" stopIfTrue="1" operator="notEqual">
      <formula>K2956</formula>
    </cfRule>
  </conditionalFormatting>
  <conditionalFormatting sqref="K2958:K3230 K1899:K1917 K1920:K2733 K2736:K2952">
    <cfRule type="cellIs" dxfId="3" priority="5" stopIfTrue="1" operator="notEqual">
      <formula>K1900</formula>
    </cfRule>
  </conditionalFormatting>
  <conditionalFormatting sqref="K2998:K3230">
    <cfRule type="cellIs" dxfId="2" priority="3" stopIfTrue="1" operator="notEqual">
      <formula>K3000</formula>
    </cfRule>
  </conditionalFormatting>
  <conditionalFormatting sqref="A1807:A3230">
    <cfRule type="cellIs" dxfId="1" priority="2" stopIfTrue="1" operator="notEqual">
      <formula>A1808</formula>
    </cfRule>
  </conditionalFormatting>
  <conditionalFormatting sqref="A3:A1806">
    <cfRule type="cellIs" dxfId="0" priority="1" stopIfTrue="1" operator="notEqual">
      <formula>A4</formula>
    </cfRule>
  </conditionalFormatting>
  <dataValidations count="1">
    <dataValidation type="whole" allowBlank="1" showInputMessage="1" showErrorMessage="1" sqref="E686:E3230 E2:E684" xr:uid="{562B855D-3C21-494A-8706-866A1D25108C}">
      <formula1>1</formula1>
      <formula2>2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شجرة حسابات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 MOHAMED</dc:creator>
  <cp:lastModifiedBy>user</cp:lastModifiedBy>
  <dcterms:created xsi:type="dcterms:W3CDTF">2015-06-05T18:17:20Z</dcterms:created>
  <dcterms:modified xsi:type="dcterms:W3CDTF">2026-06-25T09:35:44Z</dcterms:modified>
</cp:coreProperties>
</file>